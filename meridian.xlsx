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Stocks" sheetId="3" state="visible" r:id="rId3"/>
    <sheet name="Golden Breakout" sheetId="4" state="visible" r:id="rId4"/>
    <sheet name="Sectoral" sheetId="5" state="visible" r:id="rId5"/>
    <sheet name="Sectoral Breakout" sheetId="6" state="visible" r:id="rId6"/>
    <sheet name="Market Breadth" sheetId="7" state="visible" r:id="rId7"/>
    <sheet name="Universe" sheetId="8" state="visible" r:id="rId8"/>
  </sheets>
  <definedNames>
    <definedName name="_xlnm._FilterDatabase" localSheetId="2" hidden="1">'Stocks'!$A$1:$AJ$2139</definedName>
    <definedName name="_xlnm._FilterDatabase" localSheetId="3" hidden="1">'Golden Breakout'!$A$1:$L$13</definedName>
    <definedName name="_xlnm._FilterDatabase" localSheetId="4" hidden="1">'Sectoral'!$A$1:$O$121</definedName>
    <definedName name="_xlnm._FilterDatabase" localSheetId="6" hidden="1">'Market Breadth'!$A$1:$I$501</definedName>
    <definedName name="_xlnm._FilterDatabase" localSheetId="7" hidden="1">'Universe'!$A$1:$I$2139</definedName>
  </definedNames>
  <calcPr calcId="124519" fullCalcOnLoad="1"/>
</workbook>
</file>

<file path=xl/styles.xml><?xml version="1.0" encoding="utf-8"?>
<styleSheet xmlns="http://schemas.openxmlformats.org/spreadsheetml/2006/main">
  <numFmts count="6">
    <numFmt numFmtId="164" formatCode="#,##0;(#,##0);-"/>
    <numFmt numFmtId="165" formatCode="#,##0.00;(#,##0.00);-"/>
    <numFmt numFmtId="166" formatCode="0.0%;(0.0%);-"/>
    <numFmt numFmtId="167" formatCode="#,##0;-#,##0;-"/>
    <numFmt numFmtId="168" formatCode="0.00%;(0.00%);-"/>
    <numFmt numFmtId="169" formatCode="0.00&quot;x&quot;;(0.00&quot;x&quot;);-"/>
  </numFmts>
  <fonts count="11">
    <font>
      <name val="Calibri"/>
      <family val="2"/>
      <color theme="1"/>
      <sz val="11"/>
      <scheme val="minor"/>
    </font>
    <font>
      <name val="Arial"/>
      <b val="1"/>
      <color rgb="00FFFFFF"/>
      <sz val="10"/>
    </font>
    <font>
      <name val="Arial"/>
      <color rgb="000000FF"/>
      <sz val="10"/>
    </font>
    <font>
      <name val="Arial"/>
      <color rgb="00000000"/>
      <sz val="10"/>
    </font>
    <font>
      <name val="Arial"/>
      <color rgb="006B7280"/>
      <sz val="10"/>
    </font>
    <font>
      <name val="Arial"/>
      <b val="1"/>
      <color rgb="001F2937"/>
      <sz val="11"/>
    </font>
    <font>
      <name val="Arial"/>
      <b val="1"/>
      <color rgb="001F2937"/>
      <sz val="14"/>
    </font>
    <font>
      <name val="Arial"/>
      <b val="1"/>
      <color rgb="00FFFFFF"/>
      <sz val="11"/>
    </font>
    <font>
      <name val="Arial"/>
      <sz val="10"/>
    </font>
    <font>
      <name val="Arial"/>
      <b val="1"/>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D1D5DB"/>
      </bottom>
    </border>
  </borders>
  <cellStyleXfs count="1">
    <xf numFmtId="0" fontId="0" fillId="0" borderId="0"/>
  </cellStyleXfs>
  <cellXfs count="28">
    <xf numFmtId="0" fontId="0" fillId="0" borderId="0" pivotButton="0" quotePrefix="0" xfId="0"/>
    <xf numFmtId="0" fontId="6" fillId="0" borderId="0" pivotButton="0" quotePrefix="0" xfId="0"/>
    <xf numFmtId="0" fontId="4" fillId="0" borderId="0" pivotButton="0" quotePrefix="0" xfId="0"/>
    <xf numFmtId="0" fontId="10" fillId="0" borderId="0" pivotButton="0" quotePrefix="0" xfId="0"/>
    <xf numFmtId="0" fontId="8" fillId="0" borderId="0" applyAlignment="1" pivotButton="0" quotePrefix="0" xfId="0">
      <alignment vertical="top" wrapText="1"/>
    </xf>
    <xf numFmtId="0" fontId="7" fillId="2" borderId="0" pivotButton="0" quotePrefix="0" xfId="0"/>
    <xf numFmtId="0" fontId="0" fillId="2" borderId="0" pivotButton="0" quotePrefix="0" xfId="0"/>
    <xf numFmtId="0" fontId="8" fillId="0" borderId="0" pivotButton="0" quotePrefix="0" xfId="0"/>
    <xf numFmtId="167" fontId="8" fillId="0" borderId="0" applyAlignment="1" pivotButton="0" quotePrefix="0" xfId="0">
      <alignment horizontal="right"/>
    </xf>
    <xf numFmtId="0" fontId="9" fillId="0" borderId="0" pivotButton="0" quotePrefix="0" xfId="0"/>
    <xf numFmtId="167" fontId="9" fillId="0" borderId="0" applyAlignment="1" pivotButton="0" quotePrefix="0" xfId="0">
      <alignment horizontal="right"/>
    </xf>
    <xf numFmtId="0" fontId="9" fillId="0" borderId="0" applyAlignment="1" pivotButton="0" quotePrefix="0" xfId="0">
      <alignment horizontal="right"/>
    </xf>
    <xf numFmtId="165" fontId="8" fillId="0" borderId="0" applyAlignment="1" pivotButton="0" quotePrefix="0" xfId="0">
      <alignment horizontal="right"/>
    </xf>
    <xf numFmtId="0" fontId="8" fillId="0" borderId="0" applyAlignment="1" pivotButton="0" quotePrefix="0" xfId="0">
      <alignment horizontal="right"/>
    </xf>
    <xf numFmtId="166" fontId="8" fillId="0" borderId="0" applyAlignment="1" pivotButton="0" quotePrefix="0" xfId="0">
      <alignment horizontal="right"/>
    </xf>
    <xf numFmtId="0" fontId="1" fillId="2" borderId="0" applyAlignment="1" pivotButton="0" quotePrefix="0" xfId="0">
      <alignment horizontal="center" vertical="center" wrapText="1"/>
    </xf>
    <xf numFmtId="0" fontId="2" fillId="0" borderId="1" pivotButton="0" quotePrefix="0" xfId="0"/>
    <xf numFmtId="164" fontId="2" fillId="0" borderId="1" pivotButton="0" quotePrefix="0" xfId="0"/>
    <xf numFmtId="165" fontId="2" fillId="0" borderId="1" pivotButton="0" quotePrefix="0" xfId="0"/>
    <xf numFmtId="166" fontId="2" fillId="0" borderId="1" pivotButton="0" quotePrefix="0" xfId="0"/>
    <xf numFmtId="167" fontId="2" fillId="0" borderId="1" pivotButton="0" quotePrefix="0" xfId="0"/>
    <xf numFmtId="166" fontId="3" fillId="0" borderId="1" pivotButton="0" quotePrefix="0" xfId="0"/>
    <xf numFmtId="168" fontId="2" fillId="0" borderId="1" pivotButton="0" quotePrefix="0" xfId="0"/>
    <xf numFmtId="169" fontId="2" fillId="0" borderId="1" pivotButton="0" quotePrefix="0" xfId="0"/>
    <xf numFmtId="0" fontId="4" fillId="0" borderId="0" applyAlignment="1" pivotButton="0" quotePrefix="0" xfId="0">
      <alignment vertical="top" wrapText="1"/>
    </xf>
    <xf numFmtId="167" fontId="3" fillId="0" borderId="1" pivotButton="0" quotePrefix="0" xfId="0"/>
    <xf numFmtId="0" fontId="5" fillId="0" borderId="0" pivotButton="0" quotePrefix="0" xfId="0"/>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DB9A3"/>
    <outlinePr summaryBelow="1" summaryRight="1"/>
    <pageSetUpPr/>
  </sheetPr>
  <dimension ref="B2:C17"/>
  <sheetViews>
    <sheetView showGridLines="0" workbookViewId="0">
      <selection activeCell="A1" sqref="A1"/>
    </sheetView>
  </sheetViews>
  <sheetFormatPr baseColWidth="8" defaultRowHeight="15"/>
  <cols>
    <col width="4" customWidth="1" min="1" max="1"/>
    <col width="26" customWidth="1" min="2" max="2"/>
    <col width="96" customWidth="1" min="3" max="3"/>
  </cols>
  <sheetData>
    <row r="2">
      <c r="B2" s="1" t="inlineStr">
        <is>
          <t>Meridian - daily workbook</t>
        </is>
      </c>
    </row>
    <row r="3">
      <c r="B3" s="2" t="inlineStr">
        <is>
          <t>As of 2026-09-04.  Generated 2026-09-07 14:37 UTC.</t>
        </is>
      </c>
    </row>
    <row r="5" ht="30" customHeight="1">
      <c r="B5" s="3" t="inlineStr">
        <is>
          <t>What this is</t>
        </is>
      </c>
      <c r="C5" s="4" t="inlineStr">
        <is>
          <t>A full dump of every Meridian screen for one trading day: the same numbers the app shows, in a form you can sort, filter and keep. One worksheet per sub-tab.</t>
        </is>
      </c>
    </row>
    <row r="7" ht="75" customHeight="1">
      <c r="B7" s="3" t="inlineStr">
        <is>
          <t>Where the numbers come from</t>
        </is>
      </c>
      <c r="C7" s="4" t="inlineStr">
        <is>
          <t>Every model output is computed by meridian-engine.js - the identical module the web app imports - and written here as a value. The workbook does not re-derive the model in Excel. That is deliberate: the previous workbook did, and its financial-sector exemption listed 11 industries where the engine listed 12, quietly mis-scoring three companies. A spreadsheet that restates the model is a third implementation that will drift from the other two.</t>
        </is>
      </c>
    </row>
    <row r="9" ht="45" customHeight="1">
      <c r="B9" s="3" t="inlineStr">
        <is>
          <t>Blue vs black</t>
        </is>
      </c>
      <c r="C9" s="4" t="inlineStr">
        <is>
          <t>Blue cells are engine values - treat them as inputs. Black cells are formulas this workbook computes over those inputs (counts, distributions, ratios between adjacent columns). Edit a blue cell and the black ones follow; nothing here recalculates the model itself.</t>
        </is>
      </c>
    </row>
    <row r="11" ht="60" customHeight="1">
      <c r="B11" s="3" t="inlineStr">
        <is>
          <t>The self-check</t>
        </is>
      </c>
      <c r="C11" s="4" t="inlineStr">
        <is>
          <t>The Dashboard rebuilds all five Golden Breakout gates with COUNTIFS over the Stocks columns and compares the result against the screener's own row count. It should read OK. If it ever reads MISMATCH, the workbook is telling you its columns and the engine disagree - trust neither until that is explained.</t>
        </is>
      </c>
    </row>
    <row r="13" ht="165" customHeight="1">
      <c r="B13" s="3" t="inlineStr">
        <is>
          <t>Sheets</t>
        </is>
      </c>
      <c r="C13" s="4" t="inlineStr">
        <is>
          <t>Dashboard - coverage, gate funnel, distributions, latest breadth.
Golden Breakout - the day's qualifying stocks, ranked.
Stocks - all instruments with every technical and fundamental field.
Sectoral - synthetic equal-weight industry indices.
Sectoral Breakout - industry indices clearing the same five gates.
Market Breadth - 500 days of participation data.
Universe - the quarterly universe definition.</t>
        </is>
      </c>
    </row>
    <row r="15" ht="90" customHeight="1">
      <c r="B15" s="3" t="inlineStr">
        <is>
          <t>Not in this workbook yet</t>
        </is>
      </c>
      <c r="C15" s="4" t="inlineStr">
        <is>
          <t>Commodities, Currencies, Crypto and Global Indices. Their universes are defined but the only price files in the repo are prototype samples (an identical 1,260 bars for every symbol, and crypto ending 18 months before the rest), and there is no currency price file at all. The Golden Breakout thresholds have also not been validated outside equities. Publishing sheets off that data would look authoritative and be wrong, so they are omitted until those universes are backfilled the way equities were.</t>
        </is>
      </c>
    </row>
    <row r="17" ht="45" customHeight="1">
      <c r="B17" s="3" t="inlineStr">
        <is>
          <t>Reading the percentages</t>
        </is>
      </c>
      <c r="C17" s="4" t="inlineStr">
        <is>
          <t>Percent columns are stored as fractions and displayed with a percent format, so they behave correctly in your own formulas. Separation, slope, growth and breadth figures are all percentages; RSI, RS Rating and Fund Score are 0-100 index values, not percentages.</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B2:D46"/>
  <sheetViews>
    <sheetView showGridLines="0" workbookViewId="0">
      <selection activeCell="A1" sqref="A1"/>
    </sheetView>
  </sheetViews>
  <sheetFormatPr baseColWidth="8" defaultRowHeight="15"/>
  <cols>
    <col width="4" customWidth="1" min="1" max="1"/>
    <col width="40" customWidth="1" min="2" max="2"/>
    <col width="16" customWidth="1" min="3" max="3"/>
    <col width="58" customWidth="1" min="4" max="4"/>
  </cols>
  <sheetData>
    <row r="2">
      <c r="B2" s="1" t="inlineStr">
        <is>
          <t>Meridian</t>
        </is>
      </c>
    </row>
    <row r="3">
      <c r="B3" s="2" t="inlineStr">
        <is>
          <t>Daily screen  |  as of 2026-09-04  |  built 2026-09-07 14:37 UTC</t>
        </is>
      </c>
    </row>
    <row r="5">
      <c r="B5" s="5" t="inlineStr">
        <is>
          <t>Coverage</t>
        </is>
      </c>
      <c r="C5" s="6" t="n"/>
      <c r="D5" s="6" t="n"/>
    </row>
    <row r="6">
      <c r="B6" s="7" t="inlineStr">
        <is>
          <t>Instruments in universe</t>
        </is>
      </c>
      <c r="C6" s="8">
        <f>COUNTA(Stocks!$A$2:$A$2139)</f>
        <v/>
      </c>
      <c r="D6" s="2" t="inlineStr">
        <is>
          <t>Quarterly universe definition (see Universe sheet)</t>
        </is>
      </c>
    </row>
    <row r="7">
      <c r="B7" s="7" t="inlineStr">
        <is>
          <t>With price history</t>
        </is>
      </c>
      <c r="C7" s="8">
        <f>COUNT(Stocks!$G$2:$G$2139)</f>
        <v/>
      </c>
      <c r="D7" s="2" t="inlineStr">
        <is>
          <t>The rest have no Yahoo series under any ticker variant</t>
        </is>
      </c>
    </row>
    <row r="8">
      <c r="B8" s="7" t="inlineStr">
        <is>
          <t>With a 200 DMA</t>
        </is>
      </c>
      <c r="C8" s="8">
        <f>COUNT(Stocks!$O$2:$O$2139)</f>
        <v/>
      </c>
      <c r="D8" s="2" t="inlineStr">
        <is>
          <t>Needs 200 clean bars; newer listings fall short</t>
        </is>
      </c>
    </row>
    <row r="9">
      <c r="B9" s="7" t="inlineStr">
        <is>
          <t>With a fundamental score</t>
        </is>
      </c>
      <c r="C9" s="8">
        <f>COUNT(Stocks!$AA$2:$AA$2139)</f>
        <v/>
      </c>
      <c r="D9" s="2" t="inlineStr">
        <is>
          <t>Fundamentals sample is narrower than the price universe</t>
        </is>
      </c>
    </row>
    <row r="10"/>
    <row r="11">
      <c r="B11" s="5" t="inlineStr">
        <is>
          <t>Golden Breakout funnel</t>
        </is>
      </c>
      <c r="C11" s="6" t="n"/>
      <c r="D11" s="6" t="n"/>
    </row>
    <row r="12">
      <c r="B12" s="7" t="inlineStr">
        <is>
          <t>G1  Price &gt; 50DMA &gt; 200DMA</t>
        </is>
      </c>
      <c r="C12" s="8">
        <f>COUNTIFS(Stocks!$X$2:$X$2139,"Yes",Stocks!$V$2:$V$2139,"Yes")</f>
        <v/>
      </c>
      <c r="D12" s="2" t="inlineStr">
        <is>
          <t>Trend structure intact</t>
        </is>
      </c>
    </row>
    <row r="13">
      <c r="B13" s="7" t="inlineStr">
        <is>
          <t>G2  + 200DMA rising</t>
        </is>
      </c>
      <c r="C13" s="8">
        <f>COUNTIFS(Stocks!$X$2:$X$2139,"Yes",Stocks!$V$2:$V$2139,"Yes",Stocks!$U$2:$U$2139,"Yes")</f>
        <v/>
      </c>
      <c r="D13" s="2" t="inlineStr">
        <is>
          <t>The long trend is itself improving</t>
        </is>
      </c>
    </row>
    <row r="14">
      <c r="B14" s="7" t="inlineStr">
        <is>
          <t>G3  + separation &gt;= 3%</t>
        </is>
      </c>
      <c r="C14" s="8">
        <f>COUNTIFS(Stocks!$X$2:$X$2139,"Yes",Stocks!$V$2:$V$2139,"Yes",Stocks!$U$2:$U$2139,"Yes",Stocks!$Z$2:$Z$2139,"&gt;="&amp;0.03)</f>
        <v/>
      </c>
      <c r="D14" s="2" t="inlineStr">
        <is>
          <t>Filters marginal crossovers that whipsaw</t>
        </is>
      </c>
    </row>
    <row r="15">
      <c r="B15" s="7" t="inlineStr">
        <is>
          <t>G4  + cross &lt;= 15 trading days old</t>
        </is>
      </c>
      <c r="C15" s="8">
        <f>COUNTIFS(Stocks!$X$2:$X$2139,"Yes",Stocks!$V$2:$V$2139,"Yes",Stocks!$U$2:$U$2139,"Yes",Stocks!$Z$2:$Z$2139,"&gt;="&amp;0.03,Stocks!$Y$2:$Y$2139,"&lt;="&amp;15)</f>
        <v/>
      </c>
      <c r="D15" s="2" t="inlineStr">
        <is>
          <t>Freshness window - widened from 10 to 15 days</t>
        </is>
      </c>
    </row>
    <row r="16">
      <c r="B16" s="9" t="inlineStr">
        <is>
          <t>G5  + price &gt; 8DMA</t>
        </is>
      </c>
      <c r="C16" s="10">
        <f>COUNTIFS(Stocks!$X$2:$X$2139,"Yes",Stocks!$V$2:$V$2139,"Yes",Stocks!$U$2:$U$2139,"Yes",Stocks!$Z$2:$Z$2139,"&gt;="&amp;0.03,Stocks!$Y$2:$Y$2139,"&lt;="&amp;15,Stocks!$W$2:$W$2139,"Yes")</f>
        <v/>
      </c>
      <c r="D16" s="2" t="inlineStr">
        <is>
          <t>Short-term trend not already rolling over</t>
        </is>
      </c>
    </row>
    <row r="17">
      <c r="B17" s="7" t="inlineStr">
        <is>
          <t>Rows on the Golden Breakout sheet</t>
        </is>
      </c>
      <c r="C17" s="8">
        <f>COUNT('Golden Breakout'!$A$2:$A$10000)</f>
        <v/>
      </c>
      <c r="D17" s="2" t="inlineStr">
        <is>
          <t>The screener's own output</t>
        </is>
      </c>
    </row>
    <row r="18">
      <c r="B18" s="9" t="inlineStr">
        <is>
          <t>Self-check</t>
        </is>
      </c>
      <c r="C18" s="11">
        <f>IF(C16=C17,"OK","MISMATCH")</f>
        <v/>
      </c>
      <c r="D18" s="2" t="inlineStr">
        <is>
          <t>Rebuilds the five gates with COUNTIFS and compares against the screener. MISMATCH means the emitted columns and the engine disagree.</t>
        </is>
      </c>
    </row>
    <row r="19"/>
    <row r="20">
      <c r="B20" s="5" t="inlineStr">
        <is>
          <t>Fundamental tiers</t>
        </is>
      </c>
      <c r="C20" s="6" t="n"/>
      <c r="D20" s="6" t="n"/>
    </row>
    <row r="21">
      <c r="B21" s="7" t="inlineStr">
        <is>
          <t>High</t>
        </is>
      </c>
      <c r="C21" s="8">
        <f>COUNTIF(Stocks!$AB$2:$AB$2139,"High")</f>
        <v/>
      </c>
      <c r="D21" s="2" t="inlineStr">
        <is>
          <t>Top quintile by composite score</t>
        </is>
      </c>
    </row>
    <row r="22">
      <c r="B22" s="7" t="inlineStr">
        <is>
          <t>Good</t>
        </is>
      </c>
      <c r="C22" s="8">
        <f>COUNTIF(Stocks!$AB$2:$AB$2139,"Good")</f>
        <v/>
      </c>
      <c r="D22" s="2" t="inlineStr"/>
    </row>
    <row r="23">
      <c r="B23" s="7" t="inlineStr">
        <is>
          <t>Average</t>
        </is>
      </c>
      <c r="C23" s="8">
        <f>COUNTIF(Stocks!$AB$2:$AB$2139,"Average")</f>
        <v/>
      </c>
      <c r="D23" s="2" t="inlineStr"/>
    </row>
    <row r="24">
      <c r="B24" s="7" t="inlineStr">
        <is>
          <t>Weak</t>
        </is>
      </c>
      <c r="C24" s="8">
        <f>COUNTIF(Stocks!$AB$2:$AB$2139,"Weak")</f>
        <v/>
      </c>
      <c r="D24" s="2" t="inlineStr"/>
    </row>
    <row r="25">
      <c r="B25" s="7" t="inlineStr">
        <is>
          <t>Poor</t>
        </is>
      </c>
      <c r="C25" s="8">
        <f>COUNTIF(Stocks!$AB$2:$AB$2139,"Poor")</f>
        <v/>
      </c>
      <c r="D25" s="2" t="inlineStr">
        <is>
          <t>Bottom quintile</t>
        </is>
      </c>
    </row>
    <row r="26">
      <c r="B26" s="7" t="inlineStr">
        <is>
          <t>Unscored</t>
        </is>
      </c>
      <c r="C26" s="8">
        <f>COUNTBLANK(Stocks!$AB$2:$AB$2139)</f>
        <v/>
      </c>
      <c r="D26" s="2" t="inlineStr">
        <is>
          <t>Outside the fundamentals sample</t>
        </is>
      </c>
    </row>
    <row r="27">
      <c r="B27" s="7" t="inlineStr">
        <is>
          <t>Financial-sector exempt</t>
        </is>
      </c>
      <c r="C27" s="8">
        <f>COUNTIF(Stocks!$AC$2:$AC$2139,"Yes")</f>
        <v/>
      </c>
      <c r="D27" s="2" t="inlineStr">
        <is>
          <t>D/E, asset turns and CWIP carry no weight for these</t>
        </is>
      </c>
    </row>
    <row r="28"/>
    <row r="29">
      <c r="B29" s="5" t="inlineStr">
        <is>
          <t>Relative strength</t>
        </is>
      </c>
      <c r="C29" s="6" t="n"/>
      <c r="D29" s="6" t="n"/>
    </row>
    <row r="30">
      <c r="B30" s="7" t="inlineStr">
        <is>
          <t>Green band</t>
        </is>
      </c>
      <c r="C30" s="8">
        <f>COUNTIF(Stocks!$J$2:$J$2139,"green")</f>
        <v/>
      </c>
      <c r="D30" s="2" t="inlineStr">
        <is>
          <t>RS 80-99</t>
        </is>
      </c>
    </row>
    <row r="31">
      <c r="B31" s="7" t="inlineStr">
        <is>
          <t>Amber band</t>
        </is>
      </c>
      <c r="C31" s="8">
        <f>COUNTIF(Stocks!$J$2:$J$2139,"amber")</f>
        <v/>
      </c>
      <c r="D31" s="2" t="inlineStr">
        <is>
          <t>RS 60-79</t>
        </is>
      </c>
    </row>
    <row r="32">
      <c r="B32" s="7" t="inlineStr">
        <is>
          <t>Red band</t>
        </is>
      </c>
      <c r="C32" s="8">
        <f>COUNTIF(Stocks!$J$2:$J$2139,"red")</f>
        <v/>
      </c>
      <c r="D32" s="2" t="inlineStr">
        <is>
          <t>RS 1-59</t>
        </is>
      </c>
    </row>
    <row r="33">
      <c r="B33" s="7" t="inlineStr">
        <is>
          <t>Median RS rating</t>
        </is>
      </c>
      <c r="C33" s="12">
        <f>MEDIAN(Stocks!$I$2:$I$2139)</f>
        <v/>
      </c>
      <c r="D33" s="2" t="inlineStr">
        <is>
          <t>Percentile rank against the loaded population</t>
        </is>
      </c>
    </row>
    <row r="34"/>
    <row r="35">
      <c r="B35" s="5" t="inlineStr">
        <is>
          <t>Market breadth (latest)</t>
        </is>
      </c>
      <c r="C35" s="6" t="n"/>
      <c r="D35" s="6" t="n"/>
    </row>
    <row r="36">
      <c r="B36" s="7" t="inlineStr">
        <is>
          <t>Reading date</t>
        </is>
      </c>
      <c r="C36" s="13">
        <f>INDEX('Market Breadth'!$A$2:$A$501,COUNTA('Market Breadth'!$A$2:$A$501))</f>
        <v/>
      </c>
      <c r="D36" s="2" t="inlineStr"/>
    </row>
    <row r="37">
      <c r="B37" s="7" t="inlineStr">
        <is>
          <t>% above own 200DMA</t>
        </is>
      </c>
      <c r="C37" s="14">
        <f>INDEX('Market Breadth'!$B$2:$B$501,COUNTA('Market Breadth'!$A$2:$A$501))</f>
        <v/>
      </c>
      <c r="D37" s="2" t="inlineStr"/>
    </row>
    <row r="38">
      <c r="B38" s="7" t="inlineStr">
        <is>
          <t>vs its 200d average</t>
        </is>
      </c>
      <c r="C38" s="14">
        <f>INDEX('Market Breadth'!$E$2:$E$501,COUNTA('Market Breadth'!$A$2:$A$501))</f>
        <v/>
      </c>
      <c r="D38" s="2" t="inlineStr">
        <is>
          <t>Breadth above its own long average = broad participation</t>
        </is>
      </c>
    </row>
    <row r="39">
      <c r="B39" s="7" t="inlineStr">
        <is>
          <t>New highs</t>
        </is>
      </c>
      <c r="C39" s="8">
        <f>INDEX('Market Breadth'!$F$2:$F$501,COUNTA('Market Breadth'!$A$2:$A$501))</f>
        <v/>
      </c>
      <c r="D39" s="2" t="inlineStr"/>
    </row>
    <row r="40">
      <c r="B40" s="7" t="inlineStr">
        <is>
          <t>New lows</t>
        </is>
      </c>
      <c r="C40" s="8">
        <f>INDEX('Market Breadth'!$G$2:$G$501,COUNTA('Market Breadth'!$A$2:$A$501))</f>
        <v/>
      </c>
      <c r="D40" s="2" t="inlineStr"/>
    </row>
    <row r="41"/>
    <row r="42">
      <c r="B42" s="5" t="inlineStr">
        <is>
          <t>Industry indices</t>
        </is>
      </c>
      <c r="C42" s="6" t="n"/>
      <c r="D42" s="6" t="n"/>
    </row>
    <row r="43">
      <c r="B43" s="7" t="inlineStr">
        <is>
          <t>Industries indexed</t>
        </is>
      </c>
      <c r="C43" s="8">
        <f>COUNTA(Sectoral!$A$2:$A$121)</f>
        <v/>
      </c>
      <c r="D43" s="2" t="inlineStr">
        <is>
          <t>Industry Name granularity; 3-constituent minimum</t>
        </is>
      </c>
    </row>
    <row r="44">
      <c r="B44" s="7" t="inlineStr">
        <is>
          <t>In golden-cross state</t>
        </is>
      </c>
      <c r="C44" s="8">
        <f>COUNTIF(Sectoral!$M$2:$M$121,"Yes")</f>
        <v/>
      </c>
      <c r="D44" s="2" t="inlineStr"/>
    </row>
    <row r="45">
      <c r="B45" s="7" t="inlineStr">
        <is>
          <t>Qualifying on Sectoral Breakout</t>
        </is>
      </c>
      <c r="C45" s="8">
        <f>COUNT('Sectoral Breakout'!$A$2:$A$1000)</f>
        <v/>
      </c>
      <c r="D45" s="2" t="inlineStr">
        <is>
          <t>Usually zero - index crossovers are rare and age out fast</t>
        </is>
      </c>
    </row>
    <row r="46"/>
  </sheetData>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AJ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6" customWidth="1" min="3" max="3"/>
    <col width="20" customWidth="1" min="4" max="4"/>
    <col width="14" customWidth="1" min="5" max="5"/>
    <col width="12" customWidth="1" min="6" max="6"/>
    <col width="11" customWidth="1" min="7" max="7"/>
    <col width="8" customWidth="1" min="8" max="8"/>
    <col width="8" customWidth="1" min="9" max="9"/>
    <col width="8" customWidth="1" min="10" max="10"/>
    <col width="8" customWidth="1" min="11" max="11"/>
    <col width="8" customWidth="1" min="12" max="12"/>
    <col width="11" customWidth="1" min="13" max="13"/>
    <col width="11" customWidth="1" min="14" max="14"/>
    <col width="11" customWidth="1" min="15" max="15"/>
    <col width="11" customWidth="1" min="16" max="16"/>
    <col width="11" customWidth="1" min="17" max="17"/>
    <col width="12" customWidth="1" min="18" max="18"/>
    <col width="11" customWidth="1" min="19" max="19"/>
    <col width="11" customWidth="1" min="20" max="20"/>
    <col width="10" customWidth="1" min="21" max="21"/>
    <col width="10" customWidth="1" min="22" max="22"/>
    <col width="10" customWidth="1" min="23" max="23"/>
    <col width="10" customWidth="1" min="24" max="24"/>
    <col width="10" customWidth="1" min="25" max="25"/>
    <col width="11"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9" customWidth="1" min="34" max="34"/>
    <col width="10" customWidth="1" min="35" max="35"/>
    <col width="9" customWidth="1" min="36" max="36"/>
  </cols>
  <sheetData>
    <row r="1" ht="30" customHeight="1">
      <c r="A1" s="15" t="inlineStr">
        <is>
          <t>Symbol</t>
        </is>
      </c>
      <c r="B1" s="15" t="inlineStr">
        <is>
          <t>Company</t>
        </is>
      </c>
      <c r="C1" s="15" t="inlineStr">
        <is>
          <t>Industry</t>
        </is>
      </c>
      <c r="D1" s="15" t="inlineStr">
        <is>
          <t>Sector Group</t>
        </is>
      </c>
      <c r="E1" s="15" t="inlineStr">
        <is>
          <t>ISIN</t>
        </is>
      </c>
      <c r="F1" s="15" t="inlineStr">
        <is>
          <t>MCap (Rs Cr)</t>
        </is>
      </c>
      <c r="G1" s="15" t="inlineStr">
        <is>
          <t>CMP (Rs)</t>
        </is>
      </c>
      <c r="H1" s="15" t="inlineStr">
        <is>
          <t>Chg %</t>
        </is>
      </c>
      <c r="I1" s="15" t="inlineStr">
        <is>
          <t>RS Rating</t>
        </is>
      </c>
      <c r="J1" s="15" t="inlineStr">
        <is>
          <t>RS Band</t>
        </is>
      </c>
      <c r="K1" s="15" t="inlineStr">
        <is>
          <t>RS Days</t>
        </is>
      </c>
      <c r="L1" s="15" t="inlineStr">
        <is>
          <t>RSI (14)</t>
        </is>
      </c>
      <c r="M1" s="15" t="inlineStr">
        <is>
          <t>8 DMA</t>
        </is>
      </c>
      <c r="N1" s="15" t="inlineStr">
        <is>
          <t>50 DMA</t>
        </is>
      </c>
      <c r="O1" s="15" t="inlineStr">
        <is>
          <t>200 DMA</t>
        </is>
      </c>
      <c r="P1" s="15" t="inlineStr">
        <is>
          <t>52w High</t>
        </is>
      </c>
      <c r="Q1" s="15" t="inlineStr">
        <is>
          <t>52w Low</t>
        </is>
      </c>
      <c r="R1" s="15" t="inlineStr">
        <is>
          <t>% from 52w High</t>
        </is>
      </c>
      <c r="S1" s="15" t="inlineStr">
        <is>
          <t>Vol vs 30d Avg</t>
        </is>
      </c>
      <c r="T1" s="15" t="inlineStr">
        <is>
          <t>200DMA Slope %</t>
        </is>
      </c>
      <c r="U1" s="15" t="inlineStr">
        <is>
          <t>G2: 200DMA Rising</t>
        </is>
      </c>
      <c r="V1" s="15" t="inlineStr">
        <is>
          <t>G1b: Px &gt; 50DMA</t>
        </is>
      </c>
      <c r="W1" s="15" t="inlineStr">
        <is>
          <t>G5: Px &gt; 8DMA</t>
        </is>
      </c>
      <c r="X1" s="15" t="inlineStr">
        <is>
          <t>G1a: 50 &gt; 200DMA</t>
        </is>
      </c>
      <c r="Y1" s="15" t="inlineStr">
        <is>
          <t>G4: Freshness (d)</t>
        </is>
      </c>
      <c r="Z1" s="15" t="inlineStr">
        <is>
          <t>G3: Separation %</t>
        </is>
      </c>
      <c r="AA1" s="15" t="inlineStr">
        <is>
          <t>Fund Score</t>
        </is>
      </c>
      <c r="AB1" s="15" t="inlineStr">
        <is>
          <t>Fund Tier</t>
        </is>
      </c>
      <c r="AC1" s="15" t="inlineStr">
        <is>
          <t>Fin. Exempt</t>
        </is>
      </c>
      <c r="AD1" s="15" t="inlineStr">
        <is>
          <t>ROE 3y %</t>
        </is>
      </c>
      <c r="AE1" s="15" t="inlineStr">
        <is>
          <t>ROCE 3y %</t>
        </is>
      </c>
      <c r="AF1" s="15" t="inlineStr">
        <is>
          <t>EPS Gr 3y %</t>
        </is>
      </c>
      <c r="AG1" s="15" t="inlineStr">
        <is>
          <t>Sales Gr 3y %</t>
        </is>
      </c>
      <c r="AH1" s="15" t="inlineStr">
        <is>
          <t>D/E</t>
        </is>
      </c>
      <c r="AI1" s="15" t="inlineStr">
        <is>
          <t>Asset Turns</t>
        </is>
      </c>
      <c r="AJ1" s="15" t="inlineStr">
        <is>
          <t>CWIP %</t>
        </is>
      </c>
    </row>
    <row r="2">
      <c r="A2" s="16" t="inlineStr">
        <is>
          <t>RELIANCE</t>
        </is>
      </c>
      <c r="B2" s="16" t="inlineStr">
        <is>
          <t>Reliance Industries Ltd.</t>
        </is>
      </c>
      <c r="C2" s="16" t="inlineStr">
        <is>
          <t>Refineries/Petro-Products</t>
        </is>
      </c>
      <c r="D2" s="16" t="inlineStr">
        <is>
          <t>Oil &amp; Gas</t>
        </is>
      </c>
      <c r="E2" s="16" t="inlineStr">
        <is>
          <t>INE002A01018</t>
        </is>
      </c>
      <c r="F2" s="17" t="n">
        <v>1789001.62</v>
      </c>
      <c r="G2" s="18" t="n">
        <v>1322</v>
      </c>
      <c r="H2" s="19" t="n">
        <v>0.015</v>
      </c>
      <c r="I2" s="20" t="n">
        <v>34</v>
      </c>
      <c r="J2" s="16" t="inlineStr">
        <is>
          <t>red</t>
        </is>
      </c>
      <c r="K2" s="20" t="n">
        <v>109</v>
      </c>
      <c r="L2" s="18" t="n">
        <v>51.98</v>
      </c>
      <c r="M2" s="18" t="n">
        <v>1298.85</v>
      </c>
      <c r="N2" s="18" t="n">
        <v>1303.11</v>
      </c>
      <c r="O2" s="18" t="n">
        <v>1384.92</v>
      </c>
      <c r="P2" s="18" t="n">
        <v>1584.97</v>
      </c>
      <c r="Q2" s="18" t="n">
        <v>1258.8</v>
      </c>
      <c r="R2" s="21">
        <f>IF(OR(G2="",P2=""),"",G2/P2-1)</f>
        <v/>
      </c>
      <c r="S2" s="19" t="n">
        <v>1.1847</v>
      </c>
      <c r="T2" s="22" t="n">
        <v>-0.0124</v>
      </c>
      <c r="U2" s="16" t="inlineStr">
        <is>
          <t>No</t>
        </is>
      </c>
      <c r="V2" s="16" t="inlineStr">
        <is>
          <t>Yes</t>
        </is>
      </c>
      <c r="W2" s="16" t="inlineStr">
        <is>
          <t>Yes</t>
        </is>
      </c>
      <c r="X2" s="16" t="inlineStr">
        <is>
          <t>No</t>
        </is>
      </c>
      <c r="Y2" s="20" t="n">
        <v>126</v>
      </c>
      <c r="Z2" s="19" t="n">
        <v>-0.0591</v>
      </c>
      <c r="AA2" s="18" t="n">
        <v>35.53</v>
      </c>
      <c r="AB2" s="16" t="inlineStr">
        <is>
          <t>Weak</t>
        </is>
      </c>
      <c r="AC2" s="16" t="inlineStr">
        <is>
          <t>No</t>
        </is>
      </c>
      <c r="AD2" s="19" t="n">
        <v>0.08650000000000001</v>
      </c>
      <c r="AE2" s="19" t="n">
        <v>0.1098</v>
      </c>
      <c r="AF2" s="19" t="n">
        <v>0.0679</v>
      </c>
      <c r="AG2" s="19" t="n">
        <v>0.0643</v>
      </c>
      <c r="AH2" s="23" t="n">
        <v>0.44</v>
      </c>
      <c r="AI2" s="23" t="n">
        <v>1.1</v>
      </c>
      <c r="AJ2" s="19" t="n">
        <v>0.2159</v>
      </c>
    </row>
    <row r="3">
      <c r="A3" s="16" t="inlineStr">
        <is>
          <t>BHARTIARTL</t>
        </is>
      </c>
      <c r="B3" s="16" t="inlineStr">
        <is>
          <t>Bharti Airtel Ltd.</t>
        </is>
      </c>
      <c r="C3" s="16" t="inlineStr">
        <is>
          <t>Telecom Services</t>
        </is>
      </c>
      <c r="D3" s="16" t="inlineStr">
        <is>
          <t>Telecom Services</t>
        </is>
      </c>
      <c r="E3" s="16" t="inlineStr">
        <is>
          <t>INE397D01024</t>
        </is>
      </c>
      <c r="F3" s="17" t="n">
        <v>1121215.04</v>
      </c>
      <c r="G3" s="18" t="n">
        <v>1840</v>
      </c>
      <c r="H3" s="19" t="n">
        <v>-0.0155</v>
      </c>
      <c r="I3" s="20" t="n">
        <v>36</v>
      </c>
      <c r="J3" s="16" t="inlineStr">
        <is>
          <t>red</t>
        </is>
      </c>
      <c r="K3" s="20" t="n">
        <v>105</v>
      </c>
      <c r="L3" s="18" t="n">
        <v>31.66</v>
      </c>
      <c r="M3" s="18" t="n">
        <v>1865.46</v>
      </c>
      <c r="N3" s="18" t="n">
        <v>1910.19</v>
      </c>
      <c r="O3" s="18" t="n">
        <v>1913.97</v>
      </c>
      <c r="P3" s="18" t="n">
        <v>2135.82</v>
      </c>
      <c r="Q3" s="18" t="n">
        <v>1734.97</v>
      </c>
      <c r="R3" s="21">
        <f>IF(OR(G3="",P3=""),"",G3/P3-1)</f>
        <v/>
      </c>
      <c r="S3" s="19" t="n">
        <v>0.5473</v>
      </c>
      <c r="T3" s="22" t="n">
        <v>-0.0071</v>
      </c>
      <c r="U3" s="16" t="inlineStr">
        <is>
          <t>No</t>
        </is>
      </c>
      <c r="V3" s="16" t="inlineStr">
        <is>
          <t>No</t>
        </is>
      </c>
      <c r="W3" s="16" t="inlineStr">
        <is>
          <t>No</t>
        </is>
      </c>
      <c r="X3" s="16" t="inlineStr">
        <is>
          <t>No</t>
        </is>
      </c>
      <c r="Y3" s="20" t="n">
        <v>120</v>
      </c>
      <c r="Z3" s="19" t="n">
        <v>-0.002</v>
      </c>
      <c r="AA3" s="18" t="n">
        <v>50.48</v>
      </c>
      <c r="AB3" s="16" t="inlineStr">
        <is>
          <t>Average</t>
        </is>
      </c>
      <c r="AC3" s="16" t="inlineStr">
        <is>
          <t>No</t>
        </is>
      </c>
      <c r="AD3" s="19" t="n">
        <v>0.1884</v>
      </c>
      <c r="AE3" s="19" t="n">
        <v>0.1501</v>
      </c>
      <c r="AF3" s="19" t="n">
        <v>1.0161</v>
      </c>
      <c r="AG3" s="19" t="n">
        <v>0.1503</v>
      </c>
      <c r="AH3" s="23" t="n">
        <v>1.31</v>
      </c>
      <c r="AI3" s="23" t="n">
        <v>0.88</v>
      </c>
      <c r="AJ3" s="19" t="n">
        <v>0.059</v>
      </c>
    </row>
    <row r="4">
      <c r="A4" s="16" t="inlineStr">
        <is>
          <t>HDFCBANK</t>
        </is>
      </c>
      <c r="B4" s="16" t="inlineStr">
        <is>
          <t>HDFC Bank Ltd.</t>
        </is>
      </c>
      <c r="C4" s="16" t="inlineStr">
        <is>
          <t>Banks</t>
        </is>
      </c>
      <c r="D4" s="16" t="inlineStr">
        <is>
          <t>Banking and Finance</t>
        </is>
      </c>
      <c r="E4" s="16" t="inlineStr">
        <is>
          <t>INE040A01034</t>
        </is>
      </c>
      <c r="F4" s="17" t="n">
        <v>1097643.69</v>
      </c>
      <c r="G4" s="18" t="n">
        <v>712.1</v>
      </c>
      <c r="H4" s="19" t="n">
        <v>0.0077</v>
      </c>
      <c r="I4" s="20" t="n">
        <v>14</v>
      </c>
      <c r="J4" s="16" t="inlineStr">
        <is>
          <t>red</t>
        </is>
      </c>
      <c r="K4" s="20" t="n">
        <v>138</v>
      </c>
      <c r="L4" s="18" t="n">
        <v>39.68</v>
      </c>
      <c r="M4" s="18" t="n">
        <v>712.37</v>
      </c>
      <c r="N4" s="18" t="n">
        <v>755.92</v>
      </c>
      <c r="O4" s="18" t="n">
        <v>828.45</v>
      </c>
      <c r="P4" s="18" t="n">
        <v>993.08</v>
      </c>
      <c r="Q4" s="18" t="n">
        <v>700.8</v>
      </c>
      <c r="R4" s="21">
        <f>IF(OR(G4="",P4=""),"",G4/P4-1)</f>
        <v/>
      </c>
      <c r="S4" s="19" t="n">
        <v>0.5108</v>
      </c>
      <c r="T4" s="22" t="n">
        <v>-0.0301</v>
      </c>
      <c r="U4" s="16" t="inlineStr">
        <is>
          <t>No</t>
        </is>
      </c>
      <c r="V4" s="16" t="inlineStr">
        <is>
          <t>No</t>
        </is>
      </c>
      <c r="W4" s="16" t="inlineStr">
        <is>
          <t>No</t>
        </is>
      </c>
      <c r="X4" s="16" t="inlineStr">
        <is>
          <t>No</t>
        </is>
      </c>
      <c r="Y4" s="20" t="n">
        <v>151</v>
      </c>
      <c r="Z4" s="19" t="n">
        <v>-0.08749999999999999</v>
      </c>
      <c r="AA4" s="18" t="n">
        <v>33.72</v>
      </c>
      <c r="AB4" s="16" t="inlineStr">
        <is>
          <t>Poor</t>
        </is>
      </c>
      <c r="AC4" s="16" t="inlineStr">
        <is>
          <t>Yes</t>
        </is>
      </c>
      <c r="AD4" s="19" t="n">
        <v>0.08789999999999999</v>
      </c>
      <c r="AE4" s="19" t="n"/>
      <c r="AF4" s="19" t="n">
        <v>-0.1554</v>
      </c>
      <c r="AG4" s="19" t="n">
        <v>0.1748</v>
      </c>
      <c r="AH4" s="23" t="n">
        <v>0.8100000000000001</v>
      </c>
      <c r="AI4" s="23" t="n">
        <v>5.67</v>
      </c>
      <c r="AJ4" s="19" t="n">
        <v>0</v>
      </c>
    </row>
    <row r="5">
      <c r="A5" s="16" t="inlineStr">
        <is>
          <t>ICICIBANK</t>
        </is>
      </c>
      <c r="B5" s="16" t="inlineStr">
        <is>
          <t>ICICI Bank Ltd.</t>
        </is>
      </c>
      <c r="C5" s="16" t="inlineStr">
        <is>
          <t>Banks</t>
        </is>
      </c>
      <c r="D5" s="16" t="inlineStr">
        <is>
          <t>Banking and Finance</t>
        </is>
      </c>
      <c r="E5" s="16" t="inlineStr">
        <is>
          <t>INE090A01021</t>
        </is>
      </c>
      <c r="F5" s="17" t="n">
        <v>1021462.56</v>
      </c>
      <c r="G5" s="18" t="n">
        <v>1423.2</v>
      </c>
      <c r="H5" s="19" t="n">
        <v>-0.0048</v>
      </c>
      <c r="I5" s="20" t="n">
        <v>52</v>
      </c>
      <c r="J5" s="16" t="inlineStr">
        <is>
          <t>red</t>
        </is>
      </c>
      <c r="K5" s="20" t="n">
        <v>23</v>
      </c>
      <c r="L5" s="18" t="n">
        <v>52.57</v>
      </c>
      <c r="M5" s="18" t="n">
        <v>1433.44</v>
      </c>
      <c r="N5" s="18" t="n">
        <v>1417.98</v>
      </c>
      <c r="O5" s="18" t="n">
        <v>1345.81</v>
      </c>
      <c r="P5" s="18" t="n">
        <v>1460</v>
      </c>
      <c r="Q5" s="18" t="n">
        <v>1195.82</v>
      </c>
      <c r="R5" s="21">
        <f>IF(OR(G5="",P5=""),"",G5/P5-1)</f>
        <v/>
      </c>
      <c r="S5" s="19" t="n">
        <v>0.6704000000000001</v>
      </c>
      <c r="T5" s="22" t="n">
        <v>0.005500000000000001</v>
      </c>
      <c r="U5" s="16" t="inlineStr">
        <is>
          <t>Yes</t>
        </is>
      </c>
      <c r="V5" s="16" t="inlineStr">
        <is>
          <t>Yes</t>
        </is>
      </c>
      <c r="W5" s="16" t="inlineStr">
        <is>
          <t>No</t>
        </is>
      </c>
      <c r="X5" s="16" t="inlineStr">
        <is>
          <t>Yes</t>
        </is>
      </c>
      <c r="Y5" s="20" t="n">
        <v>29</v>
      </c>
      <c r="Z5" s="19" t="n">
        <v>0.0536</v>
      </c>
      <c r="AA5" s="18" t="n">
        <v>61.06</v>
      </c>
      <c r="AB5" s="16" t="inlineStr">
        <is>
          <t>Good</t>
        </is>
      </c>
      <c r="AC5" s="16" t="inlineStr">
        <is>
          <t>Yes</t>
        </is>
      </c>
      <c r="AD5" s="19" t="n">
        <v>0.1616</v>
      </c>
      <c r="AE5" s="19" t="n"/>
      <c r="AF5" s="19" t="n">
        <v>0.1648</v>
      </c>
      <c r="AG5" s="19" t="n">
        <v>0.1834</v>
      </c>
      <c r="AH5" s="23" t="n">
        <v>0.57</v>
      </c>
      <c r="AI5" s="23" t="n">
        <v>12.28</v>
      </c>
      <c r="AJ5" s="19" t="n">
        <v>0.0426</v>
      </c>
    </row>
    <row r="6">
      <c r="A6" s="16" t="inlineStr">
        <is>
          <t>SBIN</t>
        </is>
      </c>
      <c r="B6" s="16" t="inlineStr">
        <is>
          <t>State Bank of India</t>
        </is>
      </c>
      <c r="C6" s="16" t="inlineStr">
        <is>
          <t>Banks</t>
        </is>
      </c>
      <c r="D6" s="16" t="inlineStr">
        <is>
          <t>Banking and Finance</t>
        </is>
      </c>
      <c r="E6" s="16" t="inlineStr">
        <is>
          <t>INE062A01020</t>
        </is>
      </c>
      <c r="F6" s="17" t="n">
        <v>937923.05</v>
      </c>
      <c r="G6" s="18" t="n">
        <v>1016.1</v>
      </c>
      <c r="H6" s="19" t="n">
        <v>-0.0071</v>
      </c>
      <c r="I6" s="20" t="n">
        <v>49</v>
      </c>
      <c r="J6" s="16" t="inlineStr">
        <is>
          <t>red</t>
        </is>
      </c>
      <c r="K6" s="20" t="n">
        <v>15</v>
      </c>
      <c r="L6" s="18" t="n">
        <v>29.63</v>
      </c>
      <c r="M6" s="18" t="n">
        <v>1037.16</v>
      </c>
      <c r="N6" s="18" t="n">
        <v>1042.14</v>
      </c>
      <c r="O6" s="18" t="n">
        <v>1029.42</v>
      </c>
      <c r="P6" s="18" t="n">
        <v>1206.06</v>
      </c>
      <c r="Q6" s="18" t="n">
        <v>792.3200000000001</v>
      </c>
      <c r="R6" s="21">
        <f>IF(OR(G6="",P6=""),"",G6/P6-1)</f>
        <v/>
      </c>
      <c r="S6" s="19" t="n">
        <v>0.7298</v>
      </c>
      <c r="T6" s="22" t="n">
        <v>0.0119</v>
      </c>
      <c r="U6" s="16" t="inlineStr">
        <is>
          <t>Yes</t>
        </is>
      </c>
      <c r="V6" s="16" t="inlineStr">
        <is>
          <t>No</t>
        </is>
      </c>
      <c r="W6" s="16" t="inlineStr">
        <is>
          <t>No</t>
        </is>
      </c>
      <c r="X6" s="16" t="inlineStr">
        <is>
          <t>Yes</t>
        </is>
      </c>
      <c r="Y6" s="20" t="n">
        <v>31</v>
      </c>
      <c r="Z6" s="19" t="n">
        <v>0.0124</v>
      </c>
      <c r="AA6" s="18" t="n">
        <v>55.3</v>
      </c>
      <c r="AB6" s="16" t="inlineStr">
        <is>
          <t>Good</t>
        </is>
      </c>
      <c r="AC6" s="16" t="inlineStr">
        <is>
          <t>Yes</t>
        </is>
      </c>
      <c r="AD6" s="19" t="n">
        <v>0.1536</v>
      </c>
      <c r="AE6" s="19" t="n"/>
      <c r="AF6" s="19" t="n">
        <v>0.1369</v>
      </c>
      <c r="AG6" s="19" t="n">
        <v>0.1231</v>
      </c>
      <c r="AH6" s="23" t="n">
        <v>1.22</v>
      </c>
      <c r="AI6" s="23" t="n">
        <v>6.68</v>
      </c>
      <c r="AJ6" s="19" t="n">
        <v>0.0123</v>
      </c>
    </row>
    <row r="7">
      <c r="A7" s="16" t="inlineStr">
        <is>
          <t>TCS</t>
        </is>
      </c>
      <c r="B7" s="16" t="inlineStr">
        <is>
          <t>Tata Consultancy Services Ltd.</t>
        </is>
      </c>
      <c r="C7" s="16" t="inlineStr">
        <is>
          <t>IT Consulting &amp; Software</t>
        </is>
      </c>
      <c r="D7" s="16" t="inlineStr">
        <is>
          <t>Software &amp; Services</t>
        </is>
      </c>
      <c r="E7" s="16" t="inlineStr">
        <is>
          <t>INE467B01029</t>
        </is>
      </c>
      <c r="F7" s="17" t="n">
        <v>833607.36</v>
      </c>
      <c r="G7" s="18" t="n">
        <v>2304</v>
      </c>
      <c r="H7" s="19" t="n">
        <v>-0.0069</v>
      </c>
      <c r="I7" s="20" t="n">
        <v>24</v>
      </c>
      <c r="J7" s="16" t="inlineStr">
        <is>
          <t>red</t>
        </is>
      </c>
      <c r="K7" s="20" t="n">
        <v>148</v>
      </c>
      <c r="L7" s="18" t="n">
        <v>48.79</v>
      </c>
      <c r="M7" s="18" t="n">
        <v>2325.1</v>
      </c>
      <c r="N7" s="18" t="n">
        <v>2268.33</v>
      </c>
      <c r="O7" s="18" t="n">
        <v>2550.79</v>
      </c>
      <c r="P7" s="18" t="n">
        <v>3204.28</v>
      </c>
      <c r="Q7" s="18" t="n">
        <v>1971.79</v>
      </c>
      <c r="R7" s="21">
        <f>IF(OR(G7="",P7=""),"",G7/P7-1)</f>
        <v/>
      </c>
      <c r="S7" s="19" t="n">
        <v>0.8005</v>
      </c>
      <c r="T7" s="22" t="n">
        <v>-0.0237</v>
      </c>
      <c r="U7" s="16" t="inlineStr">
        <is>
          <t>No</t>
        </is>
      </c>
      <c r="V7" s="16" t="inlineStr">
        <is>
          <t>Yes</t>
        </is>
      </c>
      <c r="W7" s="16" t="inlineStr">
        <is>
          <t>No</t>
        </is>
      </c>
      <c r="X7" s="16" t="inlineStr">
        <is>
          <t>No</t>
        </is>
      </c>
      <c r="Y7" s="20" t="n">
        <v>140</v>
      </c>
      <c r="Z7" s="19" t="n">
        <v>-0.1107</v>
      </c>
      <c r="AA7" s="18" t="n">
        <v>69.51000000000001</v>
      </c>
      <c r="AB7" s="16" t="inlineStr">
        <is>
          <t>High</t>
        </is>
      </c>
      <c r="AC7" s="16" t="inlineStr">
        <is>
          <t>No</t>
        </is>
      </c>
      <c r="AD7" s="19" t="n">
        <v>0.4929</v>
      </c>
      <c r="AE7" s="19" t="n">
        <v>0.6117</v>
      </c>
      <c r="AF7" s="19" t="n">
        <v>0.0575</v>
      </c>
      <c r="AG7" s="19" t="n">
        <v>0.0581</v>
      </c>
      <c r="AH7" s="23" t="n">
        <v>0.11</v>
      </c>
      <c r="AI7" s="23" t="n">
        <v>10.64</v>
      </c>
      <c r="AJ7" s="19" t="n">
        <v>0.1212</v>
      </c>
    </row>
    <row r="8">
      <c r="A8" s="16" t="inlineStr">
        <is>
          <t>BAJFINANCE</t>
        </is>
      </c>
      <c r="B8" s="16" t="inlineStr">
        <is>
          <t>Bajaj Finance Ltd.</t>
        </is>
      </c>
      <c r="C8" s="16" t="inlineStr">
        <is>
          <t>Finance (including NBFCs)</t>
        </is>
      </c>
      <c r="D8" s="16" t="inlineStr">
        <is>
          <t>Banking and Finance</t>
        </is>
      </c>
      <c r="E8" s="16" t="inlineStr">
        <is>
          <t>INE296A01032</t>
        </is>
      </c>
      <c r="F8" s="17" t="n">
        <v>660262.45</v>
      </c>
      <c r="G8" s="18" t="n">
        <v>1060.5</v>
      </c>
      <c r="H8" s="19" t="n">
        <v>0.011</v>
      </c>
      <c r="I8" s="20" t="n">
        <v>61</v>
      </c>
      <c r="J8" s="16" t="inlineStr">
        <is>
          <t>amber</t>
        </is>
      </c>
      <c r="K8" s="20" t="n">
        <v>30</v>
      </c>
      <c r="L8" s="18" t="n">
        <v>37.61</v>
      </c>
      <c r="M8" s="18" t="n">
        <v>1065.53</v>
      </c>
      <c r="N8" s="18" t="n">
        <v>1063.63</v>
      </c>
      <c r="O8" s="18" t="n">
        <v>972.33</v>
      </c>
      <c r="P8" s="18" t="n">
        <v>1158.8</v>
      </c>
      <c r="Q8" s="18" t="n">
        <v>796.65</v>
      </c>
      <c r="R8" s="21">
        <f>IF(OR(G8="",P8=""),"",G8/P8-1)</f>
        <v/>
      </c>
      <c r="S8" s="19" t="n">
        <v>0.8248000000000001</v>
      </c>
      <c r="T8" s="22" t="n">
        <v>0.004</v>
      </c>
      <c r="U8" s="16" t="inlineStr">
        <is>
          <t>Yes</t>
        </is>
      </c>
      <c r="V8" s="16" t="inlineStr">
        <is>
          <t>No</t>
        </is>
      </c>
      <c r="W8" s="16" t="inlineStr">
        <is>
          <t>No</t>
        </is>
      </c>
      <c r="X8" s="16" t="inlineStr">
        <is>
          <t>Yes</t>
        </is>
      </c>
      <c r="Y8" s="20" t="n">
        <v>29</v>
      </c>
      <c r="Z8" s="19" t="n">
        <v>0.09390000000000001</v>
      </c>
      <c r="AA8" s="18" t="n">
        <v>65.38</v>
      </c>
      <c r="AB8" s="16" t="inlineStr">
        <is>
          <t>High</t>
        </is>
      </c>
      <c r="AC8" s="16" t="inlineStr">
        <is>
          <t>Yes</t>
        </is>
      </c>
      <c r="AD8" s="19" t="n">
        <v>0.1758</v>
      </c>
      <c r="AE8" s="19" t="n"/>
      <c r="AF8" s="19" t="n">
        <v>0.1729</v>
      </c>
      <c r="AG8" s="19" t="n">
        <v>0.2262</v>
      </c>
      <c r="AH8" s="23" t="n">
        <v>3.1</v>
      </c>
      <c r="AI8" s="23" t="n">
        <v>16.97</v>
      </c>
      <c r="AJ8" s="19" t="n">
        <v>0.026</v>
      </c>
    </row>
    <row r="9">
      <c r="A9" s="16" t="inlineStr">
        <is>
          <t>LT</t>
        </is>
      </c>
      <c r="B9" s="16" t="inlineStr">
        <is>
          <t>Larsen &amp; Toubro Ltd.</t>
        </is>
      </c>
      <c r="C9" s="16" t="inlineStr">
        <is>
          <t>Construction &amp; Engineering</t>
        </is>
      </c>
      <c r="D9" s="16" t="inlineStr">
        <is>
          <t>Cement and Construction</t>
        </is>
      </c>
      <c r="E9" s="16" t="inlineStr">
        <is>
          <t>INE018A01030</t>
        </is>
      </c>
      <c r="F9" s="17" t="n">
        <v>557714.1</v>
      </c>
      <c r="G9" s="18" t="n">
        <v>3964.1</v>
      </c>
      <c r="H9" s="19" t="n">
        <v>-0.0027</v>
      </c>
      <c r="I9" s="20" t="n">
        <v>45</v>
      </c>
      <c r="J9" s="16" t="inlineStr">
        <is>
          <t>red</t>
        </is>
      </c>
      <c r="K9" s="20" t="n">
        <v>49</v>
      </c>
      <c r="L9" s="18" t="n">
        <v>31.05</v>
      </c>
      <c r="M9" s="18" t="n">
        <v>4007</v>
      </c>
      <c r="N9" s="18" t="n">
        <v>3980.16</v>
      </c>
      <c r="O9" s="18" t="n">
        <v>3960.47</v>
      </c>
      <c r="P9" s="18" t="n">
        <v>4375.36</v>
      </c>
      <c r="Q9" s="18" t="n">
        <v>3310.07</v>
      </c>
      <c r="R9" s="21">
        <f>IF(OR(G9="",P9=""),"",G9/P9-1)</f>
        <v/>
      </c>
      <c r="S9" s="19" t="n">
        <v>0.8961</v>
      </c>
      <c r="T9" s="22" t="n">
        <v>0.0032</v>
      </c>
      <c r="U9" s="16" t="inlineStr">
        <is>
          <t>Yes</t>
        </is>
      </c>
      <c r="V9" s="16" t="inlineStr">
        <is>
          <t>No</t>
        </is>
      </c>
      <c r="W9" s="16" t="inlineStr">
        <is>
          <t>No</t>
        </is>
      </c>
      <c r="X9" s="16" t="inlineStr">
        <is>
          <t>Yes</t>
        </is>
      </c>
      <c r="Y9" s="20" t="n">
        <v>70</v>
      </c>
      <c r="Z9" s="19" t="n">
        <v>0.005</v>
      </c>
      <c r="AA9" s="18" t="n">
        <v>49.23</v>
      </c>
      <c r="AB9" s="16" t="inlineStr">
        <is>
          <t>Average</t>
        </is>
      </c>
      <c r="AC9" s="16" t="inlineStr">
        <is>
          <t>No</t>
        </is>
      </c>
      <c r="AD9" s="19" t="n">
        <v>0.1508</v>
      </c>
      <c r="AE9" s="19" t="n">
        <v>0.1195</v>
      </c>
      <c r="AF9" s="19" t="n">
        <v>0.1649</v>
      </c>
      <c r="AG9" s="19" t="n">
        <v>0.1615</v>
      </c>
      <c r="AH9" s="23" t="n">
        <v>1.15</v>
      </c>
      <c r="AI9" s="23" t="n">
        <v>12.58</v>
      </c>
      <c r="AJ9" s="19" t="n">
        <v>0.1399</v>
      </c>
    </row>
    <row r="10">
      <c r="A10" s="16" t="inlineStr">
        <is>
          <t>LICI</t>
        </is>
      </c>
      <c r="B10" s="16" t="inlineStr">
        <is>
          <t>Life Insurance Corporation of India</t>
        </is>
      </c>
      <c r="C10" s="16" t="inlineStr">
        <is>
          <t>Life Insurance</t>
        </is>
      </c>
      <c r="D10" s="16" t="inlineStr">
        <is>
          <t>Banking and Finance</t>
        </is>
      </c>
      <c r="E10" s="16" t="inlineStr">
        <is>
          <t>INE0J1Y01017</t>
        </is>
      </c>
      <c r="F10" s="17" t="n">
        <v>525417.5600000001</v>
      </c>
      <c r="G10" s="18" t="n">
        <v>415.35</v>
      </c>
      <c r="H10" s="19" t="n">
        <v>-0.0037</v>
      </c>
      <c r="I10" s="20" t="n">
        <v>42</v>
      </c>
      <c r="J10" s="16" t="inlineStr">
        <is>
          <t>red</t>
        </is>
      </c>
      <c r="K10" s="20" t="n">
        <v>102</v>
      </c>
      <c r="L10" s="18" t="n">
        <v>54.71</v>
      </c>
      <c r="M10" s="18" t="n">
        <v>415.24</v>
      </c>
      <c r="N10" s="18" t="n">
        <v>421.03</v>
      </c>
      <c r="O10" s="18" t="n">
        <v>409.33</v>
      </c>
      <c r="P10" s="18" t="n">
        <v>451.49</v>
      </c>
      <c r="Q10" s="18" t="n">
        <v>354.51</v>
      </c>
      <c r="R10" s="21">
        <f>IF(OR(G10="",P10=""),"",G10/P10-1)</f>
        <v/>
      </c>
      <c r="S10" s="19" t="n">
        <v>0.3554</v>
      </c>
      <c r="T10" s="22" t="n">
        <v>-0.0067</v>
      </c>
      <c r="U10" s="16" t="inlineStr">
        <is>
          <t>No</t>
        </is>
      </c>
      <c r="V10" s="16" t="inlineStr">
        <is>
          <t>No</t>
        </is>
      </c>
      <c r="W10" s="16" t="inlineStr">
        <is>
          <t>Yes</t>
        </is>
      </c>
      <c r="X10" s="16" t="inlineStr">
        <is>
          <t>Yes</t>
        </is>
      </c>
      <c r="Y10" s="20" t="n">
        <v>33</v>
      </c>
      <c r="Z10" s="19" t="n">
        <v>0.0286</v>
      </c>
      <c r="AA10" s="18" t="n">
        <v>72.5</v>
      </c>
      <c r="AB10" s="16" t="inlineStr">
        <is>
          <t>High</t>
        </is>
      </c>
      <c r="AC10" s="16" t="inlineStr">
        <is>
          <t>Yes</t>
        </is>
      </c>
      <c r="AD10" s="19" t="n">
        <v>0.3999</v>
      </c>
      <c r="AE10" s="19" t="n">
        <v>0.4018</v>
      </c>
      <c r="AF10" s="19" t="n">
        <v>0.1688</v>
      </c>
      <c r="AG10" s="19" t="n">
        <v>0.0727</v>
      </c>
      <c r="AH10" s="23" t="n"/>
      <c r="AI10" s="23" t="n">
        <v>217.1</v>
      </c>
      <c r="AJ10" s="19" t="n">
        <v>0.09390000000000001</v>
      </c>
    </row>
    <row r="11">
      <c r="A11" s="16" t="inlineStr">
        <is>
          <t>HINDUNILVR</t>
        </is>
      </c>
      <c r="B11" s="16" t="inlineStr">
        <is>
          <t>Hindustan Unilever Ltd.</t>
        </is>
      </c>
      <c r="C11" s="16" t="inlineStr">
        <is>
          <t>Personal Products</t>
        </is>
      </c>
      <c r="D11" s="16" t="inlineStr">
        <is>
          <t>FMCG</t>
        </is>
      </c>
      <c r="E11" s="16" t="inlineStr">
        <is>
          <t>INE030A01027</t>
        </is>
      </c>
      <c r="F11" s="17" t="n">
        <v>463668.35</v>
      </c>
      <c r="G11" s="18" t="n">
        <v>1973.4</v>
      </c>
      <c r="H11" s="19" t="n">
        <v>0.0058</v>
      </c>
      <c r="I11" s="20" t="n">
        <v>15</v>
      </c>
      <c r="J11" s="16" t="inlineStr">
        <is>
          <t>red</t>
        </is>
      </c>
      <c r="K11" s="20" t="n">
        <v>110</v>
      </c>
      <c r="L11" s="18" t="n">
        <v>30.25</v>
      </c>
      <c r="M11" s="18" t="n">
        <v>1989.13</v>
      </c>
      <c r="N11" s="18" t="n">
        <v>2091.38</v>
      </c>
      <c r="O11" s="18" t="n">
        <v>2209.88</v>
      </c>
      <c r="P11" s="18" t="n">
        <v>2619.16</v>
      </c>
      <c r="Q11" s="18" t="n">
        <v>1962</v>
      </c>
      <c r="R11" s="21">
        <f>IF(OR(G11="",P11=""),"",G11/P11-1)</f>
        <v/>
      </c>
      <c r="S11" s="19" t="n">
        <v>1.3475</v>
      </c>
      <c r="T11" s="22" t="n">
        <v>-0.0179</v>
      </c>
      <c r="U11" s="16" t="inlineStr">
        <is>
          <t>No</t>
        </is>
      </c>
      <c r="V11" s="16" t="inlineStr">
        <is>
          <t>No</t>
        </is>
      </c>
      <c r="W11" s="16" t="inlineStr">
        <is>
          <t>No</t>
        </is>
      </c>
      <c r="X11" s="16" t="inlineStr">
        <is>
          <t>No</t>
        </is>
      </c>
      <c r="Y11" s="20" t="n">
        <v>171</v>
      </c>
      <c r="Z11" s="19" t="n">
        <v>-0.0536</v>
      </c>
      <c r="AA11" s="18" t="n">
        <v>68.45</v>
      </c>
      <c r="AB11" s="16" t="inlineStr">
        <is>
          <t>High</t>
        </is>
      </c>
      <c r="AC11" s="16" t="inlineStr">
        <is>
          <t>No</t>
        </is>
      </c>
      <c r="AD11" s="19" t="n">
        <v>0.2416</v>
      </c>
      <c r="AE11" s="19" t="n">
        <v>0.2813</v>
      </c>
      <c r="AF11" s="19" t="n">
        <v>0.1546</v>
      </c>
      <c r="AG11" s="19" t="n">
        <v>0.0233</v>
      </c>
      <c r="AH11" s="23" t="n">
        <v>0.03</v>
      </c>
      <c r="AI11" s="23" t="n">
        <v>6.99</v>
      </c>
      <c r="AJ11" s="19" t="n">
        <v>0.1026</v>
      </c>
    </row>
    <row r="12">
      <c r="A12" s="16" t="inlineStr">
        <is>
          <t>INFY</t>
        </is>
      </c>
      <c r="B12" s="16" t="inlineStr">
        <is>
          <t>Infosys Ltd.</t>
        </is>
      </c>
      <c r="C12" s="16" t="inlineStr">
        <is>
          <t>IT Consulting &amp; Software</t>
        </is>
      </c>
      <c r="D12" s="16" t="inlineStr">
        <is>
          <t>Software &amp; Services</t>
        </is>
      </c>
      <c r="E12" s="16" t="inlineStr">
        <is>
          <t>INE009A01021</t>
        </is>
      </c>
      <c r="F12" s="17" t="n">
        <v>458580.27</v>
      </c>
      <c r="G12" s="18" t="n">
        <v>1130</v>
      </c>
      <c r="H12" s="19" t="n">
        <v>-0.0003</v>
      </c>
      <c r="I12" s="20" t="n">
        <v>16</v>
      </c>
      <c r="J12" s="16" t="inlineStr">
        <is>
          <t>red</t>
        </is>
      </c>
      <c r="K12" s="20" t="n">
        <v>145</v>
      </c>
      <c r="L12" s="18" t="n">
        <v>47.48</v>
      </c>
      <c r="M12" s="18" t="n">
        <v>1133.11</v>
      </c>
      <c r="N12" s="18" t="n">
        <v>1110.2</v>
      </c>
      <c r="O12" s="18" t="n">
        <v>1286.44</v>
      </c>
      <c r="P12" s="18" t="n">
        <v>1654.01</v>
      </c>
      <c r="Q12" s="18" t="n">
        <v>985.3</v>
      </c>
      <c r="R12" s="21">
        <f>IF(OR(G12="",P12=""),"",G12/P12-1)</f>
        <v/>
      </c>
      <c r="S12" s="19" t="n">
        <v>0.5542</v>
      </c>
      <c r="T12" s="22" t="n">
        <v>-0.0247</v>
      </c>
      <c r="U12" s="16" t="inlineStr">
        <is>
          <t>No</t>
        </is>
      </c>
      <c r="V12" s="16" t="inlineStr">
        <is>
          <t>Yes</t>
        </is>
      </c>
      <c r="W12" s="16" t="inlineStr">
        <is>
          <t>No</t>
        </is>
      </c>
      <c r="X12" s="16" t="inlineStr">
        <is>
          <t>No</t>
        </is>
      </c>
      <c r="Y12" s="20" t="n">
        <v>126</v>
      </c>
      <c r="Z12" s="19" t="n">
        <v>-0.137</v>
      </c>
      <c r="AA12" s="18" t="n">
        <v>65.77</v>
      </c>
      <c r="AB12" s="16" t="inlineStr">
        <is>
          <t>High</t>
        </is>
      </c>
      <c r="AC12" s="16" t="inlineStr">
        <is>
          <t>No</t>
        </is>
      </c>
      <c r="AD12" s="19" t="n">
        <v>0.3067</v>
      </c>
      <c r="AE12" s="19" t="n">
        <v>0.3912</v>
      </c>
      <c r="AF12" s="19" t="n">
        <v>0.04099999999999999</v>
      </c>
      <c r="AG12" s="19" t="n">
        <v>0.0345</v>
      </c>
      <c r="AH12" s="23" t="n">
        <v>0.1</v>
      </c>
      <c r="AI12" s="23" t="n">
        <v>9.800000000000001</v>
      </c>
      <c r="AJ12" s="19" t="n">
        <v>0.035</v>
      </c>
    </row>
    <row r="13">
      <c r="A13" s="16" t="inlineStr">
        <is>
          <t>SUNPHARMA</t>
        </is>
      </c>
      <c r="B13" s="16" t="inlineStr">
        <is>
          <t>Sun Pharmaceutical Industries Ltd.</t>
        </is>
      </c>
      <c r="C13" s="16" t="inlineStr">
        <is>
          <t>Pharmaceuticals</t>
        </is>
      </c>
      <c r="D13" s="16" t="inlineStr">
        <is>
          <t>Pharmaceuticals &amp; Biotechnology</t>
        </is>
      </c>
      <c r="E13" s="16" t="inlineStr">
        <is>
          <t>INE044A01036</t>
        </is>
      </c>
      <c r="F13" s="17" t="n">
        <v>455633.72</v>
      </c>
      <c r="G13" s="18" t="n">
        <v>1899</v>
      </c>
      <c r="H13" s="19" t="n">
        <v>-0.0089</v>
      </c>
      <c r="I13" s="20" t="n">
        <v>54</v>
      </c>
      <c r="J13" s="16" t="inlineStr">
        <is>
          <t>red</t>
        </is>
      </c>
      <c r="K13" s="20" t="n">
        <v>4</v>
      </c>
      <c r="L13" s="18" t="n">
        <v>53.32</v>
      </c>
      <c r="M13" s="18" t="n">
        <v>1924.16</v>
      </c>
      <c r="N13" s="18" t="n">
        <v>1929.19</v>
      </c>
      <c r="O13" s="18" t="n">
        <v>1797.23</v>
      </c>
      <c r="P13" s="18" t="n">
        <v>2001.1</v>
      </c>
      <c r="Q13" s="18" t="n">
        <v>1566.69</v>
      </c>
      <c r="R13" s="21">
        <f>IF(OR(G13="",P13=""),"",G13/P13-1)</f>
        <v/>
      </c>
      <c r="S13" s="19" t="n">
        <v>0.3653</v>
      </c>
      <c r="T13" s="22" t="n">
        <v>0.0124</v>
      </c>
      <c r="U13" s="16" t="inlineStr">
        <is>
          <t>Yes</t>
        </is>
      </c>
      <c r="V13" s="16" t="inlineStr">
        <is>
          <t>No</t>
        </is>
      </c>
      <c r="W13" s="16" t="inlineStr">
        <is>
          <t>No</t>
        </is>
      </c>
      <c r="X13" s="16" t="inlineStr">
        <is>
          <t>Yes</t>
        </is>
      </c>
      <c r="Y13" s="20" t="n">
        <v>196</v>
      </c>
      <c r="Z13" s="19" t="n">
        <v>0.07339999999999999</v>
      </c>
      <c r="AA13" s="18" t="n">
        <v>60.49</v>
      </c>
      <c r="AB13" s="16" t="inlineStr">
        <is>
          <t>Good</t>
        </is>
      </c>
      <c r="AC13" s="16" t="inlineStr">
        <is>
          <t>No</t>
        </is>
      </c>
      <c r="AD13" s="19" t="n">
        <v>0.1464</v>
      </c>
      <c r="AE13" s="19" t="n">
        <v>0.1773</v>
      </c>
      <c r="AF13" s="19" t="n">
        <v>0.1071</v>
      </c>
      <c r="AG13" s="19" t="n">
        <v>0.104</v>
      </c>
      <c r="AH13" s="23" t="n">
        <v>0.06</v>
      </c>
      <c r="AI13" s="23" t="n">
        <v>4.61</v>
      </c>
      <c r="AJ13" s="19" t="n">
        <v>0.1205</v>
      </c>
    </row>
    <row r="14">
      <c r="A14" s="16" t="inlineStr">
        <is>
          <t>TITAN</t>
        </is>
      </c>
      <c r="B14" s="16" t="inlineStr">
        <is>
          <t>Titan Company Ltd.</t>
        </is>
      </c>
      <c r="C14" s="16" t="inlineStr">
        <is>
          <t>Gems &amp; Jewellery</t>
        </is>
      </c>
      <c r="D14" s="16" t="inlineStr">
        <is>
          <t>Textiles Apparels &amp; Accessories</t>
        </is>
      </c>
      <c r="E14" s="16" t="inlineStr">
        <is>
          <t>INE280A01028</t>
        </is>
      </c>
      <c r="F14" s="17" t="n">
        <v>445668.67</v>
      </c>
      <c r="G14" s="18" t="n">
        <v>5020</v>
      </c>
      <c r="H14" s="19" t="n">
        <v>-0.0014</v>
      </c>
      <c r="I14" s="20" t="n">
        <v>73</v>
      </c>
      <c r="J14" s="16" t="inlineStr">
        <is>
          <t>amber</t>
        </is>
      </c>
      <c r="K14" s="20" t="n">
        <v>61</v>
      </c>
      <c r="L14" s="18" t="n">
        <v>43.96</v>
      </c>
      <c r="M14" s="18" t="n">
        <v>5085.24</v>
      </c>
      <c r="N14" s="18" t="n">
        <v>4835.41</v>
      </c>
      <c r="O14" s="18" t="n">
        <v>4310.14</v>
      </c>
      <c r="P14" s="18" t="n">
        <v>5169.2</v>
      </c>
      <c r="Q14" s="18" t="n">
        <v>3316.42</v>
      </c>
      <c r="R14" s="21">
        <f>IF(OR(G14="",P14=""),"",G14/P14-1)</f>
        <v/>
      </c>
      <c r="S14" s="19" t="n">
        <v>0.3821</v>
      </c>
      <c r="T14" s="22" t="n">
        <v>0.0312</v>
      </c>
      <c r="U14" s="16" t="inlineStr">
        <is>
          <t>Yes</t>
        </is>
      </c>
      <c r="V14" s="16" t="inlineStr">
        <is>
          <t>Yes</t>
        </is>
      </c>
      <c r="W14" s="16" t="inlineStr">
        <is>
          <t>No</t>
        </is>
      </c>
      <c r="X14" s="16" t="inlineStr">
        <is>
          <t>Yes</t>
        </is>
      </c>
      <c r="Y14" s="20" t="n">
        <v>312</v>
      </c>
      <c r="Z14" s="19" t="n">
        <v>0.1219</v>
      </c>
      <c r="AA14" s="18" t="n">
        <v>60.61</v>
      </c>
      <c r="AB14" s="16" t="inlineStr">
        <is>
          <t>Good</t>
        </is>
      </c>
      <c r="AC14" s="16" t="inlineStr">
        <is>
          <t>No</t>
        </is>
      </c>
      <c r="AD14" s="19" t="n">
        <v>0.3275</v>
      </c>
      <c r="AE14" s="19" t="n">
        <v>0.184</v>
      </c>
      <c r="AF14" s="19" t="n">
        <v>0.1835</v>
      </c>
      <c r="AG14" s="19" t="n">
        <v>0.297</v>
      </c>
      <c r="AH14" s="23" t="n">
        <v>1.95</v>
      </c>
      <c r="AI14" s="23" t="n">
        <v>17.41</v>
      </c>
      <c r="AJ14" s="19" t="n">
        <v>0.0269</v>
      </c>
    </row>
    <row r="15">
      <c r="A15" s="16" t="inlineStr">
        <is>
          <t>KOTAKBANK</t>
        </is>
      </c>
      <c r="B15" s="16" t="inlineStr">
        <is>
          <t>Kotak Mahindra Bank Ltd.</t>
        </is>
      </c>
      <c r="C15" s="16" t="inlineStr">
        <is>
          <t>Banks</t>
        </is>
      </c>
      <c r="D15" s="16" t="inlineStr">
        <is>
          <t>Banking and Finance</t>
        </is>
      </c>
      <c r="E15" s="16" t="inlineStr">
        <is>
          <t>INE237A01036</t>
        </is>
      </c>
      <c r="F15" s="17" t="n">
        <v>422278</v>
      </c>
      <c r="G15" s="18" t="n">
        <v>424.5</v>
      </c>
      <c r="H15" s="19" t="n">
        <v>0.008</v>
      </c>
      <c r="I15" s="20" t="n">
        <v>52</v>
      </c>
      <c r="J15" s="16" t="inlineStr">
        <is>
          <t>red</t>
        </is>
      </c>
      <c r="K15" s="20" t="n">
        <v>124</v>
      </c>
      <c r="L15" s="18" t="n">
        <v>75.69</v>
      </c>
      <c r="M15" s="18" t="n">
        <v>422.27</v>
      </c>
      <c r="N15" s="18" t="n">
        <v>394.43</v>
      </c>
      <c r="O15" s="18" t="n">
        <v>399.97</v>
      </c>
      <c r="P15" s="18" t="n">
        <v>444.35</v>
      </c>
      <c r="Q15" s="18" t="n">
        <v>352.79</v>
      </c>
      <c r="R15" s="21">
        <f>IF(OR(G15="",P15=""),"",G15/P15-1)</f>
        <v/>
      </c>
      <c r="S15" s="19" t="n">
        <v>0.8149</v>
      </c>
      <c r="T15" s="22" t="n">
        <v>-0.0044</v>
      </c>
      <c r="U15" s="16" t="inlineStr">
        <is>
          <t>No</t>
        </is>
      </c>
      <c r="V15" s="16" t="inlineStr">
        <is>
          <t>Yes</t>
        </is>
      </c>
      <c r="W15" s="16" t="inlineStr">
        <is>
          <t>Yes</t>
        </is>
      </c>
      <c r="X15" s="16" t="inlineStr">
        <is>
          <t>No</t>
        </is>
      </c>
      <c r="Y15" s="20" t="n">
        <v>122</v>
      </c>
      <c r="Z15" s="19" t="n">
        <v>-0.0139</v>
      </c>
      <c r="AA15" s="18" t="n">
        <v>49.76</v>
      </c>
      <c r="AB15" s="16" t="inlineStr">
        <is>
          <t>Average</t>
        </is>
      </c>
      <c r="AC15" s="16" t="inlineStr">
        <is>
          <t>Yes</t>
        </is>
      </c>
      <c r="AD15" s="19" t="n">
        <v>0.129</v>
      </c>
      <c r="AE15" s="19" t="n"/>
      <c r="AF15" s="19" t="n">
        <v>0.1028</v>
      </c>
      <c r="AG15" s="19" t="n">
        <v>0.1438</v>
      </c>
      <c r="AH15" s="23" t="n">
        <v>0.53</v>
      </c>
      <c r="AI15" s="23" t="n">
        <v>26.57</v>
      </c>
      <c r="AJ15" s="19" t="n">
        <v>0</v>
      </c>
    </row>
    <row r="16">
      <c r="A16" s="16" t="inlineStr">
        <is>
          <t>ADANIPOWER</t>
        </is>
      </c>
      <c r="B16" s="16" t="inlineStr">
        <is>
          <t>Adani Power Ltd.</t>
        </is>
      </c>
      <c r="C16" s="16" t="inlineStr">
        <is>
          <t>Power - Electric Utilities</t>
        </is>
      </c>
      <c r="D16" s="16" t="inlineStr">
        <is>
          <t>Utilities</t>
        </is>
      </c>
      <c r="E16" s="16" t="inlineStr">
        <is>
          <t>INE814H01029</t>
        </is>
      </c>
      <c r="F16" s="17" t="n">
        <v>399578.87</v>
      </c>
      <c r="G16" s="18" t="n">
        <v>207.2</v>
      </c>
      <c r="H16" s="19" t="n">
        <v>-0.0052</v>
      </c>
      <c r="I16" s="20" t="n">
        <v>75</v>
      </c>
      <c r="J16" s="16" t="inlineStr">
        <is>
          <t>amber</t>
        </is>
      </c>
      <c r="K16" s="20" t="n">
        <v>24</v>
      </c>
      <c r="L16" s="18" t="n">
        <v>53.91</v>
      </c>
      <c r="M16" s="18" t="n">
        <v>207.55</v>
      </c>
      <c r="N16" s="18" t="n">
        <v>212.42</v>
      </c>
      <c r="O16" s="18" t="n">
        <v>183.19</v>
      </c>
      <c r="P16" s="18" t="n">
        <v>248.91</v>
      </c>
      <c r="Q16" s="18" t="n">
        <v>121.74</v>
      </c>
      <c r="R16" s="21">
        <f>IF(OR(G16="",P16=""),"",G16/P16-1)</f>
        <v/>
      </c>
      <c r="S16" s="19" t="n">
        <v>0.5035000000000001</v>
      </c>
      <c r="T16" s="22" t="n">
        <v>0.0277</v>
      </c>
      <c r="U16" s="16" t="inlineStr">
        <is>
          <t>Yes</t>
        </is>
      </c>
      <c r="V16" s="16" t="inlineStr">
        <is>
          <t>No</t>
        </is>
      </c>
      <c r="W16" s="16" t="inlineStr">
        <is>
          <t>No</t>
        </is>
      </c>
      <c r="X16" s="16" t="inlineStr">
        <is>
          <t>Yes</t>
        </is>
      </c>
      <c r="Y16" s="20" t="n">
        <v>302</v>
      </c>
      <c r="Z16" s="19" t="n">
        <v>0.1595</v>
      </c>
      <c r="AA16" s="18" t="n">
        <v>56.26</v>
      </c>
      <c r="AB16" s="16" t="inlineStr">
        <is>
          <t>Good</t>
        </is>
      </c>
      <c r="AC16" s="16" t="inlineStr">
        <is>
          <t>No</t>
        </is>
      </c>
      <c r="AD16" s="19" t="n">
        <v>0.3033</v>
      </c>
      <c r="AE16" s="19" t="n">
        <v>0.2217</v>
      </c>
      <c r="AF16" s="19" t="n">
        <v>0.2509</v>
      </c>
      <c r="AG16" s="19" t="n">
        <v>0.1342</v>
      </c>
      <c r="AH16" s="23" t="n">
        <v>0.84</v>
      </c>
      <c r="AI16" s="23" t="n">
        <v>0.52</v>
      </c>
      <c r="AJ16" s="19" t="n">
        <v>0.3366</v>
      </c>
    </row>
    <row r="17">
      <c r="A17" s="16" t="inlineStr">
        <is>
          <t>MARUTI</t>
        </is>
      </c>
      <c r="B17" s="16" t="inlineStr">
        <is>
          <t>Maruti Suzuki India Ltd.</t>
        </is>
      </c>
      <c r="C17" s="16" t="inlineStr">
        <is>
          <t>Cars &amp; Utility Vehicles</t>
        </is>
      </c>
      <c r="D17" s="16" t="inlineStr">
        <is>
          <t>Automobiles &amp; Auto Components</t>
        </is>
      </c>
      <c r="E17" s="16" t="inlineStr">
        <is>
          <t>INE585B01010</t>
        </is>
      </c>
      <c r="F17" s="17" t="n">
        <v>399102.66</v>
      </c>
      <c r="G17" s="18" t="n">
        <v>12694</v>
      </c>
      <c r="H17" s="19" t="n">
        <v>-0.0127</v>
      </c>
      <c r="I17" s="20" t="n">
        <v>22</v>
      </c>
      <c r="J17" s="16" t="inlineStr">
        <is>
          <t>red</t>
        </is>
      </c>
      <c r="K17" s="20" t="n">
        <v>106</v>
      </c>
      <c r="L17" s="18" t="n">
        <v>21.77</v>
      </c>
      <c r="M17" s="18" t="n">
        <v>13154.12</v>
      </c>
      <c r="N17" s="18" t="n">
        <v>13685.58</v>
      </c>
      <c r="O17" s="18" t="n">
        <v>14156.94</v>
      </c>
      <c r="P17" s="18" t="n">
        <v>17120.06</v>
      </c>
      <c r="Q17" s="18" t="n">
        <v>12183.64</v>
      </c>
      <c r="R17" s="21">
        <f>IF(OR(G17="",P17=""),"",G17/P17-1)</f>
        <v/>
      </c>
      <c r="S17" s="19" t="n">
        <v>0.8437</v>
      </c>
      <c r="T17" s="22" t="n">
        <v>-0.0154</v>
      </c>
      <c r="U17" s="16" t="inlineStr">
        <is>
          <t>No</t>
        </is>
      </c>
      <c r="V17" s="16" t="inlineStr">
        <is>
          <t>No</t>
        </is>
      </c>
      <c r="W17" s="16" t="inlineStr">
        <is>
          <t>No</t>
        </is>
      </c>
      <c r="X17" s="16" t="inlineStr">
        <is>
          <t>No</t>
        </is>
      </c>
      <c r="Y17" s="20" t="n">
        <v>115</v>
      </c>
      <c r="Z17" s="19" t="n">
        <v>-0.0333</v>
      </c>
      <c r="AA17" s="18" t="n">
        <v>71.62</v>
      </c>
      <c r="AB17" s="16" t="inlineStr">
        <is>
          <t>High</t>
        </is>
      </c>
      <c r="AC17" s="16" t="inlineStr">
        <is>
          <t>No</t>
        </is>
      </c>
      <c r="AD17" s="19" t="n">
        <v>0.1484</v>
      </c>
      <c r="AE17" s="19" t="n">
        <v>0.1972</v>
      </c>
      <c r="AF17" s="19" t="n">
        <v>0.2399</v>
      </c>
      <c r="AG17" s="19" t="n">
        <v>0.1604</v>
      </c>
      <c r="AH17" s="23" t="n">
        <v>0</v>
      </c>
      <c r="AI17" s="23" t="n">
        <v>3.96</v>
      </c>
      <c r="AJ17" s="19" t="n">
        <v>0.24</v>
      </c>
    </row>
    <row r="18">
      <c r="A18" s="16" t="inlineStr">
        <is>
          <t>ADANIENT</t>
        </is>
      </c>
      <c r="B18" s="16" t="inlineStr">
        <is>
          <t>Adani Enterprises Ltd.</t>
        </is>
      </c>
      <c r="C18" s="16" t="inlineStr">
        <is>
          <t>Commodity Trading  &amp; Distribution</t>
        </is>
      </c>
      <c r="D18" s="16" t="inlineStr">
        <is>
          <t>Commercial Services &amp; Supplies</t>
        </is>
      </c>
      <c r="E18" s="16" t="inlineStr">
        <is>
          <t>INE423A01024</t>
        </is>
      </c>
      <c r="F18" s="17" t="n">
        <v>397632.24</v>
      </c>
      <c r="G18" s="18" t="n">
        <v>2938</v>
      </c>
      <c r="H18" s="19" t="n">
        <v>0.0128</v>
      </c>
      <c r="I18" s="20" t="n">
        <v>67</v>
      </c>
      <c r="J18" s="16" t="inlineStr">
        <is>
          <t>amber</t>
        </is>
      </c>
      <c r="K18" s="20" t="n">
        <v>28</v>
      </c>
      <c r="L18" s="18" t="n">
        <v>44.07</v>
      </c>
      <c r="M18" s="18" t="n">
        <v>2987.91</v>
      </c>
      <c r="N18" s="18" t="n">
        <v>3056.87</v>
      </c>
      <c r="O18" s="18" t="n">
        <v>2514.84</v>
      </c>
      <c r="P18" s="18" t="n">
        <v>3212.1</v>
      </c>
      <c r="Q18" s="18" t="n">
        <v>1758.01</v>
      </c>
      <c r="R18" s="21">
        <f>IF(OR(G18="",P18=""),"",G18/P18-1)</f>
        <v/>
      </c>
      <c r="S18" s="19" t="n">
        <v>0.6681</v>
      </c>
      <c r="T18" s="22" t="n">
        <v>0.0226</v>
      </c>
      <c r="U18" s="16" t="inlineStr">
        <is>
          <t>Yes</t>
        </is>
      </c>
      <c r="V18" s="16" t="inlineStr">
        <is>
          <t>No</t>
        </is>
      </c>
      <c r="W18" s="16" t="inlineStr">
        <is>
          <t>No</t>
        </is>
      </c>
      <c r="X18" s="16" t="inlineStr">
        <is>
          <t>Yes</t>
        </is>
      </c>
      <c r="Y18" s="20" t="n">
        <v>72</v>
      </c>
      <c r="Z18" s="19" t="n">
        <v>0.2155</v>
      </c>
      <c r="AA18" s="18" t="n">
        <v>33.01</v>
      </c>
      <c r="AB18" s="16" t="inlineStr">
        <is>
          <t>Poor</t>
        </is>
      </c>
      <c r="AC18" s="16" t="inlineStr">
        <is>
          <t>No</t>
        </is>
      </c>
      <c r="AD18" s="19" t="n">
        <v>0.1131</v>
      </c>
      <c r="AE18" s="19" t="n">
        <v>0.09910000000000001</v>
      </c>
      <c r="AF18" s="19" t="n">
        <v>0.5760999999999999</v>
      </c>
      <c r="AG18" s="19" t="n">
        <v>-0.0678</v>
      </c>
      <c r="AH18" s="23" t="n">
        <v>1.32</v>
      </c>
      <c r="AI18" s="23" t="n">
        <v>0.75</v>
      </c>
      <c r="AJ18" s="19" t="n">
        <v>0.2531</v>
      </c>
    </row>
    <row r="19">
      <c r="A19" s="16" t="inlineStr">
        <is>
          <t>AXISBANK</t>
        </is>
      </c>
      <c r="B19" s="16" t="inlineStr">
        <is>
          <t>Axis Bank Ltd.</t>
        </is>
      </c>
      <c r="C19" s="16" t="inlineStr">
        <is>
          <t>Banks</t>
        </is>
      </c>
      <c r="D19" s="16" t="inlineStr">
        <is>
          <t>Banking and Finance</t>
        </is>
      </c>
      <c r="E19" s="16" t="inlineStr">
        <is>
          <t>INE238A01034</t>
        </is>
      </c>
      <c r="F19" s="17" t="n">
        <v>396316.11</v>
      </c>
      <c r="G19" s="18" t="n">
        <v>1273</v>
      </c>
      <c r="H19" s="19" t="n">
        <v>0.004699999999999999</v>
      </c>
      <c r="I19" s="20" t="n">
        <v>44</v>
      </c>
      <c r="J19" s="16" t="inlineStr">
        <is>
          <t>red</t>
        </is>
      </c>
      <c r="K19" s="20" t="n">
        <v>49</v>
      </c>
      <c r="L19" s="18" t="n">
        <v>62.29</v>
      </c>
      <c r="M19" s="18" t="n">
        <v>1265.99</v>
      </c>
      <c r="N19" s="18" t="n">
        <v>1270.8</v>
      </c>
      <c r="O19" s="18" t="n">
        <v>1288.18</v>
      </c>
      <c r="P19" s="18" t="n">
        <v>1401.92</v>
      </c>
      <c r="Q19" s="18" t="n">
        <v>1049.59</v>
      </c>
      <c r="R19" s="21">
        <f>IF(OR(G19="",P19=""),"",G19/P19-1)</f>
        <v/>
      </c>
      <c r="S19" s="19" t="n">
        <v>0.7258</v>
      </c>
      <c r="T19" s="22" t="n">
        <v>0.0007000000000000001</v>
      </c>
      <c r="U19" s="16" t="inlineStr">
        <is>
          <t>Yes</t>
        </is>
      </c>
      <c r="V19" s="16" t="inlineStr">
        <is>
          <t>Yes</t>
        </is>
      </c>
      <c r="W19" s="16" t="inlineStr">
        <is>
          <t>Yes</t>
        </is>
      </c>
      <c r="X19" s="16" t="inlineStr">
        <is>
          <t>No</t>
        </is>
      </c>
      <c r="Y19" s="20" t="n">
        <v>9</v>
      </c>
      <c r="Z19" s="19" t="n">
        <v>-0.0135</v>
      </c>
      <c r="AA19" s="18" t="n">
        <v>65.5</v>
      </c>
      <c r="AB19" s="16" t="inlineStr">
        <is>
          <t>High</t>
        </is>
      </c>
      <c r="AC19" s="16" t="inlineStr">
        <is>
          <t>Yes</t>
        </is>
      </c>
      <c r="AD19" s="19" t="n">
        <v>0.1468</v>
      </c>
      <c r="AE19" s="19" t="n"/>
      <c r="AF19" s="19" t="n">
        <v>0.4746</v>
      </c>
      <c r="AG19" s="19" t="n">
        <v>0.1242</v>
      </c>
      <c r="AH19" s="23" t="n">
        <v>1.3</v>
      </c>
      <c r="AI19" s="23" t="n">
        <v>13.04</v>
      </c>
      <c r="AJ19" s="19" t="n">
        <v>0.0398</v>
      </c>
    </row>
    <row r="20">
      <c r="A20" s="16" t="inlineStr">
        <is>
          <t>M&amp;M</t>
        </is>
      </c>
      <c r="B20" s="16" t="inlineStr">
        <is>
          <t>Mahindra &amp; Mahindra Ltd.</t>
        </is>
      </c>
      <c r="C20" s="16" t="inlineStr">
        <is>
          <t>Cars &amp; Utility Vehicles</t>
        </is>
      </c>
      <c r="D20" s="16" t="inlineStr">
        <is>
          <t>Automobiles &amp; Auto Components</t>
        </is>
      </c>
      <c r="E20" s="16" t="inlineStr">
        <is>
          <t>INE101A01026</t>
        </is>
      </c>
      <c r="F20" s="17" t="n">
        <v>394198.63</v>
      </c>
      <c r="G20" s="18" t="n">
        <v>3170</v>
      </c>
      <c r="H20" s="19" t="n">
        <v>0.0063</v>
      </c>
      <c r="I20" s="20" t="n">
        <v>37</v>
      </c>
      <c r="J20" s="16" t="inlineStr">
        <is>
          <t>red</t>
        </is>
      </c>
      <c r="K20" s="20" t="n">
        <v>102</v>
      </c>
      <c r="L20" s="18" t="n">
        <v>23.24</v>
      </c>
      <c r="M20" s="18" t="n">
        <v>3264.15</v>
      </c>
      <c r="N20" s="18" t="n">
        <v>3273.34</v>
      </c>
      <c r="O20" s="18" t="n">
        <v>3304.43</v>
      </c>
      <c r="P20" s="18" t="n">
        <v>3762.88</v>
      </c>
      <c r="Q20" s="18" t="n">
        <v>2900.64</v>
      </c>
      <c r="R20" s="21">
        <f>IF(OR(G20="",P20=""),"",G20/P20-1)</f>
        <v/>
      </c>
      <c r="S20" s="19" t="n">
        <v>0.6717</v>
      </c>
      <c r="T20" s="22" t="n">
        <v>-0.0071</v>
      </c>
      <c r="U20" s="16" t="inlineStr">
        <is>
          <t>No</t>
        </is>
      </c>
      <c r="V20" s="16" t="inlineStr">
        <is>
          <t>No</t>
        </is>
      </c>
      <c r="W20" s="16" t="inlineStr">
        <is>
          <t>No</t>
        </is>
      </c>
      <c r="X20" s="16" t="inlineStr">
        <is>
          <t>No</t>
        </is>
      </c>
      <c r="Y20" s="20" t="n">
        <v>116</v>
      </c>
      <c r="Z20" s="19" t="n">
        <v>-0.009399999999999999</v>
      </c>
      <c r="AA20" s="18" t="n">
        <v>51.47</v>
      </c>
      <c r="AB20" s="16" t="inlineStr">
        <is>
          <t>Average</t>
        </is>
      </c>
      <c r="AC20" s="16" t="inlineStr">
        <is>
          <t>No</t>
        </is>
      </c>
      <c r="AD20" s="19" t="n">
        <v>0.1739</v>
      </c>
      <c r="AE20" s="19" t="n">
        <v>0.1418</v>
      </c>
      <c r="AF20" s="19" t="n">
        <v>0.1868</v>
      </c>
      <c r="AG20" s="19" t="n">
        <v>0.1759</v>
      </c>
      <c r="AH20" s="23" t="n">
        <v>1.44</v>
      </c>
      <c r="AI20" s="23" t="n">
        <v>5.83</v>
      </c>
      <c r="AJ20" s="19" t="n">
        <v>0.1243</v>
      </c>
    </row>
    <row r="21">
      <c r="A21" s="16" t="inlineStr">
        <is>
          <t>ADANIPORTS</t>
        </is>
      </c>
      <c r="B21" s="16" t="inlineStr">
        <is>
          <t>Adani Ports &amp; Special Economic Zone Ltd.</t>
        </is>
      </c>
      <c r="C21" s="16" t="inlineStr">
        <is>
          <t>Marine Port &amp; Services</t>
        </is>
      </c>
      <c r="D21" s="16" t="inlineStr">
        <is>
          <t>Transportation</t>
        </is>
      </c>
      <c r="E21" s="16" t="inlineStr">
        <is>
          <t>INE742F01042</t>
        </is>
      </c>
      <c r="F21" s="17" t="n">
        <v>368800.51</v>
      </c>
      <c r="G21" s="18" t="n">
        <v>1707.3</v>
      </c>
      <c r="H21" s="19" t="n">
        <v>0.0005</v>
      </c>
      <c r="I21" s="20" t="n">
        <v>54</v>
      </c>
      <c r="J21" s="16" t="inlineStr">
        <is>
          <t>red</t>
        </is>
      </c>
      <c r="K21" s="20" t="n">
        <v>22</v>
      </c>
      <c r="L21" s="18" t="n">
        <v>52.3</v>
      </c>
      <c r="M21" s="18" t="n">
        <v>1680.01</v>
      </c>
      <c r="N21" s="18" t="n">
        <v>1745.04</v>
      </c>
      <c r="O21" s="18" t="n">
        <v>1603.49</v>
      </c>
      <c r="P21" s="18" t="n">
        <v>1883.2</v>
      </c>
      <c r="Q21" s="18" t="n">
        <v>1298.13</v>
      </c>
      <c r="R21" s="21">
        <f>IF(OR(G21="",P21=""),"",G21/P21-1)</f>
        <v/>
      </c>
      <c r="S21" s="19" t="n">
        <v>0.5145000000000001</v>
      </c>
      <c r="T21" s="22" t="n">
        <v>0.0142</v>
      </c>
      <c r="U21" s="16" t="inlineStr">
        <is>
          <t>Yes</t>
        </is>
      </c>
      <c r="V21" s="16" t="inlineStr">
        <is>
          <t>No</t>
        </is>
      </c>
      <c r="W21" s="16" t="inlineStr">
        <is>
          <t>Yes</t>
        </is>
      </c>
      <c r="X21" s="16" t="inlineStr">
        <is>
          <t>Yes</t>
        </is>
      </c>
      <c r="Y21" s="20" t="n">
        <v>317</v>
      </c>
      <c r="Z21" s="19" t="n">
        <v>0.0883</v>
      </c>
      <c r="AA21" s="18" t="n">
        <v>49.53</v>
      </c>
      <c r="AB21" s="16" t="inlineStr">
        <is>
          <t>Average</t>
        </is>
      </c>
      <c r="AC21" s="16" t="inlineStr">
        <is>
          <t>No</t>
        </is>
      </c>
      <c r="AD21" s="19" t="n">
        <v>0.1547</v>
      </c>
      <c r="AE21" s="19" t="n">
        <v>0.1268</v>
      </c>
      <c r="AF21" s="19" t="n">
        <v>0.3431</v>
      </c>
      <c r="AG21" s="19" t="n">
        <v>0.231</v>
      </c>
      <c r="AH21" s="23" t="n">
        <v>0.66</v>
      </c>
      <c r="AI21" s="23" t="n">
        <v>0.33</v>
      </c>
      <c r="AJ21" s="19" t="n">
        <v>0.1361</v>
      </c>
    </row>
    <row r="22">
      <c r="A22" s="16" t="inlineStr">
        <is>
          <t>HCLTECH</t>
        </is>
      </c>
      <c r="B22" s="16" t="inlineStr">
        <is>
          <t>HCL Technologies Ltd.</t>
        </is>
      </c>
      <c r="C22" s="16" t="inlineStr">
        <is>
          <t>IT Consulting &amp; Software</t>
        </is>
      </c>
      <c r="D22" s="16" t="inlineStr">
        <is>
          <t>Software &amp; Services</t>
        </is>
      </c>
      <c r="E22" s="16" t="inlineStr">
        <is>
          <t>INE860A01027</t>
        </is>
      </c>
      <c r="F22" s="17" t="n">
        <v>350985.44</v>
      </c>
      <c r="G22" s="18" t="n">
        <v>1293.4</v>
      </c>
      <c r="H22" s="19" t="n">
        <v>-0.0194</v>
      </c>
      <c r="I22" s="20" t="n">
        <v>38</v>
      </c>
      <c r="J22" s="16" t="inlineStr">
        <is>
          <t>red</t>
        </is>
      </c>
      <c r="K22" s="20" t="n">
        <v>105</v>
      </c>
      <c r="L22" s="18" t="n">
        <v>44.17</v>
      </c>
      <c r="M22" s="18" t="n">
        <v>1313.01</v>
      </c>
      <c r="N22" s="18" t="n">
        <v>1263.27</v>
      </c>
      <c r="O22" s="18" t="n">
        <v>1354.83</v>
      </c>
      <c r="P22" s="18" t="n">
        <v>1679.96</v>
      </c>
      <c r="Q22" s="18" t="n">
        <v>1023.75</v>
      </c>
      <c r="R22" s="21">
        <f>IF(OR(G22="",P22=""),"",G22/P22-1)</f>
        <v/>
      </c>
      <c r="S22" s="19" t="n">
        <v>0.9384999999999999</v>
      </c>
      <c r="T22" s="22" t="n">
        <v>-0.0127</v>
      </c>
      <c r="U22" s="16" t="inlineStr">
        <is>
          <t>No</t>
        </is>
      </c>
      <c r="V22" s="16" t="inlineStr">
        <is>
          <t>Yes</t>
        </is>
      </c>
      <c r="W22" s="16" t="inlineStr">
        <is>
          <t>No</t>
        </is>
      </c>
      <c r="X22" s="16" t="inlineStr">
        <is>
          <t>No</t>
        </is>
      </c>
      <c r="Y22" s="20" t="n">
        <v>121</v>
      </c>
      <c r="Z22" s="19" t="n">
        <v>-0.06759999999999999</v>
      </c>
      <c r="AA22" s="18" t="n">
        <v>67.06999999999999</v>
      </c>
      <c r="AB22" s="16" t="inlineStr">
        <is>
          <t>High</t>
        </is>
      </c>
      <c r="AC22" s="16" t="inlineStr">
        <is>
          <t>No</t>
        </is>
      </c>
      <c r="AD22" s="19" t="n">
        <v>0.2337</v>
      </c>
      <c r="AE22" s="19" t="n">
        <v>0.2971</v>
      </c>
      <c r="AF22" s="19" t="n">
        <v>0.0404</v>
      </c>
      <c r="AG22" s="19" t="n">
        <v>0.0867</v>
      </c>
      <c r="AH22" s="23" t="n">
        <v>0.07000000000000001</v>
      </c>
      <c r="AI22" s="23" t="n">
        <v>15.64</v>
      </c>
      <c r="AJ22" s="19" t="n">
        <v>0.008699999999999999</v>
      </c>
    </row>
    <row r="23">
      <c r="A23" s="16" t="inlineStr">
        <is>
          <t>ULTRACEMCO</t>
        </is>
      </c>
      <c r="B23" s="16" t="inlineStr">
        <is>
          <t>UltraTech Cement Ltd.</t>
        </is>
      </c>
      <c r="C23" s="16" t="inlineStr">
        <is>
          <t>Cement &amp; Cement Products</t>
        </is>
      </c>
      <c r="D23" s="16" t="inlineStr">
        <is>
          <t>Cement and Construction</t>
        </is>
      </c>
      <c r="E23" s="16" t="inlineStr">
        <is>
          <t>INE481G01011</t>
        </is>
      </c>
      <c r="F23" s="17" t="n">
        <v>336170.03</v>
      </c>
      <c r="G23" s="18" t="n">
        <v>11408</v>
      </c>
      <c r="H23" s="19" t="n">
        <v>0.0118</v>
      </c>
      <c r="I23" s="20" t="n">
        <v>39</v>
      </c>
      <c r="J23" s="16" t="inlineStr">
        <is>
          <t>red</t>
        </is>
      </c>
      <c r="K23" s="20" t="n">
        <v>102</v>
      </c>
      <c r="L23" s="18" t="n">
        <v>38.77</v>
      </c>
      <c r="M23" s="18" t="n">
        <v>11493.63</v>
      </c>
      <c r="N23" s="18" t="n">
        <v>11594.04</v>
      </c>
      <c r="O23" s="18" t="n">
        <v>11562.09</v>
      </c>
      <c r="P23" s="18" t="n">
        <v>12790.92</v>
      </c>
      <c r="Q23" s="18" t="n">
        <v>10154.73</v>
      </c>
      <c r="R23" s="21">
        <f>IF(OR(G23="",P23=""),"",G23/P23-1)</f>
        <v/>
      </c>
      <c r="S23" s="19" t="n">
        <v>1.1611</v>
      </c>
      <c r="T23" s="22" t="n">
        <v>-0.0008</v>
      </c>
      <c r="U23" s="16" t="inlineStr">
        <is>
          <t>No</t>
        </is>
      </c>
      <c r="V23" s="16" t="inlineStr">
        <is>
          <t>No</t>
        </is>
      </c>
      <c r="W23" s="16" t="inlineStr">
        <is>
          <t>No</t>
        </is>
      </c>
      <c r="X23" s="16" t="inlineStr">
        <is>
          <t>Yes</t>
        </is>
      </c>
      <c r="Y23" s="20" t="n">
        <v>6</v>
      </c>
      <c r="Z23" s="19" t="n">
        <v>0.0028</v>
      </c>
      <c r="AA23" s="18" t="n">
        <v>43.79</v>
      </c>
      <c r="AB23" s="16" t="inlineStr">
        <is>
          <t>Average</t>
        </is>
      </c>
      <c r="AC23" s="16" t="inlineStr">
        <is>
          <t>No</t>
        </is>
      </c>
      <c r="AD23" s="19" t="n">
        <v>0.1028</v>
      </c>
      <c r="AE23" s="19" t="n">
        <v>0.1228</v>
      </c>
      <c r="AF23" s="19" t="n">
        <v>0.1936</v>
      </c>
      <c r="AG23" s="19" t="n">
        <v>0.1198</v>
      </c>
      <c r="AH23" s="23" t="n">
        <v>0.31</v>
      </c>
      <c r="AI23" s="23" t="n">
        <v>0.88</v>
      </c>
      <c r="AJ23" s="19" t="n">
        <v>0.0965</v>
      </c>
    </row>
    <row r="24">
      <c r="A24" s="16" t="inlineStr">
        <is>
          <t>BAJAJ-AUTO</t>
        </is>
      </c>
      <c r="B24" s="16" t="inlineStr">
        <is>
          <t>Bajaj Auto Ltd.</t>
        </is>
      </c>
      <c r="C24" s="16" t="inlineStr">
        <is>
          <t>2/3 Wheelers</t>
        </is>
      </c>
      <c r="D24" s="16" t="inlineStr">
        <is>
          <t>Automobiles &amp; Auto Components</t>
        </is>
      </c>
      <c r="E24" s="16" t="inlineStr">
        <is>
          <t>INE917I01010</t>
        </is>
      </c>
      <c r="F24" s="17" t="n">
        <v>333133.43</v>
      </c>
      <c r="G24" s="18" t="n">
        <v>11919</v>
      </c>
      <c r="H24" s="19" t="n">
        <v>-0.0001</v>
      </c>
      <c r="I24" s="20" t="n">
        <v>71</v>
      </c>
      <c r="J24" s="16" t="inlineStr">
        <is>
          <t>amber</t>
        </is>
      </c>
      <c r="K24" s="20" t="n">
        <v>45</v>
      </c>
      <c r="L24" s="18" t="n">
        <v>56.91</v>
      </c>
      <c r="M24" s="18" t="n">
        <v>11976.75</v>
      </c>
      <c r="N24" s="18" t="n">
        <v>11144.48</v>
      </c>
      <c r="O24" s="18" t="n">
        <v>9924.84</v>
      </c>
      <c r="P24" s="18" t="n">
        <v>12361</v>
      </c>
      <c r="Q24" s="18" t="n">
        <v>8506.780000000001</v>
      </c>
      <c r="R24" s="21">
        <f>IF(OR(G24="",P24=""),"",G24/P24-1)</f>
        <v/>
      </c>
      <c r="S24" s="19" t="n">
        <v>0.5931999999999999</v>
      </c>
      <c r="T24" s="22" t="n">
        <v>0.0314</v>
      </c>
      <c r="U24" s="16" t="inlineStr">
        <is>
          <t>Yes</t>
        </is>
      </c>
      <c r="V24" s="16" t="inlineStr">
        <is>
          <t>Yes</t>
        </is>
      </c>
      <c r="W24" s="16" t="inlineStr">
        <is>
          <t>No</t>
        </is>
      </c>
      <c r="X24" s="16" t="inlineStr">
        <is>
          <t>Yes</t>
        </is>
      </c>
      <c r="Y24" s="20" t="n">
        <v>259</v>
      </c>
      <c r="Z24" s="19" t="n">
        <v>0.1229</v>
      </c>
      <c r="AA24" s="18" t="n">
        <v>65.15000000000001</v>
      </c>
      <c r="AB24" s="16" t="inlineStr">
        <is>
          <t>High</t>
        </is>
      </c>
      <c r="AC24" s="16" t="inlineStr">
        <is>
          <t>No</t>
        </is>
      </c>
      <c r="AD24" s="19" t="n">
        <v>0.2503</v>
      </c>
      <c r="AE24" s="19" t="n">
        <v>0.2711</v>
      </c>
      <c r="AF24" s="19" t="n">
        <v>0.237</v>
      </c>
      <c r="AG24" s="19" t="n">
        <v>0.196</v>
      </c>
      <c r="AH24" s="23" t="n">
        <v>0.58</v>
      </c>
      <c r="AI24" s="23" t="n">
        <v>7.69</v>
      </c>
      <c r="AJ24" s="19" t="n">
        <v>0.0153</v>
      </c>
    </row>
    <row r="25">
      <c r="A25" s="16" t="inlineStr">
        <is>
          <t>ITC</t>
        </is>
      </c>
      <c r="B25" s="16" t="inlineStr">
        <is>
          <t>ITC Ltd.</t>
        </is>
      </c>
      <c r="C25" s="16" t="inlineStr">
        <is>
          <t>Cigarettes-Tobacco Products</t>
        </is>
      </c>
      <c r="D25" s="16" t="inlineStr">
        <is>
          <t>Food, Beverages &amp; Tobacco</t>
        </is>
      </c>
      <c r="E25" s="16" t="inlineStr">
        <is>
          <t>INE154A01025</t>
        </is>
      </c>
      <c r="F25" s="17" t="n">
        <v>330911.54</v>
      </c>
      <c r="G25" s="18" t="n">
        <v>264.1</v>
      </c>
      <c r="H25" s="19" t="n">
        <v>0.0042</v>
      </c>
      <c r="I25" s="20" t="n">
        <v>10</v>
      </c>
      <c r="J25" s="16" t="inlineStr">
        <is>
          <t>red</t>
        </is>
      </c>
      <c r="K25" s="20" t="n">
        <v>175</v>
      </c>
      <c r="L25" s="18" t="n">
        <v>40.39</v>
      </c>
      <c r="M25" s="18" t="n">
        <v>265.09</v>
      </c>
      <c r="N25" s="18" t="n">
        <v>278.71</v>
      </c>
      <c r="O25" s="18" t="n">
        <v>307.31</v>
      </c>
      <c r="P25" s="18" t="n">
        <v>401.99</v>
      </c>
      <c r="Q25" s="18" t="n">
        <v>255.5</v>
      </c>
      <c r="R25" s="21">
        <f>IF(OR(G25="",P25=""),"",G25/P25-1)</f>
        <v/>
      </c>
      <c r="S25" s="19" t="n">
        <v>0.6225999999999999</v>
      </c>
      <c r="T25" s="22" t="n">
        <v>-0.0382</v>
      </c>
      <c r="U25" s="16" t="inlineStr">
        <is>
          <t>No</t>
        </is>
      </c>
      <c r="V25" s="16" t="inlineStr">
        <is>
          <t>No</t>
        </is>
      </c>
      <c r="W25" s="16" t="inlineStr">
        <is>
          <t>No</t>
        </is>
      </c>
      <c r="X25" s="16" t="inlineStr">
        <is>
          <t>No</t>
        </is>
      </c>
      <c r="Y25" s="20" t="n">
        <v>400</v>
      </c>
      <c r="Z25" s="19" t="n">
        <v>-0.09300000000000001</v>
      </c>
      <c r="AA25" s="18" t="n">
        <v>68.56999999999999</v>
      </c>
      <c r="AB25" s="16" t="inlineStr">
        <is>
          <t>High</t>
        </is>
      </c>
      <c r="AC25" s="16" t="inlineStr">
        <is>
          <t>No</t>
        </is>
      </c>
      <c r="AD25" s="19" t="n">
        <v>0.352</v>
      </c>
      <c r="AE25" s="19" t="n">
        <v>0.3708</v>
      </c>
      <c r="AF25" s="19" t="n">
        <v>0.1162</v>
      </c>
      <c r="AG25" s="19" t="n">
        <v>0.0383</v>
      </c>
      <c r="AH25" s="23" t="n">
        <v>0.03</v>
      </c>
      <c r="AI25" s="23" t="n">
        <v>3.98</v>
      </c>
      <c r="AJ25" s="19" t="n">
        <v>0.0852</v>
      </c>
    </row>
    <row r="26">
      <c r="A26" s="16" t="inlineStr">
        <is>
          <t>HAL</t>
        </is>
      </c>
      <c r="B26" s="16" t="inlineStr">
        <is>
          <t>Hindustan Aeronautics Ltd.</t>
        </is>
      </c>
      <c r="C26" s="16" t="inlineStr">
        <is>
          <t>Aerospace &amp; Defence</t>
        </is>
      </c>
      <c r="D26" s="16" t="inlineStr">
        <is>
          <t>General Industrials</t>
        </is>
      </c>
      <c r="E26" s="16" t="inlineStr">
        <is>
          <t>INE066F01020</t>
        </is>
      </c>
      <c r="F26" s="17" t="n">
        <v>324757.14</v>
      </c>
      <c r="G26" s="18" t="n">
        <v>4856</v>
      </c>
      <c r="H26" s="19" t="n">
        <v>0.019</v>
      </c>
      <c r="I26" s="20" t="n">
        <v>59</v>
      </c>
      <c r="J26" s="16" t="inlineStr">
        <is>
          <t>red</t>
        </is>
      </c>
      <c r="K26" s="20" t="n">
        <v>2</v>
      </c>
      <c r="L26" s="18" t="n">
        <v>31.44</v>
      </c>
      <c r="M26" s="18" t="n">
        <v>4829.55</v>
      </c>
      <c r="N26" s="18" t="n">
        <v>4683.62</v>
      </c>
      <c r="O26" s="18" t="n">
        <v>4358.65</v>
      </c>
      <c r="P26" s="18" t="n">
        <v>5099</v>
      </c>
      <c r="Q26" s="18" t="n">
        <v>3480.15</v>
      </c>
      <c r="R26" s="21">
        <f>IF(OR(G26="",P26=""),"",G26/P26-1)</f>
        <v/>
      </c>
      <c r="S26" s="19" t="n">
        <v>1.4454</v>
      </c>
      <c r="T26" s="22" t="n">
        <v>0.0052</v>
      </c>
      <c r="U26" s="16" t="inlineStr">
        <is>
          <t>Yes</t>
        </is>
      </c>
      <c r="V26" s="16" t="inlineStr">
        <is>
          <t>Yes</t>
        </is>
      </c>
      <c r="W26" s="16" t="inlineStr">
        <is>
          <t>Yes</t>
        </is>
      </c>
      <c r="X26" s="16" t="inlineStr">
        <is>
          <t>Yes</t>
        </is>
      </c>
      <c r="Y26" s="20" t="n">
        <v>56</v>
      </c>
      <c r="Z26" s="19" t="n">
        <v>0.0746</v>
      </c>
      <c r="AA26" s="18" t="n">
        <v>73.48</v>
      </c>
      <c r="AB26" s="16" t="inlineStr">
        <is>
          <t>High</t>
        </is>
      </c>
      <c r="AC26" s="16" t="inlineStr">
        <is>
          <t>No</t>
        </is>
      </c>
      <c r="AD26" s="19" t="n">
        <v>0.2409</v>
      </c>
      <c r="AE26" s="19" t="n">
        <v>0.3197</v>
      </c>
      <c r="AF26" s="19" t="n">
        <v>0.165</v>
      </c>
      <c r="AG26" s="19" t="n">
        <v>0.0645</v>
      </c>
      <c r="AH26" s="23" t="n">
        <v>0</v>
      </c>
      <c r="AI26" s="23" t="n">
        <v>4.21</v>
      </c>
      <c r="AJ26" s="19" t="n">
        <v>0.1837</v>
      </c>
    </row>
    <row r="27">
      <c r="A27" s="16" t="inlineStr">
        <is>
          <t>JSWSTEEL</t>
        </is>
      </c>
      <c r="B27" s="16" t="inlineStr">
        <is>
          <t>JSW Steel Ltd.</t>
        </is>
      </c>
      <c r="C27" s="16" t="inlineStr">
        <is>
          <t>Iron &amp; Steel/Interm.Products</t>
        </is>
      </c>
      <c r="D27" s="16" t="inlineStr">
        <is>
          <t>Metals &amp; Mining</t>
        </is>
      </c>
      <c r="E27" s="16" t="inlineStr">
        <is>
          <t>INE019A01038</t>
        </is>
      </c>
      <c r="F27" s="17" t="n">
        <v>324022.66</v>
      </c>
      <c r="G27" s="18" t="n">
        <v>1325</v>
      </c>
      <c r="H27" s="19" t="n">
        <v>0.013</v>
      </c>
      <c r="I27" s="20" t="n">
        <v>57</v>
      </c>
      <c r="J27" s="16" t="inlineStr">
        <is>
          <t>red</t>
        </is>
      </c>
      <c r="K27" s="20" t="n">
        <v>7</v>
      </c>
      <c r="L27" s="18" t="n">
        <v>63.52</v>
      </c>
      <c r="M27" s="18" t="n">
        <v>1321.7</v>
      </c>
      <c r="N27" s="18" t="n">
        <v>1272</v>
      </c>
      <c r="O27" s="18" t="n">
        <v>1220.4</v>
      </c>
      <c r="P27" s="18" t="n">
        <v>1341</v>
      </c>
      <c r="Q27" s="18" t="n">
        <v>1066.28</v>
      </c>
      <c r="R27" s="21">
        <f>IF(OR(G27="",P27=""),"",G27/P27-1)</f>
        <v/>
      </c>
      <c r="S27" s="19" t="n">
        <v>0.6724</v>
      </c>
      <c r="T27" s="22" t="n">
        <v>0.011</v>
      </c>
      <c r="U27" s="16" t="inlineStr">
        <is>
          <t>Yes</t>
        </is>
      </c>
      <c r="V27" s="16" t="inlineStr">
        <is>
          <t>Yes</t>
        </is>
      </c>
      <c r="W27" s="16" t="inlineStr">
        <is>
          <t>Yes</t>
        </is>
      </c>
      <c r="X27" s="16" t="inlineStr">
        <is>
          <t>Yes</t>
        </is>
      </c>
      <c r="Y27" s="20" t="n">
        <v>371</v>
      </c>
      <c r="Z27" s="19" t="n">
        <v>0.0423</v>
      </c>
      <c r="AA27" s="18" t="n">
        <v>41.37</v>
      </c>
      <c r="AB27" s="16" t="inlineStr">
        <is>
          <t>Average</t>
        </is>
      </c>
      <c r="AC27" s="16" t="inlineStr">
        <is>
          <t>No</t>
        </is>
      </c>
      <c r="AD27" s="19" t="n">
        <v>0.1269</v>
      </c>
      <c r="AE27" s="19" t="n">
        <v>0.117</v>
      </c>
      <c r="AF27" s="19" t="n">
        <v>1.9595</v>
      </c>
      <c r="AG27" s="19" t="n">
        <v>0.0375</v>
      </c>
      <c r="AH27" s="23" t="n">
        <v>1.19</v>
      </c>
      <c r="AI27" s="23" t="n">
        <v>1.31</v>
      </c>
      <c r="AJ27" s="19" t="n">
        <v>0.1764</v>
      </c>
    </row>
    <row r="28">
      <c r="A28" s="16" t="inlineStr">
        <is>
          <t>NTPC</t>
        </is>
      </c>
      <c r="B28" s="16" t="inlineStr">
        <is>
          <t>NTPC Ltd.</t>
        </is>
      </c>
      <c r="C28" s="16" t="inlineStr">
        <is>
          <t>Power - Electric Utilities</t>
        </is>
      </c>
      <c r="D28" s="16" t="inlineStr">
        <is>
          <t>Utilities</t>
        </is>
      </c>
      <c r="E28" s="16" t="inlineStr">
        <is>
          <t>INE733E01010</t>
        </is>
      </c>
      <c r="F28" s="17" t="n">
        <v>322414.15</v>
      </c>
      <c r="G28" s="18" t="n">
        <v>332.5</v>
      </c>
      <c r="H28" s="19" t="n">
        <v>0.0048</v>
      </c>
      <c r="I28" s="20" t="n">
        <v>34</v>
      </c>
      <c r="J28" s="16" t="inlineStr">
        <is>
          <t>red</t>
        </is>
      </c>
      <c r="K28" s="20" t="n">
        <v>64</v>
      </c>
      <c r="L28" s="18" t="n">
        <v>48.26</v>
      </c>
      <c r="M28" s="18" t="n">
        <v>328.28</v>
      </c>
      <c r="N28" s="18" t="n">
        <v>340.13</v>
      </c>
      <c r="O28" s="18" t="n">
        <v>353.7</v>
      </c>
      <c r="P28" s="18" t="n">
        <v>405.82</v>
      </c>
      <c r="Q28" s="18" t="n">
        <v>312.74</v>
      </c>
      <c r="R28" s="21">
        <f>IF(OR(G28="",P28=""),"",G28/P28-1)</f>
        <v/>
      </c>
      <c r="S28" s="19" t="n">
        <v>0.7757999999999999</v>
      </c>
      <c r="T28" s="22" t="n">
        <v>0.0019</v>
      </c>
      <c r="U28" s="16" t="inlineStr">
        <is>
          <t>Yes</t>
        </is>
      </c>
      <c r="V28" s="16" t="inlineStr">
        <is>
          <t>No</t>
        </is>
      </c>
      <c r="W28" s="16" t="inlineStr">
        <is>
          <t>Yes</t>
        </is>
      </c>
      <c r="X28" s="16" t="inlineStr">
        <is>
          <t>No</t>
        </is>
      </c>
      <c r="Y28" s="20" t="n">
        <v>24</v>
      </c>
      <c r="Z28" s="19" t="n">
        <v>-0.0384</v>
      </c>
      <c r="AA28" s="18" t="n">
        <v>31.17</v>
      </c>
      <c r="AB28" s="16" t="inlineStr">
        <is>
          <t>Poor</t>
        </is>
      </c>
      <c r="AC28" s="16" t="inlineStr">
        <is>
          <t>No</t>
        </is>
      </c>
      <c r="AD28" s="19" t="n">
        <v>0.1299</v>
      </c>
      <c r="AE28" s="19" t="n">
        <v>0.09230000000000001</v>
      </c>
      <c r="AF28" s="19" t="n">
        <v>0.1704</v>
      </c>
      <c r="AG28" s="19" t="n">
        <v>0.019</v>
      </c>
      <c r="AH28" s="23" t="n">
        <v>1.33</v>
      </c>
      <c r="AI28" s="23" t="n">
        <v>0.44</v>
      </c>
      <c r="AJ28" s="19" t="n">
        <v>0.2373</v>
      </c>
    </row>
    <row r="29">
      <c r="A29" s="16" t="inlineStr">
        <is>
          <t>BAJAJFINSV</t>
        </is>
      </c>
      <c r="B29" s="16" t="inlineStr">
        <is>
          <t>Bajaj Finserv Ltd.</t>
        </is>
      </c>
      <c r="C29" s="16" t="inlineStr">
        <is>
          <t>Holding Companies</t>
        </is>
      </c>
      <c r="D29" s="16" t="inlineStr">
        <is>
          <t>Diversified</t>
        </is>
      </c>
      <c r="E29" s="16" t="inlineStr">
        <is>
          <t>INE918I01026</t>
        </is>
      </c>
      <c r="F29" s="17" t="n">
        <v>315308.35</v>
      </c>
      <c r="G29" s="18" t="n">
        <v>1970</v>
      </c>
      <c r="H29" s="19" t="n">
        <v>-0.0111</v>
      </c>
      <c r="I29" s="20" t="n">
        <v>51</v>
      </c>
      <c r="J29" s="16" t="inlineStr">
        <is>
          <t>red</t>
        </is>
      </c>
      <c r="K29" s="20" t="n">
        <v>23</v>
      </c>
      <c r="L29" s="18" t="n">
        <v>40.63</v>
      </c>
      <c r="M29" s="18" t="n">
        <v>1996.01</v>
      </c>
      <c r="N29" s="18" t="n">
        <v>1949.52</v>
      </c>
      <c r="O29" s="18" t="n">
        <v>1902.8</v>
      </c>
      <c r="P29" s="18" t="n">
        <v>2174.74</v>
      </c>
      <c r="Q29" s="18" t="n">
        <v>1630.41</v>
      </c>
      <c r="R29" s="21">
        <f>IF(OR(G29="",P29=""),"",G29/P29-1)</f>
        <v/>
      </c>
      <c r="S29" s="19" t="n">
        <v>0.4017</v>
      </c>
      <c r="T29" s="22" t="n">
        <v>-0.004500000000000001</v>
      </c>
      <c r="U29" s="16" t="inlineStr">
        <is>
          <t>No</t>
        </is>
      </c>
      <c r="V29" s="16" t="inlineStr">
        <is>
          <t>Yes</t>
        </is>
      </c>
      <c r="W29" s="16" t="inlineStr">
        <is>
          <t>No</t>
        </is>
      </c>
      <c r="X29" s="16" t="inlineStr">
        <is>
          <t>Yes</t>
        </is>
      </c>
      <c r="Y29" s="20" t="n">
        <v>10</v>
      </c>
      <c r="Z29" s="19" t="n">
        <v>0.0246</v>
      </c>
      <c r="AA29" s="18" t="n">
        <v>54.46</v>
      </c>
      <c r="AB29" s="16" t="inlineStr">
        <is>
          <t>Good</t>
        </is>
      </c>
      <c r="AC29" s="16" t="inlineStr">
        <is>
          <t>Yes</t>
        </is>
      </c>
      <c r="AD29" s="19" t="n">
        <v>0.1278</v>
      </c>
      <c r="AE29" s="19" t="n">
        <v>0.1326</v>
      </c>
      <c r="AF29" s="19" t="n">
        <v>0.1538</v>
      </c>
      <c r="AG29" s="19" t="n">
        <v>0.2324</v>
      </c>
      <c r="AH29" s="23" t="n">
        <v>4.64</v>
      </c>
      <c r="AI29" s="23" t="n">
        <v>25.33</v>
      </c>
      <c r="AJ29" s="19" t="n">
        <v>0.194</v>
      </c>
    </row>
    <row r="30">
      <c r="A30" s="16" t="inlineStr">
        <is>
          <t>ETERNAL</t>
        </is>
      </c>
      <c r="B30" s="16" t="inlineStr">
        <is>
          <t>Eternal Ltd.</t>
        </is>
      </c>
      <c r="C30" s="16" t="inlineStr">
        <is>
          <t>Internet &amp; Catalogue Retail</t>
        </is>
      </c>
      <c r="D30" s="16" t="inlineStr">
        <is>
          <t>Retailing</t>
        </is>
      </c>
      <c r="E30" s="16" t="inlineStr">
        <is>
          <t>INE758T01015</t>
        </is>
      </c>
      <c r="F30" s="17" t="n">
        <v>311465.07</v>
      </c>
      <c r="G30" s="18" t="n">
        <v>322.75</v>
      </c>
      <c r="H30" s="19" t="n">
        <v>-0.0063</v>
      </c>
      <c r="I30" s="20" t="n">
        <v>69</v>
      </c>
      <c r="J30" s="16" t="inlineStr">
        <is>
          <t>amber</t>
        </is>
      </c>
      <c r="K30" s="20" t="n">
        <v>25</v>
      </c>
      <c r="L30" s="18" t="n">
        <v>57.83</v>
      </c>
      <c r="M30" s="18" t="n">
        <v>326.77</v>
      </c>
      <c r="N30" s="18" t="n">
        <v>304.51</v>
      </c>
      <c r="O30" s="18" t="n">
        <v>273.62</v>
      </c>
      <c r="P30" s="18" t="n">
        <v>354.35</v>
      </c>
      <c r="Q30" s="18" t="n">
        <v>215.68</v>
      </c>
      <c r="R30" s="21">
        <f>IF(OR(G30="",P30=""),"",G30/P30-1)</f>
        <v/>
      </c>
      <c r="S30" s="19" t="n">
        <v>0.4922</v>
      </c>
      <c r="T30" s="22" t="n">
        <v>0.0025</v>
      </c>
      <c r="U30" s="16" t="inlineStr">
        <is>
          <t>Yes</t>
        </is>
      </c>
      <c r="V30" s="16" t="inlineStr">
        <is>
          <t>Yes</t>
        </is>
      </c>
      <c r="W30" s="16" t="inlineStr">
        <is>
          <t>No</t>
        </is>
      </c>
      <c r="X30" s="16" t="inlineStr">
        <is>
          <t>Yes</t>
        </is>
      </c>
      <c r="Y30" s="20" t="n">
        <v>23</v>
      </c>
      <c r="Z30" s="19" t="n">
        <v>0.1129</v>
      </c>
      <c r="AA30" s="18" t="n">
        <v>51.42</v>
      </c>
      <c r="AB30" s="16" t="inlineStr">
        <is>
          <t>Average</t>
        </is>
      </c>
      <c r="AC30" s="16" t="inlineStr">
        <is>
          <t>No</t>
        </is>
      </c>
      <c r="AD30" s="19" t="n">
        <v>0.0155</v>
      </c>
      <c r="AE30" s="19" t="n">
        <v>0.0238</v>
      </c>
      <c r="AF30" s="19" t="n">
        <v>0.4852</v>
      </c>
      <c r="AG30" s="19" t="n">
        <v>1.0262</v>
      </c>
      <c r="AH30" s="23" t="n">
        <v>0.15</v>
      </c>
      <c r="AI30" s="23" t="n">
        <v>8.369999999999999</v>
      </c>
      <c r="AJ30" s="19" t="n">
        <v>0.0256</v>
      </c>
    </row>
    <row r="31">
      <c r="A31" s="16" t="inlineStr">
        <is>
          <t>BEL</t>
        </is>
      </c>
      <c r="B31" s="16" t="inlineStr">
        <is>
          <t>Bharat Electronics Ltd.</t>
        </is>
      </c>
      <c r="C31" s="16" t="inlineStr">
        <is>
          <t>Aerospace &amp; Defence</t>
        </is>
      </c>
      <c r="D31" s="16" t="inlineStr">
        <is>
          <t>General Industrials</t>
        </is>
      </c>
      <c r="E31" s="16" t="inlineStr">
        <is>
          <t>INE263A01024</t>
        </is>
      </c>
      <c r="F31" s="17" t="n">
        <v>296301.88</v>
      </c>
      <c r="G31" s="18" t="n">
        <v>405.35</v>
      </c>
      <c r="H31" s="19" t="n">
        <v>-0.008</v>
      </c>
      <c r="I31" s="20" t="n">
        <v>35</v>
      </c>
      <c r="J31" s="16" t="inlineStr">
        <is>
          <t>red</t>
        </is>
      </c>
      <c r="K31" s="20" t="n">
        <v>76</v>
      </c>
      <c r="L31" s="18" t="n">
        <v>42.28</v>
      </c>
      <c r="M31" s="18" t="n">
        <v>409.39</v>
      </c>
      <c r="N31" s="18" t="n">
        <v>406.67</v>
      </c>
      <c r="O31" s="18" t="n">
        <v>417.93</v>
      </c>
      <c r="P31" s="18" t="n">
        <v>467.81</v>
      </c>
      <c r="Q31" s="18" t="n">
        <v>368.73</v>
      </c>
      <c r="R31" s="21">
        <f>IF(OR(G31="",P31=""),"",G31/P31-1)</f>
        <v/>
      </c>
      <c r="S31" s="19" t="n">
        <v>0.6956</v>
      </c>
      <c r="T31" s="22" t="n">
        <v>-0.0017</v>
      </c>
      <c r="U31" s="16" t="inlineStr">
        <is>
          <t>No</t>
        </is>
      </c>
      <c r="V31" s="16" t="inlineStr">
        <is>
          <t>No</t>
        </is>
      </c>
      <c r="W31" s="16" t="inlineStr">
        <is>
          <t>No</t>
        </is>
      </c>
      <c r="X31" s="16" t="inlineStr">
        <is>
          <t>No</t>
        </is>
      </c>
      <c r="Y31" s="20" t="n">
        <v>44</v>
      </c>
      <c r="Z31" s="19" t="n">
        <v>-0.0269</v>
      </c>
      <c r="AA31" s="18" t="n">
        <v>80.83</v>
      </c>
      <c r="AB31" s="16" t="inlineStr">
        <is>
          <t>High</t>
        </is>
      </c>
      <c r="AC31" s="16" t="inlineStr">
        <is>
          <t>No</t>
        </is>
      </c>
      <c r="AD31" s="19" t="n">
        <v>0.2544</v>
      </c>
      <c r="AE31" s="19" t="n">
        <v>0.3372</v>
      </c>
      <c r="AF31" s="19" t="n">
        <v>0.269</v>
      </c>
      <c r="AG31" s="19" t="n">
        <v>0.1547</v>
      </c>
      <c r="AH31" s="23" t="n">
        <v>0</v>
      </c>
      <c r="AI31" s="23" t="n">
        <v>6.73</v>
      </c>
      <c r="AJ31" s="19" t="n">
        <v>0.125</v>
      </c>
    </row>
    <row r="32">
      <c r="A32" s="16" t="inlineStr">
        <is>
          <t>ONGC</t>
        </is>
      </c>
      <c r="B32" s="16" t="inlineStr">
        <is>
          <t>Oil And Natural Gas Corporation Ltd.</t>
        </is>
      </c>
      <c r="C32" s="16" t="inlineStr">
        <is>
          <t>Exploration &amp; Production</t>
        </is>
      </c>
      <c r="D32" s="16" t="inlineStr">
        <is>
          <t>Oil &amp; Gas</t>
        </is>
      </c>
      <c r="E32" s="16" t="inlineStr">
        <is>
          <t>INE213A01029</t>
        </is>
      </c>
      <c r="F32" s="17" t="n">
        <v>295196.25</v>
      </c>
      <c r="G32" s="18" t="n">
        <v>234.65</v>
      </c>
      <c r="H32" s="19" t="n">
        <v>-0.0015</v>
      </c>
      <c r="I32" s="20" t="n">
        <v>28</v>
      </c>
      <c r="J32" s="16" t="inlineStr">
        <is>
          <t>red</t>
        </is>
      </c>
      <c r="K32" s="20" t="n">
        <v>64</v>
      </c>
      <c r="L32" s="18" t="n">
        <v>42.13</v>
      </c>
      <c r="M32" s="18" t="n">
        <v>233.24</v>
      </c>
      <c r="N32" s="18" t="n">
        <v>239.44</v>
      </c>
      <c r="O32" s="18" t="n">
        <v>254.91</v>
      </c>
      <c r="P32" s="18" t="n">
        <v>300.12</v>
      </c>
      <c r="Q32" s="18" t="n">
        <v>219.67</v>
      </c>
      <c r="R32" s="21">
        <f>IF(OR(G32="",P32=""),"",G32/P32-1)</f>
        <v/>
      </c>
      <c r="S32" s="19" t="n">
        <v>0.4479</v>
      </c>
      <c r="T32" s="22" t="n">
        <v>-0.0019</v>
      </c>
      <c r="U32" s="16" t="inlineStr">
        <is>
          <t>No</t>
        </is>
      </c>
      <c r="V32" s="16" t="inlineStr">
        <is>
          <t>No</t>
        </is>
      </c>
      <c r="W32" s="16" t="inlineStr">
        <is>
          <t>Yes</t>
        </is>
      </c>
      <c r="X32" s="16" t="inlineStr">
        <is>
          <t>No</t>
        </is>
      </c>
      <c r="Y32" s="20" t="n">
        <v>31</v>
      </c>
      <c r="Z32" s="19" t="n">
        <v>-0.0607</v>
      </c>
      <c r="AA32" s="18" t="n">
        <v>36.68</v>
      </c>
      <c r="AB32" s="16" t="inlineStr">
        <is>
          <t>Weak</t>
        </is>
      </c>
      <c r="AC32" s="16" t="inlineStr">
        <is>
          <t>No</t>
        </is>
      </c>
      <c r="AD32" s="19" t="n">
        <v>0.1206</v>
      </c>
      <c r="AE32" s="19" t="n">
        <v>0.1421</v>
      </c>
      <c r="AF32" s="19" t="n">
        <v>0.0731</v>
      </c>
      <c r="AG32" s="19" t="n">
        <v>-0.0126</v>
      </c>
      <c r="AH32" s="23" t="n">
        <v>0.47</v>
      </c>
      <c r="AI32" s="23" t="n">
        <v>1.35</v>
      </c>
      <c r="AJ32" s="19" t="n">
        <v>0.0311</v>
      </c>
    </row>
    <row r="33">
      <c r="A33" s="16" t="inlineStr">
        <is>
          <t>NESTLEIND</t>
        </is>
      </c>
      <c r="B33" s="16" t="inlineStr">
        <is>
          <t>Nestle India Ltd.</t>
        </is>
      </c>
      <c r="C33" s="16" t="inlineStr">
        <is>
          <t>Packaged Foods</t>
        </is>
      </c>
      <c r="D33" s="16" t="inlineStr">
        <is>
          <t>FMCG</t>
        </is>
      </c>
      <c r="E33" s="16" t="inlineStr">
        <is>
          <t>INE239A01024</t>
        </is>
      </c>
      <c r="F33" s="17" t="n">
        <v>271988.73</v>
      </c>
      <c r="G33" s="18" t="n">
        <v>1410.5</v>
      </c>
      <c r="H33" s="19" t="n">
        <v>-0.0039</v>
      </c>
      <c r="I33" s="20" t="n">
        <v>55</v>
      </c>
      <c r="J33" s="16" t="inlineStr">
        <is>
          <t>red</t>
        </is>
      </c>
      <c r="K33" s="20" t="n">
        <v>3</v>
      </c>
      <c r="L33" s="18" t="n">
        <v>35.91</v>
      </c>
      <c r="M33" s="18" t="n">
        <v>1442.79</v>
      </c>
      <c r="N33" s="18" t="n">
        <v>1465.87</v>
      </c>
      <c r="O33" s="18" t="n">
        <v>1346.94</v>
      </c>
      <c r="P33" s="18" t="n">
        <v>1540</v>
      </c>
      <c r="Q33" s="18" t="n">
        <v>1140.83</v>
      </c>
      <c r="R33" s="21">
        <f>IF(OR(G33="",P33=""),"",G33/P33-1)</f>
        <v/>
      </c>
      <c r="S33" s="19" t="n">
        <v>0.4963</v>
      </c>
      <c r="T33" s="22" t="n">
        <v>0.0157</v>
      </c>
      <c r="U33" s="16" t="inlineStr">
        <is>
          <t>Yes</t>
        </is>
      </c>
      <c r="V33" s="16" t="inlineStr">
        <is>
          <t>No</t>
        </is>
      </c>
      <c r="W33" s="16" t="inlineStr">
        <is>
          <t>No</t>
        </is>
      </c>
      <c r="X33" s="16" t="inlineStr">
        <is>
          <t>Yes</t>
        </is>
      </c>
      <c r="Y33" s="20" t="n">
        <v>321</v>
      </c>
      <c r="Z33" s="19" t="n">
        <v>0.0883</v>
      </c>
      <c r="AA33" s="18" t="n">
        <v>40</v>
      </c>
      <c r="AB33" s="16" t="inlineStr">
        <is>
          <t>Average</t>
        </is>
      </c>
      <c r="AC33" s="16" t="inlineStr">
        <is>
          <t>No</t>
        </is>
      </c>
      <c r="AD33" s="19" t="n">
        <v>0.7998999999999999</v>
      </c>
      <c r="AE33" s="19" t="n">
        <v>0.86</v>
      </c>
      <c r="AF33" s="19" t="n">
        <v>-1</v>
      </c>
      <c r="AG33" s="19" t="n">
        <v>-1</v>
      </c>
      <c r="AH33" s="23" t="n">
        <v>0.29</v>
      </c>
      <c r="AI33" s="23" t="n">
        <v>0</v>
      </c>
      <c r="AJ33" s="19" t="n">
        <v>0.0801</v>
      </c>
    </row>
    <row r="34">
      <c r="A34" s="16" t="inlineStr">
        <is>
          <t>COALINDIA</t>
        </is>
      </c>
      <c r="B34" s="16" t="inlineStr">
        <is>
          <t>Coal India Ltd.</t>
        </is>
      </c>
      <c r="C34" s="16" t="inlineStr">
        <is>
          <t>Coal &amp; Mining</t>
        </is>
      </c>
      <c r="D34" s="16" t="inlineStr">
        <is>
          <t>Metals &amp; Mining</t>
        </is>
      </c>
      <c r="E34" s="16" t="inlineStr">
        <is>
          <t>INE522F01014</t>
        </is>
      </c>
      <c r="F34" s="17" t="n">
        <v>255968.92</v>
      </c>
      <c r="G34" s="18" t="n">
        <v>415.35</v>
      </c>
      <c r="H34" s="19" t="n">
        <v>0.0013</v>
      </c>
      <c r="I34" s="20" t="n">
        <v>41</v>
      </c>
      <c r="J34" s="16" t="inlineStr">
        <is>
          <t>red</t>
        </is>
      </c>
      <c r="K34" s="20" t="n">
        <v>55</v>
      </c>
      <c r="L34" s="18" t="n">
        <v>64.08</v>
      </c>
      <c r="M34" s="18" t="n">
        <v>403.19</v>
      </c>
      <c r="N34" s="18" t="n">
        <v>410.93</v>
      </c>
      <c r="O34" s="18" t="n">
        <v>418.08</v>
      </c>
      <c r="P34" s="18" t="n">
        <v>469.36</v>
      </c>
      <c r="Q34" s="18" t="n">
        <v>355.9</v>
      </c>
      <c r="R34" s="21">
        <f>IF(OR(G34="",P34=""),"",G34/P34-1)</f>
        <v/>
      </c>
      <c r="S34" s="19" t="n">
        <v>0.6568000000000001</v>
      </c>
      <c r="T34" s="22" t="n">
        <v>0.008699999999999999</v>
      </c>
      <c r="U34" s="16" t="inlineStr">
        <is>
          <t>Yes</t>
        </is>
      </c>
      <c r="V34" s="16" t="inlineStr">
        <is>
          <t>Yes</t>
        </is>
      </c>
      <c r="W34" s="16" t="inlineStr">
        <is>
          <t>Yes</t>
        </is>
      </c>
      <c r="X34" s="16" t="inlineStr">
        <is>
          <t>No</t>
        </is>
      </c>
      <c r="Y34" s="20" t="n">
        <v>9</v>
      </c>
      <c r="Z34" s="19" t="n">
        <v>-0.0171</v>
      </c>
      <c r="AA34" s="18" t="n">
        <v>64.48999999999999</v>
      </c>
      <c r="AB34" s="16" t="inlineStr">
        <is>
          <t>High</t>
        </is>
      </c>
      <c r="AC34" s="16" t="inlineStr">
        <is>
          <t>No</t>
        </is>
      </c>
      <c r="AD34" s="19" t="n">
        <v>0.3497</v>
      </c>
      <c r="AE34" s="19" t="n">
        <v>0.4309000000000001</v>
      </c>
      <c r="AF34" s="19" t="n">
        <v>0.0009</v>
      </c>
      <c r="AG34" s="19" t="n">
        <v>0.1022</v>
      </c>
      <c r="AH34" s="23" t="n">
        <v>0.12</v>
      </c>
      <c r="AI34" s="23" t="n">
        <v>1.51</v>
      </c>
      <c r="AJ34" s="19" t="n">
        <v>0.236</v>
      </c>
    </row>
    <row r="35">
      <c r="A35" s="16" t="inlineStr">
        <is>
          <t>HINDZINC</t>
        </is>
      </c>
      <c r="B35" s="16" t="inlineStr">
        <is>
          <t>Hindustan Zinc Ltd.</t>
        </is>
      </c>
      <c r="C35" s="16" t="inlineStr">
        <is>
          <t>Other Non-Ferrous Metals</t>
        </is>
      </c>
      <c r="D35" s="16" t="inlineStr">
        <is>
          <t>Metals &amp; Mining</t>
        </is>
      </c>
      <c r="E35" s="16" t="inlineStr">
        <is>
          <t>INE267A01025</t>
        </is>
      </c>
      <c r="F35" s="17" t="n">
        <v>253941.67</v>
      </c>
      <c r="G35" s="18" t="n">
        <v>601</v>
      </c>
      <c r="H35" s="19" t="n">
        <v>0.0222</v>
      </c>
      <c r="I35" s="20" t="n">
        <v>62</v>
      </c>
      <c r="J35" s="16" t="inlineStr">
        <is>
          <t>amber</t>
        </is>
      </c>
      <c r="K35" s="20" t="n">
        <v>1</v>
      </c>
      <c r="L35" s="18" t="n">
        <v>59.24</v>
      </c>
      <c r="M35" s="18" t="n">
        <v>603.55</v>
      </c>
      <c r="N35" s="18" t="n">
        <v>559.02</v>
      </c>
      <c r="O35" s="18" t="n">
        <v>574.58</v>
      </c>
      <c r="P35" s="18" t="n">
        <v>714.15</v>
      </c>
      <c r="Q35" s="18" t="n">
        <v>425.08</v>
      </c>
      <c r="R35" s="21">
        <f>IF(OR(G35="",P35=""),"",G35/P35-1)</f>
        <v/>
      </c>
      <c r="S35" s="19" t="n">
        <v>0.7376</v>
      </c>
      <c r="T35" s="22" t="n">
        <v>0.0208</v>
      </c>
      <c r="U35" s="16" t="inlineStr">
        <is>
          <t>Yes</t>
        </is>
      </c>
      <c r="V35" s="16" t="inlineStr">
        <is>
          <t>Yes</t>
        </is>
      </c>
      <c r="W35" s="16" t="inlineStr">
        <is>
          <t>No</t>
        </is>
      </c>
      <c r="X35" s="16" t="inlineStr">
        <is>
          <t>No</t>
        </is>
      </c>
      <c r="Y35" s="20" t="n">
        <v>28</v>
      </c>
      <c r="Z35" s="19" t="n">
        <v>-0.0271</v>
      </c>
      <c r="AA35" s="18" t="n">
        <v>60.81</v>
      </c>
      <c r="AB35" s="16" t="inlineStr">
        <is>
          <t>Good</t>
        </is>
      </c>
      <c r="AC35" s="16" t="inlineStr">
        <is>
          <t>No</t>
        </is>
      </c>
      <c r="AD35" s="19" t="n">
        <v>0.6329</v>
      </c>
      <c r="AE35" s="19" t="n">
        <v>0.5524</v>
      </c>
      <c r="AF35" s="19" t="n">
        <v>0.1362</v>
      </c>
      <c r="AG35" s="19" t="n">
        <v>0.0689</v>
      </c>
      <c r="AH35" s="23" t="n">
        <v>0.39</v>
      </c>
      <c r="AI35" s="23" t="n">
        <v>1.63</v>
      </c>
      <c r="AJ35" s="19" t="n">
        <v>0.1755</v>
      </c>
    </row>
    <row r="36">
      <c r="A36" s="16" t="inlineStr">
        <is>
          <t>POWERGRID</t>
        </is>
      </c>
      <c r="B36" s="16" t="inlineStr">
        <is>
          <t>Power Grid Corporation of India Ltd.</t>
        </is>
      </c>
      <c r="C36" s="16" t="inlineStr">
        <is>
          <t>Power - Electric Utilities</t>
        </is>
      </c>
      <c r="D36" s="16" t="inlineStr">
        <is>
          <t>Utilities</t>
        </is>
      </c>
      <c r="E36" s="16" t="inlineStr">
        <is>
          <t>INE752E01010</t>
        </is>
      </c>
      <c r="F36" s="17" t="n">
        <v>247396.06</v>
      </c>
      <c r="G36" s="18" t="n">
        <v>266</v>
      </c>
      <c r="H36" s="19" t="n">
        <v>0.0015</v>
      </c>
      <c r="I36" s="20" t="n">
        <v>28</v>
      </c>
      <c r="J36" s="16" t="inlineStr">
        <is>
          <t>red</t>
        </is>
      </c>
      <c r="K36" s="20" t="n">
        <v>72</v>
      </c>
      <c r="L36" s="18" t="n">
        <v>49.76</v>
      </c>
      <c r="M36" s="18" t="n">
        <v>265.33</v>
      </c>
      <c r="N36" s="18" t="n">
        <v>277.43</v>
      </c>
      <c r="O36" s="18" t="n">
        <v>283.97</v>
      </c>
      <c r="P36" s="18" t="n">
        <v>320.9</v>
      </c>
      <c r="Q36" s="18" t="n">
        <v>251.23</v>
      </c>
      <c r="R36" s="21">
        <f>IF(OR(G36="",P36=""),"",G36/P36-1)</f>
        <v/>
      </c>
      <c r="S36" s="19" t="n">
        <v>0.9118999999999999</v>
      </c>
      <c r="T36" s="22" t="n">
        <v>-0.0024</v>
      </c>
      <c r="U36" s="16" t="inlineStr">
        <is>
          <t>No</t>
        </is>
      </c>
      <c r="V36" s="16" t="inlineStr">
        <is>
          <t>No</t>
        </is>
      </c>
      <c r="W36" s="16" t="inlineStr">
        <is>
          <t>Yes</t>
        </is>
      </c>
      <c r="X36" s="16" t="inlineStr">
        <is>
          <t>No</t>
        </is>
      </c>
      <c r="Y36" s="20" t="n">
        <v>18</v>
      </c>
      <c r="Z36" s="19" t="n">
        <v>-0.023</v>
      </c>
      <c r="AA36" s="18" t="n">
        <v>32.21</v>
      </c>
      <c r="AB36" s="16" t="inlineStr">
        <is>
          <t>Poor</t>
        </is>
      </c>
      <c r="AC36" s="16" t="inlineStr">
        <is>
          <t>No</t>
        </is>
      </c>
      <c r="AD36" s="19" t="n">
        <v>0.1682</v>
      </c>
      <c r="AE36" s="19" t="n">
        <v>0.1201</v>
      </c>
      <c r="AF36" s="19" t="n">
        <v>0.011</v>
      </c>
      <c r="AG36" s="19" t="n">
        <v>0.0058</v>
      </c>
      <c r="AH36" s="23" t="n">
        <v>1.51</v>
      </c>
      <c r="AI36" s="23" t="n">
        <v>0.2</v>
      </c>
      <c r="AJ36" s="19" t="n">
        <v>0.2149</v>
      </c>
    </row>
    <row r="37">
      <c r="A37" s="16" t="inlineStr">
        <is>
          <t>DMART</t>
        </is>
      </c>
      <c r="B37" s="16" t="inlineStr">
        <is>
          <t>Avenue Supermarts Ltd.</t>
        </is>
      </c>
      <c r="C37" s="16" t="inlineStr">
        <is>
          <t>Department Stores</t>
        </is>
      </c>
      <c r="D37" s="16" t="inlineStr">
        <is>
          <t>Retailing</t>
        </is>
      </c>
      <c r="E37" s="16" t="inlineStr">
        <is>
          <t>INE192R01011</t>
        </is>
      </c>
      <c r="F37" s="17" t="n">
        <v>245896.74</v>
      </c>
      <c r="G37" s="18" t="n">
        <v>3770</v>
      </c>
      <c r="H37" s="19" t="n">
        <v>0.0019</v>
      </c>
      <c r="I37" s="20" t="n">
        <v>24</v>
      </c>
      <c r="J37" s="16" t="inlineStr">
        <is>
          <t>red</t>
        </is>
      </c>
      <c r="K37" s="20" t="n">
        <v>77</v>
      </c>
      <c r="L37" s="18" t="n">
        <v>26.89</v>
      </c>
      <c r="M37" s="18" t="n">
        <v>3821.91</v>
      </c>
      <c r="N37" s="18" t="n">
        <v>3983.47</v>
      </c>
      <c r="O37" s="18" t="n">
        <v>4021.35</v>
      </c>
      <c r="P37" s="18" t="n">
        <v>4829.3</v>
      </c>
      <c r="Q37" s="18" t="n">
        <v>3646.3</v>
      </c>
      <c r="R37" s="21">
        <f>IF(OR(G37="",P37=""),"",G37/P37-1)</f>
        <v/>
      </c>
      <c r="S37" s="19" t="n">
        <v>0.5503</v>
      </c>
      <c r="T37" s="22" t="n">
        <v>-0.005</v>
      </c>
      <c r="U37" s="16" t="inlineStr">
        <is>
          <t>No</t>
        </is>
      </c>
      <c r="V37" s="16" t="inlineStr">
        <is>
          <t>No</t>
        </is>
      </c>
      <c r="W37" s="16" t="inlineStr">
        <is>
          <t>No</t>
        </is>
      </c>
      <c r="X37" s="16" t="inlineStr">
        <is>
          <t>No</t>
        </is>
      </c>
      <c r="Y37" s="20" t="n">
        <v>4</v>
      </c>
      <c r="Z37" s="19" t="n">
        <v>-0.009399999999999999</v>
      </c>
      <c r="AA37" s="18" t="n">
        <v>57.56</v>
      </c>
      <c r="AB37" s="16" t="inlineStr">
        <is>
          <t>Good</t>
        </is>
      </c>
      <c r="AC37" s="16" t="inlineStr">
        <is>
          <t>No</t>
        </is>
      </c>
      <c r="AD37" s="19" t="n">
        <v>0.1278</v>
      </c>
      <c r="AE37" s="19" t="n">
        <v>0.1692</v>
      </c>
      <c r="AF37" s="19" t="n">
        <v>0.0775</v>
      </c>
      <c r="AG37" s="19" t="n">
        <v>0.1714</v>
      </c>
      <c r="AH37" s="23" t="n">
        <v>0.1</v>
      </c>
      <c r="AI37" s="23" t="n">
        <v>3.23</v>
      </c>
      <c r="AJ37" s="19" t="n">
        <v>0.0611</v>
      </c>
    </row>
    <row r="38">
      <c r="A38" s="16" t="inlineStr">
        <is>
          <t>SHRIRAMFIN</t>
        </is>
      </c>
      <c r="B38" s="16" t="inlineStr">
        <is>
          <t>Shriram Finance Ltd.</t>
        </is>
      </c>
      <c r="C38" s="16" t="inlineStr">
        <is>
          <t>Finance (including NBFCs)</t>
        </is>
      </c>
      <c r="D38" s="16" t="inlineStr">
        <is>
          <t>Banking and Finance</t>
        </is>
      </c>
      <c r="E38" s="16" t="inlineStr">
        <is>
          <t>INE721A01047</t>
        </is>
      </c>
      <c r="F38" s="17" t="n">
        <v>244945.58</v>
      </c>
      <c r="G38" s="18" t="n">
        <v>1041</v>
      </c>
      <c r="H38" s="19" t="n">
        <v>-0.0031</v>
      </c>
      <c r="I38" s="20" t="n">
        <v>74</v>
      </c>
      <c r="J38" s="16" t="inlineStr">
        <is>
          <t>amber</t>
        </is>
      </c>
      <c r="K38" s="20" t="n">
        <v>4</v>
      </c>
      <c r="L38" s="18" t="n">
        <v>31.07</v>
      </c>
      <c r="M38" s="18" t="n">
        <v>1075.82</v>
      </c>
      <c r="N38" s="18" t="n">
        <v>1072.84</v>
      </c>
      <c r="O38" s="18" t="n">
        <v>989.3</v>
      </c>
      <c r="P38" s="18" t="n">
        <v>1141</v>
      </c>
      <c r="Q38" s="18" t="n">
        <v>578.98</v>
      </c>
      <c r="R38" s="21">
        <f>IF(OR(G38="",P38=""),"",G38/P38-1)</f>
        <v/>
      </c>
      <c r="S38" s="19" t="n">
        <v>0.8889</v>
      </c>
      <c r="T38" s="22" t="n">
        <v>0.035</v>
      </c>
      <c r="U38" s="16" t="inlineStr">
        <is>
          <t>Yes</t>
        </is>
      </c>
      <c r="V38" s="16" t="inlineStr">
        <is>
          <t>No</t>
        </is>
      </c>
      <c r="W38" s="16" t="inlineStr">
        <is>
          <t>No</t>
        </is>
      </c>
      <c r="X38" s="16" t="inlineStr">
        <is>
          <t>Yes</t>
        </is>
      </c>
      <c r="Y38" s="20" t="n">
        <v>224</v>
      </c>
      <c r="Z38" s="19" t="n">
        <v>0.08439999999999999</v>
      </c>
      <c r="AA38" s="18" t="n">
        <v>59.86</v>
      </c>
      <c r="AB38" s="16" t="inlineStr">
        <is>
          <t>Good</t>
        </is>
      </c>
      <c r="AC38" s="16" t="inlineStr">
        <is>
          <t>Yes</t>
        </is>
      </c>
      <c r="AD38" s="19" t="n">
        <v>0.1573</v>
      </c>
      <c r="AE38" s="19" t="n"/>
      <c r="AF38" s="19" t="n">
        <v>0.1901</v>
      </c>
      <c r="AG38" s="19" t="n">
        <v>0.1393</v>
      </c>
      <c r="AH38" s="23" t="n">
        <v>2.76</v>
      </c>
      <c r="AI38" s="23" t="n">
        <v>22.31</v>
      </c>
      <c r="AJ38" s="19" t="n">
        <v>0.0116</v>
      </c>
    </row>
    <row r="39">
      <c r="A39" s="16" t="inlineStr">
        <is>
          <t>ASIANPAINT</t>
        </is>
      </c>
      <c r="B39" s="16" t="inlineStr">
        <is>
          <t>Asian Paints Ltd.</t>
        </is>
      </c>
      <c r="C39" s="16" t="inlineStr">
        <is>
          <t>Paints</t>
        </is>
      </c>
      <c r="D39" s="16" t="inlineStr">
        <is>
          <t>Consumer Durables</t>
        </is>
      </c>
      <c r="E39" s="16" t="inlineStr">
        <is>
          <t>INE021A01026</t>
        </is>
      </c>
      <c r="F39" s="17" t="n">
        <v>242418.06</v>
      </c>
      <c r="G39" s="18" t="n">
        <v>2527.3</v>
      </c>
      <c r="H39" s="19" t="n">
        <v>-0.005600000000000001</v>
      </c>
      <c r="I39" s="20" t="n">
        <v>34</v>
      </c>
      <c r="J39" s="16" t="inlineStr">
        <is>
          <t>red</t>
        </is>
      </c>
      <c r="K39" s="20" t="n">
        <v>21</v>
      </c>
      <c r="L39" s="18" t="n">
        <v>25.22</v>
      </c>
      <c r="M39" s="18" t="n">
        <v>2586.46</v>
      </c>
      <c r="N39" s="18" t="n">
        <v>2682</v>
      </c>
      <c r="O39" s="18" t="n">
        <v>2584.57</v>
      </c>
      <c r="P39" s="18" t="n">
        <v>2942.97</v>
      </c>
      <c r="Q39" s="18" t="n">
        <v>2103.05</v>
      </c>
      <c r="R39" s="21">
        <f>IF(OR(G39="",P39=""),"",G39/P39-1)</f>
        <v/>
      </c>
      <c r="S39" s="19" t="n">
        <v>0.4557</v>
      </c>
      <c r="T39" s="22" t="n">
        <v>0.001</v>
      </c>
      <c r="U39" s="16" t="inlineStr">
        <is>
          <t>Yes</t>
        </is>
      </c>
      <c r="V39" s="16" t="inlineStr">
        <is>
          <t>No</t>
        </is>
      </c>
      <c r="W39" s="16" t="inlineStr">
        <is>
          <t>No</t>
        </is>
      </c>
      <c r="X39" s="16" t="inlineStr">
        <is>
          <t>Yes</t>
        </is>
      </c>
      <c r="Y39" s="20" t="n">
        <v>59</v>
      </c>
      <c r="Z39" s="19" t="n">
        <v>0.0377</v>
      </c>
      <c r="AA39" s="18" t="n">
        <v>59.24</v>
      </c>
      <c r="AB39" s="16" t="inlineStr">
        <is>
          <t>Good</t>
        </is>
      </c>
      <c r="AC39" s="16" t="inlineStr">
        <is>
          <t>No</t>
        </is>
      </c>
      <c r="AD39" s="19" t="n">
        <v>0.2276</v>
      </c>
      <c r="AE39" s="19" t="n">
        <v>0.2823</v>
      </c>
      <c r="AF39" s="19" t="n">
        <v>0.0603</v>
      </c>
      <c r="AG39" s="19" t="n">
        <v>0.0119</v>
      </c>
      <c r="AH39" s="23" t="n">
        <v>0.18</v>
      </c>
      <c r="AI39" s="23" t="n">
        <v>3.2</v>
      </c>
      <c r="AJ39" s="19" t="n">
        <v>0.1743</v>
      </c>
    </row>
    <row r="40">
      <c r="A40" s="16" t="inlineStr">
        <is>
          <t>DIVISLAB</t>
        </is>
      </c>
      <c r="B40" s="16" t="inlineStr">
        <is>
          <t>Divi's Laboratories Ltd.</t>
        </is>
      </c>
      <c r="C40" s="16" t="inlineStr">
        <is>
          <t>Pharmaceuticals</t>
        </is>
      </c>
      <c r="D40" s="16" t="inlineStr">
        <is>
          <t>Pharmaceuticals &amp; Biotechnology</t>
        </is>
      </c>
      <c r="E40" s="16" t="inlineStr">
        <is>
          <t>INE361B01024</t>
        </is>
      </c>
      <c r="F40" s="17" t="n">
        <v>241576.43</v>
      </c>
      <c r="G40" s="18" t="n">
        <v>9100</v>
      </c>
      <c r="H40" s="19" t="n">
        <v>-0.0162</v>
      </c>
      <c r="I40" s="20" t="n">
        <v>82</v>
      </c>
      <c r="J40" s="16" t="inlineStr">
        <is>
          <t>green</t>
        </is>
      </c>
      <c r="K40" s="20" t="n">
        <v>9</v>
      </c>
      <c r="L40" s="18" t="n">
        <v>67.37</v>
      </c>
      <c r="M40" s="18" t="n">
        <v>9190.75</v>
      </c>
      <c r="N40" s="18" t="n">
        <v>7913.4</v>
      </c>
      <c r="O40" s="18" t="n">
        <v>6751.15</v>
      </c>
      <c r="P40" s="18" t="n">
        <v>9467</v>
      </c>
      <c r="Q40" s="18" t="n">
        <v>5666.13</v>
      </c>
      <c r="R40" s="21">
        <f>IF(OR(G40="",P40=""),"",G40/P40-1)</f>
        <v/>
      </c>
      <c r="S40" s="19" t="n">
        <v>0.4747999999999999</v>
      </c>
      <c r="T40" s="22" t="n">
        <v>0.034</v>
      </c>
      <c r="U40" s="16" t="inlineStr">
        <is>
          <t>Yes</t>
        </is>
      </c>
      <c r="V40" s="16" t="inlineStr">
        <is>
          <t>Yes</t>
        </is>
      </c>
      <c r="W40" s="16" t="inlineStr">
        <is>
          <t>No</t>
        </is>
      </c>
      <c r="X40" s="16" t="inlineStr">
        <is>
          <t>Yes</t>
        </is>
      </c>
      <c r="Y40" s="20" t="n">
        <v>79</v>
      </c>
      <c r="Z40" s="19" t="n">
        <v>0.1722</v>
      </c>
      <c r="AA40" s="18" t="n">
        <v>62.85</v>
      </c>
      <c r="AB40" s="16" t="inlineStr">
        <is>
          <t>Good</t>
        </is>
      </c>
      <c r="AC40" s="16" t="inlineStr">
        <is>
          <t>No</t>
        </is>
      </c>
      <c r="AD40" s="19" t="n">
        <v>0.1392</v>
      </c>
      <c r="AE40" s="19" t="n">
        <v>0.186</v>
      </c>
      <c r="AF40" s="19" t="n">
        <v>0.1397</v>
      </c>
      <c r="AG40" s="19" t="n">
        <v>0.1122</v>
      </c>
      <c r="AH40" s="23" t="n">
        <v>0</v>
      </c>
      <c r="AI40" s="23" t="n">
        <v>1.19</v>
      </c>
      <c r="AJ40" s="19" t="n">
        <v>0.2562</v>
      </c>
    </row>
    <row r="41">
      <c r="A41" s="16" t="inlineStr">
        <is>
          <t>TATASTEEL</t>
        </is>
      </c>
      <c r="B41" s="16" t="inlineStr">
        <is>
          <t>Tata Steel Ltd.</t>
        </is>
      </c>
      <c r="C41" s="16" t="inlineStr">
        <is>
          <t>Iron &amp; Steel/Interm.Products</t>
        </is>
      </c>
      <c r="D41" s="16" t="inlineStr">
        <is>
          <t>Metals &amp; Mining</t>
        </is>
      </c>
      <c r="E41" s="16" t="inlineStr">
        <is>
          <t>INE081A01020</t>
        </is>
      </c>
      <c r="F41" s="17" t="n">
        <v>235676.59</v>
      </c>
      <c r="G41" s="18" t="n">
        <v>188.79</v>
      </c>
      <c r="H41" s="19" t="n">
        <v>0.0249</v>
      </c>
      <c r="I41" s="20" t="n">
        <v>45</v>
      </c>
      <c r="J41" s="16" t="inlineStr">
        <is>
          <t>red</t>
        </is>
      </c>
      <c r="K41" s="20" t="n">
        <v>53</v>
      </c>
      <c r="L41" s="18" t="n">
        <v>58.15</v>
      </c>
      <c r="M41" s="18" t="n">
        <v>185.82</v>
      </c>
      <c r="N41" s="18" t="n">
        <v>186.89</v>
      </c>
      <c r="O41" s="18" t="n">
        <v>190.11</v>
      </c>
      <c r="P41" s="18" t="n">
        <v>216.66</v>
      </c>
      <c r="Q41" s="18" t="n">
        <v>157.42</v>
      </c>
      <c r="R41" s="21">
        <f>IF(OR(G41="",P41=""),"",G41/P41-1)</f>
        <v/>
      </c>
      <c r="S41" s="19" t="n">
        <v>1.4379</v>
      </c>
      <c r="T41" s="22" t="n">
        <v>0.0059</v>
      </c>
      <c r="U41" s="16" t="inlineStr">
        <is>
          <t>Yes</t>
        </is>
      </c>
      <c r="V41" s="16" t="inlineStr">
        <is>
          <t>Yes</t>
        </is>
      </c>
      <c r="W41" s="16" t="inlineStr">
        <is>
          <t>Yes</t>
        </is>
      </c>
      <c r="X41" s="16" t="inlineStr">
        <is>
          <t>No</t>
        </is>
      </c>
      <c r="Y41" s="20" t="n">
        <v>13</v>
      </c>
      <c r="Z41" s="19" t="n">
        <v>-0.0169</v>
      </c>
      <c r="AA41" s="18" t="n">
        <v>29.87</v>
      </c>
      <c r="AB41" s="16" t="inlineStr">
        <is>
          <t>Poor</t>
        </is>
      </c>
      <c r="AC41" s="16" t="inlineStr">
        <is>
          <t>No</t>
        </is>
      </c>
      <c r="AD41" s="19" t="n">
        <v>0.0316</v>
      </c>
      <c r="AE41" s="19" t="n">
        <v>0.07969999999999999</v>
      </c>
      <c r="AF41" s="19" t="n">
        <v>0.8029999999999999</v>
      </c>
      <c r="AG41" s="19" t="n">
        <v>-0.0144</v>
      </c>
      <c r="AH41" s="23" t="n">
        <v>0.9</v>
      </c>
      <c r="AI41" s="23" t="n">
        <v>1.15</v>
      </c>
      <c r="AJ41" s="19" t="n">
        <v>0.1455</v>
      </c>
    </row>
    <row r="42">
      <c r="A42" s="16" t="inlineStr">
        <is>
          <t>HINDALCO</t>
        </is>
      </c>
      <c r="B42" s="16" t="inlineStr">
        <is>
          <t>Hindalco Industries Ltd.</t>
        </is>
      </c>
      <c r="C42" s="16" t="inlineStr">
        <is>
          <t>Aluminium and Aluminium Products</t>
        </is>
      </c>
      <c r="D42" s="16" t="inlineStr">
        <is>
          <t>Metals &amp; Mining</t>
        </is>
      </c>
      <c r="E42" s="16" t="inlineStr">
        <is>
          <t>INE038A01020</t>
        </is>
      </c>
      <c r="F42" s="17" t="n">
        <v>227194.6</v>
      </c>
      <c r="G42" s="18" t="n">
        <v>1011</v>
      </c>
      <c r="H42" s="19" t="n">
        <v>0.001</v>
      </c>
      <c r="I42" s="20" t="n">
        <v>56</v>
      </c>
      <c r="J42" s="16" t="inlineStr">
        <is>
          <t>red</t>
        </is>
      </c>
      <c r="K42" s="20" t="n">
        <v>5</v>
      </c>
      <c r="L42" s="18" t="n">
        <v>34.98</v>
      </c>
      <c r="M42" s="18" t="n">
        <v>1021.87</v>
      </c>
      <c r="N42" s="18" t="n">
        <v>995.7</v>
      </c>
      <c r="O42" s="18" t="n">
        <v>962.52</v>
      </c>
      <c r="P42" s="18" t="n">
        <v>1143.73</v>
      </c>
      <c r="Q42" s="18" t="n">
        <v>734.92</v>
      </c>
      <c r="R42" s="21">
        <f>IF(OR(G42="",P42=""),"",G42/P42-1)</f>
        <v/>
      </c>
      <c r="S42" s="19" t="n">
        <v>0.8690000000000001</v>
      </c>
      <c r="T42" s="22" t="n">
        <v>0.0241</v>
      </c>
      <c r="U42" s="16" t="inlineStr">
        <is>
          <t>Yes</t>
        </is>
      </c>
      <c r="V42" s="16" t="inlineStr">
        <is>
          <t>Yes</t>
        </is>
      </c>
      <c r="W42" s="16" t="inlineStr">
        <is>
          <t>No</t>
        </is>
      </c>
      <c r="X42" s="16" t="inlineStr">
        <is>
          <t>Yes</t>
        </is>
      </c>
      <c r="Y42" s="20" t="n">
        <v>293</v>
      </c>
      <c r="Z42" s="19" t="n">
        <v>0.0345</v>
      </c>
      <c r="AA42" s="18" t="n">
        <v>38.28</v>
      </c>
      <c r="AB42" s="16" t="inlineStr">
        <is>
          <t>Weak</t>
        </is>
      </c>
      <c r="AC42" s="16" t="inlineStr">
        <is>
          <t>No</t>
        </is>
      </c>
      <c r="AD42" s="19" t="n">
        <v>0.1077</v>
      </c>
      <c r="AE42" s="19" t="n">
        <v>0.1129</v>
      </c>
      <c r="AF42" s="19" t="n">
        <v>0.1396</v>
      </c>
      <c r="AG42" s="19" t="n">
        <v>0.07389999999999999</v>
      </c>
      <c r="AH42" s="23" t="n">
        <v>0.73</v>
      </c>
      <c r="AI42" s="23" t="n">
        <v>1.88</v>
      </c>
      <c r="AJ42" s="19" t="n">
        <v>0.349</v>
      </c>
    </row>
    <row r="43">
      <c r="A43" s="16" t="inlineStr">
        <is>
          <t>GRASIM</t>
        </is>
      </c>
      <c r="B43" s="16" t="inlineStr">
        <is>
          <t>Grasim Industries Ltd.</t>
        </is>
      </c>
      <c r="C43" s="16" t="inlineStr">
        <is>
          <t>Cement &amp; Cement Products</t>
        </is>
      </c>
      <c r="D43" s="16" t="inlineStr">
        <is>
          <t>Cement and Construction</t>
        </is>
      </c>
      <c r="E43" s="16" t="inlineStr">
        <is>
          <t>INE047A01021</t>
        </is>
      </c>
      <c r="F43" s="17" t="n">
        <v>226069.14</v>
      </c>
      <c r="G43" s="18" t="n">
        <v>3322</v>
      </c>
      <c r="H43" s="19" t="n">
        <v>0.0036</v>
      </c>
      <c r="I43" s="20" t="n">
        <v>62</v>
      </c>
      <c r="J43" s="16" t="inlineStr">
        <is>
          <t>amber</t>
        </is>
      </c>
      <c r="K43" s="20" t="n">
        <v>6</v>
      </c>
      <c r="L43" s="18" t="n">
        <v>59.8</v>
      </c>
      <c r="M43" s="18" t="n">
        <v>3306.35</v>
      </c>
      <c r="N43" s="18" t="n">
        <v>3204.28</v>
      </c>
      <c r="O43" s="18" t="n">
        <v>2930.68</v>
      </c>
      <c r="P43" s="18" t="n">
        <v>3380.5</v>
      </c>
      <c r="Q43" s="18" t="n">
        <v>2523.24</v>
      </c>
      <c r="R43" s="21">
        <f>IF(OR(G43="",P43=""),"",G43/P43-1)</f>
        <v/>
      </c>
      <c r="S43" s="19" t="n">
        <v>0.8786</v>
      </c>
      <c r="T43" s="22" t="n">
        <v>0.0165</v>
      </c>
      <c r="U43" s="16" t="inlineStr">
        <is>
          <t>Yes</t>
        </is>
      </c>
      <c r="V43" s="16" t="inlineStr">
        <is>
          <t>Yes</t>
        </is>
      </c>
      <c r="W43" s="16" t="inlineStr">
        <is>
          <t>Yes</t>
        </is>
      </c>
      <c r="X43" s="16" t="inlineStr">
        <is>
          <t>Yes</t>
        </is>
      </c>
      <c r="Y43" s="20" t="n">
        <v>72</v>
      </c>
      <c r="Z43" s="19" t="n">
        <v>0.0934</v>
      </c>
      <c r="AA43" s="18" t="n">
        <v>2.24</v>
      </c>
      <c r="AB43" s="16" t="inlineStr">
        <is>
          <t>Poor</t>
        </is>
      </c>
      <c r="AC43" s="16" t="inlineStr">
        <is>
          <t>No</t>
        </is>
      </c>
      <c r="AD43" s="19" t="n">
        <v>0.0498</v>
      </c>
      <c r="AE43" s="19" t="n">
        <v>0.0566</v>
      </c>
      <c r="AF43" s="19" t="n">
        <v>-0.5084000000000001</v>
      </c>
      <c r="AG43" s="19" t="n">
        <v>0.1434</v>
      </c>
      <c r="AH43" s="23" t="n">
        <v>2.2</v>
      </c>
      <c r="AI43" s="23" t="n">
        <v>1.3</v>
      </c>
      <c r="AJ43" s="19" t="n">
        <v>0.1366</v>
      </c>
    </row>
    <row r="44">
      <c r="A44" s="16" t="inlineStr">
        <is>
          <t>ADANIGREEN</t>
        </is>
      </c>
      <c r="B44" s="16" t="inlineStr">
        <is>
          <t>Adani Green Energy Ltd.</t>
        </is>
      </c>
      <c r="C44" s="16" t="inlineStr">
        <is>
          <t>Green &amp; Renewable Energy</t>
        </is>
      </c>
      <c r="D44" s="16" t="inlineStr">
        <is>
          <t>Utilities</t>
        </is>
      </c>
      <c r="E44" s="16" t="inlineStr">
        <is>
          <t>INE364U01010</t>
        </is>
      </c>
      <c r="F44" s="17" t="n">
        <v>214347.04</v>
      </c>
      <c r="G44" s="18" t="n">
        <v>1301.3</v>
      </c>
      <c r="H44" s="19" t="n">
        <v>0.0139</v>
      </c>
      <c r="I44" s="20" t="n">
        <v>64</v>
      </c>
      <c r="J44" s="16" t="inlineStr">
        <is>
          <t>amber</t>
        </is>
      </c>
      <c r="K44" s="20" t="n">
        <v>4</v>
      </c>
      <c r="L44" s="18" t="n">
        <v>46.47</v>
      </c>
      <c r="M44" s="18" t="n">
        <v>1287.91</v>
      </c>
      <c r="N44" s="18" t="n">
        <v>1406.83</v>
      </c>
      <c r="O44" s="18" t="n">
        <v>1179.03</v>
      </c>
      <c r="P44" s="18" t="n">
        <v>1604.5</v>
      </c>
      <c r="Q44" s="18" t="n">
        <v>772.8</v>
      </c>
      <c r="R44" s="21">
        <f>IF(OR(G44="",P44=""),"",G44/P44-1)</f>
        <v/>
      </c>
      <c r="S44" s="19" t="n">
        <v>0.4732</v>
      </c>
      <c r="T44" s="22" t="n">
        <v>0.021</v>
      </c>
      <c r="U44" s="16" t="inlineStr">
        <is>
          <t>Yes</t>
        </is>
      </c>
      <c r="V44" s="16" t="inlineStr">
        <is>
          <t>No</t>
        </is>
      </c>
      <c r="W44" s="16" t="inlineStr">
        <is>
          <t>Yes</t>
        </is>
      </c>
      <c r="X44" s="16" t="inlineStr">
        <is>
          <t>Yes</t>
        </is>
      </c>
      <c r="Y44" s="20" t="n">
        <v>88</v>
      </c>
      <c r="Z44" s="19" t="n">
        <v>0.1932</v>
      </c>
      <c r="AA44" s="18" t="n">
        <v>12.62</v>
      </c>
      <c r="AB44" s="16" t="inlineStr">
        <is>
          <t>Poor</t>
        </is>
      </c>
      <c r="AC44" s="16" t="inlineStr">
        <is>
          <t>No</t>
        </is>
      </c>
      <c r="AD44" s="19" t="n">
        <v>0.1017</v>
      </c>
      <c r="AE44" s="19" t="n">
        <v>0.0731</v>
      </c>
      <c r="AF44" s="19" t="n">
        <v>0.2163</v>
      </c>
      <c r="AG44" s="19" t="n">
        <v>0.1666</v>
      </c>
      <c r="AH44" s="23" t="n">
        <v>5.08</v>
      </c>
      <c r="AI44" s="23" t="n">
        <v>0.1</v>
      </c>
      <c r="AJ44" s="19" t="n">
        <v>0.1693</v>
      </c>
    </row>
    <row r="45">
      <c r="A45" s="16" t="inlineStr">
        <is>
          <t>EICHERMOT</t>
        </is>
      </c>
      <c r="B45" s="16" t="inlineStr">
        <is>
          <t>Eicher Motors Ltd.</t>
        </is>
      </c>
      <c r="C45" s="16" t="inlineStr">
        <is>
          <t>2/3 Wheelers</t>
        </is>
      </c>
      <c r="D45" s="16" t="inlineStr">
        <is>
          <t>Automobiles &amp; Auto Components</t>
        </is>
      </c>
      <c r="E45" s="16" t="inlineStr">
        <is>
          <t>INE066A01021</t>
        </is>
      </c>
      <c r="F45" s="17" t="n">
        <v>209470.12</v>
      </c>
      <c r="G45" s="18" t="n">
        <v>7630.5</v>
      </c>
      <c r="H45" s="19" t="n">
        <v>-0.0077</v>
      </c>
      <c r="I45" s="20" t="n">
        <v>53</v>
      </c>
      <c r="J45" s="16" t="inlineStr">
        <is>
          <t>red</t>
        </is>
      </c>
      <c r="K45" s="20" t="n">
        <v>3</v>
      </c>
      <c r="L45" s="18" t="n">
        <v>22.95</v>
      </c>
      <c r="M45" s="18" t="n">
        <v>7893.69</v>
      </c>
      <c r="N45" s="18" t="n">
        <v>7707.12</v>
      </c>
      <c r="O45" s="18" t="n">
        <v>7319.43</v>
      </c>
      <c r="P45" s="18" t="n">
        <v>8105.12</v>
      </c>
      <c r="Q45" s="18" t="n">
        <v>6358.42</v>
      </c>
      <c r="R45" s="21">
        <f>IF(OR(G45="",P45=""),"",G45/P45-1)</f>
        <v/>
      </c>
      <c r="S45" s="19" t="n">
        <v>1.007</v>
      </c>
      <c r="T45" s="22" t="n">
        <v>0.0161</v>
      </c>
      <c r="U45" s="16" t="inlineStr">
        <is>
          <t>Yes</t>
        </is>
      </c>
      <c r="V45" s="16" t="inlineStr">
        <is>
          <t>No</t>
        </is>
      </c>
      <c r="W45" s="16" t="inlineStr">
        <is>
          <t>No</t>
        </is>
      </c>
      <c r="X45" s="16" t="inlineStr">
        <is>
          <t>Yes</t>
        </is>
      </c>
      <c r="Y45" s="20" t="n">
        <v>751</v>
      </c>
      <c r="Z45" s="19" t="n">
        <v>0.053</v>
      </c>
      <c r="AA45" s="18" t="n">
        <v>77.41</v>
      </c>
      <c r="AB45" s="16" t="inlineStr">
        <is>
          <t>High</t>
        </is>
      </c>
      <c r="AC45" s="16" t="inlineStr">
        <is>
          <t>No</t>
        </is>
      </c>
      <c r="AD45" s="19" t="n">
        <v>0.2212</v>
      </c>
      <c r="AE45" s="19" t="n">
        <v>0.2799</v>
      </c>
      <c r="AF45" s="19" t="n">
        <v>0.2392</v>
      </c>
      <c r="AG45" s="19" t="n">
        <v>0.1755</v>
      </c>
      <c r="AH45" s="23" t="n">
        <v>0.02</v>
      </c>
      <c r="AI45" s="23" t="n">
        <v>7.59</v>
      </c>
      <c r="AJ45" s="19" t="n">
        <v>0.1157</v>
      </c>
    </row>
    <row r="46">
      <c r="A46" s="16" t="inlineStr">
        <is>
          <t>TVSMOTOR</t>
        </is>
      </c>
      <c r="B46" s="16" t="inlineStr">
        <is>
          <t>TVS Motor Company Ltd.</t>
        </is>
      </c>
      <c r="C46" s="16" t="inlineStr">
        <is>
          <t>2/3 Wheelers</t>
        </is>
      </c>
      <c r="D46" s="16" t="inlineStr">
        <is>
          <t>Automobiles &amp; Auto Components</t>
        </is>
      </c>
      <c r="E46" s="16" t="inlineStr">
        <is>
          <t>INE494B01023</t>
        </is>
      </c>
      <c r="F46" s="17" t="n">
        <v>196358.25</v>
      </c>
      <c r="G46" s="18" t="n">
        <v>4133.1</v>
      </c>
      <c r="H46" s="19" t="n">
        <v>-0.0159</v>
      </c>
      <c r="I46" s="20" t="n">
        <v>65</v>
      </c>
      <c r="J46" s="16" t="inlineStr">
        <is>
          <t>amber</t>
        </is>
      </c>
      <c r="K46" s="20" t="n">
        <v>34</v>
      </c>
      <c r="L46" s="18" t="n">
        <v>28.73</v>
      </c>
      <c r="M46" s="18" t="n">
        <v>4281.92</v>
      </c>
      <c r="N46" s="18" t="n">
        <v>4048.63</v>
      </c>
      <c r="O46" s="18" t="n">
        <v>3705.93</v>
      </c>
      <c r="P46" s="18" t="n">
        <v>4466.2</v>
      </c>
      <c r="Q46" s="18" t="n">
        <v>3283.4</v>
      </c>
      <c r="R46" s="21">
        <f>IF(OR(G46="",P46=""),"",G46/P46-1)</f>
        <v/>
      </c>
      <c r="S46" s="19" t="n">
        <v>0.3665</v>
      </c>
      <c r="T46" s="22" t="n">
        <v>0.0234</v>
      </c>
      <c r="U46" s="16" t="inlineStr">
        <is>
          <t>Yes</t>
        </is>
      </c>
      <c r="V46" s="16" t="inlineStr">
        <is>
          <t>Yes</t>
        </is>
      </c>
      <c r="W46" s="16" t="inlineStr">
        <is>
          <t>No</t>
        </is>
      </c>
      <c r="X46" s="16" t="inlineStr">
        <is>
          <t>Yes</t>
        </is>
      </c>
      <c r="Y46" s="20" t="n">
        <v>24</v>
      </c>
      <c r="Z46" s="19" t="n">
        <v>0.0925</v>
      </c>
      <c r="AA46" s="18" t="n">
        <v>37.64</v>
      </c>
      <c r="AB46" s="16" t="inlineStr">
        <is>
          <t>Weak</t>
        </is>
      </c>
      <c r="AC46" s="16" t="inlineStr">
        <is>
          <t>No</t>
        </is>
      </c>
      <c r="AD46" s="19" t="n">
        <v>0.2757</v>
      </c>
      <c r="AE46" s="19" t="n">
        <v>0.1521</v>
      </c>
      <c r="AF46" s="19" t="n">
        <v>0.3149</v>
      </c>
      <c r="AG46" s="19" t="n">
        <v>0.2039</v>
      </c>
      <c r="AH46" s="23" t="n">
        <v>3.43</v>
      </c>
      <c r="AI46" s="23" t="n">
        <v>6.22</v>
      </c>
      <c r="AJ46" s="19" t="n">
        <v>0.2098</v>
      </c>
    </row>
    <row r="47">
      <c r="A47" s="16" t="inlineStr">
        <is>
          <t>IOC</t>
        </is>
      </c>
      <c r="B47" s="16" t="inlineStr">
        <is>
          <t>Indian Oil Corporation Ltd.</t>
        </is>
      </c>
      <c r="C47" s="16" t="inlineStr">
        <is>
          <t>Oil Marketing &amp; Distribution</t>
        </is>
      </c>
      <c r="D47" s="16" t="inlineStr">
        <is>
          <t>Oil &amp; Gas</t>
        </is>
      </c>
      <c r="E47" s="16" t="inlineStr">
        <is>
          <t>INE242A01010</t>
        </is>
      </c>
      <c r="F47" s="17" t="n">
        <v>194308.24</v>
      </c>
      <c r="G47" s="18" t="n">
        <v>137.6</v>
      </c>
      <c r="H47" s="19" t="n">
        <v>-0.0015</v>
      </c>
      <c r="I47" s="20" t="n">
        <v>30</v>
      </c>
      <c r="J47" s="16" t="inlineStr">
        <is>
          <t>red</t>
        </is>
      </c>
      <c r="K47" s="20" t="n">
        <v>101</v>
      </c>
      <c r="L47" s="18" t="n">
        <v>46.58</v>
      </c>
      <c r="M47" s="18" t="n">
        <v>137.78</v>
      </c>
      <c r="N47" s="18" t="n">
        <v>139.02</v>
      </c>
      <c r="O47" s="18" t="n">
        <v>148.52</v>
      </c>
      <c r="P47" s="18" t="n">
        <v>183.5</v>
      </c>
      <c r="Q47" s="18" t="n">
        <v>130.65</v>
      </c>
      <c r="R47" s="21">
        <f>IF(OR(G47="",P47=""),"",G47/P47-1)</f>
        <v/>
      </c>
      <c r="S47" s="19" t="n">
        <v>0.5265</v>
      </c>
      <c r="T47" s="22" t="n">
        <v>-0.0124</v>
      </c>
      <c r="U47" s="16" t="inlineStr">
        <is>
          <t>No</t>
        </is>
      </c>
      <c r="V47" s="16" t="inlineStr">
        <is>
          <t>No</t>
        </is>
      </c>
      <c r="W47" s="16" t="inlineStr">
        <is>
          <t>No</t>
        </is>
      </c>
      <c r="X47" s="16" t="inlineStr">
        <is>
          <t>No</t>
        </is>
      </c>
      <c r="Y47" s="20" t="n">
        <v>87</v>
      </c>
      <c r="Z47" s="19" t="n">
        <v>-0.064</v>
      </c>
      <c r="AA47" s="18" t="n">
        <v>51.3</v>
      </c>
      <c r="AB47" s="16" t="inlineStr">
        <is>
          <t>Average</t>
        </is>
      </c>
      <c r="AC47" s="16" t="inlineStr">
        <is>
          <t>No</t>
        </is>
      </c>
      <c r="AD47" s="19" t="n">
        <v>0.1641</v>
      </c>
      <c r="AE47" s="19" t="n">
        <v>0.1554</v>
      </c>
      <c r="AF47" s="19" t="n">
        <v>1.5615</v>
      </c>
      <c r="AG47" s="19" t="n">
        <v>-0.0213</v>
      </c>
      <c r="AH47" s="23" t="n">
        <v>0.6</v>
      </c>
      <c r="AI47" s="23" t="n">
        <v>2.67</v>
      </c>
      <c r="AJ47" s="19" t="n">
        <v>0.2939</v>
      </c>
    </row>
    <row r="48">
      <c r="A48" s="16" t="inlineStr">
        <is>
          <t>SOLARINDS</t>
        </is>
      </c>
      <c r="B48" s="16" t="inlineStr">
        <is>
          <t>Solar Industries India Ltd.</t>
        </is>
      </c>
      <c r="C48" s="16" t="inlineStr">
        <is>
          <t>Other Industrial Products</t>
        </is>
      </c>
      <c r="D48" s="16" t="inlineStr">
        <is>
          <t>General Industrials</t>
        </is>
      </c>
      <c r="E48" s="16" t="inlineStr">
        <is>
          <t>INE343H01029</t>
        </is>
      </c>
      <c r="F48" s="17" t="n">
        <v>194056.02</v>
      </c>
      <c r="G48" s="18" t="n">
        <v>21445</v>
      </c>
      <c r="H48" s="19" t="n">
        <v>-0.0026</v>
      </c>
      <c r="I48" s="20" t="n">
        <v>81</v>
      </c>
      <c r="J48" s="16" t="inlineStr">
        <is>
          <t>green</t>
        </is>
      </c>
      <c r="K48" s="20" t="n">
        <v>2</v>
      </c>
      <c r="L48" s="18" t="n">
        <v>68.23</v>
      </c>
      <c r="M48" s="18" t="n">
        <v>20598.75</v>
      </c>
      <c r="N48" s="18" t="n">
        <v>19063.43</v>
      </c>
      <c r="O48" s="18" t="n">
        <v>15645.11</v>
      </c>
      <c r="P48" s="18" t="n">
        <v>21500</v>
      </c>
      <c r="Q48" s="18" t="n">
        <v>11765.05</v>
      </c>
      <c r="R48" s="21">
        <f>IF(OR(G48="",P48=""),"",G48/P48-1)</f>
        <v/>
      </c>
      <c r="S48" s="19" t="n">
        <v>0.8873000000000001</v>
      </c>
      <c r="T48" s="22" t="n">
        <v>0.0412</v>
      </c>
      <c r="U48" s="16" t="inlineStr">
        <is>
          <t>Yes</t>
        </is>
      </c>
      <c r="V48" s="16" t="inlineStr">
        <is>
          <t>Yes</t>
        </is>
      </c>
      <c r="W48" s="16" t="inlineStr">
        <is>
          <t>Yes</t>
        </is>
      </c>
      <c r="X48" s="16" t="inlineStr">
        <is>
          <t>Yes</t>
        </is>
      </c>
      <c r="Y48" s="20" t="n">
        <v>95</v>
      </c>
      <c r="Z48" s="19" t="n">
        <v>0.2185</v>
      </c>
      <c r="AA48" s="18" t="n">
        <v>67.05</v>
      </c>
      <c r="AB48" s="16" t="inlineStr">
        <is>
          <t>High</t>
        </is>
      </c>
      <c r="AC48" s="16" t="inlineStr">
        <is>
          <t>No</t>
        </is>
      </c>
      <c r="AD48" s="19" t="n">
        <v>0.2647</v>
      </c>
      <c r="AE48" s="19" t="n">
        <v>0.3006</v>
      </c>
      <c r="AF48" s="19" t="n">
        <v>0.3126</v>
      </c>
      <c r="AG48" s="19" t="n">
        <v>0.1415</v>
      </c>
      <c r="AH48" s="23" t="n">
        <v>0.29</v>
      </c>
      <c r="AI48" s="23" t="n">
        <v>1.96</v>
      </c>
      <c r="AJ48" s="19" t="n">
        <v>0.2292</v>
      </c>
    </row>
    <row r="49">
      <c r="A49" s="16" t="inlineStr">
        <is>
          <t>INDIGO</t>
        </is>
      </c>
      <c r="B49" s="16" t="inlineStr">
        <is>
          <t>InterGlobe Aviation Ltd.</t>
        </is>
      </c>
      <c r="C49" s="16" t="inlineStr">
        <is>
          <t>Airlines</t>
        </is>
      </c>
      <c r="D49" s="16" t="inlineStr">
        <is>
          <t>Transportation</t>
        </is>
      </c>
      <c r="E49" s="16" t="inlineStr">
        <is>
          <t>INE646L01027</t>
        </is>
      </c>
      <c r="F49" s="17" t="n">
        <v>192443.97</v>
      </c>
      <c r="G49" s="18" t="n">
        <v>4977</v>
      </c>
      <c r="H49" s="19" t="n">
        <v>-0.0005999999999999999</v>
      </c>
      <c r="I49" s="20" t="n">
        <v>41</v>
      </c>
      <c r="J49" s="16" t="inlineStr">
        <is>
          <t>red</t>
        </is>
      </c>
      <c r="K49" s="20" t="n">
        <v>50</v>
      </c>
      <c r="L49" s="18" t="n">
        <v>29.14</v>
      </c>
      <c r="M49" s="18" t="n">
        <v>5108.56</v>
      </c>
      <c r="N49" s="18" t="n">
        <v>5237.75</v>
      </c>
      <c r="O49" s="18" t="n">
        <v>4877.39</v>
      </c>
      <c r="P49" s="18" t="n">
        <v>5934</v>
      </c>
      <c r="Q49" s="18" t="n">
        <v>3943.5</v>
      </c>
      <c r="R49" s="21">
        <f>IF(OR(G49="",P49=""),"",G49/P49-1)</f>
        <v/>
      </c>
      <c r="S49" s="19" t="n">
        <v>0.6620999999999999</v>
      </c>
      <c r="T49" s="22" t="n">
        <v>-0.0118</v>
      </c>
      <c r="U49" s="16" t="inlineStr">
        <is>
          <t>No</t>
        </is>
      </c>
      <c r="V49" s="16" t="inlineStr">
        <is>
          <t>No</t>
        </is>
      </c>
      <c r="W49" s="16" t="inlineStr">
        <is>
          <t>No</t>
        </is>
      </c>
      <c r="X49" s="16" t="inlineStr">
        <is>
          <t>Yes</t>
        </is>
      </c>
      <c r="Y49" s="20" t="n">
        <v>28</v>
      </c>
      <c r="Z49" s="19" t="n">
        <v>0.07389999999999999</v>
      </c>
      <c r="AA49" s="18" t="n">
        <v>33.49</v>
      </c>
      <c r="AB49" s="16" t="inlineStr">
        <is>
          <t>Poor</t>
        </is>
      </c>
      <c r="AC49" s="16" t="inlineStr">
        <is>
          <t>No</t>
        </is>
      </c>
      <c r="AD49" s="19" t="n">
        <v>1.5084</v>
      </c>
      <c r="AE49" s="19" t="n">
        <v>0.1474</v>
      </c>
      <c r="AF49" s="19" t="n">
        <v>8.747300000000001</v>
      </c>
      <c r="AG49" s="19" t="n">
        <v>0.1582</v>
      </c>
      <c r="AH49" s="23" t="n">
        <v>11.15</v>
      </c>
      <c r="AI49" s="23" t="n">
        <v>1.28</v>
      </c>
      <c r="AJ49" s="19" t="n">
        <v>0.0244</v>
      </c>
    </row>
    <row r="50">
      <c r="A50" s="16" t="inlineStr">
        <is>
          <t>TORNTPHARM</t>
        </is>
      </c>
      <c r="B50" s="16" t="inlineStr">
        <is>
          <t>Torrent Pharmaceuticals Ltd.</t>
        </is>
      </c>
      <c r="C50" s="16" t="inlineStr">
        <is>
          <t>Pharmaceuticals</t>
        </is>
      </c>
      <c r="D50" s="16" t="inlineStr">
        <is>
          <t>Pharmaceuticals &amp; Biotechnology</t>
        </is>
      </c>
      <c r="E50" s="16" t="inlineStr">
        <is>
          <t>INE685A01028</t>
        </is>
      </c>
      <c r="F50" s="17" t="n">
        <v>184744.69</v>
      </c>
      <c r="G50" s="18" t="n">
        <v>4857</v>
      </c>
      <c r="H50" s="19" t="n">
        <v>-0.009899999999999999</v>
      </c>
      <c r="I50" s="20" t="n">
        <v>66</v>
      </c>
      <c r="J50" s="16" t="inlineStr">
        <is>
          <t>amber</t>
        </is>
      </c>
      <c r="K50" s="20" t="n">
        <v>25</v>
      </c>
      <c r="L50" s="18" t="n">
        <v>47.33</v>
      </c>
      <c r="M50" s="18" t="n">
        <v>4968.13</v>
      </c>
      <c r="N50" s="18" t="n">
        <v>4920.87</v>
      </c>
      <c r="O50" s="18" t="n">
        <v>4328.74</v>
      </c>
      <c r="P50" s="18" t="n">
        <v>5122.8</v>
      </c>
      <c r="Q50" s="18" t="n">
        <v>3483.84</v>
      </c>
      <c r="R50" s="21">
        <f>IF(OR(G50="",P50=""),"",G50/P50-1)</f>
        <v/>
      </c>
      <c r="S50" s="19" t="n">
        <v>0.731</v>
      </c>
      <c r="T50" s="22" t="n">
        <v>0.0309</v>
      </c>
      <c r="U50" s="16" t="inlineStr">
        <is>
          <t>Yes</t>
        </is>
      </c>
      <c r="V50" s="16" t="inlineStr">
        <is>
          <t>No</t>
        </is>
      </c>
      <c r="W50" s="16" t="inlineStr">
        <is>
          <t>No</t>
        </is>
      </c>
      <c r="X50" s="16" t="inlineStr">
        <is>
          <t>Yes</t>
        </is>
      </c>
      <c r="Y50" s="20" t="n">
        <v>291</v>
      </c>
      <c r="Z50" s="19" t="n">
        <v>0.1368</v>
      </c>
      <c r="AA50" s="18" t="n">
        <v>54.14</v>
      </c>
      <c r="AB50" s="16" t="inlineStr">
        <is>
          <t>Good</t>
        </is>
      </c>
      <c r="AC50" s="16" t="inlineStr">
        <is>
          <t>No</t>
        </is>
      </c>
      <c r="AD50" s="19" t="n">
        <v>0.2504</v>
      </c>
      <c r="AE50" s="19" t="n">
        <v>0.2195</v>
      </c>
      <c r="AF50" s="19" t="n">
        <v>0.2053</v>
      </c>
      <c r="AG50" s="19" t="n">
        <v>0.1343</v>
      </c>
      <c r="AH50" s="23" t="n">
        <v>1.79</v>
      </c>
      <c r="AI50" s="23" t="n">
        <v>2.55</v>
      </c>
      <c r="AJ50" s="19" t="n">
        <v>0.09</v>
      </c>
    </row>
    <row r="51">
      <c r="A51" s="16" t="inlineStr">
        <is>
          <t>HYUNDAI</t>
        </is>
      </c>
      <c r="B51" s="16" t="inlineStr">
        <is>
          <t>Hyundai Motor India Ltd.</t>
        </is>
      </c>
      <c r="C51" s="16" t="inlineStr">
        <is>
          <t>Cars &amp; Utility Vehicles</t>
        </is>
      </c>
      <c r="D51" s="16" t="inlineStr">
        <is>
          <t>Automobiles &amp; Auto Components</t>
        </is>
      </c>
      <c r="E51" s="16" t="inlineStr">
        <is>
          <t>INE0V6F01027</t>
        </is>
      </c>
      <c r="F51" s="17" t="n">
        <v>179165.31</v>
      </c>
      <c r="G51" s="18" t="n">
        <v>2205</v>
      </c>
      <c r="H51" s="19" t="n">
        <v>0.0246</v>
      </c>
      <c r="I51" s="20" t="n">
        <v>46</v>
      </c>
      <c r="J51" s="16" t="inlineStr">
        <is>
          <t>red</t>
        </is>
      </c>
      <c r="K51" s="20" t="n">
        <v>116</v>
      </c>
      <c r="L51" s="18" t="n">
        <v>52.37</v>
      </c>
      <c r="M51" s="18" t="n">
        <v>2208.27</v>
      </c>
      <c r="N51" s="18" t="n">
        <v>2083.21</v>
      </c>
      <c r="O51" s="18" t="n">
        <v>2058.69</v>
      </c>
      <c r="P51" s="18" t="n">
        <v>2782.73</v>
      </c>
      <c r="Q51" s="18" t="n">
        <v>1675.4</v>
      </c>
      <c r="R51" s="21">
        <f>IF(OR(G51="",P51=""),"",G51/P51-1)</f>
        <v/>
      </c>
      <c r="S51" s="19" t="n">
        <v>0.6286</v>
      </c>
      <c r="T51" s="22" t="n">
        <v>-0.0063</v>
      </c>
      <c r="U51" s="16" t="inlineStr">
        <is>
          <t>No</t>
        </is>
      </c>
      <c r="V51" s="16" t="inlineStr">
        <is>
          <t>Yes</t>
        </is>
      </c>
      <c r="W51" s="16" t="inlineStr">
        <is>
          <t>No</t>
        </is>
      </c>
      <c r="X51" s="16" t="inlineStr">
        <is>
          <t>Yes</t>
        </is>
      </c>
      <c r="Y51" s="20" t="n">
        <v>5</v>
      </c>
      <c r="Z51" s="19" t="n">
        <v>0.0119</v>
      </c>
      <c r="AA51" s="18" t="n">
        <v>68.48</v>
      </c>
      <c r="AB51" s="16" t="inlineStr">
        <is>
          <t>High</t>
        </is>
      </c>
      <c r="AC51" s="16" t="inlineStr">
        <is>
          <t>No</t>
        </is>
      </c>
      <c r="AD51" s="19" t="n">
        <v>0.3952000000000001</v>
      </c>
      <c r="AE51" s="19" t="n">
        <v>0.5095000000000001</v>
      </c>
      <c r="AF51" s="19" t="n">
        <v>0.0602</v>
      </c>
      <c r="AG51" s="19" t="n">
        <v>0.0575</v>
      </c>
      <c r="AH51" s="23" t="n">
        <v>0.05</v>
      </c>
      <c r="AI51" s="23" t="n">
        <v>4.99</v>
      </c>
      <c r="AJ51" s="19" t="n">
        <v>0.0703</v>
      </c>
    </row>
    <row r="52">
      <c r="A52" s="16" t="inlineStr">
        <is>
          <t>SBILIFE</t>
        </is>
      </c>
      <c r="B52" s="16" t="inlineStr">
        <is>
          <t>SBI Life Insurance Company Ltd.</t>
        </is>
      </c>
      <c r="C52" s="16" t="inlineStr">
        <is>
          <t>Life Insurance</t>
        </is>
      </c>
      <c r="D52" s="16" t="inlineStr">
        <is>
          <t>Banking and Finance</t>
        </is>
      </c>
      <c r="E52" s="16" t="inlineStr">
        <is>
          <t>INE123W01016</t>
        </is>
      </c>
      <c r="F52" s="17" t="n">
        <v>178094.55</v>
      </c>
      <c r="G52" s="18" t="n">
        <v>1775</v>
      </c>
      <c r="H52" s="19" t="n">
        <v>0.035</v>
      </c>
      <c r="I52" s="20" t="n">
        <v>31</v>
      </c>
      <c r="J52" s="16" t="inlineStr">
        <is>
          <t>red</t>
        </is>
      </c>
      <c r="K52" s="20" t="n">
        <v>98</v>
      </c>
      <c r="L52" s="18" t="n">
        <v>46.18</v>
      </c>
      <c r="M52" s="18" t="n">
        <v>1749.02</v>
      </c>
      <c r="N52" s="18" t="n">
        <v>1814.95</v>
      </c>
      <c r="O52" s="18" t="n">
        <v>1905.39</v>
      </c>
      <c r="P52" s="18" t="n">
        <v>2106.67</v>
      </c>
      <c r="Q52" s="18" t="n">
        <v>1706</v>
      </c>
      <c r="R52" s="21">
        <f>IF(OR(G52="",P52=""),"",G52/P52-1)</f>
        <v/>
      </c>
      <c r="S52" s="19" t="n">
        <v>1.8792</v>
      </c>
      <c r="T52" s="22" t="n">
        <v>-0.0092</v>
      </c>
      <c r="U52" s="16" t="inlineStr">
        <is>
          <t>No</t>
        </is>
      </c>
      <c r="V52" s="16" t="inlineStr">
        <is>
          <t>No</t>
        </is>
      </c>
      <c r="W52" s="16" t="inlineStr">
        <is>
          <t>Yes</t>
        </is>
      </c>
      <c r="X52" s="16" t="inlineStr">
        <is>
          <t>No</t>
        </is>
      </c>
      <c r="Y52" s="20" t="n">
        <v>90</v>
      </c>
      <c r="Z52" s="19" t="n">
        <v>-0.0475</v>
      </c>
      <c r="AA52" s="18" t="n">
        <v>52.51</v>
      </c>
      <c r="AB52" s="16" t="inlineStr">
        <is>
          <t>Good</t>
        </is>
      </c>
      <c r="AC52" s="16" t="inlineStr">
        <is>
          <t>Yes</t>
        </is>
      </c>
      <c r="AD52" s="19" t="n">
        <v>0.1328</v>
      </c>
      <c r="AE52" s="19" t="n">
        <v>0.1373</v>
      </c>
      <c r="AF52" s="19" t="n">
        <v>0.1322</v>
      </c>
      <c r="AG52" s="19" t="n">
        <v>0.1541</v>
      </c>
      <c r="AH52" s="23" t="n">
        <v>0</v>
      </c>
      <c r="AI52" s="23" t="n">
        <v>170.32</v>
      </c>
      <c r="AJ52" s="19" t="n">
        <v>0.06320000000000001</v>
      </c>
    </row>
    <row r="53">
      <c r="A53" s="16" t="inlineStr">
        <is>
          <t>WIPRO</t>
        </is>
      </c>
      <c r="B53" s="16" t="inlineStr">
        <is>
          <t>Wipro Ltd.</t>
        </is>
      </c>
      <c r="C53" s="16" t="inlineStr">
        <is>
          <t>IT Consulting &amp; Software</t>
        </is>
      </c>
      <c r="D53" s="16" t="inlineStr">
        <is>
          <t>Software &amp; Services</t>
        </is>
      </c>
      <c r="E53" s="16" t="inlineStr">
        <is>
          <t>INE075A01022</t>
        </is>
      </c>
      <c r="F53" s="17" t="n">
        <v>174718.4</v>
      </c>
      <c r="G53" s="18" t="n">
        <v>176.4</v>
      </c>
      <c r="H53" s="19" t="n">
        <v>0.0039</v>
      </c>
      <c r="I53" s="20" t="n">
        <v>15</v>
      </c>
      <c r="J53" s="16" t="inlineStr">
        <is>
          <t>red</t>
        </is>
      </c>
      <c r="K53" s="20" t="n">
        <v>148</v>
      </c>
      <c r="L53" s="18" t="n">
        <v>40.83</v>
      </c>
      <c r="M53" s="18" t="n">
        <v>178.76</v>
      </c>
      <c r="N53" s="18" t="n">
        <v>178.39</v>
      </c>
      <c r="O53" s="18" t="n">
        <v>205.25</v>
      </c>
      <c r="P53" s="18" t="n">
        <v>262.81</v>
      </c>
      <c r="Q53" s="18" t="n">
        <v>168.21</v>
      </c>
      <c r="R53" s="21">
        <f>IF(OR(G53="",P53=""),"",G53/P53-1)</f>
        <v/>
      </c>
      <c r="S53" s="19" t="n">
        <v>0.593</v>
      </c>
      <c r="T53" s="22" t="n">
        <v>-0.025</v>
      </c>
      <c r="U53" s="16" t="inlineStr">
        <is>
          <t>No</t>
        </is>
      </c>
      <c r="V53" s="16" t="inlineStr">
        <is>
          <t>No</t>
        </is>
      </c>
      <c r="W53" s="16" t="inlineStr">
        <is>
          <t>No</t>
        </is>
      </c>
      <c r="X53" s="16" t="inlineStr">
        <is>
          <t>No</t>
        </is>
      </c>
      <c r="Y53" s="20" t="n">
        <v>134</v>
      </c>
      <c r="Z53" s="19" t="n">
        <v>-0.1309</v>
      </c>
      <c r="AA53" s="18" t="n">
        <v>51.55</v>
      </c>
      <c r="AB53" s="16" t="inlineStr">
        <is>
          <t>Average</t>
        </is>
      </c>
      <c r="AC53" s="16" t="inlineStr">
        <is>
          <t>No</t>
        </is>
      </c>
      <c r="AD53" s="19" t="n">
        <v>0.1517</v>
      </c>
      <c r="AE53" s="19" t="n">
        <v>0.1724</v>
      </c>
      <c r="AF53" s="19" t="n">
        <v>0.0709</v>
      </c>
      <c r="AG53" s="19" t="n">
        <v>0.008100000000000001</v>
      </c>
      <c r="AH53" s="23" t="n">
        <v>0.23</v>
      </c>
      <c r="AI53" s="23" t="n">
        <v>8.41</v>
      </c>
      <c r="AJ53" s="19" t="n">
        <v>0.0415</v>
      </c>
    </row>
    <row r="54">
      <c r="A54" s="16" t="inlineStr">
        <is>
          <t>ADANIENSOL</t>
        </is>
      </c>
      <c r="B54" s="16" t="inlineStr">
        <is>
          <t>Adani Energy Solutions Ltd.</t>
        </is>
      </c>
      <c r="C54" s="16" t="inlineStr">
        <is>
          <t>Power - Electric Utilities</t>
        </is>
      </c>
      <c r="D54" s="16" t="inlineStr">
        <is>
          <t>Utilities</t>
        </is>
      </c>
      <c r="E54" s="16" t="inlineStr">
        <is>
          <t>INE931S01010</t>
        </is>
      </c>
      <c r="F54" s="17" t="n">
        <v>172387.67</v>
      </c>
      <c r="G54" s="18" t="n">
        <v>1409.6</v>
      </c>
      <c r="H54" s="19" t="n">
        <v>0.0172</v>
      </c>
      <c r="I54" s="20" t="n">
        <v>76</v>
      </c>
      <c r="J54" s="16" t="inlineStr">
        <is>
          <t>amber</t>
        </is>
      </c>
      <c r="K54" s="20" t="n">
        <v>5</v>
      </c>
      <c r="L54" s="18" t="n">
        <v>31.98</v>
      </c>
      <c r="M54" s="18" t="n">
        <v>1470.02</v>
      </c>
      <c r="N54" s="18" t="n">
        <v>1602.57</v>
      </c>
      <c r="O54" s="18" t="n">
        <v>1255.89</v>
      </c>
      <c r="P54" s="18" t="n">
        <v>1741.6</v>
      </c>
      <c r="Q54" s="18" t="n">
        <v>755.95</v>
      </c>
      <c r="R54" s="21">
        <f>IF(OR(G54="",P54=""),"",G54/P54-1)</f>
        <v/>
      </c>
      <c r="S54" s="19" t="n">
        <v>0.3838</v>
      </c>
      <c r="T54" s="22" t="n">
        <v>0.0467</v>
      </c>
      <c r="U54" s="16" t="inlineStr">
        <is>
          <t>Yes</t>
        </is>
      </c>
      <c r="V54" s="16" t="inlineStr">
        <is>
          <t>No</t>
        </is>
      </c>
      <c r="W54" s="16" t="inlineStr">
        <is>
          <t>No</t>
        </is>
      </c>
      <c r="X54" s="16" t="inlineStr">
        <is>
          <t>Yes</t>
        </is>
      </c>
      <c r="Y54" s="20" t="n">
        <v>230</v>
      </c>
      <c r="Z54" s="19" t="n">
        <v>0.276</v>
      </c>
      <c r="AA54" s="18" t="n">
        <v>36.55</v>
      </c>
      <c r="AB54" s="16" t="inlineStr">
        <is>
          <t>Weak</t>
        </is>
      </c>
      <c r="AC54" s="16" t="inlineStr">
        <is>
          <t>No</t>
        </is>
      </c>
      <c r="AD54" s="19" t="n">
        <v>0.0759</v>
      </c>
      <c r="AE54" s="19" t="n">
        <v>0.0818</v>
      </c>
      <c r="AF54" s="19" t="n">
        <v>0.3019</v>
      </c>
      <c r="AG54" s="19" t="n">
        <v>0.2824</v>
      </c>
      <c r="AH54" s="23" t="n">
        <v>1.93</v>
      </c>
      <c r="AI54" s="23" t="n">
        <v>0.54</v>
      </c>
      <c r="AJ54" s="19" t="n">
        <v>0.1062</v>
      </c>
    </row>
    <row r="55">
      <c r="A55" s="16" t="inlineStr">
        <is>
          <t>VAML</t>
        </is>
      </c>
      <c r="B55" s="16" t="inlineStr">
        <is>
          <t>Vedanta Aluminium Metal Ltd.</t>
        </is>
      </c>
      <c r="C55" s="16" t="inlineStr">
        <is>
          <t>Aluminium and Aluminium Products</t>
        </is>
      </c>
      <c r="D55" s="16" t="inlineStr">
        <is>
          <t>Metals &amp; Mining</t>
        </is>
      </c>
      <c r="E55" s="16" t="inlineStr">
        <is>
          <t>INE1CDF01017</t>
        </is>
      </c>
      <c r="F55" s="17" t="n">
        <v>171177.24</v>
      </c>
      <c r="G55" s="18" t="n">
        <v>437.75</v>
      </c>
      <c r="H55" s="19" t="n">
        <v>0.0044</v>
      </c>
      <c r="I55" s="20" t="n"/>
      <c r="J55" s="16" t="n"/>
      <c r="K55" s="20" t="n"/>
      <c r="L55" s="18" t="n">
        <v>47.7</v>
      </c>
      <c r="M55" s="18" t="n">
        <v>444.21</v>
      </c>
      <c r="N55" s="18" t="n">
        <v>445.28</v>
      </c>
      <c r="O55" s="18" t="n"/>
      <c r="P55" s="18" t="n">
        <v>487.42</v>
      </c>
      <c r="Q55" s="18" t="n">
        <v>423.82</v>
      </c>
      <c r="R55" s="21">
        <f>IF(OR(G55="",P55=""),"",G55/P55-1)</f>
        <v/>
      </c>
      <c r="S55" s="19" t="n">
        <v>0.8173</v>
      </c>
      <c r="T55" s="22" t="n"/>
      <c r="U55" s="16" t="n"/>
      <c r="V55" s="16" t="inlineStr">
        <is>
          <t>No</t>
        </is>
      </c>
      <c r="W55" s="16" t="inlineStr">
        <is>
          <t>No</t>
        </is>
      </c>
      <c r="X55" s="16" t="n"/>
      <c r="Y55" s="20" t="n"/>
      <c r="Z55" s="19" t="n"/>
      <c r="AA55" s="18" t="n">
        <v>63.1</v>
      </c>
      <c r="AB55" s="16" t="inlineStr">
        <is>
          <t>Good</t>
        </is>
      </c>
      <c r="AC55" s="16" t="inlineStr">
        <is>
          <t>No</t>
        </is>
      </c>
      <c r="AD55" s="19" t="n">
        <v>1.1217</v>
      </c>
      <c r="AE55" s="19" t="n">
        <v>-4.55</v>
      </c>
      <c r="AF55" s="19" t="n"/>
      <c r="AG55" s="19" t="n"/>
      <c r="AH55" s="23" t="n">
        <v>-0.84</v>
      </c>
      <c r="AI55" s="23" t="n"/>
      <c r="AJ55" s="19" t="n"/>
    </row>
    <row r="56">
      <c r="A56" s="16" t="inlineStr">
        <is>
          <t>MOTHERSON</t>
        </is>
      </c>
      <c r="B56" s="16" t="inlineStr">
        <is>
          <t>Samvardhana Motherson International Ltd.</t>
        </is>
      </c>
      <c r="C56" s="16" t="inlineStr">
        <is>
          <t>Auto Parts &amp; Equipment</t>
        </is>
      </c>
      <c r="D56" s="16" t="inlineStr">
        <is>
          <t>Automobiles &amp; Auto Components</t>
        </is>
      </c>
      <c r="E56" s="16" t="inlineStr">
        <is>
          <t>INE775A01035</t>
        </is>
      </c>
      <c r="F56" s="17" t="n">
        <v>169609.89</v>
      </c>
      <c r="G56" s="18" t="n">
        <v>160.7</v>
      </c>
      <c r="H56" s="19" t="n">
        <v>-0.008</v>
      </c>
      <c r="I56" s="20" t="n">
        <v>77</v>
      </c>
      <c r="J56" s="16" t="inlineStr">
        <is>
          <t>amber</t>
        </is>
      </c>
      <c r="K56" s="20" t="n">
        <v>3</v>
      </c>
      <c r="L56" s="18" t="n">
        <v>34.79</v>
      </c>
      <c r="M56" s="18" t="n">
        <v>164.86</v>
      </c>
      <c r="N56" s="18" t="n">
        <v>155.21</v>
      </c>
      <c r="O56" s="18" t="n">
        <v>131.74</v>
      </c>
      <c r="P56" s="18" t="n">
        <v>170.68</v>
      </c>
      <c r="Q56" s="18" t="n">
        <v>93.87</v>
      </c>
      <c r="R56" s="21">
        <f>IF(OR(G56="",P56=""),"",G56/P56-1)</f>
        <v/>
      </c>
      <c r="S56" s="19" t="n">
        <v>0.3905</v>
      </c>
      <c r="T56" s="22" t="n">
        <v>0.0486</v>
      </c>
      <c r="U56" s="16" t="inlineStr">
        <is>
          <t>Yes</t>
        </is>
      </c>
      <c r="V56" s="16" t="inlineStr">
        <is>
          <t>Yes</t>
        </is>
      </c>
      <c r="W56" s="16" t="inlineStr">
        <is>
          <t>No</t>
        </is>
      </c>
      <c r="X56" s="16" t="inlineStr">
        <is>
          <t>Yes</t>
        </is>
      </c>
      <c r="Y56" s="20" t="n">
        <v>283</v>
      </c>
      <c r="Z56" s="19" t="n">
        <v>0.1781</v>
      </c>
      <c r="AA56" s="18" t="n">
        <v>50.51</v>
      </c>
      <c r="AB56" s="16" t="inlineStr">
        <is>
          <t>Average</t>
        </is>
      </c>
      <c r="AC56" s="16" t="inlineStr">
        <is>
          <t>No</t>
        </is>
      </c>
      <c r="AD56" s="19" t="n">
        <v>0.1024</v>
      </c>
      <c r="AE56" s="19" t="n">
        <v>0.1205</v>
      </c>
      <c r="AF56" s="19" t="n">
        <v>0.396</v>
      </c>
      <c r="AG56" s="19" t="n">
        <v>0.1725</v>
      </c>
      <c r="AH56" s="23" t="n">
        <v>0.47</v>
      </c>
      <c r="AI56" s="23" t="n">
        <v>3.75</v>
      </c>
      <c r="AJ56" s="19" t="n">
        <v>0.1463</v>
      </c>
    </row>
    <row r="57">
      <c r="A57" s="16" t="inlineStr">
        <is>
          <t>DLF</t>
        </is>
      </c>
      <c r="B57" s="16" t="inlineStr">
        <is>
          <t>DLF Ltd.</t>
        </is>
      </c>
      <c r="C57" s="16" t="inlineStr">
        <is>
          <t>Realty</t>
        </is>
      </c>
      <c r="D57" s="16" t="inlineStr">
        <is>
          <t>Realty</t>
        </is>
      </c>
      <c r="E57" s="16" t="inlineStr">
        <is>
          <t>INE271C01023</t>
        </is>
      </c>
      <c r="F57" s="17" t="n">
        <v>168791.5</v>
      </c>
      <c r="G57" s="18" t="n">
        <v>681.9</v>
      </c>
      <c r="H57" s="19" t="n">
        <v>0.0004</v>
      </c>
      <c r="I57" s="20" t="n">
        <v>54</v>
      </c>
      <c r="J57" s="16" t="inlineStr">
        <is>
          <t>red</t>
        </is>
      </c>
      <c r="K57" s="20" t="n">
        <v>276</v>
      </c>
      <c r="L57" s="18" t="n">
        <v>56.1</v>
      </c>
      <c r="M57" s="18" t="n">
        <v>678.97</v>
      </c>
      <c r="N57" s="18" t="n">
        <v>659.52</v>
      </c>
      <c r="O57" s="18" t="n">
        <v>625.34</v>
      </c>
      <c r="P57" s="18" t="n">
        <v>776.99</v>
      </c>
      <c r="Q57" s="18" t="n">
        <v>497.85</v>
      </c>
      <c r="R57" s="21">
        <f>IF(OR(G57="",P57=""),"",G57/P57-1)</f>
        <v/>
      </c>
      <c r="S57" s="19" t="n">
        <v>0.6061</v>
      </c>
      <c r="T57" s="22" t="n">
        <v>-0.0132</v>
      </c>
      <c r="U57" s="16" t="inlineStr">
        <is>
          <t>No</t>
        </is>
      </c>
      <c r="V57" s="16" t="inlineStr">
        <is>
          <t>Yes</t>
        </is>
      </c>
      <c r="W57" s="16" t="inlineStr">
        <is>
          <t>Yes</t>
        </is>
      </c>
      <c r="X57" s="16" t="inlineStr">
        <is>
          <t>Yes</t>
        </is>
      </c>
      <c r="Y57" s="20" t="n">
        <v>17</v>
      </c>
      <c r="Z57" s="19" t="n">
        <v>0.0547</v>
      </c>
      <c r="AA57" s="18" t="n">
        <v>56.23</v>
      </c>
      <c r="AB57" s="16" t="inlineStr">
        <is>
          <t>Good</t>
        </is>
      </c>
      <c r="AC57" s="16" t="inlineStr">
        <is>
          <t>No</t>
        </is>
      </c>
      <c r="AD57" s="19" t="n">
        <v>0.08960000000000001</v>
      </c>
      <c r="AE57" s="19" t="n">
        <v>0.0602</v>
      </c>
      <c r="AF57" s="19" t="n">
        <v>0.3174</v>
      </c>
      <c r="AG57" s="19" t="n">
        <v>0.1192</v>
      </c>
      <c r="AH57" s="23" t="n">
        <v>0.01</v>
      </c>
      <c r="AI57" s="23" t="n">
        <v>8.99</v>
      </c>
      <c r="AJ57" s="19" t="n">
        <v>0.2065</v>
      </c>
    </row>
    <row r="58">
      <c r="A58" s="16" t="inlineStr">
        <is>
          <t>TMCV</t>
        </is>
      </c>
      <c r="B58" s="16" t="inlineStr">
        <is>
          <t>Tata Motors Ltd.</t>
        </is>
      </c>
      <c r="C58" s="16" t="inlineStr">
        <is>
          <t>Commercial Vehicles</t>
        </is>
      </c>
      <c r="D58" s="16" t="inlineStr">
        <is>
          <t>Automobiles &amp; Auto Components</t>
        </is>
      </c>
      <c r="E58" s="16" t="inlineStr">
        <is>
          <t>INE1TAE01010</t>
        </is>
      </c>
      <c r="F58" s="17" t="n">
        <v>168741.33</v>
      </c>
      <c r="G58" s="18" t="n">
        <v>458.2</v>
      </c>
      <c r="H58" s="19" t="n">
        <v>-0.004699999999999999</v>
      </c>
      <c r="I58" s="20" t="n">
        <v>68</v>
      </c>
      <c r="J58" s="16" t="inlineStr">
        <is>
          <t>amber</t>
        </is>
      </c>
      <c r="K58" s="20" t="n">
        <v>21</v>
      </c>
      <c r="L58" s="18" t="n">
        <v>42.92</v>
      </c>
      <c r="M58" s="18" t="n">
        <v>465.58</v>
      </c>
      <c r="N58" s="18" t="n">
        <v>441.96</v>
      </c>
      <c r="O58" s="18" t="n">
        <v>419.7</v>
      </c>
      <c r="P58" s="18" t="n">
        <v>499.66</v>
      </c>
      <c r="Q58" s="18" t="n">
        <v>314.05</v>
      </c>
      <c r="R58" s="21">
        <f>IF(OR(G58="",P58=""),"",G58/P58-1)</f>
        <v/>
      </c>
      <c r="S58" s="19" t="n">
        <v>0.7062</v>
      </c>
      <c r="T58" s="22" t="n"/>
      <c r="U58" s="16" t="n"/>
      <c r="V58" s="16" t="inlineStr">
        <is>
          <t>Yes</t>
        </is>
      </c>
      <c r="W58" s="16" t="inlineStr">
        <is>
          <t>No</t>
        </is>
      </c>
      <c r="X58" s="16" t="inlineStr">
        <is>
          <t>Yes</t>
        </is>
      </c>
      <c r="Y58" s="20" t="n">
        <v>7</v>
      </c>
      <c r="Z58" s="19" t="n">
        <v>0.053</v>
      </c>
      <c r="AA58" s="18" t="n">
        <v>40</v>
      </c>
      <c r="AB58" s="16" t="inlineStr">
        <is>
          <t>Average</t>
        </is>
      </c>
      <c r="AC58" s="16" t="inlineStr">
        <is>
          <t>No</t>
        </is>
      </c>
      <c r="AD58" s="19" t="n">
        <v>0.3062</v>
      </c>
      <c r="AE58" s="19" t="n">
        <v>0.2473</v>
      </c>
      <c r="AF58" s="19" t="n">
        <v>-0.476</v>
      </c>
      <c r="AG58" s="19" t="n">
        <v>-0.2115</v>
      </c>
      <c r="AH58" s="23" t="n">
        <v>0.44</v>
      </c>
      <c r="AI58" s="23" t="n">
        <v>6.63</v>
      </c>
      <c r="AJ58" s="19" t="n">
        <v>0.058</v>
      </c>
    </row>
    <row r="59">
      <c r="A59" s="16" t="inlineStr">
        <is>
          <t>PIDILITIND</t>
        </is>
      </c>
      <c r="B59" s="16" t="inlineStr">
        <is>
          <t>Pidilite Industries Ltd.</t>
        </is>
      </c>
      <c r="C59" s="16" t="inlineStr">
        <is>
          <t>Specialty Chemicals</t>
        </is>
      </c>
      <c r="D59" s="16" t="inlineStr">
        <is>
          <t>Chemicals &amp; Petrochemicals</t>
        </is>
      </c>
      <c r="E59" s="16" t="inlineStr">
        <is>
          <t>INE318A01026</t>
        </is>
      </c>
      <c r="F59" s="17" t="n">
        <v>165863.5</v>
      </c>
      <c r="G59" s="18" t="n">
        <v>1629.5</v>
      </c>
      <c r="H59" s="19" t="n">
        <v>-0.0054</v>
      </c>
      <c r="I59" s="20" t="n">
        <v>56</v>
      </c>
      <c r="J59" s="16" t="inlineStr">
        <is>
          <t>red</t>
        </is>
      </c>
      <c r="K59" s="20" t="n">
        <v>4</v>
      </c>
      <c r="L59" s="18" t="n">
        <v>41.12</v>
      </c>
      <c r="M59" s="18" t="n">
        <v>1646.44</v>
      </c>
      <c r="N59" s="18" t="n">
        <v>1622.5</v>
      </c>
      <c r="O59" s="18" t="n">
        <v>1484.51</v>
      </c>
      <c r="P59" s="18" t="n">
        <v>1701.5</v>
      </c>
      <c r="Q59" s="18" t="n">
        <v>1264.49</v>
      </c>
      <c r="R59" s="21">
        <f>IF(OR(G59="",P59=""),"",G59/P59-1)</f>
        <v/>
      </c>
      <c r="S59" s="19" t="n">
        <v>0.6114999999999999</v>
      </c>
      <c r="T59" s="22" t="n">
        <v>0.0132</v>
      </c>
      <c r="U59" s="16" t="inlineStr">
        <is>
          <t>Yes</t>
        </is>
      </c>
      <c r="V59" s="16" t="inlineStr">
        <is>
          <t>Yes</t>
        </is>
      </c>
      <c r="W59" s="16" t="inlineStr">
        <is>
          <t>No</t>
        </is>
      </c>
      <c r="X59" s="16" t="inlineStr">
        <is>
          <t>Yes</t>
        </is>
      </c>
      <c r="Y59" s="20" t="n">
        <v>53</v>
      </c>
      <c r="Z59" s="19" t="n">
        <v>0.09300000000000001</v>
      </c>
      <c r="AA59" s="18" t="n">
        <v>70.20999999999999</v>
      </c>
      <c r="AB59" s="16" t="inlineStr">
        <is>
          <t>High</t>
        </is>
      </c>
      <c r="AC59" s="16" t="inlineStr">
        <is>
          <t>No</t>
        </is>
      </c>
      <c r="AD59" s="19" t="n">
        <v>0.2149</v>
      </c>
      <c r="AE59" s="19" t="n">
        <v>0.286</v>
      </c>
      <c r="AF59" s="19" t="n">
        <v>0.2449</v>
      </c>
      <c r="AG59" s="19" t="n">
        <v>0.0742</v>
      </c>
      <c r="AH59" s="23" t="n">
        <v>0.04</v>
      </c>
      <c r="AI59" s="23" t="n">
        <v>4.42</v>
      </c>
      <c r="AJ59" s="19" t="n">
        <v>0.1094</v>
      </c>
    </row>
    <row r="60">
      <c r="A60" s="16" t="inlineStr">
        <is>
          <t>IDEA</t>
        </is>
      </c>
      <c r="B60" s="16" t="inlineStr">
        <is>
          <t>Vodafone Idea Ltd.</t>
        </is>
      </c>
      <c r="C60" s="16" t="inlineStr">
        <is>
          <t>Telecom Services</t>
        </is>
      </c>
      <c r="D60" s="16" t="inlineStr">
        <is>
          <t>Telecom Services</t>
        </is>
      </c>
      <c r="E60" s="16" t="inlineStr">
        <is>
          <t>INE669E01016</t>
        </is>
      </c>
      <c r="F60" s="17" t="n">
        <v>162731.24</v>
      </c>
      <c r="G60" s="18" t="n">
        <v>15.02</v>
      </c>
      <c r="H60" s="19" t="n">
        <v>0.0373</v>
      </c>
      <c r="I60" s="20" t="n">
        <v>84</v>
      </c>
      <c r="J60" s="16" t="inlineStr">
        <is>
          <t>green</t>
        </is>
      </c>
      <c r="K60" s="20" t="n">
        <v>14</v>
      </c>
      <c r="L60" s="18" t="n">
        <v>66.25</v>
      </c>
      <c r="M60" s="18" t="n">
        <v>14.64</v>
      </c>
      <c r="N60" s="18" t="n">
        <v>13.81</v>
      </c>
      <c r="O60" s="18" t="n">
        <v>11.91</v>
      </c>
      <c r="P60" s="18" t="n">
        <v>15.19</v>
      </c>
      <c r="Q60" s="18" t="n">
        <v>6.61</v>
      </c>
      <c r="R60" s="21">
        <f>IF(OR(G60="",P60=""),"",G60/P60-1)</f>
        <v/>
      </c>
      <c r="S60" s="19" t="n">
        <v>1.3533</v>
      </c>
      <c r="T60" s="22" t="n">
        <v>0.0379</v>
      </c>
      <c r="U60" s="16" t="inlineStr">
        <is>
          <t>Yes</t>
        </is>
      </c>
      <c r="V60" s="16" t="inlineStr">
        <is>
          <t>Yes</t>
        </is>
      </c>
      <c r="W60" s="16" t="inlineStr">
        <is>
          <t>Yes</t>
        </is>
      </c>
      <c r="X60" s="16" t="inlineStr">
        <is>
          <t>Yes</t>
        </is>
      </c>
      <c r="Y60" s="20" t="n">
        <v>222</v>
      </c>
      <c r="Z60" s="19" t="n">
        <v>0.1589</v>
      </c>
      <c r="AA60" s="18" t="n">
        <v>44.92</v>
      </c>
      <c r="AB60" s="16" t="inlineStr">
        <is>
          <t>Average</t>
        </is>
      </c>
      <c r="AC60" s="16" t="inlineStr">
        <is>
          <t>No</t>
        </is>
      </c>
      <c r="AD60" s="19" t="n">
        <v>-0.09230000000000001</v>
      </c>
      <c r="AE60" s="19" t="n">
        <v>0.1014</v>
      </c>
      <c r="AF60" s="19" t="n">
        <v>0.8048000000000001</v>
      </c>
      <c r="AG60" s="19" t="n">
        <v>0.0205</v>
      </c>
      <c r="AH60" s="23" t="n">
        <v>-5.38</v>
      </c>
      <c r="AI60" s="23" t="n">
        <v>0.68</v>
      </c>
      <c r="AJ60" s="19" t="n">
        <v>0.0234</v>
      </c>
    </row>
    <row r="61">
      <c r="A61" s="16" t="inlineStr">
        <is>
          <t>TATACAP</t>
        </is>
      </c>
      <c r="B61" s="16" t="inlineStr">
        <is>
          <t>Tata Capital Ltd.</t>
        </is>
      </c>
      <c r="C61" s="16" t="inlineStr">
        <is>
          <t>Finance (including NBFCs)</t>
        </is>
      </c>
      <c r="D61" s="16" t="inlineStr">
        <is>
          <t>Banking and Finance</t>
        </is>
      </c>
      <c r="E61" s="16" t="inlineStr">
        <is>
          <t>INE976I01016</t>
        </is>
      </c>
      <c r="F61" s="17" t="n">
        <v>159203.81</v>
      </c>
      <c r="G61" s="18" t="n">
        <v>375.05</v>
      </c>
      <c r="H61" s="19" t="n">
        <v>0.0086</v>
      </c>
      <c r="I61" s="20" t="n">
        <v>63</v>
      </c>
      <c r="J61" s="16" t="inlineStr">
        <is>
          <t>amber</t>
        </is>
      </c>
      <c r="K61" s="20" t="n">
        <v>27</v>
      </c>
      <c r="L61" s="18" t="n">
        <v>68.33</v>
      </c>
      <c r="M61" s="18" t="n">
        <v>371.22</v>
      </c>
      <c r="N61" s="18" t="n">
        <v>361.18</v>
      </c>
      <c r="O61" s="18" t="n">
        <v>338.02</v>
      </c>
      <c r="P61" s="18" t="n">
        <v>382.7</v>
      </c>
      <c r="Q61" s="18" t="n">
        <v>297.3</v>
      </c>
      <c r="R61" s="21">
        <f>IF(OR(G61="",P61=""),"",G61/P61-1)</f>
        <v/>
      </c>
      <c r="S61" s="19" t="n">
        <v>0.7147</v>
      </c>
      <c r="T61" s="22" t="n">
        <v>0.0126</v>
      </c>
      <c r="U61" s="16" t="inlineStr">
        <is>
          <t>Yes</t>
        </is>
      </c>
      <c r="V61" s="16" t="inlineStr">
        <is>
          <t>Yes</t>
        </is>
      </c>
      <c r="W61" s="16" t="inlineStr">
        <is>
          <t>Yes</t>
        </is>
      </c>
      <c r="X61" s="16" t="inlineStr">
        <is>
          <t>Yes</t>
        </is>
      </c>
      <c r="Y61" s="20" t="n">
        <v>27</v>
      </c>
      <c r="Z61" s="19" t="n">
        <v>0.06849999999999999</v>
      </c>
      <c r="AA61" s="18" t="n">
        <v>41.86</v>
      </c>
      <c r="AB61" s="16" t="inlineStr">
        <is>
          <t>Average</t>
        </is>
      </c>
      <c r="AC61" s="16" t="inlineStr">
        <is>
          <t>Yes</t>
        </is>
      </c>
      <c r="AD61" s="19" t="n">
        <v>0.1057</v>
      </c>
      <c r="AE61" s="19" t="n">
        <v>0.0259</v>
      </c>
      <c r="AF61" s="19" t="n"/>
      <c r="AG61" s="19" t="n">
        <v>0.3598</v>
      </c>
      <c r="AH61" s="23" t="n">
        <v>4.97</v>
      </c>
      <c r="AI61" s="23" t="n">
        <v>11.89</v>
      </c>
      <c r="AJ61" s="19" t="n">
        <v>0.1789</v>
      </c>
    </row>
    <row r="62">
      <c r="A62" s="16" t="inlineStr">
        <is>
          <t>JIOFIN</t>
        </is>
      </c>
      <c r="B62" s="16" t="inlineStr">
        <is>
          <t>Jio Financial Services Ltd.</t>
        </is>
      </c>
      <c r="C62" s="16" t="inlineStr">
        <is>
          <t>Finance (including NBFCs)</t>
        </is>
      </c>
      <c r="D62" s="16" t="inlineStr">
        <is>
          <t>Banking and Finance</t>
        </is>
      </c>
      <c r="E62" s="16" t="inlineStr">
        <is>
          <t>INE758E01017</t>
        </is>
      </c>
      <c r="F62" s="17" t="n">
        <v>158145.24</v>
      </c>
      <c r="G62" s="18" t="n">
        <v>239.5</v>
      </c>
      <c r="H62" s="19" t="n">
        <v>0.0086</v>
      </c>
      <c r="I62" s="20" t="n">
        <v>25</v>
      </c>
      <c r="J62" s="16" t="inlineStr">
        <is>
          <t>red</t>
        </is>
      </c>
      <c r="K62" s="20" t="n">
        <v>159</v>
      </c>
      <c r="L62" s="18" t="n">
        <v>32.48</v>
      </c>
      <c r="M62" s="18" t="n">
        <v>238.57</v>
      </c>
      <c r="N62" s="18" t="n">
        <v>243.25</v>
      </c>
      <c r="O62" s="18" t="n">
        <v>254.93</v>
      </c>
      <c r="P62" s="18" t="n">
        <v>316.61</v>
      </c>
      <c r="Q62" s="18" t="n">
        <v>223.58</v>
      </c>
      <c r="R62" s="21">
        <f>IF(OR(G62="",P62=""),"",G62/P62-1)</f>
        <v/>
      </c>
      <c r="S62" s="19" t="n">
        <v>0.7409</v>
      </c>
      <c r="T62" s="22" t="n">
        <v>-0.0236</v>
      </c>
      <c r="U62" s="16" t="inlineStr">
        <is>
          <t>No</t>
        </is>
      </c>
      <c r="V62" s="16" t="inlineStr">
        <is>
          <t>No</t>
        </is>
      </c>
      <c r="W62" s="16" t="inlineStr">
        <is>
          <t>Yes</t>
        </is>
      </c>
      <c r="X62" s="16" t="inlineStr">
        <is>
          <t>No</t>
        </is>
      </c>
      <c r="Y62" s="20" t="n">
        <v>157</v>
      </c>
      <c r="Z62" s="19" t="n">
        <v>-0.0458</v>
      </c>
      <c r="AA62" s="18" t="n">
        <v>52.22</v>
      </c>
      <c r="AB62" s="16" t="inlineStr">
        <is>
          <t>Average</t>
        </is>
      </c>
      <c r="AC62" s="16" t="inlineStr">
        <is>
          <t>Yes</t>
        </is>
      </c>
      <c r="AD62" s="19" t="n">
        <v>0.0121</v>
      </c>
      <c r="AE62" s="19" t="n">
        <v>0.0155</v>
      </c>
      <c r="AF62" s="19" t="n">
        <v>16.5242</v>
      </c>
      <c r="AG62" s="19" t="n">
        <v>18.586</v>
      </c>
      <c r="AH62" s="23" t="n">
        <v>0.16</v>
      </c>
      <c r="AI62" s="23" t="n">
        <v>47.93</v>
      </c>
      <c r="AJ62" s="19" t="n">
        <v>0.1888</v>
      </c>
    </row>
    <row r="63">
      <c r="A63" s="16" t="inlineStr">
        <is>
          <t>ABB</t>
        </is>
      </c>
      <c r="B63" s="16" t="inlineStr">
        <is>
          <t>ABB India Ltd.</t>
        </is>
      </c>
      <c r="C63" s="16" t="inlineStr">
        <is>
          <t>Heavy Electrical Equipment</t>
        </is>
      </c>
      <c r="D63" s="16" t="inlineStr">
        <is>
          <t>General Industrials</t>
        </is>
      </c>
      <c r="E63" s="16" t="inlineStr">
        <is>
          <t>INE117A01022</t>
        </is>
      </c>
      <c r="F63" s="17" t="n">
        <v>157024.12</v>
      </c>
      <c r="G63" s="18" t="n">
        <v>7410</v>
      </c>
      <c r="H63" s="19" t="n">
        <v>-0.003</v>
      </c>
      <c r="I63" s="20" t="n">
        <v>72</v>
      </c>
      <c r="J63" s="16" t="inlineStr">
        <is>
          <t>amber</t>
        </is>
      </c>
      <c r="K63" s="20" t="n">
        <v>14</v>
      </c>
      <c r="L63" s="18" t="n">
        <v>39.17</v>
      </c>
      <c r="M63" s="18" t="n">
        <v>7491.5</v>
      </c>
      <c r="N63" s="18" t="n">
        <v>7323.86</v>
      </c>
      <c r="O63" s="18" t="n">
        <v>6323.69</v>
      </c>
      <c r="P63" s="18" t="n">
        <v>7710</v>
      </c>
      <c r="Q63" s="18" t="n">
        <v>4618.02</v>
      </c>
      <c r="R63" s="21">
        <f>IF(OR(G63="",P63=""),"",G63/P63-1)</f>
        <v/>
      </c>
      <c r="S63" s="19" t="n">
        <v>0.5831000000000001</v>
      </c>
      <c r="T63" s="22" t="n">
        <v>0.0412</v>
      </c>
      <c r="U63" s="16" t="inlineStr">
        <is>
          <t>Yes</t>
        </is>
      </c>
      <c r="V63" s="16" t="inlineStr">
        <is>
          <t>Yes</t>
        </is>
      </c>
      <c r="W63" s="16" t="inlineStr">
        <is>
          <t>No</t>
        </is>
      </c>
      <c r="X63" s="16" t="inlineStr">
        <is>
          <t>Yes</t>
        </is>
      </c>
      <c r="Y63" s="20" t="n">
        <v>128</v>
      </c>
      <c r="Z63" s="19" t="n">
        <v>0.1582</v>
      </c>
      <c r="AA63" s="18" t="n">
        <v>77.01000000000001</v>
      </c>
      <c r="AB63" s="16" t="inlineStr">
        <is>
          <t>High</t>
        </is>
      </c>
      <c r="AC63" s="16" t="inlineStr">
        <is>
          <t>No</t>
        </is>
      </c>
      <c r="AD63" s="19" t="n">
        <v>0.2288</v>
      </c>
      <c r="AE63" s="19" t="n">
        <v>0.3059</v>
      </c>
      <c r="AF63" s="19" t="n">
        <v>0.1992</v>
      </c>
      <c r="AG63" s="19" t="n">
        <v>0.1234</v>
      </c>
      <c r="AH63" s="23" t="n">
        <v>0.01</v>
      </c>
      <c r="AI63" s="23" t="n">
        <v>9.57</v>
      </c>
      <c r="AJ63" s="19" t="n">
        <v>0.1394</v>
      </c>
    </row>
    <row r="64">
      <c r="A64" s="16" t="inlineStr">
        <is>
          <t>TECHM</t>
        </is>
      </c>
      <c r="B64" s="16" t="inlineStr">
        <is>
          <t>Tech Mahindra Ltd.</t>
        </is>
      </c>
      <c r="C64" s="16" t="inlineStr">
        <is>
          <t>IT Consulting &amp; Software</t>
        </is>
      </c>
      <c r="D64" s="16" t="inlineStr">
        <is>
          <t>Software &amp; Services</t>
        </is>
      </c>
      <c r="E64" s="16" t="inlineStr">
        <is>
          <t>INE669C01036</t>
        </is>
      </c>
      <c r="F64" s="17" t="n">
        <v>156517.57</v>
      </c>
      <c r="G64" s="18" t="n">
        <v>1596.9</v>
      </c>
      <c r="H64" s="19" t="n">
        <v>-0.0007000000000000001</v>
      </c>
      <c r="I64" s="20" t="n">
        <v>57</v>
      </c>
      <c r="J64" s="16" t="inlineStr">
        <is>
          <t>red</t>
        </is>
      </c>
      <c r="K64" s="20" t="n">
        <v>2</v>
      </c>
      <c r="L64" s="18" t="n">
        <v>46.87</v>
      </c>
      <c r="M64" s="18" t="n">
        <v>1610.1</v>
      </c>
      <c r="N64" s="18" t="n">
        <v>1561.09</v>
      </c>
      <c r="O64" s="18" t="n">
        <v>1487.23</v>
      </c>
      <c r="P64" s="18" t="n">
        <v>1723.61</v>
      </c>
      <c r="Q64" s="18" t="n">
        <v>1297.97</v>
      </c>
      <c r="R64" s="21">
        <f>IF(OR(G64="",P64=""),"",G64/P64-1)</f>
        <v/>
      </c>
      <c r="S64" s="19" t="n">
        <v>0.4506</v>
      </c>
      <c r="T64" s="22" t="n">
        <v>0.0145</v>
      </c>
      <c r="U64" s="16" t="inlineStr">
        <is>
          <t>Yes</t>
        </is>
      </c>
      <c r="V64" s="16" t="inlineStr">
        <is>
          <t>Yes</t>
        </is>
      </c>
      <c r="W64" s="16" t="inlineStr">
        <is>
          <t>No</t>
        </is>
      </c>
      <c r="X64" s="16" t="inlineStr">
        <is>
          <t>Yes</t>
        </is>
      </c>
      <c r="Y64" s="20" t="n">
        <v>27</v>
      </c>
      <c r="Z64" s="19" t="n">
        <v>0.04969999999999999</v>
      </c>
      <c r="AA64" s="18" t="n">
        <v>56.67</v>
      </c>
      <c r="AB64" s="16" t="inlineStr">
        <is>
          <t>Good</t>
        </is>
      </c>
      <c r="AC64" s="16" t="inlineStr">
        <is>
          <t>No</t>
        </is>
      </c>
      <c r="AD64" s="19" t="n">
        <v>0.1354</v>
      </c>
      <c r="AE64" s="19" t="n">
        <v>0.1815</v>
      </c>
      <c r="AF64" s="19" t="n">
        <v>0.1403</v>
      </c>
      <c r="AG64" s="19" t="n">
        <v>0.0223</v>
      </c>
      <c r="AH64" s="23" t="n">
        <v>0.07000000000000001</v>
      </c>
      <c r="AI64" s="23" t="n">
        <v>12.82</v>
      </c>
      <c r="AJ64" s="19" t="n">
        <v>0.0062</v>
      </c>
    </row>
    <row r="65">
      <c r="A65" s="16" t="inlineStr">
        <is>
          <t>CHOLAFIN</t>
        </is>
      </c>
      <c r="B65" s="16" t="inlineStr">
        <is>
          <t>Cholamandalam Investment &amp; Finance Company Ltd.</t>
        </is>
      </c>
      <c r="C65" s="16" t="inlineStr">
        <is>
          <t>Finance (including NBFCs)</t>
        </is>
      </c>
      <c r="D65" s="16" t="inlineStr">
        <is>
          <t>Banking and Finance</t>
        </is>
      </c>
      <c r="E65" s="16" t="inlineStr">
        <is>
          <t>INE121A01024</t>
        </is>
      </c>
      <c r="F65" s="17" t="n">
        <v>154997.71</v>
      </c>
      <c r="G65" s="18" t="n">
        <v>1839</v>
      </c>
      <c r="H65" s="19" t="n">
        <v>-0.005600000000000001</v>
      </c>
      <c r="I65" s="20" t="n">
        <v>66</v>
      </c>
      <c r="J65" s="16" t="inlineStr">
        <is>
          <t>amber</t>
        </is>
      </c>
      <c r="K65" s="20" t="n">
        <v>32</v>
      </c>
      <c r="L65" s="18" t="n">
        <v>39.79</v>
      </c>
      <c r="M65" s="18" t="n">
        <v>1849.09</v>
      </c>
      <c r="N65" s="18" t="n">
        <v>1831.55</v>
      </c>
      <c r="O65" s="18" t="n">
        <v>1677.38</v>
      </c>
      <c r="P65" s="18" t="n">
        <v>1940</v>
      </c>
      <c r="Q65" s="18" t="n">
        <v>1354.17</v>
      </c>
      <c r="R65" s="21">
        <f>IF(OR(G65="",P65=""),"",G65/P65-1)</f>
        <v/>
      </c>
      <c r="S65" s="19" t="n">
        <v>0.5135000000000001</v>
      </c>
      <c r="T65" s="22" t="n">
        <v>0.009899999999999999</v>
      </c>
      <c r="U65" s="16" t="inlineStr">
        <is>
          <t>Yes</t>
        </is>
      </c>
      <c r="V65" s="16" t="inlineStr">
        <is>
          <t>Yes</t>
        </is>
      </c>
      <c r="W65" s="16" t="inlineStr">
        <is>
          <t>No</t>
        </is>
      </c>
      <c r="X65" s="16" t="inlineStr">
        <is>
          <t>Yes</t>
        </is>
      </c>
      <c r="Y65" s="20" t="n">
        <v>36</v>
      </c>
      <c r="Z65" s="19" t="n">
        <v>0.0919</v>
      </c>
      <c r="AA65" s="18" t="n">
        <v>70.95999999999999</v>
      </c>
      <c r="AB65" s="16" t="inlineStr">
        <is>
          <t>High</t>
        </is>
      </c>
      <c r="AC65" s="16" t="inlineStr">
        <is>
          <t>Yes</t>
        </is>
      </c>
      <c r="AD65" s="19" t="n">
        <v>0.1755</v>
      </c>
      <c r="AE65" s="19" t="n"/>
      <c r="AF65" s="19" t="n">
        <v>0.2408</v>
      </c>
      <c r="AG65" s="19" t="n">
        <v>0.3298</v>
      </c>
      <c r="AH65" s="23" t="n">
        <v>6.95</v>
      </c>
      <c r="AI65" s="23" t="n">
        <v>8.949999999999999</v>
      </c>
      <c r="AJ65" s="19" t="n">
        <v>0.0173</v>
      </c>
    </row>
    <row r="66">
      <c r="A66" s="16" t="inlineStr">
        <is>
          <t>TRENT</t>
        </is>
      </c>
      <c r="B66" s="16" t="inlineStr">
        <is>
          <t>Trent Ltd.</t>
        </is>
      </c>
      <c r="C66" s="16" t="inlineStr">
        <is>
          <t>Department Stores</t>
        </is>
      </c>
      <c r="D66" s="16" t="inlineStr">
        <is>
          <t>Retailing</t>
        </is>
      </c>
      <c r="E66" s="16" t="inlineStr">
        <is>
          <t>INE849A01020</t>
        </is>
      </c>
      <c r="F66" s="17" t="n">
        <v>152131.18</v>
      </c>
      <c r="G66" s="18" t="n">
        <v>2853</v>
      </c>
      <c r="H66" s="19" t="n">
        <v>0.0133</v>
      </c>
      <c r="I66" s="20" t="n">
        <v>18</v>
      </c>
      <c r="J66" s="16" t="inlineStr">
        <is>
          <t>red</t>
        </is>
      </c>
      <c r="K66" s="20" t="n">
        <v>328</v>
      </c>
      <c r="L66" s="18" t="n">
        <v>35.12</v>
      </c>
      <c r="M66" s="18" t="n">
        <v>2867.56</v>
      </c>
      <c r="N66" s="18" t="n">
        <v>2981.31</v>
      </c>
      <c r="O66" s="18" t="n">
        <v>2982.7</v>
      </c>
      <c r="P66" s="18" t="n">
        <v>5520.84</v>
      </c>
      <c r="Q66" s="18" t="n">
        <v>2193.96</v>
      </c>
      <c r="R66" s="21">
        <f>IF(OR(G66="",P66=""),"",G66/P66-1)</f>
        <v/>
      </c>
      <c r="S66" s="19" t="n">
        <v>0.6299</v>
      </c>
      <c r="T66" s="22" t="n">
        <v>-0.0524</v>
      </c>
      <c r="U66" s="16" t="inlineStr">
        <is>
          <t>No</t>
        </is>
      </c>
      <c r="V66" s="16" t="inlineStr">
        <is>
          <t>No</t>
        </is>
      </c>
      <c r="W66" s="16" t="inlineStr">
        <is>
          <t>No</t>
        </is>
      </c>
      <c r="X66" s="16" t="inlineStr">
        <is>
          <t>No</t>
        </is>
      </c>
      <c r="Y66" s="20" t="n">
        <v>385</v>
      </c>
      <c r="Z66" s="19" t="n">
        <v>-0.0005</v>
      </c>
      <c r="AA66" s="18" t="n">
        <v>74.56</v>
      </c>
      <c r="AB66" s="16" t="inlineStr">
        <is>
          <t>High</t>
        </is>
      </c>
      <c r="AC66" s="16" t="inlineStr">
        <is>
          <t>No</t>
        </is>
      </c>
      <c r="AD66" s="19" t="n">
        <v>0.2983</v>
      </c>
      <c r="AE66" s="19" t="n">
        <v>0.3061</v>
      </c>
      <c r="AF66" s="19" t="n">
        <v>0.8317</v>
      </c>
      <c r="AG66" s="19" t="n">
        <v>0.3545</v>
      </c>
      <c r="AH66" s="23" t="n">
        <v>0.37</v>
      </c>
      <c r="AI66" s="23" t="n">
        <v>3</v>
      </c>
      <c r="AJ66" s="19" t="n">
        <v>0.1819</v>
      </c>
    </row>
    <row r="67">
      <c r="A67" s="16" t="inlineStr">
        <is>
          <t>BHEL</t>
        </is>
      </c>
      <c r="B67" s="16" t="inlineStr">
        <is>
          <t>Bharat Heavy Electricals Ltd.</t>
        </is>
      </c>
      <c r="C67" s="16" t="inlineStr">
        <is>
          <t>Heavy Electrical Equipment</t>
        </is>
      </c>
      <c r="D67" s="16" t="inlineStr">
        <is>
          <t>General Industrials</t>
        </is>
      </c>
      <c r="E67" s="16" t="inlineStr">
        <is>
          <t>INE257A01026</t>
        </is>
      </c>
      <c r="F67" s="17" t="n">
        <v>150111.75</v>
      </c>
      <c r="G67" s="18" t="n">
        <v>431.1</v>
      </c>
      <c r="H67" s="19" t="n">
        <v>-0.0016</v>
      </c>
      <c r="I67" s="20" t="n">
        <v>85</v>
      </c>
      <c r="J67" s="16" t="inlineStr">
        <is>
          <t>green</t>
        </is>
      </c>
      <c r="K67" s="20" t="n">
        <v>103</v>
      </c>
      <c r="L67" s="18" t="n">
        <v>47.21</v>
      </c>
      <c r="M67" s="18" t="n">
        <v>429.99</v>
      </c>
      <c r="N67" s="18" t="n">
        <v>412.51</v>
      </c>
      <c r="O67" s="18" t="n">
        <v>334.41</v>
      </c>
      <c r="P67" s="18" t="n">
        <v>442.65</v>
      </c>
      <c r="Q67" s="18" t="n">
        <v>210.41</v>
      </c>
      <c r="R67" s="21">
        <f>IF(OR(G67="",P67=""),"",G67/P67-1)</f>
        <v/>
      </c>
      <c r="S67" s="19" t="n">
        <v>0.773</v>
      </c>
      <c r="T67" s="22" t="n">
        <v>0.0501</v>
      </c>
      <c r="U67" s="16" t="inlineStr">
        <is>
          <t>Yes</t>
        </is>
      </c>
      <c r="V67" s="16" t="inlineStr">
        <is>
          <t>Yes</t>
        </is>
      </c>
      <c r="W67" s="16" t="inlineStr">
        <is>
          <t>Yes</t>
        </is>
      </c>
      <c r="X67" s="16" t="inlineStr">
        <is>
          <t>Yes</t>
        </is>
      </c>
      <c r="Y67" s="20" t="n">
        <v>311</v>
      </c>
      <c r="Z67" s="19" t="n">
        <v>0.2335</v>
      </c>
      <c r="AA67" s="18" t="n">
        <v>46.39</v>
      </c>
      <c r="AB67" s="16" t="inlineStr">
        <is>
          <t>Average</t>
        </is>
      </c>
      <c r="AC67" s="16" t="inlineStr">
        <is>
          <t>No</t>
        </is>
      </c>
      <c r="AD67" s="19" t="n">
        <v>0.0314</v>
      </c>
      <c r="AE67" s="19" t="n">
        <v>0.0526</v>
      </c>
      <c r="AF67" s="19" t="n">
        <v>0.7754000000000001</v>
      </c>
      <c r="AG67" s="19" t="n">
        <v>0.1373</v>
      </c>
      <c r="AH67" s="23" t="n">
        <v>0.31</v>
      </c>
      <c r="AI67" s="23" t="n">
        <v>9.699999999999999</v>
      </c>
      <c r="AJ67" s="19" t="n">
        <v>0.121</v>
      </c>
    </row>
    <row r="68">
      <c r="A68" s="16" t="inlineStr">
        <is>
          <t>ICICIAMC</t>
        </is>
      </c>
      <c r="B68" s="16" t="inlineStr">
        <is>
          <t>ICICI Prudential Asset Management Company Ltd.</t>
        </is>
      </c>
      <c r="C68" s="16" t="inlineStr">
        <is>
          <t>Asset Management Cos.</t>
        </is>
      </c>
      <c r="D68" s="16" t="inlineStr">
        <is>
          <t>Banking and Finance</t>
        </is>
      </c>
      <c r="E68" s="16" t="inlineStr">
        <is>
          <t>INE346A01027</t>
        </is>
      </c>
      <c r="F68" s="17" t="n">
        <v>146839.26</v>
      </c>
      <c r="G68" s="18" t="n">
        <v>2970.9</v>
      </c>
      <c r="H68" s="19" t="n">
        <v>-0.0031</v>
      </c>
      <c r="I68" s="20" t="n">
        <v>29</v>
      </c>
      <c r="J68" s="16" t="inlineStr">
        <is>
          <t>red</t>
        </is>
      </c>
      <c r="K68" s="20" t="n">
        <v>44</v>
      </c>
      <c r="L68" s="18" t="n">
        <v>39.49</v>
      </c>
      <c r="M68" s="18" t="n">
        <v>3060.43</v>
      </c>
      <c r="N68" s="18" t="n">
        <v>3149.78</v>
      </c>
      <c r="O68" s="18" t="n"/>
      <c r="P68" s="18" t="n">
        <v>3524.81</v>
      </c>
      <c r="Q68" s="18" t="n">
        <v>2562.37</v>
      </c>
      <c r="R68" s="21">
        <f>IF(OR(G68="",P68=""),"",G68/P68-1)</f>
        <v/>
      </c>
      <c r="S68" s="19" t="n">
        <v>0.5553</v>
      </c>
      <c r="T68" s="22" t="n"/>
      <c r="U68" s="16" t="n"/>
      <c r="V68" s="16" t="inlineStr">
        <is>
          <t>No</t>
        </is>
      </c>
      <c r="W68" s="16" t="inlineStr">
        <is>
          <t>No</t>
        </is>
      </c>
      <c r="X68" s="16" t="n"/>
      <c r="Y68" s="20" t="n"/>
      <c r="Z68" s="19" t="n"/>
      <c r="AA68" s="18" t="n">
        <v>85.81999999999999</v>
      </c>
      <c r="AB68" s="16" t="inlineStr">
        <is>
          <t>High</t>
        </is>
      </c>
      <c r="AC68" s="16" t="inlineStr">
        <is>
          <t>Yes</t>
        </is>
      </c>
      <c r="AD68" s="19" t="n">
        <v>0.7518</v>
      </c>
      <c r="AE68" s="19" t="n">
        <v>1.0041</v>
      </c>
      <c r="AF68" s="19" t="n">
        <v>0.2963</v>
      </c>
      <c r="AG68" s="19" t="n">
        <v>0.2912</v>
      </c>
      <c r="AH68" s="23" t="n">
        <v>0</v>
      </c>
      <c r="AI68" s="23" t="n">
        <v>9.67</v>
      </c>
      <c r="AJ68" s="19" t="n">
        <v>0.0107</v>
      </c>
    </row>
    <row r="69">
      <c r="A69" s="16" t="inlineStr">
        <is>
          <t>UNIONBANK</t>
        </is>
      </c>
      <c r="B69" s="16" t="inlineStr">
        <is>
          <t>Union Bank of India</t>
        </is>
      </c>
      <c r="C69" s="16" t="inlineStr">
        <is>
          <t>Banks</t>
        </is>
      </c>
      <c r="D69" s="16" t="inlineStr">
        <is>
          <t>Banking and Finance</t>
        </is>
      </c>
      <c r="E69" s="16" t="inlineStr">
        <is>
          <t>INE692A01016</t>
        </is>
      </c>
      <c r="F69" s="17" t="n">
        <v>142916.36</v>
      </c>
      <c r="G69" s="18" t="n">
        <v>187.22</v>
      </c>
      <c r="H69" s="19" t="n">
        <v>-0.009399999999999999</v>
      </c>
      <c r="I69" s="20" t="n">
        <v>68</v>
      </c>
      <c r="J69" s="16" t="inlineStr">
        <is>
          <t>amber</t>
        </is>
      </c>
      <c r="K69" s="20" t="n">
        <v>35</v>
      </c>
      <c r="L69" s="18" t="n">
        <v>47.11</v>
      </c>
      <c r="M69" s="18" t="n">
        <v>186.83</v>
      </c>
      <c r="N69" s="18" t="n">
        <v>176.2</v>
      </c>
      <c r="O69" s="18" t="n">
        <v>168.42</v>
      </c>
      <c r="P69" s="18" t="n">
        <v>196.47</v>
      </c>
      <c r="Q69" s="18" t="n">
        <v>123.19</v>
      </c>
      <c r="R69" s="21">
        <f>IF(OR(G69="",P69=""),"",G69/P69-1)</f>
        <v/>
      </c>
      <c r="S69" s="19" t="n">
        <v>0.7282</v>
      </c>
      <c r="T69" s="22" t="n">
        <v>0.0248</v>
      </c>
      <c r="U69" s="16" t="inlineStr">
        <is>
          <t>Yes</t>
        </is>
      </c>
      <c r="V69" s="16" t="inlineStr">
        <is>
          <t>Yes</t>
        </is>
      </c>
      <c r="W69" s="16" t="inlineStr">
        <is>
          <t>Yes</t>
        </is>
      </c>
      <c r="X69" s="16" t="inlineStr">
        <is>
          <t>Yes</t>
        </is>
      </c>
      <c r="Y69" s="20" t="n">
        <v>338</v>
      </c>
      <c r="Z69" s="19" t="n">
        <v>0.0462</v>
      </c>
      <c r="AA69" s="18" t="n">
        <v>58.95</v>
      </c>
      <c r="AB69" s="16" t="inlineStr">
        <is>
          <t>Good</t>
        </is>
      </c>
      <c r="AC69" s="16" t="inlineStr">
        <is>
          <t>Yes</t>
        </is>
      </c>
      <c r="AD69" s="19" t="n">
        <v>0.1484</v>
      </c>
      <c r="AE69" s="19" t="n"/>
      <c r="AF69" s="19" t="n">
        <v>0.283</v>
      </c>
      <c r="AG69" s="19" t="n">
        <v>0.0789</v>
      </c>
      <c r="AH69" s="23" t="n">
        <v>0.55</v>
      </c>
      <c r="AI69" s="23" t="n">
        <v>5.3</v>
      </c>
      <c r="AJ69" s="19" t="n">
        <v>0.0058</v>
      </c>
    </row>
    <row r="70">
      <c r="A70" s="16" t="inlineStr">
        <is>
          <t>SIEMENS</t>
        </is>
      </c>
      <c r="B70" s="16" t="inlineStr">
        <is>
          <t>Siemens Ltd.</t>
        </is>
      </c>
      <c r="C70" s="16" t="inlineStr">
        <is>
          <t>Heavy Electrical Equipment</t>
        </is>
      </c>
      <c r="D70" s="16" t="inlineStr">
        <is>
          <t>General Industrials</t>
        </is>
      </c>
      <c r="E70" s="16" t="inlineStr">
        <is>
          <t>INE003A01024</t>
        </is>
      </c>
      <c r="F70" s="17" t="n">
        <v>141629.12</v>
      </c>
      <c r="G70" s="18" t="n">
        <v>3977</v>
      </c>
      <c r="H70" s="19" t="n">
        <v>-0.0132</v>
      </c>
      <c r="I70" s="20" t="n">
        <v>64</v>
      </c>
      <c r="J70" s="16" t="inlineStr">
        <is>
          <t>amber</t>
        </is>
      </c>
      <c r="K70" s="20" t="n">
        <v>37</v>
      </c>
      <c r="L70" s="18" t="n">
        <v>52.89</v>
      </c>
      <c r="M70" s="18" t="n">
        <v>4039.11</v>
      </c>
      <c r="N70" s="18" t="n">
        <v>3788.53</v>
      </c>
      <c r="O70" s="18" t="n">
        <v>3445.29</v>
      </c>
      <c r="P70" s="18" t="n">
        <v>4114</v>
      </c>
      <c r="Q70" s="18" t="n">
        <v>2834.67</v>
      </c>
      <c r="R70" s="21">
        <f>IF(OR(G70="",P70=""),"",G70/P70-1)</f>
        <v/>
      </c>
      <c r="S70" s="19" t="n">
        <v>0.4299</v>
      </c>
      <c r="T70" s="22" t="n">
        <v>0.0269</v>
      </c>
      <c r="U70" s="16" t="inlineStr">
        <is>
          <t>Yes</t>
        </is>
      </c>
      <c r="V70" s="16" t="inlineStr">
        <is>
          <t>Yes</t>
        </is>
      </c>
      <c r="W70" s="16" t="inlineStr">
        <is>
          <t>No</t>
        </is>
      </c>
      <c r="X70" s="16" t="inlineStr">
        <is>
          <t>Yes</t>
        </is>
      </c>
      <c r="Y70" s="20" t="n">
        <v>107</v>
      </c>
      <c r="Z70" s="19" t="n">
        <v>0.09960000000000001</v>
      </c>
      <c r="AA70" s="18" t="n">
        <v>62.05</v>
      </c>
      <c r="AB70" s="16" t="inlineStr">
        <is>
          <t>Good</t>
        </is>
      </c>
      <c r="AC70" s="16" t="inlineStr">
        <is>
          <t>No</t>
        </is>
      </c>
      <c r="AD70" s="19" t="n">
        <v>0.1619</v>
      </c>
      <c r="AE70" s="19" t="n">
        <v>0.181</v>
      </c>
      <c r="AF70" s="19" t="n">
        <v>0.0805</v>
      </c>
      <c r="AG70" s="19" t="n">
        <v>-0.0314</v>
      </c>
      <c r="AH70" s="23" t="n">
        <v>0.01</v>
      </c>
      <c r="AI70" s="23" t="n">
        <v>15.28</v>
      </c>
      <c r="AJ70" s="19" t="n">
        <v>0.1811</v>
      </c>
    </row>
    <row r="71">
      <c r="A71" s="16" t="inlineStr">
        <is>
          <t>POWERINDIA</t>
        </is>
      </c>
      <c r="B71" s="16" t="inlineStr">
        <is>
          <t>Hitachi Energy India Ltd.</t>
        </is>
      </c>
      <c r="C71" s="16" t="inlineStr">
        <is>
          <t>Heavy Electrical Equipment</t>
        </is>
      </c>
      <c r="D71" s="16" t="inlineStr">
        <is>
          <t>General Industrials</t>
        </is>
      </c>
      <c r="E71" s="16" t="inlineStr">
        <is>
          <t>INE07Y701011</t>
        </is>
      </c>
      <c r="F71" s="17" t="n">
        <v>141071.65</v>
      </c>
      <c r="G71" s="18" t="n">
        <v>31650</v>
      </c>
      <c r="H71" s="19" t="n">
        <v>-0.0109</v>
      </c>
      <c r="I71" s="20" t="n">
        <v>72</v>
      </c>
      <c r="J71" s="16" t="inlineStr">
        <is>
          <t>amber</t>
        </is>
      </c>
      <c r="K71" s="20" t="n">
        <v>10</v>
      </c>
      <c r="L71" s="18" t="n">
        <v>24.85</v>
      </c>
      <c r="M71" s="18" t="n">
        <v>32823.12</v>
      </c>
      <c r="N71" s="18" t="n">
        <v>33045.25</v>
      </c>
      <c r="O71" s="18" t="n">
        <v>27683.49</v>
      </c>
      <c r="P71" s="18" t="n">
        <v>38435.82</v>
      </c>
      <c r="Q71" s="18" t="n">
        <v>16210.13</v>
      </c>
      <c r="R71" s="21">
        <f>IF(OR(G71="",P71=""),"",G71/P71-1)</f>
        <v/>
      </c>
      <c r="S71" s="19" t="n">
        <v>0.7020999999999999</v>
      </c>
      <c r="T71" s="22" t="n">
        <v>0.0552</v>
      </c>
      <c r="U71" s="16" t="inlineStr">
        <is>
          <t>Yes</t>
        </is>
      </c>
      <c r="V71" s="16" t="inlineStr">
        <is>
          <t>No</t>
        </is>
      </c>
      <c r="W71" s="16" t="inlineStr">
        <is>
          <t>No</t>
        </is>
      </c>
      <c r="X71" s="16" t="inlineStr">
        <is>
          <t>Yes</t>
        </is>
      </c>
      <c r="Y71" s="20" t="n">
        <v>137</v>
      </c>
      <c r="Z71" s="19" t="n">
        <v>0.1937</v>
      </c>
      <c r="AA71" s="18" t="n">
        <v>75.31999999999999</v>
      </c>
      <c r="AB71" s="16" t="inlineStr">
        <is>
          <t>High</t>
        </is>
      </c>
      <c r="AC71" s="16" t="inlineStr">
        <is>
          <t>No</t>
        </is>
      </c>
      <c r="AD71" s="19" t="n">
        <v>0.1341</v>
      </c>
      <c r="AE71" s="19" t="n">
        <v>0.1848</v>
      </c>
      <c r="AF71" s="19" t="n">
        <v>1.1783</v>
      </c>
      <c r="AG71" s="19" t="n">
        <v>0.2231</v>
      </c>
      <c r="AH71" s="23" t="n">
        <v>0.02</v>
      </c>
      <c r="AI71" s="23" t="n">
        <v>6.3</v>
      </c>
      <c r="AJ71" s="19" t="n">
        <v>0.3537</v>
      </c>
    </row>
    <row r="72">
      <c r="A72" s="16" t="inlineStr">
        <is>
          <t>CGPOWER</t>
        </is>
      </c>
      <c r="B72" s="16" t="inlineStr">
        <is>
          <t>CG Power and Industrial Solutions Ltd.</t>
        </is>
      </c>
      <c r="C72" s="16" t="inlineStr">
        <is>
          <t>Heavy Electrical Equipment</t>
        </is>
      </c>
      <c r="D72" s="16" t="inlineStr">
        <is>
          <t>General Industrials</t>
        </is>
      </c>
      <c r="E72" s="16" t="inlineStr">
        <is>
          <t>INE067A01029</t>
        </is>
      </c>
      <c r="F72" s="17" t="n">
        <v>140372.6</v>
      </c>
      <c r="G72" s="18" t="n">
        <v>891</v>
      </c>
      <c r="H72" s="19" t="n">
        <v>-0.004500000000000001</v>
      </c>
      <c r="I72" s="20" t="n">
        <v>61</v>
      </c>
      <c r="J72" s="16" t="inlineStr">
        <is>
          <t>amber</t>
        </is>
      </c>
      <c r="K72" s="20" t="n">
        <v>7</v>
      </c>
      <c r="L72" s="18" t="n">
        <v>48.16</v>
      </c>
      <c r="M72" s="18" t="n">
        <v>889.65</v>
      </c>
      <c r="N72" s="18" t="n">
        <v>893.4</v>
      </c>
      <c r="O72" s="18" t="n">
        <v>776.87</v>
      </c>
      <c r="P72" s="18" t="n">
        <v>976.5</v>
      </c>
      <c r="Q72" s="18" t="n">
        <v>529.48</v>
      </c>
      <c r="R72" s="21">
        <f>IF(OR(G72="",P72=""),"",G72/P72-1)</f>
        <v/>
      </c>
      <c r="S72" s="19" t="n">
        <v>0.7256</v>
      </c>
      <c r="T72" s="22" t="n">
        <v>0.0197</v>
      </c>
      <c r="U72" s="16" t="inlineStr">
        <is>
          <t>Yes</t>
        </is>
      </c>
      <c r="V72" s="16" t="inlineStr">
        <is>
          <t>No</t>
        </is>
      </c>
      <c r="W72" s="16" t="inlineStr">
        <is>
          <t>Yes</t>
        </is>
      </c>
      <c r="X72" s="16" t="inlineStr">
        <is>
          <t>Yes</t>
        </is>
      </c>
      <c r="Y72" s="20" t="n">
        <v>103</v>
      </c>
      <c r="Z72" s="19" t="n">
        <v>0.15</v>
      </c>
      <c r="AA72" s="18" t="n">
        <v>79.75</v>
      </c>
      <c r="AB72" s="16" t="inlineStr">
        <is>
          <t>High</t>
        </is>
      </c>
      <c r="AC72" s="16" t="inlineStr">
        <is>
          <t>No</t>
        </is>
      </c>
      <c r="AD72" s="19" t="n">
        <v>0.2926</v>
      </c>
      <c r="AE72" s="19" t="n">
        <v>0.3113</v>
      </c>
      <c r="AF72" s="19" t="n">
        <v>0.1247</v>
      </c>
      <c r="AG72" s="19" t="n">
        <v>0.2129</v>
      </c>
      <c r="AH72" s="23" t="n">
        <v>0.01</v>
      </c>
      <c r="AI72" s="23" t="n">
        <v>5.96</v>
      </c>
      <c r="AJ72" s="19" t="n">
        <v>0.4063000000000001</v>
      </c>
    </row>
    <row r="73">
      <c r="A73" s="16" t="inlineStr">
        <is>
          <t>CUMMINSIND</t>
        </is>
      </c>
      <c r="B73" s="16" t="inlineStr">
        <is>
          <t>Cummins India Ltd.</t>
        </is>
      </c>
      <c r="C73" s="16" t="inlineStr">
        <is>
          <t>Industrial Machinery</t>
        </is>
      </c>
      <c r="D73" s="16" t="inlineStr">
        <is>
          <t>General Industrials</t>
        </is>
      </c>
      <c r="E73" s="16" t="inlineStr">
        <is>
          <t>INE298A01020</t>
        </is>
      </c>
      <c r="F73" s="17" t="n">
        <v>139570.2</v>
      </c>
      <c r="G73" s="18" t="n">
        <v>5035</v>
      </c>
      <c r="H73" s="19" t="n">
        <v>-0.0071</v>
      </c>
      <c r="I73" s="20" t="n">
        <v>50</v>
      </c>
      <c r="J73" s="16" t="inlineStr">
        <is>
          <t>red</t>
        </is>
      </c>
      <c r="K73" s="20" t="n">
        <v>10</v>
      </c>
      <c r="L73" s="18" t="n">
        <v>19.71</v>
      </c>
      <c r="M73" s="18" t="n">
        <v>5123.44</v>
      </c>
      <c r="N73" s="18" t="n">
        <v>5398.25</v>
      </c>
      <c r="O73" s="18" t="n">
        <v>4929.65</v>
      </c>
      <c r="P73" s="18" t="n">
        <v>5977.92</v>
      </c>
      <c r="Q73" s="18" t="n">
        <v>3800.06</v>
      </c>
      <c r="R73" s="21">
        <f>IF(OR(G73="",P73=""),"",G73/P73-1)</f>
        <v/>
      </c>
      <c r="S73" s="19" t="n">
        <v>1.0221</v>
      </c>
      <c r="T73" s="22" t="n">
        <v>0.0205</v>
      </c>
      <c r="U73" s="16" t="inlineStr">
        <is>
          <t>Yes</t>
        </is>
      </c>
      <c r="V73" s="16" t="inlineStr">
        <is>
          <t>No</t>
        </is>
      </c>
      <c r="W73" s="16" t="inlineStr">
        <is>
          <t>No</t>
        </is>
      </c>
      <c r="X73" s="16" t="inlineStr">
        <is>
          <t>Yes</t>
        </is>
      </c>
      <c r="Y73" s="20" t="n">
        <v>289</v>
      </c>
      <c r="Z73" s="19" t="n">
        <v>0.0951</v>
      </c>
      <c r="AA73" s="18" t="n">
        <v>80.81</v>
      </c>
      <c r="AB73" s="16" t="inlineStr">
        <is>
          <t>High</t>
        </is>
      </c>
      <c r="AC73" s="16" t="inlineStr">
        <is>
          <t>No</t>
        </is>
      </c>
      <c r="AD73" s="19" t="n">
        <v>0.2678</v>
      </c>
      <c r="AE73" s="19" t="n">
        <v>0.3463000000000001</v>
      </c>
      <c r="AF73" s="19" t="n">
        <v>0.248</v>
      </c>
      <c r="AG73" s="19" t="n">
        <v>0.1607</v>
      </c>
      <c r="AH73" s="23" t="n">
        <v>0</v>
      </c>
      <c r="AI73" s="23" t="n">
        <v>8.08</v>
      </c>
      <c r="AJ73" s="19" t="n">
        <v>0.0755</v>
      </c>
    </row>
    <row r="74">
      <c r="A74" s="16" t="inlineStr">
        <is>
          <t>BSE</t>
        </is>
      </c>
      <c r="B74" s="16" t="inlineStr">
        <is>
          <t>BSE Ltd.</t>
        </is>
      </c>
      <c r="C74" s="16" t="inlineStr">
        <is>
          <t>Capital Markets</t>
        </is>
      </c>
      <c r="D74" s="16" t="inlineStr">
        <is>
          <t>Banking and Finance</t>
        </is>
      </c>
      <c r="E74" s="16" t="inlineStr">
        <is>
          <t>INE118H01025</t>
        </is>
      </c>
      <c r="F74" s="17" t="n">
        <v>138481.9</v>
      </c>
      <c r="G74" s="18" t="n">
        <v>3409.8</v>
      </c>
      <c r="H74" s="19" t="n">
        <v>0.0314</v>
      </c>
      <c r="I74" s="20" t="n">
        <v>61</v>
      </c>
      <c r="J74" s="16" t="inlineStr">
        <is>
          <t>amber</t>
        </is>
      </c>
      <c r="K74" s="20" t="n">
        <v>1</v>
      </c>
      <c r="L74" s="18" t="n">
        <v>54.62</v>
      </c>
      <c r="M74" s="18" t="n">
        <v>3308.31</v>
      </c>
      <c r="N74" s="18" t="n">
        <v>3547.61</v>
      </c>
      <c r="O74" s="18" t="n">
        <v>3275.68</v>
      </c>
      <c r="P74" s="18" t="n">
        <v>4391.73</v>
      </c>
      <c r="Q74" s="18" t="n">
        <v>2034.84</v>
      </c>
      <c r="R74" s="21">
        <f>IF(OR(G74="",P74=""),"",G74/P74-1)</f>
        <v/>
      </c>
      <c r="S74" s="19" t="n">
        <v>1.794</v>
      </c>
      <c r="T74" s="22" t="n">
        <v>0.0239</v>
      </c>
      <c r="U74" s="16" t="inlineStr">
        <is>
          <t>Yes</t>
        </is>
      </c>
      <c r="V74" s="16" t="inlineStr">
        <is>
          <t>No</t>
        </is>
      </c>
      <c r="W74" s="16" t="inlineStr">
        <is>
          <t>Yes</t>
        </is>
      </c>
      <c r="X74" s="16" t="inlineStr">
        <is>
          <t>Yes</t>
        </is>
      </c>
      <c r="Y74" s="20" t="n">
        <v>751</v>
      </c>
      <c r="Z74" s="19" t="n">
        <v>0.083</v>
      </c>
      <c r="AA74" s="18" t="n">
        <v>92.84</v>
      </c>
      <c r="AB74" s="16" t="inlineStr">
        <is>
          <t>High</t>
        </is>
      </c>
      <c r="AC74" s="16" t="inlineStr">
        <is>
          <t>Yes</t>
        </is>
      </c>
      <c r="AD74" s="19" t="n">
        <v>0.3032</v>
      </c>
      <c r="AE74" s="19" t="n">
        <v>0.398</v>
      </c>
      <c r="AF74" s="19" t="n">
        <v>1.3726</v>
      </c>
      <c r="AG74" s="19" t="n">
        <v>0.7720999999999999</v>
      </c>
      <c r="AH74" s="23" t="n">
        <v>0</v>
      </c>
      <c r="AI74" s="23" t="n">
        <v>7.54</v>
      </c>
      <c r="AJ74" s="19" t="n">
        <v>0.0547</v>
      </c>
    </row>
    <row r="75">
      <c r="A75" s="16" t="inlineStr">
        <is>
          <t>BOSCHLTD</t>
        </is>
      </c>
      <c r="B75" s="16" t="inlineStr">
        <is>
          <t>Bosch Ltd.</t>
        </is>
      </c>
      <c r="C75" s="16" t="inlineStr">
        <is>
          <t>Auto Parts &amp; Equipment</t>
        </is>
      </c>
      <c r="D75" s="16" t="inlineStr">
        <is>
          <t>Automobiles &amp; Auto Components</t>
        </is>
      </c>
      <c r="E75" s="16" t="inlineStr">
        <is>
          <t>INE323A01026</t>
        </is>
      </c>
      <c r="F75" s="17" t="n">
        <v>138100.74</v>
      </c>
      <c r="G75" s="18" t="n">
        <v>46820</v>
      </c>
      <c r="H75" s="19" t="n">
        <v>-0.0038</v>
      </c>
      <c r="I75" s="20" t="n">
        <v>73</v>
      </c>
      <c r="J75" s="16" t="inlineStr">
        <is>
          <t>amber</t>
        </is>
      </c>
      <c r="K75" s="20" t="n">
        <v>6</v>
      </c>
      <c r="L75" s="18" t="n">
        <v>49.12</v>
      </c>
      <c r="M75" s="18" t="n">
        <v>48241.88</v>
      </c>
      <c r="N75" s="18" t="n">
        <v>43801.72</v>
      </c>
      <c r="O75" s="18" t="n">
        <v>37834.34</v>
      </c>
      <c r="P75" s="18" t="n">
        <v>50000</v>
      </c>
      <c r="Q75" s="18" t="n">
        <v>28557.08</v>
      </c>
      <c r="R75" s="21">
        <f>IF(OR(G75="",P75=""),"",G75/P75-1)</f>
        <v/>
      </c>
      <c r="S75" s="19" t="n">
        <v>0.3856</v>
      </c>
      <c r="T75" s="22" t="n">
        <v>0.0277</v>
      </c>
      <c r="U75" s="16" t="inlineStr">
        <is>
          <t>Yes</t>
        </is>
      </c>
      <c r="V75" s="16" t="inlineStr">
        <is>
          <t>Yes</t>
        </is>
      </c>
      <c r="W75" s="16" t="inlineStr">
        <is>
          <t>No</t>
        </is>
      </c>
      <c r="X75" s="16" t="inlineStr">
        <is>
          <t>Yes</t>
        </is>
      </c>
      <c r="Y75" s="20" t="n">
        <v>60</v>
      </c>
      <c r="Z75" s="19" t="n">
        <v>0.1577</v>
      </c>
      <c r="AA75" s="18" t="n">
        <v>75.61</v>
      </c>
      <c r="AB75" s="16" t="inlineStr">
        <is>
          <t>High</t>
        </is>
      </c>
      <c r="AC75" s="16" t="inlineStr">
        <is>
          <t>No</t>
        </is>
      </c>
      <c r="AD75" s="19" t="n">
        <v>0.1798</v>
      </c>
      <c r="AE75" s="19" t="n">
        <v>0.2359</v>
      </c>
      <c r="AF75" s="19" t="n">
        <v>0.3109</v>
      </c>
      <c r="AG75" s="19" t="n">
        <v>0.1029</v>
      </c>
      <c r="AH75" s="23" t="n">
        <v>0.01</v>
      </c>
      <c r="AI75" s="23" t="n">
        <v>13.12</v>
      </c>
      <c r="AJ75" s="19" t="n">
        <v>0.2529</v>
      </c>
    </row>
    <row r="76">
      <c r="A76" s="16" t="inlineStr">
        <is>
          <t>VBL</t>
        </is>
      </c>
      <c r="B76" s="16" t="inlineStr">
        <is>
          <t>Varun Beverages Ltd.</t>
        </is>
      </c>
      <c r="C76" s="16" t="inlineStr">
        <is>
          <t>Other Food &amp; Beverages</t>
        </is>
      </c>
      <c r="D76" s="16" t="inlineStr">
        <is>
          <t>Food, Beverages &amp; Tobacco</t>
        </is>
      </c>
      <c r="E76" s="16" t="inlineStr">
        <is>
          <t>INE200M01039</t>
        </is>
      </c>
      <c r="F76" s="17" t="n">
        <v>137869.27</v>
      </c>
      <c r="G76" s="18" t="n">
        <v>407.6</v>
      </c>
      <c r="H76" s="19" t="n">
        <v>0.0011</v>
      </c>
      <c r="I76" s="20" t="n">
        <v>10</v>
      </c>
      <c r="J76" s="16" t="inlineStr">
        <is>
          <t>red</t>
        </is>
      </c>
      <c r="K76" s="20" t="n">
        <v>44</v>
      </c>
      <c r="L76" s="18" t="n">
        <v>36.88</v>
      </c>
      <c r="M76" s="18" t="n">
        <v>411.26</v>
      </c>
      <c r="N76" s="18" t="n">
        <v>451.28</v>
      </c>
      <c r="O76" s="18" t="n">
        <v>469.19</v>
      </c>
      <c r="P76" s="18" t="n">
        <v>543.45</v>
      </c>
      <c r="Q76" s="18" t="n">
        <v>380.94</v>
      </c>
      <c r="R76" s="21">
        <f>IF(OR(G76="",P76=""),"",G76/P76-1)</f>
        <v/>
      </c>
      <c r="S76" s="19" t="n">
        <v>0.5629999999999999</v>
      </c>
      <c r="T76" s="22" t="n">
        <v>-0.008</v>
      </c>
      <c r="U76" s="16" t="inlineStr">
        <is>
          <t>No</t>
        </is>
      </c>
      <c r="V76" s="16" t="inlineStr">
        <is>
          <t>No</t>
        </is>
      </c>
      <c r="W76" s="16" t="inlineStr">
        <is>
          <t>No</t>
        </is>
      </c>
      <c r="X76" s="16" t="inlineStr">
        <is>
          <t>No</t>
        </is>
      </c>
      <c r="Y76" s="20" t="n">
        <v>10</v>
      </c>
      <c r="Z76" s="19" t="n">
        <v>-0.0382</v>
      </c>
      <c r="AA76" s="18" t="n">
        <v>61.79</v>
      </c>
      <c r="AB76" s="16" t="inlineStr">
        <is>
          <t>Good</t>
        </is>
      </c>
      <c r="AC76" s="16" t="inlineStr">
        <is>
          <t>No</t>
        </is>
      </c>
      <c r="AD76" s="19" t="n">
        <v>0.2026</v>
      </c>
      <c r="AE76" s="19" t="n">
        <v>0.2107</v>
      </c>
      <c r="AF76" s="19" t="n">
        <v>0.1927</v>
      </c>
      <c r="AG76" s="19" t="n">
        <v>0.1581</v>
      </c>
      <c r="AH76" s="23" t="n">
        <v>0.13</v>
      </c>
      <c r="AI76" s="23" t="n">
        <v>1.32</v>
      </c>
      <c r="AJ76" s="19" t="n">
        <v>0.0344</v>
      </c>
    </row>
    <row r="77">
      <c r="A77" s="16" t="inlineStr">
        <is>
          <t>BPCL</t>
        </is>
      </c>
      <c r="B77" s="16" t="inlineStr">
        <is>
          <t>Bharat Petroleum Corporation Ltd.</t>
        </is>
      </c>
      <c r="C77" s="16" t="inlineStr">
        <is>
          <t>Refineries/Petro-Products</t>
        </is>
      </c>
      <c r="D77" s="16" t="inlineStr">
        <is>
          <t>Oil &amp; Gas</t>
        </is>
      </c>
      <c r="E77" s="16" t="inlineStr">
        <is>
          <t>INE029A01011</t>
        </is>
      </c>
      <c r="F77" s="17" t="n">
        <v>136966.62</v>
      </c>
      <c r="G77" s="18" t="n">
        <v>315.7</v>
      </c>
      <c r="H77" s="19" t="n">
        <v>-0.0136</v>
      </c>
      <c r="I77" s="20" t="n">
        <v>40</v>
      </c>
      <c r="J77" s="16" t="inlineStr">
        <is>
          <t>red</t>
        </is>
      </c>
      <c r="K77" s="20" t="n">
        <v>110</v>
      </c>
      <c r="L77" s="18" t="n">
        <v>48.81</v>
      </c>
      <c r="M77" s="18" t="n">
        <v>319.04</v>
      </c>
      <c r="N77" s="18" t="n">
        <v>314.59</v>
      </c>
      <c r="O77" s="18" t="n">
        <v>326.12</v>
      </c>
      <c r="P77" s="18" t="n">
        <v>388.3</v>
      </c>
      <c r="Q77" s="18" t="n">
        <v>271.3</v>
      </c>
      <c r="R77" s="21">
        <f>IF(OR(G77="",P77=""),"",G77/P77-1)</f>
        <v/>
      </c>
      <c r="S77" s="19" t="n">
        <v>0.3569</v>
      </c>
      <c r="T77" s="22" t="n">
        <v>-0.0091</v>
      </c>
      <c r="U77" s="16" t="inlineStr">
        <is>
          <t>No</t>
        </is>
      </c>
      <c r="V77" s="16" t="inlineStr">
        <is>
          <t>Yes</t>
        </is>
      </c>
      <c r="W77" s="16" t="inlineStr">
        <is>
          <t>No</t>
        </is>
      </c>
      <c r="X77" s="16" t="inlineStr">
        <is>
          <t>No</t>
        </is>
      </c>
      <c r="Y77" s="20" t="n">
        <v>98</v>
      </c>
      <c r="Z77" s="19" t="n">
        <v>-0.0353</v>
      </c>
      <c r="AA77" s="18" t="n">
        <v>61.74</v>
      </c>
      <c r="AB77" s="16" t="inlineStr">
        <is>
          <t>Good</t>
        </is>
      </c>
      <c r="AC77" s="16" t="inlineStr">
        <is>
          <t>No</t>
        </is>
      </c>
      <c r="AD77" s="19" t="n">
        <v>0.259</v>
      </c>
      <c r="AE77" s="19" t="n">
        <v>0.2354</v>
      </c>
      <c r="AF77" s="19" t="n">
        <v>4.0137</v>
      </c>
      <c r="AG77" s="19" t="n">
        <v>-0.0111</v>
      </c>
      <c r="AH77" s="23" t="n">
        <v>0.54</v>
      </c>
      <c r="AI77" s="23" t="n">
        <v>4.1</v>
      </c>
      <c r="AJ77" s="19" t="n">
        <v>0.1646</v>
      </c>
    </row>
    <row r="78">
      <c r="A78" s="16" t="inlineStr">
        <is>
          <t>LTM</t>
        </is>
      </c>
      <c r="B78" s="16" t="inlineStr">
        <is>
          <t>LTM Ltd.</t>
        </is>
      </c>
      <c r="C78" s="16" t="inlineStr">
        <is>
          <t>IT Consulting &amp; Software</t>
        </is>
      </c>
      <c r="D78" s="16" t="inlineStr">
        <is>
          <t>Software &amp; Services</t>
        </is>
      </c>
      <c r="E78" s="16" t="inlineStr">
        <is>
          <t>INE214T01019</t>
        </is>
      </c>
      <c r="F78" s="17" t="n">
        <v>135081.34</v>
      </c>
      <c r="G78" s="18" t="n">
        <v>4554</v>
      </c>
      <c r="H78" s="19" t="n">
        <v>-0.0013</v>
      </c>
      <c r="I78" s="20" t="n">
        <v>38</v>
      </c>
      <c r="J78" s="16" t="inlineStr">
        <is>
          <t>red</t>
        </is>
      </c>
      <c r="K78" s="20" t="n">
        <v>142</v>
      </c>
      <c r="L78" s="18" t="n">
        <v>41.21</v>
      </c>
      <c r="M78" s="18" t="n">
        <v>4558.25</v>
      </c>
      <c r="N78" s="18" t="n">
        <v>4299.33</v>
      </c>
      <c r="O78" s="18" t="n">
        <v>4757.36</v>
      </c>
      <c r="P78" s="18" t="n">
        <v>6322.27</v>
      </c>
      <c r="Q78" s="18" t="n">
        <v>3538</v>
      </c>
      <c r="R78" s="21">
        <f>IF(OR(G78="",P78=""),"",G78/P78-1)</f>
        <v/>
      </c>
      <c r="S78" s="19" t="n">
        <v>0.5474</v>
      </c>
      <c r="T78" s="22" t="n">
        <v>-0.0208</v>
      </c>
      <c r="U78" s="16" t="inlineStr">
        <is>
          <t>No</t>
        </is>
      </c>
      <c r="V78" s="16" t="inlineStr">
        <is>
          <t>Yes</t>
        </is>
      </c>
      <c r="W78" s="16" t="inlineStr">
        <is>
          <t>No</t>
        </is>
      </c>
      <c r="X78" s="16" t="inlineStr">
        <is>
          <t>No</t>
        </is>
      </c>
      <c r="Y78" s="20" t="n">
        <v>123</v>
      </c>
      <c r="Z78" s="19" t="n">
        <v>-0.09630000000000001</v>
      </c>
      <c r="AA78" s="18" t="n">
        <v>66.73</v>
      </c>
      <c r="AB78" s="16" t="inlineStr">
        <is>
          <t>High</t>
        </is>
      </c>
      <c r="AC78" s="16" t="inlineStr">
        <is>
          <t>No</t>
        </is>
      </c>
      <c r="AD78" s="19" t="n">
        <v>0.2135</v>
      </c>
      <c r="AE78" s="19" t="n">
        <v>0.2683</v>
      </c>
      <c r="AF78" s="19" t="n">
        <v>0.0442</v>
      </c>
      <c r="AG78" s="19" t="n">
        <v>0.08449999999999999</v>
      </c>
      <c r="AH78" s="23" t="n">
        <v>0.1</v>
      </c>
      <c r="AI78" s="23" t="n">
        <v>8.31</v>
      </c>
      <c r="AJ78" s="19" t="n">
        <v>0.1812</v>
      </c>
    </row>
    <row r="79">
      <c r="A79" s="16" t="inlineStr">
        <is>
          <t>PNB</t>
        </is>
      </c>
      <c r="B79" s="16" t="inlineStr">
        <is>
          <t>Punjab National Bank</t>
        </is>
      </c>
      <c r="C79" s="16" t="inlineStr">
        <is>
          <t>Banks</t>
        </is>
      </c>
      <c r="D79" s="16" t="inlineStr">
        <is>
          <t>Banking and Finance</t>
        </is>
      </c>
      <c r="E79" s="16" t="inlineStr">
        <is>
          <t>INE160A01022</t>
        </is>
      </c>
      <c r="F79" s="17" t="n">
        <v>134467.44</v>
      </c>
      <c r="G79" s="18" t="n">
        <v>117</v>
      </c>
      <c r="H79" s="19" t="n">
        <v>0.0058</v>
      </c>
      <c r="I79" s="20" t="n">
        <v>51</v>
      </c>
      <c r="J79" s="16" t="inlineStr">
        <is>
          <t>red</t>
        </is>
      </c>
      <c r="K79" s="20" t="n">
        <v>17</v>
      </c>
      <c r="L79" s="18" t="n">
        <v>48.66</v>
      </c>
      <c r="M79" s="18" t="n">
        <v>115.91</v>
      </c>
      <c r="N79" s="18" t="n">
        <v>111.8</v>
      </c>
      <c r="O79" s="18" t="n">
        <v>112.5</v>
      </c>
      <c r="P79" s="18" t="n">
        <v>128.62</v>
      </c>
      <c r="Q79" s="18" t="n">
        <v>96.68000000000001</v>
      </c>
      <c r="R79" s="21">
        <f>IF(OR(G79="",P79=""),"",G79/P79-1)</f>
        <v/>
      </c>
      <c r="S79" s="19" t="n">
        <v>0.8681</v>
      </c>
      <c r="T79" s="22" t="n">
        <v>-0.0014</v>
      </c>
      <c r="U79" s="16" t="inlineStr">
        <is>
          <t>No</t>
        </is>
      </c>
      <c r="V79" s="16" t="inlineStr">
        <is>
          <t>Yes</t>
        </is>
      </c>
      <c r="W79" s="16" t="inlineStr">
        <is>
          <t>Yes</t>
        </is>
      </c>
      <c r="X79" s="16" t="inlineStr">
        <is>
          <t>No</t>
        </is>
      </c>
      <c r="Y79" s="20" t="n">
        <v>94</v>
      </c>
      <c r="Z79" s="19" t="n">
        <v>-0.0062</v>
      </c>
      <c r="AA79" s="18" t="n">
        <v>61.45</v>
      </c>
      <c r="AB79" s="16" t="inlineStr">
        <is>
          <t>Good</t>
        </is>
      </c>
      <c r="AC79" s="16" t="inlineStr">
        <is>
          <t>Yes</t>
        </is>
      </c>
      <c r="AD79" s="19" t="n">
        <v>0.1146</v>
      </c>
      <c r="AE79" s="19" t="n"/>
      <c r="AF79" s="19" t="n">
        <v>0.8934000000000001</v>
      </c>
      <c r="AG79" s="19" t="n">
        <v>0.1009</v>
      </c>
      <c r="AH79" s="23" t="n">
        <v>0.58</v>
      </c>
      <c r="AI79" s="23" t="n">
        <v>4.15</v>
      </c>
      <c r="AJ79" s="19" t="n">
        <v>0</v>
      </c>
    </row>
    <row r="80">
      <c r="A80" s="16" t="inlineStr">
        <is>
          <t>POLYCAB</t>
        </is>
      </c>
      <c r="B80" s="16" t="inlineStr">
        <is>
          <t>Polycab India Ltd.</t>
        </is>
      </c>
      <c r="C80" s="16" t="inlineStr">
        <is>
          <t>Wires &amp; Cables</t>
        </is>
      </c>
      <c r="D80" s="16" t="inlineStr">
        <is>
          <t>Consumer Durables</t>
        </is>
      </c>
      <c r="E80" s="16" t="inlineStr">
        <is>
          <t>INE455K01017</t>
        </is>
      </c>
      <c r="F80" s="17" t="n">
        <v>125074.03</v>
      </c>
      <c r="G80" s="18" t="n">
        <v>8300</v>
      </c>
      <c r="H80" s="19" t="n">
        <v>-0.0576</v>
      </c>
      <c r="I80" s="20" t="n">
        <v>39</v>
      </c>
      <c r="J80" s="16" t="inlineStr">
        <is>
          <t>red</t>
        </is>
      </c>
      <c r="K80" s="20" t="n">
        <v>4</v>
      </c>
      <c r="L80" s="18" t="n">
        <v>24.68</v>
      </c>
      <c r="M80" s="18" t="n">
        <v>8934.879999999999</v>
      </c>
      <c r="N80" s="18" t="n">
        <v>9176.469999999999</v>
      </c>
      <c r="O80" s="18" t="n">
        <v>8301.52</v>
      </c>
      <c r="P80" s="18" t="n">
        <v>10083</v>
      </c>
      <c r="Q80" s="18" t="n">
        <v>6690.26</v>
      </c>
      <c r="R80" s="21">
        <f>IF(OR(G80="",P80=""),"",G80/P80-1)</f>
        <v/>
      </c>
      <c r="S80" s="19" t="n">
        <v>4.7216</v>
      </c>
      <c r="T80" s="22" t="n">
        <v>0.0181</v>
      </c>
      <c r="U80" s="16" t="inlineStr">
        <is>
          <t>Yes</t>
        </is>
      </c>
      <c r="V80" s="16" t="inlineStr">
        <is>
          <t>No</t>
        </is>
      </c>
      <c r="W80" s="16" t="inlineStr">
        <is>
          <t>No</t>
        </is>
      </c>
      <c r="X80" s="16" t="inlineStr">
        <is>
          <t>Yes</t>
        </is>
      </c>
      <c r="Y80" s="20" t="n">
        <v>285</v>
      </c>
      <c r="Z80" s="19" t="n">
        <v>0.1054</v>
      </c>
      <c r="AA80" s="18" t="n">
        <v>70.13</v>
      </c>
      <c r="AB80" s="16" t="inlineStr">
        <is>
          <t>High</t>
        </is>
      </c>
      <c r="AC80" s="16" t="inlineStr">
        <is>
          <t>No</t>
        </is>
      </c>
      <c r="AD80" s="19" t="n">
        <v>0.2153</v>
      </c>
      <c r="AE80" s="19" t="n">
        <v>0.2404</v>
      </c>
      <c r="AF80" s="19" t="n">
        <v>0.2838</v>
      </c>
      <c r="AG80" s="19" t="n">
        <v>0.2658</v>
      </c>
      <c r="AH80" s="23" t="n">
        <v>0.37</v>
      </c>
      <c r="AI80" s="23" t="n">
        <v>5.54</v>
      </c>
      <c r="AJ80" s="19" t="n">
        <v>0.2853</v>
      </c>
    </row>
    <row r="81">
      <c r="A81" s="16" t="inlineStr">
        <is>
          <t>APOLLOHOSP</t>
        </is>
      </c>
      <c r="B81" s="16" t="inlineStr">
        <is>
          <t>Apollo Hospitals Enterprise Ltd.</t>
        </is>
      </c>
      <c r="C81" s="16" t="inlineStr">
        <is>
          <t>Healthcare Facilities</t>
        </is>
      </c>
      <c r="D81" s="16" t="inlineStr">
        <is>
          <t>Healthcare</t>
        </is>
      </c>
      <c r="E81" s="16" t="inlineStr">
        <is>
          <t>INE437A01024</t>
        </is>
      </c>
      <c r="F81" s="17" t="n">
        <v>124373.77</v>
      </c>
      <c r="G81" s="18" t="n">
        <v>8650</v>
      </c>
      <c r="H81" s="19" t="n">
        <v>-0.0048</v>
      </c>
      <c r="I81" s="20" t="n">
        <v>54</v>
      </c>
      <c r="J81" s="16" t="inlineStr">
        <is>
          <t>red</t>
        </is>
      </c>
      <c r="K81" s="20" t="n">
        <v>4</v>
      </c>
      <c r="L81" s="18" t="n">
        <v>39.45</v>
      </c>
      <c r="M81" s="18" t="n">
        <v>8764.940000000001</v>
      </c>
      <c r="N81" s="18" t="n">
        <v>8815.32</v>
      </c>
      <c r="O81" s="18" t="n">
        <v>7887.53</v>
      </c>
      <c r="P81" s="18" t="n">
        <v>9039.48</v>
      </c>
      <c r="Q81" s="18" t="n">
        <v>6776.6</v>
      </c>
      <c r="R81" s="21">
        <f>IF(OR(G81="",P81=""),"",G81/P81-1)</f>
        <v/>
      </c>
      <c r="S81" s="19" t="n">
        <v>0.8216</v>
      </c>
      <c r="T81" s="22" t="n">
        <v>0.0141</v>
      </c>
      <c r="U81" s="16" t="inlineStr">
        <is>
          <t>Yes</t>
        </is>
      </c>
      <c r="V81" s="16" t="inlineStr">
        <is>
          <t>No</t>
        </is>
      </c>
      <c r="W81" s="16" t="inlineStr">
        <is>
          <t>No</t>
        </is>
      </c>
      <c r="X81" s="16" t="inlineStr">
        <is>
          <t>Yes</t>
        </is>
      </c>
      <c r="Y81" s="20" t="n">
        <v>105</v>
      </c>
      <c r="Z81" s="19" t="n">
        <v>0.1176</v>
      </c>
      <c r="AA81" s="18" t="n">
        <v>54.64</v>
      </c>
      <c r="AB81" s="16" t="inlineStr">
        <is>
          <t>Good</t>
        </is>
      </c>
      <c r="AC81" s="16" t="inlineStr">
        <is>
          <t>No</t>
        </is>
      </c>
      <c r="AD81" s="19" t="n">
        <v>0.1702</v>
      </c>
      <c r="AE81" s="19" t="n">
        <v>0.1737</v>
      </c>
      <c r="AF81" s="19" t="n">
        <v>0.3493</v>
      </c>
      <c r="AG81" s="19" t="n">
        <v>0.1485</v>
      </c>
      <c r="AH81" s="23" t="n">
        <v>0.64</v>
      </c>
      <c r="AI81" s="23" t="n">
        <v>2.04</v>
      </c>
      <c r="AJ81" s="19" t="n">
        <v>0.0973</v>
      </c>
    </row>
    <row r="82">
      <c r="A82" s="16" t="inlineStr">
        <is>
          <t>BAJAJHLDNG</t>
        </is>
      </c>
      <c r="B82" s="16" t="inlineStr">
        <is>
          <t>Bajaj Holdings &amp; Investment Ltd.</t>
        </is>
      </c>
      <c r="C82" s="16" t="inlineStr">
        <is>
          <t>Holding Companies</t>
        </is>
      </c>
      <c r="D82" s="16" t="inlineStr">
        <is>
          <t>Diversified</t>
        </is>
      </c>
      <c r="E82" s="16" t="inlineStr">
        <is>
          <t>INE118A01012</t>
        </is>
      </c>
      <c r="F82" s="17" t="n">
        <v>124225.8</v>
      </c>
      <c r="G82" s="18" t="n">
        <v>11162</v>
      </c>
      <c r="H82" s="19" t="n">
        <v>-0.0003</v>
      </c>
      <c r="I82" s="20" t="n">
        <v>45</v>
      </c>
      <c r="J82" s="16" t="inlineStr">
        <is>
          <t>red</t>
        </is>
      </c>
      <c r="K82" s="20" t="n">
        <v>207</v>
      </c>
      <c r="L82" s="18" t="n">
        <v>44.7</v>
      </c>
      <c r="M82" s="18" t="n">
        <v>11332.5</v>
      </c>
      <c r="N82" s="18" t="n">
        <v>11028.16</v>
      </c>
      <c r="O82" s="18" t="n">
        <v>10598.42</v>
      </c>
      <c r="P82" s="18" t="n">
        <v>13428.88</v>
      </c>
      <c r="Q82" s="18" t="n">
        <v>8638.66</v>
      </c>
      <c r="R82" s="21">
        <f>IF(OR(G82="",P82=""),"",G82/P82-1)</f>
        <v/>
      </c>
      <c r="S82" s="19" t="n">
        <v>0.8048000000000001</v>
      </c>
      <c r="T82" s="22" t="n">
        <v>-0.008699999999999999</v>
      </c>
      <c r="U82" s="16" t="inlineStr">
        <is>
          <t>No</t>
        </is>
      </c>
      <c r="V82" s="16" t="inlineStr">
        <is>
          <t>Yes</t>
        </is>
      </c>
      <c r="W82" s="16" t="inlineStr">
        <is>
          <t>No</t>
        </is>
      </c>
      <c r="X82" s="16" t="inlineStr">
        <is>
          <t>Yes</t>
        </is>
      </c>
      <c r="Y82" s="20" t="n">
        <v>17</v>
      </c>
      <c r="Z82" s="19" t="n">
        <v>0.0405</v>
      </c>
      <c r="AA82" s="18" t="n">
        <v>60.85</v>
      </c>
      <c r="AB82" s="16" t="inlineStr">
        <is>
          <t>Good</t>
        </is>
      </c>
      <c r="AC82" s="16" t="inlineStr">
        <is>
          <t>Yes</t>
        </is>
      </c>
      <c r="AD82" s="19" t="n">
        <v>0.1232</v>
      </c>
      <c r="AE82" s="19" t="n"/>
      <c r="AF82" s="19" t="n">
        <v>0.2912</v>
      </c>
      <c r="AG82" s="19" t="n">
        <v>0.2152</v>
      </c>
      <c r="AH82" s="23" t="n">
        <v>0</v>
      </c>
      <c r="AI82" s="23" t="n">
        <v>526.49</v>
      </c>
      <c r="AJ82" s="19" t="n">
        <v>0</v>
      </c>
    </row>
    <row r="83">
      <c r="A83" s="16" t="inlineStr">
        <is>
          <t>BANKBARODA</t>
        </is>
      </c>
      <c r="B83" s="16" t="inlineStr">
        <is>
          <t>Bank of Baroda</t>
        </is>
      </c>
      <c r="C83" s="16" t="inlineStr">
        <is>
          <t>Banks</t>
        </is>
      </c>
      <c r="D83" s="16" t="inlineStr">
        <is>
          <t>Banking and Finance</t>
        </is>
      </c>
      <c r="E83" s="16" t="inlineStr">
        <is>
          <t>INE028A01039</t>
        </is>
      </c>
      <c r="F83" s="17" t="n">
        <v>123595.56</v>
      </c>
      <c r="G83" s="18" t="n">
        <v>239</v>
      </c>
      <c r="H83" s="19" t="n">
        <v>-0.006</v>
      </c>
      <c r="I83" s="20" t="n">
        <v>20</v>
      </c>
      <c r="J83" s="16" t="inlineStr">
        <is>
          <t>red</t>
        </is>
      </c>
      <c r="K83" s="20" t="n">
        <v>95</v>
      </c>
      <c r="L83" s="18" t="n">
        <v>35.67</v>
      </c>
      <c r="M83" s="18" t="n">
        <v>240.29</v>
      </c>
      <c r="N83" s="18" t="n">
        <v>247.3</v>
      </c>
      <c r="O83" s="18" t="n">
        <v>268.82</v>
      </c>
      <c r="P83" s="18" t="n">
        <v>314.28</v>
      </c>
      <c r="Q83" s="18" t="n">
        <v>226.61</v>
      </c>
      <c r="R83" s="21">
        <f>IF(OR(G83="",P83=""),"",G83/P83-1)</f>
        <v/>
      </c>
      <c r="S83" s="19" t="n">
        <v>0.9588</v>
      </c>
      <c r="T83" s="22" t="n">
        <v>-0.0107</v>
      </c>
      <c r="U83" s="16" t="inlineStr">
        <is>
          <t>No</t>
        </is>
      </c>
      <c r="V83" s="16" t="inlineStr">
        <is>
          <t>No</t>
        </is>
      </c>
      <c r="W83" s="16" t="inlineStr">
        <is>
          <t>No</t>
        </is>
      </c>
      <c r="X83" s="16" t="inlineStr">
        <is>
          <t>No</t>
        </is>
      </c>
      <c r="Y83" s="20" t="n">
        <v>81</v>
      </c>
      <c r="Z83" s="19" t="n">
        <v>-0.08</v>
      </c>
      <c r="AA83" s="18" t="n">
        <v>50.07</v>
      </c>
      <c r="AB83" s="16" t="inlineStr">
        <is>
          <t>Average</t>
        </is>
      </c>
      <c r="AC83" s="16" t="inlineStr">
        <is>
          <t>Yes</t>
        </is>
      </c>
      <c r="AD83" s="19" t="n">
        <v>0.1393</v>
      </c>
      <c r="AE83" s="19" t="n"/>
      <c r="AF83" s="19" t="n">
        <v>0.107</v>
      </c>
      <c r="AG83" s="19" t="n">
        <v>0.1064</v>
      </c>
      <c r="AH83" s="23" t="n">
        <v>0.9399999999999999</v>
      </c>
      <c r="AI83" s="23" t="n">
        <v>6.14</v>
      </c>
      <c r="AJ83" s="19" t="n">
        <v>0.0122</v>
      </c>
    </row>
    <row r="84">
      <c r="A84" s="16" t="inlineStr">
        <is>
          <t>BRITANNIA</t>
        </is>
      </c>
      <c r="B84" s="16" t="inlineStr">
        <is>
          <t>Britannia Industries Ltd.</t>
        </is>
      </c>
      <c r="C84" s="16" t="inlineStr">
        <is>
          <t>Packaged Foods</t>
        </is>
      </c>
      <c r="D84" s="16" t="inlineStr">
        <is>
          <t>FMCG</t>
        </is>
      </c>
      <c r="E84" s="16" t="inlineStr">
        <is>
          <t>INE216A01030</t>
        </is>
      </c>
      <c r="F84" s="17" t="n">
        <v>122878.96</v>
      </c>
      <c r="G84" s="18" t="n">
        <v>5101.5</v>
      </c>
      <c r="H84" s="19" t="n">
        <v>-0.005600000000000001</v>
      </c>
      <c r="I84" s="20" t="n">
        <v>26</v>
      </c>
      <c r="J84" s="16" t="inlineStr">
        <is>
          <t>red</t>
        </is>
      </c>
      <c r="K84" s="20" t="n">
        <v>102</v>
      </c>
      <c r="L84" s="18" t="n">
        <v>22.88</v>
      </c>
      <c r="M84" s="18" t="n">
        <v>5217.37</v>
      </c>
      <c r="N84" s="18" t="n">
        <v>5349.93</v>
      </c>
      <c r="O84" s="18" t="n">
        <v>5555.28</v>
      </c>
      <c r="P84" s="18" t="n">
        <v>6197.29</v>
      </c>
      <c r="Q84" s="18" t="n">
        <v>4981.04</v>
      </c>
      <c r="R84" s="21">
        <f>IF(OR(G84="",P84=""),"",G84/P84-1)</f>
        <v/>
      </c>
      <c r="S84" s="19" t="n">
        <v>0.8256999999999999</v>
      </c>
      <c r="T84" s="22" t="n">
        <v>-0.007800000000000001</v>
      </c>
      <c r="U84" s="16" t="inlineStr">
        <is>
          <t>No</t>
        </is>
      </c>
      <c r="V84" s="16" t="inlineStr">
        <is>
          <t>No</t>
        </is>
      </c>
      <c r="W84" s="16" t="inlineStr">
        <is>
          <t>No</t>
        </is>
      </c>
      <c r="X84" s="16" t="inlineStr">
        <is>
          <t>No</t>
        </is>
      </c>
      <c r="Y84" s="20" t="n">
        <v>106</v>
      </c>
      <c r="Z84" s="19" t="n">
        <v>-0.03700000000000001</v>
      </c>
      <c r="AA84" s="18" t="n">
        <v>62.45</v>
      </c>
      <c r="AB84" s="16" t="inlineStr">
        <is>
          <t>Good</t>
        </is>
      </c>
      <c r="AC84" s="16" t="inlineStr">
        <is>
          <t>No</t>
        </is>
      </c>
      <c r="AD84" s="19" t="n">
        <v>0.5131</v>
      </c>
      <c r="AE84" s="19" t="n">
        <v>0.5262</v>
      </c>
      <c r="AF84" s="19" t="n">
        <v>0.0342</v>
      </c>
      <c r="AG84" s="19" t="n">
        <v>0.0568</v>
      </c>
      <c r="AH84" s="23" t="n">
        <v>0.27</v>
      </c>
      <c r="AI84" s="23" t="n">
        <v>6.94</v>
      </c>
      <c r="AJ84" s="19" t="n">
        <v>0.017</v>
      </c>
    </row>
    <row r="85">
      <c r="A85" s="16" t="inlineStr">
        <is>
          <t>LODHA</t>
        </is>
      </c>
      <c r="B85" s="16" t="inlineStr">
        <is>
          <t>Lodha Developers Ltd.</t>
        </is>
      </c>
      <c r="C85" s="16" t="inlineStr">
        <is>
          <t>Realty</t>
        </is>
      </c>
      <c r="D85" s="16" t="inlineStr">
        <is>
          <t>Realty</t>
        </is>
      </c>
      <c r="E85" s="16" t="inlineStr">
        <is>
          <t>INE670K01029</t>
        </is>
      </c>
      <c r="F85" s="17" t="n">
        <v>122105.08</v>
      </c>
      <c r="G85" s="18" t="n">
        <v>1222</v>
      </c>
      <c r="H85" s="19" t="n">
        <v>-0.0097</v>
      </c>
      <c r="I85" s="20" t="n">
        <v>72</v>
      </c>
      <c r="J85" s="16" t="inlineStr">
        <is>
          <t>amber</t>
        </is>
      </c>
      <c r="K85" s="20" t="n">
        <v>27</v>
      </c>
      <c r="L85" s="18" t="n">
        <v>44.84</v>
      </c>
      <c r="M85" s="18" t="n">
        <v>1230.26</v>
      </c>
      <c r="N85" s="18" t="n">
        <v>1188.43</v>
      </c>
      <c r="O85" s="18" t="n">
        <v>1015.98</v>
      </c>
      <c r="P85" s="18" t="n">
        <v>1311.74</v>
      </c>
      <c r="Q85" s="18" t="n">
        <v>674.63</v>
      </c>
      <c r="R85" s="21">
        <f>IF(OR(G85="",P85=""),"",G85/P85-1)</f>
        <v/>
      </c>
      <c r="S85" s="19" t="n">
        <v>0.4556</v>
      </c>
      <c r="T85" s="22" t="n">
        <v>0.0035</v>
      </c>
      <c r="U85" s="16" t="inlineStr">
        <is>
          <t>Yes</t>
        </is>
      </c>
      <c r="V85" s="16" t="inlineStr">
        <is>
          <t>Yes</t>
        </is>
      </c>
      <c r="W85" s="16" t="inlineStr">
        <is>
          <t>No</t>
        </is>
      </c>
      <c r="X85" s="16" t="inlineStr">
        <is>
          <t>Yes</t>
        </is>
      </c>
      <c r="Y85" s="20" t="n">
        <v>28</v>
      </c>
      <c r="Z85" s="19" t="n">
        <v>0.1697</v>
      </c>
      <c r="AA85" s="18" t="n">
        <v>58.45</v>
      </c>
      <c r="AB85" s="16" t="inlineStr">
        <is>
          <t>Good</t>
        </is>
      </c>
      <c r="AC85" s="16" t="inlineStr">
        <is>
          <t>No</t>
        </is>
      </c>
      <c r="AD85" s="19" t="n">
        <v>0.1243</v>
      </c>
      <c r="AE85" s="19" t="n">
        <v>0.1423</v>
      </c>
      <c r="AF85" s="19" t="n">
        <v>1.0449</v>
      </c>
      <c r="AG85" s="19" t="n">
        <v>0.2082</v>
      </c>
      <c r="AH85" s="23" t="n">
        <v>0.42</v>
      </c>
      <c r="AI85" s="23" t="n">
        <v>16.8</v>
      </c>
      <c r="AJ85" s="19" t="n">
        <v>0</v>
      </c>
    </row>
    <row r="86">
      <c r="A86" s="16" t="inlineStr">
        <is>
          <t>GROWW</t>
        </is>
      </c>
      <c r="B86" s="16" t="inlineStr">
        <is>
          <t>Billionbrains Garage Ventures Ltd.</t>
        </is>
      </c>
      <c r="C86" s="16" t="inlineStr">
        <is>
          <t>Capital Markets</t>
        </is>
      </c>
      <c r="D86" s="16" t="inlineStr">
        <is>
          <t>Banking and Finance</t>
        </is>
      </c>
      <c r="E86" s="16" t="inlineStr">
        <is>
          <t>INE0HOQ01053</t>
        </is>
      </c>
      <c r="F86" s="17" t="n">
        <v>121726.69</v>
      </c>
      <c r="G86" s="18" t="n">
        <v>194</v>
      </c>
      <c r="H86" s="19" t="n">
        <v>0.0198</v>
      </c>
      <c r="I86" s="20" t="n">
        <v>61</v>
      </c>
      <c r="J86" s="16" t="inlineStr">
        <is>
          <t>amber</t>
        </is>
      </c>
      <c r="K86" s="20" t="n">
        <v>1</v>
      </c>
      <c r="L86" s="18" t="n">
        <v>44.57</v>
      </c>
      <c r="M86" s="18" t="n">
        <v>192.52</v>
      </c>
      <c r="N86" s="18" t="n">
        <v>198.08</v>
      </c>
      <c r="O86" s="18" t="n">
        <v>180.85</v>
      </c>
      <c r="P86" s="18" t="n">
        <v>221.56</v>
      </c>
      <c r="Q86" s="18" t="n">
        <v>131.33</v>
      </c>
      <c r="R86" s="21">
        <f>IF(OR(G86="",P86=""),"",G86/P86-1)</f>
        <v/>
      </c>
      <c r="S86" s="19" t="n">
        <v>1.1277</v>
      </c>
      <c r="T86" s="22" t="n"/>
      <c r="U86" s="16" t="n"/>
      <c r="V86" s="16" t="inlineStr">
        <is>
          <t>No</t>
        </is>
      </c>
      <c r="W86" s="16" t="inlineStr">
        <is>
          <t>Yes</t>
        </is>
      </c>
      <c r="X86" s="16" t="inlineStr">
        <is>
          <t>Yes</t>
        </is>
      </c>
      <c r="Y86" s="20" t="n">
        <v>7</v>
      </c>
      <c r="Z86" s="19" t="n">
        <v>0.0953</v>
      </c>
      <c r="AA86" s="18" t="n">
        <v>76.13</v>
      </c>
      <c r="AB86" s="16" t="inlineStr">
        <is>
          <t>High</t>
        </is>
      </c>
      <c r="AC86" s="16" t="inlineStr">
        <is>
          <t>Yes</t>
        </is>
      </c>
      <c r="AD86" s="19" t="n">
        <v>0.2158</v>
      </c>
      <c r="AE86" s="19" t="n">
        <v>0.2881</v>
      </c>
      <c r="AF86" s="19" t="n">
        <v>0.2543</v>
      </c>
      <c r="AG86" s="19" t="n">
        <v>0.1923</v>
      </c>
      <c r="AH86" s="23" t="n">
        <v>0.03</v>
      </c>
      <c r="AI86" s="23" t="n">
        <v>48.27</v>
      </c>
      <c r="AJ86" s="19" t="n">
        <v>0</v>
      </c>
    </row>
    <row r="87">
      <c r="A87" s="16" t="inlineStr">
        <is>
          <t>LENSKART</t>
        </is>
      </c>
      <c r="B87" s="16" t="inlineStr">
        <is>
          <t>Lenskart Solutions Ltd.</t>
        </is>
      </c>
      <c r="C87" s="16" t="inlineStr">
        <is>
          <t>Other Apparels &amp; Accessories</t>
        </is>
      </c>
      <c r="D87" s="16" t="inlineStr">
        <is>
          <t>Textiles Apparels &amp; Accessories</t>
        </is>
      </c>
      <c r="E87" s="16" t="inlineStr">
        <is>
          <t>INE956O01016</t>
        </is>
      </c>
      <c r="F87" s="17" t="n">
        <v>119084.97</v>
      </c>
      <c r="G87" s="18" t="n">
        <v>684.9</v>
      </c>
      <c r="H87" s="19" t="n">
        <v>0.0185</v>
      </c>
      <c r="I87" s="20" t="n">
        <v>82</v>
      </c>
      <c r="J87" s="16" t="inlineStr">
        <is>
          <t>green</t>
        </is>
      </c>
      <c r="K87" s="20" t="n">
        <v>5</v>
      </c>
      <c r="L87" s="18" t="n">
        <v>80.23999999999999</v>
      </c>
      <c r="M87" s="18" t="n">
        <v>659.54</v>
      </c>
      <c r="N87" s="18" t="n">
        <v>583.54</v>
      </c>
      <c r="O87" s="18" t="n">
        <v>506.38</v>
      </c>
      <c r="P87" s="18" t="n">
        <v>684.9</v>
      </c>
      <c r="Q87" s="18" t="n">
        <v>400.15</v>
      </c>
      <c r="R87" s="21">
        <f>IF(OR(G87="",P87=""),"",G87/P87-1)</f>
        <v/>
      </c>
      <c r="S87" s="19" t="n">
        <v>0.9287000000000001</v>
      </c>
      <c r="T87" s="22" t="n"/>
      <c r="U87" s="16" t="n"/>
      <c r="V87" s="16" t="inlineStr">
        <is>
          <t>Yes</t>
        </is>
      </c>
      <c r="W87" s="16" t="inlineStr">
        <is>
          <t>Yes</t>
        </is>
      </c>
      <c r="X87" s="16" t="inlineStr">
        <is>
          <t>Yes</t>
        </is>
      </c>
      <c r="Y87" s="20" t="n">
        <v>9</v>
      </c>
      <c r="Z87" s="19" t="n">
        <v>0.1524</v>
      </c>
      <c r="AA87" s="18" t="n">
        <v>45.45</v>
      </c>
      <c r="AB87" s="16" t="inlineStr">
        <is>
          <t>Average</t>
        </is>
      </c>
      <c r="AC87" s="16" t="inlineStr">
        <is>
          <t>No</t>
        </is>
      </c>
      <c r="AD87" s="19" t="n">
        <v>0.0525</v>
      </c>
      <c r="AE87" s="19" t="n">
        <v>0.067</v>
      </c>
      <c r="AF87" s="19" t="n">
        <v>0.6859999999999999</v>
      </c>
      <c r="AG87" s="19" t="n">
        <v>0.3538</v>
      </c>
      <c r="AH87" s="23" t="n">
        <v>0.35</v>
      </c>
      <c r="AI87" s="23" t="n">
        <v>1.87</v>
      </c>
      <c r="AJ87" s="19" t="n">
        <v>0.0304</v>
      </c>
    </row>
    <row r="88">
      <c r="A88" s="16" t="inlineStr">
        <is>
          <t>JINDALSTEL</t>
        </is>
      </c>
      <c r="B88" s="16" t="inlineStr">
        <is>
          <t>Jindal Steel Ltd.</t>
        </is>
      </c>
      <c r="C88" s="16" t="inlineStr">
        <is>
          <t>Iron &amp; Steel/Interm.Products</t>
        </is>
      </c>
      <c r="D88" s="16" t="inlineStr">
        <is>
          <t>Metals &amp; Mining</t>
        </is>
      </c>
      <c r="E88" s="16" t="inlineStr">
        <is>
          <t>INE749A01030</t>
        </is>
      </c>
      <c r="F88" s="17" t="n">
        <v>118840.26</v>
      </c>
      <c r="G88" s="18" t="n">
        <v>1165</v>
      </c>
      <c r="H88" s="19" t="n">
        <v>0.0175</v>
      </c>
      <c r="I88" s="20" t="n">
        <v>50</v>
      </c>
      <c r="J88" s="16" t="inlineStr">
        <is>
          <t>red</t>
        </is>
      </c>
      <c r="K88" s="20" t="n">
        <v>60</v>
      </c>
      <c r="L88" s="18" t="n">
        <v>63.63</v>
      </c>
      <c r="M88" s="18" t="n">
        <v>1168.36</v>
      </c>
      <c r="N88" s="18" t="n">
        <v>1088.93</v>
      </c>
      <c r="O88" s="18" t="n">
        <v>1126.62</v>
      </c>
      <c r="P88" s="18" t="n">
        <v>1286.5</v>
      </c>
      <c r="Q88" s="18" t="n">
        <v>984.24</v>
      </c>
      <c r="R88" s="21">
        <f>IF(OR(G88="",P88=""),"",G88/P88-1)</f>
        <v/>
      </c>
      <c r="S88" s="19" t="n">
        <v>0.9767</v>
      </c>
      <c r="T88" s="22" t="n">
        <v>0.0069</v>
      </c>
      <c r="U88" s="16" t="inlineStr">
        <is>
          <t>Yes</t>
        </is>
      </c>
      <c r="V88" s="16" t="inlineStr">
        <is>
          <t>Yes</t>
        </is>
      </c>
      <c r="W88" s="16" t="inlineStr">
        <is>
          <t>No</t>
        </is>
      </c>
      <c r="X88" s="16" t="inlineStr">
        <is>
          <t>No</t>
        </is>
      </c>
      <c r="Y88" s="20" t="n">
        <v>31</v>
      </c>
      <c r="Z88" s="19" t="n">
        <v>-0.0335</v>
      </c>
      <c r="AA88" s="18" t="n">
        <v>30.98</v>
      </c>
      <c r="AB88" s="16" t="inlineStr">
        <is>
          <t>Poor</t>
        </is>
      </c>
      <c r="AC88" s="16" t="inlineStr">
        <is>
          <t>No</t>
        </is>
      </c>
      <c r="AD88" s="19" t="n">
        <v>0.0866</v>
      </c>
      <c r="AE88" s="19" t="n">
        <v>0.0977</v>
      </c>
      <c r="AF88" s="19" t="n">
        <v>0.1787</v>
      </c>
      <c r="AG88" s="19" t="n">
        <v>-0.1093</v>
      </c>
      <c r="AH88" s="23" t="n">
        <v>0.44</v>
      </c>
      <c r="AI88" s="23" t="n">
        <v>0.6</v>
      </c>
      <c r="AJ88" s="19" t="n">
        <v>0.1136</v>
      </c>
    </row>
    <row r="89">
      <c r="A89" s="16" t="inlineStr">
        <is>
          <t>HDFCLIFE</t>
        </is>
      </c>
      <c r="B89" s="16" t="inlineStr">
        <is>
          <t>HDFC Life Insurance Company Ltd.</t>
        </is>
      </c>
      <c r="C89" s="16" t="inlineStr">
        <is>
          <t>Life Insurance</t>
        </is>
      </c>
      <c r="D89" s="16" t="inlineStr">
        <is>
          <t>Banking and Finance</t>
        </is>
      </c>
      <c r="E89" s="16" t="inlineStr">
        <is>
          <t>INE795G01014</t>
        </is>
      </c>
      <c r="F89" s="17" t="n">
        <v>118710.26</v>
      </c>
      <c r="G89" s="18" t="n">
        <v>546.4</v>
      </c>
      <c r="H89" s="19" t="n">
        <v>0.0242</v>
      </c>
      <c r="I89" s="20" t="n">
        <v>12</v>
      </c>
      <c r="J89" s="16" t="inlineStr">
        <is>
          <t>red</t>
        </is>
      </c>
      <c r="K89" s="20" t="n">
        <v>129</v>
      </c>
      <c r="L89" s="18" t="n">
        <v>52.33</v>
      </c>
      <c r="M89" s="18" t="n">
        <v>543.1900000000001</v>
      </c>
      <c r="N89" s="18" t="n">
        <v>552.37</v>
      </c>
      <c r="O89" s="18" t="n">
        <v>638.98</v>
      </c>
      <c r="P89" s="18" t="n">
        <v>785</v>
      </c>
      <c r="Q89" s="18" t="n">
        <v>533</v>
      </c>
      <c r="R89" s="21">
        <f>IF(OR(G89="",P89=""),"",G89/P89-1)</f>
        <v/>
      </c>
      <c r="S89" s="19" t="n">
        <v>1.8622</v>
      </c>
      <c r="T89" s="22" t="n">
        <v>-0.0315</v>
      </c>
      <c r="U89" s="16" t="inlineStr">
        <is>
          <t>No</t>
        </is>
      </c>
      <c r="V89" s="16" t="inlineStr">
        <is>
          <t>No</t>
        </is>
      </c>
      <c r="W89" s="16" t="inlineStr">
        <is>
          <t>Yes</t>
        </is>
      </c>
      <c r="X89" s="16" t="inlineStr">
        <is>
          <t>No</t>
        </is>
      </c>
      <c r="Y89" s="20" t="n">
        <v>154</v>
      </c>
      <c r="Z89" s="19" t="n">
        <v>-0.1355</v>
      </c>
      <c r="AA89" s="18" t="n">
        <v>42.57</v>
      </c>
      <c r="AB89" s="16" t="inlineStr">
        <is>
          <t>Average</t>
        </is>
      </c>
      <c r="AC89" s="16" t="inlineStr">
        <is>
          <t>Yes</t>
        </is>
      </c>
      <c r="AD89" s="19" t="n">
        <v>0.109</v>
      </c>
      <c r="AE89" s="19" t="n">
        <v>0.1062</v>
      </c>
      <c r="AF89" s="19" t="n">
        <v>0.1148</v>
      </c>
      <c r="AG89" s="19" t="n">
        <v>0.107</v>
      </c>
      <c r="AH89" s="23" t="n">
        <v>0.17</v>
      </c>
      <c r="AI89" s="23" t="n">
        <v>145.25</v>
      </c>
      <c r="AJ89" s="19" t="n">
        <v>0.2248</v>
      </c>
    </row>
    <row r="90">
      <c r="A90" s="16" t="inlineStr">
        <is>
          <t>INDIANB</t>
        </is>
      </c>
      <c r="B90" s="16" t="inlineStr">
        <is>
          <t>Indian Bank</t>
        </is>
      </c>
      <c r="C90" s="16" t="inlineStr">
        <is>
          <t>Banks</t>
        </is>
      </c>
      <c r="D90" s="16" t="inlineStr">
        <is>
          <t>Banking and Finance</t>
        </is>
      </c>
      <c r="E90" s="16" t="inlineStr">
        <is>
          <t>INE562A01011</t>
        </is>
      </c>
      <c r="F90" s="17" t="n">
        <v>118492.42</v>
      </c>
      <c r="G90" s="18" t="n">
        <v>879.7</v>
      </c>
      <c r="H90" s="19" t="n">
        <v>-0.0102</v>
      </c>
      <c r="I90" s="20" t="n">
        <v>54</v>
      </c>
      <c r="J90" s="16" t="inlineStr">
        <is>
          <t>red</t>
        </is>
      </c>
      <c r="K90" s="20" t="n">
        <v>14</v>
      </c>
      <c r="L90" s="18" t="n">
        <v>49.27</v>
      </c>
      <c r="M90" s="18" t="n">
        <v>885.4400000000001</v>
      </c>
      <c r="N90" s="18" t="n">
        <v>851.11</v>
      </c>
      <c r="O90" s="18" t="n">
        <v>849.75</v>
      </c>
      <c r="P90" s="18" t="n">
        <v>970.87</v>
      </c>
      <c r="Q90" s="18" t="n">
        <v>650.35</v>
      </c>
      <c r="R90" s="21">
        <f>IF(OR(G90="",P90=""),"",G90/P90-1)</f>
        <v/>
      </c>
      <c r="S90" s="19" t="n">
        <v>0.6349</v>
      </c>
      <c r="T90" s="22" t="n">
        <v>0.0048</v>
      </c>
      <c r="U90" s="16" t="inlineStr">
        <is>
          <t>Yes</t>
        </is>
      </c>
      <c r="V90" s="16" t="inlineStr">
        <is>
          <t>Yes</t>
        </is>
      </c>
      <c r="W90" s="16" t="inlineStr">
        <is>
          <t>No</t>
        </is>
      </c>
      <c r="X90" s="16" t="inlineStr">
        <is>
          <t>Yes</t>
        </is>
      </c>
      <c r="Y90" s="20" t="n">
        <v>2</v>
      </c>
      <c r="Z90" s="19" t="n">
        <v>0.0016</v>
      </c>
      <c r="AA90" s="18" t="n">
        <v>59.65</v>
      </c>
      <c r="AB90" s="16" t="inlineStr">
        <is>
          <t>Good</t>
        </is>
      </c>
      <c r="AC90" s="16" t="inlineStr">
        <is>
          <t>Yes</t>
        </is>
      </c>
      <c r="AD90" s="19" t="n">
        <v>0.1478</v>
      </c>
      <c r="AE90" s="19" t="n"/>
      <c r="AF90" s="19" t="n">
        <v>0.2604</v>
      </c>
      <c r="AG90" s="19" t="n">
        <v>0.1045</v>
      </c>
      <c r="AH90" s="23" t="n">
        <v>0.46</v>
      </c>
      <c r="AI90" s="23" t="n">
        <v>4.36</v>
      </c>
      <c r="AJ90" s="19" t="n">
        <v>0.004</v>
      </c>
    </row>
    <row r="91">
      <c r="A91" s="16" t="inlineStr">
        <is>
          <t>TATAPOWER</t>
        </is>
      </c>
      <c r="B91" s="16" t="inlineStr">
        <is>
          <t>Tata Power Company Ltd.</t>
        </is>
      </c>
      <c r="C91" s="16" t="inlineStr">
        <is>
          <t>Power - Electric Utilities</t>
        </is>
      </c>
      <c r="D91" s="16" t="inlineStr">
        <is>
          <t>Utilities</t>
        </is>
      </c>
      <c r="E91" s="16" t="inlineStr">
        <is>
          <t>INE245A01021</t>
        </is>
      </c>
      <c r="F91" s="17" t="n">
        <v>117588.49</v>
      </c>
      <c r="G91" s="18" t="n">
        <v>368</v>
      </c>
      <c r="H91" s="19" t="n">
        <v>0.0063</v>
      </c>
      <c r="I91" s="20" t="n">
        <v>30</v>
      </c>
      <c r="J91" s="16" t="inlineStr">
        <is>
          <t>red</t>
        </is>
      </c>
      <c r="K91" s="20" t="n">
        <v>64</v>
      </c>
      <c r="L91" s="18" t="n">
        <v>37.84</v>
      </c>
      <c r="M91" s="18" t="n">
        <v>357.89</v>
      </c>
      <c r="N91" s="18" t="n">
        <v>375.19</v>
      </c>
      <c r="O91" s="18" t="n">
        <v>386.64</v>
      </c>
      <c r="P91" s="18" t="n">
        <v>458.96</v>
      </c>
      <c r="Q91" s="18" t="n">
        <v>343.12</v>
      </c>
      <c r="R91" s="21">
        <f>IF(OR(G91="",P91=""),"",G91/P91-1)</f>
        <v/>
      </c>
      <c r="S91" s="19" t="n">
        <v>0.7936</v>
      </c>
      <c r="T91" s="22" t="n">
        <v>-0.0062</v>
      </c>
      <c r="U91" s="16" t="inlineStr">
        <is>
          <t>No</t>
        </is>
      </c>
      <c r="V91" s="16" t="inlineStr">
        <is>
          <t>No</t>
        </is>
      </c>
      <c r="W91" s="16" t="inlineStr">
        <is>
          <t>Yes</t>
        </is>
      </c>
      <c r="X91" s="16" t="inlineStr">
        <is>
          <t>No</t>
        </is>
      </c>
      <c r="Y91" s="20" t="n">
        <v>23</v>
      </c>
      <c r="Z91" s="19" t="n">
        <v>-0.0296</v>
      </c>
      <c r="AA91" s="18" t="n">
        <v>7.79</v>
      </c>
      <c r="AB91" s="16" t="inlineStr">
        <is>
          <t>Poor</t>
        </is>
      </c>
      <c r="AC91" s="16" t="inlineStr">
        <is>
          <t>No</t>
        </is>
      </c>
      <c r="AD91" s="19" t="n">
        <v>0.1066</v>
      </c>
      <c r="AE91" s="19" t="n">
        <v>0.1031</v>
      </c>
      <c r="AF91" s="19" t="n">
        <v>0.0418</v>
      </c>
      <c r="AG91" s="19" t="n">
        <v>0.0433</v>
      </c>
      <c r="AH91" s="23" t="n">
        <v>2.02</v>
      </c>
      <c r="AI91" s="23" t="n">
        <v>0.6</v>
      </c>
      <c r="AJ91" s="19" t="n">
        <v>0.1712</v>
      </c>
    </row>
    <row r="92">
      <c r="A92" s="16" t="inlineStr">
        <is>
          <t>PFC</t>
        </is>
      </c>
      <c r="B92" s="16" t="inlineStr">
        <is>
          <t>Power Finance Corporation Ltd.</t>
        </is>
      </c>
      <c r="C92" s="16" t="inlineStr">
        <is>
          <t>Financial Institutions</t>
        </is>
      </c>
      <c r="D92" s="16" t="inlineStr">
        <is>
          <t>Banking and Finance</t>
        </is>
      </c>
      <c r="E92" s="16" t="inlineStr">
        <is>
          <t>INE134E01011</t>
        </is>
      </c>
      <c r="F92" s="17" t="n">
        <v>117351.62</v>
      </c>
      <c r="G92" s="18" t="n">
        <v>355.6</v>
      </c>
      <c r="H92" s="19" t="n">
        <v>0.0292</v>
      </c>
      <c r="I92" s="20" t="n">
        <v>23</v>
      </c>
      <c r="J92" s="16" t="inlineStr">
        <is>
          <t>red</t>
        </is>
      </c>
      <c r="K92" s="20" t="n">
        <v>52</v>
      </c>
      <c r="L92" s="18" t="n">
        <v>38.34</v>
      </c>
      <c r="M92" s="18" t="n">
        <v>349.72</v>
      </c>
      <c r="N92" s="18" t="n">
        <v>389.83</v>
      </c>
      <c r="O92" s="18" t="n">
        <v>392.46</v>
      </c>
      <c r="P92" s="18" t="n">
        <v>471.83</v>
      </c>
      <c r="Q92" s="18" t="n">
        <v>322.62</v>
      </c>
      <c r="R92" s="21">
        <f>IF(OR(G92="",P92=""),"",G92/P92-1)</f>
        <v/>
      </c>
      <c r="S92" s="19" t="n">
        <v>2.1293</v>
      </c>
      <c r="T92" s="22" t="n">
        <v>-0.0022</v>
      </c>
      <c r="U92" s="16" t="inlineStr">
        <is>
          <t>No</t>
        </is>
      </c>
      <c r="V92" s="16" t="inlineStr">
        <is>
          <t>No</t>
        </is>
      </c>
      <c r="W92" s="16" t="inlineStr">
        <is>
          <t>Yes</t>
        </is>
      </c>
      <c r="X92" s="16" t="inlineStr">
        <is>
          <t>No</t>
        </is>
      </c>
      <c r="Y92" s="20" t="n">
        <v>2</v>
      </c>
      <c r="Z92" s="19" t="n">
        <v>-0.0067</v>
      </c>
      <c r="AA92" s="18" t="n">
        <v>58.62</v>
      </c>
      <c r="AB92" s="16" t="inlineStr">
        <is>
          <t>Good</t>
        </is>
      </c>
      <c r="AC92" s="16" t="inlineStr">
        <is>
          <t>Yes</t>
        </is>
      </c>
      <c r="AD92" s="19" t="n">
        <v>0.1952</v>
      </c>
      <c r="AE92" s="19" t="n">
        <v>0.09420000000000001</v>
      </c>
      <c r="AF92" s="19" t="n">
        <v>0.1779</v>
      </c>
      <c r="AG92" s="19" t="n">
        <v>0.166</v>
      </c>
      <c r="AH92" s="23" t="n">
        <v>7.62</v>
      </c>
      <c r="AI92" s="23" t="n">
        <v>18.09</v>
      </c>
      <c r="AJ92" s="19" t="n">
        <v>0.7214</v>
      </c>
    </row>
    <row r="93">
      <c r="A93" s="16" t="inlineStr">
        <is>
          <t>MUTHOOTFIN</t>
        </is>
      </c>
      <c r="B93" s="16" t="inlineStr">
        <is>
          <t>Muthoot Finance Ltd.</t>
        </is>
      </c>
      <c r="C93" s="16" t="inlineStr">
        <is>
          <t>Finance (including NBFCs)</t>
        </is>
      </c>
      <c r="D93" s="16" t="inlineStr">
        <is>
          <t>Banking and Finance</t>
        </is>
      </c>
      <c r="E93" s="16" t="inlineStr">
        <is>
          <t>INE414G01012</t>
        </is>
      </c>
      <c r="F93" s="17" t="n">
        <v>116979.89</v>
      </c>
      <c r="G93" s="18" t="n">
        <v>2913.8</v>
      </c>
      <c r="H93" s="19" t="n">
        <v>-0.0043</v>
      </c>
      <c r="I93" s="20" t="n">
        <v>28</v>
      </c>
      <c r="J93" s="16" t="inlineStr">
        <is>
          <t>red</t>
        </is>
      </c>
      <c r="K93" s="20" t="n">
        <v>66</v>
      </c>
      <c r="L93" s="18" t="n">
        <v>51.63</v>
      </c>
      <c r="M93" s="18" t="n">
        <v>3005.5</v>
      </c>
      <c r="N93" s="18" t="n">
        <v>2995.37</v>
      </c>
      <c r="O93" s="18" t="n">
        <v>3376.25</v>
      </c>
      <c r="P93" s="18" t="n">
        <v>4057.39</v>
      </c>
      <c r="Q93" s="18" t="n">
        <v>2802.6</v>
      </c>
      <c r="R93" s="21">
        <f>IF(OR(G93="",P93=""),"",G93/P93-1)</f>
        <v/>
      </c>
      <c r="S93" s="19" t="n">
        <v>0.4731</v>
      </c>
      <c r="T93" s="22" t="n">
        <v>-0.009599999999999999</v>
      </c>
      <c r="U93" s="16" t="inlineStr">
        <is>
          <t>No</t>
        </is>
      </c>
      <c r="V93" s="16" t="inlineStr">
        <is>
          <t>No</t>
        </is>
      </c>
      <c r="W93" s="16" t="inlineStr">
        <is>
          <t>No</t>
        </is>
      </c>
      <c r="X93" s="16" t="inlineStr">
        <is>
          <t>No</t>
        </is>
      </c>
      <c r="Y93" s="20" t="n">
        <v>67</v>
      </c>
      <c r="Z93" s="19" t="n">
        <v>-0.1128</v>
      </c>
      <c r="AA93" s="18" t="n">
        <v>80.88</v>
      </c>
      <c r="AB93" s="16" t="inlineStr">
        <is>
          <t>High</t>
        </is>
      </c>
      <c r="AC93" s="16" t="inlineStr">
        <is>
          <t>Yes</t>
        </is>
      </c>
      <c r="AD93" s="19" t="n">
        <v>0.2081</v>
      </c>
      <c r="AE93" s="19" t="n"/>
      <c r="AF93" s="19" t="n">
        <v>0.4721</v>
      </c>
      <c r="AG93" s="19" t="n">
        <v>0.3867</v>
      </c>
      <c r="AH93" s="23" t="n">
        <v>3.86</v>
      </c>
      <c r="AI93" s="23" t="n">
        <v>29.27</v>
      </c>
      <c r="AJ93" s="19" t="n">
        <v>0.0264</v>
      </c>
    </row>
    <row r="94">
      <c r="A94" s="16" t="inlineStr">
        <is>
          <t>TMPV</t>
        </is>
      </c>
      <c r="B94" s="16" t="inlineStr">
        <is>
          <t>Tata Motors Passenger Vehicles Ltd.</t>
        </is>
      </c>
      <c r="C94" s="16" t="inlineStr">
        <is>
          <t>Cars &amp; Utility Vehicles</t>
        </is>
      </c>
      <c r="D94" s="16" t="inlineStr">
        <is>
          <t>Automobiles &amp; Auto Components</t>
        </is>
      </c>
      <c r="E94" s="16" t="inlineStr">
        <is>
          <t>INE155A01022</t>
        </is>
      </c>
      <c r="F94" s="17" t="n">
        <v>114722.07</v>
      </c>
      <c r="G94" s="18" t="n">
        <v>311.5</v>
      </c>
      <c r="H94" s="19" t="n">
        <v>-0.0016</v>
      </c>
      <c r="I94" s="20" t="n">
        <v>6</v>
      </c>
      <c r="J94" s="16" t="inlineStr">
        <is>
          <t>red</t>
        </is>
      </c>
      <c r="K94" s="20" t="n">
        <v>501</v>
      </c>
      <c r="L94" s="18" t="n">
        <v>26.09</v>
      </c>
      <c r="M94" s="18" t="n">
        <v>312.95</v>
      </c>
      <c r="N94" s="18" t="n">
        <v>332.21</v>
      </c>
      <c r="O94" s="18" t="n">
        <v>347.96</v>
      </c>
      <c r="P94" s="18" t="n">
        <v>713.58</v>
      </c>
      <c r="Q94" s="18" t="n">
        <v>293.76</v>
      </c>
      <c r="R94" s="21">
        <f>IF(OR(G94="",P94=""),"",G94/P94-1)</f>
        <v/>
      </c>
      <c r="S94" s="19" t="n">
        <v>0.4592</v>
      </c>
      <c r="T94" s="22" t="n">
        <v>-0.0209</v>
      </c>
      <c r="U94" s="16" t="inlineStr">
        <is>
          <t>No</t>
        </is>
      </c>
      <c r="V94" s="16" t="inlineStr">
        <is>
          <t>No</t>
        </is>
      </c>
      <c r="W94" s="16" t="inlineStr">
        <is>
          <t>No</t>
        </is>
      </c>
      <c r="X94" s="16" t="inlineStr">
        <is>
          <t>No</t>
        </is>
      </c>
      <c r="Y94" s="20" t="n">
        <v>24</v>
      </c>
      <c r="Z94" s="19" t="n">
        <v>-0.0453</v>
      </c>
      <c r="AA94" s="18" t="n">
        <v>53.13</v>
      </c>
      <c r="AB94" s="16" t="inlineStr">
        <is>
          <t>Good</t>
        </is>
      </c>
      <c r="AC94" s="16" t="inlineStr">
        <is>
          <t>No</t>
        </is>
      </c>
      <c r="AD94" s="19" t="n">
        <v>0.4482</v>
      </c>
      <c r="AE94" s="19" t="n">
        <v>0.1205</v>
      </c>
      <c r="AF94" s="19" t="n">
        <v>3.6623</v>
      </c>
      <c r="AG94" s="19" t="n">
        <v>0.0059</v>
      </c>
      <c r="AH94" s="23" t="n">
        <v>0.73</v>
      </c>
      <c r="AI94" s="23" t="n">
        <v>3.32</v>
      </c>
      <c r="AJ94" s="19" t="n">
        <v>0.2679</v>
      </c>
    </row>
    <row r="95">
      <c r="A95" s="16" t="inlineStr">
        <is>
          <t>SBIFUNDS</t>
        </is>
      </c>
      <c r="B95" s="16" t="inlineStr">
        <is>
          <t>SBI Funds Management Ltd.</t>
        </is>
      </c>
      <c r="C95" s="16" t="inlineStr">
        <is>
          <t>Asset Management Cos.</t>
        </is>
      </c>
      <c r="D95" s="16" t="inlineStr">
        <is>
          <t>Banking and Finance</t>
        </is>
      </c>
      <c r="E95" s="16" t="inlineStr">
        <is>
          <t>INE640G01020</t>
        </is>
      </c>
      <c r="F95" s="17" t="n">
        <v>114490.08</v>
      </c>
      <c r="G95" s="18" t="n">
        <v>562.1</v>
      </c>
      <c r="H95" s="19" t="n">
        <v>-0.0034</v>
      </c>
      <c r="I95" s="20" t="n"/>
      <c r="J95" s="16" t="n"/>
      <c r="K95" s="20" t="n"/>
      <c r="L95" s="18" t="n">
        <v>53.36</v>
      </c>
      <c r="M95" s="18" t="n">
        <v>565.63</v>
      </c>
      <c r="N95" s="18" t="n"/>
      <c r="O95" s="18" t="n"/>
      <c r="P95" s="18" t="n">
        <v>609.75</v>
      </c>
      <c r="Q95" s="18" t="n">
        <v>541.4</v>
      </c>
      <c r="R95" s="21">
        <f>IF(OR(G95="",P95=""),"",G95/P95-1)</f>
        <v/>
      </c>
      <c r="S95" s="19" t="n">
        <v>0.4831</v>
      </c>
      <c r="T95" s="22" t="n"/>
      <c r="U95" s="16" t="n"/>
      <c r="V95" s="16" t="n"/>
      <c r="W95" s="16" t="inlineStr">
        <is>
          <t>No</t>
        </is>
      </c>
      <c r="X95" s="16" t="n"/>
      <c r="Y95" s="20" t="n"/>
      <c r="Z95" s="19" t="n"/>
      <c r="AA95" s="18" t="n">
        <v>81.67</v>
      </c>
      <c r="AB95" s="16" t="inlineStr">
        <is>
          <t>High</t>
        </is>
      </c>
      <c r="AC95" s="16" t="inlineStr">
        <is>
          <t>Yes</t>
        </is>
      </c>
      <c r="AD95" s="19" t="n">
        <v>0.3759</v>
      </c>
      <c r="AE95" s="19" t="n">
        <v>0.4944</v>
      </c>
      <c r="AF95" s="19" t="n">
        <v>0.2163</v>
      </c>
      <c r="AG95" s="19" t="n">
        <v>0.2673</v>
      </c>
      <c r="AH95" s="23" t="n">
        <v>0</v>
      </c>
      <c r="AI95" s="23" t="n">
        <v>11.27</v>
      </c>
      <c r="AJ95" s="19" t="n">
        <v>0</v>
      </c>
    </row>
    <row r="96">
      <c r="A96" s="16" t="inlineStr">
        <is>
          <t>GAIL</t>
        </is>
      </c>
      <c r="B96" s="16" t="inlineStr">
        <is>
          <t>GAIL (India) Ltd.</t>
        </is>
      </c>
      <c r="C96" s="16" t="inlineStr">
        <is>
          <t>Utilities:Non-Electrical</t>
        </is>
      </c>
      <c r="D96" s="16" t="inlineStr">
        <is>
          <t>Utilities</t>
        </is>
      </c>
      <c r="E96" s="16" t="inlineStr">
        <is>
          <t>INE129A01019</t>
        </is>
      </c>
      <c r="F96" s="17" t="n">
        <v>114012.23</v>
      </c>
      <c r="G96" s="18" t="n">
        <v>173.4</v>
      </c>
      <c r="H96" s="19" t="n">
        <v>-0.0073</v>
      </c>
      <c r="I96" s="20" t="n">
        <v>47</v>
      </c>
      <c r="J96" s="16" t="inlineStr">
        <is>
          <t>red</t>
        </is>
      </c>
      <c r="K96" s="20" t="n">
        <v>129</v>
      </c>
      <c r="L96" s="18" t="n">
        <v>53.5</v>
      </c>
      <c r="M96" s="18" t="n">
        <v>173.35</v>
      </c>
      <c r="N96" s="18" t="n">
        <v>173.27</v>
      </c>
      <c r="O96" s="18" t="n">
        <v>164.57</v>
      </c>
      <c r="P96" s="18" t="n">
        <v>180.91</v>
      </c>
      <c r="Q96" s="18" t="n">
        <v>135.01</v>
      </c>
      <c r="R96" s="21">
        <f>IF(OR(G96="",P96=""),"",G96/P96-1)</f>
        <v/>
      </c>
      <c r="S96" s="19" t="n">
        <v>0.3678</v>
      </c>
      <c r="T96" s="22" t="n">
        <v>-0.0015</v>
      </c>
      <c r="U96" s="16" t="inlineStr">
        <is>
          <t>No</t>
        </is>
      </c>
      <c r="V96" s="16" t="inlineStr">
        <is>
          <t>Yes</t>
        </is>
      </c>
      <c r="W96" s="16" t="inlineStr">
        <is>
          <t>Yes</t>
        </is>
      </c>
      <c r="X96" s="16" t="inlineStr">
        <is>
          <t>Yes</t>
        </is>
      </c>
      <c r="Y96" s="20" t="n">
        <v>55</v>
      </c>
      <c r="Z96" s="19" t="n">
        <v>0.0529</v>
      </c>
      <c r="AA96" s="18" t="n">
        <v>43.67</v>
      </c>
      <c r="AB96" s="16" t="inlineStr">
        <is>
          <t>Average</t>
        </is>
      </c>
      <c r="AC96" s="16" t="inlineStr">
        <is>
          <t>No</t>
        </is>
      </c>
      <c r="AD96" s="19" t="n">
        <v>0.1201</v>
      </c>
      <c r="AE96" s="19" t="n">
        <v>0.1289</v>
      </c>
      <c r="AF96" s="19" t="n">
        <v>0.2112</v>
      </c>
      <c r="AG96" s="19" t="n">
        <v>-0.0066</v>
      </c>
      <c r="AH96" s="23" t="n">
        <v>0.28</v>
      </c>
      <c r="AI96" s="23" t="n">
        <v>1.58</v>
      </c>
      <c r="AJ96" s="19" t="n">
        <v>0.2779</v>
      </c>
    </row>
    <row r="97">
      <c r="A97" s="16" t="inlineStr">
        <is>
          <t>CANBK</t>
        </is>
      </c>
      <c r="B97" s="16" t="inlineStr">
        <is>
          <t>Canara Bank</t>
        </is>
      </c>
      <c r="C97" s="16" t="inlineStr">
        <is>
          <t>Banks</t>
        </is>
      </c>
      <c r="D97" s="16" t="inlineStr">
        <is>
          <t>Banking and Finance</t>
        </is>
      </c>
      <c r="E97" s="16" t="inlineStr">
        <is>
          <t>INE476A01022</t>
        </is>
      </c>
      <c r="F97" s="17" t="n">
        <v>113836.67</v>
      </c>
      <c r="G97" s="18" t="n">
        <v>125.5</v>
      </c>
      <c r="H97" s="19" t="n">
        <v>-0.0024</v>
      </c>
      <c r="I97" s="20" t="n">
        <v>33</v>
      </c>
      <c r="J97" s="16" t="inlineStr">
        <is>
          <t>red</t>
        </is>
      </c>
      <c r="K97" s="20" t="n">
        <v>80</v>
      </c>
      <c r="L97" s="18" t="n">
        <v>29.23</v>
      </c>
      <c r="M97" s="18" t="n">
        <v>127.01</v>
      </c>
      <c r="N97" s="18" t="n">
        <v>127.45</v>
      </c>
      <c r="O97" s="18" t="n">
        <v>135.32</v>
      </c>
      <c r="P97" s="18" t="n">
        <v>153.85</v>
      </c>
      <c r="Q97" s="18" t="n">
        <v>102.69</v>
      </c>
      <c r="R97" s="21">
        <f>IF(OR(G97="",P97=""),"",G97/P97-1)</f>
        <v/>
      </c>
      <c r="S97" s="19" t="n">
        <v>0.7482</v>
      </c>
      <c r="T97" s="22" t="n">
        <v>-0.0035</v>
      </c>
      <c r="U97" s="16" t="inlineStr">
        <is>
          <t>No</t>
        </is>
      </c>
      <c r="V97" s="16" t="inlineStr">
        <is>
          <t>No</t>
        </is>
      </c>
      <c r="W97" s="16" t="inlineStr">
        <is>
          <t>No</t>
        </is>
      </c>
      <c r="X97" s="16" t="inlineStr">
        <is>
          <t>No</t>
        </is>
      </c>
      <c r="Y97" s="20" t="n">
        <v>77</v>
      </c>
      <c r="Z97" s="19" t="n">
        <v>-0.0582</v>
      </c>
      <c r="AA97" s="18" t="n">
        <v>57.46</v>
      </c>
      <c r="AB97" s="16" t="inlineStr">
        <is>
          <t>Good</t>
        </is>
      </c>
      <c r="AC97" s="16" t="inlineStr">
        <is>
          <t>Yes</t>
        </is>
      </c>
      <c r="AD97" s="19" t="n">
        <v>0.1665</v>
      </c>
      <c r="AE97" s="19" t="n"/>
      <c r="AF97" s="19" t="n">
        <v>0.2097</v>
      </c>
      <c r="AG97" s="19" t="n">
        <v>0.0574</v>
      </c>
      <c r="AH97" s="23" t="n">
        <v>1.02</v>
      </c>
      <c r="AI97" s="23" t="n">
        <v>6.06</v>
      </c>
      <c r="AJ97" s="19" t="n">
        <v>0.0007000000000000001</v>
      </c>
    </row>
    <row r="98">
      <c r="A98" s="16" t="inlineStr">
        <is>
          <t>ZYDUSLIFE</t>
        </is>
      </c>
      <c r="B98" s="16" t="inlineStr">
        <is>
          <t>Zydus Lifesciences Ltd.</t>
        </is>
      </c>
      <c r="C98" s="16" t="inlineStr">
        <is>
          <t>Pharmaceuticals</t>
        </is>
      </c>
      <c r="D98" s="16" t="inlineStr">
        <is>
          <t>Pharmaceuticals &amp; Biotechnology</t>
        </is>
      </c>
      <c r="E98" s="16" t="inlineStr">
        <is>
          <t>INE010B01027</t>
        </is>
      </c>
      <c r="F98" s="17" t="n">
        <v>112698.21</v>
      </c>
      <c r="G98" s="18" t="n">
        <v>1120</v>
      </c>
      <c r="H98" s="19" t="n">
        <v>-0.0201</v>
      </c>
      <c r="I98" s="20" t="n">
        <v>56</v>
      </c>
      <c r="J98" s="16" t="inlineStr">
        <is>
          <t>red</t>
        </is>
      </c>
      <c r="K98" s="20" t="n">
        <v>1</v>
      </c>
      <c r="L98" s="18" t="n">
        <v>47.5</v>
      </c>
      <c r="M98" s="18" t="n">
        <v>1159.56</v>
      </c>
      <c r="N98" s="18" t="n">
        <v>1135.02</v>
      </c>
      <c r="O98" s="18" t="n">
        <v>991.86</v>
      </c>
      <c r="P98" s="18" t="n">
        <v>1205</v>
      </c>
      <c r="Q98" s="18" t="n">
        <v>859.83</v>
      </c>
      <c r="R98" s="21">
        <f>IF(OR(G98="",P98=""),"",G98/P98-1)</f>
        <v/>
      </c>
      <c r="S98" s="19" t="n">
        <v>0.351</v>
      </c>
      <c r="T98" s="22" t="n">
        <v>0.0183</v>
      </c>
      <c r="U98" s="16" t="inlineStr">
        <is>
          <t>Yes</t>
        </is>
      </c>
      <c r="V98" s="16" t="inlineStr">
        <is>
          <t>No</t>
        </is>
      </c>
      <c r="W98" s="16" t="inlineStr">
        <is>
          <t>No</t>
        </is>
      </c>
      <c r="X98" s="16" t="inlineStr">
        <is>
          <t>Yes</t>
        </is>
      </c>
      <c r="Y98" s="20" t="n">
        <v>69</v>
      </c>
      <c r="Z98" s="19" t="n">
        <v>0.1443</v>
      </c>
      <c r="AA98" s="18" t="n">
        <v>62.17</v>
      </c>
      <c r="AB98" s="16" t="inlineStr">
        <is>
          <t>Good</t>
        </is>
      </c>
      <c r="AC98" s="16" t="inlineStr">
        <is>
          <t>No</t>
        </is>
      </c>
      <c r="AD98" s="19" t="n">
        <v>0.1898</v>
      </c>
      <c r="AE98" s="19" t="n">
        <v>0.2123</v>
      </c>
      <c r="AF98" s="19" t="n">
        <v>0.423</v>
      </c>
      <c r="AG98" s="19" t="n">
        <v>0.1658</v>
      </c>
      <c r="AH98" s="23" t="n">
        <v>0.46</v>
      </c>
      <c r="AI98" s="23" t="n">
        <v>2.49</v>
      </c>
      <c r="AJ98" s="19" t="n">
        <v>0.1397</v>
      </c>
    </row>
    <row r="99">
      <c r="A99" s="16" t="inlineStr">
        <is>
          <t>CIPLA</t>
        </is>
      </c>
      <c r="B99" s="16" t="inlineStr">
        <is>
          <t>Cipla Ltd.</t>
        </is>
      </c>
      <c r="C99" s="16" t="inlineStr">
        <is>
          <t>Pharmaceuticals</t>
        </is>
      </c>
      <c r="D99" s="16" t="inlineStr">
        <is>
          <t>Pharmaceuticals &amp; Biotechnology</t>
        </is>
      </c>
      <c r="E99" s="16" t="inlineStr">
        <is>
          <t>INE059A01026</t>
        </is>
      </c>
      <c r="F99" s="17" t="n">
        <v>111888.39</v>
      </c>
      <c r="G99" s="18" t="n">
        <v>1385</v>
      </c>
      <c r="H99" s="19" t="n">
        <v>-0.006999999999999999</v>
      </c>
      <c r="I99" s="20" t="n">
        <v>34</v>
      </c>
      <c r="J99" s="16" t="inlineStr">
        <is>
          <t>red</t>
        </is>
      </c>
      <c r="K99" s="20" t="n">
        <v>163</v>
      </c>
      <c r="L99" s="18" t="n">
        <v>35.39</v>
      </c>
      <c r="M99" s="18" t="n">
        <v>1408.86</v>
      </c>
      <c r="N99" s="18" t="n">
        <v>1439.22</v>
      </c>
      <c r="O99" s="18" t="n">
        <v>1383.29</v>
      </c>
      <c r="P99" s="18" t="n">
        <v>1648.14</v>
      </c>
      <c r="Q99" s="18" t="n">
        <v>1181.32</v>
      </c>
      <c r="R99" s="21">
        <f>IF(OR(G99="",P99=""),"",G99/P99-1)</f>
        <v/>
      </c>
      <c r="S99" s="19" t="n">
        <v>1.5039</v>
      </c>
      <c r="T99" s="22" t="n">
        <v>-0.0072</v>
      </c>
      <c r="U99" s="16" t="inlineStr">
        <is>
          <t>No</t>
        </is>
      </c>
      <c r="V99" s="16" t="inlineStr">
        <is>
          <t>No</t>
        </is>
      </c>
      <c r="W99" s="16" t="inlineStr">
        <is>
          <t>No</t>
        </is>
      </c>
      <c r="X99" s="16" t="inlineStr">
        <is>
          <t>Yes</t>
        </is>
      </c>
      <c r="Y99" s="20" t="n">
        <v>38</v>
      </c>
      <c r="Z99" s="19" t="n">
        <v>0.0404</v>
      </c>
      <c r="AA99" s="18" t="n">
        <v>62.84</v>
      </c>
      <c r="AB99" s="16" t="inlineStr">
        <is>
          <t>Good</t>
        </is>
      </c>
      <c r="AC99" s="16" t="inlineStr">
        <is>
          <t>No</t>
        </is>
      </c>
      <c r="AD99" s="19" t="n">
        <v>0.1453</v>
      </c>
      <c r="AE99" s="19" t="n">
        <v>0.193</v>
      </c>
      <c r="AF99" s="19" t="n">
        <v>0.1617</v>
      </c>
      <c r="AG99" s="19" t="n">
        <v>0.0733</v>
      </c>
      <c r="AH99" s="23" t="n">
        <v>0.02</v>
      </c>
      <c r="AI99" s="23" t="n">
        <v>3.47</v>
      </c>
      <c r="AJ99" s="19" t="n">
        <v>0.2434</v>
      </c>
    </row>
    <row r="100">
      <c r="A100" s="16" t="inlineStr">
        <is>
          <t>LGEINDIA</t>
        </is>
      </c>
      <c r="B100" s="16" t="inlineStr">
        <is>
          <t>LG Electronics India Ltd.</t>
        </is>
      </c>
      <c r="C100" s="16" t="inlineStr">
        <is>
          <t>Consumer Electronics</t>
        </is>
      </c>
      <c r="D100" s="16" t="inlineStr">
        <is>
          <t>Consumer Durables</t>
        </is>
      </c>
      <c r="E100" s="16" t="inlineStr">
        <is>
          <t>INE324D01010</t>
        </is>
      </c>
      <c r="F100" s="17" t="n">
        <v>111366.19</v>
      </c>
      <c r="G100" s="18" t="n">
        <v>1640.7</v>
      </c>
      <c r="H100" s="19" t="n">
        <v>-0.013</v>
      </c>
      <c r="I100" s="20" t="n">
        <v>47</v>
      </c>
      <c r="J100" s="16" t="inlineStr">
        <is>
          <t>red</t>
        </is>
      </c>
      <c r="K100" s="20" t="n">
        <v>15</v>
      </c>
      <c r="L100" s="18" t="n">
        <v>44.44</v>
      </c>
      <c r="M100" s="18" t="n">
        <v>1673.35</v>
      </c>
      <c r="N100" s="18" t="n">
        <v>1589.69</v>
      </c>
      <c r="O100" s="18" t="n">
        <v>1544.27</v>
      </c>
      <c r="P100" s="18" t="n">
        <v>1729.7</v>
      </c>
      <c r="Q100" s="18" t="n">
        <v>1318.8</v>
      </c>
      <c r="R100" s="21">
        <f>IF(OR(G100="",P100=""),"",G100/P100-1)</f>
        <v/>
      </c>
      <c r="S100" s="19" t="n">
        <v>0.4783</v>
      </c>
      <c r="T100" s="22" t="n">
        <v>0.0001</v>
      </c>
      <c r="U100" s="16" t="inlineStr">
        <is>
          <t>Yes</t>
        </is>
      </c>
      <c r="V100" s="16" t="inlineStr">
        <is>
          <t>Yes</t>
        </is>
      </c>
      <c r="W100" s="16" t="inlineStr">
        <is>
          <t>No</t>
        </is>
      </c>
      <c r="X100" s="16" t="inlineStr">
        <is>
          <t>Yes</t>
        </is>
      </c>
      <c r="Y100" s="20" t="n">
        <v>26</v>
      </c>
      <c r="Z100" s="19" t="n">
        <v>0.0294</v>
      </c>
      <c r="AA100" s="18" t="n">
        <v>71.94</v>
      </c>
      <c r="AB100" s="16" t="inlineStr">
        <is>
          <t>High</t>
        </is>
      </c>
      <c r="AC100" s="16" t="inlineStr">
        <is>
          <t>No</t>
        </is>
      </c>
      <c r="AD100" s="19" t="n">
        <v>0.2198</v>
      </c>
      <c r="AE100" s="19" t="n">
        <v>0.288</v>
      </c>
      <c r="AF100" s="19" t="n"/>
      <c r="AG100" s="19" t="n">
        <v>0.0125</v>
      </c>
      <c r="AH100" s="23" t="n">
        <v>0.06</v>
      </c>
      <c r="AI100" s="23" t="n">
        <v>10.79</v>
      </c>
      <c r="AJ100" s="19" t="n">
        <v>0.3168</v>
      </c>
    </row>
    <row r="101">
      <c r="A101" s="16" t="inlineStr">
        <is>
          <t>ENRIN</t>
        </is>
      </c>
      <c r="B101" s="16" t="inlineStr">
        <is>
          <t>Siemens Energy India Ltd.</t>
        </is>
      </c>
      <c r="C101" s="16" t="inlineStr">
        <is>
          <t>Green &amp; Renewable Energy</t>
        </is>
      </c>
      <c r="D101" s="16" t="inlineStr">
        <is>
          <t>Utilities</t>
        </is>
      </c>
      <c r="E101" s="16" t="inlineStr">
        <is>
          <t>INE1NPP01017</t>
        </is>
      </c>
      <c r="F101" s="17" t="n">
        <v>110956.46</v>
      </c>
      <c r="G101" s="18" t="n">
        <v>3115.7</v>
      </c>
      <c r="H101" s="19" t="n">
        <v>-0.0125</v>
      </c>
      <c r="I101" s="20" t="n">
        <v>29</v>
      </c>
      <c r="J101" s="16" t="inlineStr">
        <is>
          <t>red</t>
        </is>
      </c>
      <c r="K101" s="20" t="n">
        <v>14</v>
      </c>
      <c r="L101" s="18" t="n">
        <v>13.02</v>
      </c>
      <c r="M101" s="18" t="n">
        <v>3202.15</v>
      </c>
      <c r="N101" s="18" t="n">
        <v>3384.06</v>
      </c>
      <c r="O101" s="18" t="n">
        <v>3079.09</v>
      </c>
      <c r="P101" s="18" t="n">
        <v>3872.1</v>
      </c>
      <c r="Q101" s="18" t="n">
        <v>2121.97</v>
      </c>
      <c r="R101" s="21">
        <f>IF(OR(G101="",P101=""),"",G101/P101-1)</f>
        <v/>
      </c>
      <c r="S101" s="19" t="n">
        <v>0.3846</v>
      </c>
      <c r="T101" s="22" t="n">
        <v>0.0058</v>
      </c>
      <c r="U101" s="16" t="inlineStr">
        <is>
          <t>Yes</t>
        </is>
      </c>
      <c r="V101" s="16" t="inlineStr">
        <is>
          <t>No</t>
        </is>
      </c>
      <c r="W101" s="16" t="inlineStr">
        <is>
          <t>No</t>
        </is>
      </c>
      <c r="X101" s="16" t="inlineStr">
        <is>
          <t>Yes</t>
        </is>
      </c>
      <c r="Y101" s="20" t="n">
        <v>74</v>
      </c>
      <c r="Z101" s="19" t="n">
        <v>0.099</v>
      </c>
      <c r="AA101" s="18" t="n">
        <v>86.54000000000001</v>
      </c>
      <c r="AB101" s="16" t="inlineStr">
        <is>
          <t>High</t>
        </is>
      </c>
      <c r="AC101" s="16" t="inlineStr">
        <is>
          <t>No</t>
        </is>
      </c>
      <c r="AD101" s="19" t="n">
        <v>0.2188</v>
      </c>
      <c r="AE101" s="19" t="n">
        <v>0.2908</v>
      </c>
      <c r="AF101" s="19" t="n">
        <v>0.8331999999999999</v>
      </c>
      <c r="AG101" s="19" t="n">
        <v>0.6351</v>
      </c>
      <c r="AH101" s="23" t="n">
        <v>0.03</v>
      </c>
      <c r="AI101" s="23" t="n">
        <v>10.94</v>
      </c>
      <c r="AJ101" s="19" t="n">
        <v>0.2473</v>
      </c>
    </row>
    <row r="102">
      <c r="A102" s="16" t="inlineStr">
        <is>
          <t>ABCAPITAL</t>
        </is>
      </c>
      <c r="B102" s="16" t="inlineStr">
        <is>
          <t>Aditya Birla Capital Ltd.</t>
        </is>
      </c>
      <c r="C102" s="16" t="inlineStr">
        <is>
          <t>Holding Companies</t>
        </is>
      </c>
      <c r="D102" s="16" t="inlineStr">
        <is>
          <t>Diversified</t>
        </is>
      </c>
      <c r="E102" s="16" t="inlineStr">
        <is>
          <t>INE674K01013</t>
        </is>
      </c>
      <c r="F102" s="17" t="n">
        <v>110841.86</v>
      </c>
      <c r="G102" s="18" t="n">
        <v>404.9</v>
      </c>
      <c r="H102" s="19" t="n">
        <v>0.0072</v>
      </c>
      <c r="I102" s="20" t="n">
        <v>70</v>
      </c>
      <c r="J102" s="16" t="inlineStr">
        <is>
          <t>amber</t>
        </is>
      </c>
      <c r="K102" s="20" t="n">
        <v>21</v>
      </c>
      <c r="L102" s="18" t="n">
        <v>54.92</v>
      </c>
      <c r="M102" s="18" t="n">
        <v>404.17</v>
      </c>
      <c r="N102" s="18" t="n">
        <v>403.54</v>
      </c>
      <c r="O102" s="18" t="n">
        <v>361.02</v>
      </c>
      <c r="P102" s="18" t="n">
        <v>424.7</v>
      </c>
      <c r="Q102" s="18" t="n">
        <v>277.55</v>
      </c>
      <c r="R102" s="21">
        <f>IF(OR(G102="",P102=""),"",G102/P102-1)</f>
        <v/>
      </c>
      <c r="S102" s="19" t="n">
        <v>0.6068</v>
      </c>
      <c r="T102" s="22" t="n">
        <v>0.023</v>
      </c>
      <c r="U102" s="16" t="inlineStr">
        <is>
          <t>Yes</t>
        </is>
      </c>
      <c r="V102" s="16" t="inlineStr">
        <is>
          <t>Yes</t>
        </is>
      </c>
      <c r="W102" s="16" t="inlineStr">
        <is>
          <t>Yes</t>
        </is>
      </c>
      <c r="X102" s="16" t="inlineStr">
        <is>
          <t>Yes</t>
        </is>
      </c>
      <c r="Y102" s="20" t="n">
        <v>320</v>
      </c>
      <c r="Z102" s="19" t="n">
        <v>0.1178</v>
      </c>
      <c r="AA102" s="18" t="n">
        <v>38.4</v>
      </c>
      <c r="AB102" s="16" t="inlineStr">
        <is>
          <t>Weak</t>
        </is>
      </c>
      <c r="AC102" s="16" t="inlineStr">
        <is>
          <t>Yes</t>
        </is>
      </c>
      <c r="AD102" s="19" t="n">
        <v>0.1145</v>
      </c>
      <c r="AE102" s="19" t="n">
        <v>0.08449999999999999</v>
      </c>
      <c r="AF102" s="19" t="n">
        <v>-0.0809</v>
      </c>
      <c r="AG102" s="19" t="n">
        <v>0.1827</v>
      </c>
      <c r="AH102" s="23" t="n">
        <v>5.21</v>
      </c>
      <c r="AI102" s="23" t="n">
        <v>46.39</v>
      </c>
      <c r="AJ102" s="19" t="n">
        <v>0.0245</v>
      </c>
    </row>
    <row r="103">
      <c r="A103" s="16" t="inlineStr">
        <is>
          <t>GVT&amp;D</t>
        </is>
      </c>
      <c r="B103" s="16" t="inlineStr">
        <is>
          <t>GE Vernova T&amp;D India Ltd.</t>
        </is>
      </c>
      <c r="C103" s="16" t="inlineStr">
        <is>
          <t>Industrial Machinery</t>
        </is>
      </c>
      <c r="D103" s="16" t="inlineStr">
        <is>
          <t>General Industrials</t>
        </is>
      </c>
      <c r="E103" s="16" t="inlineStr">
        <is>
          <t>INE200A01026</t>
        </is>
      </c>
      <c r="F103" s="17" t="n">
        <v>110261.3</v>
      </c>
      <c r="G103" s="18" t="n">
        <v>4306.3</v>
      </c>
      <c r="H103" s="19" t="n">
        <v>-0.0128</v>
      </c>
      <c r="I103" s="20" t="n">
        <v>65</v>
      </c>
      <c r="J103" s="16" t="inlineStr">
        <is>
          <t>amber</t>
        </is>
      </c>
      <c r="K103" s="20" t="n">
        <v>11</v>
      </c>
      <c r="L103" s="18" t="n">
        <v>51.15</v>
      </c>
      <c r="M103" s="18" t="n">
        <v>4345.56</v>
      </c>
      <c r="N103" s="18" t="n">
        <v>4388.04</v>
      </c>
      <c r="O103" s="18" t="n">
        <v>3940.87</v>
      </c>
      <c r="P103" s="18" t="n">
        <v>5519.84</v>
      </c>
      <c r="Q103" s="18" t="n">
        <v>2551.48</v>
      </c>
      <c r="R103" s="21">
        <f>IF(OR(G103="",P103=""),"",G103/P103-1)</f>
        <v/>
      </c>
      <c r="S103" s="19" t="n">
        <v>0.5434</v>
      </c>
      <c r="T103" s="22" t="n">
        <v>0.0329</v>
      </c>
      <c r="U103" s="16" t="inlineStr">
        <is>
          <t>Yes</t>
        </is>
      </c>
      <c r="V103" s="16" t="inlineStr">
        <is>
          <t>No</t>
        </is>
      </c>
      <c r="W103" s="16" t="inlineStr">
        <is>
          <t>No</t>
        </is>
      </c>
      <c r="X103" s="16" t="inlineStr">
        <is>
          <t>Yes</t>
        </is>
      </c>
      <c r="Y103" s="20" t="n">
        <v>312</v>
      </c>
      <c r="Z103" s="19" t="n">
        <v>0.1135</v>
      </c>
      <c r="AA103" s="18" t="n">
        <v>91.39</v>
      </c>
      <c r="AB103" s="16" t="inlineStr">
        <is>
          <t>High</t>
        </is>
      </c>
      <c r="AC103" s="16" t="inlineStr">
        <is>
          <t>No</t>
        </is>
      </c>
      <c r="AD103" s="19" t="n">
        <v>0.3157</v>
      </c>
      <c r="AE103" s="19" t="n">
        <v>0.4338</v>
      </c>
      <c r="AF103" s="19" t="n">
        <v>40.7403</v>
      </c>
      <c r="AG103" s="19" t="n">
        <v>0.3179</v>
      </c>
      <c r="AH103" s="23" t="n">
        <v>0.01</v>
      </c>
      <c r="AI103" s="23" t="n">
        <v>13.22</v>
      </c>
      <c r="AJ103" s="19" t="n">
        <v>0.1393</v>
      </c>
    </row>
    <row r="104">
      <c r="A104" s="16" t="inlineStr">
        <is>
          <t>IRFC</t>
        </is>
      </c>
      <c r="B104" s="16" t="inlineStr">
        <is>
          <t>Indian Railway Finance Corporation Ltd.</t>
        </is>
      </c>
      <c r="C104" s="16" t="inlineStr">
        <is>
          <t>Financial Institutions</t>
        </is>
      </c>
      <c r="D104" s="16" t="inlineStr">
        <is>
          <t>Banking and Finance</t>
        </is>
      </c>
      <c r="E104" s="16" t="inlineStr">
        <is>
          <t>INE053F01010</t>
        </is>
      </c>
      <c r="F104" s="17" t="n">
        <v>108991.34</v>
      </c>
      <c r="G104" s="18" t="n">
        <v>83.40000000000001</v>
      </c>
      <c r="H104" s="19" t="n">
        <v>0.0091</v>
      </c>
      <c r="I104" s="20" t="n">
        <v>8</v>
      </c>
      <c r="J104" s="16" t="inlineStr">
        <is>
          <t>red</t>
        </is>
      </c>
      <c r="K104" s="20" t="n">
        <v>152</v>
      </c>
      <c r="L104" s="18" t="n">
        <v>28.7</v>
      </c>
      <c r="M104" s="18" t="n">
        <v>83.58</v>
      </c>
      <c r="N104" s="18" t="n">
        <v>87.68000000000001</v>
      </c>
      <c r="O104" s="18" t="n">
        <v>101.86</v>
      </c>
      <c r="P104" s="18" t="n">
        <v>132.24</v>
      </c>
      <c r="Q104" s="18" t="n">
        <v>82.48</v>
      </c>
      <c r="R104" s="21">
        <f>IF(OR(G104="",P104=""),"",G104/P104-1)</f>
        <v/>
      </c>
      <c r="S104" s="19" t="n">
        <v>1.0438</v>
      </c>
      <c r="T104" s="22" t="n">
        <v>-0.0337</v>
      </c>
      <c r="U104" s="16" t="inlineStr">
        <is>
          <t>No</t>
        </is>
      </c>
      <c r="V104" s="16" t="inlineStr">
        <is>
          <t>No</t>
        </is>
      </c>
      <c r="W104" s="16" t="inlineStr">
        <is>
          <t>No</t>
        </is>
      </c>
      <c r="X104" s="16" t="inlineStr">
        <is>
          <t>No</t>
        </is>
      </c>
      <c r="Y104" s="20" t="n">
        <v>267</v>
      </c>
      <c r="Z104" s="19" t="n">
        <v>-0.1393</v>
      </c>
      <c r="AA104" s="18" t="n">
        <v>34.39</v>
      </c>
      <c r="AB104" s="16" t="inlineStr">
        <is>
          <t>Poor</t>
        </is>
      </c>
      <c r="AC104" s="16" t="inlineStr">
        <is>
          <t>Yes</t>
        </is>
      </c>
      <c r="AD104" s="19" t="n">
        <v>0.1258</v>
      </c>
      <c r="AE104" s="19" t="n">
        <v>0.0311</v>
      </c>
      <c r="AF104" s="19" t="n">
        <v>0.0436</v>
      </c>
      <c r="AG104" s="19" t="n">
        <v>0.0474</v>
      </c>
      <c r="AH104" s="23" t="n">
        <v>7.69</v>
      </c>
      <c r="AI104" s="23" t="n">
        <v>1507.53</v>
      </c>
      <c r="AJ104" s="19" t="n">
        <v>0</v>
      </c>
    </row>
    <row r="105">
      <c r="A105" s="16" t="inlineStr">
        <is>
          <t>UNITDSPR</t>
        </is>
      </c>
      <c r="B105" s="16" t="inlineStr">
        <is>
          <t>United Spirits Ltd.</t>
        </is>
      </c>
      <c r="C105" s="16" t="inlineStr">
        <is>
          <t>Breweries &amp; Distilleries</t>
        </is>
      </c>
      <c r="D105" s="16" t="inlineStr">
        <is>
          <t>Food, Beverages &amp; Tobacco</t>
        </is>
      </c>
      <c r="E105" s="16" t="inlineStr">
        <is>
          <t>INE854D01024</t>
        </is>
      </c>
      <c r="F105" s="17" t="n">
        <v>107044.23</v>
      </c>
      <c r="G105" s="18" t="n">
        <v>1471.7</v>
      </c>
      <c r="H105" s="19" t="n">
        <v>-0.0116</v>
      </c>
      <c r="I105" s="20" t="n">
        <v>56</v>
      </c>
      <c r="J105" s="16" t="inlineStr">
        <is>
          <t>red</t>
        </is>
      </c>
      <c r="K105" s="20" t="n">
        <v>1</v>
      </c>
      <c r="L105" s="18" t="n">
        <v>29.9</v>
      </c>
      <c r="M105" s="18" t="n">
        <v>1495.07</v>
      </c>
      <c r="N105" s="18" t="n">
        <v>1466.26</v>
      </c>
      <c r="O105" s="18" t="n">
        <v>1366.98</v>
      </c>
      <c r="P105" s="18" t="n">
        <v>1556</v>
      </c>
      <c r="Q105" s="18" t="n">
        <v>1209.49</v>
      </c>
      <c r="R105" s="21">
        <f>IF(OR(G105="",P105=""),"",G105/P105-1)</f>
        <v/>
      </c>
      <c r="S105" s="19" t="n">
        <v>0.5399</v>
      </c>
      <c r="T105" s="22" t="n">
        <v>0.0097</v>
      </c>
      <c r="U105" s="16" t="inlineStr">
        <is>
          <t>Yes</t>
        </is>
      </c>
      <c r="V105" s="16" t="inlineStr">
        <is>
          <t>Yes</t>
        </is>
      </c>
      <c r="W105" s="16" t="inlineStr">
        <is>
          <t>No</t>
        </is>
      </c>
      <c r="X105" s="16" t="inlineStr">
        <is>
          <t>Yes</t>
        </is>
      </c>
      <c r="Y105" s="20" t="n">
        <v>25</v>
      </c>
      <c r="Z105" s="19" t="n">
        <v>0.0726</v>
      </c>
      <c r="AA105" s="18" t="n">
        <v>67.81</v>
      </c>
      <c r="AB105" s="16" t="inlineStr">
        <is>
          <t>High</t>
        </is>
      </c>
      <c r="AC105" s="16" t="inlineStr">
        <is>
          <t>No</t>
        </is>
      </c>
      <c r="AD105" s="19" t="n">
        <v>0.1994</v>
      </c>
      <c r="AE105" s="19" t="n">
        <v>0.2582</v>
      </c>
      <c r="AF105" s="19" t="n">
        <v>0.1747</v>
      </c>
      <c r="AG105" s="19" t="n">
        <v>0.0559</v>
      </c>
      <c r="AH105" s="23" t="n">
        <v>0.05</v>
      </c>
      <c r="AI105" s="23" t="n">
        <v>9.470000000000001</v>
      </c>
      <c r="AJ105" s="19" t="n">
        <v>0.0732</v>
      </c>
    </row>
    <row r="106">
      <c r="A106" s="16" t="inlineStr">
        <is>
          <t>PAYTM</t>
        </is>
      </c>
      <c r="B106" s="16" t="inlineStr">
        <is>
          <t>One97 Communications Ltd.</t>
        </is>
      </c>
      <c r="C106" s="16" t="inlineStr">
        <is>
          <t>Internet Software &amp; Services</t>
        </is>
      </c>
      <c r="D106" s="16" t="inlineStr">
        <is>
          <t>Software &amp; Services</t>
        </is>
      </c>
      <c r="E106" s="16" t="inlineStr">
        <is>
          <t>INE982J01020</t>
        </is>
      </c>
      <c r="F106" s="17" t="n">
        <v>106474.81</v>
      </c>
      <c r="G106" s="18" t="n">
        <v>1659.5</v>
      </c>
      <c r="H106" s="19" t="n">
        <v>0.0137</v>
      </c>
      <c r="I106" s="20" t="n">
        <v>83</v>
      </c>
      <c r="J106" s="16" t="inlineStr">
        <is>
          <t>green</t>
        </is>
      </c>
      <c r="K106" s="20" t="n">
        <v>13</v>
      </c>
      <c r="L106" s="18" t="n">
        <v>58.02</v>
      </c>
      <c r="M106" s="18" t="n">
        <v>1664</v>
      </c>
      <c r="N106" s="18" t="n">
        <v>1437.4</v>
      </c>
      <c r="O106" s="18" t="n">
        <v>1234.03</v>
      </c>
      <c r="P106" s="18" t="n">
        <v>1718</v>
      </c>
      <c r="Q106" s="18" t="n">
        <v>959</v>
      </c>
      <c r="R106" s="21">
        <f>IF(OR(G106="",P106=""),"",G106/P106-1)</f>
        <v/>
      </c>
      <c r="S106" s="19" t="n">
        <v>1.1462</v>
      </c>
      <c r="T106" s="22" t="n">
        <v>0.0272</v>
      </c>
      <c r="U106" s="16" t="inlineStr">
        <is>
          <t>Yes</t>
        </is>
      </c>
      <c r="V106" s="16" t="inlineStr">
        <is>
          <t>Yes</t>
        </is>
      </c>
      <c r="W106" s="16" t="inlineStr">
        <is>
          <t>No</t>
        </is>
      </c>
      <c r="X106" s="16" t="inlineStr">
        <is>
          <t>Yes</t>
        </is>
      </c>
      <c r="Y106" s="20" t="n">
        <v>24</v>
      </c>
      <c r="Z106" s="19" t="n">
        <v>0.1648</v>
      </c>
      <c r="AA106" s="18" t="n">
        <v>45.56</v>
      </c>
      <c r="AB106" s="16" t="inlineStr">
        <is>
          <t>Average</t>
        </is>
      </c>
      <c r="AC106" s="16" t="inlineStr">
        <is>
          <t>No</t>
        </is>
      </c>
      <c r="AD106" s="19" t="n">
        <v>-0.0386</v>
      </c>
      <c r="AE106" s="19" t="n">
        <v>-0.0352</v>
      </c>
      <c r="AF106" s="19" t="n">
        <v>0.8452</v>
      </c>
      <c r="AG106" s="19" t="n">
        <v>0.0568</v>
      </c>
      <c r="AH106" s="23" t="n">
        <v>0.01</v>
      </c>
      <c r="AI106" s="23" t="n">
        <v>9.640000000000001</v>
      </c>
      <c r="AJ106" s="19" t="n">
        <v>0.008</v>
      </c>
    </row>
    <row r="107">
      <c r="A107" s="16" t="inlineStr">
        <is>
          <t>VEDL</t>
        </is>
      </c>
      <c r="B107" s="16" t="inlineStr">
        <is>
          <t>Vedanta Ltd.</t>
        </is>
      </c>
      <c r="C107" s="16" t="inlineStr">
        <is>
          <t>Aluminium and Aluminium Products</t>
        </is>
      </c>
      <c r="D107" s="16" t="inlineStr">
        <is>
          <t>Metals &amp; Mining</t>
        </is>
      </c>
      <c r="E107" s="16" t="inlineStr">
        <is>
          <t>INE205A01025</t>
        </is>
      </c>
      <c r="F107" s="17" t="n">
        <v>106401.66</v>
      </c>
      <c r="G107" s="18" t="n">
        <v>272.1</v>
      </c>
      <c r="H107" s="19" t="n">
        <v>0.0059</v>
      </c>
      <c r="I107" s="20" t="n">
        <v>2</v>
      </c>
      <c r="J107" s="16" t="inlineStr">
        <is>
          <t>red</t>
        </is>
      </c>
      <c r="K107" s="20" t="n">
        <v>92</v>
      </c>
      <c r="L107" s="18" t="n">
        <v>51.7</v>
      </c>
      <c r="M107" s="18" t="n">
        <v>277.62</v>
      </c>
      <c r="N107" s="18" t="n">
        <v>271.49</v>
      </c>
      <c r="O107" s="18" t="n">
        <v>482.31</v>
      </c>
      <c r="P107" s="18" t="n">
        <v>787.5</v>
      </c>
      <c r="Q107" s="18" t="n">
        <v>253.05</v>
      </c>
      <c r="R107" s="21">
        <f>IF(OR(G107="",P107=""),"",G107/P107-1)</f>
        <v/>
      </c>
      <c r="S107" s="19" t="n">
        <v>0.4941</v>
      </c>
      <c r="T107" s="22" t="n">
        <v>-0.04480000000000001</v>
      </c>
      <c r="U107" s="16" t="inlineStr">
        <is>
          <t>No</t>
        </is>
      </c>
      <c r="V107" s="16" t="inlineStr">
        <is>
          <t>Yes</t>
        </is>
      </c>
      <c r="W107" s="16" t="inlineStr">
        <is>
          <t>No</t>
        </is>
      </c>
      <c r="X107" s="16" t="inlineStr">
        <is>
          <t>No</t>
        </is>
      </c>
      <c r="Y107" s="20" t="n">
        <v>71</v>
      </c>
      <c r="Z107" s="19" t="n">
        <v>-0.4371</v>
      </c>
      <c r="AA107" s="18" t="n">
        <v>55.14</v>
      </c>
      <c r="AB107" s="16" t="inlineStr">
        <is>
          <t>Good</t>
        </is>
      </c>
      <c r="AC107" s="16" t="inlineStr">
        <is>
          <t>No</t>
        </is>
      </c>
      <c r="AD107" s="19" t="n">
        <v>0.3184</v>
      </c>
      <c r="AE107" s="19" t="n">
        <v>0.2328</v>
      </c>
      <c r="AF107" s="19" t="n">
        <v>0.6517000000000001</v>
      </c>
      <c r="AG107" s="19" t="n">
        <v>-0.1153</v>
      </c>
      <c r="AH107" s="23" t="n">
        <v>0.68</v>
      </c>
      <c r="AI107" s="23" t="n">
        <v>1.89</v>
      </c>
      <c r="AJ107" s="19" t="n">
        <v>0.2743</v>
      </c>
    </row>
    <row r="108">
      <c r="A108" s="16" t="inlineStr">
        <is>
          <t>HEROMOTOCO</t>
        </is>
      </c>
      <c r="B108" s="16" t="inlineStr">
        <is>
          <t>Hero MotoCorp Ltd.</t>
        </is>
      </c>
      <c r="C108" s="16" t="inlineStr">
        <is>
          <t>2/3 Wheelers</t>
        </is>
      </c>
      <c r="D108" s="16" t="inlineStr">
        <is>
          <t>Automobiles &amp; Auto Components</t>
        </is>
      </c>
      <c r="E108" s="16" t="inlineStr">
        <is>
          <t>INE158A01026</t>
        </is>
      </c>
      <c r="F108" s="17" t="n">
        <v>106074.84</v>
      </c>
      <c r="G108" s="18" t="n">
        <v>5300</v>
      </c>
      <c r="H108" s="19" t="n">
        <v>-0.0016</v>
      </c>
      <c r="I108" s="20" t="n">
        <v>42</v>
      </c>
      <c r="J108" s="16" t="inlineStr">
        <is>
          <t>red</t>
        </is>
      </c>
      <c r="K108" s="20" t="n">
        <v>10</v>
      </c>
      <c r="L108" s="18" t="n">
        <v>23.35</v>
      </c>
      <c r="M108" s="18" t="n">
        <v>5457.31</v>
      </c>
      <c r="N108" s="18" t="n">
        <v>5283.82</v>
      </c>
      <c r="O108" s="18" t="n">
        <v>5308.64</v>
      </c>
      <c r="P108" s="18" t="n">
        <v>6138.79</v>
      </c>
      <c r="Q108" s="18" t="n">
        <v>4706.27</v>
      </c>
      <c r="R108" s="21">
        <f>IF(OR(G108="",P108=""),"",G108/P108-1)</f>
        <v/>
      </c>
      <c r="S108" s="19" t="n">
        <v>0.8484</v>
      </c>
      <c r="T108" s="22" t="n">
        <v>0.0054</v>
      </c>
      <c r="U108" s="16" t="inlineStr">
        <is>
          <t>Yes</t>
        </is>
      </c>
      <c r="V108" s="16" t="inlineStr">
        <is>
          <t>Yes</t>
        </is>
      </c>
      <c r="W108" s="16" t="inlineStr">
        <is>
          <t>No</t>
        </is>
      </c>
      <c r="X108" s="16" t="inlineStr">
        <is>
          <t>No</t>
        </is>
      </c>
      <c r="Y108" s="20" t="n">
        <v>90</v>
      </c>
      <c r="Z108" s="19" t="n">
        <v>-0.004699999999999999</v>
      </c>
      <c r="AA108" s="18" t="n">
        <v>74.42</v>
      </c>
      <c r="AB108" s="16" t="inlineStr">
        <is>
          <t>High</t>
        </is>
      </c>
      <c r="AC108" s="16" t="inlineStr">
        <is>
          <t>No</t>
        </is>
      </c>
      <c r="AD108" s="19" t="n">
        <v>0.2348</v>
      </c>
      <c r="AE108" s="19" t="n">
        <v>0.3061</v>
      </c>
      <c r="AF108" s="19" t="n">
        <v>0.2705</v>
      </c>
      <c r="AG108" s="19" t="n">
        <v>0.1176</v>
      </c>
      <c r="AH108" s="23" t="n">
        <v>0.04</v>
      </c>
      <c r="AI108" s="23" t="n">
        <v>7.95</v>
      </c>
      <c r="AJ108" s="19" t="n">
        <v>0.05860000000000001</v>
      </c>
    </row>
    <row r="109">
      <c r="A109" s="16" t="inlineStr">
        <is>
          <t>MARICO</t>
        </is>
      </c>
      <c r="B109" s="16" t="inlineStr">
        <is>
          <t>Marico Ltd.</t>
        </is>
      </c>
      <c r="C109" s="16" t="inlineStr">
        <is>
          <t>Personal Products</t>
        </is>
      </c>
      <c r="D109" s="16" t="inlineStr">
        <is>
          <t>FMCG</t>
        </is>
      </c>
      <c r="E109" s="16" t="inlineStr">
        <is>
          <t>INE196A01026</t>
        </is>
      </c>
      <c r="F109" s="17" t="n">
        <v>105838.08</v>
      </c>
      <c r="G109" s="18" t="n">
        <v>815.15</v>
      </c>
      <c r="H109" s="19" t="n">
        <v>-0.0148</v>
      </c>
      <c r="I109" s="20" t="n">
        <v>50</v>
      </c>
      <c r="J109" s="16" t="inlineStr">
        <is>
          <t>red</t>
        </is>
      </c>
      <c r="K109" s="20" t="n">
        <v>15</v>
      </c>
      <c r="L109" s="18" t="n">
        <v>33.3</v>
      </c>
      <c r="M109" s="18" t="n">
        <v>828.27</v>
      </c>
      <c r="N109" s="18" t="n">
        <v>849.1</v>
      </c>
      <c r="O109" s="18" t="n">
        <v>788.5700000000001</v>
      </c>
      <c r="P109" s="18" t="n">
        <v>885.35</v>
      </c>
      <c r="Q109" s="18" t="n">
        <v>694.23</v>
      </c>
      <c r="R109" s="21">
        <f>IF(OR(G109="",P109=""),"",G109/P109-1)</f>
        <v/>
      </c>
      <c r="S109" s="19" t="n">
        <v>0.5805</v>
      </c>
      <c r="T109" s="22" t="n">
        <v>0.0156</v>
      </c>
      <c r="U109" s="16" t="inlineStr">
        <is>
          <t>Yes</t>
        </is>
      </c>
      <c r="V109" s="16" t="inlineStr">
        <is>
          <t>No</t>
        </is>
      </c>
      <c r="W109" s="16" t="inlineStr">
        <is>
          <t>No</t>
        </is>
      </c>
      <c r="X109" s="16" t="inlineStr">
        <is>
          <t>Yes</t>
        </is>
      </c>
      <c r="Y109" s="20" t="n">
        <v>337</v>
      </c>
      <c r="Z109" s="19" t="n">
        <v>0.07679999999999999</v>
      </c>
      <c r="AA109" s="18" t="n">
        <v>72.55</v>
      </c>
      <c r="AB109" s="16" t="inlineStr">
        <is>
          <t>High</t>
        </is>
      </c>
      <c r="AC109" s="16" t="inlineStr">
        <is>
          <t>No</t>
        </is>
      </c>
      <c r="AD109" s="19" t="n">
        <v>0.4049</v>
      </c>
      <c r="AE109" s="19" t="n">
        <v>0.4719</v>
      </c>
      <c r="AF109" s="19" t="n">
        <v>0.1061</v>
      </c>
      <c r="AG109" s="19" t="n">
        <v>0.1238</v>
      </c>
      <c r="AH109" s="23" t="n">
        <v>0.13</v>
      </c>
      <c r="AI109" s="23" t="n">
        <v>10.93</v>
      </c>
      <c r="AJ109" s="19" t="n">
        <v>0.1211</v>
      </c>
    </row>
    <row r="110">
      <c r="A110" s="16" t="inlineStr">
        <is>
          <t>HDFCAMC</t>
        </is>
      </c>
      <c r="B110" s="16" t="inlineStr">
        <is>
          <t>HDFC Asset Management Company Ltd.</t>
        </is>
      </c>
      <c r="C110" s="16" t="inlineStr">
        <is>
          <t>Asset Management Cos.</t>
        </is>
      </c>
      <c r="D110" s="16" t="inlineStr">
        <is>
          <t>Banking and Finance</t>
        </is>
      </c>
      <c r="E110" s="16" t="inlineStr">
        <is>
          <t>INE127D01025</t>
        </is>
      </c>
      <c r="F110" s="17" t="n">
        <v>105414.49</v>
      </c>
      <c r="G110" s="18" t="n">
        <v>2458.3</v>
      </c>
      <c r="H110" s="19" t="n">
        <v>-0.0209</v>
      </c>
      <c r="I110" s="20" t="n">
        <v>33</v>
      </c>
      <c r="J110" s="16" t="inlineStr">
        <is>
          <t>red</t>
        </is>
      </c>
      <c r="K110" s="20" t="n">
        <v>84</v>
      </c>
      <c r="L110" s="18" t="n">
        <v>44.11</v>
      </c>
      <c r="M110" s="18" t="n">
        <v>2559.21</v>
      </c>
      <c r="N110" s="18" t="n">
        <v>2604.39</v>
      </c>
      <c r="O110" s="18" t="n">
        <v>2576.93</v>
      </c>
      <c r="P110" s="18" t="n">
        <v>2878.78</v>
      </c>
      <c r="Q110" s="18" t="n">
        <v>2168.96</v>
      </c>
      <c r="R110" s="21">
        <f>IF(OR(G110="",P110=""),"",G110/P110-1)</f>
        <v/>
      </c>
      <c r="S110" s="19" t="n">
        <v>1.0788</v>
      </c>
      <c r="T110" s="22" t="n">
        <v>-0.0046</v>
      </c>
      <c r="U110" s="16" t="inlineStr">
        <is>
          <t>No</t>
        </is>
      </c>
      <c r="V110" s="16" t="inlineStr">
        <is>
          <t>No</t>
        </is>
      </c>
      <c r="W110" s="16" t="inlineStr">
        <is>
          <t>No</t>
        </is>
      </c>
      <c r="X110" s="16" t="inlineStr">
        <is>
          <t>Yes</t>
        </is>
      </c>
      <c r="Y110" s="20" t="n">
        <v>58</v>
      </c>
      <c r="Z110" s="19" t="n">
        <v>0.0107</v>
      </c>
      <c r="AA110" s="18" t="n">
        <v>81.5</v>
      </c>
      <c r="AB110" s="16" t="inlineStr">
        <is>
          <t>High</t>
        </is>
      </c>
      <c r="AC110" s="16" t="inlineStr">
        <is>
          <t>Yes</t>
        </is>
      </c>
      <c r="AD110" s="19" t="n">
        <v>0.2956</v>
      </c>
      <c r="AE110" s="19" t="n">
        <v>0.3865999999999999</v>
      </c>
      <c r="AF110" s="19" t="n">
        <v>0.2614</v>
      </c>
      <c r="AG110" s="19" t="n">
        <v>0.2416</v>
      </c>
      <c r="AH110" s="23" t="n"/>
      <c r="AI110" s="23" t="n">
        <v>15.8</v>
      </c>
      <c r="AJ110" s="19" t="n">
        <v>0</v>
      </c>
    </row>
    <row r="111">
      <c r="A111" s="16" t="inlineStr">
        <is>
          <t>OFSS</t>
        </is>
      </c>
      <c r="B111" s="16" t="inlineStr">
        <is>
          <t>Oracle Financial Services Software Ltd.</t>
        </is>
      </c>
      <c r="C111" s="16" t="inlineStr">
        <is>
          <t>IT Consulting &amp; Software</t>
        </is>
      </c>
      <c r="D111" s="16" t="inlineStr">
        <is>
          <t>Software &amp; Services</t>
        </is>
      </c>
      <c r="E111" s="16" t="inlineStr">
        <is>
          <t>INE881D01027</t>
        </is>
      </c>
      <c r="F111" s="17" t="n">
        <v>105004.8</v>
      </c>
      <c r="G111" s="18" t="n">
        <v>12058</v>
      </c>
      <c r="H111" s="19" t="n">
        <v>-0.0075</v>
      </c>
      <c r="I111" s="20" t="n">
        <v>84</v>
      </c>
      <c r="J111" s="16" t="inlineStr">
        <is>
          <t>green</t>
        </is>
      </c>
      <c r="K111" s="20" t="n">
        <v>30</v>
      </c>
      <c r="L111" s="18" t="n">
        <v>56.17</v>
      </c>
      <c r="M111" s="18" t="n">
        <v>12117.13</v>
      </c>
      <c r="N111" s="18" t="n">
        <v>11536.1</v>
      </c>
      <c r="O111" s="18" t="n">
        <v>8860.889999999999</v>
      </c>
      <c r="P111" s="18" t="n">
        <v>12540</v>
      </c>
      <c r="Q111" s="18" t="n">
        <v>6126.48</v>
      </c>
      <c r="R111" s="21">
        <f>IF(OR(G111="",P111=""),"",G111/P111-1)</f>
        <v/>
      </c>
      <c r="S111" s="19" t="n">
        <v>0.6951000000000001</v>
      </c>
      <c r="T111" s="22" t="n">
        <v>0.0444</v>
      </c>
      <c r="U111" s="16" t="inlineStr">
        <is>
          <t>Yes</t>
        </is>
      </c>
      <c r="V111" s="16" t="inlineStr">
        <is>
          <t>Yes</t>
        </is>
      </c>
      <c r="W111" s="16" t="inlineStr">
        <is>
          <t>No</t>
        </is>
      </c>
      <c r="X111" s="16" t="inlineStr">
        <is>
          <t>Yes</t>
        </is>
      </c>
      <c r="Y111" s="20" t="n">
        <v>77</v>
      </c>
      <c r="Z111" s="19" t="n">
        <v>0.3019</v>
      </c>
      <c r="AA111" s="18" t="n">
        <v>79.39</v>
      </c>
      <c r="AB111" s="16" t="inlineStr">
        <is>
          <t>High</t>
        </is>
      </c>
      <c r="AC111" s="16" t="inlineStr">
        <is>
          <t>No</t>
        </is>
      </c>
      <c r="AD111" s="19" t="n">
        <v>0.3014</v>
      </c>
      <c r="AE111" s="19" t="n">
        <v>0.4162</v>
      </c>
      <c r="AF111" s="19" t="n">
        <v>0.1339</v>
      </c>
      <c r="AG111" s="19" t="n">
        <v>0.1044</v>
      </c>
      <c r="AH111" s="23" t="n">
        <v>0</v>
      </c>
      <c r="AI111" s="23" t="n">
        <v>42.86</v>
      </c>
      <c r="AJ111" s="19" t="n">
        <v>0.0883</v>
      </c>
    </row>
    <row r="112">
      <c r="A112" s="16" t="inlineStr">
        <is>
          <t>GMRAIRPORT</t>
        </is>
      </c>
      <c r="B112" s="16" t="inlineStr">
        <is>
          <t>GMR Airports Ltd.</t>
        </is>
      </c>
      <c r="C112" s="16" t="inlineStr">
        <is>
          <t>Construction &amp; Engineering</t>
        </is>
      </c>
      <c r="D112" s="16" t="inlineStr">
        <is>
          <t>Cement and Construction</t>
        </is>
      </c>
      <c r="E112" s="16" t="inlineStr">
        <is>
          <t>INE776C01039</t>
        </is>
      </c>
      <c r="F112" s="17" t="n">
        <v>102897.22</v>
      </c>
      <c r="G112" s="18" t="n">
        <v>97.45</v>
      </c>
      <c r="H112" s="19" t="n">
        <v>0.006</v>
      </c>
      <c r="I112" s="20" t="n">
        <v>38</v>
      </c>
      <c r="J112" s="16" t="inlineStr">
        <is>
          <t>red</t>
        </is>
      </c>
      <c r="K112" s="20" t="n">
        <v>19</v>
      </c>
      <c r="L112" s="18" t="n">
        <v>38.09</v>
      </c>
      <c r="M112" s="18" t="n">
        <v>96.48999999999999</v>
      </c>
      <c r="N112" s="18" t="n">
        <v>105.89</v>
      </c>
      <c r="O112" s="18" t="n">
        <v>100.57</v>
      </c>
      <c r="P112" s="18" t="n">
        <v>114.98</v>
      </c>
      <c r="Q112" s="18" t="n">
        <v>84.75</v>
      </c>
      <c r="R112" s="21">
        <f>IF(OR(G112="",P112=""),"",G112/P112-1)</f>
        <v/>
      </c>
      <c r="S112" s="19" t="n">
        <v>0.7785</v>
      </c>
      <c r="T112" s="22" t="n">
        <v>0.0046</v>
      </c>
      <c r="U112" s="16" t="inlineStr">
        <is>
          <t>Yes</t>
        </is>
      </c>
      <c r="V112" s="16" t="inlineStr">
        <is>
          <t>No</t>
        </is>
      </c>
      <c r="W112" s="16" t="inlineStr">
        <is>
          <t>Yes</t>
        </is>
      </c>
      <c r="X112" s="16" t="inlineStr">
        <is>
          <t>Yes</t>
        </is>
      </c>
      <c r="Y112" s="20" t="n">
        <v>66</v>
      </c>
      <c r="Z112" s="19" t="n">
        <v>0.0529</v>
      </c>
      <c r="AA112" s="18" t="n">
        <v>40</v>
      </c>
      <c r="AB112" s="16" t="inlineStr">
        <is>
          <t>Average</t>
        </is>
      </c>
      <c r="AC112" s="16" t="inlineStr">
        <is>
          <t>No</t>
        </is>
      </c>
      <c r="AD112" s="19" t="n">
        <v>0.1148</v>
      </c>
      <c r="AE112" s="19" t="n">
        <v>0.0868</v>
      </c>
      <c r="AF112" s="19" t="n">
        <v>-0.0867</v>
      </c>
      <c r="AG112" s="19" t="n">
        <v>0.3653</v>
      </c>
      <c r="AH112" s="23" t="n">
        <v>-17.45</v>
      </c>
      <c r="AI112" s="23" t="n">
        <v>0.44</v>
      </c>
      <c r="AJ112" s="19" t="n">
        <v>0.1627</v>
      </c>
    </row>
    <row r="113">
      <c r="A113" s="16" t="inlineStr">
        <is>
          <t>LLOYDSME</t>
        </is>
      </c>
      <c r="B113" s="16" t="inlineStr">
        <is>
          <t>Lloyds Metals &amp; Energy Ltd.</t>
        </is>
      </c>
      <c r="C113" s="16" t="inlineStr">
        <is>
          <t>Coal &amp; Mining</t>
        </is>
      </c>
      <c r="D113" s="16" t="inlineStr">
        <is>
          <t>Metals &amp; Mining</t>
        </is>
      </c>
      <c r="E113" s="16" t="inlineStr">
        <is>
          <t>INE281B01032</t>
        </is>
      </c>
      <c r="F113" s="17" t="n">
        <v>102617.95</v>
      </c>
      <c r="G113" s="18" t="n">
        <v>1823</v>
      </c>
      <c r="H113" s="19" t="n">
        <v>-0.0139</v>
      </c>
      <c r="I113" s="20" t="n">
        <v>76</v>
      </c>
      <c r="J113" s="16" t="inlineStr">
        <is>
          <t>amber</t>
        </is>
      </c>
      <c r="K113" s="20" t="n">
        <v>12</v>
      </c>
      <c r="L113" s="18" t="n">
        <v>29.33</v>
      </c>
      <c r="M113" s="18" t="n">
        <v>1815.46</v>
      </c>
      <c r="N113" s="18" t="n">
        <v>1891.44</v>
      </c>
      <c r="O113" s="18" t="n">
        <v>1539.25</v>
      </c>
      <c r="P113" s="18" t="n">
        <v>2101.2</v>
      </c>
      <c r="Q113" s="18" t="n">
        <v>1097.54</v>
      </c>
      <c r="R113" s="21">
        <f>IF(OR(G113="",P113=""),"",G113/P113-1)</f>
        <v/>
      </c>
      <c r="S113" s="19" t="n">
        <v>0.2731</v>
      </c>
      <c r="T113" s="22" t="n">
        <v>0.0384</v>
      </c>
      <c r="U113" s="16" t="inlineStr">
        <is>
          <t>Yes</t>
        </is>
      </c>
      <c r="V113" s="16" t="inlineStr">
        <is>
          <t>No</t>
        </is>
      </c>
      <c r="W113" s="16" t="inlineStr">
        <is>
          <t>Yes</t>
        </is>
      </c>
      <c r="X113" s="16" t="inlineStr">
        <is>
          <t>Yes</t>
        </is>
      </c>
      <c r="Y113" s="20" t="n">
        <v>95</v>
      </c>
      <c r="Z113" s="19" t="n">
        <v>0.2288</v>
      </c>
      <c r="AA113" s="18" t="n">
        <v>67.83</v>
      </c>
      <c r="AB113" s="16" t="inlineStr">
        <is>
          <t>High</t>
        </is>
      </c>
      <c r="AC113" s="16" t="inlineStr">
        <is>
          <t>No</t>
        </is>
      </c>
      <c r="AD113" s="19" t="n">
        <v>0.311</v>
      </c>
      <c r="AE113" s="19" t="n">
        <v>0.3347</v>
      </c>
      <c r="AF113" s="19" t="n">
        <v>1.2701</v>
      </c>
      <c r="AG113" s="19" t="n">
        <v>0.8332999999999999</v>
      </c>
      <c r="AH113" s="23" t="n">
        <v>1.49</v>
      </c>
      <c r="AI113" s="23" t="n">
        <v>0.6</v>
      </c>
      <c r="AJ113" s="19" t="n">
        <v>0.5885</v>
      </c>
    </row>
    <row r="114">
      <c r="A114" s="16" t="inlineStr">
        <is>
          <t>INDHOTEL</t>
        </is>
      </c>
      <c r="B114" s="16" t="inlineStr">
        <is>
          <t>Indian Hotels Company Ltd.</t>
        </is>
      </c>
      <c r="C114" s="16" t="inlineStr">
        <is>
          <t>Hotels</t>
        </is>
      </c>
      <c r="D114" s="16" t="inlineStr">
        <is>
          <t>Hotels Restaurants &amp; Tourism</t>
        </is>
      </c>
      <c r="E114" s="16" t="inlineStr">
        <is>
          <t>INE053A01029</t>
        </is>
      </c>
      <c r="F114" s="17" t="n">
        <v>102487.12</v>
      </c>
      <c r="G114" s="18" t="n">
        <v>720</v>
      </c>
      <c r="H114" s="19" t="n">
        <v>-0.0164</v>
      </c>
      <c r="I114" s="20" t="n">
        <v>47</v>
      </c>
      <c r="J114" s="16" t="inlineStr">
        <is>
          <t>red</t>
        </is>
      </c>
      <c r="K114" s="20" t="n">
        <v>26</v>
      </c>
      <c r="L114" s="18" t="n">
        <v>50</v>
      </c>
      <c r="M114" s="18" t="n">
        <v>722.6900000000001</v>
      </c>
      <c r="N114" s="18" t="n">
        <v>729.58</v>
      </c>
      <c r="O114" s="18" t="n">
        <v>686.6</v>
      </c>
      <c r="P114" s="18" t="n">
        <v>787.34</v>
      </c>
      <c r="Q114" s="18" t="n">
        <v>568.42</v>
      </c>
      <c r="R114" s="21">
        <f>IF(OR(G114="",P114=""),"",G114/P114-1)</f>
        <v/>
      </c>
      <c r="S114" s="19" t="n">
        <v>0.9346</v>
      </c>
      <c r="T114" s="22" t="n">
        <v>0.0002</v>
      </c>
      <c r="U114" s="16" t="inlineStr">
        <is>
          <t>Yes</t>
        </is>
      </c>
      <c r="V114" s="16" t="inlineStr">
        <is>
          <t>No</t>
        </is>
      </c>
      <c r="W114" s="16" t="inlineStr">
        <is>
          <t>No</t>
        </is>
      </c>
      <c r="X114" s="16" t="inlineStr">
        <is>
          <t>Yes</t>
        </is>
      </c>
      <c r="Y114" s="20" t="n">
        <v>38</v>
      </c>
      <c r="Z114" s="19" t="n">
        <v>0.0626</v>
      </c>
      <c r="AA114" s="18" t="n">
        <v>58.23</v>
      </c>
      <c r="AB114" s="16" t="inlineStr">
        <is>
          <t>Good</t>
        </is>
      </c>
      <c r="AC114" s="16" t="inlineStr">
        <is>
          <t>No</t>
        </is>
      </c>
      <c r="AD114" s="19" t="n">
        <v>0.1546</v>
      </c>
      <c r="AE114" s="19" t="n">
        <v>0.1828</v>
      </c>
      <c r="AF114" s="19" t="n">
        <v>0.2866</v>
      </c>
      <c r="AG114" s="19" t="n">
        <v>0.1863</v>
      </c>
      <c r="AH114" s="23" t="n">
        <v>0.22</v>
      </c>
      <c r="AI114" s="23" t="n">
        <v>0.83</v>
      </c>
      <c r="AJ114" s="19" t="n">
        <v>0.0737</v>
      </c>
    </row>
    <row r="115">
      <c r="A115" s="16" t="inlineStr">
        <is>
          <t>AMBUJACEM</t>
        </is>
      </c>
      <c r="B115" s="16" t="inlineStr">
        <is>
          <t>Ambuja Cements Ltd.</t>
        </is>
      </c>
      <c r="C115" s="16" t="inlineStr">
        <is>
          <t>Cement &amp; Cement Products</t>
        </is>
      </c>
      <c r="D115" s="16" t="inlineStr">
        <is>
          <t>Cement and Construction</t>
        </is>
      </c>
      <c r="E115" s="16" t="inlineStr">
        <is>
          <t>INE079A01024</t>
        </is>
      </c>
      <c r="F115" s="17" t="n">
        <v>100108.85</v>
      </c>
      <c r="G115" s="18" t="n">
        <v>405</v>
      </c>
      <c r="H115" s="19" t="n">
        <v>0</v>
      </c>
      <c r="I115" s="20" t="n">
        <v>14</v>
      </c>
      <c r="J115" s="16" t="inlineStr">
        <is>
          <t>red</t>
        </is>
      </c>
      <c r="K115" s="20" t="n">
        <v>144</v>
      </c>
      <c r="L115" s="18" t="n">
        <v>40.66</v>
      </c>
      <c r="M115" s="18" t="n">
        <v>407.29</v>
      </c>
      <c r="N115" s="18" t="n">
        <v>424.71</v>
      </c>
      <c r="O115" s="18" t="n">
        <v>467.85</v>
      </c>
      <c r="P115" s="18" t="n">
        <v>588.6900000000001</v>
      </c>
      <c r="Q115" s="18" t="n">
        <v>393.4</v>
      </c>
      <c r="R115" s="21">
        <f>IF(OR(G115="",P115=""),"",G115/P115-1)</f>
        <v/>
      </c>
      <c r="S115" s="19" t="n">
        <v>0.3052</v>
      </c>
      <c r="T115" s="22" t="n">
        <v>-0.0304</v>
      </c>
      <c r="U115" s="16" t="inlineStr">
        <is>
          <t>No</t>
        </is>
      </c>
      <c r="V115" s="16" t="inlineStr">
        <is>
          <t>No</t>
        </is>
      </c>
      <c r="W115" s="16" t="inlineStr">
        <is>
          <t>No</t>
        </is>
      </c>
      <c r="X115" s="16" t="inlineStr">
        <is>
          <t>No</t>
        </is>
      </c>
      <c r="Y115" s="20" t="n">
        <v>183</v>
      </c>
      <c r="Z115" s="19" t="n">
        <v>-0.0922</v>
      </c>
      <c r="AA115" s="18" t="n">
        <v>47.53</v>
      </c>
      <c r="AB115" s="16" t="inlineStr">
        <is>
          <t>Average</t>
        </is>
      </c>
      <c r="AC115" s="16" t="inlineStr">
        <is>
          <t>No</t>
        </is>
      </c>
      <c r="AD115" s="19" t="n">
        <v>0.08210000000000001</v>
      </c>
      <c r="AE115" s="19" t="n">
        <v>0.107</v>
      </c>
      <c r="AF115" s="19" t="n">
        <v>0.0698</v>
      </c>
      <c r="AG115" s="19" t="n">
        <v>0.1111</v>
      </c>
      <c r="AH115" s="23" t="n">
        <v>0.01</v>
      </c>
      <c r="AI115" s="23" t="n">
        <v>0.74</v>
      </c>
      <c r="AJ115" s="19" t="n">
        <v>0.1884</v>
      </c>
    </row>
    <row r="116">
      <c r="A116" s="16" t="inlineStr">
        <is>
          <t>TATACONSUM</t>
        </is>
      </c>
      <c r="B116" s="16" t="inlineStr">
        <is>
          <t>Tata Consumer Products Ltd.</t>
        </is>
      </c>
      <c r="C116" s="16" t="inlineStr">
        <is>
          <t>Tea &amp; Coffee</t>
        </is>
      </c>
      <c r="D116" s="16" t="inlineStr">
        <is>
          <t>Food, Beverages &amp; Tobacco</t>
        </is>
      </c>
      <c r="E116" s="16" t="inlineStr">
        <is>
          <t>INE192A01025</t>
        </is>
      </c>
      <c r="F116" s="17" t="n">
        <v>99958.69</v>
      </c>
      <c r="G116" s="18" t="n">
        <v>1010</v>
      </c>
      <c r="H116" s="19" t="n">
        <v>-0.009000000000000001</v>
      </c>
      <c r="I116" s="20" t="n">
        <v>23</v>
      </c>
      <c r="J116" s="16" t="inlineStr">
        <is>
          <t>red</t>
        </is>
      </c>
      <c r="K116" s="20" t="n">
        <v>71</v>
      </c>
      <c r="L116" s="18" t="n">
        <v>23.2</v>
      </c>
      <c r="M116" s="18" t="n">
        <v>1029.87</v>
      </c>
      <c r="N116" s="18" t="n">
        <v>1079.98</v>
      </c>
      <c r="O116" s="18" t="n">
        <v>1123.47</v>
      </c>
      <c r="P116" s="18" t="n">
        <v>1260.34</v>
      </c>
      <c r="Q116" s="18" t="n">
        <v>1006.29</v>
      </c>
      <c r="R116" s="21">
        <f>IF(OR(G116="",P116=""),"",G116/P116-1)</f>
        <v/>
      </c>
      <c r="S116" s="19" t="n">
        <v>0.7845</v>
      </c>
      <c r="T116" s="22" t="n">
        <v>-0.0091</v>
      </c>
      <c r="U116" s="16" t="inlineStr">
        <is>
          <t>No</t>
        </is>
      </c>
      <c r="V116" s="16" t="inlineStr">
        <is>
          <t>No</t>
        </is>
      </c>
      <c r="W116" s="16" t="inlineStr">
        <is>
          <t>No</t>
        </is>
      </c>
      <c r="X116" s="16" t="inlineStr">
        <is>
          <t>No</t>
        </is>
      </c>
      <c r="Y116" s="20" t="n">
        <v>34</v>
      </c>
      <c r="Z116" s="19" t="n">
        <v>-0.0387</v>
      </c>
      <c r="AA116" s="18" t="n">
        <v>47.16</v>
      </c>
      <c r="AB116" s="16" t="inlineStr">
        <is>
          <t>Average</t>
        </is>
      </c>
      <c r="AC116" s="16" t="inlineStr">
        <is>
          <t>No</t>
        </is>
      </c>
      <c r="AD116" s="19" t="n">
        <v>0.0688</v>
      </c>
      <c r="AE116" s="19" t="n">
        <v>0.09320000000000001</v>
      </c>
      <c r="AF116" s="19" t="n">
        <v>0.0707</v>
      </c>
      <c r="AG116" s="19" t="n">
        <v>0.139</v>
      </c>
      <c r="AH116" s="23" t="n">
        <v>0.13</v>
      </c>
      <c r="AI116" s="23" t="n">
        <v>5.91</v>
      </c>
      <c r="AJ116" s="19" t="n">
        <v>0.1764</v>
      </c>
    </row>
    <row r="117">
      <c r="A117" s="16" t="inlineStr">
        <is>
          <t>MAZDOCK</t>
        </is>
      </c>
      <c r="B117" s="16" t="inlineStr">
        <is>
          <t>Mazagon Dock Shipbuilders Ltd.</t>
        </is>
      </c>
      <c r="C117" s="16" t="inlineStr">
        <is>
          <t>Aerospace &amp; Defence</t>
        </is>
      </c>
      <c r="D117" s="16" t="inlineStr">
        <is>
          <t>General Industrials</t>
        </is>
      </c>
      <c r="E117" s="16" t="inlineStr">
        <is>
          <t>INE249Z01020</t>
        </is>
      </c>
      <c r="F117" s="17" t="n">
        <v>99836.55</v>
      </c>
      <c r="G117" s="18" t="n">
        <v>2475</v>
      </c>
      <c r="H117" s="19" t="n">
        <v>0.0004</v>
      </c>
      <c r="I117" s="20" t="n">
        <v>35</v>
      </c>
      <c r="J117" s="16" t="inlineStr">
        <is>
          <t>red</t>
        </is>
      </c>
      <c r="K117" s="20" t="n">
        <v>90</v>
      </c>
      <c r="L117" s="18" t="n">
        <v>37.43</v>
      </c>
      <c r="M117" s="18" t="n">
        <v>2517.62</v>
      </c>
      <c r="N117" s="18" t="n">
        <v>2459.85</v>
      </c>
      <c r="O117" s="18" t="n">
        <v>2459.97</v>
      </c>
      <c r="P117" s="18" t="n">
        <v>2973.1</v>
      </c>
      <c r="Q117" s="18" t="n">
        <v>2061.48</v>
      </c>
      <c r="R117" s="21">
        <f>IF(OR(G117="",P117=""),"",G117/P117-1)</f>
        <v/>
      </c>
      <c r="S117" s="19" t="n">
        <v>0.8508</v>
      </c>
      <c r="T117" s="22" t="n">
        <v>-0.007800000000000001</v>
      </c>
      <c r="U117" s="16" t="inlineStr">
        <is>
          <t>No</t>
        </is>
      </c>
      <c r="V117" s="16" t="inlineStr">
        <is>
          <t>Yes</t>
        </is>
      </c>
      <c r="W117" s="16" t="inlineStr">
        <is>
          <t>No</t>
        </is>
      </c>
      <c r="X117" s="16" t="inlineStr">
        <is>
          <t>No</t>
        </is>
      </c>
      <c r="Y117" s="20" t="n">
        <v>195</v>
      </c>
      <c r="Z117" s="19" t="n">
        <v>0</v>
      </c>
      <c r="AA117" s="18" t="n">
        <v>79.3</v>
      </c>
      <c r="AB117" s="16" t="inlineStr">
        <is>
          <t>High</t>
        </is>
      </c>
      <c r="AC117" s="16" t="inlineStr">
        <is>
          <t>No</t>
        </is>
      </c>
      <c r="AD117" s="19" t="n">
        <v>0.293</v>
      </c>
      <c r="AE117" s="19" t="n">
        <v>0.3669</v>
      </c>
      <c r="AF117" s="19" t="n">
        <v>0.3491</v>
      </c>
      <c r="AG117" s="19" t="n">
        <v>0.1964</v>
      </c>
      <c r="AH117" s="23" t="n">
        <v>0.05</v>
      </c>
      <c r="AI117" s="23" t="n">
        <v>5.7</v>
      </c>
      <c r="AJ117" s="19" t="n">
        <v>0.1107</v>
      </c>
    </row>
    <row r="118">
      <c r="A118" s="16" t="inlineStr">
        <is>
          <t>LAURUSLABS</t>
        </is>
      </c>
      <c r="B118" s="16" t="inlineStr">
        <is>
          <t>Laurus Labs Ltd.</t>
        </is>
      </c>
      <c r="C118" s="16" t="inlineStr">
        <is>
          <t>Pharmaceuticals</t>
        </is>
      </c>
      <c r="D118" s="16" t="inlineStr">
        <is>
          <t>Pharmaceuticals &amp; Biotechnology</t>
        </is>
      </c>
      <c r="E118" s="16" t="inlineStr">
        <is>
          <t>INE947Q01028</t>
        </is>
      </c>
      <c r="F118" s="17" t="n">
        <v>99417.44</v>
      </c>
      <c r="G118" s="18" t="n">
        <v>1840</v>
      </c>
      <c r="H118" s="19" t="n">
        <v>-0.0153</v>
      </c>
      <c r="I118" s="20" t="n">
        <v>91</v>
      </c>
      <c r="J118" s="16" t="inlineStr">
        <is>
          <t>green</t>
        </is>
      </c>
      <c r="K118" s="20" t="n">
        <v>304</v>
      </c>
      <c r="L118" s="18" t="n">
        <v>54.83</v>
      </c>
      <c r="M118" s="18" t="n">
        <v>1888</v>
      </c>
      <c r="N118" s="18" t="n">
        <v>1716.18</v>
      </c>
      <c r="O118" s="18" t="n">
        <v>1271.14</v>
      </c>
      <c r="P118" s="18" t="n">
        <v>1938.5</v>
      </c>
      <c r="Q118" s="18" t="n">
        <v>830.79</v>
      </c>
      <c r="R118" s="21">
        <f>IF(OR(G118="",P118=""),"",G118/P118-1)</f>
        <v/>
      </c>
      <c r="S118" s="19" t="n">
        <v>0.3263</v>
      </c>
      <c r="T118" s="22" t="n">
        <v>0.0742</v>
      </c>
      <c r="U118" s="16" t="inlineStr">
        <is>
          <t>Yes</t>
        </is>
      </c>
      <c r="V118" s="16" t="inlineStr">
        <is>
          <t>Yes</t>
        </is>
      </c>
      <c r="W118" s="16" t="inlineStr">
        <is>
          <t>No</t>
        </is>
      </c>
      <c r="X118" s="16" t="inlineStr">
        <is>
          <t>Yes</t>
        </is>
      </c>
      <c r="Y118" s="20" t="n">
        <v>751</v>
      </c>
      <c r="Z118" s="19" t="n">
        <v>0.3501</v>
      </c>
      <c r="AA118" s="18" t="n">
        <v>41.37</v>
      </c>
      <c r="AB118" s="16" t="inlineStr">
        <is>
          <t>Average</t>
        </is>
      </c>
      <c r="AC118" s="16" t="inlineStr">
        <is>
          <t>No</t>
        </is>
      </c>
      <c r="AD118" s="19" t="n">
        <v>0.0956</v>
      </c>
      <c r="AE118" s="19" t="n">
        <v>0.1094</v>
      </c>
      <c r="AF118" s="19" t="n">
        <v>0.6386999999999999</v>
      </c>
      <c r="AG118" s="19" t="n">
        <v>0.051</v>
      </c>
      <c r="AH118" s="23" t="n">
        <v>0.48</v>
      </c>
      <c r="AI118" s="23" t="n">
        <v>1.38</v>
      </c>
      <c r="AJ118" s="19" t="n">
        <v>0.1585</v>
      </c>
    </row>
    <row r="119">
      <c r="A119" s="16" t="inlineStr">
        <is>
          <t>INDUSTOWER</t>
        </is>
      </c>
      <c r="B119" s="16" t="inlineStr">
        <is>
          <t>Indus Towers Ltd.</t>
        </is>
      </c>
      <c r="C119" s="16" t="inlineStr">
        <is>
          <t>Other Telecom Services</t>
        </is>
      </c>
      <c r="D119" s="16" t="inlineStr">
        <is>
          <t>Telecom Services</t>
        </is>
      </c>
      <c r="E119" s="16" t="inlineStr">
        <is>
          <t>INE121J01017</t>
        </is>
      </c>
      <c r="F119" s="17" t="n">
        <v>99405.97</v>
      </c>
      <c r="G119" s="18" t="n">
        <v>376.8</v>
      </c>
      <c r="H119" s="19" t="n">
        <v>0.0049</v>
      </c>
      <c r="I119" s="20" t="n">
        <v>35</v>
      </c>
      <c r="J119" s="16" t="inlineStr">
        <is>
          <t>red</t>
        </is>
      </c>
      <c r="K119" s="20" t="n">
        <v>64</v>
      </c>
      <c r="L119" s="18" t="n">
        <v>47.92</v>
      </c>
      <c r="M119" s="18" t="n">
        <v>379.03</v>
      </c>
      <c r="N119" s="18" t="n">
        <v>378.49</v>
      </c>
      <c r="O119" s="18" t="n">
        <v>402.46</v>
      </c>
      <c r="P119" s="18" t="n">
        <v>460.42</v>
      </c>
      <c r="Q119" s="18" t="n">
        <v>312.3</v>
      </c>
      <c r="R119" s="21">
        <f>IF(OR(G119="",P119=""),"",G119/P119-1)</f>
        <v/>
      </c>
      <c r="S119" s="19" t="n">
        <v>0.3214</v>
      </c>
      <c r="T119" s="22" t="n">
        <v>0.0008</v>
      </c>
      <c r="U119" s="16" t="inlineStr">
        <is>
          <t>Yes</t>
        </is>
      </c>
      <c r="V119" s="16" t="inlineStr">
        <is>
          <t>No</t>
        </is>
      </c>
      <c r="W119" s="16" t="inlineStr">
        <is>
          <t>No</t>
        </is>
      </c>
      <c r="X119" s="16" t="inlineStr">
        <is>
          <t>No</t>
        </is>
      </c>
      <c r="Y119" s="20" t="n">
        <v>40</v>
      </c>
      <c r="Z119" s="19" t="n">
        <v>-0.0596</v>
      </c>
      <c r="AA119" s="18" t="n">
        <v>54.08</v>
      </c>
      <c r="AB119" s="16" t="inlineStr">
        <is>
          <t>Good</t>
        </is>
      </c>
      <c r="AC119" s="16" t="inlineStr">
        <is>
          <t>No</t>
        </is>
      </c>
      <c r="AD119" s="19" t="n">
        <v>0.2363</v>
      </c>
      <c r="AE119" s="19" t="n">
        <v>0.2256</v>
      </c>
      <c r="AF119" s="19" t="n">
        <v>0.7836</v>
      </c>
      <c r="AG119" s="19" t="n">
        <v>0.04650000000000001</v>
      </c>
      <c r="AH119" s="23" t="n">
        <v>0.53</v>
      </c>
      <c r="AI119" s="23" t="n">
        <v>0.65</v>
      </c>
      <c r="AJ119" s="19" t="n">
        <v>0.013</v>
      </c>
    </row>
    <row r="120">
      <c r="A120" s="16" t="inlineStr">
        <is>
          <t>ASHOKLEY</t>
        </is>
      </c>
      <c r="B120" s="16" t="inlineStr">
        <is>
          <t>Ashok Leyland Ltd.</t>
        </is>
      </c>
      <c r="C120" s="16" t="inlineStr">
        <is>
          <t>Commercial Vehicles</t>
        </is>
      </c>
      <c r="D120" s="16" t="inlineStr">
        <is>
          <t>Automobiles &amp; Auto Components</t>
        </is>
      </c>
      <c r="E120" s="16" t="inlineStr">
        <is>
          <t>INE208A01029</t>
        </is>
      </c>
      <c r="F120" s="17" t="n">
        <v>99268.14</v>
      </c>
      <c r="G120" s="18" t="n">
        <v>169</v>
      </c>
      <c r="H120" s="19" t="n">
        <v>-0.0021</v>
      </c>
      <c r="I120" s="20" t="n">
        <v>58</v>
      </c>
      <c r="J120" s="16" t="inlineStr">
        <is>
          <t>red</t>
        </is>
      </c>
      <c r="K120" s="20" t="n">
        <v>3</v>
      </c>
      <c r="L120" s="18" t="n">
        <v>33.47</v>
      </c>
      <c r="M120" s="18" t="n">
        <v>173.08</v>
      </c>
      <c r="N120" s="18" t="n">
        <v>166.05</v>
      </c>
      <c r="O120" s="18" t="n">
        <v>169.29</v>
      </c>
      <c r="P120" s="18" t="n">
        <v>208.37</v>
      </c>
      <c r="Q120" s="18" t="n">
        <v>125.02</v>
      </c>
      <c r="R120" s="21">
        <f>IF(OR(G120="",P120=""),"",G120/P120-1)</f>
        <v/>
      </c>
      <c r="S120" s="19" t="n">
        <v>0.7597</v>
      </c>
      <c r="T120" s="22" t="n">
        <v>0.021</v>
      </c>
      <c r="U120" s="16" t="inlineStr">
        <is>
          <t>Yes</t>
        </is>
      </c>
      <c r="V120" s="16" t="inlineStr">
        <is>
          <t>Yes</t>
        </is>
      </c>
      <c r="W120" s="16" t="inlineStr">
        <is>
          <t>No</t>
        </is>
      </c>
      <c r="X120" s="16" t="inlineStr">
        <is>
          <t>No</t>
        </is>
      </c>
      <c r="Y120" s="20" t="n">
        <v>67</v>
      </c>
      <c r="Z120" s="19" t="n">
        <v>-0.0192</v>
      </c>
      <c r="AA120" s="18" t="n">
        <v>31.55</v>
      </c>
      <c r="AB120" s="16" t="inlineStr">
        <is>
          <t>Poor</t>
        </is>
      </c>
      <c r="AC120" s="16" t="inlineStr">
        <is>
          <t>No</t>
        </is>
      </c>
      <c r="AD120" s="19" t="n">
        <v>0.2578</v>
      </c>
      <c r="AE120" s="19" t="n">
        <v>0.1352</v>
      </c>
      <c r="AF120" s="19" t="n">
        <v>0.46</v>
      </c>
      <c r="AG120" s="19" t="n">
        <v>0.1064</v>
      </c>
      <c r="AH120" s="23" t="n">
        <v>4.49</v>
      </c>
      <c r="AI120" s="23" t="n">
        <v>6.57</v>
      </c>
      <c r="AJ120" s="19" t="n">
        <v>0.06469999999999999</v>
      </c>
    </row>
    <row r="121">
      <c r="A121" s="16" t="inlineStr">
        <is>
          <t>JSWENERGY</t>
        </is>
      </c>
      <c r="B121" s="16" t="inlineStr">
        <is>
          <t>JSW Energy Ltd.</t>
        </is>
      </c>
      <c r="C121" s="16" t="inlineStr">
        <is>
          <t>Power - Electric Utilities</t>
        </is>
      </c>
      <c r="D121" s="16" t="inlineStr">
        <is>
          <t>Utilities</t>
        </is>
      </c>
      <c r="E121" s="16" t="inlineStr">
        <is>
          <t>INE121E01018</t>
        </is>
      </c>
      <c r="F121" s="17" t="n">
        <v>98980.56</v>
      </c>
      <c r="G121" s="18" t="n">
        <v>539.85</v>
      </c>
      <c r="H121" s="19" t="n">
        <v>0.0005999999999999999</v>
      </c>
      <c r="I121" s="20" t="n">
        <v>47</v>
      </c>
      <c r="J121" s="16" t="inlineStr">
        <is>
          <t>red</t>
        </is>
      </c>
      <c r="K121" s="20" t="n">
        <v>19</v>
      </c>
      <c r="L121" s="18" t="n">
        <v>39.32</v>
      </c>
      <c r="M121" s="18" t="n">
        <v>534.8099999999999</v>
      </c>
      <c r="N121" s="18" t="n">
        <v>552.22</v>
      </c>
      <c r="O121" s="18" t="n">
        <v>520.49</v>
      </c>
      <c r="P121" s="18" t="n">
        <v>600.01</v>
      </c>
      <c r="Q121" s="18" t="n">
        <v>438.56</v>
      </c>
      <c r="R121" s="21">
        <f>IF(OR(G121="",P121=""),"",G121/P121-1)</f>
        <v/>
      </c>
      <c r="S121" s="19" t="n">
        <v>1.4052</v>
      </c>
      <c r="T121" s="22" t="n">
        <v>0.0039</v>
      </c>
      <c r="U121" s="16" t="inlineStr">
        <is>
          <t>Yes</t>
        </is>
      </c>
      <c r="V121" s="16" t="inlineStr">
        <is>
          <t>No</t>
        </is>
      </c>
      <c r="W121" s="16" t="inlineStr">
        <is>
          <t>Yes</t>
        </is>
      </c>
      <c r="X121" s="16" t="inlineStr">
        <is>
          <t>Yes</t>
        </is>
      </c>
      <c r="Y121" s="20" t="n">
        <v>90</v>
      </c>
      <c r="Z121" s="19" t="n">
        <v>0.061</v>
      </c>
      <c r="AA121" s="18" t="n">
        <v>12.55</v>
      </c>
      <c r="AB121" s="16" t="inlineStr">
        <is>
          <t>Poor</t>
        </is>
      </c>
      <c r="AC121" s="16" t="inlineStr">
        <is>
          <t>No</t>
        </is>
      </c>
      <c r="AD121" s="19" t="n">
        <v>0.0756</v>
      </c>
      <c r="AE121" s="19" t="n">
        <v>0.06849999999999999</v>
      </c>
      <c r="AF121" s="19" t="n">
        <v>0.124</v>
      </c>
      <c r="AG121" s="19" t="n">
        <v>0.2613</v>
      </c>
      <c r="AH121" s="23" t="n">
        <v>2.5</v>
      </c>
      <c r="AI121" s="23" t="n">
        <v>0.23</v>
      </c>
      <c r="AJ121" s="19" t="n">
        <v>0.2412</v>
      </c>
    </row>
    <row r="122">
      <c r="A122" s="16" t="inlineStr">
        <is>
          <t>IDBI</t>
        </is>
      </c>
      <c r="B122" s="16" t="inlineStr">
        <is>
          <t>IDBI Bank Ltd.</t>
        </is>
      </c>
      <c r="C122" s="16" t="inlineStr">
        <is>
          <t>Banks</t>
        </is>
      </c>
      <c r="D122" s="16" t="inlineStr">
        <is>
          <t>Banking and Finance</t>
        </is>
      </c>
      <c r="E122" s="16" t="inlineStr">
        <is>
          <t>INE008A01015</t>
        </is>
      </c>
      <c r="F122" s="17" t="n">
        <v>97449.02</v>
      </c>
      <c r="G122" s="18" t="n">
        <v>90.63</v>
      </c>
      <c r="H122" s="19" t="n">
        <v>-0.0146</v>
      </c>
      <c r="I122" s="20" t="n">
        <v>45</v>
      </c>
      <c r="J122" s="16" t="inlineStr">
        <is>
          <t>red</t>
        </is>
      </c>
      <c r="K122" s="20" t="n">
        <v>121</v>
      </c>
      <c r="L122" s="18" t="n">
        <v>67.86</v>
      </c>
      <c r="M122" s="18" t="n">
        <v>92.09</v>
      </c>
      <c r="N122" s="18" t="n">
        <v>85.37</v>
      </c>
      <c r="O122" s="18" t="n">
        <v>88.65000000000001</v>
      </c>
      <c r="P122" s="18" t="n">
        <v>116.01</v>
      </c>
      <c r="Q122" s="18" t="n">
        <v>61.5</v>
      </c>
      <c r="R122" s="21">
        <f>IF(OR(G122="",P122=""),"",G122/P122-1)</f>
        <v/>
      </c>
      <c r="S122" s="19" t="n">
        <v>0.5059</v>
      </c>
      <c r="T122" s="22" t="n">
        <v>-0.0142</v>
      </c>
      <c r="U122" s="16" t="inlineStr">
        <is>
          <t>No</t>
        </is>
      </c>
      <c r="V122" s="16" t="inlineStr">
        <is>
          <t>Yes</t>
        </is>
      </c>
      <c r="W122" s="16" t="inlineStr">
        <is>
          <t>No</t>
        </is>
      </c>
      <c r="X122" s="16" t="inlineStr">
        <is>
          <t>No</t>
        </is>
      </c>
      <c r="Y122" s="20" t="n">
        <v>108</v>
      </c>
      <c r="Z122" s="19" t="n">
        <v>-0.03700000000000001</v>
      </c>
      <c r="AA122" s="18" t="n">
        <v>56.4</v>
      </c>
      <c r="AB122" s="16" t="inlineStr">
        <is>
          <t>Good</t>
        </is>
      </c>
      <c r="AC122" s="16" t="inlineStr">
        <is>
          <t>Yes</t>
        </is>
      </c>
      <c r="AD122" s="19" t="n">
        <v>0.1238</v>
      </c>
      <c r="AE122" s="19" t="n"/>
      <c r="AF122" s="19" t="n">
        <v>0.3621</v>
      </c>
      <c r="AG122" s="19" t="n">
        <v>0.0801</v>
      </c>
      <c r="AH122" s="23" t="n">
        <v>0.34</v>
      </c>
      <c r="AI122" s="23" t="n">
        <v>1.93</v>
      </c>
      <c r="AJ122" s="19" t="n">
        <v>0.009300000000000001</v>
      </c>
    </row>
    <row r="123">
      <c r="A123" s="16" t="inlineStr">
        <is>
          <t>MEESHO</t>
        </is>
      </c>
      <c r="B123" s="16" t="inlineStr">
        <is>
          <t>Meesho Ltd.</t>
        </is>
      </c>
      <c r="C123" s="16" t="inlineStr">
        <is>
          <t>Internet &amp; Catalogue Retail</t>
        </is>
      </c>
      <c r="D123" s="16" t="inlineStr">
        <is>
          <t>Retailing</t>
        </is>
      </c>
      <c r="E123" s="16" t="inlineStr">
        <is>
          <t>INE0VDM01015</t>
        </is>
      </c>
      <c r="F123" s="17" t="n">
        <v>96659.75</v>
      </c>
      <c r="G123" s="18" t="n">
        <v>209</v>
      </c>
      <c r="H123" s="19" t="n">
        <v>-0.0035</v>
      </c>
      <c r="I123" s="20" t="n">
        <v>73</v>
      </c>
      <c r="J123" s="16" t="inlineStr">
        <is>
          <t>amber</t>
        </is>
      </c>
      <c r="K123" s="20" t="n">
        <v>12</v>
      </c>
      <c r="L123" s="18" t="n">
        <v>69.48</v>
      </c>
      <c r="M123" s="18" t="n">
        <v>208.16</v>
      </c>
      <c r="N123" s="18" t="n">
        <v>193.65</v>
      </c>
      <c r="O123" s="18" t="n"/>
      <c r="P123" s="18" t="n">
        <v>235.57</v>
      </c>
      <c r="Q123" s="18" t="n">
        <v>134.77</v>
      </c>
      <c r="R123" s="21">
        <f>IF(OR(G123="",P123=""),"",G123/P123-1)</f>
        <v/>
      </c>
      <c r="S123" s="19" t="n">
        <v>1.6963</v>
      </c>
      <c r="T123" s="22" t="n"/>
      <c r="U123" s="16" t="n"/>
      <c r="V123" s="16" t="inlineStr">
        <is>
          <t>Yes</t>
        </is>
      </c>
      <c r="W123" s="16" t="inlineStr">
        <is>
          <t>Yes</t>
        </is>
      </c>
      <c r="X123" s="16" t="n"/>
      <c r="Y123" s="20" t="n"/>
      <c r="Z123" s="19" t="n"/>
      <c r="AA123" s="18" t="n">
        <v>40</v>
      </c>
      <c r="AB123" s="16" t="inlineStr">
        <is>
          <t>Average</t>
        </is>
      </c>
      <c r="AC123" s="16" t="inlineStr">
        <is>
          <t>No</t>
        </is>
      </c>
      <c r="AD123" s="19" t="n">
        <v>-1.0611</v>
      </c>
      <c r="AE123" s="19" t="n">
        <v>-0.4574</v>
      </c>
      <c r="AF123" s="19" t="n">
        <v>-3.1708</v>
      </c>
      <c r="AG123" s="19" t="n">
        <v>0.3019</v>
      </c>
      <c r="AH123" s="23" t="n">
        <v>0.01</v>
      </c>
      <c r="AI123" s="23" t="n">
        <v>100.42</v>
      </c>
      <c r="AJ123" s="19" t="n">
        <v>0</v>
      </c>
    </row>
    <row r="124">
      <c r="A124" s="16" t="inlineStr">
        <is>
          <t>LUPIN</t>
        </is>
      </c>
      <c r="B124" s="16" t="inlineStr">
        <is>
          <t>Lupin Ltd.</t>
        </is>
      </c>
      <c r="C124" s="16" t="inlineStr">
        <is>
          <t>Pharmaceuticals</t>
        </is>
      </c>
      <c r="D124" s="16" t="inlineStr">
        <is>
          <t>Pharmaceuticals &amp; Biotechnology</t>
        </is>
      </c>
      <c r="E124" s="16" t="inlineStr">
        <is>
          <t>INE326A01037</t>
        </is>
      </c>
      <c r="F124" s="17" t="n">
        <v>96483.10000000001</v>
      </c>
      <c r="G124" s="18" t="n">
        <v>2110</v>
      </c>
      <c r="H124" s="19" t="n">
        <v>-0.0103</v>
      </c>
      <c r="I124" s="20" t="n">
        <v>35</v>
      </c>
      <c r="J124" s="16" t="inlineStr">
        <is>
          <t>red</t>
        </is>
      </c>
      <c r="K124" s="20" t="n">
        <v>19</v>
      </c>
      <c r="L124" s="18" t="n">
        <v>18.11</v>
      </c>
      <c r="M124" s="18" t="n">
        <v>2156.65</v>
      </c>
      <c r="N124" s="18" t="n">
        <v>2339.37</v>
      </c>
      <c r="O124" s="18" t="n">
        <v>2245.82</v>
      </c>
      <c r="P124" s="18" t="n">
        <v>2514.8</v>
      </c>
      <c r="Q124" s="18" t="n">
        <v>1891.88</v>
      </c>
      <c r="R124" s="21">
        <f>IF(OR(G124="",P124=""),"",G124/P124-1)</f>
        <v/>
      </c>
      <c r="S124" s="19" t="n">
        <v>0.831</v>
      </c>
      <c r="T124" s="22" t="n">
        <v>0.0106</v>
      </c>
      <c r="U124" s="16" t="inlineStr">
        <is>
          <t>Yes</t>
        </is>
      </c>
      <c r="V124" s="16" t="inlineStr">
        <is>
          <t>No</t>
        </is>
      </c>
      <c r="W124" s="16" t="inlineStr">
        <is>
          <t>No</t>
        </is>
      </c>
      <c r="X124" s="16" t="inlineStr">
        <is>
          <t>Yes</t>
        </is>
      </c>
      <c r="Y124" s="20" t="n">
        <v>200</v>
      </c>
      <c r="Z124" s="19" t="n">
        <v>0.0417</v>
      </c>
      <c r="AA124" s="18" t="n">
        <v>68.98</v>
      </c>
      <c r="AB124" s="16" t="inlineStr">
        <is>
          <t>High</t>
        </is>
      </c>
      <c r="AC124" s="16" t="inlineStr">
        <is>
          <t>No</t>
        </is>
      </c>
      <c r="AD124" s="19" t="n">
        <v>0.1875</v>
      </c>
      <c r="AE124" s="19" t="n">
        <v>0.1989</v>
      </c>
      <c r="AF124" s="19" t="n">
        <v>1.5953</v>
      </c>
      <c r="AG124" s="19" t="n">
        <v>0.1919</v>
      </c>
      <c r="AH124" s="23" t="n">
        <v>0.29</v>
      </c>
      <c r="AI124" s="23" t="n">
        <v>4.39</v>
      </c>
      <c r="AJ124" s="19" t="n">
        <v>0.1289</v>
      </c>
    </row>
    <row r="125">
      <c r="A125" s="16" t="inlineStr">
        <is>
          <t>MANKIND</t>
        </is>
      </c>
      <c r="B125" s="16" t="inlineStr">
        <is>
          <t>Mankind Pharma Ltd.</t>
        </is>
      </c>
      <c r="C125" s="16" t="inlineStr">
        <is>
          <t>Pharmaceuticals</t>
        </is>
      </c>
      <c r="D125" s="16" t="inlineStr">
        <is>
          <t>Pharmaceuticals &amp; Biotechnology</t>
        </is>
      </c>
      <c r="E125" s="16" t="inlineStr">
        <is>
          <t>INE634S01028</t>
        </is>
      </c>
      <c r="F125" s="17" t="n">
        <v>96152.77</v>
      </c>
      <c r="G125" s="18" t="n">
        <v>2327.9</v>
      </c>
      <c r="H125" s="19" t="n">
        <v>-0.0173</v>
      </c>
      <c r="I125" s="20" t="n">
        <v>38</v>
      </c>
      <c r="J125" s="16" t="inlineStr">
        <is>
          <t>red</t>
        </is>
      </c>
      <c r="K125" s="20" t="n">
        <v>26</v>
      </c>
      <c r="L125" s="18" t="n">
        <v>41.94</v>
      </c>
      <c r="M125" s="18" t="n">
        <v>2382.25</v>
      </c>
      <c r="N125" s="18" t="n">
        <v>2468.18</v>
      </c>
      <c r="O125" s="18" t="n">
        <v>2282.05</v>
      </c>
      <c r="P125" s="18" t="n">
        <v>2660.6</v>
      </c>
      <c r="Q125" s="18" t="n">
        <v>1927.4</v>
      </c>
      <c r="R125" s="21">
        <f>IF(OR(G125="",P125=""),"",G125/P125-1)</f>
        <v/>
      </c>
      <c r="S125" s="19" t="n">
        <v>0.3028</v>
      </c>
      <c r="T125" s="22" t="n">
        <v>0.002</v>
      </c>
      <c r="U125" s="16" t="inlineStr">
        <is>
          <t>Yes</t>
        </is>
      </c>
      <c r="V125" s="16" t="inlineStr">
        <is>
          <t>No</t>
        </is>
      </c>
      <c r="W125" s="16" t="inlineStr">
        <is>
          <t>No</t>
        </is>
      </c>
      <c r="X125" s="16" t="inlineStr">
        <is>
          <t>Yes</t>
        </is>
      </c>
      <c r="Y125" s="20" t="n">
        <v>63</v>
      </c>
      <c r="Z125" s="19" t="n">
        <v>0.08160000000000001</v>
      </c>
      <c r="AA125" s="18" t="n">
        <v>57.14</v>
      </c>
      <c r="AB125" s="16" t="inlineStr">
        <is>
          <t>Good</t>
        </is>
      </c>
      <c r="AC125" s="16" t="inlineStr">
        <is>
          <t>No</t>
        </is>
      </c>
      <c r="AD125" s="19" t="n">
        <v>0.1535</v>
      </c>
      <c r="AE125" s="19" t="n">
        <v>0.1711</v>
      </c>
      <c r="AF125" s="19" t="n">
        <v>0.1542</v>
      </c>
      <c r="AG125" s="19" t="n">
        <v>0.1773</v>
      </c>
      <c r="AH125" s="23" t="n">
        <v>0.39</v>
      </c>
      <c r="AI125" s="23" t="n">
        <v>3.84</v>
      </c>
      <c r="AJ125" s="19" t="n">
        <v>0.2031</v>
      </c>
    </row>
    <row r="126">
      <c r="A126" s="16" t="inlineStr">
        <is>
          <t>DRREDDY</t>
        </is>
      </c>
      <c r="B126" s="16" t="inlineStr">
        <is>
          <t>Dr. Reddy's Laboratories Ltd.</t>
        </is>
      </c>
      <c r="C126" s="16" t="inlineStr">
        <is>
          <t>Pharmaceuticals</t>
        </is>
      </c>
      <c r="D126" s="16" t="inlineStr">
        <is>
          <t>Pharmaceuticals &amp; Biotechnology</t>
        </is>
      </c>
      <c r="E126" s="16" t="inlineStr">
        <is>
          <t>INE089A01031</t>
        </is>
      </c>
      <c r="F126" s="17" t="n">
        <v>96071.17999999999</v>
      </c>
      <c r="G126" s="18" t="n">
        <v>1151</v>
      </c>
      <c r="H126" s="19" t="n">
        <v>-0.0035</v>
      </c>
      <c r="I126" s="20" t="n">
        <v>22</v>
      </c>
      <c r="J126" s="16" t="inlineStr">
        <is>
          <t>red</t>
        </is>
      </c>
      <c r="K126" s="20" t="n">
        <v>42</v>
      </c>
      <c r="L126" s="18" t="n">
        <v>34.68</v>
      </c>
      <c r="M126" s="18" t="n">
        <v>1165.61</v>
      </c>
      <c r="N126" s="18" t="n">
        <v>1210.88</v>
      </c>
      <c r="O126" s="18" t="n">
        <v>1248.32</v>
      </c>
      <c r="P126" s="18" t="n">
        <v>1367.03</v>
      </c>
      <c r="Q126" s="18" t="n">
        <v>1135.6</v>
      </c>
      <c r="R126" s="21">
        <f>IF(OR(G126="",P126=""),"",G126/P126-1)</f>
        <v/>
      </c>
      <c r="S126" s="19" t="n">
        <v>0.3752</v>
      </c>
      <c r="T126" s="22" t="n">
        <v>-0.004</v>
      </c>
      <c r="U126" s="16" t="inlineStr">
        <is>
          <t>No</t>
        </is>
      </c>
      <c r="V126" s="16" t="inlineStr">
        <is>
          <t>No</t>
        </is>
      </c>
      <c r="W126" s="16" t="inlineStr">
        <is>
          <t>No</t>
        </is>
      </c>
      <c r="X126" s="16" t="inlineStr">
        <is>
          <t>No</t>
        </is>
      </c>
      <c r="Y126" s="20" t="n">
        <v>22</v>
      </c>
      <c r="Z126" s="19" t="n">
        <v>-0.03</v>
      </c>
      <c r="AA126" s="18" t="n">
        <v>55.39</v>
      </c>
      <c r="AB126" s="16" t="inlineStr">
        <is>
          <t>Good</t>
        </is>
      </c>
      <c r="AC126" s="16" t="inlineStr">
        <is>
          <t>No</t>
        </is>
      </c>
      <c r="AD126" s="19" t="n">
        <v>0.1606</v>
      </c>
      <c r="AE126" s="19" t="n">
        <v>0.1944</v>
      </c>
      <c r="AF126" s="19" t="n">
        <v>0.0023</v>
      </c>
      <c r="AG126" s="19" t="n">
        <v>0.1111</v>
      </c>
      <c r="AH126" s="23" t="n">
        <v>0.21</v>
      </c>
      <c r="AI126" s="23" t="n">
        <v>2.9</v>
      </c>
      <c r="AJ126" s="19" t="n">
        <v>0.1329</v>
      </c>
    </row>
    <row r="127">
      <c r="A127" s="16" t="inlineStr">
        <is>
          <t>AUROPHARMA</t>
        </is>
      </c>
      <c r="B127" s="16" t="inlineStr">
        <is>
          <t>Aurobindo Pharma Ltd.</t>
        </is>
      </c>
      <c r="C127" s="16" t="inlineStr">
        <is>
          <t>Pharmaceuticals</t>
        </is>
      </c>
      <c r="D127" s="16" t="inlineStr">
        <is>
          <t>Pharmaceuticals &amp; Biotechnology</t>
        </is>
      </c>
      <c r="E127" s="16" t="inlineStr">
        <is>
          <t>INE406A01037</t>
        </is>
      </c>
      <c r="F127" s="17" t="n">
        <v>96012.31</v>
      </c>
      <c r="G127" s="18" t="n">
        <v>1653.1</v>
      </c>
      <c r="H127" s="19" t="n">
        <v>0.009599999999999999</v>
      </c>
      <c r="I127" s="20" t="n">
        <v>77</v>
      </c>
      <c r="J127" s="16" t="inlineStr">
        <is>
          <t>amber</t>
        </is>
      </c>
      <c r="K127" s="20" t="n">
        <v>4</v>
      </c>
      <c r="L127" s="18" t="n">
        <v>54.53</v>
      </c>
      <c r="M127" s="18" t="n">
        <v>1655.53</v>
      </c>
      <c r="N127" s="18" t="n">
        <v>1598.22</v>
      </c>
      <c r="O127" s="18" t="n">
        <v>1375.38</v>
      </c>
      <c r="P127" s="18" t="n">
        <v>1717</v>
      </c>
      <c r="Q127" s="18" t="n">
        <v>1034.9</v>
      </c>
      <c r="R127" s="21">
        <f>IF(OR(G127="",P127=""),"",G127/P127-1)</f>
        <v/>
      </c>
      <c r="S127" s="19" t="n">
        <v>0.5977</v>
      </c>
      <c r="T127" s="22" t="n">
        <v>0.0375</v>
      </c>
      <c r="U127" s="16" t="inlineStr">
        <is>
          <t>Yes</t>
        </is>
      </c>
      <c r="V127" s="16" t="inlineStr">
        <is>
          <t>Yes</t>
        </is>
      </c>
      <c r="W127" s="16" t="inlineStr">
        <is>
          <t>No</t>
        </is>
      </c>
      <c r="X127" s="16" t="inlineStr">
        <is>
          <t>Yes</t>
        </is>
      </c>
      <c r="Y127" s="20" t="n">
        <v>196</v>
      </c>
      <c r="Z127" s="19" t="n">
        <v>0.162</v>
      </c>
      <c r="AA127" s="18" t="n">
        <v>49.29</v>
      </c>
      <c r="AB127" s="16" t="inlineStr">
        <is>
          <t>Average</t>
        </is>
      </c>
      <c r="AC127" s="16" t="inlineStr">
        <is>
          <t>No</t>
        </is>
      </c>
      <c r="AD127" s="19" t="n">
        <v>0.1019</v>
      </c>
      <c r="AE127" s="19" t="n">
        <v>0.127</v>
      </c>
      <c r="AF127" s="19" t="n">
        <v>0.2531</v>
      </c>
      <c r="AG127" s="19" t="n">
        <v>0.1077</v>
      </c>
      <c r="AH127" s="23" t="n">
        <v>0.21</v>
      </c>
      <c r="AI127" s="23" t="n">
        <v>1.9</v>
      </c>
      <c r="AJ127" s="19" t="n">
        <v>0.1862</v>
      </c>
    </row>
    <row r="128">
      <c r="A128" s="16" t="inlineStr">
        <is>
          <t>MAXHEALTH</t>
        </is>
      </c>
      <c r="B128" s="16" t="inlineStr">
        <is>
          <t>Max Healthcare Institute Ltd.</t>
        </is>
      </c>
      <c r="C128" s="16" t="inlineStr">
        <is>
          <t>Healthcare Facilities</t>
        </is>
      </c>
      <c r="D128" s="16" t="inlineStr">
        <is>
          <t>Healthcare</t>
        </is>
      </c>
      <c r="E128" s="16" t="inlineStr">
        <is>
          <t>INE027H01010</t>
        </is>
      </c>
      <c r="F128" s="17" t="n">
        <v>95848.27</v>
      </c>
      <c r="G128" s="18" t="n">
        <v>984.8</v>
      </c>
      <c r="H128" s="19" t="n">
        <v>-0.0102</v>
      </c>
      <c r="I128" s="20" t="n">
        <v>27</v>
      </c>
      <c r="J128" s="16" t="inlineStr">
        <is>
          <t>red</t>
        </is>
      </c>
      <c r="K128" s="20" t="n">
        <v>124</v>
      </c>
      <c r="L128" s="18" t="n">
        <v>44.55</v>
      </c>
      <c r="M128" s="18" t="n">
        <v>1005.86</v>
      </c>
      <c r="N128" s="18" t="n">
        <v>1066.68</v>
      </c>
      <c r="O128" s="18" t="n">
        <v>1040.46</v>
      </c>
      <c r="P128" s="18" t="n">
        <v>1208.85</v>
      </c>
      <c r="Q128" s="18" t="n">
        <v>929.95</v>
      </c>
      <c r="R128" s="21">
        <f>IF(OR(G128="",P128=""),"",G128/P128-1)</f>
        <v/>
      </c>
      <c r="S128" s="19" t="n">
        <v>0.6448999999999999</v>
      </c>
      <c r="T128" s="22" t="n">
        <v>-0.0127</v>
      </c>
      <c r="U128" s="16" t="inlineStr">
        <is>
          <t>No</t>
        </is>
      </c>
      <c r="V128" s="16" t="inlineStr">
        <is>
          <t>No</t>
        </is>
      </c>
      <c r="W128" s="16" t="inlineStr">
        <is>
          <t>No</t>
        </is>
      </c>
      <c r="X128" s="16" t="inlineStr">
        <is>
          <t>Yes</t>
        </is>
      </c>
      <c r="Y128" s="20" t="n">
        <v>33</v>
      </c>
      <c r="Z128" s="19" t="n">
        <v>0.0252</v>
      </c>
      <c r="AA128" s="18" t="n">
        <v>40</v>
      </c>
      <c r="AB128" s="16" t="inlineStr">
        <is>
          <t>Average</t>
        </is>
      </c>
      <c r="AC128" s="16" t="inlineStr">
        <is>
          <t>No</t>
        </is>
      </c>
      <c r="AD128" s="19" t="n">
        <v>0.1249</v>
      </c>
      <c r="AE128" s="19" t="n">
        <v>0.1346</v>
      </c>
      <c r="AF128" s="19" t="n">
        <v>-0.3434</v>
      </c>
      <c r="AG128" s="19" t="n">
        <v>0.2249</v>
      </c>
      <c r="AH128" s="23" t="n">
        <v>0.32</v>
      </c>
      <c r="AI128" s="23" t="n">
        <v>1.07</v>
      </c>
      <c r="AJ128" s="19" t="n">
        <v>0.09039999999999999</v>
      </c>
    </row>
    <row r="129">
      <c r="A129" s="16" t="inlineStr">
        <is>
          <t>MANIPALHOS</t>
        </is>
      </c>
      <c r="B129" s="16" t="inlineStr">
        <is>
          <t>Manipal Health Enterprises Ltd.</t>
        </is>
      </c>
      <c r="C129" s="16" t="inlineStr">
        <is>
          <t>Healthcare Facilities</t>
        </is>
      </c>
      <c r="D129" s="16" t="inlineStr">
        <is>
          <t>Healthcare</t>
        </is>
      </c>
      <c r="E129" s="16" t="inlineStr">
        <is>
          <t>INE459N01021</t>
        </is>
      </c>
      <c r="F129" s="17" t="n">
        <v>95391.14999999999</v>
      </c>
      <c r="G129" s="18" t="n">
        <v>725.2</v>
      </c>
      <c r="H129" s="19" t="n">
        <v>-0.0011</v>
      </c>
      <c r="I129" s="20" t="n"/>
      <c r="J129" s="16" t="n"/>
      <c r="K129" s="20" t="n"/>
      <c r="L129" s="18" t="n">
        <v>50.48</v>
      </c>
      <c r="M129" s="18" t="n">
        <v>754.4299999999999</v>
      </c>
      <c r="N129" s="18" t="n"/>
      <c r="O129" s="18" t="n"/>
      <c r="P129" s="18" t="n">
        <v>797.95</v>
      </c>
      <c r="Q129" s="18" t="n">
        <v>650.5</v>
      </c>
      <c r="R129" s="21">
        <f>IF(OR(G129="",P129=""),"",G129/P129-1)</f>
        <v/>
      </c>
      <c r="S129" s="19" t="n">
        <v>0.2687</v>
      </c>
      <c r="T129" s="22" t="n"/>
      <c r="U129" s="16" t="n"/>
      <c r="V129" s="16" t="n"/>
      <c r="W129" s="16" t="inlineStr">
        <is>
          <t>No</t>
        </is>
      </c>
      <c r="X129" s="16" t="n"/>
      <c r="Y129" s="20" t="n"/>
      <c r="Z129" s="19" t="n"/>
      <c r="AA129" s="18" t="n">
        <v>33.73</v>
      </c>
      <c r="AB129" s="16" t="inlineStr">
        <is>
          <t>Poor</t>
        </is>
      </c>
      <c r="AC129" s="16" t="inlineStr">
        <is>
          <t>No</t>
        </is>
      </c>
      <c r="AD129" s="19" t="n">
        <v>0.1046</v>
      </c>
      <c r="AE129" s="19" t="n">
        <v>0.1102</v>
      </c>
      <c r="AF129" s="19" t="n">
        <v>-0.5686</v>
      </c>
      <c r="AG129" s="19" t="n">
        <v>0.3521</v>
      </c>
      <c r="AH129" s="23" t="n">
        <v>1.53</v>
      </c>
      <c r="AI129" s="23" t="n">
        <v>1.21</v>
      </c>
      <c r="AJ129" s="19" t="n">
        <v>0.0892</v>
      </c>
    </row>
    <row r="130">
      <c r="A130" s="16" t="inlineStr">
        <is>
          <t>NYKAA</t>
        </is>
      </c>
      <c r="B130" s="16" t="inlineStr">
        <is>
          <t>FSN E-Commerce Ventures Ltd.</t>
        </is>
      </c>
      <c r="C130" s="16" t="inlineStr">
        <is>
          <t>Internet &amp; Catalogue Retail</t>
        </is>
      </c>
      <c r="D130" s="16" t="inlineStr">
        <is>
          <t>Retailing</t>
        </is>
      </c>
      <c r="E130" s="16" t="inlineStr">
        <is>
          <t>INE388Y01029</t>
        </is>
      </c>
      <c r="F130" s="17" t="n">
        <v>95231.78999999999</v>
      </c>
      <c r="G130" s="18" t="n">
        <v>332.5</v>
      </c>
      <c r="H130" s="19" t="n">
        <v>-0.0051</v>
      </c>
      <c r="I130" s="20" t="n">
        <v>75</v>
      </c>
      <c r="J130" s="16" t="inlineStr">
        <is>
          <t>amber</t>
        </is>
      </c>
      <c r="K130" s="20" t="n">
        <v>20</v>
      </c>
      <c r="L130" s="18" t="n">
        <v>53.98</v>
      </c>
      <c r="M130" s="18" t="n">
        <v>338.22</v>
      </c>
      <c r="N130" s="18" t="n">
        <v>327.76</v>
      </c>
      <c r="O130" s="18" t="n">
        <v>277.93</v>
      </c>
      <c r="P130" s="18" t="n">
        <v>349.55</v>
      </c>
      <c r="Q130" s="18" t="n">
        <v>230.62</v>
      </c>
      <c r="R130" s="21">
        <f>IF(OR(G130="",P130=""),"",G130/P130-1)</f>
        <v/>
      </c>
      <c r="S130" s="19" t="n">
        <v>0.3637</v>
      </c>
      <c r="T130" s="22" t="n">
        <v>0.028</v>
      </c>
      <c r="U130" s="16" t="inlineStr">
        <is>
          <t>Yes</t>
        </is>
      </c>
      <c r="V130" s="16" t="inlineStr">
        <is>
          <t>Yes</t>
        </is>
      </c>
      <c r="W130" s="16" t="inlineStr">
        <is>
          <t>No</t>
        </is>
      </c>
      <c r="X130" s="16" t="inlineStr">
        <is>
          <t>Yes</t>
        </is>
      </c>
      <c r="Y130" s="20" t="n">
        <v>326</v>
      </c>
      <c r="Z130" s="19" t="n">
        <v>0.1793</v>
      </c>
      <c r="AA130" s="18" t="n">
        <v>49.51</v>
      </c>
      <c r="AB130" s="16" t="inlineStr">
        <is>
          <t>Average</t>
        </is>
      </c>
      <c r="AC130" s="16" t="inlineStr">
        <is>
          <t>No</t>
        </is>
      </c>
      <c r="AD130" s="19" t="n">
        <v>0.0717</v>
      </c>
      <c r="AE130" s="19" t="n">
        <v>0.1072</v>
      </c>
      <c r="AF130" s="19" t="n">
        <v>1.2353</v>
      </c>
      <c r="AG130" s="19" t="n">
        <v>0.2473</v>
      </c>
      <c r="AH130" s="23" t="n">
        <v>0.86</v>
      </c>
      <c r="AI130" s="23" t="n">
        <v>12.83</v>
      </c>
      <c r="AJ130" s="19" t="n">
        <v>0.0158</v>
      </c>
    </row>
    <row r="131">
      <c r="A131" s="16" t="inlineStr">
        <is>
          <t>BHARATFORG</t>
        </is>
      </c>
      <c r="B131" s="16" t="inlineStr">
        <is>
          <t>Bharat Forge Ltd.</t>
        </is>
      </c>
      <c r="C131" s="16" t="inlineStr">
        <is>
          <t>Castings &amp; Forgings</t>
        </is>
      </c>
      <c r="D131" s="16" t="inlineStr">
        <is>
          <t>General Industrials</t>
        </is>
      </c>
      <c r="E131" s="16" t="inlineStr">
        <is>
          <t>INE465A01025</t>
        </is>
      </c>
      <c r="F131" s="17" t="n">
        <v>93514.13</v>
      </c>
      <c r="G131" s="18" t="n">
        <v>1956</v>
      </c>
      <c r="H131" s="19" t="n">
        <v>-0.0126</v>
      </c>
      <c r="I131" s="20" t="n">
        <v>70</v>
      </c>
      <c r="J131" s="16" t="inlineStr">
        <is>
          <t>amber</t>
        </is>
      </c>
      <c r="K131" s="20" t="n">
        <v>12</v>
      </c>
      <c r="L131" s="18" t="n">
        <v>32.8</v>
      </c>
      <c r="M131" s="18" t="n">
        <v>2027.32</v>
      </c>
      <c r="N131" s="18" t="n">
        <v>2118.02</v>
      </c>
      <c r="O131" s="18" t="n">
        <v>1806.06</v>
      </c>
      <c r="P131" s="18" t="n">
        <v>2265.2</v>
      </c>
      <c r="Q131" s="18" t="n">
        <v>1126.69</v>
      </c>
      <c r="R131" s="21">
        <f>IF(OR(G131="",P131=""),"",G131/P131-1)</f>
        <v/>
      </c>
      <c r="S131" s="19" t="n">
        <v>1.2977</v>
      </c>
      <c r="T131" s="22" t="n">
        <v>0.042</v>
      </c>
      <c r="U131" s="16" t="inlineStr">
        <is>
          <t>Yes</t>
        </is>
      </c>
      <c r="V131" s="16" t="inlineStr">
        <is>
          <t>No</t>
        </is>
      </c>
      <c r="W131" s="16" t="inlineStr">
        <is>
          <t>No</t>
        </is>
      </c>
      <c r="X131" s="16" t="inlineStr">
        <is>
          <t>Yes</t>
        </is>
      </c>
      <c r="Y131" s="20" t="n">
        <v>230</v>
      </c>
      <c r="Z131" s="19" t="n">
        <v>0.1727</v>
      </c>
      <c r="AA131" s="18" t="n">
        <v>42.49</v>
      </c>
      <c r="AB131" s="16" t="inlineStr">
        <is>
          <t>Average</t>
        </is>
      </c>
      <c r="AC131" s="16" t="inlineStr">
        <is>
          <t>No</t>
        </is>
      </c>
      <c r="AD131" s="19" t="n">
        <v>0.1157</v>
      </c>
      <c r="AE131" s="19" t="n">
        <v>0.1198</v>
      </c>
      <c r="AF131" s="19" t="n">
        <v>0.3025</v>
      </c>
      <c r="AG131" s="19" t="n">
        <v>0.1022</v>
      </c>
      <c r="AH131" s="23" t="n">
        <v>0.76</v>
      </c>
      <c r="AI131" s="23" t="n">
        <v>1.77</v>
      </c>
      <c r="AJ131" s="19" t="n">
        <v>0.1564</v>
      </c>
    </row>
    <row r="132">
      <c r="A132" s="16" t="inlineStr">
        <is>
          <t>GODREJCP</t>
        </is>
      </c>
      <c r="B132" s="16" t="inlineStr">
        <is>
          <t>Godrej Consumer Products Ltd.</t>
        </is>
      </c>
      <c r="C132" s="16" t="inlineStr">
        <is>
          <t>Personal Products</t>
        </is>
      </c>
      <c r="D132" s="16" t="inlineStr">
        <is>
          <t>FMCG</t>
        </is>
      </c>
      <c r="E132" s="16" t="inlineStr">
        <is>
          <t>INE102D01028</t>
        </is>
      </c>
      <c r="F132" s="17" t="n">
        <v>89846.17999999999</v>
      </c>
      <c r="G132" s="18" t="n">
        <v>878</v>
      </c>
      <c r="H132" s="19" t="n">
        <v>-0.0023</v>
      </c>
      <c r="I132" s="20" t="n">
        <v>8</v>
      </c>
      <c r="J132" s="16" t="inlineStr">
        <is>
          <t>red</t>
        </is>
      </c>
      <c r="K132" s="20" t="n">
        <v>119</v>
      </c>
      <c r="L132" s="18" t="n">
        <v>24.59</v>
      </c>
      <c r="M132" s="18" t="n">
        <v>903.76</v>
      </c>
      <c r="N132" s="18" t="n">
        <v>1008.02</v>
      </c>
      <c r="O132" s="18" t="n">
        <v>1078.48</v>
      </c>
      <c r="P132" s="18" t="n">
        <v>1242.44</v>
      </c>
      <c r="Q132" s="18" t="n">
        <v>878</v>
      </c>
      <c r="R132" s="21">
        <f>IF(OR(G132="",P132=""),"",G132/P132-1)</f>
        <v/>
      </c>
      <c r="S132" s="19" t="n">
        <v>0.5911</v>
      </c>
      <c r="T132" s="22" t="n">
        <v>-0.017</v>
      </c>
      <c r="U132" s="16" t="inlineStr">
        <is>
          <t>No</t>
        </is>
      </c>
      <c r="V132" s="16" t="inlineStr">
        <is>
          <t>No</t>
        </is>
      </c>
      <c r="W132" s="16" t="inlineStr">
        <is>
          <t>No</t>
        </is>
      </c>
      <c r="X132" s="16" t="inlineStr">
        <is>
          <t>No</t>
        </is>
      </c>
      <c r="Y132" s="20" t="n">
        <v>119</v>
      </c>
      <c r="Z132" s="19" t="n">
        <v>-0.0653</v>
      </c>
      <c r="AA132" s="18" t="n">
        <v>49.11</v>
      </c>
      <c r="AB132" s="16" t="inlineStr">
        <is>
          <t>Average</t>
        </is>
      </c>
      <c r="AC132" s="16" t="inlineStr">
        <is>
          <t>No</t>
        </is>
      </c>
      <c r="AD132" s="19" t="n">
        <v>0.08560000000000001</v>
      </c>
      <c r="AE132" s="19" t="n">
        <v>0.1282</v>
      </c>
      <c r="AF132" s="19" t="n">
        <v>0.9933</v>
      </c>
      <c r="AG132" s="19" t="n">
        <v>0.0466</v>
      </c>
      <c r="AH132" s="23" t="n">
        <v>0.35</v>
      </c>
      <c r="AI132" s="23" t="n">
        <v>6.02</v>
      </c>
      <c r="AJ132" s="19" t="n">
        <v>0.09619999999999999</v>
      </c>
    </row>
    <row r="133">
      <c r="A133" s="16" t="inlineStr">
        <is>
          <t>PERSISTENT</t>
        </is>
      </c>
      <c r="B133" s="16" t="inlineStr">
        <is>
          <t>Persistent Systems Ltd.</t>
        </is>
      </c>
      <c r="C133" s="16" t="inlineStr">
        <is>
          <t>IT Consulting &amp; Software</t>
        </is>
      </c>
      <c r="D133" s="16" t="inlineStr">
        <is>
          <t>Software &amp; Services</t>
        </is>
      </c>
      <c r="E133" s="16" t="inlineStr">
        <is>
          <t>INE262H01021</t>
        </is>
      </c>
      <c r="F133" s="17" t="n">
        <v>88256.52</v>
      </c>
      <c r="G133" s="18" t="n">
        <v>5643</v>
      </c>
      <c r="H133" s="19" t="n">
        <v>-0.0025</v>
      </c>
      <c r="I133" s="20" t="n">
        <v>52</v>
      </c>
      <c r="J133" s="16" t="inlineStr">
        <is>
          <t>red</t>
        </is>
      </c>
      <c r="K133" s="20" t="n">
        <v>102</v>
      </c>
      <c r="L133" s="18" t="n">
        <v>52.57</v>
      </c>
      <c r="M133" s="18" t="n">
        <v>5688</v>
      </c>
      <c r="N133" s="18" t="n">
        <v>5291.19</v>
      </c>
      <c r="O133" s="18" t="n">
        <v>5420.65</v>
      </c>
      <c r="P133" s="18" t="n">
        <v>6517.4</v>
      </c>
      <c r="Q133" s="18" t="n">
        <v>4283.62</v>
      </c>
      <c r="R133" s="21">
        <f>IF(OR(G133="",P133=""),"",G133/P133-1)</f>
        <v/>
      </c>
      <c r="S133" s="19" t="n">
        <v>0.5276</v>
      </c>
      <c r="T133" s="22" t="n">
        <v>-0.005500000000000001</v>
      </c>
      <c r="U133" s="16" t="inlineStr">
        <is>
          <t>No</t>
        </is>
      </c>
      <c r="V133" s="16" t="inlineStr">
        <is>
          <t>Yes</t>
        </is>
      </c>
      <c r="W133" s="16" t="inlineStr">
        <is>
          <t>No</t>
        </is>
      </c>
      <c r="X133" s="16" t="inlineStr">
        <is>
          <t>No</t>
        </is>
      </c>
      <c r="Y133" s="20" t="n">
        <v>122</v>
      </c>
      <c r="Z133" s="19" t="n">
        <v>-0.0239</v>
      </c>
      <c r="AA133" s="18" t="n">
        <v>76.56999999999999</v>
      </c>
      <c r="AB133" s="16" t="inlineStr">
        <is>
          <t>High</t>
        </is>
      </c>
      <c r="AC133" s="16" t="inlineStr">
        <is>
          <t>No</t>
        </is>
      </c>
      <c r="AD133" s="19" t="n">
        <v>0.2267</v>
      </c>
      <c r="AE133" s="19" t="n">
        <v>0.2867</v>
      </c>
      <c r="AF133" s="19" t="n">
        <v>0.2555</v>
      </c>
      <c r="AG133" s="19" t="n">
        <v>0.209</v>
      </c>
      <c r="AH133" s="23" t="n">
        <v>0.06</v>
      </c>
      <c r="AI133" s="23" t="n">
        <v>15.4</v>
      </c>
      <c r="AJ133" s="19" t="n">
        <v>0.0141</v>
      </c>
    </row>
    <row r="134">
      <c r="A134" s="16" t="inlineStr">
        <is>
          <t>COFORGE</t>
        </is>
      </c>
      <c r="B134" s="16" t="inlineStr">
        <is>
          <t>Coforge Ltd.</t>
        </is>
      </c>
      <c r="C134" s="16" t="inlineStr">
        <is>
          <t>IT Consulting &amp; Software</t>
        </is>
      </c>
      <c r="D134" s="16" t="inlineStr">
        <is>
          <t>Software &amp; Services</t>
        </is>
      </c>
      <c r="E134" s="16" t="inlineStr">
        <is>
          <t>INE591G01025</t>
        </is>
      </c>
      <c r="F134" s="17" t="n">
        <v>87379.36</v>
      </c>
      <c r="G134" s="18" t="n">
        <v>1972.8</v>
      </c>
      <c r="H134" s="19" t="n">
        <v>0.0005</v>
      </c>
      <c r="I134" s="20" t="n">
        <v>78</v>
      </c>
      <c r="J134" s="16" t="inlineStr">
        <is>
          <t>amber</t>
        </is>
      </c>
      <c r="K134" s="20" t="n">
        <v>29</v>
      </c>
      <c r="L134" s="18" t="n">
        <v>70.81</v>
      </c>
      <c r="M134" s="18" t="n">
        <v>1960.11</v>
      </c>
      <c r="N134" s="18" t="n">
        <v>1688.97</v>
      </c>
      <c r="O134" s="18" t="n">
        <v>1516.54</v>
      </c>
      <c r="P134" s="18" t="n">
        <v>2014.6</v>
      </c>
      <c r="Q134" s="18" t="n">
        <v>1068.95</v>
      </c>
      <c r="R134" s="21">
        <f>IF(OR(G134="",P134=""),"",G134/P134-1)</f>
        <v/>
      </c>
      <c r="S134" s="19" t="n">
        <v>0.3779999999999999</v>
      </c>
      <c r="T134" s="22" t="n">
        <v>0.0072</v>
      </c>
      <c r="U134" s="16" t="inlineStr">
        <is>
          <t>Yes</t>
        </is>
      </c>
      <c r="V134" s="16" t="inlineStr">
        <is>
          <t>Yes</t>
        </is>
      </c>
      <c r="W134" s="16" t="inlineStr">
        <is>
          <t>Yes</t>
        </is>
      </c>
      <c r="X134" s="16" t="inlineStr">
        <is>
          <t>Yes</t>
        </is>
      </c>
      <c r="Y134" s="20" t="n">
        <v>21</v>
      </c>
      <c r="Z134" s="19" t="n">
        <v>0.1137</v>
      </c>
      <c r="AA134" s="18" t="n">
        <v>73.26000000000001</v>
      </c>
      <c r="AB134" s="16" t="inlineStr">
        <is>
          <t>High</t>
        </is>
      </c>
      <c r="AC134" s="16" t="inlineStr">
        <is>
          <t>No</t>
        </is>
      </c>
      <c r="AD134" s="19" t="n">
        <v>0.1711</v>
      </c>
      <c r="AE134" s="19" t="n">
        <v>0.2234</v>
      </c>
      <c r="AF134" s="19" t="n">
        <v>0.328</v>
      </c>
      <c r="AG134" s="19" t="n">
        <v>0.2743</v>
      </c>
      <c r="AH134" s="23" t="n">
        <v>0.08</v>
      </c>
      <c r="AI134" s="23" t="n">
        <v>13.11</v>
      </c>
      <c r="AJ134" s="19" t="n">
        <v>0.0026</v>
      </c>
    </row>
    <row r="135">
      <c r="A135" s="16" t="inlineStr">
        <is>
          <t>DIXON</t>
        </is>
      </c>
      <c r="B135" s="16" t="inlineStr">
        <is>
          <t>Dixon Technologies (India) Ltd.</t>
        </is>
      </c>
      <c r="C135" s="16" t="inlineStr">
        <is>
          <t>Consumer Electronics</t>
        </is>
      </c>
      <c r="D135" s="16" t="inlineStr">
        <is>
          <t>Consumer Durables</t>
        </is>
      </c>
      <c r="E135" s="16" t="inlineStr">
        <is>
          <t>INE935N01020</t>
        </is>
      </c>
      <c r="F135" s="17" t="n">
        <v>87106.92999999999</v>
      </c>
      <c r="G135" s="18" t="n">
        <v>14240</v>
      </c>
      <c r="H135" s="19" t="n">
        <v>-0.0142</v>
      </c>
      <c r="I135" s="20" t="n">
        <v>60</v>
      </c>
      <c r="J135" s="16" t="inlineStr">
        <is>
          <t>amber</t>
        </is>
      </c>
      <c r="K135" s="20" t="n">
        <v>12</v>
      </c>
      <c r="L135" s="18" t="n">
        <v>53.67</v>
      </c>
      <c r="M135" s="18" t="n">
        <v>14585.25</v>
      </c>
      <c r="N135" s="18" t="n">
        <v>13922.82</v>
      </c>
      <c r="O135" s="18" t="n">
        <v>12157.91</v>
      </c>
      <c r="P135" s="18" t="n">
        <v>18331</v>
      </c>
      <c r="Q135" s="18" t="n">
        <v>9673</v>
      </c>
      <c r="R135" s="21">
        <f>IF(OR(G135="",P135=""),"",G135/P135-1)</f>
        <v/>
      </c>
      <c r="S135" s="19" t="n">
        <v>0.9743999999999999</v>
      </c>
      <c r="T135" s="22" t="n">
        <v>-0.008</v>
      </c>
      <c r="U135" s="16" t="inlineStr">
        <is>
          <t>No</t>
        </is>
      </c>
      <c r="V135" s="16" t="inlineStr">
        <is>
          <t>Yes</t>
        </is>
      </c>
      <c r="W135" s="16" t="inlineStr">
        <is>
          <t>No</t>
        </is>
      </c>
      <c r="X135" s="16" t="inlineStr">
        <is>
          <t>Yes</t>
        </is>
      </c>
      <c r="Y135" s="20" t="n">
        <v>30</v>
      </c>
      <c r="Z135" s="19" t="n">
        <v>0.1452</v>
      </c>
      <c r="AA135" s="18" t="n">
        <v>83.11</v>
      </c>
      <c r="AB135" s="16" t="inlineStr">
        <is>
          <t>High</t>
        </is>
      </c>
      <c r="AC135" s="16" t="inlineStr">
        <is>
          <t>No</t>
        </is>
      </c>
      <c r="AD135" s="19" t="n">
        <v>0.2962</v>
      </c>
      <c r="AE135" s="19" t="n">
        <v>0.3722</v>
      </c>
      <c r="AF135" s="19" t="n">
        <v>1.0237</v>
      </c>
      <c r="AG135" s="19" t="n">
        <v>0.6369</v>
      </c>
      <c r="AH135" s="23" t="n">
        <v>0.21</v>
      </c>
      <c r="AI135" s="23" t="n">
        <v>11.86</v>
      </c>
      <c r="AJ135" s="19" t="n">
        <v>0.1385</v>
      </c>
    </row>
    <row r="136">
      <c r="A136" s="16" t="inlineStr">
        <is>
          <t>SHREECEM</t>
        </is>
      </c>
      <c r="B136" s="16" t="inlineStr">
        <is>
          <t>Shree Cements Ltd.</t>
        </is>
      </c>
      <c r="C136" s="16" t="inlineStr">
        <is>
          <t>Cement &amp; Cement Products</t>
        </is>
      </c>
      <c r="D136" s="16" t="inlineStr">
        <is>
          <t>Cement and Construction</t>
        </is>
      </c>
      <c r="E136" s="16" t="inlineStr">
        <is>
          <t>INE070A01015</t>
        </is>
      </c>
      <c r="F136" s="17" t="n">
        <v>86070.50999999999</v>
      </c>
      <c r="G136" s="18" t="n">
        <v>23855</v>
      </c>
      <c r="H136" s="19" t="n">
        <v>-0.0023</v>
      </c>
      <c r="I136" s="20" t="n">
        <v>28</v>
      </c>
      <c r="J136" s="16" t="inlineStr">
        <is>
          <t>red</t>
        </is>
      </c>
      <c r="K136" s="20" t="n">
        <v>149</v>
      </c>
      <c r="L136" s="18" t="n">
        <v>41.85</v>
      </c>
      <c r="M136" s="18" t="n">
        <v>23935</v>
      </c>
      <c r="N136" s="18" t="n">
        <v>25669.81</v>
      </c>
      <c r="O136" s="18" t="n">
        <v>25531.25</v>
      </c>
      <c r="P136" s="18" t="n">
        <v>30320.04</v>
      </c>
      <c r="Q136" s="18" t="n">
        <v>22666.08</v>
      </c>
      <c r="R136" s="21">
        <f>IF(OR(G136="",P136=""),"",G136/P136-1)</f>
        <v/>
      </c>
      <c r="S136" s="19" t="n">
        <v>0.5649999999999999</v>
      </c>
      <c r="T136" s="22" t="n">
        <v>-0.0123</v>
      </c>
      <c r="U136" s="16" t="inlineStr">
        <is>
          <t>No</t>
        </is>
      </c>
      <c r="V136" s="16" t="inlineStr">
        <is>
          <t>No</t>
        </is>
      </c>
      <c r="W136" s="16" t="inlineStr">
        <is>
          <t>No</t>
        </is>
      </c>
      <c r="X136" s="16" t="inlineStr">
        <is>
          <t>Yes</t>
        </is>
      </c>
      <c r="Y136" s="20" t="n">
        <v>17</v>
      </c>
      <c r="Z136" s="19" t="n">
        <v>0.0054</v>
      </c>
      <c r="AA136" s="18" t="n">
        <v>46.24</v>
      </c>
      <c r="AB136" s="16" t="inlineStr">
        <is>
          <t>Average</t>
        </is>
      </c>
      <c r="AC136" s="16" t="inlineStr">
        <is>
          <t>No</t>
        </is>
      </c>
      <c r="AD136" s="19" t="n">
        <v>0.0809</v>
      </c>
      <c r="AE136" s="19" t="n">
        <v>0.1034</v>
      </c>
      <c r="AF136" s="19" t="n">
        <v>0.3023</v>
      </c>
      <c r="AG136" s="19" t="n">
        <v>0.0605</v>
      </c>
      <c r="AH136" s="23" t="n">
        <v>0.08</v>
      </c>
      <c r="AI136" s="23" t="n">
        <v>1.59</v>
      </c>
      <c r="AJ136" s="19" t="n">
        <v>0.1389</v>
      </c>
    </row>
    <row r="137">
      <c r="A137" s="16" t="inlineStr">
        <is>
          <t>NAUKRI</t>
        </is>
      </c>
      <c r="B137" s="16" t="inlineStr">
        <is>
          <t>Info Edge (India) Ltd.</t>
        </is>
      </c>
      <c r="C137" s="16" t="inlineStr">
        <is>
          <t>Internet &amp; Catalogue Retail</t>
        </is>
      </c>
      <c r="D137" s="16" t="inlineStr">
        <is>
          <t>Retailing</t>
        </is>
      </c>
      <c r="E137" s="16" t="inlineStr">
        <is>
          <t>INE663F01032</t>
        </is>
      </c>
      <c r="F137" s="17" t="n">
        <v>85578.55</v>
      </c>
      <c r="G137" s="18" t="n">
        <v>1319.8</v>
      </c>
      <c r="H137" s="19" t="n">
        <v>-0.0077</v>
      </c>
      <c r="I137" s="20" t="n">
        <v>66</v>
      </c>
      <c r="J137" s="16" t="inlineStr">
        <is>
          <t>amber</t>
        </is>
      </c>
      <c r="K137" s="20" t="n">
        <v>20</v>
      </c>
      <c r="L137" s="18" t="n">
        <v>42.24</v>
      </c>
      <c r="M137" s="18" t="n">
        <v>1333.75</v>
      </c>
      <c r="N137" s="18" t="n">
        <v>1236.81</v>
      </c>
      <c r="O137" s="18" t="n">
        <v>1147.93</v>
      </c>
      <c r="P137" s="18" t="n">
        <v>1407.76</v>
      </c>
      <c r="Q137" s="18" t="n">
        <v>923.1</v>
      </c>
      <c r="R137" s="21">
        <f>IF(OR(G137="",P137=""),"",G137/P137-1)</f>
        <v/>
      </c>
      <c r="S137" s="19" t="n">
        <v>0.3002</v>
      </c>
      <c r="T137" s="22" t="n">
        <v>-0.0002</v>
      </c>
      <c r="U137" s="16" t="inlineStr">
        <is>
          <t>No</t>
        </is>
      </c>
      <c r="V137" s="16" t="inlineStr">
        <is>
          <t>Yes</t>
        </is>
      </c>
      <c r="W137" s="16" t="inlineStr">
        <is>
          <t>No</t>
        </is>
      </c>
      <c r="X137" s="16" t="inlineStr">
        <is>
          <t>Yes</t>
        </is>
      </c>
      <c r="Y137" s="20" t="n">
        <v>13</v>
      </c>
      <c r="Z137" s="19" t="n">
        <v>0.0774</v>
      </c>
      <c r="AA137" s="18" t="n">
        <v>54.52</v>
      </c>
      <c r="AB137" s="16" t="inlineStr">
        <is>
          <t>Good</t>
        </is>
      </c>
      <c r="AC137" s="16" t="inlineStr">
        <is>
          <t>No</t>
        </is>
      </c>
      <c r="AD137" s="19" t="n">
        <v>0.0283</v>
      </c>
      <c r="AE137" s="19" t="n">
        <v>0.0473</v>
      </c>
      <c r="AF137" s="19" t="n">
        <v>2.4984</v>
      </c>
      <c r="AG137" s="19" t="n">
        <v>0.1192</v>
      </c>
      <c r="AH137" s="23" t="n">
        <v>0.01</v>
      </c>
      <c r="AI137" s="23" t="n">
        <v>8.699999999999999</v>
      </c>
      <c r="AJ137" s="19" t="n">
        <v>0.0565</v>
      </c>
    </row>
    <row r="138">
      <c r="A138" s="16" t="inlineStr">
        <is>
          <t>POLICYBZR</t>
        </is>
      </c>
      <c r="B138" s="16" t="inlineStr">
        <is>
          <t>PB Fintech Ltd.</t>
        </is>
      </c>
      <c r="C138" s="16" t="inlineStr">
        <is>
          <t>Internet Software &amp; Services</t>
        </is>
      </c>
      <c r="D138" s="16" t="inlineStr">
        <is>
          <t>Software &amp; Services</t>
        </is>
      </c>
      <c r="E138" s="16" t="inlineStr">
        <is>
          <t>INE417T01026</t>
        </is>
      </c>
      <c r="F138" s="17" t="n">
        <v>84950.78</v>
      </c>
      <c r="G138" s="18" t="n">
        <v>1836</v>
      </c>
      <c r="H138" s="19" t="n">
        <v>-0.0182</v>
      </c>
      <c r="I138" s="20" t="n">
        <v>61</v>
      </c>
      <c r="J138" s="16" t="inlineStr">
        <is>
          <t>amber</t>
        </is>
      </c>
      <c r="K138" s="20" t="n">
        <v>5</v>
      </c>
      <c r="L138" s="18" t="n">
        <v>65.42</v>
      </c>
      <c r="M138" s="18" t="n">
        <v>1843.94</v>
      </c>
      <c r="N138" s="18" t="n">
        <v>1670.94</v>
      </c>
      <c r="O138" s="18" t="n">
        <v>1652.26</v>
      </c>
      <c r="P138" s="18" t="n">
        <v>1957.3</v>
      </c>
      <c r="Q138" s="18" t="n">
        <v>1426.9</v>
      </c>
      <c r="R138" s="21">
        <f>IF(OR(G138="",P138=""),"",G138/P138-1)</f>
        <v/>
      </c>
      <c r="S138" s="19" t="n">
        <v>0.3903</v>
      </c>
      <c r="T138" s="22" t="n">
        <v>0.0018</v>
      </c>
      <c r="U138" s="16" t="inlineStr">
        <is>
          <t>Yes</t>
        </is>
      </c>
      <c r="V138" s="16" t="inlineStr">
        <is>
          <t>Yes</t>
        </is>
      </c>
      <c r="W138" s="16" t="inlineStr">
        <is>
          <t>No</t>
        </is>
      </c>
      <c r="X138" s="16" t="inlineStr">
        <is>
          <t>Yes</t>
        </is>
      </c>
      <c r="Y138" s="20" t="n">
        <v>5</v>
      </c>
      <c r="Z138" s="19" t="n">
        <v>0.0113</v>
      </c>
      <c r="AA138" s="18" t="n">
        <v>57.86</v>
      </c>
      <c r="AB138" s="16" t="inlineStr">
        <is>
          <t>Good</t>
        </is>
      </c>
      <c r="AC138" s="16" t="inlineStr">
        <is>
          <t>No</t>
        </is>
      </c>
      <c r="AD138" s="19" t="n">
        <v>0.0526</v>
      </c>
      <c r="AE138" s="19" t="n">
        <v>0.0587</v>
      </c>
      <c r="AF138" s="19" t="n">
        <v>2.0965</v>
      </c>
      <c r="AG138" s="19" t="n">
        <v>0.3856</v>
      </c>
      <c r="AH138" s="23" t="n">
        <v>0.05</v>
      </c>
      <c r="AI138" s="23" t="n">
        <v>15.79</v>
      </c>
      <c r="AJ138" s="19" t="n">
        <v>0</v>
      </c>
    </row>
    <row r="139">
      <c r="A139" s="16" t="inlineStr">
        <is>
          <t>FEDERALBNK</t>
        </is>
      </c>
      <c r="B139" s="16" t="inlineStr">
        <is>
          <t>Federal Bank Ltd.</t>
        </is>
      </c>
      <c r="C139" s="16" t="inlineStr">
        <is>
          <t>Banks</t>
        </is>
      </c>
      <c r="D139" s="16" t="inlineStr">
        <is>
          <t>Banking and Finance</t>
        </is>
      </c>
      <c r="E139" s="16" t="inlineStr">
        <is>
          <t>INE171A01029</t>
        </is>
      </c>
      <c r="F139" s="17" t="n">
        <v>84792</v>
      </c>
      <c r="G139" s="18" t="n">
        <v>343</v>
      </c>
      <c r="H139" s="19" t="n">
        <v>-0.0046</v>
      </c>
      <c r="I139" s="20" t="n">
        <v>76</v>
      </c>
      <c r="J139" s="16" t="inlineStr">
        <is>
          <t>amber</t>
        </is>
      </c>
      <c r="K139" s="20" t="n">
        <v>2</v>
      </c>
      <c r="L139" s="18" t="n">
        <v>41.46</v>
      </c>
      <c r="M139" s="18" t="n">
        <v>347.66</v>
      </c>
      <c r="N139" s="18" t="n">
        <v>346.29</v>
      </c>
      <c r="O139" s="18" t="n">
        <v>296.65</v>
      </c>
      <c r="P139" s="18" t="n">
        <v>370.43</v>
      </c>
      <c r="Q139" s="18" t="n">
        <v>189.25</v>
      </c>
      <c r="R139" s="21">
        <f>IF(OR(G139="",P139=""),"",G139/P139-1)</f>
        <v/>
      </c>
      <c r="S139" s="19" t="n">
        <v>0.8316</v>
      </c>
      <c r="T139" s="22" t="n">
        <v>0.04099999999999999</v>
      </c>
      <c r="U139" s="16" t="inlineStr">
        <is>
          <t>Yes</t>
        </is>
      </c>
      <c r="V139" s="16" t="inlineStr">
        <is>
          <t>No</t>
        </is>
      </c>
      <c r="W139" s="16" t="inlineStr">
        <is>
          <t>No</t>
        </is>
      </c>
      <c r="X139" s="16" t="inlineStr">
        <is>
          <t>Yes</t>
        </is>
      </c>
      <c r="Y139" s="20" t="n">
        <v>319</v>
      </c>
      <c r="Z139" s="19" t="n">
        <v>0.1673</v>
      </c>
      <c r="AA139" s="18" t="n">
        <v>46.2</v>
      </c>
      <c r="AB139" s="16" t="inlineStr">
        <is>
          <t>Average</t>
        </is>
      </c>
      <c r="AC139" s="16" t="inlineStr">
        <is>
          <t>Yes</t>
        </is>
      </c>
      <c r="AD139" s="19" t="n">
        <v>0.1193</v>
      </c>
      <c r="AE139" s="19" t="n"/>
      <c r="AF139" s="19" t="n">
        <v>0.0567</v>
      </c>
      <c r="AG139" s="19" t="n">
        <v>0.166</v>
      </c>
      <c r="AH139" s="23" t="n">
        <v>0.77</v>
      </c>
      <c r="AI139" s="23" t="n">
        <v>10.66</v>
      </c>
      <c r="AJ139" s="19" t="n">
        <v>0.0707</v>
      </c>
    </row>
    <row r="140">
      <c r="A140" s="16" t="inlineStr">
        <is>
          <t>RECLTD</t>
        </is>
      </c>
      <c r="B140" s="16" t="inlineStr">
        <is>
          <t>REC Ltd.</t>
        </is>
      </c>
      <c r="C140" s="16" t="inlineStr">
        <is>
          <t>Financial Institutions</t>
        </is>
      </c>
      <c r="D140" s="16" t="inlineStr">
        <is>
          <t>Banking and Finance</t>
        </is>
      </c>
      <c r="E140" s="16" t="inlineStr">
        <is>
          <t>INE020B01018</t>
        </is>
      </c>
      <c r="F140" s="17" t="n">
        <v>83920.85000000001</v>
      </c>
      <c r="G140" s="18" t="n">
        <v>318.7</v>
      </c>
      <c r="H140" s="19" t="n">
        <v>0.0163</v>
      </c>
      <c r="I140" s="20" t="n">
        <v>26</v>
      </c>
      <c r="J140" s="16" t="inlineStr">
        <is>
          <t>red</t>
        </is>
      </c>
      <c r="K140" s="20" t="n">
        <v>97</v>
      </c>
      <c r="L140" s="18" t="n">
        <v>29.44</v>
      </c>
      <c r="M140" s="18" t="n">
        <v>318.25</v>
      </c>
      <c r="N140" s="18" t="n">
        <v>345.93</v>
      </c>
      <c r="O140" s="18" t="n">
        <v>343.79</v>
      </c>
      <c r="P140" s="18" t="n">
        <v>377.31</v>
      </c>
      <c r="Q140" s="18" t="n">
        <v>300.29</v>
      </c>
      <c r="R140" s="21">
        <f>IF(OR(G140="",P140=""),"",G140/P140-1)</f>
        <v/>
      </c>
      <c r="S140" s="19" t="n">
        <v>1.0012</v>
      </c>
      <c r="T140" s="22" t="n">
        <v>-0.0072</v>
      </c>
      <c r="U140" s="16" t="inlineStr">
        <is>
          <t>No</t>
        </is>
      </c>
      <c r="V140" s="16" t="inlineStr">
        <is>
          <t>No</t>
        </is>
      </c>
      <c r="W140" s="16" t="inlineStr">
        <is>
          <t>Yes</t>
        </is>
      </c>
      <c r="X140" s="16" t="inlineStr">
        <is>
          <t>Yes</t>
        </is>
      </c>
      <c r="Y140" s="20" t="n">
        <v>30</v>
      </c>
      <c r="Z140" s="19" t="n">
        <v>0.0062</v>
      </c>
      <c r="AA140" s="18" t="n">
        <v>63.25</v>
      </c>
      <c r="AB140" s="16" t="inlineStr">
        <is>
          <t>Good</t>
        </is>
      </c>
      <c r="AC140" s="16" t="inlineStr">
        <is>
          <t>Yes</t>
        </is>
      </c>
      <c r="AD140" s="19" t="n">
        <v>0.1995</v>
      </c>
      <c r="AE140" s="19" t="n"/>
      <c r="AF140" s="19" t="n">
        <v>0.1392</v>
      </c>
      <c r="AG140" s="19" t="n">
        <v>0.1493</v>
      </c>
      <c r="AH140" s="23" t="n">
        <v>6.05</v>
      </c>
      <c r="AI140" s="23" t="n">
        <v>29.46</v>
      </c>
      <c r="AJ140" s="19" t="n">
        <v>0.1723</v>
      </c>
    </row>
    <row r="141">
      <c r="A141" s="16" t="inlineStr">
        <is>
          <t>MCX</t>
        </is>
      </c>
      <c r="B141" s="16" t="inlineStr">
        <is>
          <t>Multi Commodity Exchange of India Ltd.</t>
        </is>
      </c>
      <c r="C141" s="16" t="inlineStr">
        <is>
          <t>Capital Markets</t>
        </is>
      </c>
      <c r="D141" s="16" t="inlineStr">
        <is>
          <t>Banking and Finance</t>
        </is>
      </c>
      <c r="E141" s="16" t="inlineStr">
        <is>
          <t>INE745G01043</t>
        </is>
      </c>
      <c r="F141" s="17" t="n">
        <v>83520.00999999999</v>
      </c>
      <c r="G141" s="18" t="n">
        <v>3275.4</v>
      </c>
      <c r="H141" s="19" t="n">
        <v>0.0332</v>
      </c>
      <c r="I141" s="20" t="n">
        <v>84</v>
      </c>
      <c r="J141" s="16" t="inlineStr">
        <is>
          <t>green</t>
        </is>
      </c>
      <c r="K141" s="20" t="n">
        <v>12</v>
      </c>
      <c r="L141" s="18" t="n">
        <v>65.94</v>
      </c>
      <c r="M141" s="18" t="n">
        <v>3296.68</v>
      </c>
      <c r="N141" s="18" t="n">
        <v>2905.94</v>
      </c>
      <c r="O141" s="18" t="n">
        <v>2638.2</v>
      </c>
      <c r="P141" s="18" t="n">
        <v>3433.29</v>
      </c>
      <c r="Q141" s="18" t="n">
        <v>1510.4</v>
      </c>
      <c r="R141" s="21">
        <f>IF(OR(G141="",P141=""),"",G141/P141-1)</f>
        <v/>
      </c>
      <c r="S141" s="19" t="n">
        <v>0.9893999999999999</v>
      </c>
      <c r="T141" s="22" t="n">
        <v>0.05</v>
      </c>
      <c r="U141" s="16" t="inlineStr">
        <is>
          <t>Yes</t>
        </is>
      </c>
      <c r="V141" s="16" t="inlineStr">
        <is>
          <t>Yes</t>
        </is>
      </c>
      <c r="W141" s="16" t="inlineStr">
        <is>
          <t>No</t>
        </is>
      </c>
      <c r="X141" s="16" t="inlineStr">
        <is>
          <t>Yes</t>
        </is>
      </c>
      <c r="Y141" s="20" t="n">
        <v>319</v>
      </c>
      <c r="Z141" s="19" t="n">
        <v>0.1015</v>
      </c>
      <c r="AA141" s="18" t="n">
        <v>93.16</v>
      </c>
      <c r="AB141" s="16" t="inlineStr">
        <is>
          <t>High</t>
        </is>
      </c>
      <c r="AC141" s="16" t="inlineStr">
        <is>
          <t>Yes</t>
        </is>
      </c>
      <c r="AD141" s="19" t="n">
        <v>0.275</v>
      </c>
      <c r="AE141" s="19" t="n">
        <v>0.346</v>
      </c>
      <c r="AF141" s="19" t="n">
        <v>2.2238</v>
      </c>
      <c r="AG141" s="19" t="n">
        <v>0.7597</v>
      </c>
      <c r="AH141" s="23" t="n">
        <v>0</v>
      </c>
      <c r="AI141" s="23" t="n">
        <v>8.68</v>
      </c>
      <c r="AJ141" s="19" t="n">
        <v>0.1056</v>
      </c>
    </row>
    <row r="142">
      <c r="A142" s="16" t="inlineStr">
        <is>
          <t>SAIL</t>
        </is>
      </c>
      <c r="B142" s="16" t="inlineStr">
        <is>
          <t>Steel Authority of India (SAIL) Ltd.</t>
        </is>
      </c>
      <c r="C142" s="16" t="inlineStr">
        <is>
          <t>Iron &amp; Steel/Interm.Products</t>
        </is>
      </c>
      <c r="D142" s="16" t="inlineStr">
        <is>
          <t>Metals &amp; Mining</t>
        </is>
      </c>
      <c r="E142" s="16" t="inlineStr">
        <is>
          <t>INE114A01011</t>
        </is>
      </c>
      <c r="F142" s="17" t="n">
        <v>81288.74000000001</v>
      </c>
      <c r="G142" s="18" t="n">
        <v>196.8</v>
      </c>
      <c r="H142" s="19" t="n">
        <v>-0.001</v>
      </c>
      <c r="I142" s="20" t="n">
        <v>74</v>
      </c>
      <c r="J142" s="16" t="inlineStr">
        <is>
          <t>amber</t>
        </is>
      </c>
      <c r="K142" s="20" t="n">
        <v>10</v>
      </c>
      <c r="L142" s="18" t="n">
        <v>72.70999999999999</v>
      </c>
      <c r="M142" s="18" t="n">
        <v>195.77</v>
      </c>
      <c r="N142" s="18" t="n">
        <v>173.59</v>
      </c>
      <c r="O142" s="18" t="n">
        <v>164.65</v>
      </c>
      <c r="P142" s="18" t="n">
        <v>206.06</v>
      </c>
      <c r="Q142" s="18" t="n">
        <v>125.91</v>
      </c>
      <c r="R142" s="21">
        <f>IF(OR(G142="",P142=""),"",G142/P142-1)</f>
        <v/>
      </c>
      <c r="S142" s="19" t="n">
        <v>0.8029999999999999</v>
      </c>
      <c r="T142" s="22" t="n">
        <v>0.0279</v>
      </c>
      <c r="U142" s="16" t="inlineStr">
        <is>
          <t>Yes</t>
        </is>
      </c>
      <c r="V142" s="16" t="inlineStr">
        <is>
          <t>Yes</t>
        </is>
      </c>
      <c r="W142" s="16" t="inlineStr">
        <is>
          <t>Yes</t>
        </is>
      </c>
      <c r="X142" s="16" t="inlineStr">
        <is>
          <t>Yes</t>
        </is>
      </c>
      <c r="Y142" s="20" t="n">
        <v>314</v>
      </c>
      <c r="Z142" s="19" t="n">
        <v>0.05429999999999999</v>
      </c>
      <c r="AA142" s="18" t="n">
        <v>29.87</v>
      </c>
      <c r="AB142" s="16" t="inlineStr">
        <is>
          <t>Poor</t>
        </is>
      </c>
      <c r="AC142" s="16" t="inlineStr">
        <is>
          <t>No</t>
        </is>
      </c>
      <c r="AD142" s="19" t="n">
        <v>0.05</v>
      </c>
      <c r="AE142" s="19" t="n">
        <v>0.0682</v>
      </c>
      <c r="AF142" s="19" t="n">
        <v>0.2016</v>
      </c>
      <c r="AG142" s="19" t="n">
        <v>0.0231</v>
      </c>
      <c r="AH142" s="23" t="n">
        <v>0.53</v>
      </c>
      <c r="AI142" s="23" t="n">
        <v>1.3</v>
      </c>
      <c r="AJ142" s="19" t="n">
        <v>0.1239</v>
      </c>
    </row>
    <row r="143">
      <c r="A143" s="16" t="inlineStr">
        <is>
          <t>AUBANK</t>
        </is>
      </c>
      <c r="B143" s="16" t="inlineStr">
        <is>
          <t>Au Small Finance Bank Ltd.</t>
        </is>
      </c>
      <c r="C143" s="16" t="inlineStr">
        <is>
          <t>Microfinance Institutions</t>
        </is>
      </c>
      <c r="D143" s="16" t="inlineStr">
        <is>
          <t>Banking and Finance</t>
        </is>
      </c>
      <c r="E143" s="16" t="inlineStr">
        <is>
          <t>INE949L01017</t>
        </is>
      </c>
      <c r="F143" s="17" t="n">
        <v>79936.57000000001</v>
      </c>
      <c r="G143" s="18" t="n">
        <v>1065</v>
      </c>
      <c r="H143" s="19" t="n">
        <v>-0.006500000000000001</v>
      </c>
      <c r="I143" s="20" t="n">
        <v>65</v>
      </c>
      <c r="J143" s="16" t="inlineStr">
        <is>
          <t>amber</t>
        </is>
      </c>
      <c r="K143" s="20" t="n">
        <v>31</v>
      </c>
      <c r="L143" s="18" t="n">
        <v>47.42</v>
      </c>
      <c r="M143" s="18" t="n">
        <v>1082.74</v>
      </c>
      <c r="N143" s="18" t="n">
        <v>1058.8</v>
      </c>
      <c r="O143" s="18" t="n">
        <v>997.79</v>
      </c>
      <c r="P143" s="18" t="n">
        <v>1128.6</v>
      </c>
      <c r="Q143" s="18" t="n">
        <v>693.63</v>
      </c>
      <c r="R143" s="21">
        <f>IF(OR(G143="",P143=""),"",G143/P143-1)</f>
        <v/>
      </c>
      <c r="S143" s="19" t="n">
        <v>0.3658</v>
      </c>
      <c r="T143" s="22" t="n">
        <v>0.0205</v>
      </c>
      <c r="U143" s="16" t="inlineStr">
        <is>
          <t>Yes</t>
        </is>
      </c>
      <c r="V143" s="16" t="inlineStr">
        <is>
          <t>Yes</t>
        </is>
      </c>
      <c r="W143" s="16" t="inlineStr">
        <is>
          <t>No</t>
        </is>
      </c>
      <c r="X143" s="16" t="inlineStr">
        <is>
          <t>Yes</t>
        </is>
      </c>
      <c r="Y143" s="20" t="n">
        <v>321</v>
      </c>
      <c r="Z143" s="19" t="n">
        <v>0.0611</v>
      </c>
      <c r="AA143" s="18" t="n">
        <v>58.28</v>
      </c>
      <c r="AB143" s="16" t="inlineStr">
        <is>
          <t>Good</t>
        </is>
      </c>
      <c r="AC143" s="16" t="inlineStr">
        <is>
          <t>Yes</t>
        </is>
      </c>
      <c r="AD143" s="19" t="n">
        <v>0.1257</v>
      </c>
      <c r="AE143" s="19" t="n"/>
      <c r="AF143" s="19" t="n">
        <v>0.1755</v>
      </c>
      <c r="AG143" s="19" t="n">
        <v>0.3133</v>
      </c>
      <c r="AH143" s="23" t="n">
        <v>0.6899999999999999</v>
      </c>
      <c r="AI143" s="23" t="n">
        <v>8.42</v>
      </c>
      <c r="AJ143" s="19" t="n">
        <v>0</v>
      </c>
    </row>
    <row r="144">
      <c r="A144" s="16" t="inlineStr">
        <is>
          <t>OIL</t>
        </is>
      </c>
      <c r="B144" s="16" t="inlineStr">
        <is>
          <t>Oil India Ltd.</t>
        </is>
      </c>
      <c r="C144" s="16" t="inlineStr">
        <is>
          <t>Exploration &amp; Production</t>
        </is>
      </c>
      <c r="D144" s="16" t="inlineStr">
        <is>
          <t>Oil &amp; Gas</t>
        </is>
      </c>
      <c r="E144" s="16" t="inlineStr">
        <is>
          <t>INE274J01014</t>
        </is>
      </c>
      <c r="F144" s="17" t="n">
        <v>79427.25999999999</v>
      </c>
      <c r="G144" s="18" t="n">
        <v>488.3</v>
      </c>
      <c r="H144" s="19" t="n">
        <v>-0.0014</v>
      </c>
      <c r="I144" s="20" t="n">
        <v>56</v>
      </c>
      <c r="J144" s="16" t="inlineStr">
        <is>
          <t>red</t>
        </is>
      </c>
      <c r="K144" s="20" t="n">
        <v>63</v>
      </c>
      <c r="L144" s="18" t="n">
        <v>59.84</v>
      </c>
      <c r="M144" s="18" t="n">
        <v>483.07</v>
      </c>
      <c r="N144" s="18" t="n">
        <v>452.69</v>
      </c>
      <c r="O144" s="18" t="n">
        <v>452.42</v>
      </c>
      <c r="P144" s="18" t="n">
        <v>517.24</v>
      </c>
      <c r="Q144" s="18" t="n">
        <v>380.95</v>
      </c>
      <c r="R144" s="21">
        <f>IF(OR(G144="",P144=""),"",G144/P144-1)</f>
        <v/>
      </c>
      <c r="S144" s="19" t="n">
        <v>0.4454</v>
      </c>
      <c r="T144" s="22" t="n">
        <v>0.0129</v>
      </c>
      <c r="U144" s="16" t="inlineStr">
        <is>
          <t>Yes</t>
        </is>
      </c>
      <c r="V144" s="16" t="inlineStr">
        <is>
          <t>Yes</t>
        </is>
      </c>
      <c r="W144" s="16" t="inlineStr">
        <is>
          <t>Yes</t>
        </is>
      </c>
      <c r="X144" s="16" t="inlineStr">
        <is>
          <t>Yes</t>
        </is>
      </c>
      <c r="Y144" s="20" t="n">
        <v>1</v>
      </c>
      <c r="Z144" s="19" t="n">
        <v>0.0005999999999999999</v>
      </c>
      <c r="AA144" s="18" t="n">
        <v>32.83</v>
      </c>
      <c r="AB144" s="16" t="inlineStr">
        <is>
          <t>Poor</t>
        </is>
      </c>
      <c r="AC144" s="16" t="inlineStr">
        <is>
          <t>No</t>
        </is>
      </c>
      <c r="AD144" s="19" t="n">
        <v>0.1256</v>
      </c>
      <c r="AE144" s="19" t="n">
        <v>0.1262</v>
      </c>
      <c r="AF144" s="19" t="n">
        <v>-0.0765</v>
      </c>
      <c r="AG144" s="19" t="n">
        <v>-0.0182</v>
      </c>
      <c r="AH144" s="23" t="n">
        <v>0.65</v>
      </c>
      <c r="AI144" s="23" t="n">
        <v>0.52</v>
      </c>
      <c r="AJ144" s="19" t="n">
        <v>0.5806</v>
      </c>
    </row>
    <row r="145">
      <c r="A145" s="16" t="inlineStr">
        <is>
          <t>LTF</t>
        </is>
      </c>
      <c r="B145" s="16" t="inlineStr">
        <is>
          <t>L&amp;T Finance Ltd.</t>
        </is>
      </c>
      <c r="C145" s="16" t="inlineStr">
        <is>
          <t>Finance (including NBFCs)</t>
        </is>
      </c>
      <c r="D145" s="16" t="inlineStr">
        <is>
          <t>Banking and Finance</t>
        </is>
      </c>
      <c r="E145" s="16" t="inlineStr">
        <is>
          <t>INE498L01015</t>
        </is>
      </c>
      <c r="F145" s="17" t="n">
        <v>78699.47</v>
      </c>
      <c r="G145" s="18" t="n">
        <v>314</v>
      </c>
      <c r="H145" s="19" t="n">
        <v>-0.0092</v>
      </c>
      <c r="I145" s="20" t="n">
        <v>67</v>
      </c>
      <c r="J145" s="16" t="inlineStr">
        <is>
          <t>amber</t>
        </is>
      </c>
      <c r="K145" s="20" t="n">
        <v>44</v>
      </c>
      <c r="L145" s="18" t="n">
        <v>49.26</v>
      </c>
      <c r="M145" s="18" t="n">
        <v>316.52</v>
      </c>
      <c r="N145" s="18" t="n">
        <v>314.8</v>
      </c>
      <c r="O145" s="18" t="n">
        <v>291.83</v>
      </c>
      <c r="P145" s="18" t="n">
        <v>335.6</v>
      </c>
      <c r="Q145" s="18" t="n">
        <v>225.53</v>
      </c>
      <c r="R145" s="21">
        <f>IF(OR(G145="",P145=""),"",G145/P145-1)</f>
        <v/>
      </c>
      <c r="S145" s="19" t="n">
        <v>0.6554000000000001</v>
      </c>
      <c r="T145" s="22" t="n">
        <v>0.0126</v>
      </c>
      <c r="U145" s="16" t="inlineStr">
        <is>
          <t>Yes</t>
        </is>
      </c>
      <c r="V145" s="16" t="inlineStr">
        <is>
          <t>No</t>
        </is>
      </c>
      <c r="W145" s="16" t="inlineStr">
        <is>
          <t>No</t>
        </is>
      </c>
      <c r="X145" s="16" t="inlineStr">
        <is>
          <t>Yes</t>
        </is>
      </c>
      <c r="Y145" s="20" t="n">
        <v>331</v>
      </c>
      <c r="Z145" s="19" t="n">
        <v>0.07870000000000001</v>
      </c>
      <c r="AA145" s="18" t="n">
        <v>52.69</v>
      </c>
      <c r="AB145" s="16" t="inlineStr">
        <is>
          <t>Good</t>
        </is>
      </c>
      <c r="AC145" s="16" t="inlineStr">
        <is>
          <t>Yes</t>
        </is>
      </c>
      <c r="AD145" s="19" t="n">
        <v>0.103</v>
      </c>
      <c r="AE145" s="19" t="n"/>
      <c r="AF145" s="19" t="n">
        <v>0.2275</v>
      </c>
      <c r="AG145" s="19" t="n">
        <v>0.1785</v>
      </c>
      <c r="AH145" s="23" t="n">
        <v>3.94</v>
      </c>
      <c r="AI145" s="23" t="n">
        <v>12.39</v>
      </c>
      <c r="AJ145" s="19" t="n">
        <v>0</v>
      </c>
    </row>
    <row r="146">
      <c r="A146" s="16" t="inlineStr">
        <is>
          <t>INDUSINDBK</t>
        </is>
      </c>
      <c r="B146" s="16" t="inlineStr">
        <is>
          <t>IndusInd Bank Ltd.</t>
        </is>
      </c>
      <c r="C146" s="16" t="inlineStr">
        <is>
          <t>Banks</t>
        </is>
      </c>
      <c r="D146" s="16" t="inlineStr">
        <is>
          <t>Banking and Finance</t>
        </is>
      </c>
      <c r="E146" s="16" t="inlineStr">
        <is>
          <t>INE095A01012</t>
        </is>
      </c>
      <c r="F146" s="17" t="n">
        <v>78576.33</v>
      </c>
      <c r="G146" s="18" t="n">
        <v>1008.5</v>
      </c>
      <c r="H146" s="19" t="n">
        <v>0.0037</v>
      </c>
      <c r="I146" s="20" t="n">
        <v>62</v>
      </c>
      <c r="J146" s="16" t="inlineStr">
        <is>
          <t>amber</t>
        </is>
      </c>
      <c r="K146" s="20" t="n">
        <v>53</v>
      </c>
      <c r="L146" s="18" t="n">
        <v>49.28</v>
      </c>
      <c r="M146" s="18" t="n">
        <v>1000.17</v>
      </c>
      <c r="N146" s="18" t="n">
        <v>1006.43</v>
      </c>
      <c r="O146" s="18" t="n">
        <v>914.1</v>
      </c>
      <c r="P146" s="18" t="n">
        <v>1069.3</v>
      </c>
      <c r="Q146" s="18" t="n">
        <v>711.6</v>
      </c>
      <c r="R146" s="21">
        <f>IF(OR(G146="",P146=""),"",G146/P146-1)</f>
        <v/>
      </c>
      <c r="S146" s="19" t="n">
        <v>1.0321</v>
      </c>
      <c r="T146" s="22" t="n">
        <v>0.0227</v>
      </c>
      <c r="U146" s="16" t="inlineStr">
        <is>
          <t>Yes</t>
        </is>
      </c>
      <c r="V146" s="16" t="inlineStr">
        <is>
          <t>Yes</t>
        </is>
      </c>
      <c r="W146" s="16" t="inlineStr">
        <is>
          <t>Yes</t>
        </is>
      </c>
      <c r="X146" s="16" t="inlineStr">
        <is>
          <t>Yes</t>
        </is>
      </c>
      <c r="Y146" s="20" t="n">
        <v>185</v>
      </c>
      <c r="Z146" s="19" t="n">
        <v>0.101</v>
      </c>
      <c r="AA146" s="18" t="n">
        <v>16.41</v>
      </c>
      <c r="AB146" s="16" t="inlineStr">
        <is>
          <t>Poor</t>
        </is>
      </c>
      <c r="AC146" s="16" t="inlineStr">
        <is>
          <t>Yes</t>
        </is>
      </c>
      <c r="AD146" s="19" t="n">
        <v>0.06509999999999999</v>
      </c>
      <c r="AE146" s="19" t="n"/>
      <c r="AF146" s="19" t="n">
        <v>-0.3885</v>
      </c>
      <c r="AG146" s="19" t="n">
        <v>0.0015</v>
      </c>
      <c r="AH146" s="23" t="n">
        <v>0.65</v>
      </c>
      <c r="AI146" s="23" t="n">
        <v>9.869999999999999</v>
      </c>
      <c r="AJ146" s="19" t="n">
        <v>0.0496</v>
      </c>
    </row>
    <row r="147">
      <c r="A147" s="16" t="inlineStr">
        <is>
          <t>JSWINFRA</t>
        </is>
      </c>
      <c r="B147" s="16" t="inlineStr">
        <is>
          <t>JSW Infrastructure Ltd.</t>
        </is>
      </c>
      <c r="C147" s="16" t="inlineStr">
        <is>
          <t>Marine Port &amp; Services</t>
        </is>
      </c>
      <c r="D147" s="16" t="inlineStr">
        <is>
          <t>Transportation</t>
        </is>
      </c>
      <c r="E147" s="16" t="inlineStr">
        <is>
          <t>INE880J01026</t>
        </is>
      </c>
      <c r="F147" s="17" t="n">
        <v>77589.05</v>
      </c>
      <c r="G147" s="18" t="n">
        <v>333</v>
      </c>
      <c r="H147" s="19" t="n">
        <v>-0.0033</v>
      </c>
      <c r="I147" s="20" t="n">
        <v>66</v>
      </c>
      <c r="J147" s="16" t="inlineStr">
        <is>
          <t>amber</t>
        </is>
      </c>
      <c r="K147" s="20" t="n">
        <v>54</v>
      </c>
      <c r="L147" s="18" t="n">
        <v>47.56</v>
      </c>
      <c r="M147" s="18" t="n">
        <v>337.48</v>
      </c>
      <c r="N147" s="18" t="n">
        <v>332.55</v>
      </c>
      <c r="O147" s="18" t="n">
        <v>285.37</v>
      </c>
      <c r="P147" s="18" t="n">
        <v>351.2</v>
      </c>
      <c r="Q147" s="18" t="n">
        <v>233.61</v>
      </c>
      <c r="R147" s="21">
        <f>IF(OR(G147="",P147=""),"",G147/P147-1)</f>
        <v/>
      </c>
      <c r="S147" s="19" t="n">
        <v>0.7554000000000001</v>
      </c>
      <c r="T147" s="22" t="n">
        <v>0.0182</v>
      </c>
      <c r="U147" s="16" t="inlineStr">
        <is>
          <t>Yes</t>
        </is>
      </c>
      <c r="V147" s="16" t="inlineStr">
        <is>
          <t>Yes</t>
        </is>
      </c>
      <c r="W147" s="16" t="inlineStr">
        <is>
          <t>No</t>
        </is>
      </c>
      <c r="X147" s="16" t="inlineStr">
        <is>
          <t>Yes</t>
        </is>
      </c>
      <c r="Y147" s="20" t="n">
        <v>54</v>
      </c>
      <c r="Z147" s="19" t="n">
        <v>0.1653</v>
      </c>
      <c r="AA147" s="18" t="n">
        <v>48.78</v>
      </c>
      <c r="AB147" s="16" t="inlineStr">
        <is>
          <t>Average</t>
        </is>
      </c>
      <c r="AC147" s="16" t="inlineStr">
        <is>
          <t>No</t>
        </is>
      </c>
      <c r="AD147" s="19" t="n">
        <v>0.1463</v>
      </c>
      <c r="AE147" s="19" t="n">
        <v>0.1341</v>
      </c>
      <c r="AF147" s="19" t="n">
        <v>0.2339</v>
      </c>
      <c r="AG147" s="19" t="n">
        <v>0.1903</v>
      </c>
      <c r="AH147" s="23" t="n">
        <v>0.63</v>
      </c>
      <c r="AI147" s="23" t="n">
        <v>0.48</v>
      </c>
      <c r="AJ147" s="19" t="n">
        <v>0.3311</v>
      </c>
    </row>
    <row r="148">
      <c r="A148" s="16" t="inlineStr">
        <is>
          <t>NHPC</t>
        </is>
      </c>
      <c r="B148" s="16" t="inlineStr">
        <is>
          <t>NHPC Ltd.</t>
        </is>
      </c>
      <c r="C148" s="16" t="inlineStr">
        <is>
          <t>Green &amp; Renewable Energy</t>
        </is>
      </c>
      <c r="D148" s="16" t="inlineStr">
        <is>
          <t>Utilities</t>
        </is>
      </c>
      <c r="E148" s="16" t="inlineStr">
        <is>
          <t>INE848E01016</t>
        </is>
      </c>
      <c r="F148" s="17" t="n">
        <v>76593.39</v>
      </c>
      <c r="G148" s="18" t="n">
        <v>76.25</v>
      </c>
      <c r="H148" s="19" t="n">
        <v>-0.0026</v>
      </c>
      <c r="I148" s="20" t="n">
        <v>42</v>
      </c>
      <c r="J148" s="16" t="inlineStr">
        <is>
          <t>red</t>
        </is>
      </c>
      <c r="K148" s="20" t="n">
        <v>90</v>
      </c>
      <c r="L148" s="18" t="n">
        <v>47.81</v>
      </c>
      <c r="M148" s="18" t="n">
        <v>76.12</v>
      </c>
      <c r="N148" s="18" t="n">
        <v>78.09</v>
      </c>
      <c r="O148" s="18" t="n">
        <v>77.34</v>
      </c>
      <c r="P148" s="18" t="n">
        <v>86.8</v>
      </c>
      <c r="Q148" s="18" t="n">
        <v>71.93000000000001</v>
      </c>
      <c r="R148" s="21">
        <f>IF(OR(G148="",P148=""),"",G148/P148-1)</f>
        <v/>
      </c>
      <c r="S148" s="19" t="n">
        <v>0.4355</v>
      </c>
      <c r="T148" s="22" t="n">
        <v>-0.0067</v>
      </c>
      <c r="U148" s="16" t="inlineStr">
        <is>
          <t>No</t>
        </is>
      </c>
      <c r="V148" s="16" t="inlineStr">
        <is>
          <t>No</t>
        </is>
      </c>
      <c r="W148" s="16" t="inlineStr">
        <is>
          <t>Yes</t>
        </is>
      </c>
      <c r="X148" s="16" t="inlineStr">
        <is>
          <t>Yes</t>
        </is>
      </c>
      <c r="Y148" s="20" t="n">
        <v>18</v>
      </c>
      <c r="Z148" s="19" t="n">
        <v>0.009599999999999999</v>
      </c>
      <c r="AA148" s="18" t="n">
        <v>24.86</v>
      </c>
      <c r="AB148" s="16" t="inlineStr">
        <is>
          <t>Poor</t>
        </is>
      </c>
      <c r="AC148" s="16" t="inlineStr">
        <is>
          <t>No</t>
        </is>
      </c>
      <c r="AD148" s="19" t="n">
        <v>0.0866</v>
      </c>
      <c r="AE148" s="19" t="n">
        <v>0.08599999999999999</v>
      </c>
      <c r="AF148" s="19" t="n">
        <v>0.0032</v>
      </c>
      <c r="AG148" s="19" t="n">
        <v>0.0255</v>
      </c>
      <c r="AH148" s="23" t="n">
        <v>1.32</v>
      </c>
      <c r="AI148" s="23" t="n">
        <v>0.13</v>
      </c>
      <c r="AJ148" s="19" t="n">
        <v>0.4176</v>
      </c>
    </row>
    <row r="149">
      <c r="A149" s="16" t="inlineStr">
        <is>
          <t>SWIGGY</t>
        </is>
      </c>
      <c r="B149" s="16" t="inlineStr">
        <is>
          <t>Swiggy Ltd.</t>
        </is>
      </c>
      <c r="C149" s="16" t="inlineStr">
        <is>
          <t>Internet &amp; Catalogue Retail</t>
        </is>
      </c>
      <c r="D149" s="16" t="inlineStr">
        <is>
          <t>Retailing</t>
        </is>
      </c>
      <c r="E149" s="16" t="inlineStr">
        <is>
          <t>INE00H001014</t>
        </is>
      </c>
      <c r="F149" s="17" t="n">
        <v>76212.25999999999</v>
      </c>
      <c r="G149" s="18" t="n">
        <v>276.1</v>
      </c>
      <c r="H149" s="19" t="n">
        <v>0.0253</v>
      </c>
      <c r="I149" s="20" t="n">
        <v>19</v>
      </c>
      <c r="J149" s="16" t="inlineStr">
        <is>
          <t>red</t>
        </is>
      </c>
      <c r="K149" s="20" t="n">
        <v>179</v>
      </c>
      <c r="L149" s="18" t="n">
        <v>47.42</v>
      </c>
      <c r="M149" s="18" t="n">
        <v>277.72</v>
      </c>
      <c r="N149" s="18" t="n">
        <v>272.47</v>
      </c>
      <c r="O149" s="18" t="n">
        <v>301.88</v>
      </c>
      <c r="P149" s="18" t="n">
        <v>458.45</v>
      </c>
      <c r="Q149" s="18" t="n">
        <v>238.75</v>
      </c>
      <c r="R149" s="21">
        <f>IF(OR(G149="",P149=""),"",G149/P149-1)</f>
        <v/>
      </c>
      <c r="S149" s="19" t="n">
        <v>7.0689</v>
      </c>
      <c r="T149" s="22" t="n">
        <v>-0.0407</v>
      </c>
      <c r="U149" s="16" t="inlineStr">
        <is>
          <t>No</t>
        </is>
      </c>
      <c r="V149" s="16" t="inlineStr">
        <is>
          <t>Yes</t>
        </is>
      </c>
      <c r="W149" s="16" t="inlineStr">
        <is>
          <t>No</t>
        </is>
      </c>
      <c r="X149" s="16" t="inlineStr">
        <is>
          <t>No</t>
        </is>
      </c>
      <c r="Y149" s="20" t="n">
        <v>158</v>
      </c>
      <c r="Z149" s="19" t="n">
        <v>-0.0974</v>
      </c>
      <c r="AA149" s="18" t="n">
        <v>38.95</v>
      </c>
      <c r="AB149" s="16" t="inlineStr">
        <is>
          <t>Weak</t>
        </is>
      </c>
      <c r="AC149" s="16" t="inlineStr">
        <is>
          <t>No</t>
        </is>
      </c>
      <c r="AD149" s="19" t="n">
        <v>-0.2778</v>
      </c>
      <c r="AE149" s="19" t="n">
        <v>-0.2353</v>
      </c>
      <c r="AF149" s="19" t="n">
        <v>-0.0329</v>
      </c>
      <c r="AG149" s="19" t="n">
        <v>0.4122</v>
      </c>
      <c r="AH149" s="23" t="n">
        <v>0.14</v>
      </c>
      <c r="AI149" s="23" t="n">
        <v>6.2</v>
      </c>
      <c r="AJ149" s="19" t="n">
        <v>0.0095</v>
      </c>
    </row>
    <row r="150">
      <c r="A150" s="16" t="inlineStr">
        <is>
          <t>HINDPETRO</t>
        </is>
      </c>
      <c r="B150" s="16" t="inlineStr">
        <is>
          <t>Hindustan Petroleum Corporation Ltd.</t>
        </is>
      </c>
      <c r="C150" s="16" t="inlineStr">
        <is>
          <t>Refineries/Petro-Products</t>
        </is>
      </c>
      <c r="D150" s="16" t="inlineStr">
        <is>
          <t>Oil &amp; Gas</t>
        </is>
      </c>
      <c r="E150" s="16" t="inlineStr">
        <is>
          <t>INE094A01015</t>
        </is>
      </c>
      <c r="F150" s="17" t="n">
        <v>75856.87</v>
      </c>
      <c r="G150" s="18" t="n">
        <v>356.5</v>
      </c>
      <c r="H150" s="19" t="n">
        <v>-0.0134</v>
      </c>
      <c r="I150" s="20" t="n">
        <v>28</v>
      </c>
      <c r="J150" s="16" t="inlineStr">
        <is>
          <t>red</t>
        </is>
      </c>
      <c r="K150" s="20" t="n">
        <v>121</v>
      </c>
      <c r="L150" s="18" t="n">
        <v>34.96</v>
      </c>
      <c r="M150" s="18" t="n">
        <v>364.53</v>
      </c>
      <c r="N150" s="18" t="n">
        <v>372.21</v>
      </c>
      <c r="O150" s="18" t="n">
        <v>387.96</v>
      </c>
      <c r="P150" s="18" t="n">
        <v>474.6</v>
      </c>
      <c r="Q150" s="18" t="n">
        <v>303.51</v>
      </c>
      <c r="R150" s="21">
        <f>IF(OR(G150="",P150=""),"",G150/P150-1)</f>
        <v/>
      </c>
      <c r="S150" s="19" t="n">
        <v>0.5772999999999999</v>
      </c>
      <c r="T150" s="22" t="n">
        <v>-0.02</v>
      </c>
      <c r="U150" s="16" t="inlineStr">
        <is>
          <t>No</t>
        </is>
      </c>
      <c r="V150" s="16" t="inlineStr">
        <is>
          <t>No</t>
        </is>
      </c>
      <c r="W150" s="16" t="inlineStr">
        <is>
          <t>No</t>
        </is>
      </c>
      <c r="X150" s="16" t="inlineStr">
        <is>
          <t>No</t>
        </is>
      </c>
      <c r="Y150" s="20" t="n">
        <v>117</v>
      </c>
      <c r="Z150" s="19" t="n">
        <v>-0.0406</v>
      </c>
      <c r="AA150" s="18" t="n">
        <v>54.22</v>
      </c>
      <c r="AB150" s="16" t="inlineStr">
        <is>
          <t>Good</t>
        </is>
      </c>
      <c r="AC150" s="16" t="inlineStr">
        <is>
          <t>No</t>
        </is>
      </c>
      <c r="AD150" s="19" t="n">
        <v>0.2494</v>
      </c>
      <c r="AE150" s="19" t="n">
        <v>0.1741</v>
      </c>
      <c r="AF150" s="19" t="n">
        <v>1.4644</v>
      </c>
      <c r="AG150" s="19" t="n">
        <v>0.0022</v>
      </c>
      <c r="AH150" s="23" t="n">
        <v>0.85</v>
      </c>
      <c r="AI150" s="23" t="n">
        <v>4.07</v>
      </c>
      <c r="AJ150" s="19" t="n">
        <v>0.0776</v>
      </c>
    </row>
    <row r="151">
      <c r="A151" s="16" t="inlineStr">
        <is>
          <t>WAAREEENER</t>
        </is>
      </c>
      <c r="B151" s="16" t="inlineStr">
        <is>
          <t>Waaree Energies Ltd.</t>
        </is>
      </c>
      <c r="C151" s="16" t="inlineStr">
        <is>
          <t>Other Electrical Equipment/Products</t>
        </is>
      </c>
      <c r="D151" s="16" t="inlineStr">
        <is>
          <t>Consumer Durables</t>
        </is>
      </c>
      <c r="E151" s="16" t="inlineStr">
        <is>
          <t>INE377N01017</t>
        </is>
      </c>
      <c r="F151" s="17" t="n">
        <v>75796.12</v>
      </c>
      <c r="G151" s="18" t="n">
        <v>2635</v>
      </c>
      <c r="H151" s="19" t="n">
        <v>0.0214</v>
      </c>
      <c r="I151" s="20" t="n">
        <v>19</v>
      </c>
      <c r="J151" s="16" t="inlineStr">
        <is>
          <t>red</t>
        </is>
      </c>
      <c r="K151" s="20" t="n">
        <v>61</v>
      </c>
      <c r="L151" s="18" t="n">
        <v>33.99</v>
      </c>
      <c r="M151" s="18" t="n">
        <v>2611</v>
      </c>
      <c r="N151" s="18" t="n">
        <v>2732.72</v>
      </c>
      <c r="O151" s="18" t="n">
        <v>2937.33</v>
      </c>
      <c r="P151" s="18" t="n">
        <v>3737.7</v>
      </c>
      <c r="Q151" s="18" t="n">
        <v>2419</v>
      </c>
      <c r="R151" s="21">
        <f>IF(OR(G151="",P151=""),"",G151/P151-1)</f>
        <v/>
      </c>
      <c r="S151" s="19" t="n">
        <v>0.7809</v>
      </c>
      <c r="T151" s="22" t="n">
        <v>-0.0246</v>
      </c>
      <c r="U151" s="16" t="inlineStr">
        <is>
          <t>No</t>
        </is>
      </c>
      <c r="V151" s="16" t="inlineStr">
        <is>
          <t>No</t>
        </is>
      </c>
      <c r="W151" s="16" t="inlineStr">
        <is>
          <t>Yes</t>
        </is>
      </c>
      <c r="X151" s="16" t="inlineStr">
        <is>
          <t>No</t>
        </is>
      </c>
      <c r="Y151" s="20" t="n">
        <v>48</v>
      </c>
      <c r="Z151" s="19" t="n">
        <v>-0.0697</v>
      </c>
      <c r="AA151" s="18" t="n">
        <v>77.13</v>
      </c>
      <c r="AB151" s="16" t="inlineStr">
        <is>
          <t>High</t>
        </is>
      </c>
      <c r="AC151" s="16" t="inlineStr">
        <is>
          <t>No</t>
        </is>
      </c>
      <c r="AD151" s="19" t="n">
        <v>0.2523</v>
      </c>
      <c r="AE151" s="19" t="n">
        <v>0.3001</v>
      </c>
      <c r="AF151" s="19" t="n">
        <v>1.0124</v>
      </c>
      <c r="AG151" s="19" t="n">
        <v>0.6093999999999999</v>
      </c>
      <c r="AH151" s="23" t="n">
        <v>0.26</v>
      </c>
      <c r="AI151" s="23" t="n">
        <v>2.47</v>
      </c>
      <c r="AJ151" s="19" t="n">
        <v>0.3237</v>
      </c>
    </row>
    <row r="152">
      <c r="A152" s="16" t="inlineStr">
        <is>
          <t>SRF</t>
        </is>
      </c>
      <c r="B152" s="16" t="inlineStr">
        <is>
          <t>SRF Ltd.</t>
        </is>
      </c>
      <c r="C152" s="16" t="inlineStr">
        <is>
          <t>Specialty Chemicals</t>
        </is>
      </c>
      <c r="D152" s="16" t="inlineStr">
        <is>
          <t>Chemicals &amp; Petrochemicals</t>
        </is>
      </c>
      <c r="E152" s="16" t="inlineStr">
        <is>
          <t>INE647A01010</t>
        </is>
      </c>
      <c r="F152" s="17" t="n">
        <v>75499.39999999999</v>
      </c>
      <c r="G152" s="18" t="n">
        <v>2547</v>
      </c>
      <c r="H152" s="19" t="n">
        <v>-0.0267</v>
      </c>
      <c r="I152" s="20" t="n">
        <v>26</v>
      </c>
      <c r="J152" s="16" t="inlineStr">
        <is>
          <t>red</t>
        </is>
      </c>
      <c r="K152" s="20" t="n">
        <v>139</v>
      </c>
      <c r="L152" s="18" t="n">
        <v>38.02</v>
      </c>
      <c r="M152" s="18" t="n">
        <v>2586.59</v>
      </c>
      <c r="N152" s="18" t="n">
        <v>2672.16</v>
      </c>
      <c r="O152" s="18" t="n">
        <v>2718.72</v>
      </c>
      <c r="P152" s="18" t="n">
        <v>3178.08</v>
      </c>
      <c r="Q152" s="18" t="n">
        <v>2386.96</v>
      </c>
      <c r="R152" s="21">
        <f>IF(OR(G152="",P152=""),"",G152/P152-1)</f>
        <v/>
      </c>
      <c r="S152" s="19" t="n">
        <v>1.1901</v>
      </c>
      <c r="T152" s="22" t="n">
        <v>-0.0126</v>
      </c>
      <c r="U152" s="16" t="inlineStr">
        <is>
          <t>No</t>
        </is>
      </c>
      <c r="V152" s="16" t="inlineStr">
        <is>
          <t>No</t>
        </is>
      </c>
      <c r="W152" s="16" t="inlineStr">
        <is>
          <t>No</t>
        </is>
      </c>
      <c r="X152" s="16" t="inlineStr">
        <is>
          <t>No</t>
        </is>
      </c>
      <c r="Y152" s="20" t="n">
        <v>203</v>
      </c>
      <c r="Z152" s="19" t="n">
        <v>-0.0171</v>
      </c>
      <c r="AA152" s="18" t="n">
        <v>36.34</v>
      </c>
      <c r="AB152" s="16" t="inlineStr">
        <is>
          <t>Weak</t>
        </is>
      </c>
      <c r="AC152" s="16" t="inlineStr">
        <is>
          <t>No</t>
        </is>
      </c>
      <c r="AD152" s="19" t="n">
        <v>0.1154</v>
      </c>
      <c r="AE152" s="19" t="n">
        <v>0.1233</v>
      </c>
      <c r="AF152" s="19" t="n">
        <v>0.0071</v>
      </c>
      <c r="AG152" s="19" t="n">
        <v>0.0235</v>
      </c>
      <c r="AH152" s="23" t="n">
        <v>0.37</v>
      </c>
      <c r="AI152" s="23" t="n">
        <v>0.96</v>
      </c>
      <c r="AJ152" s="19" t="n">
        <v>0.1368</v>
      </c>
    </row>
    <row r="153">
      <c r="A153" s="16" t="inlineStr">
        <is>
          <t>ICICIGI</t>
        </is>
      </c>
      <c r="B153" s="16" t="inlineStr">
        <is>
          <t>ICICI Lombard General Insurance Company Ltd.</t>
        </is>
      </c>
      <c r="C153" s="16" t="inlineStr">
        <is>
          <t>General Insurance</t>
        </is>
      </c>
      <c r="D153" s="16" t="inlineStr">
        <is>
          <t>Banking and Finance</t>
        </is>
      </c>
      <c r="E153" s="16" t="inlineStr">
        <is>
          <t>INE765G01017</t>
        </is>
      </c>
      <c r="F153" s="17" t="n">
        <v>75440.02</v>
      </c>
      <c r="G153" s="18" t="n">
        <v>1510</v>
      </c>
      <c r="H153" s="19" t="n">
        <v>-0.0077</v>
      </c>
      <c r="I153" s="20" t="n">
        <v>10</v>
      </c>
      <c r="J153" s="16" t="inlineStr">
        <is>
          <t>red</t>
        </is>
      </c>
      <c r="K153" s="20" t="n">
        <v>110</v>
      </c>
      <c r="L153" s="18" t="n">
        <v>11.41</v>
      </c>
      <c r="M153" s="18" t="n">
        <v>1556.19</v>
      </c>
      <c r="N153" s="18" t="n">
        <v>1661.93</v>
      </c>
      <c r="O153" s="18" t="n">
        <v>1805.04</v>
      </c>
      <c r="P153" s="18" t="n">
        <v>2035.17</v>
      </c>
      <c r="Q153" s="18" t="n">
        <v>1510</v>
      </c>
      <c r="R153" s="21">
        <f>IF(OR(G153="",P153=""),"",G153/P153-1)</f>
        <v/>
      </c>
      <c r="S153" s="19" t="n">
        <v>0.8933</v>
      </c>
      <c r="T153" s="22" t="n">
        <v>-0.0221</v>
      </c>
      <c r="U153" s="16" t="inlineStr">
        <is>
          <t>No</t>
        </is>
      </c>
      <c r="V153" s="16" t="inlineStr">
        <is>
          <t>No</t>
        </is>
      </c>
      <c r="W153" s="16" t="inlineStr">
        <is>
          <t>No</t>
        </is>
      </c>
      <c r="X153" s="16" t="inlineStr">
        <is>
          <t>No</t>
        </is>
      </c>
      <c r="Y153" s="20" t="n">
        <v>147</v>
      </c>
      <c r="Z153" s="19" t="n">
        <v>-0.0793</v>
      </c>
      <c r="AA153" s="18" t="n">
        <v>64.28</v>
      </c>
      <c r="AB153" s="16" t="inlineStr">
        <is>
          <t>High</t>
        </is>
      </c>
      <c r="AC153" s="16" t="inlineStr">
        <is>
          <t>Yes</t>
        </is>
      </c>
      <c r="AD153" s="19" t="n">
        <v>0.1657</v>
      </c>
      <c r="AE153" s="19" t="n">
        <v>0.226</v>
      </c>
      <c r="AF153" s="19" t="n">
        <v>0.166</v>
      </c>
      <c r="AG153" s="19" t="n">
        <v>0.1487</v>
      </c>
      <c r="AH153" s="23" t="n">
        <v>0</v>
      </c>
      <c r="AI153" s="23" t="n">
        <v>42.54</v>
      </c>
      <c r="AJ153" s="19" t="n">
        <v>0.133</v>
      </c>
    </row>
    <row r="154">
      <c r="A154" s="16" t="inlineStr">
        <is>
          <t>NTPCGREEN</t>
        </is>
      </c>
      <c r="B154" s="16" t="inlineStr">
        <is>
          <t>NTPC Green Energy Ltd.</t>
        </is>
      </c>
      <c r="C154" s="16" t="inlineStr">
        <is>
          <t>Green &amp; Renewable Energy</t>
        </is>
      </c>
      <c r="D154" s="16" t="inlineStr">
        <is>
          <t>Utilities</t>
        </is>
      </c>
      <c r="E154" s="16" t="inlineStr">
        <is>
          <t>INE0ONG01011</t>
        </is>
      </c>
      <c r="F154" s="17" t="n">
        <v>75297.67999999999</v>
      </c>
      <c r="G154" s="18" t="n">
        <v>89.36</v>
      </c>
      <c r="H154" s="19" t="n">
        <v>0.0071</v>
      </c>
      <c r="I154" s="20" t="n">
        <v>25</v>
      </c>
      <c r="J154" s="16" t="inlineStr">
        <is>
          <t>red</t>
        </is>
      </c>
      <c r="K154" s="20" t="n">
        <v>70</v>
      </c>
      <c r="L154" s="18" t="n">
        <v>27.29</v>
      </c>
      <c r="M154" s="18" t="n">
        <v>89.75</v>
      </c>
      <c r="N154" s="18" t="n">
        <v>92.31</v>
      </c>
      <c r="O154" s="18" t="n">
        <v>95.64</v>
      </c>
      <c r="P154" s="18" t="n">
        <v>118.86</v>
      </c>
      <c r="Q154" s="18" t="n">
        <v>85.18000000000001</v>
      </c>
      <c r="R154" s="21">
        <f>IF(OR(G154="",P154=""),"",G154/P154-1)</f>
        <v/>
      </c>
      <c r="S154" s="19" t="n">
        <v>0.5168</v>
      </c>
      <c r="T154" s="22" t="n">
        <v>-0.0097</v>
      </c>
      <c r="U154" s="16" t="inlineStr">
        <is>
          <t>No</t>
        </is>
      </c>
      <c r="V154" s="16" t="inlineStr">
        <is>
          <t>No</t>
        </is>
      </c>
      <c r="W154" s="16" t="inlineStr">
        <is>
          <t>No</t>
        </is>
      </c>
      <c r="X154" s="16" t="inlineStr">
        <is>
          <t>No</t>
        </is>
      </c>
      <c r="Y154" s="20" t="n">
        <v>27</v>
      </c>
      <c r="Z154" s="19" t="n">
        <v>-0.0348</v>
      </c>
      <c r="AA154" s="18" t="n">
        <v>37.47</v>
      </c>
      <c r="AB154" s="16" t="inlineStr">
        <is>
          <t>Weak</t>
        </is>
      </c>
      <c r="AC154" s="16" t="inlineStr">
        <is>
          <t>No</t>
        </is>
      </c>
      <c r="AD154" s="19" t="n">
        <v>0.0361</v>
      </c>
      <c r="AE154" s="19" t="n">
        <v>0.0423</v>
      </c>
      <c r="AF154" s="19" t="n">
        <v>0.5365</v>
      </c>
      <c r="AG154" s="19" t="n">
        <v>3.6478</v>
      </c>
      <c r="AH154" s="23" t="n">
        <v>1.67</v>
      </c>
      <c r="AI154" s="23" t="n">
        <v>0.05</v>
      </c>
      <c r="AJ154" s="19" t="n">
        <v>0.2903</v>
      </c>
    </row>
    <row r="155">
      <c r="A155" s="16" t="inlineStr">
        <is>
          <t>BHARTIHEXA</t>
        </is>
      </c>
      <c r="B155" s="16" t="inlineStr">
        <is>
          <t>Bharti Hexacom Ltd.</t>
        </is>
      </c>
      <c r="C155" s="16" t="inlineStr">
        <is>
          <t>Other Telecom Services</t>
        </is>
      </c>
      <c r="D155" s="16" t="inlineStr">
        <is>
          <t>Telecom Services</t>
        </is>
      </c>
      <c r="E155" s="16" t="inlineStr">
        <is>
          <t>INE343G01021</t>
        </is>
      </c>
      <c r="F155" s="17" t="n">
        <v>74770</v>
      </c>
      <c r="G155" s="18" t="n">
        <v>1495.4</v>
      </c>
      <c r="H155" s="19" t="n">
        <v>-0.0068</v>
      </c>
      <c r="I155" s="20" t="n">
        <v>27</v>
      </c>
      <c r="J155" s="16" t="inlineStr">
        <is>
          <t>red</t>
        </is>
      </c>
      <c r="K155" s="20" t="n">
        <v>111</v>
      </c>
      <c r="L155" s="18" t="n">
        <v>21.13</v>
      </c>
      <c r="M155" s="18" t="n">
        <v>1533.79</v>
      </c>
      <c r="N155" s="18" t="n">
        <v>1558.81</v>
      </c>
      <c r="O155" s="18" t="n">
        <v>1583.21</v>
      </c>
      <c r="P155" s="18" t="n">
        <v>1893.47</v>
      </c>
      <c r="Q155" s="18" t="n">
        <v>1422.15</v>
      </c>
      <c r="R155" s="21">
        <f>IF(OR(G155="",P155=""),"",G155/P155-1)</f>
        <v/>
      </c>
      <c r="S155" s="19" t="n">
        <v>0.2548</v>
      </c>
      <c r="T155" s="22" t="n">
        <v>-0.0151</v>
      </c>
      <c r="U155" s="16" t="inlineStr">
        <is>
          <t>No</t>
        </is>
      </c>
      <c r="V155" s="16" t="inlineStr">
        <is>
          <t>No</t>
        </is>
      </c>
      <c r="W155" s="16" t="inlineStr">
        <is>
          <t>No</t>
        </is>
      </c>
      <c r="X155" s="16" t="inlineStr">
        <is>
          <t>No</t>
        </is>
      </c>
      <c r="Y155" s="20" t="n">
        <v>156</v>
      </c>
      <c r="Z155" s="19" t="n">
        <v>-0.0154</v>
      </c>
      <c r="AA155" s="18" t="n">
        <v>52.91</v>
      </c>
      <c r="AB155" s="16" t="inlineStr">
        <is>
          <t>Good</t>
        </is>
      </c>
      <c r="AC155" s="16" t="inlineStr">
        <is>
          <t>No</t>
        </is>
      </c>
      <c r="AD155" s="19" t="n">
        <v>0.2024</v>
      </c>
      <c r="AE155" s="19" t="n">
        <v>0.1721</v>
      </c>
      <c r="AF155" s="19" t="n">
        <v>0.6798999999999999</v>
      </c>
      <c r="AG155" s="19" t="n">
        <v>0.1259</v>
      </c>
      <c r="AH155" s="23" t="n">
        <v>0.82</v>
      </c>
      <c r="AI155" s="23" t="n">
        <v>1.07</v>
      </c>
      <c r="AJ155" s="19" t="n">
        <v>0.0553</v>
      </c>
    </row>
    <row r="156">
      <c r="A156" s="16" t="inlineStr">
        <is>
          <t>IDFCFIRSTB</t>
        </is>
      </c>
      <c r="B156" s="16" t="inlineStr">
        <is>
          <t>IDFC First Bank Ltd.</t>
        </is>
      </c>
      <c r="C156" s="16" t="inlineStr">
        <is>
          <t>Banks</t>
        </is>
      </c>
      <c r="D156" s="16" t="inlineStr">
        <is>
          <t>Banking and Finance</t>
        </is>
      </c>
      <c r="E156" s="16" t="inlineStr">
        <is>
          <t>INE092T01019</t>
        </is>
      </c>
      <c r="F156" s="17" t="n">
        <v>74758.84</v>
      </c>
      <c r="G156" s="18" t="n">
        <v>86.70999999999999</v>
      </c>
      <c r="H156" s="19" t="n">
        <v>-0.009000000000000001</v>
      </c>
      <c r="I156" s="20" t="n">
        <v>65</v>
      </c>
      <c r="J156" s="16" t="inlineStr">
        <is>
          <t>amber</t>
        </is>
      </c>
      <c r="K156" s="20" t="n">
        <v>36</v>
      </c>
      <c r="L156" s="18" t="n">
        <v>56.28</v>
      </c>
      <c r="M156" s="18" t="n">
        <v>85.19</v>
      </c>
      <c r="N156" s="18" t="n">
        <v>83.06</v>
      </c>
      <c r="O156" s="18" t="n">
        <v>77</v>
      </c>
      <c r="P156" s="18" t="n">
        <v>87.5</v>
      </c>
      <c r="Q156" s="18" t="n">
        <v>58.68</v>
      </c>
      <c r="R156" s="21">
        <f>IF(OR(G156="",P156=""),"",G156/P156-1)</f>
        <v/>
      </c>
      <c r="S156" s="19" t="n">
        <v>0.7384000000000001</v>
      </c>
      <c r="T156" s="22" t="n">
        <v>0.0073</v>
      </c>
      <c r="U156" s="16" t="inlineStr">
        <is>
          <t>Yes</t>
        </is>
      </c>
      <c r="V156" s="16" t="inlineStr">
        <is>
          <t>Yes</t>
        </is>
      </c>
      <c r="W156" s="16" t="inlineStr">
        <is>
          <t>Yes</t>
        </is>
      </c>
      <c r="X156" s="16" t="inlineStr">
        <is>
          <t>Yes</t>
        </is>
      </c>
      <c r="Y156" s="20" t="n">
        <v>31</v>
      </c>
      <c r="Z156" s="19" t="n">
        <v>0.0788</v>
      </c>
      <c r="AA156" s="18" t="n">
        <v>29.12</v>
      </c>
      <c r="AB156" s="16" t="inlineStr">
        <is>
          <t>Poor</t>
        </is>
      </c>
      <c r="AC156" s="16" t="inlineStr">
        <is>
          <t>Yes</t>
        </is>
      </c>
      <c r="AD156" s="19" t="n">
        <v>0.0548</v>
      </c>
      <c r="AE156" s="19" t="n"/>
      <c r="AF156" s="19" t="n">
        <v>-0.1716</v>
      </c>
      <c r="AG156" s="19" t="n">
        <v>0.1945</v>
      </c>
      <c r="AH156" s="23" t="n">
        <v>0.77</v>
      </c>
      <c r="AI156" s="23" t="n">
        <v>11.08</v>
      </c>
      <c r="AJ156" s="19" t="n">
        <v>0</v>
      </c>
    </row>
    <row r="157">
      <c r="A157" s="16" t="inlineStr">
        <is>
          <t>NMDC</t>
        </is>
      </c>
      <c r="B157" s="16" t="inlineStr">
        <is>
          <t>NMDC Ltd.</t>
        </is>
      </c>
      <c r="C157" s="16" t="inlineStr">
        <is>
          <t>Coal &amp; Mining</t>
        </is>
      </c>
      <c r="D157" s="16" t="inlineStr">
        <is>
          <t>Metals &amp; Mining</t>
        </is>
      </c>
      <c r="E157" s="16" t="inlineStr">
        <is>
          <t>INE584A01023</t>
        </is>
      </c>
      <c r="F157" s="17" t="n">
        <v>74466.7</v>
      </c>
      <c r="G157" s="18" t="n">
        <v>84.7</v>
      </c>
      <c r="H157" s="19" t="n">
        <v>0.0061</v>
      </c>
      <c r="I157" s="20" t="n">
        <v>48</v>
      </c>
      <c r="J157" s="16" t="inlineStr">
        <is>
          <t>red</t>
        </is>
      </c>
      <c r="K157" s="20" t="n">
        <v>7</v>
      </c>
      <c r="L157" s="18" t="n">
        <v>47.59</v>
      </c>
      <c r="M157" s="18" t="n">
        <v>86.15000000000001</v>
      </c>
      <c r="N157" s="18" t="n">
        <v>84.88</v>
      </c>
      <c r="O157" s="18" t="n">
        <v>82.93000000000001</v>
      </c>
      <c r="P157" s="18" t="n">
        <v>96.04000000000001</v>
      </c>
      <c r="Q157" s="18" t="n">
        <v>70.40000000000001</v>
      </c>
      <c r="R157" s="21">
        <f>IF(OR(G157="",P157=""),"",G157/P157-1)</f>
        <v/>
      </c>
      <c r="S157" s="19" t="n">
        <v>0.731</v>
      </c>
      <c r="T157" s="22" t="n">
        <v>0.015</v>
      </c>
      <c r="U157" s="16" t="inlineStr">
        <is>
          <t>Yes</t>
        </is>
      </c>
      <c r="V157" s="16" t="inlineStr">
        <is>
          <t>No</t>
        </is>
      </c>
      <c r="W157" s="16" t="inlineStr">
        <is>
          <t>No</t>
        </is>
      </c>
      <c r="X157" s="16" t="inlineStr">
        <is>
          <t>Yes</t>
        </is>
      </c>
      <c r="Y157" s="20" t="n">
        <v>304</v>
      </c>
      <c r="Z157" s="19" t="n">
        <v>0.0235</v>
      </c>
      <c r="AA157" s="18" t="n">
        <v>68.31999999999999</v>
      </c>
      <c r="AB157" s="16" t="inlineStr">
        <is>
          <t>High</t>
        </is>
      </c>
      <c r="AC157" s="16" t="inlineStr">
        <is>
          <t>No</t>
        </is>
      </c>
      <c r="AD157" s="19" t="n">
        <v>0.2188</v>
      </c>
      <c r="AE157" s="19" t="n">
        <v>0.2683</v>
      </c>
      <c r="AF157" s="19" t="n">
        <v>0.1024</v>
      </c>
      <c r="AG157" s="19" t="n">
        <v>0.2233</v>
      </c>
      <c r="AH157" s="23" t="n">
        <v>0.19</v>
      </c>
      <c r="AI157" s="23" t="n">
        <v>2.75</v>
      </c>
      <c r="AJ157" s="19" t="n">
        <v>0.5793</v>
      </c>
    </row>
    <row r="158">
      <c r="A158" s="16" t="inlineStr">
        <is>
          <t>NAM-INDIA</t>
        </is>
      </c>
      <c r="B158" s="16" t="inlineStr">
        <is>
          <t>Nippon Life India Asset Management Ltd.</t>
        </is>
      </c>
      <c r="C158" s="16" t="inlineStr">
        <is>
          <t>Asset Management Cos.</t>
        </is>
      </c>
      <c r="D158" s="16" t="inlineStr">
        <is>
          <t>Banking and Finance</t>
        </is>
      </c>
      <c r="E158" s="16" t="inlineStr">
        <is>
          <t>INE298J01013</t>
        </is>
      </c>
      <c r="F158" s="17" t="n">
        <v>74208.27</v>
      </c>
      <c r="G158" s="18" t="n">
        <v>1159.9</v>
      </c>
      <c r="H158" s="19" t="n">
        <v>-0.0043</v>
      </c>
      <c r="I158" s="20" t="n">
        <v>74</v>
      </c>
      <c r="J158" s="16" t="inlineStr">
        <is>
          <t>amber</t>
        </is>
      </c>
      <c r="K158" s="20" t="n">
        <v>22</v>
      </c>
      <c r="L158" s="18" t="n">
        <v>40.13</v>
      </c>
      <c r="M158" s="18" t="n">
        <v>1183.61</v>
      </c>
      <c r="N158" s="18" t="n">
        <v>1184.81</v>
      </c>
      <c r="O158" s="18" t="n">
        <v>1000.27</v>
      </c>
      <c r="P158" s="18" t="n">
        <v>1251</v>
      </c>
      <c r="Q158" s="18" t="n">
        <v>781.37</v>
      </c>
      <c r="R158" s="21">
        <f>IF(OR(G158="",P158=""),"",G158/P158-1)</f>
        <v/>
      </c>
      <c r="S158" s="19" t="n">
        <v>1.2031</v>
      </c>
      <c r="T158" s="22" t="n">
        <v>0.0334</v>
      </c>
      <c r="U158" s="16" t="inlineStr">
        <is>
          <t>Yes</t>
        </is>
      </c>
      <c r="V158" s="16" t="inlineStr">
        <is>
          <t>No</t>
        </is>
      </c>
      <c r="W158" s="16" t="inlineStr">
        <is>
          <t>No</t>
        </is>
      </c>
      <c r="X158" s="16" t="inlineStr">
        <is>
          <t>Yes</t>
        </is>
      </c>
      <c r="Y158" s="20" t="n">
        <v>314</v>
      </c>
      <c r="Z158" s="19" t="n">
        <v>0.1845</v>
      </c>
      <c r="AA158" s="18" t="n">
        <v>82.55</v>
      </c>
      <c r="AB158" s="16" t="inlineStr">
        <is>
          <t>High</t>
        </is>
      </c>
      <c r="AC158" s="16" t="inlineStr">
        <is>
          <t>Yes</t>
        </is>
      </c>
      <c r="AD158" s="19" t="n">
        <v>0.3039</v>
      </c>
      <c r="AE158" s="19" t="n">
        <v>0.3827</v>
      </c>
      <c r="AF158" s="19" t="n">
        <v>0.2809</v>
      </c>
      <c r="AG158" s="19" t="n">
        <v>0.2631</v>
      </c>
      <c r="AH158" s="23" t="n">
        <v>0.02</v>
      </c>
      <c r="AI158" s="23" t="n">
        <v>4</v>
      </c>
      <c r="AJ158" s="19" t="n">
        <v>0.0033</v>
      </c>
    </row>
    <row r="159">
      <c r="A159" s="16" t="inlineStr">
        <is>
          <t>APARINDS</t>
        </is>
      </c>
      <c r="B159" s="16" t="inlineStr">
        <is>
          <t>Apar Industries Ltd.</t>
        </is>
      </c>
      <c r="C159" s="16" t="inlineStr">
        <is>
          <t>Other Electrical Equipment/Products</t>
        </is>
      </c>
      <c r="D159" s="16" t="inlineStr">
        <is>
          <t>Consumer Durables</t>
        </is>
      </c>
      <c r="E159" s="16" t="inlineStr">
        <is>
          <t>INE372A01015</t>
        </is>
      </c>
      <c r="F159" s="17" t="n">
        <v>72945.73</v>
      </c>
      <c r="G159" s="18" t="n">
        <v>17421</v>
      </c>
      <c r="H159" s="19" t="n">
        <v>-0.016</v>
      </c>
      <c r="I159" s="20" t="n">
        <v>91</v>
      </c>
      <c r="J159" s="16" t="inlineStr">
        <is>
          <t>green</t>
        </is>
      </c>
      <c r="K159" s="20" t="n">
        <v>149</v>
      </c>
      <c r="L159" s="18" t="n">
        <v>58.73</v>
      </c>
      <c r="M159" s="18" t="n">
        <v>17475.75</v>
      </c>
      <c r="N159" s="18" t="n">
        <v>15491.3</v>
      </c>
      <c r="O159" s="18" t="n">
        <v>11844.09</v>
      </c>
      <c r="P159" s="18" t="n">
        <v>18000</v>
      </c>
      <c r="Q159" s="18" t="n">
        <v>6966</v>
      </c>
      <c r="R159" s="21">
        <f>IF(OR(G159="",P159=""),"",G159/P159-1)</f>
        <v/>
      </c>
      <c r="S159" s="19" t="n">
        <v>0.5509000000000001</v>
      </c>
      <c r="T159" s="22" t="n">
        <v>0.07539999999999999</v>
      </c>
      <c r="U159" s="16" t="inlineStr">
        <is>
          <t>Yes</t>
        </is>
      </c>
      <c r="V159" s="16" t="inlineStr">
        <is>
          <t>Yes</t>
        </is>
      </c>
      <c r="W159" s="16" t="inlineStr">
        <is>
          <t>No</t>
        </is>
      </c>
      <c r="X159" s="16" t="inlineStr">
        <is>
          <t>Yes</t>
        </is>
      </c>
      <c r="Y159" s="20" t="n">
        <v>283</v>
      </c>
      <c r="Z159" s="19" t="n">
        <v>0.3079</v>
      </c>
      <c r="AA159" s="18" t="n">
        <v>70.81</v>
      </c>
      <c r="AB159" s="16" t="inlineStr">
        <is>
          <t>High</t>
        </is>
      </c>
      <c r="AC159" s="16" t="inlineStr">
        <is>
          <t>No</t>
        </is>
      </c>
      <c r="AD159" s="19" t="n">
        <v>0.1921</v>
      </c>
      <c r="AE159" s="19" t="n">
        <v>0.2974</v>
      </c>
      <c r="AF159" s="19" t="n">
        <v>0.1414</v>
      </c>
      <c r="AG159" s="19" t="n">
        <v>0.1705</v>
      </c>
      <c r="AH159" s="23" t="n">
        <v>0.18</v>
      </c>
      <c r="AI159" s="23" t="n">
        <v>10.13</v>
      </c>
      <c r="AJ159" s="19" t="n">
        <v>0.2395</v>
      </c>
    </row>
    <row r="160">
      <c r="A160" s="16" t="inlineStr">
        <is>
          <t>HAVELLS</t>
        </is>
      </c>
      <c r="B160" s="16" t="inlineStr">
        <is>
          <t>Havells India Ltd.</t>
        </is>
      </c>
      <c r="C160" s="16" t="inlineStr">
        <is>
          <t>Other Electrical Equipment/Products</t>
        </is>
      </c>
      <c r="D160" s="16" t="inlineStr">
        <is>
          <t>Consumer Durables</t>
        </is>
      </c>
      <c r="E160" s="16" t="inlineStr">
        <is>
          <t>INE176B01034</t>
        </is>
      </c>
      <c r="F160" s="17" t="n">
        <v>72349.07000000001</v>
      </c>
      <c r="G160" s="18" t="n">
        <v>1154</v>
      </c>
      <c r="H160" s="19" t="n">
        <v>-0.0383</v>
      </c>
      <c r="I160" s="20" t="n">
        <v>18</v>
      </c>
      <c r="J160" s="16" t="inlineStr">
        <is>
          <t>red</t>
        </is>
      </c>
      <c r="K160" s="20" t="n">
        <v>335</v>
      </c>
      <c r="L160" s="18" t="n">
        <v>14.63</v>
      </c>
      <c r="M160" s="18" t="n">
        <v>1217.06</v>
      </c>
      <c r="N160" s="18" t="n">
        <v>1231.89</v>
      </c>
      <c r="O160" s="18" t="n">
        <v>1288.84</v>
      </c>
      <c r="P160" s="18" t="n">
        <v>1601.89</v>
      </c>
      <c r="Q160" s="18" t="n">
        <v>1129</v>
      </c>
      <c r="R160" s="21">
        <f>IF(OR(G160="",P160=""),"",G160/P160-1)</f>
        <v/>
      </c>
      <c r="S160" s="19" t="n">
        <v>3.1007</v>
      </c>
      <c r="T160" s="22" t="n">
        <v>-0.016</v>
      </c>
      <c r="U160" s="16" t="inlineStr">
        <is>
          <t>No</t>
        </is>
      </c>
      <c r="V160" s="16" t="inlineStr">
        <is>
          <t>No</t>
        </is>
      </c>
      <c r="W160" s="16" t="inlineStr">
        <is>
          <t>No</t>
        </is>
      </c>
      <c r="X160" s="16" t="inlineStr">
        <is>
          <t>No</t>
        </is>
      </c>
      <c r="Y160" s="20" t="n">
        <v>433</v>
      </c>
      <c r="Z160" s="19" t="n">
        <v>-0.0442</v>
      </c>
      <c r="AA160" s="18" t="n">
        <v>67.84999999999999</v>
      </c>
      <c r="AB160" s="16" t="inlineStr">
        <is>
          <t>High</t>
        </is>
      </c>
      <c r="AC160" s="16" t="inlineStr">
        <is>
          <t>No</t>
        </is>
      </c>
      <c r="AD160" s="19" t="n">
        <v>0.1754</v>
      </c>
      <c r="AE160" s="19" t="n">
        <v>0.2309</v>
      </c>
      <c r="AF160" s="19" t="n">
        <v>0.1635</v>
      </c>
      <c r="AG160" s="19" t="n">
        <v>0.1001</v>
      </c>
      <c r="AH160" s="23" t="n">
        <v>0.03</v>
      </c>
      <c r="AI160" s="23" t="n">
        <v>5.08</v>
      </c>
      <c r="AJ160" s="19" t="n">
        <v>0.1317</v>
      </c>
    </row>
    <row r="161">
      <c r="A161" s="16" t="inlineStr">
        <is>
          <t>UNOMINDA</t>
        </is>
      </c>
      <c r="B161" s="16" t="inlineStr">
        <is>
          <t>UNO Minda Ltd.</t>
        </is>
      </c>
      <c r="C161" s="16" t="inlineStr">
        <is>
          <t>Auto Parts &amp; Equipment</t>
        </is>
      </c>
      <c r="D161" s="16" t="inlineStr">
        <is>
          <t>Automobiles &amp; Auto Components</t>
        </is>
      </c>
      <c r="E161" s="16" t="inlineStr">
        <is>
          <t>INE405E01023</t>
        </is>
      </c>
      <c r="F161" s="17" t="n">
        <v>72166.08</v>
      </c>
      <c r="G161" s="18" t="n">
        <v>1249.7</v>
      </c>
      <c r="H161" s="19" t="n">
        <v>-0.0152</v>
      </c>
      <c r="I161" s="20" t="n">
        <v>51</v>
      </c>
      <c r="J161" s="16" t="inlineStr">
        <is>
          <t>red</t>
        </is>
      </c>
      <c r="K161" s="20" t="n">
        <v>14</v>
      </c>
      <c r="L161" s="18" t="n">
        <v>43.64</v>
      </c>
      <c r="M161" s="18" t="n">
        <v>1265.14</v>
      </c>
      <c r="N161" s="18" t="n">
        <v>1200.32</v>
      </c>
      <c r="O161" s="18" t="n">
        <v>1169.29</v>
      </c>
      <c r="P161" s="18" t="n">
        <v>1363.19</v>
      </c>
      <c r="Q161" s="18" t="n">
        <v>1011.63</v>
      </c>
      <c r="R161" s="21">
        <f>IF(OR(G161="",P161=""),"",G161/P161-1)</f>
        <v/>
      </c>
      <c r="S161" s="19" t="n">
        <v>0.6844</v>
      </c>
      <c r="T161" s="22" t="n">
        <v>0.0007000000000000001</v>
      </c>
      <c r="U161" s="16" t="inlineStr">
        <is>
          <t>Yes</t>
        </is>
      </c>
      <c r="V161" s="16" t="inlineStr">
        <is>
          <t>Yes</t>
        </is>
      </c>
      <c r="W161" s="16" t="inlineStr">
        <is>
          <t>No</t>
        </is>
      </c>
      <c r="X161" s="16" t="inlineStr">
        <is>
          <t>Yes</t>
        </is>
      </c>
      <c r="Y161" s="20" t="n">
        <v>10</v>
      </c>
      <c r="Z161" s="19" t="n">
        <v>0.0265</v>
      </c>
      <c r="AA161" s="18" t="n">
        <v>60.81</v>
      </c>
      <c r="AB161" s="16" t="inlineStr">
        <is>
          <t>Good</t>
        </is>
      </c>
      <c r="AC161" s="16" t="inlineStr">
        <is>
          <t>No</t>
        </is>
      </c>
      <c r="AD161" s="19" t="n">
        <v>0.1722</v>
      </c>
      <c r="AE161" s="19" t="n">
        <v>0.1867</v>
      </c>
      <c r="AF161" s="19" t="n">
        <v>0.2274</v>
      </c>
      <c r="AG161" s="19" t="n">
        <v>0.2053</v>
      </c>
      <c r="AH161" s="23" t="n">
        <v>0.4</v>
      </c>
      <c r="AI161" s="23" t="n">
        <v>3.26</v>
      </c>
      <c r="AJ161" s="19" t="n">
        <v>0.1501</v>
      </c>
    </row>
    <row r="162">
      <c r="A162" s="16" t="inlineStr">
        <is>
          <t>ICICIPRULI</t>
        </is>
      </c>
      <c r="B162" s="16" t="inlineStr">
        <is>
          <t>ICICI Prudential Life Insurance Company Ltd.</t>
        </is>
      </c>
      <c r="C162" s="16" t="inlineStr">
        <is>
          <t>Life Insurance</t>
        </is>
      </c>
      <c r="D162" s="16" t="inlineStr">
        <is>
          <t>Banking and Finance</t>
        </is>
      </c>
      <c r="E162" s="16" t="inlineStr">
        <is>
          <t>INE726G01019</t>
        </is>
      </c>
      <c r="F162" s="17" t="n">
        <v>71759.03</v>
      </c>
      <c r="G162" s="18" t="n">
        <v>494.55</v>
      </c>
      <c r="H162" s="19" t="n">
        <v>-0.001</v>
      </c>
      <c r="I162" s="20" t="n">
        <v>21</v>
      </c>
      <c r="J162" s="16" t="inlineStr">
        <is>
          <t>red</t>
        </is>
      </c>
      <c r="K162" s="20" t="n">
        <v>117</v>
      </c>
      <c r="L162" s="18" t="n">
        <v>42.79</v>
      </c>
      <c r="M162" s="18" t="n">
        <v>504.08</v>
      </c>
      <c r="N162" s="18" t="n">
        <v>503.57</v>
      </c>
      <c r="O162" s="18" t="n">
        <v>564.33</v>
      </c>
      <c r="P162" s="18" t="n">
        <v>686.0700000000001</v>
      </c>
      <c r="Q162" s="18" t="n">
        <v>460.4</v>
      </c>
      <c r="R162" s="21">
        <f>IF(OR(G162="",P162=""),"",G162/P162-1)</f>
        <v/>
      </c>
      <c r="S162" s="19" t="n">
        <v>0.6714</v>
      </c>
      <c r="T162" s="22" t="n">
        <v>-0.0181</v>
      </c>
      <c r="U162" s="16" t="inlineStr">
        <is>
          <t>No</t>
        </is>
      </c>
      <c r="V162" s="16" t="inlineStr">
        <is>
          <t>No</t>
        </is>
      </c>
      <c r="W162" s="16" t="inlineStr">
        <is>
          <t>No</t>
        </is>
      </c>
      <c r="X162" s="16" t="inlineStr">
        <is>
          <t>No</t>
        </is>
      </c>
      <c r="Y162" s="20" t="n">
        <v>112</v>
      </c>
      <c r="Z162" s="19" t="n">
        <v>-0.1077</v>
      </c>
      <c r="AA162" s="18" t="n">
        <v>49.19</v>
      </c>
      <c r="AB162" s="16" t="inlineStr">
        <is>
          <t>Average</t>
        </is>
      </c>
      <c r="AC162" s="16" t="inlineStr">
        <is>
          <t>Yes</t>
        </is>
      </c>
      <c r="AD162" s="19" t="n">
        <v>0.09820000000000001</v>
      </c>
      <c r="AE162" s="19" t="n">
        <v>0.104</v>
      </c>
      <c r="AF162" s="19" t="n">
        <v>0.2607</v>
      </c>
      <c r="AG162" s="19" t="n">
        <v>0.1684</v>
      </c>
      <c r="AH162" s="23" t="n">
        <v>0.19</v>
      </c>
      <c r="AI162" s="23" t="n">
        <v>101.73</v>
      </c>
      <c r="AJ162" s="19" t="n">
        <v>0.07099999999999999</v>
      </c>
    </row>
    <row r="163">
      <c r="A163" s="16" t="inlineStr">
        <is>
          <t>YESBANK</t>
        </is>
      </c>
      <c r="B163" s="16" t="inlineStr">
        <is>
          <t>YES Bank Ltd.</t>
        </is>
      </c>
      <c r="C163" s="16" t="inlineStr">
        <is>
          <t>Banks</t>
        </is>
      </c>
      <c r="D163" s="16" t="inlineStr">
        <is>
          <t>Banking and Finance</t>
        </is>
      </c>
      <c r="E163" s="16" t="inlineStr">
        <is>
          <t>INE528G01035</t>
        </is>
      </c>
      <c r="F163" s="17" t="n">
        <v>70623.67</v>
      </c>
      <c r="G163" s="18" t="n">
        <v>22.5</v>
      </c>
      <c r="H163" s="19" t="n">
        <v>-0.0018</v>
      </c>
      <c r="I163" s="20" t="n">
        <v>44</v>
      </c>
      <c r="J163" s="16" t="inlineStr">
        <is>
          <t>red</t>
        </is>
      </c>
      <c r="K163" s="20" t="n">
        <v>25</v>
      </c>
      <c r="L163" s="18" t="n">
        <v>43.9</v>
      </c>
      <c r="M163" s="18" t="n">
        <v>22.36</v>
      </c>
      <c r="N163" s="18" t="n">
        <v>23.11</v>
      </c>
      <c r="O163" s="18" t="n">
        <v>21.86</v>
      </c>
      <c r="P163" s="18" t="n">
        <v>25.48</v>
      </c>
      <c r="Q163" s="18" t="n">
        <v>17.25</v>
      </c>
      <c r="R163" s="21">
        <f>IF(OR(G163="",P163=""),"",G163/P163-1)</f>
        <v/>
      </c>
      <c r="S163" s="19" t="n">
        <v>0.6468</v>
      </c>
      <c r="T163" s="22" t="n">
        <v>-0.0007000000000000001</v>
      </c>
      <c r="U163" s="16" t="inlineStr">
        <is>
          <t>No</t>
        </is>
      </c>
      <c r="V163" s="16" t="inlineStr">
        <is>
          <t>No</t>
        </is>
      </c>
      <c r="W163" s="16" t="inlineStr">
        <is>
          <t>Yes</t>
        </is>
      </c>
      <c r="X163" s="16" t="inlineStr">
        <is>
          <t>Yes</t>
        </is>
      </c>
      <c r="Y163" s="20" t="n">
        <v>59</v>
      </c>
      <c r="Z163" s="19" t="n">
        <v>0.057</v>
      </c>
      <c r="AA163" s="18" t="n">
        <v>54.7</v>
      </c>
      <c r="AB163" s="16" t="inlineStr">
        <is>
          <t>Good</t>
        </is>
      </c>
      <c r="AC163" s="16" t="inlineStr">
        <is>
          <t>Yes</t>
        </is>
      </c>
      <c r="AD163" s="19" t="n">
        <v>0.0501</v>
      </c>
      <c r="AE163" s="19" t="n"/>
      <c r="AF163" s="19" t="n">
        <v>0.5934</v>
      </c>
      <c r="AG163" s="19" t="n">
        <v>0.2638</v>
      </c>
      <c r="AH163" s="23" t="n">
        <v>1.28</v>
      </c>
      <c r="AI163" s="23" t="n">
        <v>5.77</v>
      </c>
      <c r="AJ163" s="19" t="n">
        <v>0.0315</v>
      </c>
    </row>
    <row r="164">
      <c r="A164" s="16" t="inlineStr">
        <is>
          <t>PHOENIXLTD</t>
        </is>
      </c>
      <c r="B164" s="16" t="inlineStr">
        <is>
          <t>Phoenix Mills Ltd.</t>
        </is>
      </c>
      <c r="C164" s="16" t="inlineStr">
        <is>
          <t>Realty</t>
        </is>
      </c>
      <c r="D164" s="16" t="inlineStr">
        <is>
          <t>Realty</t>
        </is>
      </c>
      <c r="E164" s="16" t="inlineStr">
        <is>
          <t>INE211B01039</t>
        </is>
      </c>
      <c r="F164" s="17" t="n">
        <v>69461.05</v>
      </c>
      <c r="G164" s="18" t="n">
        <v>1942</v>
      </c>
      <c r="H164" s="19" t="n">
        <v>-0.0092</v>
      </c>
      <c r="I164" s="20" t="n">
        <v>63</v>
      </c>
      <c r="J164" s="16" t="inlineStr">
        <is>
          <t>amber</t>
        </is>
      </c>
      <c r="K164" s="20" t="n">
        <v>4</v>
      </c>
      <c r="L164" s="18" t="n">
        <v>53.06</v>
      </c>
      <c r="M164" s="18" t="n">
        <v>1919.69</v>
      </c>
      <c r="N164" s="18" t="n">
        <v>1979.92</v>
      </c>
      <c r="O164" s="18" t="n">
        <v>1804.99</v>
      </c>
      <c r="P164" s="18" t="n">
        <v>2154</v>
      </c>
      <c r="Q164" s="18" t="n">
        <v>1477.4</v>
      </c>
      <c r="R164" s="21">
        <f>IF(OR(G164="",P164=""),"",G164/P164-1)</f>
        <v/>
      </c>
      <c r="S164" s="19" t="n">
        <v>0.5484</v>
      </c>
      <c r="T164" s="22" t="n">
        <v>0.0114</v>
      </c>
      <c r="U164" s="16" t="inlineStr">
        <is>
          <t>Yes</t>
        </is>
      </c>
      <c r="V164" s="16" t="inlineStr">
        <is>
          <t>No</t>
        </is>
      </c>
      <c r="W164" s="16" t="inlineStr">
        <is>
          <t>Yes</t>
        </is>
      </c>
      <c r="X164" s="16" t="inlineStr">
        <is>
          <t>Yes</t>
        </is>
      </c>
      <c r="Y164" s="20" t="n">
        <v>216</v>
      </c>
      <c r="Z164" s="19" t="n">
        <v>0.0969</v>
      </c>
      <c r="AA164" s="18" t="n">
        <v>40</v>
      </c>
      <c r="AB164" s="16" t="inlineStr">
        <is>
          <t>Average</t>
        </is>
      </c>
      <c r="AC164" s="16" t="inlineStr">
        <is>
          <t>No</t>
        </is>
      </c>
      <c r="AD164" s="19" t="n">
        <v>0.1073</v>
      </c>
      <c r="AE164" s="19" t="n">
        <v>0.1416</v>
      </c>
      <c r="AF164" s="19" t="n">
        <v>-0.0013</v>
      </c>
      <c r="AG164" s="19" t="n">
        <v>0.2123</v>
      </c>
      <c r="AH164" s="23" t="n">
        <v>0.48</v>
      </c>
      <c r="AI164" s="23" t="n">
        <v>1.94</v>
      </c>
      <c r="AJ164" s="19" t="n">
        <v>0</v>
      </c>
    </row>
    <row r="165">
      <c r="A165" s="16" t="inlineStr">
        <is>
          <t>BAJAJHFL</t>
        </is>
      </c>
      <c r="B165" s="16" t="inlineStr">
        <is>
          <t>Bajaj Housing Finance Ltd.</t>
        </is>
      </c>
      <c r="C165" s="16" t="inlineStr">
        <is>
          <t>Housing Finance</t>
        </is>
      </c>
      <c r="D165" s="16" t="inlineStr">
        <is>
          <t>Banking and Finance</t>
        </is>
      </c>
      <c r="E165" s="16" t="inlineStr">
        <is>
          <t>INE377Y01014</t>
        </is>
      </c>
      <c r="F165" s="17" t="n">
        <v>69225.03999999999</v>
      </c>
      <c r="G165" s="18" t="n">
        <v>83.08</v>
      </c>
      <c r="H165" s="19" t="n">
        <v>0.0016</v>
      </c>
      <c r="I165" s="20" t="n">
        <v>23</v>
      </c>
      <c r="J165" s="16" t="inlineStr">
        <is>
          <t>red</t>
        </is>
      </c>
      <c r="K165" s="20" t="n">
        <v>320</v>
      </c>
      <c r="L165" s="18" t="n">
        <v>43.65</v>
      </c>
      <c r="M165" s="18" t="n">
        <v>83.75</v>
      </c>
      <c r="N165" s="18" t="n">
        <v>85.90000000000001</v>
      </c>
      <c r="O165" s="18" t="n">
        <v>88.25</v>
      </c>
      <c r="P165" s="18" t="n">
        <v>115.92</v>
      </c>
      <c r="Q165" s="18" t="n">
        <v>73.09</v>
      </c>
      <c r="R165" s="21">
        <f>IF(OR(G165="",P165=""),"",G165/P165-1)</f>
        <v/>
      </c>
      <c r="S165" s="19" t="n">
        <v>0.6352</v>
      </c>
      <c r="T165" s="22" t="n">
        <v>-0.0272</v>
      </c>
      <c r="U165" s="16" t="inlineStr">
        <is>
          <t>No</t>
        </is>
      </c>
      <c r="V165" s="16" t="inlineStr">
        <is>
          <t>No</t>
        </is>
      </c>
      <c r="W165" s="16" t="inlineStr">
        <is>
          <t>No</t>
        </is>
      </c>
      <c r="X165" s="16" t="inlineStr">
        <is>
          <t>No</t>
        </is>
      </c>
      <c r="Y165" s="20" t="n">
        <v>294</v>
      </c>
      <c r="Z165" s="19" t="n">
        <v>-0.0266</v>
      </c>
      <c r="AA165" s="18" t="n">
        <v>50.57</v>
      </c>
      <c r="AB165" s="16" t="inlineStr">
        <is>
          <t>Average</t>
        </is>
      </c>
      <c r="AC165" s="16" t="inlineStr">
        <is>
          <t>Yes</t>
        </is>
      </c>
      <c r="AD165" s="19" t="n">
        <v>0.1212</v>
      </c>
      <c r="AE165" s="19" t="n">
        <v>0.0267</v>
      </c>
      <c r="AF165" s="19" t="n">
        <v>0.2703</v>
      </c>
      <c r="AG165" s="19" t="n">
        <v>0.2568</v>
      </c>
      <c r="AH165" s="23" t="n">
        <v>4.6</v>
      </c>
      <c r="AI165" s="23" t="n">
        <v>97.69</v>
      </c>
      <c r="AJ165" s="19" t="n">
        <v>0</v>
      </c>
    </row>
    <row r="166">
      <c r="A166" s="16" t="inlineStr">
        <is>
          <t>GLENMARK</t>
        </is>
      </c>
      <c r="B166" s="16" t="inlineStr">
        <is>
          <t>Glenmark Pharmaceuticals Ltd.</t>
        </is>
      </c>
      <c r="C166" s="16" t="inlineStr">
        <is>
          <t>Pharmaceuticals</t>
        </is>
      </c>
      <c r="D166" s="16" t="inlineStr">
        <is>
          <t>Pharmaceuticals &amp; Biotechnology</t>
        </is>
      </c>
      <c r="E166" s="16" t="inlineStr">
        <is>
          <t>INE935A01035</t>
        </is>
      </c>
      <c r="F166" s="17" t="n">
        <v>68783.8</v>
      </c>
      <c r="G166" s="18" t="n">
        <v>2437.2</v>
      </c>
      <c r="H166" s="19" t="n">
        <v>-0.0089</v>
      </c>
      <c r="I166" s="20" t="n">
        <v>63</v>
      </c>
      <c r="J166" s="16" t="inlineStr">
        <is>
          <t>amber</t>
        </is>
      </c>
      <c r="K166" s="20" t="n">
        <v>10</v>
      </c>
      <c r="L166" s="18" t="n">
        <v>62.12</v>
      </c>
      <c r="M166" s="18" t="n">
        <v>2464.07</v>
      </c>
      <c r="N166" s="18" t="n">
        <v>2289.99</v>
      </c>
      <c r="O166" s="18" t="n">
        <v>2160.57</v>
      </c>
      <c r="P166" s="18" t="n">
        <v>2512.5</v>
      </c>
      <c r="Q166" s="18" t="n">
        <v>1808.6</v>
      </c>
      <c r="R166" s="21">
        <f>IF(OR(G166="",P166=""),"",G166/P166-1)</f>
        <v/>
      </c>
      <c r="S166" s="19" t="n">
        <v>0.7695000000000001</v>
      </c>
      <c r="T166" s="22" t="n">
        <v>0.025</v>
      </c>
      <c r="U166" s="16" t="inlineStr">
        <is>
          <t>Yes</t>
        </is>
      </c>
      <c r="V166" s="16" t="inlineStr">
        <is>
          <t>Yes</t>
        </is>
      </c>
      <c r="W166" s="16" t="inlineStr">
        <is>
          <t>No</t>
        </is>
      </c>
      <c r="X166" s="16" t="inlineStr">
        <is>
          <t>Yes</t>
        </is>
      </c>
      <c r="Y166" s="20" t="n">
        <v>294</v>
      </c>
      <c r="Z166" s="19" t="n">
        <v>0.0599</v>
      </c>
      <c r="AA166" s="18" t="n">
        <v>40</v>
      </c>
      <c r="AB166" s="16" t="inlineStr">
        <is>
          <t>Average</t>
        </is>
      </c>
      <c r="AC166" s="16" t="inlineStr">
        <is>
          <t>No</t>
        </is>
      </c>
      <c r="AD166" s="19" t="n">
        <v>0.0189</v>
      </c>
      <c r="AE166" s="19" t="n">
        <v>0.1334</v>
      </c>
      <c r="AF166" s="19" t="n">
        <v>-1.3523</v>
      </c>
      <c r="AG166" s="19" t="n">
        <v>0.1396</v>
      </c>
      <c r="AH166" s="23" t="n">
        <v>0.06</v>
      </c>
      <c r="AI166" s="23" t="n">
        <v>3.87</v>
      </c>
      <c r="AJ166" s="19" t="n">
        <v>0.09910000000000001</v>
      </c>
    </row>
    <row r="167">
      <c r="A167" s="16" t="inlineStr">
        <is>
          <t>NATIONALUM</t>
        </is>
      </c>
      <c r="B167" s="16" t="inlineStr">
        <is>
          <t>National Aluminium Company Ltd.</t>
        </is>
      </c>
      <c r="C167" s="16" t="inlineStr">
        <is>
          <t>Aluminium and Aluminium Products</t>
        </is>
      </c>
      <c r="D167" s="16" t="inlineStr">
        <is>
          <t>Metals &amp; Mining</t>
        </is>
      </c>
      <c r="E167" s="16" t="inlineStr">
        <is>
          <t>INE139A01034</t>
        </is>
      </c>
      <c r="F167" s="17" t="n">
        <v>68708.39999999999</v>
      </c>
      <c r="G167" s="18" t="n">
        <v>374.1</v>
      </c>
      <c r="H167" s="19" t="n">
        <v>0.0003</v>
      </c>
      <c r="I167" s="20" t="n">
        <v>71</v>
      </c>
      <c r="J167" s="16" t="inlineStr">
        <is>
          <t>amber</t>
        </is>
      </c>
      <c r="K167" s="20" t="n">
        <v>5</v>
      </c>
      <c r="L167" s="18" t="n">
        <v>41.49</v>
      </c>
      <c r="M167" s="18" t="n">
        <v>381.89</v>
      </c>
      <c r="N167" s="18" t="n">
        <v>365.55</v>
      </c>
      <c r="O167" s="18" t="n">
        <v>361.45</v>
      </c>
      <c r="P167" s="18" t="n">
        <v>438.2</v>
      </c>
      <c r="Q167" s="18" t="n">
        <v>193.69</v>
      </c>
      <c r="R167" s="21">
        <f>IF(OR(G167="",P167=""),"",G167/P167-1)</f>
        <v/>
      </c>
      <c r="S167" s="19" t="n">
        <v>0.731</v>
      </c>
      <c r="T167" s="22" t="n">
        <v>0.0433</v>
      </c>
      <c r="U167" s="16" t="inlineStr">
        <is>
          <t>Yes</t>
        </is>
      </c>
      <c r="V167" s="16" t="inlineStr">
        <is>
          <t>Yes</t>
        </is>
      </c>
      <c r="W167" s="16" t="inlineStr">
        <is>
          <t>No</t>
        </is>
      </c>
      <c r="X167" s="16" t="inlineStr">
        <is>
          <t>Yes</t>
        </is>
      </c>
      <c r="Y167" s="20" t="n">
        <v>250</v>
      </c>
      <c r="Z167" s="19" t="n">
        <v>0.0113</v>
      </c>
      <c r="AA167" s="18" t="n">
        <v>74.27</v>
      </c>
      <c r="AB167" s="16" t="inlineStr">
        <is>
          <t>High</t>
        </is>
      </c>
      <c r="AC167" s="16" t="inlineStr">
        <is>
          <t>No</t>
        </is>
      </c>
      <c r="AD167" s="19" t="n">
        <v>0.2341</v>
      </c>
      <c r="AE167" s="19" t="n">
        <v>0.3124</v>
      </c>
      <c r="AF167" s="19" t="n">
        <v>0.7118000000000001</v>
      </c>
      <c r="AG167" s="19" t="n">
        <v>0.08710000000000001</v>
      </c>
      <c r="AH167" s="23" t="n">
        <v>0.01</v>
      </c>
      <c r="AI167" s="23" t="n">
        <v>1.25</v>
      </c>
      <c r="AJ167" s="19" t="n">
        <v>0.4647</v>
      </c>
    </row>
    <row r="168">
      <c r="A168" s="16" t="inlineStr">
        <is>
          <t>ASTERDM</t>
        </is>
      </c>
      <c r="B168" s="16" t="inlineStr">
        <is>
          <t>Aster DM Quality Care Ltd.</t>
        </is>
      </c>
      <c r="C168" s="16" t="inlineStr">
        <is>
          <t>Healthcare Facilities</t>
        </is>
      </c>
      <c r="D168" s="16" t="inlineStr">
        <is>
          <t>Healthcare</t>
        </is>
      </c>
      <c r="E168" s="16" t="inlineStr">
        <is>
          <t>INE914M01019</t>
        </is>
      </c>
      <c r="F168" s="17" t="n">
        <v>68491.66</v>
      </c>
      <c r="G168" s="18" t="n">
        <v>785.75</v>
      </c>
      <c r="H168" s="19" t="n">
        <v>-0.0016</v>
      </c>
      <c r="I168" s="20" t="n">
        <v>58</v>
      </c>
      <c r="J168" s="16" t="inlineStr">
        <is>
          <t>red</t>
        </is>
      </c>
      <c r="K168" s="20" t="n">
        <v>1</v>
      </c>
      <c r="L168" s="18" t="n">
        <v>37.85</v>
      </c>
      <c r="M168" s="18" t="n">
        <v>763.97</v>
      </c>
      <c r="N168" s="18" t="n">
        <v>800.6900000000001</v>
      </c>
      <c r="O168" s="18" t="n">
        <v>698.6</v>
      </c>
      <c r="P168" s="18" t="n">
        <v>869.7</v>
      </c>
      <c r="Q168" s="18" t="n">
        <v>535.6</v>
      </c>
      <c r="R168" s="21">
        <f>IF(OR(G168="",P168=""),"",G168/P168-1)</f>
        <v/>
      </c>
      <c r="S168" s="19" t="n">
        <v>0.2765</v>
      </c>
      <c r="T168" s="22" t="n">
        <v>0.015</v>
      </c>
      <c r="U168" s="16" t="inlineStr">
        <is>
          <t>Yes</t>
        </is>
      </c>
      <c r="V168" s="16" t="inlineStr">
        <is>
          <t>No</t>
        </is>
      </c>
      <c r="W168" s="16" t="inlineStr">
        <is>
          <t>Yes</t>
        </is>
      </c>
      <c r="X168" s="16" t="inlineStr">
        <is>
          <t>Yes</t>
        </is>
      </c>
      <c r="Y168" s="20" t="n">
        <v>105</v>
      </c>
      <c r="Z168" s="19" t="n">
        <v>0.1461</v>
      </c>
      <c r="AA168" s="18" t="n">
        <v>55.66</v>
      </c>
      <c r="AB168" s="16" t="inlineStr">
        <is>
          <t>Good</t>
        </is>
      </c>
      <c r="AC168" s="16" t="inlineStr">
        <is>
          <t>No</t>
        </is>
      </c>
      <c r="AD168" s="19" t="n">
        <v>0.5607</v>
      </c>
      <c r="AE168" s="19" t="n">
        <v>0.091</v>
      </c>
      <c r="AF168" s="19" t="n">
        <v>12.9518</v>
      </c>
      <c r="AG168" s="19" t="n">
        <v>0.164</v>
      </c>
      <c r="AH168" s="23" t="n">
        <v>0.49</v>
      </c>
      <c r="AI168" s="23" t="n">
        <v>1.06</v>
      </c>
      <c r="AJ168" s="19" t="n">
        <v>0.0944</v>
      </c>
    </row>
    <row r="169">
      <c r="A169" s="16" t="inlineStr">
        <is>
          <t>PRESTIGE</t>
        </is>
      </c>
      <c r="B169" s="16" t="inlineStr">
        <is>
          <t>Prestige Estates Projects Ltd.</t>
        </is>
      </c>
      <c r="C169" s="16" t="inlineStr">
        <is>
          <t>Realty</t>
        </is>
      </c>
      <c r="D169" s="16" t="inlineStr">
        <is>
          <t>Realty</t>
        </is>
      </c>
      <c r="E169" s="16" t="inlineStr">
        <is>
          <t>INE811K01011</t>
        </is>
      </c>
      <c r="F169" s="17" t="n">
        <v>68356.88</v>
      </c>
      <c r="G169" s="18" t="n">
        <v>1587</v>
      </c>
      <c r="H169" s="19" t="n">
        <v>-0.0175</v>
      </c>
      <c r="I169" s="20" t="n">
        <v>55</v>
      </c>
      <c r="J169" s="16" t="inlineStr">
        <is>
          <t>red</t>
        </is>
      </c>
      <c r="K169" s="20" t="n">
        <v>27</v>
      </c>
      <c r="L169" s="18" t="n">
        <v>49.21</v>
      </c>
      <c r="M169" s="18" t="n">
        <v>1601.66</v>
      </c>
      <c r="N169" s="18" t="n">
        <v>1627.56</v>
      </c>
      <c r="O169" s="18" t="n">
        <v>1497.78</v>
      </c>
      <c r="P169" s="18" t="n">
        <v>1782.56</v>
      </c>
      <c r="Q169" s="18" t="n">
        <v>1125.08</v>
      </c>
      <c r="R169" s="21">
        <f>IF(OR(G169="",P169=""),"",G169/P169-1)</f>
        <v/>
      </c>
      <c r="S169" s="19" t="n">
        <v>1.0415</v>
      </c>
      <c r="T169" s="22" t="n">
        <v>-0.009399999999999999</v>
      </c>
      <c r="U169" s="16" t="inlineStr">
        <is>
          <t>No</t>
        </is>
      </c>
      <c r="V169" s="16" t="inlineStr">
        <is>
          <t>No</t>
        </is>
      </c>
      <c r="W169" s="16" t="inlineStr">
        <is>
          <t>No</t>
        </is>
      </c>
      <c r="X169" s="16" t="inlineStr">
        <is>
          <t>Yes</t>
        </is>
      </c>
      <c r="Y169" s="20" t="n">
        <v>31</v>
      </c>
      <c r="Z169" s="19" t="n">
        <v>0.0866</v>
      </c>
      <c r="AA169" s="18" t="n">
        <v>43.07</v>
      </c>
      <c r="AB169" s="16" t="inlineStr">
        <is>
          <t>Average</t>
        </is>
      </c>
      <c r="AC169" s="16" t="inlineStr">
        <is>
          <t>No</t>
        </is>
      </c>
      <c r="AD169" s="19" t="n">
        <v>0.07519999999999999</v>
      </c>
      <c r="AE169" s="19" t="n">
        <v>0.09910000000000001</v>
      </c>
      <c r="AF169" s="19" t="n">
        <v>0.4222</v>
      </c>
      <c r="AG169" s="19" t="n">
        <v>0.2048</v>
      </c>
      <c r="AH169" s="23" t="n">
        <v>1.09</v>
      </c>
      <c r="AI169" s="23" t="n">
        <v>2.31</v>
      </c>
      <c r="AJ169" s="19" t="n">
        <v>0.4718</v>
      </c>
    </row>
    <row r="170">
      <c r="A170" s="16" t="inlineStr">
        <is>
          <t>WELCORP</t>
        </is>
      </c>
      <c r="B170" s="16" t="inlineStr">
        <is>
          <t>Welspun Corp Ltd.</t>
        </is>
      </c>
      <c r="C170" s="16" t="inlineStr">
        <is>
          <t>Iron &amp; Steel Products</t>
        </is>
      </c>
      <c r="D170" s="16" t="inlineStr">
        <is>
          <t>Metals &amp; Mining</t>
        </is>
      </c>
      <c r="E170" s="16" t="inlineStr">
        <is>
          <t>INE191B01025</t>
        </is>
      </c>
      <c r="F170" s="17" t="n">
        <v>68337.59</v>
      </c>
      <c r="G170" s="18" t="n">
        <v>2590.6</v>
      </c>
      <c r="H170" s="19" t="n">
        <v>-0.0193</v>
      </c>
      <c r="I170" s="20" t="n">
        <v>98</v>
      </c>
      <c r="J170" s="16" t="inlineStr">
        <is>
          <t>green</t>
        </is>
      </c>
      <c r="K170" s="20" t="n">
        <v>107</v>
      </c>
      <c r="L170" s="18" t="n">
        <v>81.08</v>
      </c>
      <c r="M170" s="18" t="n">
        <v>2473.33</v>
      </c>
      <c r="N170" s="18" t="n">
        <v>1853.47</v>
      </c>
      <c r="O170" s="18" t="n">
        <v>1201.37</v>
      </c>
      <c r="P170" s="18" t="n">
        <v>2641.6</v>
      </c>
      <c r="Q170" s="18" t="n">
        <v>719.46</v>
      </c>
      <c r="R170" s="21">
        <f>IF(OR(G170="",P170=""),"",G170/P170-1)</f>
        <v/>
      </c>
      <c r="S170" s="19" t="n">
        <v>0.5633</v>
      </c>
      <c r="T170" s="22" t="n">
        <v>0.121</v>
      </c>
      <c r="U170" s="16" t="inlineStr">
        <is>
          <t>Yes</t>
        </is>
      </c>
      <c r="V170" s="16" t="inlineStr">
        <is>
          <t>Yes</t>
        </is>
      </c>
      <c r="W170" s="16" t="inlineStr">
        <is>
          <t>Yes</t>
        </is>
      </c>
      <c r="X170" s="16" t="inlineStr">
        <is>
          <t>Yes</t>
        </is>
      </c>
      <c r="Y170" s="20" t="n">
        <v>98</v>
      </c>
      <c r="Z170" s="19" t="n">
        <v>0.5428000000000001</v>
      </c>
      <c r="AA170" s="18" t="n">
        <v>72.37</v>
      </c>
      <c r="AB170" s="16" t="inlineStr">
        <is>
          <t>High</t>
        </is>
      </c>
      <c r="AC170" s="16" t="inlineStr">
        <is>
          <t>No</t>
        </is>
      </c>
      <c r="AD170" s="19" t="n">
        <v>0.2099</v>
      </c>
      <c r="AE170" s="19" t="n">
        <v>0.244</v>
      </c>
      <c r="AF170" s="19" t="n">
        <v>1.6401</v>
      </c>
      <c r="AG170" s="19" t="n">
        <v>0.262</v>
      </c>
      <c r="AH170" s="23" t="n">
        <v>0.26</v>
      </c>
      <c r="AI170" s="23" t="n">
        <v>2.12</v>
      </c>
      <c r="AJ170" s="19" t="n">
        <v>0.2037</v>
      </c>
    </row>
    <row r="171">
      <c r="A171" s="16" t="inlineStr">
        <is>
          <t>FORTIS</t>
        </is>
      </c>
      <c r="B171" s="16" t="inlineStr">
        <is>
          <t>Fortis Healthcare Ltd.</t>
        </is>
      </c>
      <c r="C171" s="16" t="inlineStr">
        <is>
          <t>Healthcare Facilities</t>
        </is>
      </c>
      <c r="D171" s="16" t="inlineStr">
        <is>
          <t>Healthcare</t>
        </is>
      </c>
      <c r="E171" s="16" t="inlineStr">
        <is>
          <t>INE061F01013</t>
        </is>
      </c>
      <c r="F171" s="17" t="n">
        <v>68323.71000000001</v>
      </c>
      <c r="G171" s="18" t="n">
        <v>905</v>
      </c>
      <c r="H171" s="19" t="n">
        <v>-0.0136</v>
      </c>
      <c r="I171" s="20" t="n">
        <v>32</v>
      </c>
      <c r="J171" s="16" t="inlineStr">
        <is>
          <t>red</t>
        </is>
      </c>
      <c r="K171" s="20" t="n">
        <v>37</v>
      </c>
      <c r="L171" s="18" t="n">
        <v>48.32</v>
      </c>
      <c r="M171" s="18" t="n">
        <v>914.46</v>
      </c>
      <c r="N171" s="18" t="n">
        <v>938.59</v>
      </c>
      <c r="O171" s="18" t="n">
        <v>912.8200000000001</v>
      </c>
      <c r="P171" s="18" t="n">
        <v>1096.74</v>
      </c>
      <c r="Q171" s="18" t="n">
        <v>787.91</v>
      </c>
      <c r="R171" s="21">
        <f>IF(OR(G171="",P171=""),"",G171/P171-1)</f>
        <v/>
      </c>
      <c r="S171" s="19" t="n">
        <v>0.457</v>
      </c>
      <c r="T171" s="22" t="n">
        <v>-0.009599999999999999</v>
      </c>
      <c r="U171" s="16" t="inlineStr">
        <is>
          <t>No</t>
        </is>
      </c>
      <c r="V171" s="16" t="inlineStr">
        <is>
          <t>No</t>
        </is>
      </c>
      <c r="W171" s="16" t="inlineStr">
        <is>
          <t>No</t>
        </is>
      </c>
      <c r="X171" s="16" t="inlineStr">
        <is>
          <t>Yes</t>
        </is>
      </c>
      <c r="Y171" s="20" t="n">
        <v>61</v>
      </c>
      <c r="Z171" s="19" t="n">
        <v>0.0282</v>
      </c>
      <c r="AA171" s="18" t="n">
        <v>42.31</v>
      </c>
      <c r="AB171" s="16" t="inlineStr">
        <is>
          <t>Average</t>
        </is>
      </c>
      <c r="AC171" s="16" t="inlineStr">
        <is>
          <t>No</t>
        </is>
      </c>
      <c r="AD171" s="19" t="n">
        <v>0.0901</v>
      </c>
      <c r="AE171" s="19" t="n">
        <v>0.1116</v>
      </c>
      <c r="AF171" s="19" t="n">
        <v>0.2185</v>
      </c>
      <c r="AG171" s="19" t="n">
        <v>0.1339</v>
      </c>
      <c r="AH171" s="23" t="n">
        <v>0.35</v>
      </c>
      <c r="AI171" s="23" t="n">
        <v>1.23</v>
      </c>
      <c r="AJ171" s="19" t="n">
        <v>0.0621</v>
      </c>
    </row>
    <row r="172">
      <c r="A172" s="16" t="inlineStr">
        <is>
          <t>OBEROIRLTY</t>
        </is>
      </c>
      <c r="B172" s="16" t="inlineStr">
        <is>
          <t>Oberoi Realty Ltd.</t>
        </is>
      </c>
      <c r="C172" s="16" t="inlineStr">
        <is>
          <t>Realty</t>
        </is>
      </c>
      <c r="D172" s="16" t="inlineStr">
        <is>
          <t>Realty</t>
        </is>
      </c>
      <c r="E172" s="16" t="inlineStr">
        <is>
          <t>INE093I01010</t>
        </is>
      </c>
      <c r="F172" s="17" t="n">
        <v>68197.23</v>
      </c>
      <c r="G172" s="18" t="n">
        <v>1875.6</v>
      </c>
      <c r="H172" s="19" t="n">
        <v>-0.0139</v>
      </c>
      <c r="I172" s="20" t="n">
        <v>64</v>
      </c>
      <c r="J172" s="16" t="inlineStr">
        <is>
          <t>amber</t>
        </is>
      </c>
      <c r="K172" s="20" t="n">
        <v>17</v>
      </c>
      <c r="L172" s="18" t="n">
        <v>39.82</v>
      </c>
      <c r="M172" s="18" t="n">
        <v>1875.65</v>
      </c>
      <c r="N172" s="18" t="n">
        <v>1855.69</v>
      </c>
      <c r="O172" s="18" t="n">
        <v>1669.11</v>
      </c>
      <c r="P172" s="18" t="n">
        <v>1951.29</v>
      </c>
      <c r="Q172" s="18" t="n">
        <v>1408.23</v>
      </c>
      <c r="R172" s="21">
        <f>IF(OR(G172="",P172=""),"",G172/P172-1)</f>
        <v/>
      </c>
      <c r="S172" s="19" t="n">
        <v>1.2802</v>
      </c>
      <c r="T172" s="22" t="n">
        <v>0.0077</v>
      </c>
      <c r="U172" s="16" t="inlineStr">
        <is>
          <t>Yes</t>
        </is>
      </c>
      <c r="V172" s="16" t="inlineStr">
        <is>
          <t>Yes</t>
        </is>
      </c>
      <c r="W172" s="16" t="inlineStr">
        <is>
          <t>No</t>
        </is>
      </c>
      <c r="X172" s="16" t="inlineStr">
        <is>
          <t>Yes</t>
        </is>
      </c>
      <c r="Y172" s="20" t="n">
        <v>70</v>
      </c>
      <c r="Z172" s="19" t="n">
        <v>0.1118</v>
      </c>
      <c r="AA172" s="18" t="n">
        <v>56.71</v>
      </c>
      <c r="AB172" s="16" t="inlineStr">
        <is>
          <t>Good</t>
        </is>
      </c>
      <c r="AC172" s="16" t="inlineStr">
        <is>
          <t>No</t>
        </is>
      </c>
      <c r="AD172" s="19" t="n">
        <v>0.1403</v>
      </c>
      <c r="AE172" s="19" t="n">
        <v>0.1672</v>
      </c>
      <c r="AF172" s="19" t="n">
        <v>0.0978</v>
      </c>
      <c r="AG172" s="19" t="n">
        <v>0.13</v>
      </c>
      <c r="AH172" s="23" t="n">
        <v>0.16</v>
      </c>
      <c r="AI172" s="23" t="n">
        <v>2.56</v>
      </c>
      <c r="AJ172" s="19" t="n">
        <v>0.8943000000000001</v>
      </c>
    </row>
    <row r="173">
      <c r="A173" s="16" t="inlineStr">
        <is>
          <t>DABUR</t>
        </is>
      </c>
      <c r="B173" s="16" t="inlineStr">
        <is>
          <t>Dabur India Ltd.</t>
        </is>
      </c>
      <c r="C173" s="16" t="inlineStr">
        <is>
          <t>Personal Products</t>
        </is>
      </c>
      <c r="D173" s="16" t="inlineStr">
        <is>
          <t>FMCG</t>
        </is>
      </c>
      <c r="E173" s="16" t="inlineStr">
        <is>
          <t>INE016A01026</t>
        </is>
      </c>
      <c r="F173" s="17" t="n">
        <v>67570.02</v>
      </c>
      <c r="G173" s="18" t="n">
        <v>380.9</v>
      </c>
      <c r="H173" s="19" t="n">
        <v>0.0005</v>
      </c>
      <c r="I173" s="20" t="n">
        <v>9</v>
      </c>
      <c r="J173" s="16" t="inlineStr">
        <is>
          <t>red</t>
        </is>
      </c>
      <c r="K173" s="20" t="n">
        <v>119</v>
      </c>
      <c r="L173" s="18" t="n">
        <v>15.19</v>
      </c>
      <c r="M173" s="18" t="n">
        <v>383.75</v>
      </c>
      <c r="N173" s="18" t="n">
        <v>415.01</v>
      </c>
      <c r="O173" s="18" t="n">
        <v>454.98</v>
      </c>
      <c r="P173" s="18" t="n">
        <v>542.76</v>
      </c>
      <c r="Q173" s="18" t="n">
        <v>379</v>
      </c>
      <c r="R173" s="21">
        <f>IF(OR(G173="",P173=""),"",G173/P173-1)</f>
        <v/>
      </c>
      <c r="S173" s="19" t="n">
        <v>0.8371999999999999</v>
      </c>
      <c r="T173" s="22" t="n">
        <v>-0.0234</v>
      </c>
      <c r="U173" s="16" t="inlineStr">
        <is>
          <t>No</t>
        </is>
      </c>
      <c r="V173" s="16" t="inlineStr">
        <is>
          <t>No</t>
        </is>
      </c>
      <c r="W173" s="16" t="inlineStr">
        <is>
          <t>No</t>
        </is>
      </c>
      <c r="X173" s="16" t="inlineStr">
        <is>
          <t>No</t>
        </is>
      </c>
      <c r="Y173" s="20" t="n">
        <v>119</v>
      </c>
      <c r="Z173" s="19" t="n">
        <v>-0.08779999999999999</v>
      </c>
      <c r="AA173" s="18" t="n">
        <v>56.86</v>
      </c>
      <c r="AB173" s="16" t="inlineStr">
        <is>
          <t>Good</t>
        </is>
      </c>
      <c r="AC173" s="16" t="inlineStr">
        <is>
          <t>No</t>
        </is>
      </c>
      <c r="AD173" s="19" t="n">
        <v>0.1721</v>
      </c>
      <c r="AE173" s="19" t="n">
        <v>0.2083</v>
      </c>
      <c r="AF173" s="19" t="n">
        <v>0.0367</v>
      </c>
      <c r="AG173" s="19" t="n">
        <v>0.0454</v>
      </c>
      <c r="AH173" s="23" t="n">
        <v>0.11</v>
      </c>
      <c r="AI173" s="23" t="n">
        <v>4.38</v>
      </c>
      <c r="AJ173" s="19" t="n">
        <v>0.0462</v>
      </c>
    </row>
    <row r="174">
      <c r="A174" s="16" t="inlineStr">
        <is>
          <t>ATGL</t>
        </is>
      </c>
      <c r="B174" s="16" t="inlineStr">
        <is>
          <t>Adani Total Gas Ltd.</t>
        </is>
      </c>
      <c r="C174" s="16" t="inlineStr">
        <is>
          <t>Utilities:Non-Electrical</t>
        </is>
      </c>
      <c r="D174" s="16" t="inlineStr">
        <is>
          <t>Utilities</t>
        </is>
      </c>
      <c r="E174" s="16" t="inlineStr">
        <is>
          <t>INE399L01023</t>
        </is>
      </c>
      <c r="F174" s="17" t="n">
        <v>67346.87</v>
      </c>
      <c r="G174" s="18" t="n">
        <v>612.35</v>
      </c>
      <c r="H174" s="19" t="n">
        <v>-0.0028</v>
      </c>
      <c r="I174" s="20" t="n">
        <v>37</v>
      </c>
      <c r="J174" s="16" t="inlineStr">
        <is>
          <t>red</t>
        </is>
      </c>
      <c r="K174" s="20" t="n">
        <v>17</v>
      </c>
      <c r="L174" s="18" t="n">
        <v>29.27</v>
      </c>
      <c r="M174" s="18" t="n">
        <v>625.22</v>
      </c>
      <c r="N174" s="18" t="n">
        <v>672.1900000000001</v>
      </c>
      <c r="O174" s="18" t="n">
        <v>614.4299999999999</v>
      </c>
      <c r="P174" s="18" t="n">
        <v>808.27</v>
      </c>
      <c r="Q174" s="18" t="n">
        <v>467.74</v>
      </c>
      <c r="R174" s="21">
        <f>IF(OR(G174="",P174=""),"",G174/P174-1)</f>
        <v/>
      </c>
      <c r="S174" s="19" t="n">
        <v>0.5106000000000001</v>
      </c>
      <c r="T174" s="22" t="n">
        <v>0.0034</v>
      </c>
      <c r="U174" s="16" t="inlineStr">
        <is>
          <t>Yes</t>
        </is>
      </c>
      <c r="V174" s="16" t="inlineStr">
        <is>
          <t>No</t>
        </is>
      </c>
      <c r="W174" s="16" t="inlineStr">
        <is>
          <t>No</t>
        </is>
      </c>
      <c r="X174" s="16" t="inlineStr">
        <is>
          <t>Yes</t>
        </is>
      </c>
      <c r="Y174" s="20" t="n">
        <v>75</v>
      </c>
      <c r="Z174" s="19" t="n">
        <v>0.094</v>
      </c>
      <c r="AA174" s="18" t="n">
        <v>46.23</v>
      </c>
      <c r="AB174" s="16" t="inlineStr">
        <is>
          <t>Average</t>
        </is>
      </c>
      <c r="AC174" s="16" t="inlineStr">
        <is>
          <t>No</t>
        </is>
      </c>
      <c r="AD174" s="19" t="n">
        <v>0.1589</v>
      </c>
      <c r="AE174" s="19" t="n">
        <v>0.1606</v>
      </c>
      <c r="AF174" s="19" t="n">
        <v>0.0677</v>
      </c>
      <c r="AG174" s="19" t="n">
        <v>0.106</v>
      </c>
      <c r="AH174" s="23" t="n">
        <v>0.59</v>
      </c>
      <c r="AI174" s="23" t="n">
        <v>0.9399999999999999</v>
      </c>
      <c r="AJ174" s="19" t="n">
        <v>0.3195</v>
      </c>
    </row>
    <row r="175">
      <c r="A175" s="16" t="inlineStr">
        <is>
          <t>MAHABANK</t>
        </is>
      </c>
      <c r="B175" s="16" t="inlineStr">
        <is>
          <t>Bank of Maharashtra</t>
        </is>
      </c>
      <c r="C175" s="16" t="inlineStr">
        <is>
          <t>Banks</t>
        </is>
      </c>
      <c r="D175" s="16" t="inlineStr">
        <is>
          <t>Banking and Finance</t>
        </is>
      </c>
      <c r="E175" s="16" t="inlineStr">
        <is>
          <t>INE457A01014</t>
        </is>
      </c>
      <c r="F175" s="17" t="n">
        <v>66108.92</v>
      </c>
      <c r="G175" s="18" t="n">
        <v>85.95</v>
      </c>
      <c r="H175" s="19" t="n">
        <v>-0.0043</v>
      </c>
      <c r="I175" s="20" t="n">
        <v>76</v>
      </c>
      <c r="J175" s="16" t="inlineStr">
        <is>
          <t>amber</t>
        </is>
      </c>
      <c r="K175" s="20" t="n">
        <v>39</v>
      </c>
      <c r="L175" s="18" t="n">
        <v>65.3</v>
      </c>
      <c r="M175" s="18" t="n">
        <v>84.19</v>
      </c>
      <c r="N175" s="18" t="n">
        <v>82.16</v>
      </c>
      <c r="O175" s="18" t="n">
        <v>72.15000000000001</v>
      </c>
      <c r="P175" s="18" t="n">
        <v>93.84999999999999</v>
      </c>
      <c r="Q175" s="18" t="n">
        <v>50.49</v>
      </c>
      <c r="R175" s="21">
        <f>IF(OR(G175="",P175=""),"",G175/P175-1)</f>
        <v/>
      </c>
      <c r="S175" s="19" t="n">
        <v>0.9832</v>
      </c>
      <c r="T175" s="22" t="n">
        <v>0.0355</v>
      </c>
      <c r="U175" s="16" t="inlineStr">
        <is>
          <t>Yes</t>
        </is>
      </c>
      <c r="V175" s="16" t="inlineStr">
        <is>
          <t>Yes</t>
        </is>
      </c>
      <c r="W175" s="16" t="inlineStr">
        <is>
          <t>Yes</t>
        </is>
      </c>
      <c r="X175" s="16" t="inlineStr">
        <is>
          <t>Yes</t>
        </is>
      </c>
      <c r="Y175" s="20" t="n">
        <v>304</v>
      </c>
      <c r="Z175" s="19" t="n">
        <v>0.1388</v>
      </c>
      <c r="AA175" s="18" t="n">
        <v>72.40000000000001</v>
      </c>
      <c r="AB175" s="16" t="inlineStr">
        <is>
          <t>High</t>
        </is>
      </c>
      <c r="AC175" s="16" t="inlineStr">
        <is>
          <t>Yes</t>
        </is>
      </c>
      <c r="AD175" s="19" t="n">
        <v>0.203</v>
      </c>
      <c r="AE175" s="19" t="n"/>
      <c r="AF175" s="19" t="n">
        <v>0.336</v>
      </c>
      <c r="AG175" s="19" t="n">
        <v>0.1558</v>
      </c>
      <c r="AH175" s="23" t="n">
        <v>1.06</v>
      </c>
      <c r="AI175" s="23" t="n">
        <v>5.34</v>
      </c>
      <c r="AJ175" s="19" t="n">
        <v>0.0027</v>
      </c>
    </row>
    <row r="176">
      <c r="A176" s="16" t="inlineStr">
        <is>
          <t>BANKINDIA</t>
        </is>
      </c>
      <c r="B176" s="16" t="inlineStr">
        <is>
          <t>Bank of India</t>
        </is>
      </c>
      <c r="C176" s="16" t="inlineStr">
        <is>
          <t>Banks</t>
        </is>
      </c>
      <c r="D176" s="16" t="inlineStr">
        <is>
          <t>Banking and Finance</t>
        </is>
      </c>
      <c r="E176" s="16" t="inlineStr">
        <is>
          <t>INE084A01016</t>
        </is>
      </c>
      <c r="F176" s="17" t="n">
        <v>66013.67999999999</v>
      </c>
      <c r="G176" s="18" t="n">
        <v>145</v>
      </c>
      <c r="H176" s="19" t="n">
        <v>0</v>
      </c>
      <c r="I176" s="20" t="n">
        <v>49</v>
      </c>
      <c r="J176" s="16" t="inlineStr">
        <is>
          <t>red</t>
        </is>
      </c>
      <c r="K176" s="20" t="n">
        <v>30</v>
      </c>
      <c r="L176" s="18" t="n">
        <v>53.99</v>
      </c>
      <c r="M176" s="18" t="n">
        <v>143.95</v>
      </c>
      <c r="N176" s="18" t="n">
        <v>142.44</v>
      </c>
      <c r="O176" s="18" t="n">
        <v>144.64</v>
      </c>
      <c r="P176" s="18" t="n">
        <v>171.59</v>
      </c>
      <c r="Q176" s="18" t="n">
        <v>108.59</v>
      </c>
      <c r="R176" s="21">
        <f>IF(OR(G176="",P176=""),"",G176/P176-1)</f>
        <v/>
      </c>
      <c r="S176" s="19" t="n">
        <v>0.4284000000000001</v>
      </c>
      <c r="T176" s="22" t="n">
        <v>0.004099999999999999</v>
      </c>
      <c r="U176" s="16" t="inlineStr">
        <is>
          <t>Yes</t>
        </is>
      </c>
      <c r="V176" s="16" t="inlineStr">
        <is>
          <t>Yes</t>
        </is>
      </c>
      <c r="W176" s="16" t="inlineStr">
        <is>
          <t>Yes</t>
        </is>
      </c>
      <c r="X176" s="16" t="inlineStr">
        <is>
          <t>No</t>
        </is>
      </c>
      <c r="Y176" s="20" t="n">
        <v>49</v>
      </c>
      <c r="Z176" s="19" t="n">
        <v>-0.0152</v>
      </c>
      <c r="AA176" s="18" t="n">
        <v>52.85</v>
      </c>
      <c r="AB176" s="16" t="inlineStr">
        <is>
          <t>Good</t>
        </is>
      </c>
      <c r="AC176" s="16" t="inlineStr">
        <is>
          <t>Yes</t>
        </is>
      </c>
      <c r="AD176" s="19" t="n">
        <v>0.1086</v>
      </c>
      <c r="AE176" s="19" t="n"/>
      <c r="AF176" s="19" t="n">
        <v>0.3633</v>
      </c>
      <c r="AG176" s="19" t="n">
        <v>0.07389999999999999</v>
      </c>
      <c r="AH176" s="23" t="n">
        <v>1.19</v>
      </c>
      <c r="AI176" s="23" t="n">
        <v>2.74</v>
      </c>
      <c r="AJ176" s="19" t="n">
        <v>0.0174</v>
      </c>
    </row>
    <row r="177">
      <c r="A177" s="16" t="inlineStr">
        <is>
          <t>TORNTPOWER</t>
        </is>
      </c>
      <c r="B177" s="16" t="inlineStr">
        <is>
          <t>Torrent Power Ltd.</t>
        </is>
      </c>
      <c r="C177" s="16" t="inlineStr">
        <is>
          <t>Power - Electric Utilities</t>
        </is>
      </c>
      <c r="D177" s="16" t="inlineStr">
        <is>
          <t>Utilities</t>
        </is>
      </c>
      <c r="E177" s="16" t="inlineStr">
        <is>
          <t>INE813H01021</t>
        </is>
      </c>
      <c r="F177" s="17" t="n">
        <v>65462.1</v>
      </c>
      <c r="G177" s="18" t="n">
        <v>1299.1</v>
      </c>
      <c r="H177" s="19" t="n">
        <v>0.0076</v>
      </c>
      <c r="I177" s="20" t="n">
        <v>29</v>
      </c>
      <c r="J177" s="16" t="inlineStr">
        <is>
          <t>red</t>
        </is>
      </c>
      <c r="K177" s="20" t="n">
        <v>73</v>
      </c>
      <c r="L177" s="18" t="n">
        <v>46.9</v>
      </c>
      <c r="M177" s="18" t="n">
        <v>1247.24</v>
      </c>
      <c r="N177" s="18" t="n">
        <v>1351.86</v>
      </c>
      <c r="O177" s="18" t="n">
        <v>1405.29</v>
      </c>
      <c r="P177" s="18" t="n">
        <v>1766.38</v>
      </c>
      <c r="Q177" s="18" t="n">
        <v>1183.59</v>
      </c>
      <c r="R177" s="21">
        <f>IF(OR(G177="",P177=""),"",G177/P177-1)</f>
        <v/>
      </c>
      <c r="S177" s="19" t="n">
        <v>0.965</v>
      </c>
      <c r="T177" s="22" t="n">
        <v>-0.0015</v>
      </c>
      <c r="U177" s="16" t="inlineStr">
        <is>
          <t>No</t>
        </is>
      </c>
      <c r="V177" s="16" t="inlineStr">
        <is>
          <t>No</t>
        </is>
      </c>
      <c r="W177" s="16" t="inlineStr">
        <is>
          <t>Yes</t>
        </is>
      </c>
      <c r="X177" s="16" t="inlineStr">
        <is>
          <t>No</t>
        </is>
      </c>
      <c r="Y177" s="20" t="n">
        <v>18</v>
      </c>
      <c r="Z177" s="19" t="n">
        <v>-0.038</v>
      </c>
      <c r="AA177" s="18" t="n">
        <v>40.24</v>
      </c>
      <c r="AB177" s="16" t="inlineStr">
        <is>
          <t>Average</t>
        </is>
      </c>
      <c r="AC177" s="16" t="inlineStr">
        <is>
          <t>No</t>
        </is>
      </c>
      <c r="AD177" s="19" t="n">
        <v>0.1495</v>
      </c>
      <c r="AE177" s="19" t="n">
        <v>0.1455</v>
      </c>
      <c r="AF177" s="19" t="n">
        <v>0.08470000000000001</v>
      </c>
      <c r="AG177" s="19" t="n">
        <v>0.04099999999999999</v>
      </c>
      <c r="AH177" s="23" t="n">
        <v>0.73</v>
      </c>
      <c r="AI177" s="23" t="n">
        <v>0.84</v>
      </c>
      <c r="AJ177" s="19" t="n">
        <v>0.2728</v>
      </c>
    </row>
    <row r="178">
      <c r="A178" s="16" t="inlineStr">
        <is>
          <t>BIOCON</t>
        </is>
      </c>
      <c r="B178" s="16" t="inlineStr">
        <is>
          <t>Biocon Ltd.</t>
        </is>
      </c>
      <c r="C178" s="16" t="inlineStr">
        <is>
          <t>Biotechnology</t>
        </is>
      </c>
      <c r="D178" s="16" t="inlineStr">
        <is>
          <t>Pharmaceuticals &amp; Biotechnology</t>
        </is>
      </c>
      <c r="E178" s="16" t="inlineStr">
        <is>
          <t>INE376G01013</t>
        </is>
      </c>
      <c r="F178" s="17" t="n">
        <v>64764.04</v>
      </c>
      <c r="G178" s="18" t="n">
        <v>397.4</v>
      </c>
      <c r="H178" s="19" t="n">
        <v>-0.0114</v>
      </c>
      <c r="I178" s="20" t="n">
        <v>41</v>
      </c>
      <c r="J178" s="16" t="inlineStr">
        <is>
          <t>red</t>
        </is>
      </c>
      <c r="K178" s="20" t="n">
        <v>21</v>
      </c>
      <c r="L178" s="18" t="n">
        <v>36.36</v>
      </c>
      <c r="M178" s="18" t="n">
        <v>407.56</v>
      </c>
      <c r="N178" s="18" t="n">
        <v>421.03</v>
      </c>
      <c r="O178" s="18" t="n">
        <v>395.6</v>
      </c>
      <c r="P178" s="18" t="n">
        <v>440.7</v>
      </c>
      <c r="Q178" s="18" t="n">
        <v>338.5</v>
      </c>
      <c r="R178" s="21">
        <f>IF(OR(G178="",P178=""),"",G178/P178-1)</f>
        <v/>
      </c>
      <c r="S178" s="19" t="n">
        <v>1.0016</v>
      </c>
      <c r="T178" s="22" t="n">
        <v>0.0072</v>
      </c>
      <c r="U178" s="16" t="inlineStr">
        <is>
          <t>Yes</t>
        </is>
      </c>
      <c r="V178" s="16" t="inlineStr">
        <is>
          <t>No</t>
        </is>
      </c>
      <c r="W178" s="16" t="inlineStr">
        <is>
          <t>No</t>
        </is>
      </c>
      <c r="X178" s="16" t="inlineStr">
        <is>
          <t>Yes</t>
        </is>
      </c>
      <c r="Y178" s="20" t="n">
        <v>78</v>
      </c>
      <c r="Z178" s="19" t="n">
        <v>0.0643</v>
      </c>
      <c r="AA178" s="18" t="n">
        <v>35.7</v>
      </c>
      <c r="AB178" s="16" t="inlineStr">
        <is>
          <t>Weak</t>
        </is>
      </c>
      <c r="AC178" s="16" t="inlineStr">
        <is>
          <t>No</t>
        </is>
      </c>
      <c r="AD178" s="19" t="n">
        <v>0.0366</v>
      </c>
      <c r="AE178" s="19" t="n">
        <v>0.0557</v>
      </c>
      <c r="AF178" s="19" t="n">
        <v>0.1769</v>
      </c>
      <c r="AG178" s="19" t="n">
        <v>0.1578</v>
      </c>
      <c r="AH178" s="23" t="n">
        <v>0.45</v>
      </c>
      <c r="AI178" s="23" t="n">
        <v>1.14</v>
      </c>
      <c r="AJ178" s="19" t="n">
        <v>0.3179</v>
      </c>
    </row>
    <row r="179">
      <c r="A179" s="16" t="inlineStr">
        <is>
          <t>IOB</t>
        </is>
      </c>
      <c r="B179" s="16" t="inlineStr">
        <is>
          <t>Indian Overseas Bank</t>
        </is>
      </c>
      <c r="C179" s="16" t="inlineStr">
        <is>
          <t>Banks</t>
        </is>
      </c>
      <c r="D179" s="16" t="inlineStr">
        <is>
          <t>Banking and Finance</t>
        </is>
      </c>
      <c r="E179" s="16" t="inlineStr">
        <is>
          <t>INE565A01014</t>
        </is>
      </c>
      <c r="F179" s="17" t="n">
        <v>64605.86</v>
      </c>
      <c r="G179" s="18" t="n">
        <v>33.55</v>
      </c>
      <c r="H179" s="19" t="n">
        <v>0.009599999999999999</v>
      </c>
      <c r="I179" s="20" t="n">
        <v>29</v>
      </c>
      <c r="J179" s="16" t="inlineStr">
        <is>
          <t>red</t>
        </is>
      </c>
      <c r="K179" s="20" t="n">
        <v>501</v>
      </c>
      <c r="L179" s="18" t="n">
        <v>48.25</v>
      </c>
      <c r="M179" s="18" t="n">
        <v>32.88</v>
      </c>
      <c r="N179" s="18" t="n">
        <v>33.77</v>
      </c>
      <c r="O179" s="18" t="n">
        <v>34.63</v>
      </c>
      <c r="P179" s="18" t="n">
        <v>40.88</v>
      </c>
      <c r="Q179" s="18" t="n">
        <v>31.38</v>
      </c>
      <c r="R179" s="21">
        <f>IF(OR(G179="",P179=""),"",G179/P179-1)</f>
        <v/>
      </c>
      <c r="S179" s="19" t="n">
        <v>1.1937</v>
      </c>
      <c r="T179" s="22" t="n">
        <v>-0.0186</v>
      </c>
      <c r="U179" s="16" t="inlineStr">
        <is>
          <t>No</t>
        </is>
      </c>
      <c r="V179" s="16" t="inlineStr">
        <is>
          <t>No</t>
        </is>
      </c>
      <c r="W179" s="16" t="inlineStr">
        <is>
          <t>Yes</t>
        </is>
      </c>
      <c r="X179" s="16" t="inlineStr">
        <is>
          <t>No</t>
        </is>
      </c>
      <c r="Y179" s="20" t="n">
        <v>181</v>
      </c>
      <c r="Z179" s="19" t="n">
        <v>-0.0246</v>
      </c>
      <c r="AA179" s="18" t="n">
        <v>57.84</v>
      </c>
      <c r="AB179" s="16" t="inlineStr">
        <is>
          <t>Good</t>
        </is>
      </c>
      <c r="AC179" s="16" t="inlineStr">
        <is>
          <t>Yes</t>
        </is>
      </c>
      <c r="AD179" s="19" t="n">
        <v>0.1162</v>
      </c>
      <c r="AE179" s="19" t="n"/>
      <c r="AF179" s="19" t="n">
        <v>0.3362</v>
      </c>
      <c r="AG179" s="19" t="n">
        <v>0.1444</v>
      </c>
      <c r="AH179" s="23" t="n">
        <v>1.4</v>
      </c>
      <c r="AI179" s="23" t="n">
        <v>3.63</v>
      </c>
      <c r="AJ179" s="19" t="n">
        <v>0.0133</v>
      </c>
    </row>
    <row r="180">
      <c r="A180" s="16" t="inlineStr">
        <is>
          <t>RBLBANK</t>
        </is>
      </c>
      <c r="B180" s="16" t="inlineStr">
        <is>
          <t>RBL Bank Ltd.</t>
        </is>
      </c>
      <c r="C180" s="16" t="inlineStr">
        <is>
          <t>Banks</t>
        </is>
      </c>
      <c r="D180" s="16" t="inlineStr">
        <is>
          <t>Banking and Finance</t>
        </is>
      </c>
      <c r="E180" s="16" t="inlineStr">
        <is>
          <t>INE976G01028</t>
        </is>
      </c>
      <c r="F180" s="17" t="n">
        <v>64263.17</v>
      </c>
      <c r="G180" s="18" t="n">
        <v>414.35</v>
      </c>
      <c r="H180" s="19" t="n">
        <v>0.0153</v>
      </c>
      <c r="I180" s="20" t="n">
        <v>77</v>
      </c>
      <c r="J180" s="16" t="inlineStr">
        <is>
          <t>amber</t>
        </is>
      </c>
      <c r="K180" s="20" t="n">
        <v>51</v>
      </c>
      <c r="L180" s="18" t="n">
        <v>74.91</v>
      </c>
      <c r="M180" s="18" t="n">
        <v>390.33</v>
      </c>
      <c r="N180" s="18" t="n">
        <v>376.77</v>
      </c>
      <c r="O180" s="18" t="n">
        <v>333.51</v>
      </c>
      <c r="P180" s="18" t="n">
        <v>414.35</v>
      </c>
      <c r="Q180" s="18" t="n">
        <v>263.72</v>
      </c>
      <c r="R180" s="21">
        <f>IF(OR(G180="",P180=""),"",G180/P180-1)</f>
        <v/>
      </c>
      <c r="S180" s="19" t="n">
        <v>2.0598</v>
      </c>
      <c r="T180" s="22" t="n">
        <v>0.0207</v>
      </c>
      <c r="U180" s="16" t="inlineStr">
        <is>
          <t>Yes</t>
        </is>
      </c>
      <c r="V180" s="16" t="inlineStr">
        <is>
          <t>Yes</t>
        </is>
      </c>
      <c r="W180" s="16" t="inlineStr">
        <is>
          <t>Yes</t>
        </is>
      </c>
      <c r="X180" s="16" t="inlineStr">
        <is>
          <t>Yes</t>
        </is>
      </c>
      <c r="Y180" s="20" t="n">
        <v>327</v>
      </c>
      <c r="Z180" s="19" t="n">
        <v>0.1297</v>
      </c>
      <c r="AA180" s="18" t="n">
        <v>32.75</v>
      </c>
      <c r="AB180" s="16" t="inlineStr">
        <is>
          <t>Poor</t>
        </is>
      </c>
      <c r="AC180" s="16" t="inlineStr">
        <is>
          <t>Yes</t>
        </is>
      </c>
      <c r="AD180" s="19" t="n">
        <v>0.0611</v>
      </c>
      <c r="AE180" s="19" t="n"/>
      <c r="AF180" s="19" t="n">
        <v>0.0386</v>
      </c>
      <c r="AG180" s="19" t="n">
        <v>0.1252</v>
      </c>
      <c r="AH180" s="23" t="n">
        <v>1.06</v>
      </c>
      <c r="AI180" s="23" t="n">
        <v>18.05</v>
      </c>
      <c r="AJ180" s="19" t="n">
        <v>0.0353</v>
      </c>
    </row>
    <row r="181">
      <c r="A181" s="16" t="inlineStr">
        <is>
          <t>GICRE</t>
        </is>
      </c>
      <c r="B181" s="16" t="inlineStr">
        <is>
          <t>General Insurance Corporation of India</t>
        </is>
      </c>
      <c r="C181" s="16" t="inlineStr">
        <is>
          <t>General Insurance</t>
        </is>
      </c>
      <c r="D181" s="16" t="inlineStr">
        <is>
          <t>Banking and Finance</t>
        </is>
      </c>
      <c r="E181" s="16" t="inlineStr">
        <is>
          <t>INE481Y01014</t>
        </is>
      </c>
      <c r="F181" s="17" t="n">
        <v>62886.47</v>
      </c>
      <c r="G181" s="18" t="n">
        <v>358.45</v>
      </c>
      <c r="H181" s="19" t="n">
        <v>0.0453</v>
      </c>
      <c r="I181" s="20" t="n">
        <v>36</v>
      </c>
      <c r="J181" s="16" t="inlineStr">
        <is>
          <t>red</t>
        </is>
      </c>
      <c r="K181" s="20" t="n">
        <v>89</v>
      </c>
      <c r="L181" s="18" t="n">
        <v>71.05</v>
      </c>
      <c r="M181" s="18" t="n">
        <v>342.79</v>
      </c>
      <c r="N181" s="18" t="n">
        <v>345.31</v>
      </c>
      <c r="O181" s="18" t="n">
        <v>360.47</v>
      </c>
      <c r="P181" s="18" t="n">
        <v>394.12</v>
      </c>
      <c r="Q181" s="18" t="n">
        <v>335.25</v>
      </c>
      <c r="R181" s="21">
        <f>IF(OR(G181="",P181=""),"",G181/P181-1)</f>
        <v/>
      </c>
      <c r="S181" s="19" t="n">
        <v>5.4551</v>
      </c>
      <c r="T181" s="22" t="n">
        <v>-0.0077</v>
      </c>
      <c r="U181" s="16" t="inlineStr">
        <is>
          <t>No</t>
        </is>
      </c>
      <c r="V181" s="16" t="inlineStr">
        <is>
          <t>Yes</t>
        </is>
      </c>
      <c r="W181" s="16" t="inlineStr">
        <is>
          <t>Yes</t>
        </is>
      </c>
      <c r="X181" s="16" t="inlineStr">
        <is>
          <t>No</t>
        </is>
      </c>
      <c r="Y181" s="20" t="n">
        <v>42</v>
      </c>
      <c r="Z181" s="19" t="n">
        <v>-0.0421</v>
      </c>
      <c r="AA181" s="18" t="n">
        <v>46.86</v>
      </c>
      <c r="AB181" s="16" t="inlineStr">
        <is>
          <t>Average</t>
        </is>
      </c>
      <c r="AC181" s="16" t="inlineStr">
        <is>
          <t>Yes</t>
        </is>
      </c>
      <c r="AD181" s="19" t="n">
        <v>0.1263</v>
      </c>
      <c r="AE181" s="19" t="n">
        <v>0.1471</v>
      </c>
      <c r="AF181" s="19" t="n">
        <v>0.1266</v>
      </c>
      <c r="AG181" s="19" t="n">
        <v>0.0381</v>
      </c>
      <c r="AH181" s="23" t="n">
        <v>0</v>
      </c>
      <c r="AI181" s="23" t="n">
        <v>176.9</v>
      </c>
      <c r="AJ181" s="19" t="n">
        <v>0</v>
      </c>
    </row>
    <row r="182">
      <c r="A182" s="16" t="inlineStr">
        <is>
          <t>ATHERENERG</t>
        </is>
      </c>
      <c r="B182" s="16" t="inlineStr">
        <is>
          <t>Ather Energy Ltd.</t>
        </is>
      </c>
      <c r="C182" s="16" t="inlineStr">
        <is>
          <t>2/3 Wheelers</t>
        </is>
      </c>
      <c r="D182" s="16" t="inlineStr">
        <is>
          <t>Automobiles &amp; Auto Components</t>
        </is>
      </c>
      <c r="E182" s="16" t="inlineStr">
        <is>
          <t>INE0LEZ01016</t>
        </is>
      </c>
      <c r="F182" s="17" t="n">
        <v>62822.04</v>
      </c>
      <c r="G182" s="18" t="n">
        <v>1584</v>
      </c>
      <c r="H182" s="19" t="n">
        <v>-0.0335</v>
      </c>
      <c r="I182" s="20" t="n">
        <v>96</v>
      </c>
      <c r="J182" s="16" t="inlineStr">
        <is>
          <t>green</t>
        </is>
      </c>
      <c r="K182" s="20" t="n">
        <v>273</v>
      </c>
      <c r="L182" s="18" t="n">
        <v>59.48</v>
      </c>
      <c r="M182" s="18" t="n">
        <v>1619.81</v>
      </c>
      <c r="N182" s="18" t="n">
        <v>1362.18</v>
      </c>
      <c r="O182" s="18" t="n">
        <v>931.97</v>
      </c>
      <c r="P182" s="18" t="n">
        <v>1725.6</v>
      </c>
      <c r="Q182" s="18" t="n">
        <v>487.05</v>
      </c>
      <c r="R182" s="21">
        <f>IF(OR(G182="",P182=""),"",G182/P182-1)</f>
        <v/>
      </c>
      <c r="S182" s="19" t="n">
        <v>1.0665</v>
      </c>
      <c r="T182" s="22" t="n">
        <v>0.1011</v>
      </c>
      <c r="U182" s="16" t="inlineStr">
        <is>
          <t>Yes</t>
        </is>
      </c>
      <c r="V182" s="16" t="inlineStr">
        <is>
          <t>Yes</t>
        </is>
      </c>
      <c r="W182" s="16" t="inlineStr">
        <is>
          <t>No</t>
        </is>
      </c>
      <c r="X182" s="16" t="inlineStr">
        <is>
          <t>Yes</t>
        </is>
      </c>
      <c r="Y182" s="20" t="n">
        <v>138</v>
      </c>
      <c r="Z182" s="19" t="n">
        <v>0.4616</v>
      </c>
      <c r="AA182" s="18" t="n">
        <v>40.22</v>
      </c>
      <c r="AB182" s="16" t="inlineStr">
        <is>
          <t>Average</t>
        </is>
      </c>
      <c r="AC182" s="16" t="inlineStr">
        <is>
          <t>No</t>
        </is>
      </c>
      <c r="AD182" s="19" t="n">
        <v>-1.2633</v>
      </c>
      <c r="AE182" s="19" t="n">
        <v>-0.5748</v>
      </c>
      <c r="AF182" s="19" t="n">
        <v>0.1221</v>
      </c>
      <c r="AG182" s="19" t="n">
        <v>0.2989</v>
      </c>
      <c r="AH182" s="23" t="n">
        <v>0.26</v>
      </c>
      <c r="AI182" s="23" t="n">
        <v>4.88</v>
      </c>
      <c r="AJ182" s="19" t="n">
        <v>0.299</v>
      </c>
    </row>
    <row r="183">
      <c r="A183" s="16" t="inlineStr">
        <is>
          <t>SBICARD</t>
        </is>
      </c>
      <c r="B183" s="16" t="inlineStr">
        <is>
          <t>SBI Cards and Payment Services Ltd.</t>
        </is>
      </c>
      <c r="C183" s="16" t="inlineStr">
        <is>
          <t>Finance (including NBFCs)</t>
        </is>
      </c>
      <c r="D183" s="16" t="inlineStr">
        <is>
          <t>Banking and Finance</t>
        </is>
      </c>
      <c r="E183" s="16" t="inlineStr">
        <is>
          <t>INE018E01016</t>
        </is>
      </c>
      <c r="F183" s="17" t="n">
        <v>62641.91</v>
      </c>
      <c r="G183" s="18" t="n">
        <v>658.25</v>
      </c>
      <c r="H183" s="19" t="n">
        <v>-0.0042</v>
      </c>
      <c r="I183" s="20" t="n">
        <v>30</v>
      </c>
      <c r="J183" s="16" t="inlineStr">
        <is>
          <t>red</t>
        </is>
      </c>
      <c r="K183" s="20" t="n">
        <v>159</v>
      </c>
      <c r="L183" s="18" t="n">
        <v>55.97</v>
      </c>
      <c r="M183" s="18" t="n">
        <v>647.21</v>
      </c>
      <c r="N183" s="18" t="n">
        <v>636.5</v>
      </c>
      <c r="O183" s="18" t="n">
        <v>707.99</v>
      </c>
      <c r="P183" s="18" t="n">
        <v>934.6799999999999</v>
      </c>
      <c r="Q183" s="18" t="n">
        <v>568.25</v>
      </c>
      <c r="R183" s="21">
        <f>IF(OR(G183="",P183=""),"",G183/P183-1)</f>
        <v/>
      </c>
      <c r="S183" s="19" t="n">
        <v>0.6616</v>
      </c>
      <c r="T183" s="22" t="n">
        <v>-0.0329</v>
      </c>
      <c r="U183" s="16" t="inlineStr">
        <is>
          <t>No</t>
        </is>
      </c>
      <c r="V183" s="16" t="inlineStr">
        <is>
          <t>Yes</t>
        </is>
      </c>
      <c r="W183" s="16" t="inlineStr">
        <is>
          <t>Yes</t>
        </is>
      </c>
      <c r="X183" s="16" t="inlineStr">
        <is>
          <t>No</t>
        </is>
      </c>
      <c r="Y183" s="20" t="n">
        <v>175</v>
      </c>
      <c r="Z183" s="19" t="n">
        <v>-0.101</v>
      </c>
      <c r="AA183" s="18" t="n">
        <v>40</v>
      </c>
      <c r="AB183" s="16" t="inlineStr">
        <is>
          <t>Average</t>
        </is>
      </c>
      <c r="AC183" s="16" t="inlineStr">
        <is>
          <t>Yes</t>
        </is>
      </c>
      <c r="AD183" s="19" t="n">
        <v>0.1587</v>
      </c>
      <c r="AE183" s="19" t="n"/>
      <c r="AF183" s="19" t="n">
        <v>-0.0032</v>
      </c>
      <c r="AG183" s="19" t="n">
        <v>0.1361</v>
      </c>
      <c r="AH183" s="23" t="n">
        <v>2.81</v>
      </c>
      <c r="AI183" s="23" t="n">
        <v>98.92</v>
      </c>
      <c r="AJ183" s="19" t="n">
        <v>0.0001</v>
      </c>
    </row>
    <row r="184">
      <c r="A184" s="16" t="inlineStr">
        <is>
          <t>APLAPOLLO</t>
        </is>
      </c>
      <c r="B184" s="16" t="inlineStr">
        <is>
          <t>APL Apollo Tubes Ltd.</t>
        </is>
      </c>
      <c r="C184" s="16" t="inlineStr">
        <is>
          <t>Iron &amp; Steel Products</t>
        </is>
      </c>
      <c r="D184" s="16" t="inlineStr">
        <is>
          <t>Metals &amp; Mining</t>
        </is>
      </c>
      <c r="E184" s="16" t="inlineStr">
        <is>
          <t>INE702C01027</t>
        </is>
      </c>
      <c r="F184" s="17" t="n">
        <v>62473.14</v>
      </c>
      <c r="G184" s="18" t="n">
        <v>2250</v>
      </c>
      <c r="H184" s="19" t="n">
        <v>0.042</v>
      </c>
      <c r="I184" s="20" t="n">
        <v>70</v>
      </c>
      <c r="J184" s="16" t="inlineStr">
        <is>
          <t>amber</t>
        </is>
      </c>
      <c r="K184" s="20" t="n">
        <v>16</v>
      </c>
      <c r="L184" s="18" t="n">
        <v>70.29000000000001</v>
      </c>
      <c r="M184" s="18" t="n">
        <v>2211.17</v>
      </c>
      <c r="N184" s="18" t="n">
        <v>1957.78</v>
      </c>
      <c r="O184" s="18" t="n">
        <v>1946.42</v>
      </c>
      <c r="P184" s="18" t="n">
        <v>2280.8</v>
      </c>
      <c r="Q184" s="18" t="n">
        <v>1660.1</v>
      </c>
      <c r="R184" s="21">
        <f>IF(OR(G184="",P184=""),"",G184/P184-1)</f>
        <v/>
      </c>
      <c r="S184" s="19" t="n">
        <v>1.2648</v>
      </c>
      <c r="T184" s="22" t="n">
        <v>0.0189</v>
      </c>
      <c r="U184" s="16" t="inlineStr">
        <is>
          <t>Yes</t>
        </is>
      </c>
      <c r="V184" s="16" t="inlineStr">
        <is>
          <t>Yes</t>
        </is>
      </c>
      <c r="W184" s="16" t="inlineStr">
        <is>
          <t>Yes</t>
        </is>
      </c>
      <c r="X184" s="16" t="inlineStr">
        <is>
          <t>Yes</t>
        </is>
      </c>
      <c r="Y184" s="20" t="n">
        <v>2</v>
      </c>
      <c r="Z184" s="19" t="n">
        <v>0.0058</v>
      </c>
      <c r="AA184" s="18" t="n">
        <v>70</v>
      </c>
      <c r="AB184" s="16" t="inlineStr">
        <is>
          <t>High</t>
        </is>
      </c>
      <c r="AC184" s="16" t="inlineStr">
        <is>
          <t>No</t>
        </is>
      </c>
      <c r="AD184" s="19" t="n">
        <v>0.2034</v>
      </c>
      <c r="AE184" s="19" t="n">
        <v>0.248</v>
      </c>
      <c r="AF184" s="19" t="n">
        <v>0.2543</v>
      </c>
      <c r="AG184" s="19" t="n">
        <v>0.1262</v>
      </c>
      <c r="AH184" s="23" t="n">
        <v>0.09</v>
      </c>
      <c r="AI184" s="23" t="n">
        <v>5.27</v>
      </c>
      <c r="AJ184" s="19" t="n">
        <v>0.07719999999999999</v>
      </c>
    </row>
    <row r="185">
      <c r="A185" s="16" t="inlineStr">
        <is>
          <t>MOTILALOFS</t>
        </is>
      </c>
      <c r="B185" s="16" t="inlineStr">
        <is>
          <t>Motilal Oswal Financial Services Ltd.</t>
        </is>
      </c>
      <c r="C185" s="16" t="inlineStr">
        <is>
          <t>Capital Markets</t>
        </is>
      </c>
      <c r="D185" s="16" t="inlineStr">
        <is>
          <t>Banking and Finance</t>
        </is>
      </c>
      <c r="E185" s="16" t="inlineStr">
        <is>
          <t>INE338I01027</t>
        </is>
      </c>
      <c r="F185" s="17" t="n">
        <v>62460.92</v>
      </c>
      <c r="G185" s="18" t="n">
        <v>1037</v>
      </c>
      <c r="H185" s="19" t="n">
        <v>0.0239</v>
      </c>
      <c r="I185" s="20" t="n">
        <v>70</v>
      </c>
      <c r="J185" s="16" t="inlineStr">
        <is>
          <t>amber</t>
        </is>
      </c>
      <c r="K185" s="20" t="n">
        <v>11</v>
      </c>
      <c r="L185" s="18" t="n">
        <v>72.38</v>
      </c>
      <c r="M185" s="18" t="n">
        <v>1030.34</v>
      </c>
      <c r="N185" s="18" t="n">
        <v>943.71</v>
      </c>
      <c r="O185" s="18" t="n">
        <v>847.8200000000001</v>
      </c>
      <c r="P185" s="18" t="n">
        <v>1082.56</v>
      </c>
      <c r="Q185" s="18" t="n">
        <v>628.2</v>
      </c>
      <c r="R185" s="21">
        <f>IF(OR(G185="",P185=""),"",G185/P185-1)</f>
        <v/>
      </c>
      <c r="S185" s="19" t="n">
        <v>0.7201000000000001</v>
      </c>
      <c r="T185" s="22" t="n">
        <v>-0.0026</v>
      </c>
      <c r="U185" s="16" t="inlineStr">
        <is>
          <t>No</t>
        </is>
      </c>
      <c r="V185" s="16" t="inlineStr">
        <is>
          <t>Yes</t>
        </is>
      </c>
      <c r="W185" s="16" t="inlineStr">
        <is>
          <t>Yes</t>
        </is>
      </c>
      <c r="X185" s="16" t="inlineStr">
        <is>
          <t>Yes</t>
        </is>
      </c>
      <c r="Y185" s="20" t="n">
        <v>55</v>
      </c>
      <c r="Z185" s="19" t="n">
        <v>0.1131</v>
      </c>
      <c r="AA185" s="18" t="n">
        <v>78.69</v>
      </c>
      <c r="AB185" s="16" t="inlineStr">
        <is>
          <t>High</t>
        </is>
      </c>
      <c r="AC185" s="16" t="inlineStr">
        <is>
          <t>Yes</t>
        </is>
      </c>
      <c r="AD185" s="19" t="n">
        <v>0.2168</v>
      </c>
      <c r="AE185" s="19" t="n">
        <v>0.1544</v>
      </c>
      <c r="AF185" s="19" t="n">
        <v>0.8068000000000001</v>
      </c>
      <c r="AG185" s="19" t="n">
        <v>0.2914</v>
      </c>
      <c r="AH185" s="23" t="n">
        <v>1.65</v>
      </c>
      <c r="AI185" s="23" t="n">
        <v>11.82</v>
      </c>
      <c r="AJ185" s="19" t="n">
        <v>0</v>
      </c>
    </row>
    <row r="186">
      <c r="A186" s="16" t="inlineStr">
        <is>
          <t>SUZLON</t>
        </is>
      </c>
      <c r="B186" s="16" t="inlineStr">
        <is>
          <t>Suzlon Energy Ltd.</t>
        </is>
      </c>
      <c r="C186" s="16" t="inlineStr">
        <is>
          <t>Heavy Electrical Equipment</t>
        </is>
      </c>
      <c r="D186" s="16" t="inlineStr">
        <is>
          <t>General Industrials</t>
        </is>
      </c>
      <c r="E186" s="16" t="inlineStr">
        <is>
          <t>INE040H01021</t>
        </is>
      </c>
      <c r="F186" s="17" t="n">
        <v>62336.46</v>
      </c>
      <c r="G186" s="18" t="n">
        <v>45.35</v>
      </c>
      <c r="H186" s="19" t="n">
        <v>-0.0148</v>
      </c>
      <c r="I186" s="20" t="n">
        <v>19</v>
      </c>
      <c r="J186" s="16" t="inlineStr">
        <is>
          <t>red</t>
        </is>
      </c>
      <c r="K186" s="20" t="n">
        <v>45</v>
      </c>
      <c r="L186" s="18" t="n">
        <v>26.51</v>
      </c>
      <c r="M186" s="18" t="n">
        <v>46.42</v>
      </c>
      <c r="N186" s="18" t="n">
        <v>50.19</v>
      </c>
      <c r="O186" s="18" t="n">
        <v>50.22</v>
      </c>
      <c r="P186" s="18" t="n">
        <v>60.4</v>
      </c>
      <c r="Q186" s="18" t="n">
        <v>39.56</v>
      </c>
      <c r="R186" s="21">
        <f>IF(OR(G186="",P186=""),"",G186/P186-1)</f>
        <v/>
      </c>
      <c r="S186" s="19" t="n">
        <v>0.9559000000000001</v>
      </c>
      <c r="T186" s="22" t="n">
        <v>-0.02</v>
      </c>
      <c r="U186" s="16" t="inlineStr">
        <is>
          <t>No</t>
        </is>
      </c>
      <c r="V186" s="16" t="inlineStr">
        <is>
          <t>No</t>
        </is>
      </c>
      <c r="W186" s="16" t="inlineStr">
        <is>
          <t>No</t>
        </is>
      </c>
      <c r="X186" s="16" t="inlineStr">
        <is>
          <t>No</t>
        </is>
      </c>
      <c r="Y186" s="20" t="n">
        <v>1</v>
      </c>
      <c r="Z186" s="19" t="n">
        <v>-0.0005999999999999999</v>
      </c>
      <c r="AA186" s="18" t="n">
        <v>82.68000000000001</v>
      </c>
      <c r="AB186" s="16" t="inlineStr">
        <is>
          <t>High</t>
        </is>
      </c>
      <c r="AC186" s="16" t="inlineStr">
        <is>
          <t>No</t>
        </is>
      </c>
      <c r="AD186" s="19" t="n">
        <v>0.2807</v>
      </c>
      <c r="AE186" s="19" t="n">
        <v>0.2414</v>
      </c>
      <c r="AF186" s="19" t="n">
        <v>0.5797</v>
      </c>
      <c r="AG186" s="19" t="n">
        <v>0.4419</v>
      </c>
      <c r="AH186" s="23" t="n">
        <v>0.06</v>
      </c>
      <c r="AI186" s="23" t="n">
        <v>10.86</v>
      </c>
      <c r="AJ186" s="19" t="n">
        <v>0.1148</v>
      </c>
    </row>
    <row r="187">
      <c r="A187" s="16" t="inlineStr">
        <is>
          <t>ALKEM</t>
        </is>
      </c>
      <c r="B187" s="16" t="inlineStr">
        <is>
          <t>Alkem Laboratories Ltd.</t>
        </is>
      </c>
      <c r="C187" s="16" t="inlineStr">
        <is>
          <t>Pharmaceuticals</t>
        </is>
      </c>
      <c r="D187" s="16" t="inlineStr">
        <is>
          <t>Pharmaceuticals &amp; Biotechnology</t>
        </is>
      </c>
      <c r="E187" s="16" t="inlineStr">
        <is>
          <t>INE540L01014</t>
        </is>
      </c>
      <c r="F187" s="17" t="n">
        <v>62054.24</v>
      </c>
      <c r="G187" s="18" t="n">
        <v>5190</v>
      </c>
      <c r="H187" s="19" t="n">
        <v>-0.0005999999999999999</v>
      </c>
      <c r="I187" s="20" t="n">
        <v>32</v>
      </c>
      <c r="J187" s="16" t="inlineStr">
        <is>
          <t>red</t>
        </is>
      </c>
      <c r="K187" s="20" t="n">
        <v>26</v>
      </c>
      <c r="L187" s="18" t="n">
        <v>33.57</v>
      </c>
      <c r="M187" s="18" t="n">
        <v>5275.12</v>
      </c>
      <c r="N187" s="18" t="n">
        <v>5517.57</v>
      </c>
      <c r="O187" s="18" t="n">
        <v>5497.81</v>
      </c>
      <c r="P187" s="18" t="n">
        <v>5832.46</v>
      </c>
      <c r="Q187" s="18" t="n">
        <v>5135.31</v>
      </c>
      <c r="R187" s="21">
        <f>IF(OR(G187="",P187=""),"",G187/P187-1)</f>
        <v/>
      </c>
      <c r="S187" s="19" t="n">
        <v>0.4947</v>
      </c>
      <c r="T187" s="22" t="n">
        <v>-0.0035</v>
      </c>
      <c r="U187" s="16" t="inlineStr">
        <is>
          <t>No</t>
        </is>
      </c>
      <c r="V187" s="16" t="inlineStr">
        <is>
          <t>No</t>
        </is>
      </c>
      <c r="W187" s="16" t="inlineStr">
        <is>
          <t>No</t>
        </is>
      </c>
      <c r="X187" s="16" t="inlineStr">
        <is>
          <t>Yes</t>
        </is>
      </c>
      <c r="Y187" s="20" t="n">
        <v>18</v>
      </c>
      <c r="Z187" s="19" t="n">
        <v>0.0036</v>
      </c>
      <c r="AA187" s="18" t="n">
        <v>62.58</v>
      </c>
      <c r="AB187" s="16" t="inlineStr">
        <is>
          <t>Good</t>
        </is>
      </c>
      <c r="AC187" s="16" t="inlineStr">
        <is>
          <t>No</t>
        </is>
      </c>
      <c r="AD187" s="19" t="n">
        <v>0.1738</v>
      </c>
      <c r="AE187" s="19" t="n">
        <v>0.1881</v>
      </c>
      <c r="AF187" s="19" t="n">
        <v>0.3645</v>
      </c>
      <c r="AG187" s="19" t="n">
        <v>0.0839</v>
      </c>
      <c r="AH187" s="23" t="n">
        <v>0.15</v>
      </c>
      <c r="AI187" s="23" t="n">
        <v>4.34</v>
      </c>
      <c r="AJ187" s="19" t="n">
        <v>0.0762</v>
      </c>
    </row>
    <row r="188">
      <c r="A188" s="16" t="inlineStr">
        <is>
          <t>KALYANKJIL</t>
        </is>
      </c>
      <c r="B188" s="16" t="inlineStr">
        <is>
          <t>Kalyan Jewellers India Ltd.</t>
        </is>
      </c>
      <c r="C188" s="16" t="inlineStr">
        <is>
          <t>Gems &amp; Jewellery</t>
        </is>
      </c>
      <c r="D188" s="16" t="inlineStr">
        <is>
          <t>Textiles Apparels &amp; Accessories</t>
        </is>
      </c>
      <c r="E188" s="16" t="inlineStr">
        <is>
          <t>INE303R01014</t>
        </is>
      </c>
      <c r="F188" s="17" t="n">
        <v>61841.13</v>
      </c>
      <c r="G188" s="18" t="n">
        <v>598.8</v>
      </c>
      <c r="H188" s="19" t="n">
        <v>0.0231</v>
      </c>
      <c r="I188" s="20" t="n">
        <v>84</v>
      </c>
      <c r="J188" s="16" t="inlineStr">
        <is>
          <t>green</t>
        </is>
      </c>
      <c r="K188" s="20" t="n">
        <v>22</v>
      </c>
      <c r="L188" s="18" t="n">
        <v>46.12</v>
      </c>
      <c r="M188" s="18" t="n">
        <v>600.47</v>
      </c>
      <c r="N188" s="18" t="n">
        <v>552.6</v>
      </c>
      <c r="O188" s="18" t="n">
        <v>451.1</v>
      </c>
      <c r="P188" s="18" t="n">
        <v>634.6</v>
      </c>
      <c r="Q188" s="18" t="n">
        <v>330.8</v>
      </c>
      <c r="R188" s="21">
        <f>IF(OR(G188="",P188=""),"",G188/P188-1)</f>
        <v/>
      </c>
      <c r="S188" s="19" t="n">
        <v>0.6107</v>
      </c>
      <c r="T188" s="22" t="n">
        <v>0.0221</v>
      </c>
      <c r="U188" s="16" t="inlineStr">
        <is>
          <t>Yes</t>
        </is>
      </c>
      <c r="V188" s="16" t="inlineStr">
        <is>
          <t>Yes</t>
        </is>
      </c>
      <c r="W188" s="16" t="inlineStr">
        <is>
          <t>No</t>
        </is>
      </c>
      <c r="X188" s="16" t="inlineStr">
        <is>
          <t>Yes</t>
        </is>
      </c>
      <c r="Y188" s="20" t="n">
        <v>24</v>
      </c>
      <c r="Z188" s="19" t="n">
        <v>0.225</v>
      </c>
      <c r="AA188" s="18" t="n">
        <v>58.83</v>
      </c>
      <c r="AB188" s="16" t="inlineStr">
        <is>
          <t>Good</t>
        </is>
      </c>
      <c r="AC188" s="16" t="inlineStr">
        <is>
          <t>No</t>
        </is>
      </c>
      <c r="AD188" s="19" t="n">
        <v>0.1685</v>
      </c>
      <c r="AE188" s="19" t="n">
        <v>0.1471</v>
      </c>
      <c r="AF188" s="19" t="n">
        <v>0.4863</v>
      </c>
      <c r="AG188" s="19" t="n">
        <v>0.3667</v>
      </c>
      <c r="AH188" s="23" t="n">
        <v>0.97</v>
      </c>
      <c r="AI188" s="23" t="n">
        <v>10.96</v>
      </c>
      <c r="AJ188" s="19" t="n">
        <v>0.0054</v>
      </c>
    </row>
    <row r="189">
      <c r="A189" s="16" t="inlineStr">
        <is>
          <t>SCHAEFFLER</t>
        </is>
      </c>
      <c r="B189" s="16" t="inlineStr">
        <is>
          <t>Schaeffler India Ltd.</t>
        </is>
      </c>
      <c r="C189" s="16" t="inlineStr">
        <is>
          <t>Abrasives &amp; Bearings</t>
        </is>
      </c>
      <c r="D189" s="16" t="inlineStr">
        <is>
          <t>General Industrials</t>
        </is>
      </c>
      <c r="E189" s="16" t="inlineStr">
        <is>
          <t>INE513A01022</t>
        </is>
      </c>
      <c r="F189" s="17" t="n">
        <v>61840</v>
      </c>
      <c r="G189" s="18" t="n">
        <v>3956.4</v>
      </c>
      <c r="H189" s="19" t="n">
        <v>0.0015</v>
      </c>
      <c r="I189" s="20" t="n">
        <v>36</v>
      </c>
      <c r="J189" s="16" t="inlineStr">
        <is>
          <t>red</t>
        </is>
      </c>
      <c r="K189" s="20" t="n">
        <v>71</v>
      </c>
      <c r="L189" s="18" t="n">
        <v>39.28</v>
      </c>
      <c r="M189" s="18" t="n">
        <v>3997.98</v>
      </c>
      <c r="N189" s="18" t="n">
        <v>4084.47</v>
      </c>
      <c r="O189" s="18" t="n">
        <v>3982.67</v>
      </c>
      <c r="P189" s="18" t="n">
        <v>4355</v>
      </c>
      <c r="Q189" s="18" t="n">
        <v>3534.22</v>
      </c>
      <c r="R189" s="21">
        <f>IF(OR(G189="",P189=""),"",G189/P189-1)</f>
        <v/>
      </c>
      <c r="S189" s="19" t="n">
        <v>0.8491</v>
      </c>
      <c r="T189" s="22" t="n">
        <v>0.0005</v>
      </c>
      <c r="U189" s="16" t="inlineStr">
        <is>
          <t>Yes</t>
        </is>
      </c>
      <c r="V189" s="16" t="inlineStr">
        <is>
          <t>No</t>
        </is>
      </c>
      <c r="W189" s="16" t="inlineStr">
        <is>
          <t>No</t>
        </is>
      </c>
      <c r="X189" s="16" t="inlineStr">
        <is>
          <t>Yes</t>
        </is>
      </c>
      <c r="Y189" s="20" t="n">
        <v>100</v>
      </c>
      <c r="Z189" s="19" t="n">
        <v>0.0256</v>
      </c>
      <c r="AA189" s="18" t="n">
        <v>72</v>
      </c>
      <c r="AB189" s="16" t="inlineStr">
        <is>
          <t>High</t>
        </is>
      </c>
      <c r="AC189" s="16" t="inlineStr">
        <is>
          <t>No</t>
        </is>
      </c>
      <c r="AD189" s="19" t="n">
        <v>0.1844</v>
      </c>
      <c r="AE189" s="19" t="n">
        <v>0.2483</v>
      </c>
      <c r="AF189" s="19" t="n">
        <v>0.1349</v>
      </c>
      <c r="AG189" s="19" t="n">
        <v>0.1573</v>
      </c>
      <c r="AH189" s="23" t="n">
        <v>0.01</v>
      </c>
      <c r="AI189" s="23" t="n">
        <v>3.94</v>
      </c>
      <c r="AJ189" s="19" t="n">
        <v>0.1523</v>
      </c>
    </row>
    <row r="190">
      <c r="A190" s="16" t="inlineStr">
        <is>
          <t>JSL</t>
        </is>
      </c>
      <c r="B190" s="16" t="inlineStr">
        <is>
          <t>Jindal Stainless Ltd.</t>
        </is>
      </c>
      <c r="C190" s="16" t="inlineStr">
        <is>
          <t>Iron &amp; Steel/Interm.Products</t>
        </is>
      </c>
      <c r="D190" s="16" t="inlineStr">
        <is>
          <t>Metals &amp; Mining</t>
        </is>
      </c>
      <c r="E190" s="16" t="inlineStr">
        <is>
          <t>INE220G01021</t>
        </is>
      </c>
      <c r="F190" s="17" t="n">
        <v>60829.8</v>
      </c>
      <c r="G190" s="18" t="n">
        <v>737.85</v>
      </c>
      <c r="H190" s="19" t="n">
        <v>-0.0007000000000000001</v>
      </c>
      <c r="I190" s="20" t="n">
        <v>46</v>
      </c>
      <c r="J190" s="16" t="inlineStr">
        <is>
          <t>red</t>
        </is>
      </c>
      <c r="K190" s="20" t="n">
        <v>79</v>
      </c>
      <c r="L190" s="18" t="n">
        <v>48.49</v>
      </c>
      <c r="M190" s="18" t="n">
        <v>721.3</v>
      </c>
      <c r="N190" s="18" t="n">
        <v>718.47</v>
      </c>
      <c r="O190" s="18" t="n">
        <v>745.65</v>
      </c>
      <c r="P190" s="18" t="n">
        <v>860.97</v>
      </c>
      <c r="Q190" s="18" t="n">
        <v>659.14</v>
      </c>
      <c r="R190" s="21">
        <f>IF(OR(G190="",P190=""),"",G190/P190-1)</f>
        <v/>
      </c>
      <c r="S190" s="19" t="n">
        <v>1.7157</v>
      </c>
      <c r="T190" s="22" t="n">
        <v>-0.0049</v>
      </c>
      <c r="U190" s="16" t="inlineStr">
        <is>
          <t>No</t>
        </is>
      </c>
      <c r="V190" s="16" t="inlineStr">
        <is>
          <t>Yes</t>
        </is>
      </c>
      <c r="W190" s="16" t="inlineStr">
        <is>
          <t>Yes</t>
        </is>
      </c>
      <c r="X190" s="16" t="inlineStr">
        <is>
          <t>No</t>
        </is>
      </c>
      <c r="Y190" s="20" t="n">
        <v>101</v>
      </c>
      <c r="Z190" s="19" t="n">
        <v>-0.0364</v>
      </c>
      <c r="AA190" s="18" t="n">
        <v>51.54</v>
      </c>
      <c r="AB190" s="16" t="inlineStr">
        <is>
          <t>Average</t>
        </is>
      </c>
      <c r="AC190" s="16" t="inlineStr">
        <is>
          <t>No</t>
        </is>
      </c>
      <c r="AD190" s="19" t="n">
        <v>0.1668</v>
      </c>
      <c r="AE190" s="19" t="n">
        <v>0.1806</v>
      </c>
      <c r="AF190" s="19" t="n">
        <v>0.1595</v>
      </c>
      <c r="AG190" s="19" t="n">
        <v>0.0644</v>
      </c>
      <c r="AH190" s="23" t="n">
        <v>0.38</v>
      </c>
      <c r="AI190" s="23" t="n">
        <v>2.3</v>
      </c>
      <c r="AJ190" s="19" t="n">
        <v>0.1276</v>
      </c>
    </row>
    <row r="191">
      <c r="A191" s="16" t="inlineStr">
        <is>
          <t>RADICO</t>
        </is>
      </c>
      <c r="B191" s="16" t="inlineStr">
        <is>
          <t>Radico Khaitan Ltd.</t>
        </is>
      </c>
      <c r="C191" s="16" t="inlineStr">
        <is>
          <t>Breweries &amp; Distilleries</t>
        </is>
      </c>
      <c r="D191" s="16" t="inlineStr">
        <is>
          <t>Food, Beverages &amp; Tobacco</t>
        </is>
      </c>
      <c r="E191" s="16" t="inlineStr">
        <is>
          <t>INE944F01028</t>
        </is>
      </c>
      <c r="F191" s="17" t="n">
        <v>60211.69</v>
      </c>
      <c r="G191" s="18" t="n">
        <v>4494</v>
      </c>
      <c r="H191" s="19" t="n">
        <v>-0.0143</v>
      </c>
      <c r="I191" s="20" t="n">
        <v>82</v>
      </c>
      <c r="J191" s="16" t="inlineStr">
        <is>
          <t>green</t>
        </is>
      </c>
      <c r="K191" s="20" t="n">
        <v>52</v>
      </c>
      <c r="L191" s="18" t="n">
        <v>30.37</v>
      </c>
      <c r="M191" s="18" t="n">
        <v>4539.19</v>
      </c>
      <c r="N191" s="18" t="n">
        <v>4334.67</v>
      </c>
      <c r="O191" s="18" t="n">
        <v>3419.39</v>
      </c>
      <c r="P191" s="18" t="n">
        <v>4732.9</v>
      </c>
      <c r="Q191" s="18" t="n">
        <v>2535.57</v>
      </c>
      <c r="R191" s="21">
        <f>IF(OR(G191="",P191=""),"",G191/P191-1)</f>
        <v/>
      </c>
      <c r="S191" s="19" t="n">
        <v>0.5014</v>
      </c>
      <c r="T191" s="22" t="n">
        <v>0.0418</v>
      </c>
      <c r="U191" s="16" t="inlineStr">
        <is>
          <t>Yes</t>
        </is>
      </c>
      <c r="V191" s="16" t="inlineStr">
        <is>
          <t>Yes</t>
        </is>
      </c>
      <c r="W191" s="16" t="inlineStr">
        <is>
          <t>No</t>
        </is>
      </c>
      <c r="X191" s="16" t="inlineStr">
        <is>
          <t>Yes</t>
        </is>
      </c>
      <c r="Y191" s="20" t="n">
        <v>81</v>
      </c>
      <c r="Z191" s="19" t="n">
        <v>0.2677</v>
      </c>
      <c r="AA191" s="18" t="n">
        <v>60.95</v>
      </c>
      <c r="AB191" s="16" t="inlineStr">
        <is>
          <t>Good</t>
        </is>
      </c>
      <c r="AC191" s="16" t="inlineStr">
        <is>
          <t>No</t>
        </is>
      </c>
      <c r="AD191" s="19" t="n">
        <v>0.1384</v>
      </c>
      <c r="AE191" s="19" t="n">
        <v>0.156</v>
      </c>
      <c r="AF191" s="19" t="n">
        <v>0.418</v>
      </c>
      <c r="AG191" s="19" t="n">
        <v>0.2473</v>
      </c>
      <c r="AH191" s="23" t="n">
        <v>0.24</v>
      </c>
      <c r="AI191" s="23" t="n">
        <v>2.97</v>
      </c>
      <c r="AJ191" s="19" t="n">
        <v>0.06</v>
      </c>
    </row>
    <row r="192">
      <c r="A192" s="16" t="inlineStr">
        <is>
          <t>GODREJPROP</t>
        </is>
      </c>
      <c r="B192" s="16" t="inlineStr">
        <is>
          <t>Godrej Properties Ltd.</t>
        </is>
      </c>
      <c r="C192" s="16" t="inlineStr">
        <is>
          <t>Realty</t>
        </is>
      </c>
      <c r="D192" s="16" t="inlineStr">
        <is>
          <t>Realty</t>
        </is>
      </c>
      <c r="E192" s="16" t="inlineStr">
        <is>
          <t>INE484J01027</t>
        </is>
      </c>
      <c r="F192" s="17" t="n">
        <v>59703.09</v>
      </c>
      <c r="G192" s="18" t="n">
        <v>1982</v>
      </c>
      <c r="H192" s="19" t="n">
        <v>-0.0097</v>
      </c>
      <c r="I192" s="20" t="n">
        <v>55</v>
      </c>
      <c r="J192" s="16" t="inlineStr">
        <is>
          <t>red</t>
        </is>
      </c>
      <c r="K192" s="20" t="n">
        <v>19</v>
      </c>
      <c r="L192" s="18" t="n">
        <v>38.21</v>
      </c>
      <c r="M192" s="18" t="n">
        <v>2010.06</v>
      </c>
      <c r="N192" s="18" t="n">
        <v>2041.44</v>
      </c>
      <c r="O192" s="18" t="n">
        <v>1857.89</v>
      </c>
      <c r="P192" s="18" t="n">
        <v>2309.14</v>
      </c>
      <c r="Q192" s="18" t="n">
        <v>1464.22</v>
      </c>
      <c r="R192" s="21">
        <f>IF(OR(G192="",P192=""),"",G192/P192-1)</f>
        <v/>
      </c>
      <c r="S192" s="19" t="n">
        <v>0.4945000000000001</v>
      </c>
      <c r="T192" s="22" t="n">
        <v>-0.0107</v>
      </c>
      <c r="U192" s="16" t="inlineStr">
        <is>
          <t>No</t>
        </is>
      </c>
      <c r="V192" s="16" t="inlineStr">
        <is>
          <t>No</t>
        </is>
      </c>
      <c r="W192" s="16" t="inlineStr">
        <is>
          <t>No</t>
        </is>
      </c>
      <c r="X192" s="16" t="inlineStr">
        <is>
          <t>Yes</t>
        </is>
      </c>
      <c r="Y192" s="20" t="n">
        <v>28</v>
      </c>
      <c r="Z192" s="19" t="n">
        <v>0.09880000000000001</v>
      </c>
      <c r="AA192" s="18" t="n">
        <v>43.55</v>
      </c>
      <c r="AB192" s="16" t="inlineStr">
        <is>
          <t>Average</t>
        </is>
      </c>
      <c r="AC192" s="16" t="inlineStr">
        <is>
          <t>No</t>
        </is>
      </c>
      <c r="AD192" s="19" t="n">
        <v>0.0834</v>
      </c>
      <c r="AE192" s="19" t="n">
        <v>0.0571</v>
      </c>
      <c r="AF192" s="19" t="n">
        <v>0.4672</v>
      </c>
      <c r="AG192" s="19" t="n">
        <v>0.3461</v>
      </c>
      <c r="AH192" s="23" t="n">
        <v>0.83</v>
      </c>
      <c r="AI192" s="23" t="n">
        <v>2.92</v>
      </c>
      <c r="AJ192" s="19" t="n">
        <v>0.1026</v>
      </c>
    </row>
    <row r="193">
      <c r="A193" s="16" t="inlineStr">
        <is>
          <t>COROMANDEL</t>
        </is>
      </c>
      <c r="B193" s="16" t="inlineStr">
        <is>
          <t>Coromandel International Ltd.</t>
        </is>
      </c>
      <c r="C193" s="16" t="inlineStr">
        <is>
          <t>Fertilizers</t>
        </is>
      </c>
      <c r="D193" s="16" t="inlineStr">
        <is>
          <t>Fertilizers</t>
        </is>
      </c>
      <c r="E193" s="16" t="inlineStr">
        <is>
          <t>INE169A01031</t>
        </is>
      </c>
      <c r="F193" s="17" t="n">
        <v>57206.41</v>
      </c>
      <c r="G193" s="18" t="n">
        <v>1938.8</v>
      </c>
      <c r="H193" s="19" t="n">
        <v>0.0039</v>
      </c>
      <c r="I193" s="20" t="n">
        <v>31</v>
      </c>
      <c r="J193" s="16" t="inlineStr">
        <is>
          <t>red</t>
        </is>
      </c>
      <c r="K193" s="20" t="n">
        <v>104</v>
      </c>
      <c r="L193" s="18" t="n">
        <v>24.64</v>
      </c>
      <c r="M193" s="18" t="n">
        <v>1925.66</v>
      </c>
      <c r="N193" s="18" t="n">
        <v>2021.23</v>
      </c>
      <c r="O193" s="18" t="n">
        <v>2089.26</v>
      </c>
      <c r="P193" s="18" t="n">
        <v>2396.41</v>
      </c>
      <c r="Q193" s="18" t="n">
        <v>1743.9</v>
      </c>
      <c r="R193" s="21">
        <f>IF(OR(G193="",P193=""),"",G193/P193-1)</f>
        <v/>
      </c>
      <c r="S193" s="19" t="n">
        <v>1.1114</v>
      </c>
      <c r="T193" s="22" t="n">
        <v>-0.008699999999999999</v>
      </c>
      <c r="U193" s="16" t="inlineStr">
        <is>
          <t>No</t>
        </is>
      </c>
      <c r="V193" s="16" t="inlineStr">
        <is>
          <t>No</t>
        </is>
      </c>
      <c r="W193" s="16" t="inlineStr">
        <is>
          <t>Yes</t>
        </is>
      </c>
      <c r="X193" s="16" t="inlineStr">
        <is>
          <t>No</t>
        </is>
      </c>
      <c r="Y193" s="20" t="n">
        <v>146</v>
      </c>
      <c r="Z193" s="19" t="n">
        <v>-0.0326</v>
      </c>
      <c r="AA193" s="18" t="n">
        <v>51.13</v>
      </c>
      <c r="AB193" s="16" t="inlineStr">
        <is>
          <t>Average</t>
        </is>
      </c>
      <c r="AC193" s="16" t="inlineStr">
        <is>
          <t>No</t>
        </is>
      </c>
      <c r="AD193" s="19" t="n">
        <v>0.1722</v>
      </c>
      <c r="AE193" s="19" t="n">
        <v>0.1974</v>
      </c>
      <c r="AF193" s="19" t="n">
        <v>0.0062</v>
      </c>
      <c r="AG193" s="19" t="n">
        <v>0.1124</v>
      </c>
      <c r="AH193" s="23" t="n">
        <v>0.52</v>
      </c>
      <c r="AI193" s="23" t="n">
        <v>3.22</v>
      </c>
      <c r="AJ193" s="19" t="n">
        <v>0.0619</v>
      </c>
    </row>
    <row r="194">
      <c r="A194" s="16" t="inlineStr">
        <is>
          <t>HDBFS</t>
        </is>
      </c>
      <c r="B194" s="16" t="inlineStr">
        <is>
          <t>HDB Financial Services Ltd.</t>
        </is>
      </c>
      <c r="C194" s="16" t="inlineStr">
        <is>
          <t>Finance (including NBFCs)</t>
        </is>
      </c>
      <c r="D194" s="16" t="inlineStr">
        <is>
          <t>Banking and Finance</t>
        </is>
      </c>
      <c r="E194" s="16" t="inlineStr">
        <is>
          <t>INE756I01012</t>
        </is>
      </c>
      <c r="F194" s="17" t="n">
        <v>56716.32</v>
      </c>
      <c r="G194" s="18" t="n">
        <v>682.7</v>
      </c>
      <c r="H194" s="19" t="n">
        <v>-0.0155</v>
      </c>
      <c r="I194" s="20" t="n">
        <v>39</v>
      </c>
      <c r="J194" s="16" t="inlineStr">
        <is>
          <t>red</t>
        </is>
      </c>
      <c r="K194" s="20" t="n">
        <v>47</v>
      </c>
      <c r="L194" s="18" t="n">
        <v>49.41</v>
      </c>
      <c r="M194" s="18" t="n">
        <v>682.62</v>
      </c>
      <c r="N194" s="18" t="n">
        <v>704.64</v>
      </c>
      <c r="O194" s="18" t="n">
        <v>697.66</v>
      </c>
      <c r="P194" s="18" t="n">
        <v>788.67</v>
      </c>
      <c r="Q194" s="18" t="n">
        <v>558.36</v>
      </c>
      <c r="R194" s="21">
        <f>IF(OR(G194="",P194=""),"",G194/P194-1)</f>
        <v/>
      </c>
      <c r="S194" s="19" t="n">
        <v>0.5750999999999999</v>
      </c>
      <c r="T194" s="22" t="n">
        <v>-0.0063</v>
      </c>
      <c r="U194" s="16" t="inlineStr">
        <is>
          <t>No</t>
        </is>
      </c>
      <c r="V194" s="16" t="inlineStr">
        <is>
          <t>No</t>
        </is>
      </c>
      <c r="W194" s="16" t="inlineStr">
        <is>
          <t>Yes</t>
        </is>
      </c>
      <c r="X194" s="16" t="inlineStr">
        <is>
          <t>Yes</t>
        </is>
      </c>
      <c r="Y194" s="20" t="n">
        <v>19</v>
      </c>
      <c r="Z194" s="19" t="n">
        <v>0.01</v>
      </c>
      <c r="AA194" s="18" t="n">
        <v>46.17</v>
      </c>
      <c r="AB194" s="16" t="inlineStr">
        <is>
          <t>Average</t>
        </is>
      </c>
      <c r="AC194" s="16" t="inlineStr">
        <is>
          <t>Yes</t>
        </is>
      </c>
      <c r="AD194" s="19" t="n">
        <v>0.1466</v>
      </c>
      <c r="AE194" s="19" t="n">
        <v>0.06269999999999999</v>
      </c>
      <c r="AF194" s="19" t="n">
        <v>0.1056</v>
      </c>
      <c r="AG194" s="19" t="n">
        <v>0.1401</v>
      </c>
      <c r="AH194" s="23" t="n">
        <v>4.8</v>
      </c>
      <c r="AI194" s="23" t="n">
        <v>28.77</v>
      </c>
      <c r="AJ194" s="19" t="n">
        <v>0.0131</v>
      </c>
    </row>
    <row r="195">
      <c r="A195" s="16" t="inlineStr">
        <is>
          <t>BERGEPAINT</t>
        </is>
      </c>
      <c r="B195" s="16" t="inlineStr">
        <is>
          <t>Berger Paints (India) Ltd.</t>
        </is>
      </c>
      <c r="C195" s="16" t="inlineStr">
        <is>
          <t>Paints</t>
        </is>
      </c>
      <c r="D195" s="16" t="inlineStr">
        <is>
          <t>Consumer Durables</t>
        </is>
      </c>
      <c r="E195" s="16" t="inlineStr">
        <is>
          <t>INE463A01038</t>
        </is>
      </c>
      <c r="F195" s="17" t="n">
        <v>56580.87</v>
      </c>
      <c r="G195" s="18" t="n">
        <v>485.3</v>
      </c>
      <c r="H195" s="19" t="n">
        <v>-0.0124</v>
      </c>
      <c r="I195" s="20" t="n">
        <v>33</v>
      </c>
      <c r="J195" s="16" t="inlineStr">
        <is>
          <t>red</t>
        </is>
      </c>
      <c r="K195" s="20" t="n">
        <v>53</v>
      </c>
      <c r="L195" s="18" t="n">
        <v>8.699999999999999</v>
      </c>
      <c r="M195" s="18" t="n">
        <v>494.05</v>
      </c>
      <c r="N195" s="18" t="n">
        <v>511.59</v>
      </c>
      <c r="O195" s="18" t="n">
        <v>495.57</v>
      </c>
      <c r="P195" s="18" t="n">
        <v>585.6799999999999</v>
      </c>
      <c r="Q195" s="18" t="n">
        <v>401.47</v>
      </c>
      <c r="R195" s="21">
        <f>IF(OR(G195="",P195=""),"",G195/P195-1)</f>
        <v/>
      </c>
      <c r="S195" s="19" t="n">
        <v>0.6367</v>
      </c>
      <c r="T195" s="22" t="n">
        <v>-0.0059</v>
      </c>
      <c r="U195" s="16" t="inlineStr">
        <is>
          <t>No</t>
        </is>
      </c>
      <c r="V195" s="16" t="inlineStr">
        <is>
          <t>No</t>
        </is>
      </c>
      <c r="W195" s="16" t="inlineStr">
        <is>
          <t>No</t>
        </is>
      </c>
      <c r="X195" s="16" t="inlineStr">
        <is>
          <t>Yes</t>
        </is>
      </c>
      <c r="Y195" s="20" t="n">
        <v>47</v>
      </c>
      <c r="Z195" s="19" t="n">
        <v>0.0323</v>
      </c>
      <c r="AA195" s="18" t="n">
        <v>60.47</v>
      </c>
      <c r="AB195" s="16" t="inlineStr">
        <is>
          <t>Good</t>
        </is>
      </c>
      <c r="AC195" s="16" t="inlineStr">
        <is>
          <t>No</t>
        </is>
      </c>
      <c r="AD195" s="19" t="n">
        <v>0.1906</v>
      </c>
      <c r="AE195" s="19" t="n">
        <v>0.2368</v>
      </c>
      <c r="AF195" s="19" t="n">
        <v>0.108</v>
      </c>
      <c r="AG195" s="19" t="n">
        <v>0.0423</v>
      </c>
      <c r="AH195" s="23" t="n">
        <v>0.09</v>
      </c>
      <c r="AI195" s="23" t="n">
        <v>3.14</v>
      </c>
      <c r="AJ195" s="19" t="n">
        <v>0.0864</v>
      </c>
    </row>
    <row r="196">
      <c r="A196" s="16" t="inlineStr">
        <is>
          <t>ABBOTINDIA</t>
        </is>
      </c>
      <c r="B196" s="16" t="inlineStr">
        <is>
          <t>Abbott India Ltd.</t>
        </is>
      </c>
      <c r="C196" s="16" t="inlineStr">
        <is>
          <t>Pharmaceuticals</t>
        </is>
      </c>
      <c r="D196" s="16" t="inlineStr">
        <is>
          <t>Pharmaceuticals &amp; Biotechnology</t>
        </is>
      </c>
      <c r="E196" s="16" t="inlineStr">
        <is>
          <t>INE358A01014</t>
        </is>
      </c>
      <c r="F196" s="17" t="n">
        <v>55386.3</v>
      </c>
      <c r="G196" s="18" t="n">
        <v>26065</v>
      </c>
      <c r="H196" s="19" t="n">
        <v>0.0046</v>
      </c>
      <c r="I196" s="20" t="n">
        <v>30</v>
      </c>
      <c r="J196" s="16" t="inlineStr">
        <is>
          <t>red</t>
        </is>
      </c>
      <c r="K196" s="20" t="n">
        <v>110</v>
      </c>
      <c r="L196" s="18" t="n">
        <v>33.4</v>
      </c>
      <c r="M196" s="18" t="n">
        <v>26140</v>
      </c>
      <c r="N196" s="18" t="n">
        <v>26831.98</v>
      </c>
      <c r="O196" s="18" t="n">
        <v>26581.84</v>
      </c>
      <c r="P196" s="18" t="n">
        <v>31439.31</v>
      </c>
      <c r="Q196" s="18" t="n">
        <v>24604.26</v>
      </c>
      <c r="R196" s="21">
        <f>IF(OR(G196="",P196=""),"",G196/P196-1)</f>
        <v/>
      </c>
      <c r="S196" s="19" t="n">
        <v>1.0471</v>
      </c>
      <c r="T196" s="22" t="n">
        <v>-0.008399999999999999</v>
      </c>
      <c r="U196" s="16" t="inlineStr">
        <is>
          <t>No</t>
        </is>
      </c>
      <c r="V196" s="16" t="inlineStr">
        <is>
          <t>No</t>
        </is>
      </c>
      <c r="W196" s="16" t="inlineStr">
        <is>
          <t>No</t>
        </is>
      </c>
      <c r="X196" s="16" t="inlineStr">
        <is>
          <t>Yes</t>
        </is>
      </c>
      <c r="Y196" s="20" t="n">
        <v>8</v>
      </c>
      <c r="Z196" s="19" t="n">
        <v>0.009399999999999999</v>
      </c>
      <c r="AA196" s="18" t="n">
        <v>74.19</v>
      </c>
      <c r="AB196" s="16" t="inlineStr">
        <is>
          <t>High</t>
        </is>
      </c>
      <c r="AC196" s="16" t="inlineStr">
        <is>
          <t>No</t>
        </is>
      </c>
      <c r="AD196" s="19" t="n">
        <v>0.328</v>
      </c>
      <c r="AE196" s="19" t="n">
        <v>0.4283</v>
      </c>
      <c r="AF196" s="19" t="n">
        <v>0.18</v>
      </c>
      <c r="AG196" s="19" t="n">
        <v>0.0902</v>
      </c>
      <c r="AH196" s="23" t="n">
        <v>0.04</v>
      </c>
      <c r="AI196" s="23" t="n">
        <v>20.78</v>
      </c>
      <c r="AJ196" s="19" t="n">
        <v>0.0175</v>
      </c>
    </row>
    <row r="197">
      <c r="A197" s="16" t="inlineStr">
        <is>
          <t>MRF</t>
        </is>
      </c>
      <c r="B197" s="16" t="inlineStr">
        <is>
          <t>MRF Ltd.</t>
        </is>
      </c>
      <c r="C197" s="16" t="inlineStr">
        <is>
          <t>Auto Tyres &amp; Rubber Products</t>
        </is>
      </c>
      <c r="D197" s="16" t="inlineStr">
        <is>
          <t>Automobiles &amp; Auto Components</t>
        </is>
      </c>
      <c r="E197" s="16" t="inlineStr">
        <is>
          <t>INE883A01011</t>
        </is>
      </c>
      <c r="F197" s="17" t="n">
        <v>55110.97</v>
      </c>
      <c r="G197" s="18" t="n">
        <v>129945</v>
      </c>
      <c r="H197" s="19" t="n">
        <v>-0.0043</v>
      </c>
      <c r="I197" s="20" t="n">
        <v>30</v>
      </c>
      <c r="J197" s="16" t="inlineStr">
        <is>
          <t>red</t>
        </is>
      </c>
      <c r="K197" s="20" t="n">
        <v>104</v>
      </c>
      <c r="L197" s="18" t="n">
        <v>39.33</v>
      </c>
      <c r="M197" s="18" t="n">
        <v>132201.88</v>
      </c>
      <c r="N197" s="18" t="n">
        <v>132525.57</v>
      </c>
      <c r="O197" s="18" t="n">
        <v>136805.22</v>
      </c>
      <c r="P197" s="18" t="n">
        <v>162005.81</v>
      </c>
      <c r="Q197" s="18" t="n">
        <v>122381.4</v>
      </c>
      <c r="R197" s="21">
        <f>IF(OR(G197="",P197=""),"",G197/P197-1)</f>
        <v/>
      </c>
      <c r="S197" s="19" t="n">
        <v>1.0508</v>
      </c>
      <c r="T197" s="22" t="n">
        <v>-0.0185</v>
      </c>
      <c r="U197" s="16" t="inlineStr">
        <is>
          <t>No</t>
        </is>
      </c>
      <c r="V197" s="16" t="inlineStr">
        <is>
          <t>No</t>
        </is>
      </c>
      <c r="W197" s="16" t="inlineStr">
        <is>
          <t>No</t>
        </is>
      </c>
      <c r="X197" s="16" t="inlineStr">
        <is>
          <t>No</t>
        </is>
      </c>
      <c r="Y197" s="20" t="n">
        <v>141</v>
      </c>
      <c r="Z197" s="19" t="n">
        <v>-0.0313</v>
      </c>
      <c r="AA197" s="18" t="n">
        <v>55.55</v>
      </c>
      <c r="AB197" s="16" t="inlineStr">
        <is>
          <t>Good</t>
        </is>
      </c>
      <c r="AC197" s="16" t="inlineStr">
        <is>
          <t>No</t>
        </is>
      </c>
      <c r="AD197" s="19" t="n">
        <v>0.1137</v>
      </c>
      <c r="AE197" s="19" t="n">
        <v>0.1453</v>
      </c>
      <c r="AF197" s="19" t="n">
        <v>0.6339</v>
      </c>
      <c r="AG197" s="19" t="n">
        <v>0.1062</v>
      </c>
      <c r="AH197" s="23" t="n">
        <v>0.15</v>
      </c>
      <c r="AI197" s="23" t="n">
        <v>2.18</v>
      </c>
      <c r="AJ197" s="19" t="n">
        <v>0.08929999999999999</v>
      </c>
    </row>
    <row r="198">
      <c r="A198" s="16" t="inlineStr">
        <is>
          <t>LINDEINDIA</t>
        </is>
      </c>
      <c r="B198" s="16" t="inlineStr">
        <is>
          <t>Linde India Ltd.</t>
        </is>
      </c>
      <c r="C198" s="16" t="inlineStr">
        <is>
          <t>Industrial Gases</t>
        </is>
      </c>
      <c r="D198" s="16" t="inlineStr">
        <is>
          <t>General Industrials</t>
        </is>
      </c>
      <c r="E198" s="16" t="inlineStr">
        <is>
          <t>INE473A01011</t>
        </is>
      </c>
      <c r="F198" s="17" t="n">
        <v>54121.35</v>
      </c>
      <c r="G198" s="18" t="n">
        <v>6346</v>
      </c>
      <c r="H198" s="19" t="n">
        <v>-0.0042</v>
      </c>
      <c r="I198" s="20" t="n">
        <v>35</v>
      </c>
      <c r="J198" s="16" t="inlineStr">
        <is>
          <t>red</t>
        </is>
      </c>
      <c r="K198" s="20" t="n">
        <v>66</v>
      </c>
      <c r="L198" s="18" t="n">
        <v>19.7</v>
      </c>
      <c r="M198" s="18" t="n">
        <v>6435.19</v>
      </c>
      <c r="N198" s="18" t="n">
        <v>6842.77</v>
      </c>
      <c r="O198" s="18" t="n">
        <v>6701.84</v>
      </c>
      <c r="P198" s="18" t="n">
        <v>7834.21</v>
      </c>
      <c r="Q198" s="18" t="n">
        <v>5685.86</v>
      </c>
      <c r="R198" s="21">
        <f>IF(OR(G198="",P198=""),"",G198/P198-1)</f>
        <v/>
      </c>
      <c r="S198" s="19" t="n">
        <v>0.3918</v>
      </c>
      <c r="T198" s="22" t="n">
        <v>0.0102</v>
      </c>
      <c r="U198" s="16" t="inlineStr">
        <is>
          <t>Yes</t>
        </is>
      </c>
      <c r="V198" s="16" t="inlineStr">
        <is>
          <t>No</t>
        </is>
      </c>
      <c r="W198" s="16" t="inlineStr">
        <is>
          <t>No</t>
        </is>
      </c>
      <c r="X198" s="16" t="inlineStr">
        <is>
          <t>Yes</t>
        </is>
      </c>
      <c r="Y198" s="20" t="n">
        <v>120</v>
      </c>
      <c r="Z198" s="19" t="n">
        <v>0.021</v>
      </c>
      <c r="AA198" s="18" t="n">
        <v>51.31</v>
      </c>
      <c r="AB198" s="16" t="inlineStr">
        <is>
          <t>Average</t>
        </is>
      </c>
      <c r="AC198" s="16" t="inlineStr">
        <is>
          <t>No</t>
        </is>
      </c>
      <c r="AD198" s="19" t="n">
        <v>0.1243</v>
      </c>
      <c r="AE198" s="19" t="n">
        <v>0.1674</v>
      </c>
      <c r="AF198" s="19" t="n">
        <v>0.1274</v>
      </c>
      <c r="AG198" s="19" t="n">
        <v>-0.042</v>
      </c>
      <c r="AH198" s="23" t="n">
        <v>0.02</v>
      </c>
      <c r="AI198" s="23" t="n">
        <v>0.6</v>
      </c>
      <c r="AJ198" s="19" t="n">
        <v>0.509</v>
      </c>
    </row>
    <row r="199">
      <c r="A199" s="16" t="inlineStr">
        <is>
          <t>MFSL</t>
        </is>
      </c>
      <c r="B199" s="16" t="inlineStr">
        <is>
          <t>Max Financial Services Ltd.</t>
        </is>
      </c>
      <c r="C199" s="16" t="inlineStr">
        <is>
          <t>Life Insurance</t>
        </is>
      </c>
      <c r="D199" s="16" t="inlineStr">
        <is>
          <t>Banking and Finance</t>
        </is>
      </c>
      <c r="E199" s="16" t="inlineStr">
        <is>
          <t>INE180A01020</t>
        </is>
      </c>
      <c r="F199" s="17" t="n">
        <v>53437.58</v>
      </c>
      <c r="G199" s="18" t="n">
        <v>1548.4</v>
      </c>
      <c r="H199" s="19" t="n">
        <v>0.0074</v>
      </c>
      <c r="I199" s="20" t="n">
        <v>29</v>
      </c>
      <c r="J199" s="16" t="inlineStr">
        <is>
          <t>red</t>
        </is>
      </c>
      <c r="K199" s="20" t="n">
        <v>74</v>
      </c>
      <c r="L199" s="18" t="n">
        <v>46</v>
      </c>
      <c r="M199" s="18" t="n">
        <v>1553.82</v>
      </c>
      <c r="N199" s="18" t="n">
        <v>1554.88</v>
      </c>
      <c r="O199" s="18" t="n">
        <v>1638.77</v>
      </c>
      <c r="P199" s="18" t="n">
        <v>1870</v>
      </c>
      <c r="Q199" s="18" t="n">
        <v>1464.2</v>
      </c>
      <c r="R199" s="21">
        <f>IF(OR(G199="",P199=""),"",G199/P199-1)</f>
        <v/>
      </c>
      <c r="S199" s="19" t="n">
        <v>0.7531</v>
      </c>
      <c r="T199" s="22" t="n">
        <v>-0.0029</v>
      </c>
      <c r="U199" s="16" t="inlineStr">
        <is>
          <t>No</t>
        </is>
      </c>
      <c r="V199" s="16" t="inlineStr">
        <is>
          <t>No</t>
        </is>
      </c>
      <c r="W199" s="16" t="inlineStr">
        <is>
          <t>No</t>
        </is>
      </c>
      <c r="X199" s="16" t="inlineStr">
        <is>
          <t>No</t>
        </is>
      </c>
      <c r="Y199" s="20" t="n">
        <v>82</v>
      </c>
      <c r="Z199" s="19" t="n">
        <v>-0.0512</v>
      </c>
      <c r="AA199" s="18" t="n">
        <v>24.16</v>
      </c>
      <c r="AB199" s="16" t="inlineStr">
        <is>
          <t>Poor</t>
        </is>
      </c>
      <c r="AC199" s="16" t="inlineStr">
        <is>
          <t>Yes</t>
        </is>
      </c>
      <c r="AD199" s="19" t="n">
        <v>0.0553</v>
      </c>
      <c r="AE199" s="19" t="n">
        <v>0.0623</v>
      </c>
      <c r="AF199" s="19" t="n">
        <v>-0.2926</v>
      </c>
      <c r="AG199" s="19" t="n">
        <v>0.1692</v>
      </c>
      <c r="AH199" s="23" t="n">
        <v>0.44</v>
      </c>
      <c r="AI199" s="23" t="n">
        <v>81.37</v>
      </c>
      <c r="AJ199" s="19" t="n">
        <v>0.0014</v>
      </c>
    </row>
    <row r="200">
      <c r="A200" s="16" t="inlineStr">
        <is>
          <t>PIRAMALFIN</t>
        </is>
      </c>
      <c r="B200" s="16" t="inlineStr">
        <is>
          <t>Piramal Finance Ltd.</t>
        </is>
      </c>
      <c r="C200" s="16" t="inlineStr">
        <is>
          <t>Finance (including NBFCs)</t>
        </is>
      </c>
      <c r="D200" s="16" t="inlineStr">
        <is>
          <t>Banking and Finance</t>
        </is>
      </c>
      <c r="E200" s="16" t="inlineStr">
        <is>
          <t>INE202B01038</t>
        </is>
      </c>
      <c r="F200" s="17" t="n">
        <v>52650.24</v>
      </c>
      <c r="G200" s="18" t="n">
        <v>2225</v>
      </c>
      <c r="H200" s="19" t="n">
        <v>-0.0035</v>
      </c>
      <c r="I200" s="20" t="n">
        <v>72</v>
      </c>
      <c r="J200" s="16" t="inlineStr">
        <is>
          <t>amber</t>
        </is>
      </c>
      <c r="K200" s="20" t="n">
        <v>27</v>
      </c>
      <c r="L200" s="18" t="n">
        <v>68.66</v>
      </c>
      <c r="M200" s="18" t="n">
        <v>2237.42</v>
      </c>
      <c r="N200" s="18" t="n">
        <v>2137.6</v>
      </c>
      <c r="O200" s="18" t="n">
        <v>1875.01</v>
      </c>
      <c r="P200" s="18" t="n">
        <v>2300.4</v>
      </c>
      <c r="Q200" s="18" t="n">
        <v>1315.54</v>
      </c>
      <c r="R200" s="21">
        <f>IF(OR(G200="",P200=""),"",G200/P200-1)</f>
        <v/>
      </c>
      <c r="S200" s="19" t="n">
        <v>0.3133</v>
      </c>
      <c r="T200" s="22" t="n"/>
      <c r="U200" s="16" t="n"/>
      <c r="V200" s="16" t="inlineStr">
        <is>
          <t>Yes</t>
        </is>
      </c>
      <c r="W200" s="16" t="inlineStr">
        <is>
          <t>No</t>
        </is>
      </c>
      <c r="X200" s="16" t="inlineStr">
        <is>
          <t>Yes</t>
        </is>
      </c>
      <c r="Y200" s="20" t="n">
        <v>10</v>
      </c>
      <c r="Z200" s="19" t="n">
        <v>0.14</v>
      </c>
      <c r="AA200" s="18" t="n">
        <v>38.58</v>
      </c>
      <c r="AB200" s="16" t="inlineStr">
        <is>
          <t>Weak</t>
        </is>
      </c>
      <c r="AC200" s="16" t="inlineStr">
        <is>
          <t>Yes</t>
        </is>
      </c>
      <c r="AD200" s="19" t="n">
        <v>-4.3968</v>
      </c>
      <c r="AE200" s="19" t="n">
        <v>-1.9244</v>
      </c>
      <c r="AF200" s="19" t="n">
        <v>1.3491</v>
      </c>
      <c r="AG200" s="19" t="n">
        <v>0.1752</v>
      </c>
      <c r="AH200" s="23" t="n">
        <v>2.84</v>
      </c>
      <c r="AI200" s="23" t="n">
        <v>27.59</v>
      </c>
      <c r="AJ200" s="19" t="n">
        <v>0</v>
      </c>
    </row>
    <row r="201">
      <c r="A201" s="16" t="inlineStr">
        <is>
          <t>ANTHEM</t>
        </is>
      </c>
      <c r="B201" s="16" t="inlineStr">
        <is>
          <t>Anthem Biosciences Ltd.</t>
        </is>
      </c>
      <c r="C201" s="16" t="inlineStr">
        <is>
          <t>Pharmaceuticals</t>
        </is>
      </c>
      <c r="D201" s="16" t="inlineStr">
        <is>
          <t>Pharmaceuticals &amp; Biotechnology</t>
        </is>
      </c>
      <c r="E201" s="16" t="inlineStr">
        <is>
          <t>INE0CZ201020</t>
        </is>
      </c>
      <c r="F201" s="17" t="n">
        <v>52605.24</v>
      </c>
      <c r="G201" s="18" t="n">
        <v>934.05</v>
      </c>
      <c r="H201" s="19" t="n">
        <v>-0.0175</v>
      </c>
      <c r="I201" s="20" t="n">
        <v>73</v>
      </c>
      <c r="J201" s="16" t="inlineStr">
        <is>
          <t>amber</t>
        </is>
      </c>
      <c r="K201" s="20" t="n">
        <v>36</v>
      </c>
      <c r="L201" s="18" t="n">
        <v>58.89</v>
      </c>
      <c r="M201" s="18" t="n">
        <v>923.0700000000001</v>
      </c>
      <c r="N201" s="18" t="n">
        <v>827.78</v>
      </c>
      <c r="O201" s="18" t="n">
        <v>726.63</v>
      </c>
      <c r="P201" s="18" t="n">
        <v>950.7</v>
      </c>
      <c r="Q201" s="18" t="n">
        <v>590.86</v>
      </c>
      <c r="R201" s="21">
        <f>IF(OR(G201="",P201=""),"",G201/P201-1)</f>
        <v/>
      </c>
      <c r="S201" s="19" t="n">
        <v>1.1597</v>
      </c>
      <c r="T201" s="22" t="n">
        <v>0.0282</v>
      </c>
      <c r="U201" s="16" t="inlineStr">
        <is>
          <t>Yes</t>
        </is>
      </c>
      <c r="V201" s="16" t="inlineStr">
        <is>
          <t>Yes</t>
        </is>
      </c>
      <c r="W201" s="16" t="inlineStr">
        <is>
          <t>Yes</t>
        </is>
      </c>
      <c r="X201" s="16" t="inlineStr">
        <is>
          <t>Yes</t>
        </is>
      </c>
      <c r="Y201" s="20" t="n">
        <v>79</v>
      </c>
      <c r="Z201" s="19" t="n">
        <v>0.1392</v>
      </c>
      <c r="AA201" s="18" t="n">
        <v>73.15000000000001</v>
      </c>
      <c r="AB201" s="16" t="inlineStr">
        <is>
          <t>High</t>
        </is>
      </c>
      <c r="AC201" s="16" t="inlineStr">
        <is>
          <t>No</t>
        </is>
      </c>
      <c r="AD201" s="19" t="n">
        <v>0.1909</v>
      </c>
      <c r="AE201" s="19" t="n">
        <v>0.2525</v>
      </c>
      <c r="AF201" s="19" t="n">
        <v>0.16</v>
      </c>
      <c r="AG201" s="19" t="n">
        <v>0.2647</v>
      </c>
      <c r="AH201" s="23" t="n">
        <v>0.02</v>
      </c>
      <c r="AI201" s="23" t="n">
        <v>1.99</v>
      </c>
      <c r="AJ201" s="19" t="n">
        <v>0.266</v>
      </c>
    </row>
    <row r="202">
      <c r="A202" s="16" t="inlineStr">
        <is>
          <t>TIINDIA</t>
        </is>
      </c>
      <c r="B202" s="16" t="inlineStr">
        <is>
          <t>Tube Investments of India Ltd.</t>
        </is>
      </c>
      <c r="C202" s="16" t="inlineStr">
        <is>
          <t>Auto Parts &amp; Equipment</t>
        </is>
      </c>
      <c r="D202" s="16" t="inlineStr">
        <is>
          <t>Automobiles &amp; Auto Components</t>
        </is>
      </c>
      <c r="E202" s="16" t="inlineStr">
        <is>
          <t>INE974X01010</t>
        </is>
      </c>
      <c r="F202" s="17" t="n">
        <v>52225.81</v>
      </c>
      <c r="G202" s="18" t="n">
        <v>2698</v>
      </c>
      <c r="H202" s="19" t="n">
        <v>-0.0137</v>
      </c>
      <c r="I202" s="20" t="n">
        <v>25</v>
      </c>
      <c r="J202" s="16" t="inlineStr">
        <is>
          <t>red</t>
        </is>
      </c>
      <c r="K202" s="20" t="n">
        <v>52</v>
      </c>
      <c r="L202" s="18" t="n">
        <v>46.05</v>
      </c>
      <c r="M202" s="18" t="n">
        <v>2783.32</v>
      </c>
      <c r="N202" s="18" t="n">
        <v>2860.08</v>
      </c>
      <c r="O202" s="18" t="n">
        <v>2762.59</v>
      </c>
      <c r="P202" s="18" t="n">
        <v>3399.67</v>
      </c>
      <c r="Q202" s="18" t="n">
        <v>2186.26</v>
      </c>
      <c r="R202" s="21">
        <f>IF(OR(G202="",P202=""),"",G202/P202-1)</f>
        <v/>
      </c>
      <c r="S202" s="19" t="n">
        <v>0.411</v>
      </c>
      <c r="T202" s="22" t="n">
        <v>-0.008500000000000001</v>
      </c>
      <c r="U202" s="16" t="inlineStr">
        <is>
          <t>No</t>
        </is>
      </c>
      <c r="V202" s="16" t="inlineStr">
        <is>
          <t>No</t>
        </is>
      </c>
      <c r="W202" s="16" t="inlineStr">
        <is>
          <t>No</t>
        </is>
      </c>
      <c r="X202" s="16" t="inlineStr">
        <is>
          <t>Yes</t>
        </is>
      </c>
      <c r="Y202" s="20" t="n">
        <v>71</v>
      </c>
      <c r="Z202" s="19" t="n">
        <v>0.0353</v>
      </c>
      <c r="AA202" s="18" t="n">
        <v>40</v>
      </c>
      <c r="AB202" s="16" t="inlineStr">
        <is>
          <t>Average</t>
        </is>
      </c>
      <c r="AC202" s="16" t="inlineStr">
        <is>
          <t>No</t>
        </is>
      </c>
      <c r="AD202" s="19" t="n">
        <v>0.1468</v>
      </c>
      <c r="AE202" s="19" t="n">
        <v>0.2218</v>
      </c>
      <c r="AF202" s="19" t="n">
        <v>-0.3933</v>
      </c>
      <c r="AG202" s="19" t="n">
        <v>0.1549</v>
      </c>
      <c r="AH202" s="23" t="n">
        <v>0.1</v>
      </c>
      <c r="AI202" s="23" t="n">
        <v>4.33</v>
      </c>
      <c r="AJ202" s="19" t="n">
        <v>0.2029</v>
      </c>
    </row>
    <row r="203">
      <c r="A203" s="16" t="inlineStr">
        <is>
          <t>M&amp;MFIN</t>
        </is>
      </c>
      <c r="B203" s="16" t="inlineStr">
        <is>
          <t>Mahindra &amp; Mahindra Financial Services Ltd.</t>
        </is>
      </c>
      <c r="C203" s="16" t="inlineStr">
        <is>
          <t>Finance (including NBFCs)</t>
        </is>
      </c>
      <c r="D203" s="16" t="inlineStr">
        <is>
          <t>Banking and Finance</t>
        </is>
      </c>
      <c r="E203" s="16" t="inlineStr">
        <is>
          <t>INE774D01024</t>
        </is>
      </c>
      <c r="F203" s="17" t="n">
        <v>51936.27</v>
      </c>
      <c r="G203" s="18" t="n">
        <v>373.65</v>
      </c>
      <c r="H203" s="19" t="n">
        <v>-0.0064</v>
      </c>
      <c r="I203" s="20" t="n">
        <v>72</v>
      </c>
      <c r="J203" s="16" t="inlineStr">
        <is>
          <t>amber</t>
        </is>
      </c>
      <c r="K203" s="20" t="n">
        <v>19</v>
      </c>
      <c r="L203" s="18" t="n">
        <v>37</v>
      </c>
      <c r="M203" s="18" t="n">
        <v>375.16</v>
      </c>
      <c r="N203" s="18" t="n">
        <v>363.96</v>
      </c>
      <c r="O203" s="18" t="n">
        <v>338.24</v>
      </c>
      <c r="P203" s="18" t="n">
        <v>412.3</v>
      </c>
      <c r="Q203" s="18" t="n">
        <v>257.12</v>
      </c>
      <c r="R203" s="21">
        <f>IF(OR(G203="",P203=""),"",G203/P203-1)</f>
        <v/>
      </c>
      <c r="S203" s="19" t="n">
        <v>0.9398000000000001</v>
      </c>
      <c r="T203" s="22" t="n">
        <v>0.024</v>
      </c>
      <c r="U203" s="16" t="inlineStr">
        <is>
          <t>Yes</t>
        </is>
      </c>
      <c r="V203" s="16" t="inlineStr">
        <is>
          <t>Yes</t>
        </is>
      </c>
      <c r="W203" s="16" t="inlineStr">
        <is>
          <t>No</t>
        </is>
      </c>
      <c r="X203" s="16" t="inlineStr">
        <is>
          <t>Yes</t>
        </is>
      </c>
      <c r="Y203" s="20" t="n">
        <v>18</v>
      </c>
      <c r="Z203" s="19" t="n">
        <v>0.076</v>
      </c>
      <c r="AA203" s="18" t="n">
        <v>43.21</v>
      </c>
      <c r="AB203" s="16" t="inlineStr">
        <is>
          <t>Average</t>
        </is>
      </c>
      <c r="AC203" s="16" t="inlineStr">
        <is>
          <t>Yes</t>
        </is>
      </c>
      <c r="AD203" s="19" t="n">
        <v>0.1031</v>
      </c>
      <c r="AE203" s="19" t="n"/>
      <c r="AF203" s="19" t="n">
        <v>0.09089999999999999</v>
      </c>
      <c r="AG203" s="19" t="n">
        <v>0.1337</v>
      </c>
      <c r="AH203" s="23" t="n">
        <v>4.31</v>
      </c>
      <c r="AI203" s="23" t="n">
        <v>9.43</v>
      </c>
      <c r="AJ203" s="19" t="n">
        <v>0.0576</v>
      </c>
    </row>
    <row r="204">
      <c r="A204" s="16" t="inlineStr">
        <is>
          <t>FACT</t>
        </is>
      </c>
      <c r="B204" s="16" t="inlineStr">
        <is>
          <t>The Fertilisers and Chemicals Travancore Ltd.</t>
        </is>
      </c>
      <c r="C204" s="16" t="inlineStr">
        <is>
          <t>Fertilizers</t>
        </is>
      </c>
      <c r="D204" s="16" t="inlineStr">
        <is>
          <t>Fertilizers</t>
        </is>
      </c>
      <c r="E204" s="16" t="inlineStr">
        <is>
          <t>INE188A01015</t>
        </is>
      </c>
      <c r="F204" s="17" t="n">
        <v>51856.35</v>
      </c>
      <c r="G204" s="18" t="n">
        <v>801.4</v>
      </c>
      <c r="H204" s="19" t="n">
        <v>0.0015</v>
      </c>
      <c r="I204" s="20" t="n">
        <v>30</v>
      </c>
      <c r="J204" s="16" t="inlineStr">
        <is>
          <t>red</t>
        </is>
      </c>
      <c r="K204" s="20" t="n">
        <v>58</v>
      </c>
      <c r="L204" s="18" t="n">
        <v>52</v>
      </c>
      <c r="M204" s="18" t="n">
        <v>822.96</v>
      </c>
      <c r="N204" s="18" t="n">
        <v>831.91</v>
      </c>
      <c r="O204" s="18" t="n">
        <v>843.71</v>
      </c>
      <c r="P204" s="18" t="n">
        <v>1005.1</v>
      </c>
      <c r="Q204" s="18" t="n">
        <v>662.1</v>
      </c>
      <c r="R204" s="21">
        <f>IF(OR(G204="",P204=""),"",G204/P204-1)</f>
        <v/>
      </c>
      <c r="S204" s="19" t="n">
        <v>0.07400000000000001</v>
      </c>
      <c r="T204" s="22" t="n">
        <v>-0.0097</v>
      </c>
      <c r="U204" s="16" t="inlineStr">
        <is>
          <t>No</t>
        </is>
      </c>
      <c r="V204" s="16" t="inlineStr">
        <is>
          <t>No</t>
        </is>
      </c>
      <c r="W204" s="16" t="inlineStr">
        <is>
          <t>No</t>
        </is>
      </c>
      <c r="X204" s="16" t="inlineStr">
        <is>
          <t>No</t>
        </is>
      </c>
      <c r="Y204" s="20" t="n">
        <v>9</v>
      </c>
      <c r="Z204" s="19" t="n">
        <v>-0.014</v>
      </c>
      <c r="AA204" s="18" t="n">
        <v>9.4</v>
      </c>
      <c r="AB204" s="16" t="inlineStr">
        <is>
          <t>Poor</t>
        </is>
      </c>
      <c r="AC204" s="16" t="inlineStr">
        <is>
          <t>No</t>
        </is>
      </c>
      <c r="AD204" s="19" t="n">
        <v>0.0318</v>
      </c>
      <c r="AE204" s="19" t="n">
        <v>0.0746</v>
      </c>
      <c r="AF204" s="19" t="n">
        <v>-1.1403</v>
      </c>
      <c r="AG204" s="19" t="n">
        <v>0.2409</v>
      </c>
      <c r="AH204" s="23" t="n">
        <v>2.95</v>
      </c>
      <c r="AI204" s="23" t="n">
        <v>4.61</v>
      </c>
      <c r="AJ204" s="19" t="n">
        <v>0.2362</v>
      </c>
    </row>
    <row r="205">
      <c r="A205" s="16" t="inlineStr">
        <is>
          <t>SUNDARMFIN</t>
        </is>
      </c>
      <c r="B205" s="16" t="inlineStr">
        <is>
          <t>Sundaram Finance Ltd.</t>
        </is>
      </c>
      <c r="C205" s="16" t="inlineStr">
        <is>
          <t>Finance (including NBFCs)</t>
        </is>
      </c>
      <c r="D205" s="16" t="inlineStr">
        <is>
          <t>Banking and Finance</t>
        </is>
      </c>
      <c r="E205" s="16" t="inlineStr">
        <is>
          <t>INE660A01013</t>
        </is>
      </c>
      <c r="F205" s="17" t="n">
        <v>51648.87</v>
      </c>
      <c r="G205" s="18" t="n">
        <v>4648.7</v>
      </c>
      <c r="H205" s="19" t="n">
        <v>0.0154</v>
      </c>
      <c r="I205" s="20" t="n">
        <v>45</v>
      </c>
      <c r="J205" s="16" t="inlineStr">
        <is>
          <t>red</t>
        </is>
      </c>
      <c r="K205" s="20" t="n">
        <v>98</v>
      </c>
      <c r="L205" s="18" t="n">
        <v>59.65</v>
      </c>
      <c r="M205" s="18" t="n">
        <v>4576.86</v>
      </c>
      <c r="N205" s="18" t="n">
        <v>4546.75</v>
      </c>
      <c r="O205" s="18" t="n">
        <v>4764.34</v>
      </c>
      <c r="P205" s="18" t="n">
        <v>5552.22</v>
      </c>
      <c r="Q205" s="18" t="n">
        <v>4047.76</v>
      </c>
      <c r="R205" s="21">
        <f>IF(OR(G205="",P205=""),"",G205/P205-1)</f>
        <v/>
      </c>
      <c r="S205" s="19" t="n">
        <v>0.3462</v>
      </c>
      <c r="T205" s="22" t="n">
        <v>-0.0025</v>
      </c>
      <c r="U205" s="16" t="inlineStr">
        <is>
          <t>No</t>
        </is>
      </c>
      <c r="V205" s="16" t="inlineStr">
        <is>
          <t>Yes</t>
        </is>
      </c>
      <c r="W205" s="16" t="inlineStr">
        <is>
          <t>Yes</t>
        </is>
      </c>
      <c r="X205" s="16" t="inlineStr">
        <is>
          <t>No</t>
        </is>
      </c>
      <c r="Y205" s="20" t="n">
        <v>79</v>
      </c>
      <c r="Z205" s="19" t="n">
        <v>-0.0457</v>
      </c>
      <c r="AA205" s="18" t="n">
        <v>56.5</v>
      </c>
      <c r="AB205" s="16" t="inlineStr">
        <is>
          <t>Good</t>
        </is>
      </c>
      <c r="AC205" s="16" t="inlineStr">
        <is>
          <t>Yes</t>
        </is>
      </c>
      <c r="AD205" s="19" t="n">
        <v>0.1367</v>
      </c>
      <c r="AE205" s="19" t="n"/>
      <c r="AF205" s="19" t="n">
        <v>0.1619</v>
      </c>
      <c r="AG205" s="19" t="n">
        <v>0.1861</v>
      </c>
      <c r="AH205" s="23" t="n">
        <v>4.09</v>
      </c>
      <c r="AI205" s="23" t="n">
        <v>6.35</v>
      </c>
      <c r="AJ205" s="19" t="n">
        <v>0.001</v>
      </c>
    </row>
    <row r="206">
      <c r="A206" s="16" t="inlineStr">
        <is>
          <t>HINDCOPPER</t>
        </is>
      </c>
      <c r="B206" s="16" t="inlineStr">
        <is>
          <t>Hindustan Copper Ltd.</t>
        </is>
      </c>
      <c r="C206" s="16" t="inlineStr">
        <is>
          <t>Copper</t>
        </is>
      </c>
      <c r="D206" s="16" t="inlineStr">
        <is>
          <t>Metals &amp; Mining</t>
        </is>
      </c>
      <c r="E206" s="16" t="inlineStr">
        <is>
          <t>INE531E01026</t>
        </is>
      </c>
      <c r="F206" s="17" t="n">
        <v>50444.81</v>
      </c>
      <c r="G206" s="18" t="n">
        <v>521.65</v>
      </c>
      <c r="H206" s="19" t="n">
        <v>0.0061</v>
      </c>
      <c r="I206" s="20" t="n">
        <v>75</v>
      </c>
      <c r="J206" s="16" t="inlineStr">
        <is>
          <t>amber</t>
        </is>
      </c>
      <c r="K206" s="20" t="n">
        <v>3</v>
      </c>
      <c r="L206" s="18" t="n">
        <v>32.45</v>
      </c>
      <c r="M206" s="18" t="n">
        <v>529.88</v>
      </c>
      <c r="N206" s="18" t="n">
        <v>514.03</v>
      </c>
      <c r="O206" s="18" t="n">
        <v>513.78</v>
      </c>
      <c r="P206" s="18" t="n">
        <v>758.83</v>
      </c>
      <c r="Q206" s="18" t="n">
        <v>241.41</v>
      </c>
      <c r="R206" s="21">
        <f>IF(OR(G206="",P206=""),"",G206/P206-1)</f>
        <v/>
      </c>
      <c r="S206" s="19" t="n">
        <v>0.2762</v>
      </c>
      <c r="T206" s="22" t="n">
        <v>0.0413</v>
      </c>
      <c r="U206" s="16" t="inlineStr">
        <is>
          <t>Yes</t>
        </is>
      </c>
      <c r="V206" s="16" t="inlineStr">
        <is>
          <t>Yes</t>
        </is>
      </c>
      <c r="W206" s="16" t="inlineStr">
        <is>
          <t>No</t>
        </is>
      </c>
      <c r="X206" s="16" t="inlineStr">
        <is>
          <t>Yes</t>
        </is>
      </c>
      <c r="Y206" s="20" t="n">
        <v>285</v>
      </c>
      <c r="Z206" s="19" t="n">
        <v>0.0005</v>
      </c>
      <c r="AA206" s="18" t="n">
        <v>74.7</v>
      </c>
      <c r="AB206" s="16" t="inlineStr">
        <is>
          <t>High</t>
        </is>
      </c>
      <c r="AC206" s="16" t="inlineStr">
        <is>
          <t>No</t>
        </is>
      </c>
      <c r="AD206" s="19" t="n">
        <v>0.1929</v>
      </c>
      <c r="AE206" s="19" t="n">
        <v>0.2506</v>
      </c>
      <c r="AF206" s="19" t="n">
        <v>0.5163</v>
      </c>
      <c r="AG206" s="19" t="n">
        <v>0.2416</v>
      </c>
      <c r="AH206" s="23" t="n">
        <v>0.03</v>
      </c>
      <c r="AI206" s="23" t="n">
        <v>1.17</v>
      </c>
      <c r="AJ206" s="19" t="n">
        <v>0.2818</v>
      </c>
    </row>
    <row r="207">
      <c r="A207" s="16" t="inlineStr">
        <is>
          <t>GLAXO</t>
        </is>
      </c>
      <c r="B207" s="16" t="inlineStr">
        <is>
          <t>GlaxoSmithKline Pharmaceuticals Ltd.</t>
        </is>
      </c>
      <c r="C207" s="16" t="inlineStr">
        <is>
          <t>Pharmaceuticals</t>
        </is>
      </c>
      <c r="D207" s="16" t="inlineStr">
        <is>
          <t>Pharmaceuticals &amp; Biotechnology</t>
        </is>
      </c>
      <c r="E207" s="16" t="inlineStr">
        <is>
          <t>INE159A01016</t>
        </is>
      </c>
      <c r="F207" s="17" t="n">
        <v>50111.99</v>
      </c>
      <c r="G207" s="18" t="n">
        <v>2958.1</v>
      </c>
      <c r="H207" s="19" t="n">
        <v>0.006999999999999999</v>
      </c>
      <c r="I207" s="20" t="n">
        <v>71</v>
      </c>
      <c r="J207" s="16" t="inlineStr">
        <is>
          <t>amber</t>
        </is>
      </c>
      <c r="K207" s="20" t="n">
        <v>15</v>
      </c>
      <c r="L207" s="18" t="n">
        <v>64.95</v>
      </c>
      <c r="M207" s="18" t="n">
        <v>3012.7</v>
      </c>
      <c r="N207" s="18" t="n">
        <v>2657.69</v>
      </c>
      <c r="O207" s="18" t="n">
        <v>2439.8</v>
      </c>
      <c r="P207" s="18" t="n">
        <v>3106.4</v>
      </c>
      <c r="Q207" s="18" t="n">
        <v>2103.2</v>
      </c>
      <c r="R207" s="21">
        <f>IF(OR(G207="",P207=""),"",G207/P207-1)</f>
        <v/>
      </c>
      <c r="S207" s="19" t="n">
        <v>0.3185</v>
      </c>
      <c r="T207" s="22" t="n">
        <v>0.0144</v>
      </c>
      <c r="U207" s="16" t="inlineStr">
        <is>
          <t>Yes</t>
        </is>
      </c>
      <c r="V207" s="16" t="inlineStr">
        <is>
          <t>Yes</t>
        </is>
      </c>
      <c r="W207" s="16" t="inlineStr">
        <is>
          <t>No</t>
        </is>
      </c>
      <c r="X207" s="16" t="inlineStr">
        <is>
          <t>Yes</t>
        </is>
      </c>
      <c r="Y207" s="20" t="n">
        <v>20</v>
      </c>
      <c r="Z207" s="19" t="n">
        <v>0.08929999999999999</v>
      </c>
      <c r="AA207" s="18" t="n">
        <v>77.06999999999999</v>
      </c>
      <c r="AB207" s="16" t="inlineStr">
        <is>
          <t>High</t>
        </is>
      </c>
      <c r="AC207" s="16" t="inlineStr">
        <is>
          <t>No</t>
        </is>
      </c>
      <c r="AD207" s="19" t="n">
        <v>0.4214</v>
      </c>
      <c r="AE207" s="19" t="n">
        <v>0.5703</v>
      </c>
      <c r="AF207" s="19" t="n">
        <v>0.2184</v>
      </c>
      <c r="AG207" s="19" t="n">
        <v>0.0571</v>
      </c>
      <c r="AH207" s="23" t="n">
        <v>0.01</v>
      </c>
      <c r="AI207" s="23" t="n">
        <v>12.43</v>
      </c>
      <c r="AJ207" s="19" t="n">
        <v>0.1075</v>
      </c>
    </row>
    <row r="208">
      <c r="A208" s="16" t="inlineStr">
        <is>
          <t>TATACOMM</t>
        </is>
      </c>
      <c r="B208" s="16" t="inlineStr">
        <is>
          <t>Tata Communications Ltd.</t>
        </is>
      </c>
      <c r="C208" s="16" t="inlineStr">
        <is>
          <t>Other Telecom Services</t>
        </is>
      </c>
      <c r="D208" s="16" t="inlineStr">
        <is>
          <t>Telecom Services</t>
        </is>
      </c>
      <c r="E208" s="16" t="inlineStr">
        <is>
          <t>INE151A01013</t>
        </is>
      </c>
      <c r="F208" s="17" t="n">
        <v>50063.88</v>
      </c>
      <c r="G208" s="18" t="n">
        <v>1756.1</v>
      </c>
      <c r="H208" s="19" t="n">
        <v>0.0352</v>
      </c>
      <c r="I208" s="20" t="n">
        <v>42</v>
      </c>
      <c r="J208" s="16" t="inlineStr">
        <is>
          <t>red</t>
        </is>
      </c>
      <c r="K208" s="20" t="n">
        <v>26</v>
      </c>
      <c r="L208" s="18" t="n">
        <v>56</v>
      </c>
      <c r="M208" s="18" t="n">
        <v>1706.66</v>
      </c>
      <c r="N208" s="18" t="n">
        <v>1780.99</v>
      </c>
      <c r="O208" s="18" t="n">
        <v>1706.23</v>
      </c>
      <c r="P208" s="18" t="n">
        <v>2061.7</v>
      </c>
      <c r="Q208" s="18" t="n">
        <v>1335.75</v>
      </c>
      <c r="R208" s="21">
        <f>IF(OR(G208="",P208=""),"",G208/P208-1)</f>
        <v/>
      </c>
      <c r="S208" s="19" t="n">
        <v>1.0498</v>
      </c>
      <c r="T208" s="22" t="n">
        <v>-0.0092</v>
      </c>
      <c r="U208" s="16" t="inlineStr">
        <is>
          <t>No</t>
        </is>
      </c>
      <c r="V208" s="16" t="inlineStr">
        <is>
          <t>No</t>
        </is>
      </c>
      <c r="W208" s="16" t="inlineStr">
        <is>
          <t>Yes</t>
        </is>
      </c>
      <c r="X208" s="16" t="inlineStr">
        <is>
          <t>Yes</t>
        </is>
      </c>
      <c r="Y208" s="20" t="n">
        <v>60</v>
      </c>
      <c r="Z208" s="19" t="n">
        <v>0.0438</v>
      </c>
      <c r="AA208" s="18" t="n">
        <v>25.36</v>
      </c>
      <c r="AB208" s="16" t="inlineStr">
        <is>
          <t>Poor</t>
        </is>
      </c>
      <c r="AC208" s="16" t="inlineStr">
        <is>
          <t>No</t>
        </is>
      </c>
      <c r="AD208" s="19" t="n">
        <v>0.4802</v>
      </c>
      <c r="AE208" s="19" t="n">
        <v>0.1571</v>
      </c>
      <c r="AF208" s="19" t="n">
        <v>-0.006999999999999999</v>
      </c>
      <c r="AG208" s="19" t="n">
        <v>0.1164</v>
      </c>
      <c r="AH208" s="23" t="n">
        <v>3.55</v>
      </c>
      <c r="AI208" s="23" t="n">
        <v>2.36</v>
      </c>
      <c r="AJ208" s="19" t="n">
        <v>0.0725</v>
      </c>
    </row>
    <row r="209">
      <c r="A209" s="16" t="inlineStr">
        <is>
          <t>FLUOROCHEM</t>
        </is>
      </c>
      <c r="B209" s="16" t="inlineStr">
        <is>
          <t>Gujarat Fluorochemicals Ltd.</t>
        </is>
      </c>
      <c r="C209" s="16" t="inlineStr">
        <is>
          <t>Specialty Chemicals</t>
        </is>
      </c>
      <c r="D209" s="16" t="inlineStr">
        <is>
          <t>Chemicals &amp; Petrochemicals</t>
        </is>
      </c>
      <c r="E209" s="16" t="inlineStr">
        <is>
          <t>INE09N301011</t>
        </is>
      </c>
      <c r="F209" s="17" t="n">
        <v>50025.69</v>
      </c>
      <c r="G209" s="18" t="n">
        <v>4554</v>
      </c>
      <c r="H209" s="19" t="n">
        <v>-0.0299</v>
      </c>
      <c r="I209" s="20" t="n">
        <v>77</v>
      </c>
      <c r="J209" s="16" t="inlineStr">
        <is>
          <t>amber</t>
        </is>
      </c>
      <c r="K209" s="20" t="n">
        <v>1</v>
      </c>
      <c r="L209" s="18" t="n">
        <v>39.44</v>
      </c>
      <c r="M209" s="18" t="n">
        <v>4698.16</v>
      </c>
      <c r="N209" s="18" t="n">
        <v>4406.18</v>
      </c>
      <c r="O209" s="18" t="n">
        <v>3700.52</v>
      </c>
      <c r="P209" s="18" t="n">
        <v>4771.2</v>
      </c>
      <c r="Q209" s="18" t="n">
        <v>2980.4</v>
      </c>
      <c r="R209" s="21">
        <f>IF(OR(G209="",P209=""),"",G209/P209-1)</f>
        <v/>
      </c>
      <c r="S209" s="19" t="n">
        <v>2.2795</v>
      </c>
      <c r="T209" s="22" t="n">
        <v>0.0284</v>
      </c>
      <c r="U209" s="16" t="inlineStr">
        <is>
          <t>Yes</t>
        </is>
      </c>
      <c r="V209" s="16" t="inlineStr">
        <is>
          <t>Yes</t>
        </is>
      </c>
      <c r="W209" s="16" t="inlineStr">
        <is>
          <t>No</t>
        </is>
      </c>
      <c r="X209" s="16" t="inlineStr">
        <is>
          <t>Yes</t>
        </is>
      </c>
      <c r="Y209" s="20" t="n">
        <v>68</v>
      </c>
      <c r="Z209" s="19" t="n">
        <v>0.1907</v>
      </c>
      <c r="AA209" s="18" t="n">
        <v>29.64</v>
      </c>
      <c r="AB209" s="16" t="inlineStr">
        <is>
          <t>Poor</t>
        </is>
      </c>
      <c r="AC209" s="16" t="inlineStr">
        <is>
          <t>No</t>
        </is>
      </c>
      <c r="AD209" s="19" t="n">
        <v>0.07400000000000001</v>
      </c>
      <c r="AE209" s="19" t="n">
        <v>0.0915</v>
      </c>
      <c r="AF209" s="19" t="n">
        <v>-0.122</v>
      </c>
      <c r="AG209" s="19" t="n">
        <v>-0.022</v>
      </c>
      <c r="AH209" s="23" t="n">
        <v>0.29</v>
      </c>
      <c r="AI209" s="23" t="n">
        <v>0.76</v>
      </c>
      <c r="AJ209" s="19" t="n">
        <v>0.2871</v>
      </c>
    </row>
    <row r="210">
      <c r="A210" s="16" t="inlineStr">
        <is>
          <t>IPCALAB</t>
        </is>
      </c>
      <c r="B210" s="16" t="inlineStr">
        <is>
          <t>Ipca Laboratories Ltd.</t>
        </is>
      </c>
      <c r="C210" s="16" t="inlineStr">
        <is>
          <t>Pharmaceuticals</t>
        </is>
      </c>
      <c r="D210" s="16" t="inlineStr">
        <is>
          <t>Pharmaceuticals &amp; Biotechnology</t>
        </is>
      </c>
      <c r="E210" s="16" t="inlineStr">
        <is>
          <t>INE571A01038</t>
        </is>
      </c>
      <c r="F210" s="17" t="n">
        <v>49860.49</v>
      </c>
      <c r="G210" s="18" t="n">
        <v>1965.3</v>
      </c>
      <c r="H210" s="19" t="n">
        <v>0.004699999999999999</v>
      </c>
      <c r="I210" s="20" t="n">
        <v>76</v>
      </c>
      <c r="J210" s="16" t="inlineStr">
        <is>
          <t>amber</t>
        </is>
      </c>
      <c r="K210" s="20" t="n">
        <v>5</v>
      </c>
      <c r="L210" s="18" t="n">
        <v>73.06999999999999</v>
      </c>
      <c r="M210" s="18" t="n">
        <v>1962.86</v>
      </c>
      <c r="N210" s="18" t="n">
        <v>1816.42</v>
      </c>
      <c r="O210" s="18" t="n">
        <v>1579.08</v>
      </c>
      <c r="P210" s="18" t="n">
        <v>1987.6</v>
      </c>
      <c r="Q210" s="18" t="n">
        <v>1264.31</v>
      </c>
      <c r="R210" s="21">
        <f>IF(OR(G210="",P210=""),"",G210/P210-1)</f>
        <v/>
      </c>
      <c r="S210" s="19" t="n">
        <v>0.1491</v>
      </c>
      <c r="T210" s="22" t="n">
        <v>0.0375</v>
      </c>
      <c r="U210" s="16" t="inlineStr">
        <is>
          <t>Yes</t>
        </is>
      </c>
      <c r="V210" s="16" t="inlineStr">
        <is>
          <t>Yes</t>
        </is>
      </c>
      <c r="W210" s="16" t="inlineStr">
        <is>
          <t>Yes</t>
        </is>
      </c>
      <c r="X210" s="16" t="inlineStr">
        <is>
          <t>Yes</t>
        </is>
      </c>
      <c r="Y210" s="20" t="n">
        <v>170</v>
      </c>
      <c r="Z210" s="19" t="n">
        <v>0.1503</v>
      </c>
      <c r="AA210" s="18" t="n">
        <v>40</v>
      </c>
      <c r="AB210" s="16" t="inlineStr">
        <is>
          <t>Average</t>
        </is>
      </c>
      <c r="AC210" s="16" t="inlineStr">
        <is>
          <t>No</t>
        </is>
      </c>
      <c r="AD210" s="19" t="n">
        <v>0.1114</v>
      </c>
      <c r="AE210" s="19" t="n">
        <v>0.1527</v>
      </c>
      <c r="AF210" s="19" t="n">
        <v>-0.1636</v>
      </c>
      <c r="AG210" s="19" t="n">
        <v>0.1566</v>
      </c>
      <c r="AH210" s="23" t="n">
        <v>0.1</v>
      </c>
      <c r="AI210" s="23" t="n">
        <v>1.81</v>
      </c>
      <c r="AJ210" s="19" t="n">
        <v>0.1575</v>
      </c>
    </row>
    <row r="211">
      <c r="A211" s="16" t="inlineStr">
        <is>
          <t>COLPAL</t>
        </is>
      </c>
      <c r="B211" s="16" t="inlineStr">
        <is>
          <t>Colgate-Palmolive (India) Ltd.</t>
        </is>
      </c>
      <c r="C211" s="16" t="inlineStr">
        <is>
          <t>Personal Products</t>
        </is>
      </c>
      <c r="D211" s="16" t="inlineStr">
        <is>
          <t>FMCG</t>
        </is>
      </c>
      <c r="E211" s="16" t="inlineStr">
        <is>
          <t>INE259A01022</t>
        </is>
      </c>
      <c r="F211" s="17" t="n">
        <v>49751.61</v>
      </c>
      <c r="G211" s="18" t="n">
        <v>1829.2</v>
      </c>
      <c r="H211" s="19" t="n">
        <v>-0.0112</v>
      </c>
      <c r="I211" s="20" t="n">
        <v>15</v>
      </c>
      <c r="J211" s="16" t="inlineStr">
        <is>
          <t>red</t>
        </is>
      </c>
      <c r="K211" s="20" t="n">
        <v>124</v>
      </c>
      <c r="L211" s="18" t="n">
        <v>30.2</v>
      </c>
      <c r="M211" s="18" t="n">
        <v>1853.75</v>
      </c>
      <c r="N211" s="18" t="n">
        <v>1999.43</v>
      </c>
      <c r="O211" s="18" t="n">
        <v>2050.18</v>
      </c>
      <c r="P211" s="18" t="n">
        <v>2409.82</v>
      </c>
      <c r="Q211" s="18" t="n">
        <v>1767.86</v>
      </c>
      <c r="R211" s="21">
        <f>IF(OR(G211="",P211=""),"",G211/P211-1)</f>
        <v/>
      </c>
      <c r="S211" s="19" t="n">
        <v>1.3374</v>
      </c>
      <c r="T211" s="22" t="n">
        <v>-0.0128</v>
      </c>
      <c r="U211" s="16" t="inlineStr">
        <is>
          <t>No</t>
        </is>
      </c>
      <c r="V211" s="16" t="inlineStr">
        <is>
          <t>No</t>
        </is>
      </c>
      <c r="W211" s="16" t="inlineStr">
        <is>
          <t>No</t>
        </is>
      </c>
      <c r="X211" s="16" t="inlineStr">
        <is>
          <t>No</t>
        </is>
      </c>
      <c r="Y211" s="20" t="n">
        <v>428</v>
      </c>
      <c r="Z211" s="19" t="n">
        <v>-0.0248</v>
      </c>
      <c r="AA211" s="18" t="n">
        <v>71.06</v>
      </c>
      <c r="AB211" s="16" t="inlineStr">
        <is>
          <t>High</t>
        </is>
      </c>
      <c r="AC211" s="16" t="inlineStr">
        <is>
          <t>No</t>
        </is>
      </c>
      <c r="AD211" s="19" t="n">
        <v>0.802</v>
      </c>
      <c r="AE211" s="19" t="n">
        <v>1.0449</v>
      </c>
      <c r="AF211" s="19" t="n">
        <v>0.0907</v>
      </c>
      <c r="AG211" s="19" t="n">
        <v>0.04940000000000001</v>
      </c>
      <c r="AH211" s="23" t="n">
        <v>0.03</v>
      </c>
      <c r="AI211" s="23" t="n">
        <v>8.029999999999999</v>
      </c>
      <c r="AJ211" s="19" t="n">
        <v>0.0365</v>
      </c>
    </row>
    <row r="212">
      <c r="A212" s="16" t="inlineStr">
        <is>
          <t>VMM</t>
        </is>
      </c>
      <c r="B212" s="16" t="inlineStr">
        <is>
          <t>Vishal Mega Mart Ltd.</t>
        </is>
      </c>
      <c r="C212" s="16" t="inlineStr">
        <is>
          <t>Department Stores</t>
        </is>
      </c>
      <c r="D212" s="16" t="inlineStr">
        <is>
          <t>Retailing</t>
        </is>
      </c>
      <c r="E212" s="16" t="inlineStr">
        <is>
          <t>INE01EA01019</t>
        </is>
      </c>
      <c r="F212" s="17" t="n">
        <v>49724.56</v>
      </c>
      <c r="G212" s="18" t="n">
        <v>106.14</v>
      </c>
      <c r="H212" s="19" t="n">
        <v>-0.0154</v>
      </c>
      <c r="I212" s="20" t="n">
        <v>13</v>
      </c>
      <c r="J212" s="16" t="inlineStr">
        <is>
          <t>red</t>
        </is>
      </c>
      <c r="K212" s="20" t="n">
        <v>131</v>
      </c>
      <c r="L212" s="18" t="n">
        <v>50.99</v>
      </c>
      <c r="M212" s="18" t="n">
        <v>108.04</v>
      </c>
      <c r="N212" s="18" t="n">
        <v>110.9</v>
      </c>
      <c r="O212" s="18" t="n">
        <v>119.51</v>
      </c>
      <c r="P212" s="18" t="n">
        <v>153.18</v>
      </c>
      <c r="Q212" s="18" t="n">
        <v>99.68000000000001</v>
      </c>
      <c r="R212" s="21">
        <f>IF(OR(G212="",P212=""),"",G212/P212-1)</f>
        <v/>
      </c>
      <c r="S212" s="19" t="n">
        <v>0.5345</v>
      </c>
      <c r="T212" s="22" t="n">
        <v>-0.0283</v>
      </c>
      <c r="U212" s="16" t="inlineStr">
        <is>
          <t>No</t>
        </is>
      </c>
      <c r="V212" s="16" t="inlineStr">
        <is>
          <t>No</t>
        </is>
      </c>
      <c r="W212" s="16" t="inlineStr">
        <is>
          <t>No</t>
        </is>
      </c>
      <c r="X212" s="16" t="inlineStr">
        <is>
          <t>No</t>
        </is>
      </c>
      <c r="Y212" s="20" t="n">
        <v>160</v>
      </c>
      <c r="Z212" s="19" t="n">
        <v>-0.07200000000000001</v>
      </c>
      <c r="AA212" s="18" t="n">
        <v>52.79</v>
      </c>
      <c r="AB212" s="16" t="inlineStr">
        <is>
          <t>Good</t>
        </is>
      </c>
      <c r="AC212" s="16" t="inlineStr">
        <is>
          <t>No</t>
        </is>
      </c>
      <c r="AD212" s="19" t="n">
        <v>0.098</v>
      </c>
      <c r="AE212" s="19" t="n">
        <v>0.1228</v>
      </c>
      <c r="AF212" s="19" t="n">
        <v>0.362</v>
      </c>
      <c r="AG212" s="19" t="n">
        <v>0.1951</v>
      </c>
      <c r="AH212" s="23" t="n">
        <v>0.27</v>
      </c>
      <c r="AI212" s="23" t="n">
        <v>4.94</v>
      </c>
      <c r="AJ212" s="19" t="n">
        <v>0.0129</v>
      </c>
    </row>
    <row r="213">
      <c r="A213" s="16" t="inlineStr">
        <is>
          <t>SONACOMS</t>
        </is>
      </c>
      <c r="B213" s="16" t="inlineStr">
        <is>
          <t>Sona BLW Precision Forgings Ltd.</t>
        </is>
      </c>
      <c r="C213" s="16" t="inlineStr">
        <is>
          <t>Auto Parts &amp; Equipment</t>
        </is>
      </c>
      <c r="D213" s="16" t="inlineStr">
        <is>
          <t>Automobiles &amp; Auto Components</t>
        </is>
      </c>
      <c r="E213" s="16" t="inlineStr">
        <is>
          <t>INE073K01018</t>
        </is>
      </c>
      <c r="F213" s="17" t="n">
        <v>49243.73</v>
      </c>
      <c r="G213" s="18" t="n">
        <v>789</v>
      </c>
      <c r="H213" s="19" t="n">
        <v>-0.0137</v>
      </c>
      <c r="I213" s="20" t="n">
        <v>85</v>
      </c>
      <c r="J213" s="16" t="inlineStr">
        <is>
          <t>green</t>
        </is>
      </c>
      <c r="K213" s="20" t="n">
        <v>47</v>
      </c>
      <c r="L213" s="18" t="n">
        <v>44.11</v>
      </c>
      <c r="M213" s="18" t="n">
        <v>802.9</v>
      </c>
      <c r="N213" s="18" t="n">
        <v>747.2</v>
      </c>
      <c r="O213" s="18" t="n">
        <v>585.21</v>
      </c>
      <c r="P213" s="18" t="n">
        <v>824</v>
      </c>
      <c r="Q213" s="18" t="n">
        <v>402.77</v>
      </c>
      <c r="R213" s="21">
        <f>IF(OR(G213="",P213=""),"",G213/P213-1)</f>
        <v/>
      </c>
      <c r="S213" s="19" t="n">
        <v>0.3603</v>
      </c>
      <c r="T213" s="22" t="n">
        <v>0.05889999999999999</v>
      </c>
      <c r="U213" s="16" t="inlineStr">
        <is>
          <t>Yes</t>
        </is>
      </c>
      <c r="V213" s="16" t="inlineStr">
        <is>
          <t>Yes</t>
        </is>
      </c>
      <c r="W213" s="16" t="inlineStr">
        <is>
          <t>No</t>
        </is>
      </c>
      <c r="X213" s="16" t="inlineStr">
        <is>
          <t>Yes</t>
        </is>
      </c>
      <c r="Y213" s="20" t="n">
        <v>184</v>
      </c>
      <c r="Z213" s="19" t="n">
        <v>0.2768</v>
      </c>
      <c r="AA213" s="18" t="n">
        <v>60.23</v>
      </c>
      <c r="AB213" s="16" t="inlineStr">
        <is>
          <t>Good</t>
        </is>
      </c>
      <c r="AC213" s="16" t="inlineStr">
        <is>
          <t>No</t>
        </is>
      </c>
      <c r="AD213" s="19" t="n">
        <v>0.1372</v>
      </c>
      <c r="AE213" s="19" t="n">
        <v>0.1683</v>
      </c>
      <c r="AF213" s="19" t="n">
        <v>0.1566</v>
      </c>
      <c r="AG213" s="19" t="n">
        <v>0.19</v>
      </c>
      <c r="AH213" s="23" t="n">
        <v>0.07000000000000001</v>
      </c>
      <c r="AI213" s="23" t="n">
        <v>2.15</v>
      </c>
      <c r="AJ213" s="19" t="n">
        <v>0.0911</v>
      </c>
    </row>
    <row r="214">
      <c r="A214" s="16" t="inlineStr">
        <is>
          <t>UPL</t>
        </is>
      </c>
      <c r="B214" s="16" t="inlineStr">
        <is>
          <t>UPL Ltd.</t>
        </is>
      </c>
      <c r="C214" s="16" t="inlineStr">
        <is>
          <t>Agrochemicals</t>
        </is>
      </c>
      <c r="D214" s="16" t="inlineStr">
        <is>
          <t>Chemicals &amp; Petrochemicals</t>
        </is>
      </c>
      <c r="E214" s="16" t="inlineStr">
        <is>
          <t>INE628A01036</t>
        </is>
      </c>
      <c r="F214" s="17" t="n">
        <v>49143.32</v>
      </c>
      <c r="G214" s="18" t="n">
        <v>582.15</v>
      </c>
      <c r="H214" s="19" t="n">
        <v>-0.005500000000000001</v>
      </c>
      <c r="I214" s="20" t="n">
        <v>18</v>
      </c>
      <c r="J214" s="16" t="inlineStr">
        <is>
          <t>red</t>
        </is>
      </c>
      <c r="K214" s="20" t="n">
        <v>114</v>
      </c>
      <c r="L214" s="18" t="n">
        <v>57.88</v>
      </c>
      <c r="M214" s="18" t="n">
        <v>576.71</v>
      </c>
      <c r="N214" s="18" t="n">
        <v>584.98</v>
      </c>
      <c r="O214" s="18" t="n">
        <v>653.99</v>
      </c>
      <c r="P214" s="18" t="n">
        <v>797.63</v>
      </c>
      <c r="Q214" s="18" t="n">
        <v>559.63</v>
      </c>
      <c r="R214" s="21">
        <f>IF(OR(G214="",P214=""),"",G214/P214-1)</f>
        <v/>
      </c>
      <c r="S214" s="19" t="n">
        <v>0.8139</v>
      </c>
      <c r="T214" s="22" t="n">
        <v>-0.0224</v>
      </c>
      <c r="U214" s="16" t="inlineStr">
        <is>
          <t>No</t>
        </is>
      </c>
      <c r="V214" s="16" t="inlineStr">
        <is>
          <t>No</t>
        </is>
      </c>
      <c r="W214" s="16" t="inlineStr">
        <is>
          <t>Yes</t>
        </is>
      </c>
      <c r="X214" s="16" t="inlineStr">
        <is>
          <t>No</t>
        </is>
      </c>
      <c r="Y214" s="20" t="n">
        <v>118</v>
      </c>
      <c r="Z214" s="19" t="n">
        <v>-0.1055</v>
      </c>
      <c r="AA214" s="18" t="n">
        <v>33.04</v>
      </c>
      <c r="AB214" s="16" t="inlineStr">
        <is>
          <t>Poor</t>
        </is>
      </c>
      <c r="AC214" s="16" t="inlineStr">
        <is>
          <t>No</t>
        </is>
      </c>
      <c r="AD214" s="19" t="n">
        <v>0.0134</v>
      </c>
      <c r="AE214" s="19" t="n">
        <v>0.0655</v>
      </c>
      <c r="AF214" s="19" t="n">
        <v>0.4914</v>
      </c>
      <c r="AG214" s="19" t="n">
        <v>-0.0011</v>
      </c>
      <c r="AH214" s="23" t="n">
        <v>0.68</v>
      </c>
      <c r="AI214" s="23" t="n">
        <v>4.66</v>
      </c>
      <c r="AJ214" s="19" t="n">
        <v>0.0992</v>
      </c>
    </row>
    <row r="215">
      <c r="A215" s="16" t="inlineStr">
        <is>
          <t>GLAND</t>
        </is>
      </c>
      <c r="B215" s="16" t="inlineStr">
        <is>
          <t>Gland Pharma Ltd.</t>
        </is>
      </c>
      <c r="C215" s="16" t="inlineStr">
        <is>
          <t>Pharmaceuticals</t>
        </is>
      </c>
      <c r="D215" s="16" t="inlineStr">
        <is>
          <t>Pharmaceuticals &amp; Biotechnology</t>
        </is>
      </c>
      <c r="E215" s="16" t="inlineStr">
        <is>
          <t>INE068V01023</t>
        </is>
      </c>
      <c r="F215" s="17" t="n">
        <v>48374.84</v>
      </c>
      <c r="G215" s="18" t="n">
        <v>2932.4</v>
      </c>
      <c r="H215" s="19" t="n">
        <v>0.008399999999999999</v>
      </c>
      <c r="I215" s="20" t="n">
        <v>86</v>
      </c>
      <c r="J215" s="16" t="inlineStr">
        <is>
          <t>green</t>
        </is>
      </c>
      <c r="K215" s="20" t="n">
        <v>50</v>
      </c>
      <c r="L215" s="18" t="n">
        <v>53.28</v>
      </c>
      <c r="M215" s="18" t="n">
        <v>2891.77</v>
      </c>
      <c r="N215" s="18" t="n">
        <v>2628.36</v>
      </c>
      <c r="O215" s="18" t="n">
        <v>2035.06</v>
      </c>
      <c r="P215" s="18" t="n">
        <v>2970.2</v>
      </c>
      <c r="Q215" s="18" t="n">
        <v>1584.83</v>
      </c>
      <c r="R215" s="21">
        <f>IF(OR(G215="",P215=""),"",G215/P215-1)</f>
        <v/>
      </c>
      <c r="S215" s="19" t="n">
        <v>3.7112</v>
      </c>
      <c r="T215" s="22" t="n">
        <v>0.0515</v>
      </c>
      <c r="U215" s="16" t="inlineStr">
        <is>
          <t>Yes</t>
        </is>
      </c>
      <c r="V215" s="16" t="inlineStr">
        <is>
          <t>Yes</t>
        </is>
      </c>
      <c r="W215" s="16" t="inlineStr">
        <is>
          <t>Yes</t>
        </is>
      </c>
      <c r="X215" s="16" t="inlineStr">
        <is>
          <t>Yes</t>
        </is>
      </c>
      <c r="Y215" s="20" t="n">
        <v>72</v>
      </c>
      <c r="Z215" s="19" t="n">
        <v>0.2915</v>
      </c>
      <c r="AA215" s="18" t="n">
        <v>53.93</v>
      </c>
      <c r="AB215" s="16" t="inlineStr">
        <is>
          <t>Good</t>
        </is>
      </c>
      <c r="AC215" s="16" t="inlineStr">
        <is>
          <t>No</t>
        </is>
      </c>
      <c r="AD215" s="19" t="n">
        <v>0.08800000000000001</v>
      </c>
      <c r="AE215" s="19" t="n">
        <v>0.1278</v>
      </c>
      <c r="AF215" s="19" t="n">
        <v>0.1206</v>
      </c>
      <c r="AG215" s="19" t="n">
        <v>0.2357</v>
      </c>
      <c r="AH215" s="23" t="n">
        <v>0.03</v>
      </c>
      <c r="AI215" s="23" t="n">
        <v>1.43</v>
      </c>
      <c r="AJ215" s="19" t="n">
        <v>0.0858</v>
      </c>
    </row>
    <row r="216">
      <c r="A216" s="16" t="inlineStr">
        <is>
          <t>INDOMIM</t>
        </is>
      </c>
      <c r="B216" s="16" t="inlineStr">
        <is>
          <t>Indo-MIM Ltd.</t>
        </is>
      </c>
      <c r="C216" s="16" t="inlineStr">
        <is>
          <t>Castings &amp; Forgings</t>
        </is>
      </c>
      <c r="D216" s="16" t="inlineStr">
        <is>
          <t>General Industrials</t>
        </is>
      </c>
      <c r="E216" s="16" t="inlineStr">
        <is>
          <t>INE084101034</t>
        </is>
      </c>
      <c r="F216" s="17" t="n">
        <v>48038.82</v>
      </c>
      <c r="G216" s="18" t="n">
        <v>971.5</v>
      </c>
      <c r="H216" s="19" t="n">
        <v>0.0532</v>
      </c>
      <c r="I216" s="20" t="n"/>
      <c r="J216" s="16" t="n"/>
      <c r="K216" s="20" t="n"/>
      <c r="L216" s="18" t="n">
        <v>64.41</v>
      </c>
      <c r="M216" s="18" t="n">
        <v>894.6900000000001</v>
      </c>
      <c r="N216" s="18" t="n"/>
      <c r="O216" s="18" t="n"/>
      <c r="P216" s="18" t="n">
        <v>971.5</v>
      </c>
      <c r="Q216" s="18" t="n">
        <v>741.75</v>
      </c>
      <c r="R216" s="21">
        <f>IF(OR(G216="",P216=""),"",G216/P216-1)</f>
        <v/>
      </c>
      <c r="S216" s="19" t="n">
        <v>0.6574</v>
      </c>
      <c r="T216" s="22" t="n"/>
      <c r="U216" s="16" t="n"/>
      <c r="V216" s="16" t="n"/>
      <c r="W216" s="16" t="inlineStr">
        <is>
          <t>Yes</t>
        </is>
      </c>
      <c r="X216" s="16" t="n"/>
      <c r="Y216" s="20" t="n"/>
      <c r="Z216" s="19" t="n"/>
      <c r="AA216" s="18" t="n">
        <v>53.97</v>
      </c>
      <c r="AB216" s="16" t="inlineStr">
        <is>
          <t>Good</t>
        </is>
      </c>
      <c r="AC216" s="16" t="inlineStr">
        <is>
          <t>No</t>
        </is>
      </c>
      <c r="AD216" s="19" t="n">
        <v>0.1734</v>
      </c>
      <c r="AE216" s="19" t="n">
        <v>0.1817</v>
      </c>
      <c r="AF216" s="19" t="n"/>
      <c r="AG216" s="19" t="n">
        <v>0.161</v>
      </c>
      <c r="AH216" s="23" t="n">
        <v>0.49</v>
      </c>
      <c r="AI216" s="23" t="n">
        <v>1.87</v>
      </c>
      <c r="AJ216" s="19" t="n">
        <v>0.0708</v>
      </c>
    </row>
    <row r="217">
      <c r="A217" s="16" t="inlineStr">
        <is>
          <t>KEI</t>
        </is>
      </c>
      <c r="B217" s="16" t="inlineStr">
        <is>
          <t>KEI Industries Ltd.</t>
        </is>
      </c>
      <c r="C217" s="16" t="inlineStr">
        <is>
          <t>Wires &amp; Cables</t>
        </is>
      </c>
      <c r="D217" s="16" t="inlineStr">
        <is>
          <t>Consumer Durables</t>
        </is>
      </c>
      <c r="E217" s="16" t="inlineStr">
        <is>
          <t>INE878B01027</t>
        </is>
      </c>
      <c r="F217" s="17" t="n">
        <v>46366.29</v>
      </c>
      <c r="G217" s="18" t="n">
        <v>4850</v>
      </c>
      <c r="H217" s="19" t="n">
        <v>-0.0895</v>
      </c>
      <c r="I217" s="20" t="n">
        <v>46</v>
      </c>
      <c r="J217" s="16" t="inlineStr">
        <is>
          <t>red</t>
        </is>
      </c>
      <c r="K217" s="20" t="n">
        <v>1</v>
      </c>
      <c r="L217" s="18" t="n">
        <v>23.55</v>
      </c>
      <c r="M217" s="18" t="n">
        <v>5385.16</v>
      </c>
      <c r="N217" s="18" t="n">
        <v>5301.72</v>
      </c>
      <c r="O217" s="18" t="n">
        <v>4796.28</v>
      </c>
      <c r="P217" s="18" t="n">
        <v>5873</v>
      </c>
      <c r="Q217" s="18" t="n">
        <v>3800.7</v>
      </c>
      <c r="R217" s="21">
        <f>IF(OR(G217="",P217=""),"",G217/P217-1)</f>
        <v/>
      </c>
      <c r="S217" s="19" t="n">
        <v>4.3237</v>
      </c>
      <c r="T217" s="22" t="n">
        <v>0.0323</v>
      </c>
      <c r="U217" s="16" t="inlineStr">
        <is>
          <t>Yes</t>
        </is>
      </c>
      <c r="V217" s="16" t="inlineStr">
        <is>
          <t>No</t>
        </is>
      </c>
      <c r="W217" s="16" t="inlineStr">
        <is>
          <t>No</t>
        </is>
      </c>
      <c r="X217" s="16" t="inlineStr">
        <is>
          <t>Yes</t>
        </is>
      </c>
      <c r="Y217" s="20" t="n">
        <v>277</v>
      </c>
      <c r="Z217" s="19" t="n">
        <v>0.1054</v>
      </c>
      <c r="AA217" s="18" t="n">
        <v>69.69</v>
      </c>
      <c r="AB217" s="16" t="inlineStr">
        <is>
          <t>High</t>
        </is>
      </c>
      <c r="AC217" s="16" t="inlineStr">
        <is>
          <t>No</t>
        </is>
      </c>
      <c r="AD217" s="19" t="n">
        <v>0.1476</v>
      </c>
      <c r="AE217" s="19" t="n">
        <v>0.1993</v>
      </c>
      <c r="AF217" s="19" t="n">
        <v>0.2208</v>
      </c>
      <c r="AG217" s="19" t="n">
        <v>0.1969</v>
      </c>
      <c r="AH217" s="23" t="n">
        <v>0.04</v>
      </c>
      <c r="AI217" s="23" t="n">
        <v>4.37</v>
      </c>
      <c r="AJ217" s="19" t="n">
        <v>0.3729</v>
      </c>
    </row>
    <row r="218">
      <c r="A218" s="16" t="inlineStr">
        <is>
          <t>360ONE</t>
        </is>
      </c>
      <c r="B218" s="16" t="inlineStr">
        <is>
          <t>360 One Wam Ltd.</t>
        </is>
      </c>
      <c r="C218" s="16" t="inlineStr">
        <is>
          <t>Capital Markets</t>
        </is>
      </c>
      <c r="D218" s="16" t="inlineStr">
        <is>
          <t>Banking and Finance</t>
        </is>
      </c>
      <c r="E218" s="16" t="inlineStr">
        <is>
          <t>INE466L01038</t>
        </is>
      </c>
      <c r="F218" s="17" t="n">
        <v>46340.08</v>
      </c>
      <c r="G218" s="18" t="n">
        <v>1137</v>
      </c>
      <c r="H218" s="19" t="n">
        <v>-0.0156</v>
      </c>
      <c r="I218" s="20" t="n">
        <v>49</v>
      </c>
      <c r="J218" s="16" t="inlineStr">
        <is>
          <t>red</t>
        </is>
      </c>
      <c r="K218" s="20" t="n">
        <v>73</v>
      </c>
      <c r="L218" s="18" t="n">
        <v>41.01</v>
      </c>
      <c r="M218" s="18" t="n">
        <v>1176.89</v>
      </c>
      <c r="N218" s="18" t="n">
        <v>1144.02</v>
      </c>
      <c r="O218" s="18" t="n">
        <v>1109.11</v>
      </c>
      <c r="P218" s="18" t="n">
        <v>1210</v>
      </c>
      <c r="Q218" s="18" t="n">
        <v>923.89</v>
      </c>
      <c r="R218" s="21">
        <f>IF(OR(G218="",P218=""),"",G218/P218-1)</f>
        <v/>
      </c>
      <c r="S218" s="19" t="n">
        <v>0.6840999999999999</v>
      </c>
      <c r="T218" s="22" t="n">
        <v>0.0069</v>
      </c>
      <c r="U218" s="16" t="inlineStr">
        <is>
          <t>Yes</t>
        </is>
      </c>
      <c r="V218" s="16" t="inlineStr">
        <is>
          <t>No</t>
        </is>
      </c>
      <c r="W218" s="16" t="inlineStr">
        <is>
          <t>No</t>
        </is>
      </c>
      <c r="X218" s="16" t="inlineStr">
        <is>
          <t>Yes</t>
        </is>
      </c>
      <c r="Y218" s="20" t="n">
        <v>44</v>
      </c>
      <c r="Z218" s="19" t="n">
        <v>0.0315</v>
      </c>
      <c r="AA218" s="18" t="n">
        <v>59.64</v>
      </c>
      <c r="AB218" s="16" t="inlineStr">
        <is>
          <t>Good</t>
        </is>
      </c>
      <c r="AC218" s="16" t="inlineStr">
        <is>
          <t>Yes</t>
        </is>
      </c>
      <c r="AD218" s="19" t="n">
        <v>0.1668</v>
      </c>
      <c r="AE218" s="19" t="n">
        <v>0.1186</v>
      </c>
      <c r="AF218" s="19" t="n">
        <v>0.1745</v>
      </c>
      <c r="AG218" s="19" t="n">
        <v>0.2408</v>
      </c>
      <c r="AH218" s="23" t="n">
        <v>1.61</v>
      </c>
      <c r="AI218" s="23" t="n">
        <v>3.67</v>
      </c>
      <c r="AJ218" s="19" t="n">
        <v>0</v>
      </c>
    </row>
    <row r="219">
      <c r="A219" s="16" t="inlineStr">
        <is>
          <t>MPHASIS</t>
        </is>
      </c>
      <c r="B219" s="16" t="inlineStr">
        <is>
          <t>Mphasis Ltd.</t>
        </is>
      </c>
      <c r="C219" s="16" t="inlineStr">
        <is>
          <t>IT Consulting &amp; Software</t>
        </is>
      </c>
      <c r="D219" s="16" t="inlineStr">
        <is>
          <t>Software &amp; Services</t>
        </is>
      </c>
      <c r="E219" s="16" t="inlineStr">
        <is>
          <t>INE356A01018</t>
        </is>
      </c>
      <c r="F219" s="17" t="n">
        <v>46036.6</v>
      </c>
      <c r="G219" s="18" t="n">
        <v>2422</v>
      </c>
      <c r="H219" s="19" t="n">
        <v>-0.0198</v>
      </c>
      <c r="I219" s="20" t="n">
        <v>37</v>
      </c>
      <c r="J219" s="16" t="inlineStr">
        <is>
          <t>red</t>
        </is>
      </c>
      <c r="K219" s="20" t="n">
        <v>145</v>
      </c>
      <c r="L219" s="18" t="n">
        <v>38.27</v>
      </c>
      <c r="M219" s="18" t="n">
        <v>2446.81</v>
      </c>
      <c r="N219" s="18" t="n">
        <v>2377.09</v>
      </c>
      <c r="O219" s="18" t="n">
        <v>2400.98</v>
      </c>
      <c r="P219" s="18" t="n">
        <v>2922.26</v>
      </c>
      <c r="Q219" s="18" t="n">
        <v>1993.94</v>
      </c>
      <c r="R219" s="21">
        <f>IF(OR(G219="",P219=""),"",G219/P219-1)</f>
        <v/>
      </c>
      <c r="S219" s="19" t="n">
        <v>0.3111</v>
      </c>
      <c r="T219" s="22" t="n">
        <v>-0.0102</v>
      </c>
      <c r="U219" s="16" t="inlineStr">
        <is>
          <t>No</t>
        </is>
      </c>
      <c r="V219" s="16" t="inlineStr">
        <is>
          <t>Yes</t>
        </is>
      </c>
      <c r="W219" s="16" t="inlineStr">
        <is>
          <t>No</t>
        </is>
      </c>
      <c r="X219" s="16" t="inlineStr">
        <is>
          <t>No</t>
        </is>
      </c>
      <c r="Y219" s="20" t="n">
        <v>134</v>
      </c>
      <c r="Z219" s="19" t="n">
        <v>-0.01</v>
      </c>
      <c r="AA219" s="18" t="n">
        <v>57.96</v>
      </c>
      <c r="AB219" s="16" t="inlineStr">
        <is>
          <t>Good</t>
        </is>
      </c>
      <c r="AC219" s="16" t="inlineStr">
        <is>
          <t>No</t>
        </is>
      </c>
      <c r="AD219" s="19" t="n">
        <v>0.1757</v>
      </c>
      <c r="AE219" s="19" t="n">
        <v>0.2043</v>
      </c>
      <c r="AF219" s="19" t="n">
        <v>0.0437</v>
      </c>
      <c r="AG219" s="19" t="n">
        <v>0.05</v>
      </c>
      <c r="AH219" s="23" t="n">
        <v>0.24</v>
      </c>
      <c r="AI219" s="23" t="n">
        <v>16.33</v>
      </c>
      <c r="AJ219" s="19" t="n">
        <v>0.08310000000000001</v>
      </c>
    </row>
    <row r="220">
      <c r="A220" s="16" t="inlineStr">
        <is>
          <t>BDL</t>
        </is>
      </c>
      <c r="B220" s="16" t="inlineStr">
        <is>
          <t>Bharat Dynamics Ltd.</t>
        </is>
      </c>
      <c r="C220" s="16" t="inlineStr">
        <is>
          <t>Aerospace &amp; Defence</t>
        </is>
      </c>
      <c r="D220" s="16" t="inlineStr">
        <is>
          <t>General Industrials</t>
        </is>
      </c>
      <c r="E220" s="16" t="inlineStr">
        <is>
          <t>INE171Z01026</t>
        </is>
      </c>
      <c r="F220" s="17" t="n">
        <v>46003.59</v>
      </c>
      <c r="G220" s="18" t="n">
        <v>1255</v>
      </c>
      <c r="H220" s="19" t="n">
        <v>-0.0021</v>
      </c>
      <c r="I220" s="20" t="n">
        <v>28</v>
      </c>
      <c r="J220" s="16" t="inlineStr">
        <is>
          <t>red</t>
        </is>
      </c>
      <c r="K220" s="20" t="n">
        <v>118</v>
      </c>
      <c r="L220" s="18" t="n">
        <v>27.24</v>
      </c>
      <c r="M220" s="18" t="n">
        <v>1288.62</v>
      </c>
      <c r="N220" s="18" t="n">
        <v>1310.38</v>
      </c>
      <c r="O220" s="18" t="n">
        <v>1344.74</v>
      </c>
      <c r="P220" s="18" t="n">
        <v>1625.81</v>
      </c>
      <c r="Q220" s="18" t="n">
        <v>1096.6</v>
      </c>
      <c r="R220" s="21">
        <f>IF(OR(G220="",P220=""),"",G220/P220-1)</f>
        <v/>
      </c>
      <c r="S220" s="19" t="n">
        <v>0.8876000000000001</v>
      </c>
      <c r="T220" s="22" t="n">
        <v>-0.0141</v>
      </c>
      <c r="U220" s="16" t="inlineStr">
        <is>
          <t>No</t>
        </is>
      </c>
      <c r="V220" s="16" t="inlineStr">
        <is>
          <t>No</t>
        </is>
      </c>
      <c r="W220" s="16" t="inlineStr">
        <is>
          <t>No</t>
        </is>
      </c>
      <c r="X220" s="16" t="inlineStr">
        <is>
          <t>No</t>
        </is>
      </c>
      <c r="Y220" s="20" t="n">
        <v>196</v>
      </c>
      <c r="Z220" s="19" t="n">
        <v>-0.0256</v>
      </c>
      <c r="AA220" s="18" t="n">
        <v>40</v>
      </c>
      <c r="AB220" s="16" t="inlineStr">
        <is>
          <t>Average</t>
        </is>
      </c>
      <c r="AC220" s="16" t="inlineStr">
        <is>
          <t>No</t>
        </is>
      </c>
      <c r="AD220" s="19" t="n">
        <v>0.1349</v>
      </c>
      <c r="AE220" s="19" t="n">
        <v>0.1834</v>
      </c>
      <c r="AF220" s="19" t="n">
        <v>-0.1212</v>
      </c>
      <c r="AG220" s="19" t="n">
        <v>0.029</v>
      </c>
      <c r="AH220" s="23" t="n">
        <v>0</v>
      </c>
      <c r="AI220" s="23" t="n">
        <v>2.62</v>
      </c>
      <c r="AJ220" s="19" t="n">
        <v>0.1885</v>
      </c>
    </row>
    <row r="221">
      <c r="A221" s="16" t="inlineStr">
        <is>
          <t>PREMIERENE</t>
        </is>
      </c>
      <c r="B221" s="16" t="inlineStr">
        <is>
          <t>Premier Energies Ltd.</t>
        </is>
      </c>
      <c r="C221" s="16" t="inlineStr">
        <is>
          <t>Other Electrical Equipment/Products</t>
        </is>
      </c>
      <c r="D221" s="16" t="inlineStr">
        <is>
          <t>Consumer Durables</t>
        </is>
      </c>
      <c r="E221" s="16" t="inlineStr">
        <is>
          <t>INE0BS701011</t>
        </is>
      </c>
      <c r="F221" s="17" t="n">
        <v>45485.94</v>
      </c>
      <c r="G221" s="18" t="n">
        <v>1002</v>
      </c>
      <c r="H221" s="19" t="n">
        <v>-0.006</v>
      </c>
      <c r="I221" s="20" t="n">
        <v>48</v>
      </c>
      <c r="J221" s="16" t="inlineStr">
        <is>
          <t>red</t>
        </is>
      </c>
      <c r="K221" s="20" t="n">
        <v>11</v>
      </c>
      <c r="L221" s="18" t="n">
        <v>46.88</v>
      </c>
      <c r="M221" s="18" t="n">
        <v>1009.76</v>
      </c>
      <c r="N221" s="18" t="n">
        <v>1038.91</v>
      </c>
      <c r="O221" s="18" t="n">
        <v>935.37</v>
      </c>
      <c r="P221" s="18" t="n">
        <v>1117.2</v>
      </c>
      <c r="Q221" s="18" t="n">
        <v>682.6</v>
      </c>
      <c r="R221" s="21">
        <f>IF(OR(G221="",P221=""),"",G221/P221-1)</f>
        <v/>
      </c>
      <c r="S221" s="19" t="n">
        <v>1.0084</v>
      </c>
      <c r="T221" s="22" t="n">
        <v>-0.0028</v>
      </c>
      <c r="U221" s="16" t="inlineStr">
        <is>
          <t>No</t>
        </is>
      </c>
      <c r="V221" s="16" t="inlineStr">
        <is>
          <t>No</t>
        </is>
      </c>
      <c r="W221" s="16" t="inlineStr">
        <is>
          <t>No</t>
        </is>
      </c>
      <c r="X221" s="16" t="inlineStr">
        <is>
          <t>Yes</t>
        </is>
      </c>
      <c r="Y221" s="20" t="n">
        <v>79</v>
      </c>
      <c r="Z221" s="19" t="n">
        <v>0.1107</v>
      </c>
      <c r="AA221" s="18" t="n">
        <v>71.98999999999999</v>
      </c>
      <c r="AB221" s="16" t="inlineStr">
        <is>
          <t>High</t>
        </is>
      </c>
      <c r="AC221" s="16" t="inlineStr">
        <is>
          <t>No</t>
        </is>
      </c>
      <c r="AD221" s="19" t="n">
        <v>0.3468</v>
      </c>
      <c r="AE221" s="19" t="n">
        <v>0.2486</v>
      </c>
      <c r="AF221" s="19" t="n">
        <v>7.519600000000001</v>
      </c>
      <c r="AG221" s="19" t="n">
        <v>0.8254</v>
      </c>
      <c r="AH221" s="23" t="n">
        <v>0.86</v>
      </c>
      <c r="AI221" s="23" t="n">
        <v>2.01</v>
      </c>
      <c r="AJ221" s="19" t="n">
        <v>0.5518</v>
      </c>
    </row>
    <row r="222">
      <c r="A222" s="16" t="inlineStr">
        <is>
          <t>AEGISLOG</t>
        </is>
      </c>
      <c r="B222" s="16" t="inlineStr">
        <is>
          <t>Aegis Logistics Ltd.</t>
        </is>
      </c>
      <c r="C222" s="16" t="inlineStr">
        <is>
          <t>Oil Marketing &amp; Distribution</t>
        </is>
      </c>
      <c r="D222" s="16" t="inlineStr">
        <is>
          <t>Oil &amp; Gas</t>
        </is>
      </c>
      <c r="E222" s="16" t="inlineStr">
        <is>
          <t>INE208C01025</t>
        </is>
      </c>
      <c r="F222" s="17" t="n">
        <v>44584.02</v>
      </c>
      <c r="G222" s="18" t="n">
        <v>1270.2</v>
      </c>
      <c r="H222" s="19" t="n">
        <v>-0.0132</v>
      </c>
      <c r="I222" s="20" t="n">
        <v>92</v>
      </c>
      <c r="J222" s="16" t="inlineStr">
        <is>
          <t>green</t>
        </is>
      </c>
      <c r="K222" s="20" t="n">
        <v>62</v>
      </c>
      <c r="L222" s="18" t="n">
        <v>48.29</v>
      </c>
      <c r="M222" s="18" t="n">
        <v>1275.27</v>
      </c>
      <c r="N222" s="18" t="n">
        <v>1306.44</v>
      </c>
      <c r="O222" s="18" t="n">
        <v>869.37</v>
      </c>
      <c r="P222" s="18" t="n">
        <v>1417.9</v>
      </c>
      <c r="Q222" s="18" t="n">
        <v>584.83</v>
      </c>
      <c r="R222" s="21">
        <f>IF(OR(G222="",P222=""),"",G222/P222-1)</f>
        <v/>
      </c>
      <c r="S222" s="19" t="n">
        <v>0.6755</v>
      </c>
      <c r="T222" s="22" t="n">
        <v>0.0639</v>
      </c>
      <c r="U222" s="16" t="inlineStr">
        <is>
          <t>Yes</t>
        </is>
      </c>
      <c r="V222" s="16" t="inlineStr">
        <is>
          <t>No</t>
        </is>
      </c>
      <c r="W222" s="16" t="inlineStr">
        <is>
          <t>No</t>
        </is>
      </c>
      <c r="X222" s="16" t="inlineStr">
        <is>
          <t>Yes</t>
        </is>
      </c>
      <c r="Y222" s="20" t="n">
        <v>59</v>
      </c>
      <c r="Z222" s="19" t="n">
        <v>0.5027</v>
      </c>
      <c r="AA222" s="18" t="n">
        <v>41.16</v>
      </c>
      <c r="AB222" s="16" t="inlineStr">
        <is>
          <t>Average</t>
        </is>
      </c>
      <c r="AC222" s="16" t="inlineStr">
        <is>
          <t>No</t>
        </is>
      </c>
      <c r="AD222" s="19" t="n">
        <v>0.1459</v>
      </c>
      <c r="AE222" s="19" t="n">
        <v>0.142</v>
      </c>
      <c r="AF222" s="19" t="n">
        <v>0.2496</v>
      </c>
      <c r="AG222" s="19" t="n">
        <v>0.0035</v>
      </c>
      <c r="AH222" s="23" t="n">
        <v>0.6899999999999999</v>
      </c>
      <c r="AI222" s="23" t="n">
        <v>1.16</v>
      </c>
      <c r="AJ222" s="19" t="n">
        <v>0.1118</v>
      </c>
    </row>
    <row r="223">
      <c r="A223" s="16" t="inlineStr">
        <is>
          <t>RVNL</t>
        </is>
      </c>
      <c r="B223" s="16" t="inlineStr">
        <is>
          <t>Rail Vikas Nigam Ltd.</t>
        </is>
      </c>
      <c r="C223" s="16" t="inlineStr">
        <is>
          <t>Construction &amp; Engineering</t>
        </is>
      </c>
      <c r="D223" s="16" t="inlineStr">
        <is>
          <t>Cement and Construction</t>
        </is>
      </c>
      <c r="E223" s="16" t="inlineStr">
        <is>
          <t>INE415G01027</t>
        </is>
      </c>
      <c r="F223" s="17" t="n">
        <v>44304.59</v>
      </c>
      <c r="G223" s="18" t="n">
        <v>212.49</v>
      </c>
      <c r="H223" s="19" t="n">
        <v>0.0152</v>
      </c>
      <c r="I223" s="20" t="n">
        <v>6</v>
      </c>
      <c r="J223" s="16" t="inlineStr">
        <is>
          <t>red</t>
        </is>
      </c>
      <c r="K223" s="20" t="n">
        <v>150</v>
      </c>
      <c r="L223" s="18" t="n">
        <v>32.23</v>
      </c>
      <c r="M223" s="18" t="n">
        <v>212.22</v>
      </c>
      <c r="N223" s="18" t="n">
        <v>225.28</v>
      </c>
      <c r="O223" s="18" t="n">
        <v>277.54</v>
      </c>
      <c r="P223" s="18" t="n">
        <v>385.53</v>
      </c>
      <c r="Q223" s="18" t="n">
        <v>206</v>
      </c>
      <c r="R223" s="21">
        <f>IF(OR(G223="",P223=""),"",G223/P223-1)</f>
        <v/>
      </c>
      <c r="S223" s="19" t="n">
        <v>1.4302</v>
      </c>
      <c r="T223" s="22" t="n">
        <v>-0.0354</v>
      </c>
      <c r="U223" s="16" t="inlineStr">
        <is>
          <t>No</t>
        </is>
      </c>
      <c r="V223" s="16" t="inlineStr">
        <is>
          <t>No</t>
        </is>
      </c>
      <c r="W223" s="16" t="inlineStr">
        <is>
          <t>Yes</t>
        </is>
      </c>
      <c r="X223" s="16" t="inlineStr">
        <is>
          <t>No</t>
        </is>
      </c>
      <c r="Y223" s="20" t="n">
        <v>412</v>
      </c>
      <c r="Z223" s="19" t="n">
        <v>-0.1883</v>
      </c>
      <c r="AA223" s="18" t="n">
        <v>39.66</v>
      </c>
      <c r="AB223" s="16" t="inlineStr">
        <is>
          <t>Weak</t>
        </is>
      </c>
      <c r="AC223" s="16" t="inlineStr">
        <is>
          <t>No</t>
        </is>
      </c>
      <c r="AD223" s="19" t="n">
        <v>0.1335</v>
      </c>
      <c r="AE223" s="19" t="n">
        <v>0.1439</v>
      </c>
      <c r="AF223" s="19" t="n">
        <v>-0.3612</v>
      </c>
      <c r="AG223" s="19" t="n">
        <v>0.0046</v>
      </c>
      <c r="AH223" s="23" t="n">
        <v>0.49</v>
      </c>
      <c r="AI223" s="23" t="n">
        <v>23.03</v>
      </c>
      <c r="AJ223" s="19" t="n">
        <v>0.0003</v>
      </c>
    </row>
    <row r="224">
      <c r="A224" s="16" t="inlineStr">
        <is>
          <t>BALKRISIND</t>
        </is>
      </c>
      <c r="B224" s="16" t="inlineStr">
        <is>
          <t>Balkrishna Industries Ltd.</t>
        </is>
      </c>
      <c r="C224" s="16" t="inlineStr">
        <is>
          <t>Auto Tyres &amp; Rubber Products</t>
        </is>
      </c>
      <c r="D224" s="16" t="inlineStr">
        <is>
          <t>Automobiles &amp; Auto Components</t>
        </is>
      </c>
      <c r="E224" s="16" t="inlineStr">
        <is>
          <t>INE787D01026</t>
        </is>
      </c>
      <c r="F224" s="17" t="n">
        <v>44165.25</v>
      </c>
      <c r="G224" s="18" t="n">
        <v>2284.6</v>
      </c>
      <c r="H224" s="19" t="n">
        <v>-0.0183</v>
      </c>
      <c r="I224" s="20" t="n">
        <v>41</v>
      </c>
      <c r="J224" s="16" t="inlineStr">
        <is>
          <t>red</t>
        </is>
      </c>
      <c r="K224" s="20" t="n">
        <v>111</v>
      </c>
      <c r="L224" s="18" t="n">
        <v>31.37</v>
      </c>
      <c r="M224" s="18" t="n">
        <v>2321.6</v>
      </c>
      <c r="N224" s="18" t="n">
        <v>2271.03</v>
      </c>
      <c r="O224" s="18" t="n">
        <v>2285.68</v>
      </c>
      <c r="P224" s="18" t="n">
        <v>2706.88</v>
      </c>
      <c r="Q224" s="18" t="n">
        <v>1967.16</v>
      </c>
      <c r="R224" s="21">
        <f>IF(OR(G224="",P224=""),"",G224/P224-1)</f>
        <v/>
      </c>
      <c r="S224" s="19" t="n">
        <v>0.4009</v>
      </c>
      <c r="T224" s="22" t="n">
        <v>0.0026</v>
      </c>
      <c r="U224" s="16" t="inlineStr">
        <is>
          <t>Yes</t>
        </is>
      </c>
      <c r="V224" s="16" t="inlineStr">
        <is>
          <t>Yes</t>
        </is>
      </c>
      <c r="W224" s="16" t="inlineStr">
        <is>
          <t>No</t>
        </is>
      </c>
      <c r="X224" s="16" t="inlineStr">
        <is>
          <t>No</t>
        </is>
      </c>
      <c r="Y224" s="20" t="n">
        <v>114</v>
      </c>
      <c r="Z224" s="19" t="n">
        <v>-0.0064</v>
      </c>
      <c r="AA224" s="18" t="n">
        <v>44.34</v>
      </c>
      <c r="AB224" s="16" t="inlineStr">
        <is>
          <t>Average</t>
        </is>
      </c>
      <c r="AC224" s="16" t="inlineStr">
        <is>
          <t>No</t>
        </is>
      </c>
      <c r="AD224" s="19" t="n">
        <v>0.1463</v>
      </c>
      <c r="AE224" s="19" t="n">
        <v>0.1517</v>
      </c>
      <c r="AF224" s="19" t="n">
        <v>0.0891</v>
      </c>
      <c r="AG224" s="19" t="n">
        <v>0.0379</v>
      </c>
      <c r="AH224" s="23" t="n">
        <v>0.38</v>
      </c>
      <c r="AI224" s="23" t="n">
        <v>1</v>
      </c>
      <c r="AJ224" s="19" t="n">
        <v>0.313</v>
      </c>
    </row>
    <row r="225">
      <c r="A225" s="16" t="inlineStr">
        <is>
          <t>AIIL</t>
        </is>
      </c>
      <c r="B225" s="16" t="inlineStr">
        <is>
          <t>Authum Investment &amp; Infrastructure Ltd.</t>
        </is>
      </c>
      <c r="C225" s="16" t="inlineStr">
        <is>
          <t>Finance (including NBFCs)</t>
        </is>
      </c>
      <c r="D225" s="16" t="inlineStr">
        <is>
          <t>Banking and Finance</t>
        </is>
      </c>
      <c r="E225" s="16" t="inlineStr">
        <is>
          <t>INE206F01022</t>
        </is>
      </c>
      <c r="F225" s="17" t="n">
        <v>44151.23</v>
      </c>
      <c r="G225" s="18" t="n">
        <v>519.9</v>
      </c>
      <c r="H225" s="19" t="n">
        <v>0.0016</v>
      </c>
      <c r="I225" s="20" t="n">
        <v>47</v>
      </c>
      <c r="J225" s="16" t="inlineStr">
        <is>
          <t>red</t>
        </is>
      </c>
      <c r="K225" s="20" t="n">
        <v>19</v>
      </c>
      <c r="L225" s="18" t="n">
        <v>40.04</v>
      </c>
      <c r="M225" s="18" t="n">
        <v>538.5</v>
      </c>
      <c r="N225" s="18" t="n">
        <v>543.1799999999999</v>
      </c>
      <c r="O225" s="18" t="n">
        <v>519.59</v>
      </c>
      <c r="P225" s="18" t="n">
        <v>667.9</v>
      </c>
      <c r="Q225" s="18" t="n">
        <v>405.3</v>
      </c>
      <c r="R225" s="21">
        <f>IF(OR(G225="",P225=""),"",G225/P225-1)</f>
        <v/>
      </c>
      <c r="S225" s="19" t="n">
        <v>0.2944</v>
      </c>
      <c r="T225" s="22" t="n">
        <v>-0.0049</v>
      </c>
      <c r="U225" s="16" t="inlineStr">
        <is>
          <t>No</t>
        </is>
      </c>
      <c r="V225" s="16" t="inlineStr">
        <is>
          <t>No</t>
        </is>
      </c>
      <c r="W225" s="16" t="inlineStr">
        <is>
          <t>No</t>
        </is>
      </c>
      <c r="X225" s="16" t="inlineStr">
        <is>
          <t>Yes</t>
        </is>
      </c>
      <c r="Y225" s="20" t="n">
        <v>21</v>
      </c>
      <c r="Z225" s="19" t="n">
        <v>0.0454</v>
      </c>
      <c r="AA225" s="18" t="n">
        <v>89.94</v>
      </c>
      <c r="AB225" s="16" t="inlineStr">
        <is>
          <t>High</t>
        </is>
      </c>
      <c r="AC225" s="16" t="inlineStr">
        <is>
          <t>Yes</t>
        </is>
      </c>
      <c r="AD225" s="19" t="n">
        <v>0.278</v>
      </c>
      <c r="AE225" s="19" t="n">
        <v>0.2526</v>
      </c>
      <c r="AF225" s="19" t="n">
        <v>1.0637</v>
      </c>
      <c r="AG225" s="19" t="n">
        <v>1.6024</v>
      </c>
      <c r="AH225" s="23" t="n">
        <v>0.1</v>
      </c>
      <c r="AI225" s="23" t="n">
        <v>10.18</v>
      </c>
      <c r="AJ225" s="19" t="n">
        <v>0</v>
      </c>
    </row>
    <row r="226">
      <c r="A226" s="16" t="inlineStr">
        <is>
          <t>SUPREMEIND</t>
        </is>
      </c>
      <c r="B226" s="16" t="inlineStr">
        <is>
          <t>Supreme Industries Ltd.</t>
        </is>
      </c>
      <c r="C226" s="16" t="inlineStr">
        <is>
          <t>Plastic Products</t>
        </is>
      </c>
      <c r="D226" s="16" t="inlineStr">
        <is>
          <t>General Industrials</t>
        </is>
      </c>
      <c r="E226" s="16" t="inlineStr">
        <is>
          <t>INE195A01028</t>
        </is>
      </c>
      <c r="F226" s="17" t="n">
        <v>44141.85</v>
      </c>
      <c r="G226" s="18" t="n">
        <v>3475</v>
      </c>
      <c r="H226" s="19" t="n">
        <v>-0.009399999999999999</v>
      </c>
      <c r="I226" s="20" t="n">
        <v>27</v>
      </c>
      <c r="J226" s="16" t="inlineStr">
        <is>
          <t>red</t>
        </is>
      </c>
      <c r="K226" s="20" t="n">
        <v>101</v>
      </c>
      <c r="L226" s="18" t="n">
        <v>38.96</v>
      </c>
      <c r="M226" s="18" t="n">
        <v>3554.95</v>
      </c>
      <c r="N226" s="18" t="n">
        <v>3445.7</v>
      </c>
      <c r="O226" s="18" t="n">
        <v>3547.44</v>
      </c>
      <c r="P226" s="18" t="n">
        <v>4548.48</v>
      </c>
      <c r="Q226" s="18" t="n">
        <v>3157.8</v>
      </c>
      <c r="R226" s="21">
        <f>IF(OR(G226="",P226=""),"",G226/P226-1)</f>
        <v/>
      </c>
      <c r="S226" s="19" t="n">
        <v>0.6612</v>
      </c>
      <c r="T226" s="22" t="n">
        <v>-0.0075</v>
      </c>
      <c r="U226" s="16" t="inlineStr">
        <is>
          <t>No</t>
        </is>
      </c>
      <c r="V226" s="16" t="inlineStr">
        <is>
          <t>Yes</t>
        </is>
      </c>
      <c r="W226" s="16" t="inlineStr">
        <is>
          <t>No</t>
        </is>
      </c>
      <c r="X226" s="16" t="inlineStr">
        <is>
          <t>No</t>
        </is>
      </c>
      <c r="Y226" s="20" t="n">
        <v>192</v>
      </c>
      <c r="Z226" s="19" t="n">
        <v>-0.0287</v>
      </c>
      <c r="AA226" s="18" t="n">
        <v>62.53</v>
      </c>
      <c r="AB226" s="16" t="inlineStr">
        <is>
          <t>Good</t>
        </is>
      </c>
      <c r="AC226" s="16" t="inlineStr">
        <is>
          <t>No</t>
        </is>
      </c>
      <c r="AD226" s="19" t="n">
        <v>0.1779</v>
      </c>
      <c r="AE226" s="19" t="n">
        <v>0.2305</v>
      </c>
      <c r="AF226" s="19" t="n">
        <v>0.0424</v>
      </c>
      <c r="AG226" s="19" t="n">
        <v>0.06860000000000001</v>
      </c>
      <c r="AH226" s="23" t="n">
        <v>0.01</v>
      </c>
      <c r="AI226" s="23" t="n">
        <v>2.95</v>
      </c>
      <c r="AJ226" s="19" t="n">
        <v>0.04769999999999999</v>
      </c>
    </row>
    <row r="227">
      <c r="A227" s="16" t="inlineStr">
        <is>
          <t>NAVINFLUOR</t>
        </is>
      </c>
      <c r="B227" s="16" t="inlineStr">
        <is>
          <t>Navin Fluorine International Ltd.</t>
        </is>
      </c>
      <c r="C227" s="16" t="inlineStr">
        <is>
          <t>Commodity Chemicals</t>
        </is>
      </c>
      <c r="D227" s="16" t="inlineStr">
        <is>
          <t>Chemicals &amp; Petrochemicals</t>
        </is>
      </c>
      <c r="E227" s="16" t="inlineStr">
        <is>
          <t>INE048G01026</t>
        </is>
      </c>
      <c r="F227" s="17" t="n">
        <v>43903.48</v>
      </c>
      <c r="G227" s="18" t="n">
        <v>8557.5</v>
      </c>
      <c r="H227" s="19" t="n">
        <v>-0.016</v>
      </c>
      <c r="I227" s="20" t="n">
        <v>82</v>
      </c>
      <c r="J227" s="16" t="inlineStr">
        <is>
          <t>green</t>
        </is>
      </c>
      <c r="K227" s="20" t="n">
        <v>8</v>
      </c>
      <c r="L227" s="18" t="n">
        <v>66.48999999999999</v>
      </c>
      <c r="M227" s="18" t="n">
        <v>8593.309999999999</v>
      </c>
      <c r="N227" s="18" t="n">
        <v>7956.13</v>
      </c>
      <c r="O227" s="18" t="n">
        <v>6784.66</v>
      </c>
      <c r="P227" s="18" t="n">
        <v>8697</v>
      </c>
      <c r="Q227" s="18" t="n">
        <v>4541.87</v>
      </c>
      <c r="R227" s="21">
        <f>IF(OR(G227="",P227=""),"",G227/P227-1)</f>
        <v/>
      </c>
      <c r="S227" s="19" t="n">
        <v>0.4664</v>
      </c>
      <c r="T227" s="22" t="n">
        <v>0.0426</v>
      </c>
      <c r="U227" s="16" t="inlineStr">
        <is>
          <t>Yes</t>
        </is>
      </c>
      <c r="V227" s="16" t="inlineStr">
        <is>
          <t>Yes</t>
        </is>
      </c>
      <c r="W227" s="16" t="inlineStr">
        <is>
          <t>No</t>
        </is>
      </c>
      <c r="X227" s="16" t="inlineStr">
        <is>
          <t>Yes</t>
        </is>
      </c>
      <c r="Y227" s="20" t="n">
        <v>460</v>
      </c>
      <c r="Z227" s="19" t="n">
        <v>0.1727</v>
      </c>
      <c r="AA227" s="18" t="n">
        <v>51.15</v>
      </c>
      <c r="AB227" s="16" t="inlineStr">
        <is>
          <t>Average</t>
        </is>
      </c>
      <c r="AC227" s="16" t="inlineStr">
        <is>
          <t>No</t>
        </is>
      </c>
      <c r="AD227" s="19" t="n">
        <v>0.1301</v>
      </c>
      <c r="AE227" s="19" t="n">
        <v>0.1367</v>
      </c>
      <c r="AF227" s="19" t="n">
        <v>0.3444</v>
      </c>
      <c r="AG227" s="19" t="n">
        <v>0.1765</v>
      </c>
      <c r="AH227" s="23" t="n">
        <v>0.32</v>
      </c>
      <c r="AI227" s="23" t="n">
        <v>0.98</v>
      </c>
      <c r="AJ227" s="19" t="n">
        <v>0.04849999999999999</v>
      </c>
    </row>
    <row r="228">
      <c r="A228" s="16" t="inlineStr">
        <is>
          <t>CPPLUS</t>
        </is>
      </c>
      <c r="B228" s="16" t="inlineStr">
        <is>
          <t>Aditya Infotech Ltd.</t>
        </is>
      </c>
      <c r="C228" s="16" t="inlineStr">
        <is>
          <t>IT Networking Equipment</t>
        </is>
      </c>
      <c r="D228" s="16" t="inlineStr">
        <is>
          <t>Hardware Technology &amp; Equipment</t>
        </is>
      </c>
      <c r="E228" s="16" t="inlineStr">
        <is>
          <t>INE819V01029</t>
        </is>
      </c>
      <c r="F228" s="17" t="n">
        <v>43825.57</v>
      </c>
      <c r="G228" s="18" t="n">
        <v>3704.6</v>
      </c>
      <c r="H228" s="19" t="n">
        <v>-0.0124</v>
      </c>
      <c r="I228" s="20" t="n">
        <v>94</v>
      </c>
      <c r="J228" s="16" t="inlineStr">
        <is>
          <t>green</t>
        </is>
      </c>
      <c r="K228" s="20" t="n">
        <v>119</v>
      </c>
      <c r="L228" s="18" t="n">
        <v>71.61</v>
      </c>
      <c r="M228" s="18" t="n">
        <v>3650.85</v>
      </c>
      <c r="N228" s="18" t="n">
        <v>3572.3</v>
      </c>
      <c r="O228" s="18" t="n">
        <v>2396.24</v>
      </c>
      <c r="P228" s="18" t="n">
        <v>3899.1</v>
      </c>
      <c r="Q228" s="18" t="n">
        <v>1254.13</v>
      </c>
      <c r="R228" s="21">
        <f>IF(OR(G228="",P228=""),"",G228/P228-1)</f>
        <v/>
      </c>
      <c r="S228" s="19" t="n">
        <v>0.8064</v>
      </c>
      <c r="T228" s="22" t="n">
        <v>0.0965</v>
      </c>
      <c r="U228" s="16" t="inlineStr">
        <is>
          <t>Yes</t>
        </is>
      </c>
      <c r="V228" s="16" t="inlineStr">
        <is>
          <t>Yes</t>
        </is>
      </c>
      <c r="W228" s="16" t="inlineStr">
        <is>
          <t>Yes</t>
        </is>
      </c>
      <c r="X228" s="16" t="inlineStr">
        <is>
          <t>Yes</t>
        </is>
      </c>
      <c r="Y228" s="20" t="n">
        <v>73</v>
      </c>
      <c r="Z228" s="19" t="n">
        <v>0.4908</v>
      </c>
      <c r="AA228" s="18" t="n">
        <v>79.7</v>
      </c>
      <c r="AB228" s="16" t="inlineStr">
        <is>
          <t>High</t>
        </is>
      </c>
      <c r="AC228" s="16" t="inlineStr">
        <is>
          <t>No</t>
        </is>
      </c>
      <c r="AD228" s="19" t="n">
        <v>0.271</v>
      </c>
      <c r="AE228" s="19" t="n">
        <v>0.2671</v>
      </c>
      <c r="AF228" s="19" t="n">
        <v>0.3709</v>
      </c>
      <c r="AG228" s="19" t="n">
        <v>0.2305</v>
      </c>
      <c r="AH228" s="23" t="n">
        <v>0.1</v>
      </c>
      <c r="AI228" s="23" t="n">
        <v>11.97</v>
      </c>
      <c r="AJ228" s="19" t="n">
        <v>0.2295</v>
      </c>
    </row>
    <row r="229">
      <c r="A229" s="16" t="inlineStr">
        <is>
          <t>THERMAX</t>
        </is>
      </c>
      <c r="B229" s="16" t="inlineStr">
        <is>
          <t>Thermax Ltd.</t>
        </is>
      </c>
      <c r="C229" s="16" t="inlineStr">
        <is>
          <t>Heavy Electrical Equipment</t>
        </is>
      </c>
      <c r="D229" s="16" t="inlineStr">
        <is>
          <t>General Industrials</t>
        </is>
      </c>
      <c r="E229" s="16" t="inlineStr">
        <is>
          <t>INE152A01029</t>
        </is>
      </c>
      <c r="F229" s="17" t="n">
        <v>43344.3</v>
      </c>
      <c r="G229" s="18" t="n">
        <v>3637.6</v>
      </c>
      <c r="H229" s="19" t="n">
        <v>-0.0258</v>
      </c>
      <c r="I229" s="20" t="n">
        <v>41</v>
      </c>
      <c r="J229" s="16" t="inlineStr">
        <is>
          <t>red</t>
        </is>
      </c>
      <c r="K229" s="20" t="n">
        <v>8</v>
      </c>
      <c r="L229" s="18" t="n">
        <v>8.57</v>
      </c>
      <c r="M229" s="18" t="n">
        <v>3851.77</v>
      </c>
      <c r="N229" s="18" t="n">
        <v>4319.98</v>
      </c>
      <c r="O229" s="18" t="n">
        <v>3729.8</v>
      </c>
      <c r="P229" s="18" t="n">
        <v>5138.51</v>
      </c>
      <c r="Q229" s="18" t="n">
        <v>2762.52</v>
      </c>
      <c r="R229" s="21">
        <f>IF(OR(G229="",P229=""),"",G229/P229-1)</f>
        <v/>
      </c>
      <c r="S229" s="19" t="n">
        <v>0.8852</v>
      </c>
      <c r="T229" s="22" t="n">
        <v>0.022</v>
      </c>
      <c r="U229" s="16" t="inlineStr">
        <is>
          <t>Yes</t>
        </is>
      </c>
      <c r="V229" s="16" t="inlineStr">
        <is>
          <t>No</t>
        </is>
      </c>
      <c r="W229" s="16" t="inlineStr">
        <is>
          <t>No</t>
        </is>
      </c>
      <c r="X229" s="16" t="inlineStr">
        <is>
          <t>Yes</t>
        </is>
      </c>
      <c r="Y229" s="20" t="n">
        <v>100</v>
      </c>
      <c r="Z229" s="19" t="n">
        <v>0.1582</v>
      </c>
      <c r="AA229" s="18" t="n">
        <v>50.31</v>
      </c>
      <c r="AB229" s="16" t="inlineStr">
        <is>
          <t>Average</t>
        </is>
      </c>
      <c r="AC229" s="16" t="inlineStr">
        <is>
          <t>No</t>
        </is>
      </c>
      <c r="AD229" s="19" t="n">
        <v>0.1345</v>
      </c>
      <c r="AE229" s="19" t="n">
        <v>0.1535</v>
      </c>
      <c r="AF229" s="19" t="n">
        <v>0.1839</v>
      </c>
      <c r="AG229" s="19" t="n">
        <v>0.0993</v>
      </c>
      <c r="AH229" s="23" t="n">
        <v>0.43</v>
      </c>
      <c r="AI229" s="23" t="n">
        <v>2.42</v>
      </c>
      <c r="AJ229" s="19" t="n">
        <v>0.3485</v>
      </c>
    </row>
    <row r="230">
      <c r="A230" s="16" t="inlineStr">
        <is>
          <t>AJANTPHARM</t>
        </is>
      </c>
      <c r="B230" s="16" t="inlineStr">
        <is>
          <t>Ajanta Pharma Ltd.</t>
        </is>
      </c>
      <c r="C230" s="16" t="inlineStr">
        <is>
          <t>Pharmaceuticals</t>
        </is>
      </c>
      <c r="D230" s="16" t="inlineStr">
        <is>
          <t>Pharmaceuticals &amp; Biotechnology</t>
        </is>
      </c>
      <c r="E230" s="16" t="inlineStr">
        <is>
          <t>INE031B01049</t>
        </is>
      </c>
      <c r="F230" s="17" t="n">
        <v>43295.79</v>
      </c>
      <c r="G230" s="18" t="n">
        <v>3464.8</v>
      </c>
      <c r="H230" s="19" t="n">
        <v>-0.016</v>
      </c>
      <c r="I230" s="20" t="n">
        <v>72</v>
      </c>
      <c r="J230" s="16" t="inlineStr">
        <is>
          <t>amber</t>
        </is>
      </c>
      <c r="K230" s="20" t="n">
        <v>31</v>
      </c>
      <c r="L230" s="18" t="n">
        <v>21.77</v>
      </c>
      <c r="M230" s="18" t="n">
        <v>3528.34</v>
      </c>
      <c r="N230" s="18" t="n">
        <v>3463.4</v>
      </c>
      <c r="O230" s="18" t="n">
        <v>2996.06</v>
      </c>
      <c r="P230" s="18" t="n">
        <v>3718.2</v>
      </c>
      <c r="Q230" s="18" t="n">
        <v>2340.47</v>
      </c>
      <c r="R230" s="21">
        <f>IF(OR(G230="",P230=""),"",G230/P230-1)</f>
        <v/>
      </c>
      <c r="S230" s="19" t="n">
        <v>0.6855</v>
      </c>
      <c r="T230" s="22" t="n">
        <v>0.0392</v>
      </c>
      <c r="U230" s="16" t="inlineStr">
        <is>
          <t>Yes</t>
        </is>
      </c>
      <c r="V230" s="16" t="inlineStr">
        <is>
          <t>Yes</t>
        </is>
      </c>
      <c r="W230" s="16" t="inlineStr">
        <is>
          <t>No</t>
        </is>
      </c>
      <c r="X230" s="16" t="inlineStr">
        <is>
          <t>Yes</t>
        </is>
      </c>
      <c r="Y230" s="20" t="n">
        <v>170</v>
      </c>
      <c r="Z230" s="19" t="n">
        <v>0.156</v>
      </c>
      <c r="AA230" s="18" t="n">
        <v>71.27</v>
      </c>
      <c r="AB230" s="16" t="inlineStr">
        <is>
          <t>High</t>
        </is>
      </c>
      <c r="AC230" s="16" t="inlineStr">
        <is>
          <t>No</t>
        </is>
      </c>
      <c r="AD230" s="19" t="n">
        <v>0.235</v>
      </c>
      <c r="AE230" s="19" t="n">
        <v>0.3059</v>
      </c>
      <c r="AF230" s="19" t="n">
        <v>0.232</v>
      </c>
      <c r="AG230" s="19" t="n">
        <v>0.1345</v>
      </c>
      <c r="AH230" s="23" t="n">
        <v>0.06</v>
      </c>
      <c r="AI230" s="23" t="n">
        <v>2.55</v>
      </c>
      <c r="AJ230" s="19" t="n">
        <v>0.1392</v>
      </c>
    </row>
    <row r="231">
      <c r="A231" s="16" t="inlineStr">
        <is>
          <t>PETRONET</t>
        </is>
      </c>
      <c r="B231" s="16" t="inlineStr">
        <is>
          <t>Petronet LNG Ltd.</t>
        </is>
      </c>
      <c r="C231" s="16" t="inlineStr">
        <is>
          <t>Oil Marketing &amp; Distribution</t>
        </is>
      </c>
      <c r="D231" s="16" t="inlineStr">
        <is>
          <t>Oil &amp; Gas</t>
        </is>
      </c>
      <c r="E231" s="16" t="inlineStr">
        <is>
          <t>INE347G01014</t>
        </is>
      </c>
      <c r="F231" s="17" t="n">
        <v>43215</v>
      </c>
      <c r="G231" s="18" t="n">
        <v>288.1</v>
      </c>
      <c r="H231" s="19" t="n">
        <v>-0.0048</v>
      </c>
      <c r="I231" s="20" t="n">
        <v>49</v>
      </c>
      <c r="J231" s="16" t="inlineStr">
        <is>
          <t>red</t>
        </is>
      </c>
      <c r="K231" s="20" t="n">
        <v>105</v>
      </c>
      <c r="L231" s="18" t="n">
        <v>56.88</v>
      </c>
      <c r="M231" s="18" t="n">
        <v>291.46</v>
      </c>
      <c r="N231" s="18" t="n">
        <v>281.78</v>
      </c>
      <c r="O231" s="18" t="n">
        <v>277.95</v>
      </c>
      <c r="P231" s="18" t="n">
        <v>319.71</v>
      </c>
      <c r="Q231" s="18" t="n">
        <v>235.34</v>
      </c>
      <c r="R231" s="21">
        <f>IF(OR(G231="",P231=""),"",G231/P231-1)</f>
        <v/>
      </c>
      <c r="S231" s="19" t="n">
        <v>0.7752</v>
      </c>
      <c r="T231" s="22" t="n">
        <v>0.006500000000000001</v>
      </c>
      <c r="U231" s="16" t="inlineStr">
        <is>
          <t>Yes</t>
        </is>
      </c>
      <c r="V231" s="16" t="inlineStr">
        <is>
          <t>Yes</t>
        </is>
      </c>
      <c r="W231" s="16" t="inlineStr">
        <is>
          <t>No</t>
        </is>
      </c>
      <c r="X231" s="16" t="inlineStr">
        <is>
          <t>Yes</t>
        </is>
      </c>
      <c r="Y231" s="20" t="n">
        <v>29</v>
      </c>
      <c r="Z231" s="19" t="n">
        <v>0.0138</v>
      </c>
      <c r="AA231" s="18" t="n">
        <v>57.69</v>
      </c>
      <c r="AB231" s="16" t="inlineStr">
        <is>
          <t>Good</t>
        </is>
      </c>
      <c r="AC231" s="16" t="inlineStr">
        <is>
          <t>No</t>
        </is>
      </c>
      <c r="AD231" s="19" t="n">
        <v>0.1951</v>
      </c>
      <c r="AE231" s="19" t="n">
        <v>0.2359</v>
      </c>
      <c r="AF231" s="19" t="n">
        <v>0.05690000000000001</v>
      </c>
      <c r="AG231" s="19" t="n">
        <v>-0.0946</v>
      </c>
      <c r="AH231" s="23" t="n">
        <v>0.11</v>
      </c>
      <c r="AI231" s="23" t="n">
        <v>3.77</v>
      </c>
      <c r="AJ231" s="19" t="n">
        <v>0.2165</v>
      </c>
    </row>
    <row r="232">
      <c r="A232" s="16" t="inlineStr">
        <is>
          <t>POONAWALLA</t>
        </is>
      </c>
      <c r="B232" s="16" t="inlineStr">
        <is>
          <t>Poonawalla Fincorp Ltd.</t>
        </is>
      </c>
      <c r="C232" s="16" t="inlineStr">
        <is>
          <t>Finance (including NBFCs)</t>
        </is>
      </c>
      <c r="D232" s="16" t="inlineStr">
        <is>
          <t>Banking and Finance</t>
        </is>
      </c>
      <c r="E232" s="16" t="inlineStr">
        <is>
          <t>INE511C01022</t>
        </is>
      </c>
      <c r="F232" s="17" t="n">
        <v>41250.57</v>
      </c>
      <c r="G232" s="18" t="n">
        <v>468.45</v>
      </c>
      <c r="H232" s="19" t="n">
        <v>0.0072</v>
      </c>
      <c r="I232" s="20" t="n">
        <v>58</v>
      </c>
      <c r="J232" s="16" t="inlineStr">
        <is>
          <t>red</t>
        </is>
      </c>
      <c r="K232" s="20" t="n">
        <v>10</v>
      </c>
      <c r="L232" s="18" t="n">
        <v>29.32</v>
      </c>
      <c r="M232" s="18" t="n">
        <v>469</v>
      </c>
      <c r="N232" s="18" t="n">
        <v>473.09</v>
      </c>
      <c r="O232" s="18" t="n">
        <v>442.39</v>
      </c>
      <c r="P232" s="18" t="n">
        <v>542.5</v>
      </c>
      <c r="Q232" s="18" t="n">
        <v>368.4</v>
      </c>
      <c r="R232" s="21">
        <f>IF(OR(G232="",P232=""),"",G232/P232-1)</f>
        <v/>
      </c>
      <c r="S232" s="19" t="n">
        <v>0.6124000000000001</v>
      </c>
      <c r="T232" s="22" t="n">
        <v>0.0005999999999999999</v>
      </c>
      <c r="U232" s="16" t="inlineStr">
        <is>
          <t>Yes</t>
        </is>
      </c>
      <c r="V232" s="16" t="inlineStr">
        <is>
          <t>No</t>
        </is>
      </c>
      <c r="W232" s="16" t="inlineStr">
        <is>
          <t>No</t>
        </is>
      </c>
      <c r="X232" s="16" t="inlineStr">
        <is>
          <t>Yes</t>
        </is>
      </c>
      <c r="Y232" s="20" t="n">
        <v>21</v>
      </c>
      <c r="Z232" s="19" t="n">
        <v>0.0694</v>
      </c>
      <c r="AA232" s="18" t="n">
        <v>56.29</v>
      </c>
      <c r="AB232" s="16" t="inlineStr">
        <is>
          <t>Good</t>
        </is>
      </c>
      <c r="AC232" s="16" t="inlineStr">
        <is>
          <t>Yes</t>
        </is>
      </c>
      <c r="AD232" s="19" t="n">
        <v>0.08210000000000001</v>
      </c>
      <c r="AE232" s="19" t="n">
        <v>0.0338</v>
      </c>
      <c r="AF232" s="19" t="n">
        <v>2.2509</v>
      </c>
      <c r="AG232" s="19" t="n">
        <v>0.5182</v>
      </c>
      <c r="AH232" s="23" t="n">
        <v>4.68</v>
      </c>
      <c r="AI232" s="23" t="n">
        <v>18.34</v>
      </c>
      <c r="AJ232" s="19" t="n">
        <v>0.0703</v>
      </c>
    </row>
    <row r="233">
      <c r="A233" s="16" t="inlineStr">
        <is>
          <t>KPRMILL</t>
        </is>
      </c>
      <c r="B233" s="16" t="inlineStr">
        <is>
          <t>KPR Mill Ltd.</t>
        </is>
      </c>
      <c r="C233" s="16" t="inlineStr">
        <is>
          <t>Textiles</t>
        </is>
      </c>
      <c r="D233" s="16" t="inlineStr">
        <is>
          <t>Textiles Apparels &amp; Accessories</t>
        </is>
      </c>
      <c r="E233" s="16" t="inlineStr">
        <is>
          <t>INE930H01031</t>
        </is>
      </c>
      <c r="F233" s="17" t="n">
        <v>40549.39</v>
      </c>
      <c r="G233" s="18" t="n">
        <v>1186.3</v>
      </c>
      <c r="H233" s="19" t="n">
        <v>0.009300000000000001</v>
      </c>
      <c r="I233" s="20" t="n">
        <v>69</v>
      </c>
      <c r="J233" s="16" t="inlineStr">
        <is>
          <t>amber</t>
        </is>
      </c>
      <c r="K233" s="20" t="n">
        <v>20</v>
      </c>
      <c r="L233" s="18" t="n">
        <v>61.85</v>
      </c>
      <c r="M233" s="18" t="n">
        <v>1157.24</v>
      </c>
      <c r="N233" s="18" t="n">
        <v>1114.95</v>
      </c>
      <c r="O233" s="18" t="n">
        <v>983.25</v>
      </c>
      <c r="P233" s="18" t="n">
        <v>1215.78</v>
      </c>
      <c r="Q233" s="18" t="n">
        <v>808.8099999999999</v>
      </c>
      <c r="R233" s="21">
        <f>IF(OR(G233="",P233=""),"",G233/P233-1)</f>
        <v/>
      </c>
      <c r="S233" s="19" t="n">
        <v>0.7286</v>
      </c>
      <c r="T233" s="22" t="n">
        <v>0.0063</v>
      </c>
      <c r="U233" s="16" t="inlineStr">
        <is>
          <t>Yes</t>
        </is>
      </c>
      <c r="V233" s="16" t="inlineStr">
        <is>
          <t>Yes</t>
        </is>
      </c>
      <c r="W233" s="16" t="inlineStr">
        <is>
          <t>Yes</t>
        </is>
      </c>
      <c r="X233" s="16" t="inlineStr">
        <is>
          <t>Yes</t>
        </is>
      </c>
      <c r="Y233" s="20" t="n">
        <v>57</v>
      </c>
      <c r="Z233" s="19" t="n">
        <v>0.1339</v>
      </c>
      <c r="AA233" s="18" t="n">
        <v>53.31</v>
      </c>
      <c r="AB233" s="16" t="inlineStr">
        <is>
          <t>Good</t>
        </is>
      </c>
      <c r="AC233" s="16" t="inlineStr">
        <is>
          <t>No</t>
        </is>
      </c>
      <c r="AD233" s="19" t="n">
        <v>0.1666</v>
      </c>
      <c r="AE233" s="19" t="n">
        <v>0.1963</v>
      </c>
      <c r="AF233" s="19" t="n">
        <v>0.0216</v>
      </c>
      <c r="AG233" s="19" t="n">
        <v>0.0234</v>
      </c>
      <c r="AH233" s="23" t="n">
        <v>0.1</v>
      </c>
      <c r="AI233" s="23" t="n">
        <v>2.5</v>
      </c>
      <c r="AJ233" s="19" t="n">
        <v>0.0616</v>
      </c>
    </row>
    <row r="234">
      <c r="A234" s="16" t="inlineStr">
        <is>
          <t>PAGEIND</t>
        </is>
      </c>
      <c r="B234" s="16" t="inlineStr">
        <is>
          <t>Page Industries Ltd.</t>
        </is>
      </c>
      <c r="C234" s="16" t="inlineStr">
        <is>
          <t>Other Apparels &amp; Accessories</t>
        </is>
      </c>
      <c r="D234" s="16" t="inlineStr">
        <is>
          <t>Textiles Apparels &amp; Accessories</t>
        </is>
      </c>
      <c r="E234" s="16" t="inlineStr">
        <is>
          <t>INE761H01022</t>
        </is>
      </c>
      <c r="F234" s="17" t="n">
        <v>40488.66</v>
      </c>
      <c r="G234" s="18" t="n">
        <v>36300</v>
      </c>
      <c r="H234" s="19" t="n">
        <v>0.0121</v>
      </c>
      <c r="I234" s="20" t="n">
        <v>33</v>
      </c>
      <c r="J234" s="16" t="inlineStr">
        <is>
          <t>red</t>
        </is>
      </c>
      <c r="K234" s="20" t="n">
        <v>26</v>
      </c>
      <c r="L234" s="18" t="n">
        <v>41.66</v>
      </c>
      <c r="M234" s="18" t="n">
        <v>35847.5</v>
      </c>
      <c r="N234" s="18" t="n">
        <v>38790.08</v>
      </c>
      <c r="O234" s="18" t="n">
        <v>36261.88</v>
      </c>
      <c r="P234" s="18" t="n">
        <v>44624.46</v>
      </c>
      <c r="Q234" s="18" t="n">
        <v>29916.57</v>
      </c>
      <c r="R234" s="21">
        <f>IF(OR(G234="",P234=""),"",G234/P234-1)</f>
        <v/>
      </c>
      <c r="S234" s="19" t="n">
        <v>0.4901</v>
      </c>
      <c r="T234" s="22" t="n">
        <v>-0.0102</v>
      </c>
      <c r="U234" s="16" t="inlineStr">
        <is>
          <t>No</t>
        </is>
      </c>
      <c r="V234" s="16" t="inlineStr">
        <is>
          <t>No</t>
        </is>
      </c>
      <c r="W234" s="16" t="inlineStr">
        <is>
          <t>Yes</t>
        </is>
      </c>
      <c r="X234" s="16" t="inlineStr">
        <is>
          <t>Yes</t>
        </is>
      </c>
      <c r="Y234" s="20" t="n">
        <v>59</v>
      </c>
      <c r="Z234" s="19" t="n">
        <v>0.0697</v>
      </c>
      <c r="AA234" s="18" t="n">
        <v>64.29000000000001</v>
      </c>
      <c r="AB234" s="16" t="inlineStr">
        <is>
          <t>High</t>
        </is>
      </c>
      <c r="AC234" s="16" t="inlineStr">
        <is>
          <t>No</t>
        </is>
      </c>
      <c r="AD234" s="19" t="n">
        <v>0.461</v>
      </c>
      <c r="AE234" s="19" t="n">
        <v>0.556</v>
      </c>
      <c r="AF234" s="19" t="n">
        <v>0.1083</v>
      </c>
      <c r="AG234" s="19" t="n">
        <v>0.0388</v>
      </c>
      <c r="AH234" s="23" t="n">
        <v>0.18</v>
      </c>
      <c r="AI234" s="23" t="n">
        <v>5.94</v>
      </c>
      <c r="AJ234" s="19" t="n">
        <v>0.0143</v>
      </c>
    </row>
    <row r="235">
      <c r="A235" s="16" t="inlineStr">
        <is>
          <t>ASTRAL</t>
        </is>
      </c>
      <c r="B235" s="16" t="inlineStr">
        <is>
          <t>Astral Ltd.</t>
        </is>
      </c>
      <c r="C235" s="16" t="inlineStr">
        <is>
          <t>Plastic Products</t>
        </is>
      </c>
      <c r="D235" s="16" t="inlineStr">
        <is>
          <t>General Industrials</t>
        </is>
      </c>
      <c r="E235" s="16" t="inlineStr">
        <is>
          <t>INE006I01046</t>
        </is>
      </c>
      <c r="F235" s="17" t="n">
        <v>40106.79</v>
      </c>
      <c r="G235" s="18" t="n">
        <v>1492.9</v>
      </c>
      <c r="H235" s="19" t="n">
        <v>-0.0015</v>
      </c>
      <c r="I235" s="20" t="n">
        <v>36</v>
      </c>
      <c r="J235" s="16" t="inlineStr">
        <is>
          <t>red</t>
        </is>
      </c>
      <c r="K235" s="20" t="n">
        <v>71</v>
      </c>
      <c r="L235" s="18" t="n">
        <v>34.56</v>
      </c>
      <c r="M235" s="18" t="n">
        <v>1511.49</v>
      </c>
      <c r="N235" s="18" t="n">
        <v>1444.85</v>
      </c>
      <c r="O235" s="18" t="n">
        <v>1505.06</v>
      </c>
      <c r="P235" s="18" t="n">
        <v>1743.56</v>
      </c>
      <c r="Q235" s="18" t="n">
        <v>1315.03</v>
      </c>
      <c r="R235" s="21">
        <f>IF(OR(G235="",P235=""),"",G235/P235-1)</f>
        <v/>
      </c>
      <c r="S235" s="19" t="n">
        <v>0.5458</v>
      </c>
      <c r="T235" s="22" t="n">
        <v>0.0018</v>
      </c>
      <c r="U235" s="16" t="inlineStr">
        <is>
          <t>Yes</t>
        </is>
      </c>
      <c r="V235" s="16" t="inlineStr">
        <is>
          <t>Yes</t>
        </is>
      </c>
      <c r="W235" s="16" t="inlineStr">
        <is>
          <t>No</t>
        </is>
      </c>
      <c r="X235" s="16" t="inlineStr">
        <is>
          <t>No</t>
        </is>
      </c>
      <c r="Y235" s="20" t="n">
        <v>41</v>
      </c>
      <c r="Z235" s="19" t="n">
        <v>-0.04</v>
      </c>
      <c r="AA235" s="18" t="n">
        <v>40</v>
      </c>
      <c r="AB235" s="16" t="inlineStr">
        <is>
          <t>Average</t>
        </is>
      </c>
      <c r="AC235" s="16" t="inlineStr">
        <is>
          <t>No</t>
        </is>
      </c>
      <c r="AD235" s="19" t="n">
        <v>0.1494</v>
      </c>
      <c r="AE235" s="19" t="n">
        <v>0.198</v>
      </c>
      <c r="AF235" s="19" t="n">
        <v>-0.2816</v>
      </c>
      <c r="AG235" s="19" t="n">
        <v>0.08470000000000001</v>
      </c>
      <c r="AH235" s="23" t="n">
        <v>0.06</v>
      </c>
      <c r="AI235" s="23" t="n">
        <v>2.43</v>
      </c>
      <c r="AJ235" s="19" t="n">
        <v>0.05889999999999999</v>
      </c>
    </row>
    <row r="236">
      <c r="A236" s="16" t="inlineStr">
        <is>
          <t>MEDANTA</t>
        </is>
      </c>
      <c r="B236" s="16" t="inlineStr">
        <is>
          <t>Global Health Ltd.</t>
        </is>
      </c>
      <c r="C236" s="16" t="inlineStr">
        <is>
          <t>Healthcare Facilities</t>
        </is>
      </c>
      <c r="D236" s="16" t="inlineStr">
        <is>
          <t>Healthcare</t>
        </is>
      </c>
      <c r="E236" s="16" t="inlineStr">
        <is>
          <t>INE474Q01031</t>
        </is>
      </c>
      <c r="F236" s="17" t="n">
        <v>39518.78</v>
      </c>
      <c r="G236" s="18" t="n">
        <v>1469.8</v>
      </c>
      <c r="H236" s="19" t="n">
        <v>0.03700000000000001</v>
      </c>
      <c r="I236" s="20" t="n">
        <v>66</v>
      </c>
      <c r="J236" s="16" t="inlineStr">
        <is>
          <t>amber</t>
        </is>
      </c>
      <c r="K236" s="20" t="n">
        <v>54</v>
      </c>
      <c r="L236" s="18" t="n">
        <v>58.23</v>
      </c>
      <c r="M236" s="18" t="n">
        <v>1463.73</v>
      </c>
      <c r="N236" s="18" t="n">
        <v>1394.28</v>
      </c>
      <c r="O236" s="18" t="n">
        <v>1214.47</v>
      </c>
      <c r="P236" s="18" t="n">
        <v>1508.9</v>
      </c>
      <c r="Q236" s="18" t="n">
        <v>960.76</v>
      </c>
      <c r="R236" s="21">
        <f>IF(OR(G236="",P236=""),"",G236/P236-1)</f>
        <v/>
      </c>
      <c r="S236" s="19" t="n">
        <v>1.5786</v>
      </c>
      <c r="T236" s="22" t="n">
        <v>0.0132</v>
      </c>
      <c r="U236" s="16" t="inlineStr">
        <is>
          <t>Yes</t>
        </is>
      </c>
      <c r="V236" s="16" t="inlineStr">
        <is>
          <t>Yes</t>
        </is>
      </c>
      <c r="W236" s="16" t="inlineStr">
        <is>
          <t>Yes</t>
        </is>
      </c>
      <c r="X236" s="16" t="inlineStr">
        <is>
          <t>Yes</t>
        </is>
      </c>
      <c r="Y236" s="20" t="n">
        <v>53</v>
      </c>
      <c r="Z236" s="19" t="n">
        <v>0.1481</v>
      </c>
      <c r="AA236" s="18" t="n">
        <v>55.73</v>
      </c>
      <c r="AB236" s="16" t="inlineStr">
        <is>
          <t>Good</t>
        </is>
      </c>
      <c r="AC236" s="16" t="inlineStr">
        <is>
          <t>No</t>
        </is>
      </c>
      <c r="AD236" s="19" t="n">
        <v>0.1491</v>
      </c>
      <c r="AE236" s="19" t="n">
        <v>0.1722</v>
      </c>
      <c r="AF236" s="19" t="n">
        <v>0.1919</v>
      </c>
      <c r="AG236" s="19" t="n">
        <v>0.1806</v>
      </c>
      <c r="AH236" s="23" t="n">
        <v>0.3</v>
      </c>
      <c r="AI236" s="23" t="n">
        <v>1.13</v>
      </c>
      <c r="AJ236" s="19" t="n">
        <v>0.2087</v>
      </c>
    </row>
    <row r="237">
      <c r="A237" s="16" t="inlineStr">
        <is>
          <t>AIAENG</t>
        </is>
      </c>
      <c r="B237" s="16" t="inlineStr">
        <is>
          <t>AIA Engineering Ltd.</t>
        </is>
      </c>
      <c r="C237" s="16" t="inlineStr">
        <is>
          <t>Castings &amp; Forgings</t>
        </is>
      </c>
      <c r="D237" s="16" t="inlineStr">
        <is>
          <t>General Industrials</t>
        </is>
      </c>
      <c r="E237" s="16" t="inlineStr">
        <is>
          <t>INE212H01026</t>
        </is>
      </c>
      <c r="F237" s="17" t="n">
        <v>39485.73</v>
      </c>
      <c r="G237" s="18" t="n">
        <v>4231.2</v>
      </c>
      <c r="H237" s="19" t="n">
        <v>-0.0059</v>
      </c>
      <c r="I237" s="20" t="n">
        <v>56</v>
      </c>
      <c r="J237" s="16" t="inlineStr">
        <is>
          <t>red</t>
        </is>
      </c>
      <c r="K237" s="20" t="n">
        <v>10</v>
      </c>
      <c r="L237" s="18" t="n">
        <v>37.37</v>
      </c>
      <c r="M237" s="18" t="n">
        <v>4219.38</v>
      </c>
      <c r="N237" s="18" t="n">
        <v>4562.75</v>
      </c>
      <c r="O237" s="18" t="n">
        <v>4100.35</v>
      </c>
      <c r="P237" s="18" t="n">
        <v>5062.37</v>
      </c>
      <c r="Q237" s="18" t="n">
        <v>3010.98</v>
      </c>
      <c r="R237" s="21">
        <f>IF(OR(G237="",P237=""),"",G237/P237-1)</f>
        <v/>
      </c>
      <c r="S237" s="19" t="n">
        <v>2.0316</v>
      </c>
      <c r="T237" s="22" t="n">
        <v>0.0238</v>
      </c>
      <c r="U237" s="16" t="inlineStr">
        <is>
          <t>Yes</t>
        </is>
      </c>
      <c r="V237" s="16" t="inlineStr">
        <is>
          <t>No</t>
        </is>
      </c>
      <c r="W237" s="16" t="inlineStr">
        <is>
          <t>Yes</t>
        </is>
      </c>
      <c r="X237" s="16" t="inlineStr">
        <is>
          <t>Yes</t>
        </is>
      </c>
      <c r="Y237" s="20" t="n">
        <v>198</v>
      </c>
      <c r="Z237" s="19" t="n">
        <v>0.1128</v>
      </c>
      <c r="AA237" s="18" t="n">
        <v>58.25</v>
      </c>
      <c r="AB237" s="16" t="inlineStr">
        <is>
          <t>Good</t>
        </is>
      </c>
      <c r="AC237" s="16" t="inlineStr">
        <is>
          <t>No</t>
        </is>
      </c>
      <c r="AD237" s="19" t="n">
        <v>0.1607</v>
      </c>
      <c r="AE237" s="19" t="n">
        <v>0.201</v>
      </c>
      <c r="AF237" s="19" t="n">
        <v>0.0727</v>
      </c>
      <c r="AG237" s="19" t="n">
        <v>-0.0333</v>
      </c>
      <c r="AH237" s="23" t="n">
        <v>0</v>
      </c>
      <c r="AI237" s="23" t="n">
        <v>3.56</v>
      </c>
      <c r="AJ237" s="19" t="n">
        <v>0.013</v>
      </c>
    </row>
    <row r="238">
      <c r="A238" s="16" t="inlineStr">
        <is>
          <t>COCHINSHIP</t>
        </is>
      </c>
      <c r="B238" s="16" t="inlineStr">
        <is>
          <t>Cochin Shipyard Ltd.</t>
        </is>
      </c>
      <c r="C238" s="16" t="inlineStr">
        <is>
          <t>Marine Port &amp; Services</t>
        </is>
      </c>
      <c r="D238" s="16" t="inlineStr">
        <is>
          <t>Transportation</t>
        </is>
      </c>
      <c r="E238" s="16" t="inlineStr">
        <is>
          <t>INE704P01025</t>
        </is>
      </c>
      <c r="F238" s="17" t="n">
        <v>39438.44</v>
      </c>
      <c r="G238" s="18" t="n">
        <v>1499.1</v>
      </c>
      <c r="H238" s="19" t="n">
        <v>0.0083</v>
      </c>
      <c r="I238" s="20" t="n">
        <v>34</v>
      </c>
      <c r="J238" s="16" t="inlineStr">
        <is>
          <t>red</t>
        </is>
      </c>
      <c r="K238" s="20" t="n">
        <v>82</v>
      </c>
      <c r="L238" s="18" t="n">
        <v>59.12</v>
      </c>
      <c r="M238" s="18" t="n">
        <v>1507.46</v>
      </c>
      <c r="N238" s="18" t="n">
        <v>1459.46</v>
      </c>
      <c r="O238" s="18" t="n">
        <v>1511.31</v>
      </c>
      <c r="P238" s="18" t="n">
        <v>1917.97</v>
      </c>
      <c r="Q238" s="18" t="n">
        <v>1193.1</v>
      </c>
      <c r="R238" s="21">
        <f>IF(OR(G238="",P238=""),"",G238/P238-1)</f>
        <v/>
      </c>
      <c r="S238" s="19" t="n">
        <v>0.6531</v>
      </c>
      <c r="T238" s="22" t="n">
        <v>-0.0167</v>
      </c>
      <c r="U238" s="16" t="inlineStr">
        <is>
          <t>No</t>
        </is>
      </c>
      <c r="V238" s="16" t="inlineStr">
        <is>
          <t>Yes</t>
        </is>
      </c>
      <c r="W238" s="16" t="inlineStr">
        <is>
          <t>No</t>
        </is>
      </c>
      <c r="X238" s="16" t="inlineStr">
        <is>
          <t>No</t>
        </is>
      </c>
      <c r="Y238" s="20" t="n">
        <v>182</v>
      </c>
      <c r="Z238" s="19" t="n">
        <v>-0.0343</v>
      </c>
      <c r="AA238" s="18" t="n">
        <v>59.25</v>
      </c>
      <c r="AB238" s="16" t="inlineStr">
        <is>
          <t>Good</t>
        </is>
      </c>
      <c r="AC238" s="16" t="inlineStr">
        <is>
          <t>No</t>
        </is>
      </c>
      <c r="AD238" s="19" t="n">
        <v>0.1423</v>
      </c>
      <c r="AE238" s="19" t="n">
        <v>0.1793</v>
      </c>
      <c r="AF238" s="19" t="n">
        <v>0.2091</v>
      </c>
      <c r="AG238" s="19" t="n">
        <v>0.3148</v>
      </c>
      <c r="AH238" s="23" t="n">
        <v>0.28</v>
      </c>
      <c r="AI238" s="23" t="n">
        <v>1.34</v>
      </c>
      <c r="AJ238" s="19" t="n">
        <v>0.1566</v>
      </c>
    </row>
    <row r="239">
      <c r="A239" s="16" t="inlineStr">
        <is>
          <t>JKCEMENT</t>
        </is>
      </c>
      <c r="B239" s="16" t="inlineStr">
        <is>
          <t>JK Cement Ltd.</t>
        </is>
      </c>
      <c r="C239" s="16" t="inlineStr">
        <is>
          <t>Cement &amp; Cement Products</t>
        </is>
      </c>
      <c r="D239" s="16" t="inlineStr">
        <is>
          <t>Cement and Construction</t>
        </is>
      </c>
      <c r="E239" s="16" t="inlineStr">
        <is>
          <t>INE823G01014</t>
        </is>
      </c>
      <c r="F239" s="17" t="n">
        <v>39279.34</v>
      </c>
      <c r="G239" s="18" t="n">
        <v>5083.5</v>
      </c>
      <c r="H239" s="19" t="n">
        <v>0.008699999999999999</v>
      </c>
      <c r="I239" s="20" t="n">
        <v>29</v>
      </c>
      <c r="J239" s="16" t="inlineStr">
        <is>
          <t>red</t>
        </is>
      </c>
      <c r="K239" s="20" t="n">
        <v>104</v>
      </c>
      <c r="L239" s="18" t="n">
        <v>31.53</v>
      </c>
      <c r="M239" s="18" t="n">
        <v>5124.12</v>
      </c>
      <c r="N239" s="18" t="n">
        <v>5384.76</v>
      </c>
      <c r="O239" s="18" t="n">
        <v>5449.13</v>
      </c>
      <c r="P239" s="18" t="n">
        <v>6836.55</v>
      </c>
      <c r="Q239" s="18" t="n">
        <v>4683.57</v>
      </c>
      <c r="R239" s="21">
        <f>IF(OR(G239="",P239=""),"",G239/P239-1)</f>
        <v/>
      </c>
      <c r="S239" s="19" t="n">
        <v>0.4577000000000001</v>
      </c>
      <c r="T239" s="22" t="n">
        <v>-0.0119</v>
      </c>
      <c r="U239" s="16" t="inlineStr">
        <is>
          <t>No</t>
        </is>
      </c>
      <c r="V239" s="16" t="inlineStr">
        <is>
          <t>No</t>
        </is>
      </c>
      <c r="W239" s="16" t="inlineStr">
        <is>
          <t>No</t>
        </is>
      </c>
      <c r="X239" s="16" t="inlineStr">
        <is>
          <t>No</t>
        </is>
      </c>
      <c r="Y239" s="20" t="n">
        <v>177</v>
      </c>
      <c r="Z239" s="19" t="n">
        <v>-0.0118</v>
      </c>
      <c r="AA239" s="18" t="n">
        <v>46.03</v>
      </c>
      <c r="AB239" s="16" t="inlineStr">
        <is>
          <t>Average</t>
        </is>
      </c>
      <c r="AC239" s="16" t="inlineStr">
        <is>
          <t>No</t>
        </is>
      </c>
      <c r="AD239" s="19" t="n">
        <v>0.1432</v>
      </c>
      <c r="AE239" s="19" t="n">
        <v>0.1429</v>
      </c>
      <c r="AF239" s="19" t="n">
        <v>0.3695000000000001</v>
      </c>
      <c r="AG239" s="19" t="n">
        <v>0.1233</v>
      </c>
      <c r="AH239" s="23" t="n">
        <v>0.88</v>
      </c>
      <c r="AI239" s="23" t="n">
        <v>1.08</v>
      </c>
      <c r="AJ239" s="19" t="n">
        <v>0.0849</v>
      </c>
    </row>
    <row r="240">
      <c r="A240" s="16" t="inlineStr">
        <is>
          <t>GODREJIND</t>
        </is>
      </c>
      <c r="B240" s="16" t="inlineStr">
        <is>
          <t>Godrej Industries Ltd.</t>
        </is>
      </c>
      <c r="C240" s="16" t="inlineStr">
        <is>
          <t>Diversified</t>
        </is>
      </c>
      <c r="D240" s="16" t="inlineStr">
        <is>
          <t>Diversified</t>
        </is>
      </c>
      <c r="E240" s="16" t="inlineStr">
        <is>
          <t>INE233A01035</t>
        </is>
      </c>
      <c r="F240" s="17" t="n">
        <v>39192.63</v>
      </c>
      <c r="G240" s="18" t="n">
        <v>1163.5</v>
      </c>
      <c r="H240" s="19" t="n">
        <v>0.008</v>
      </c>
      <c r="I240" s="20" t="n">
        <v>57</v>
      </c>
      <c r="J240" s="16" t="inlineStr">
        <is>
          <t>red</t>
        </is>
      </c>
      <c r="K240" s="20" t="n">
        <v>12</v>
      </c>
      <c r="L240" s="18" t="n">
        <v>37.73</v>
      </c>
      <c r="M240" s="18" t="n">
        <v>1150</v>
      </c>
      <c r="N240" s="18" t="n">
        <v>1258.36</v>
      </c>
      <c r="O240" s="18" t="n">
        <v>1066.86</v>
      </c>
      <c r="P240" s="18" t="n">
        <v>1417.7</v>
      </c>
      <c r="Q240" s="18" t="n">
        <v>749</v>
      </c>
      <c r="R240" s="21">
        <f>IF(OR(G240="",P240=""),"",G240/P240-1)</f>
        <v/>
      </c>
      <c r="S240" s="19" t="n">
        <v>0.4953</v>
      </c>
      <c r="T240" s="22" t="n">
        <v>0.011</v>
      </c>
      <c r="U240" s="16" t="inlineStr">
        <is>
          <t>Yes</t>
        </is>
      </c>
      <c r="V240" s="16" t="inlineStr">
        <is>
          <t>No</t>
        </is>
      </c>
      <c r="W240" s="16" t="inlineStr">
        <is>
          <t>Yes</t>
        </is>
      </c>
      <c r="X240" s="16" t="inlineStr">
        <is>
          <t>Yes</t>
        </is>
      </c>
      <c r="Y240" s="20" t="n">
        <v>58</v>
      </c>
      <c r="Z240" s="19" t="n">
        <v>0.1795</v>
      </c>
      <c r="AA240" s="18" t="n">
        <v>17.82</v>
      </c>
      <c r="AB240" s="16" t="inlineStr">
        <is>
          <t>Poor</t>
        </is>
      </c>
      <c r="AC240" s="16" t="inlineStr">
        <is>
          <t>No</t>
        </is>
      </c>
      <c r="AD240" s="19" t="n">
        <v>0.0717</v>
      </c>
      <c r="AE240" s="19" t="n">
        <v>0.0764</v>
      </c>
      <c r="AF240" s="19" t="n">
        <v>4.897</v>
      </c>
      <c r="AG240" s="19" t="n">
        <v>0.1008</v>
      </c>
      <c r="AH240" s="23" t="n">
        <v>4.61</v>
      </c>
      <c r="AI240" s="23" t="n">
        <v>3.59</v>
      </c>
      <c r="AJ240" s="19" t="n">
        <v>0.0873</v>
      </c>
    </row>
    <row r="241">
      <c r="A241" s="16" t="inlineStr">
        <is>
          <t>ENDURANCE</t>
        </is>
      </c>
      <c r="B241" s="16" t="inlineStr">
        <is>
          <t>Endurance Technologies Ltd.</t>
        </is>
      </c>
      <c r="C241" s="16" t="inlineStr">
        <is>
          <t>Auto Parts &amp; Equipment</t>
        </is>
      </c>
      <c r="D241" s="16" t="inlineStr">
        <is>
          <t>Automobiles &amp; Auto Components</t>
        </is>
      </c>
      <c r="E241" s="16" t="inlineStr">
        <is>
          <t>INE913H01037</t>
        </is>
      </c>
      <c r="F241" s="17" t="n">
        <v>39143.64</v>
      </c>
      <c r="G241" s="18" t="n">
        <v>2782.8</v>
      </c>
      <c r="H241" s="19" t="n">
        <v>0.0102</v>
      </c>
      <c r="I241" s="20" t="n">
        <v>52</v>
      </c>
      <c r="J241" s="16" t="inlineStr">
        <is>
          <t>red</t>
        </is>
      </c>
      <c r="K241" s="20" t="n">
        <v>10</v>
      </c>
      <c r="L241" s="18" t="n">
        <v>26.38</v>
      </c>
      <c r="M241" s="18" t="n">
        <v>2858.29</v>
      </c>
      <c r="N241" s="18" t="n">
        <v>2807.04</v>
      </c>
      <c r="O241" s="18" t="n">
        <v>2584.35</v>
      </c>
      <c r="P241" s="18" t="n">
        <v>3029.5</v>
      </c>
      <c r="Q241" s="18" t="n">
        <v>2192.17</v>
      </c>
      <c r="R241" s="21">
        <f>IF(OR(G241="",P241=""),"",G241/P241-1)</f>
        <v/>
      </c>
      <c r="S241" s="19" t="n">
        <v>0.3597</v>
      </c>
      <c r="T241" s="22" t="n">
        <v>0.004500000000000001</v>
      </c>
      <c r="U241" s="16" t="inlineStr">
        <is>
          <t>Yes</t>
        </is>
      </c>
      <c r="V241" s="16" t="inlineStr">
        <is>
          <t>No</t>
        </is>
      </c>
      <c r="W241" s="16" t="inlineStr">
        <is>
          <t>No</t>
        </is>
      </c>
      <c r="X241" s="16" t="inlineStr">
        <is>
          <t>Yes</t>
        </is>
      </c>
      <c r="Y241" s="20" t="n">
        <v>43</v>
      </c>
      <c r="Z241" s="19" t="n">
        <v>0.0862</v>
      </c>
      <c r="AA241" s="18" t="n">
        <v>40</v>
      </c>
      <c r="AB241" s="16" t="inlineStr">
        <is>
          <t>Average</t>
        </is>
      </c>
      <c r="AC241" s="16" t="inlineStr">
        <is>
          <t>No</t>
        </is>
      </c>
      <c r="AD241" s="19" t="n">
        <v>0.1407</v>
      </c>
      <c r="AE241" s="19" t="n">
        <v>0.166</v>
      </c>
      <c r="AF241" s="19" t="n">
        <v>-0.1173</v>
      </c>
      <c r="AG241" s="19" t="n">
        <v>0.1837</v>
      </c>
      <c r="AH241" s="23" t="n">
        <v>0.19</v>
      </c>
      <c r="AI241" s="23" t="n">
        <v>2.81</v>
      </c>
      <c r="AJ241" s="19" t="n">
        <v>0.1013</v>
      </c>
    </row>
    <row r="242">
      <c r="A242" s="16" t="inlineStr">
        <is>
          <t>VOLTAS</t>
        </is>
      </c>
      <c r="B242" s="16" t="inlineStr">
        <is>
          <t>Voltas Ltd.</t>
        </is>
      </c>
      <c r="C242" s="16" t="inlineStr">
        <is>
          <t>Consumer Electronics</t>
        </is>
      </c>
      <c r="D242" s="16" t="inlineStr">
        <is>
          <t>Consumer Durables</t>
        </is>
      </c>
      <c r="E242" s="16" t="inlineStr">
        <is>
          <t>INE226A01021</t>
        </is>
      </c>
      <c r="F242" s="17" t="n">
        <v>38713.51</v>
      </c>
      <c r="G242" s="18" t="n">
        <v>1170</v>
      </c>
      <c r="H242" s="19" t="n">
        <v>-0.0068</v>
      </c>
      <c r="I242" s="20" t="n">
        <v>14</v>
      </c>
      <c r="J242" s="16" t="inlineStr">
        <is>
          <t>red</t>
        </is>
      </c>
      <c r="K242" s="20" t="n">
        <v>89</v>
      </c>
      <c r="L242" s="18" t="n">
        <v>27.75</v>
      </c>
      <c r="M242" s="18" t="n">
        <v>1191.75</v>
      </c>
      <c r="N242" s="18" t="n">
        <v>1281.1</v>
      </c>
      <c r="O242" s="18" t="n">
        <v>1350.64</v>
      </c>
      <c r="P242" s="18" t="n">
        <v>1556.41</v>
      </c>
      <c r="Q242" s="18" t="n">
        <v>1152.1</v>
      </c>
      <c r="R242" s="21">
        <f>IF(OR(G242="",P242=""),"",G242/P242-1)</f>
        <v/>
      </c>
      <c r="S242" s="19" t="n">
        <v>0.5215</v>
      </c>
      <c r="T242" s="22" t="n">
        <v>-0.0104</v>
      </c>
      <c r="U242" s="16" t="inlineStr">
        <is>
          <t>No</t>
        </is>
      </c>
      <c r="V242" s="16" t="inlineStr">
        <is>
          <t>No</t>
        </is>
      </c>
      <c r="W242" s="16" t="inlineStr">
        <is>
          <t>No</t>
        </is>
      </c>
      <c r="X242" s="16" t="inlineStr">
        <is>
          <t>No</t>
        </is>
      </c>
      <c r="Y242" s="20" t="n">
        <v>82</v>
      </c>
      <c r="Z242" s="19" t="n">
        <v>-0.0515</v>
      </c>
      <c r="AA242" s="18" t="n">
        <v>56.21</v>
      </c>
      <c r="AB242" s="16" t="inlineStr">
        <is>
          <t>Good</t>
        </is>
      </c>
      <c r="AC242" s="16" t="inlineStr">
        <is>
          <t>No</t>
        </is>
      </c>
      <c r="AD242" s="19" t="n">
        <v>0.07719999999999999</v>
      </c>
      <c r="AE242" s="19" t="n">
        <v>0.113</v>
      </c>
      <c r="AF242" s="19" t="n">
        <v>0.8839</v>
      </c>
      <c r="AG242" s="19" t="n">
        <v>0.1589</v>
      </c>
      <c r="AH242" s="23" t="n">
        <v>0.16</v>
      </c>
      <c r="AI242" s="23" t="n">
        <v>14.28</v>
      </c>
      <c r="AJ242" s="19" t="n">
        <v>0.0223</v>
      </c>
    </row>
    <row r="243">
      <c r="A243" s="16" t="inlineStr">
        <is>
          <t>CONCOR</t>
        </is>
      </c>
      <c r="B243" s="16" t="inlineStr">
        <is>
          <t>Container Corporation of India Ltd.</t>
        </is>
      </c>
      <c r="C243" s="16" t="inlineStr">
        <is>
          <t>Warehousing &amp; Logistics</t>
        </is>
      </c>
      <c r="D243" s="16" t="inlineStr">
        <is>
          <t>Transportation</t>
        </is>
      </c>
      <c r="E243" s="16" t="inlineStr">
        <is>
          <t>INE111A01025</t>
        </is>
      </c>
      <c r="F243" s="17" t="n">
        <v>38690.19</v>
      </c>
      <c r="G243" s="18" t="n">
        <v>508</v>
      </c>
      <c r="H243" s="19" t="n">
        <v>-0.0017</v>
      </c>
      <c r="I243" s="20" t="n">
        <v>47</v>
      </c>
      <c r="J243" s="16" t="inlineStr">
        <is>
          <t>red</t>
        </is>
      </c>
      <c r="K243" s="20" t="n">
        <v>501</v>
      </c>
      <c r="L243" s="18" t="n">
        <v>39.76</v>
      </c>
      <c r="M243" s="18" t="n">
        <v>509.85</v>
      </c>
      <c r="N243" s="18" t="n">
        <v>500.18</v>
      </c>
      <c r="O243" s="18" t="n">
        <v>492.91</v>
      </c>
      <c r="P243" s="18" t="n">
        <v>555.87</v>
      </c>
      <c r="Q243" s="18" t="n">
        <v>422.46</v>
      </c>
      <c r="R243" s="21">
        <f>IF(OR(G243="",P243=""),"",G243/P243-1)</f>
        <v/>
      </c>
      <c r="S243" s="19" t="n">
        <v>0.5203</v>
      </c>
      <c r="T243" s="22" t="n">
        <v>-0.002</v>
      </c>
      <c r="U243" s="16" t="inlineStr">
        <is>
          <t>No</t>
        </is>
      </c>
      <c r="V243" s="16" t="inlineStr">
        <is>
          <t>Yes</t>
        </is>
      </c>
      <c r="W243" s="16" t="inlineStr">
        <is>
          <t>No</t>
        </is>
      </c>
      <c r="X243" s="16" t="inlineStr">
        <is>
          <t>Yes</t>
        </is>
      </c>
      <c r="Y243" s="20" t="n">
        <v>9</v>
      </c>
      <c r="Z243" s="19" t="n">
        <v>0.0148</v>
      </c>
      <c r="AA243" s="18" t="n">
        <v>44.95</v>
      </c>
      <c r="AB243" s="16" t="inlineStr">
        <is>
          <t>Average</t>
        </is>
      </c>
      <c r="AC243" s="16" t="inlineStr">
        <is>
          <t>No</t>
        </is>
      </c>
      <c r="AD243" s="19" t="n">
        <v>0.1018</v>
      </c>
      <c r="AE243" s="19" t="n">
        <v>0.1306</v>
      </c>
      <c r="AF243" s="19" t="n">
        <v>0.021</v>
      </c>
      <c r="AG243" s="19" t="n">
        <v>0.0689</v>
      </c>
      <c r="AH243" s="23" t="n">
        <v>0.07000000000000001</v>
      </c>
      <c r="AI243" s="23" t="n">
        <v>1.13</v>
      </c>
      <c r="AJ243" s="19" t="n">
        <v>0.1118</v>
      </c>
    </row>
    <row r="244">
      <c r="A244" s="16" t="inlineStr">
        <is>
          <t>STLTECH</t>
        </is>
      </c>
      <c r="B244" s="16" t="inlineStr">
        <is>
          <t>Sterlite Technologies Ltd.</t>
        </is>
      </c>
      <c r="C244" s="16" t="inlineStr">
        <is>
          <t>Telecom Cables</t>
        </is>
      </c>
      <c r="D244" s="16" t="inlineStr">
        <is>
          <t>Telecommunications Equipment</t>
        </is>
      </c>
      <c r="E244" s="16" t="inlineStr">
        <is>
          <t>INE089C01029</t>
        </is>
      </c>
      <c r="F244" s="17" t="n">
        <v>38486.81</v>
      </c>
      <c r="G244" s="18" t="n">
        <v>748.9</v>
      </c>
      <c r="H244" s="19" t="n">
        <v>0.05</v>
      </c>
      <c r="I244" s="20" t="n">
        <v>99</v>
      </c>
      <c r="J244" s="16" t="inlineStr">
        <is>
          <t>green</t>
        </is>
      </c>
      <c r="K244" s="20" t="n">
        <v>150</v>
      </c>
      <c r="L244" s="18" t="n">
        <v>71.98999999999999</v>
      </c>
      <c r="M244" s="18" t="n">
        <v>710.12</v>
      </c>
      <c r="N244" s="18" t="n">
        <v>604.86</v>
      </c>
      <c r="O244" s="18" t="n">
        <v>337.25</v>
      </c>
      <c r="P244" s="18" t="n">
        <v>748.9</v>
      </c>
      <c r="Q244" s="18" t="n">
        <v>86.23999999999999</v>
      </c>
      <c r="R244" s="21">
        <f>IF(OR(G244="",P244=""),"",G244/P244-1)</f>
        <v/>
      </c>
      <c r="S244" s="19" t="n">
        <v>0.1539</v>
      </c>
      <c r="T244" s="22" t="n">
        <v>0.1954</v>
      </c>
      <c r="U244" s="16" t="inlineStr">
        <is>
          <t>Yes</t>
        </is>
      </c>
      <c r="V244" s="16" t="inlineStr">
        <is>
          <t>Yes</t>
        </is>
      </c>
      <c r="W244" s="16" t="inlineStr">
        <is>
          <t>Yes</t>
        </is>
      </c>
      <c r="X244" s="16" t="inlineStr">
        <is>
          <t>Yes</t>
        </is>
      </c>
      <c r="Y244" s="20" t="n">
        <v>140</v>
      </c>
      <c r="Z244" s="19" t="n">
        <v>0.7935</v>
      </c>
      <c r="AA244" s="18" t="n">
        <v>13.86</v>
      </c>
      <c r="AB244" s="16" t="inlineStr">
        <is>
          <t>Poor</t>
        </is>
      </c>
      <c r="AC244" s="16" t="inlineStr">
        <is>
          <t>No</t>
        </is>
      </c>
      <c r="AD244" s="19" t="n">
        <v>-0.0208</v>
      </c>
      <c r="AE244" s="19" t="n">
        <v>0.0416</v>
      </c>
      <c r="AF244" s="19" t="n">
        <v>-0.3044</v>
      </c>
      <c r="AG244" s="19" t="n">
        <v>-0.0803</v>
      </c>
      <c r="AH244" s="23" t="n">
        <v>0.86</v>
      </c>
      <c r="AI244" s="23" t="n">
        <v>1.7</v>
      </c>
      <c r="AJ244" s="19" t="n">
        <v>0.0197</v>
      </c>
    </row>
    <row r="245">
      <c r="A245" s="16" t="inlineStr">
        <is>
          <t>IRCTC</t>
        </is>
      </c>
      <c r="B245" s="16" t="inlineStr">
        <is>
          <t>Indian Railway Catering &amp; Tourism Corporation Ltd.</t>
        </is>
      </c>
      <c r="C245" s="16" t="inlineStr">
        <is>
          <t>Travel Support Services</t>
        </is>
      </c>
      <c r="D245" s="16" t="inlineStr">
        <is>
          <t>Diversified Consumer Services</t>
        </is>
      </c>
      <c r="E245" s="16" t="inlineStr">
        <is>
          <t>INE335Y01020</t>
        </is>
      </c>
      <c r="F245" s="17" t="n">
        <v>38084</v>
      </c>
      <c r="G245" s="18" t="n">
        <v>476.05</v>
      </c>
      <c r="H245" s="19" t="n">
        <v>0.0031</v>
      </c>
      <c r="I245" s="20" t="n">
        <v>9</v>
      </c>
      <c r="J245" s="16" t="inlineStr">
        <is>
          <t>red</t>
        </is>
      </c>
      <c r="K245" s="20" t="n">
        <v>501</v>
      </c>
      <c r="L245" s="18" t="n">
        <v>25.81</v>
      </c>
      <c r="M245" s="18" t="n">
        <v>481.35</v>
      </c>
      <c r="N245" s="18" t="n">
        <v>497.69</v>
      </c>
      <c r="O245" s="18" t="n">
        <v>564.1</v>
      </c>
      <c r="P245" s="18" t="n">
        <v>727.29</v>
      </c>
      <c r="Q245" s="18" t="n">
        <v>472.6</v>
      </c>
      <c r="R245" s="21">
        <f>IF(OR(G245="",P245=""),"",G245/P245-1)</f>
        <v/>
      </c>
      <c r="S245" s="19" t="n">
        <v>0.6849</v>
      </c>
      <c r="T245" s="22" t="n">
        <v>-0.0366</v>
      </c>
      <c r="U245" s="16" t="inlineStr">
        <is>
          <t>No</t>
        </is>
      </c>
      <c r="V245" s="16" t="inlineStr">
        <is>
          <t>No</t>
        </is>
      </c>
      <c r="W245" s="16" t="inlineStr">
        <is>
          <t>No</t>
        </is>
      </c>
      <c r="X245" s="16" t="inlineStr">
        <is>
          <t>No</t>
        </is>
      </c>
      <c r="Y245" s="20" t="n">
        <v>279</v>
      </c>
      <c r="Z245" s="19" t="n">
        <v>-0.1177</v>
      </c>
      <c r="AA245" s="18" t="n">
        <v>75.06</v>
      </c>
      <c r="AB245" s="16" t="inlineStr">
        <is>
          <t>High</t>
        </is>
      </c>
      <c r="AC245" s="16" t="inlineStr">
        <is>
          <t>No</t>
        </is>
      </c>
      <c r="AD245" s="19" t="n">
        <v>0.3421</v>
      </c>
      <c r="AE245" s="19" t="n">
        <v>0.4548</v>
      </c>
      <c r="AF245" s="19" t="n">
        <v>0.1161</v>
      </c>
      <c r="AG245" s="19" t="n">
        <v>0.1387</v>
      </c>
      <c r="AH245" s="23" t="n">
        <v>0.02</v>
      </c>
      <c r="AI245" s="23" t="n">
        <v>6.33</v>
      </c>
      <c r="AJ245" s="19" t="n">
        <v>0.0505</v>
      </c>
    </row>
    <row r="246">
      <c r="A246" s="16" t="inlineStr">
        <is>
          <t>CUPID</t>
        </is>
      </c>
      <c r="B246" s="16" t="inlineStr">
        <is>
          <t>Cupid Ltd.</t>
        </is>
      </c>
      <c r="C246" s="16" t="inlineStr">
        <is>
          <t>Personal Products</t>
        </is>
      </c>
      <c r="D246" s="16" t="inlineStr">
        <is>
          <t>FMCG</t>
        </is>
      </c>
      <c r="E246" s="16" t="inlineStr">
        <is>
          <t>INE509F01029</t>
        </is>
      </c>
      <c r="F246" s="17" t="n">
        <v>38074.07</v>
      </c>
      <c r="G246" s="18" t="n">
        <v>283.15</v>
      </c>
      <c r="H246" s="19" t="n">
        <v>0.0114</v>
      </c>
      <c r="I246" s="20" t="n">
        <v>99</v>
      </c>
      <c r="J246" s="16" t="inlineStr">
        <is>
          <t>green</t>
        </is>
      </c>
      <c r="K246" s="20" t="n">
        <v>304</v>
      </c>
      <c r="L246" s="18" t="n">
        <v>63.16</v>
      </c>
      <c r="M246" s="18" t="n">
        <v>280.28</v>
      </c>
      <c r="N246" s="18" t="n">
        <v>243.16</v>
      </c>
      <c r="O246" s="18" t="n">
        <v>136.44</v>
      </c>
      <c r="P246" s="18" t="n">
        <v>294.86</v>
      </c>
      <c r="Q246" s="18" t="n">
        <v>35.04</v>
      </c>
      <c r="R246" s="21">
        <f>IF(OR(G246="",P246=""),"",G246/P246-1)</f>
        <v/>
      </c>
      <c r="S246" s="19" t="n">
        <v>0.3064</v>
      </c>
      <c r="T246" s="22" t="n">
        <v>0.2017</v>
      </c>
      <c r="U246" s="16" t="inlineStr">
        <is>
          <t>Yes</t>
        </is>
      </c>
      <c r="V246" s="16" t="inlineStr">
        <is>
          <t>Yes</t>
        </is>
      </c>
      <c r="W246" s="16" t="inlineStr">
        <is>
          <t>Yes</t>
        </is>
      </c>
      <c r="X246" s="16" t="inlineStr">
        <is>
          <t>Yes</t>
        </is>
      </c>
      <c r="Y246" s="20" t="n">
        <v>318</v>
      </c>
      <c r="Z246" s="19" t="n">
        <v>0.7822</v>
      </c>
      <c r="AA246" s="18" t="n">
        <v>73.37</v>
      </c>
      <c r="AB246" s="16" t="inlineStr">
        <is>
          <t>High</t>
        </is>
      </c>
      <c r="AC246" s="16" t="inlineStr">
        <is>
          <t>No</t>
        </is>
      </c>
      <c r="AD246" s="19" t="n">
        <v>0.164</v>
      </c>
      <c r="AE246" s="19" t="n">
        <v>0.2046</v>
      </c>
      <c r="AF246" s="19" t="n">
        <v>0.6651</v>
      </c>
      <c r="AG246" s="19" t="n">
        <v>0.374</v>
      </c>
      <c r="AH246" s="23" t="n">
        <v>0.13</v>
      </c>
      <c r="AI246" s="23" t="n">
        <v>3.87</v>
      </c>
      <c r="AJ246" s="19" t="n">
        <v>0.2748</v>
      </c>
    </row>
    <row r="247">
      <c r="A247" s="16" t="inlineStr">
        <is>
          <t>NH</t>
        </is>
      </c>
      <c r="B247" s="16" t="inlineStr">
        <is>
          <t>Narayana Hrudayalaya Ltd.</t>
        </is>
      </c>
      <c r="C247" s="16" t="inlineStr">
        <is>
          <t>Healthcare Facilities</t>
        </is>
      </c>
      <c r="D247" s="16" t="inlineStr">
        <is>
          <t>Healthcare</t>
        </is>
      </c>
      <c r="E247" s="16" t="inlineStr">
        <is>
          <t>INE410P01011</t>
        </is>
      </c>
      <c r="F247" s="17" t="n">
        <v>37980.45</v>
      </c>
      <c r="G247" s="18" t="n">
        <v>1858.5</v>
      </c>
      <c r="H247" s="19" t="n">
        <v>-0.0126</v>
      </c>
      <c r="I247" s="20" t="n">
        <v>38</v>
      </c>
      <c r="J247" s="16" t="inlineStr">
        <is>
          <t>red</t>
        </is>
      </c>
      <c r="K247" s="20" t="n">
        <v>25</v>
      </c>
      <c r="L247" s="18" t="n">
        <v>54.4</v>
      </c>
      <c r="M247" s="18" t="n">
        <v>1903.49</v>
      </c>
      <c r="N247" s="18" t="n">
        <v>1937.04</v>
      </c>
      <c r="O247" s="18" t="n">
        <v>1857.51</v>
      </c>
      <c r="P247" s="18" t="n">
        <v>2080.3</v>
      </c>
      <c r="Q247" s="18" t="n">
        <v>1601.75</v>
      </c>
      <c r="R247" s="21">
        <f>IF(OR(G247="",P247=""),"",G247/P247-1)</f>
        <v/>
      </c>
      <c r="S247" s="19" t="n">
        <v>0.6086</v>
      </c>
      <c r="T247" s="22" t="n">
        <v>0.0029</v>
      </c>
      <c r="U247" s="16" t="inlineStr">
        <is>
          <t>Yes</t>
        </is>
      </c>
      <c r="V247" s="16" t="inlineStr">
        <is>
          <t>No</t>
        </is>
      </c>
      <c r="W247" s="16" t="inlineStr">
        <is>
          <t>No</t>
        </is>
      </c>
      <c r="X247" s="16" t="inlineStr">
        <is>
          <t>Yes</t>
        </is>
      </c>
      <c r="Y247" s="20" t="n">
        <v>65</v>
      </c>
      <c r="Z247" s="19" t="n">
        <v>0.0428</v>
      </c>
      <c r="AA247" s="18" t="n">
        <v>50.01</v>
      </c>
      <c r="AB247" s="16" t="inlineStr">
        <is>
          <t>Average</t>
        </is>
      </c>
      <c r="AC247" s="16" t="inlineStr">
        <is>
          <t>No</t>
        </is>
      </c>
      <c r="AD247" s="19" t="n">
        <v>0.2231</v>
      </c>
      <c r="AE247" s="19" t="n">
        <v>0.171</v>
      </c>
      <c r="AF247" s="19" t="n">
        <v>0.1076</v>
      </c>
      <c r="AG247" s="19" t="n">
        <v>0.2148</v>
      </c>
      <c r="AH247" s="23" t="n">
        <v>1.29</v>
      </c>
      <c r="AI247" s="23" t="n">
        <v>1.37</v>
      </c>
      <c r="AJ247" s="19" t="n">
        <v>0.0604</v>
      </c>
    </row>
    <row r="248">
      <c r="A248" s="16" t="inlineStr">
        <is>
          <t>NIACL</t>
        </is>
      </c>
      <c r="B248" s="16" t="inlineStr">
        <is>
          <t>The New India Assurance Company Ltd.</t>
        </is>
      </c>
      <c r="C248" s="16" t="inlineStr">
        <is>
          <t>General Insurance</t>
        </is>
      </c>
      <c r="D248" s="16" t="inlineStr">
        <is>
          <t>Banking and Finance</t>
        </is>
      </c>
      <c r="E248" s="16" t="inlineStr">
        <is>
          <t>INE470Y01017</t>
        </is>
      </c>
      <c r="F248" s="17" t="n">
        <v>37889.17</v>
      </c>
      <c r="G248" s="18" t="n">
        <v>229.91</v>
      </c>
      <c r="H248" s="19" t="n">
        <v>0.177</v>
      </c>
      <c r="I248" s="20" t="n">
        <v>84</v>
      </c>
      <c r="J248" s="16" t="inlineStr">
        <is>
          <t>green</t>
        </is>
      </c>
      <c r="K248" s="20" t="n">
        <v>1</v>
      </c>
      <c r="L248" s="18" t="n">
        <v>81.17</v>
      </c>
      <c r="M248" s="18" t="n">
        <v>195</v>
      </c>
      <c r="N248" s="18" t="n">
        <v>181.2</v>
      </c>
      <c r="O248" s="18" t="n">
        <v>160.52</v>
      </c>
      <c r="P248" s="18" t="n">
        <v>229.91</v>
      </c>
      <c r="Q248" s="18" t="n">
        <v>116.86</v>
      </c>
      <c r="R248" s="21">
        <f>IF(OR(G248="",P248=""),"",G248/P248-1)</f>
        <v/>
      </c>
      <c r="S248" s="19" t="n">
        <v>10.5733</v>
      </c>
      <c r="T248" s="22" t="n">
        <v>0.0027</v>
      </c>
      <c r="U248" s="16" t="inlineStr">
        <is>
          <t>Yes</t>
        </is>
      </c>
      <c r="V248" s="16" t="inlineStr">
        <is>
          <t>Yes</t>
        </is>
      </c>
      <c r="W248" s="16" t="inlineStr">
        <is>
          <t>Yes</t>
        </is>
      </c>
      <c r="X248" s="16" t="inlineStr">
        <is>
          <t>Yes</t>
        </is>
      </c>
      <c r="Y248" s="20" t="n">
        <v>54</v>
      </c>
      <c r="Z248" s="19" t="n">
        <v>0.1288</v>
      </c>
      <c r="AA248" s="18" t="n">
        <v>27.76</v>
      </c>
      <c r="AB248" s="16" t="inlineStr">
        <is>
          <t>Poor</t>
        </is>
      </c>
      <c r="AC248" s="16" t="inlineStr">
        <is>
          <t>Yes</t>
        </is>
      </c>
      <c r="AD248" s="19" t="n">
        <v>0.0416</v>
      </c>
      <c r="AE248" s="19" t="n">
        <v>0.0455</v>
      </c>
      <c r="AF248" s="19" t="n">
        <v>0.1187</v>
      </c>
      <c r="AG248" s="19" t="n">
        <v>0.0709</v>
      </c>
      <c r="AH248" s="23" t="n">
        <v>0</v>
      </c>
      <c r="AI248" s="23" t="n">
        <v>113.96</v>
      </c>
      <c r="AJ248" s="19" t="n">
        <v>0.0281</v>
      </c>
    </row>
    <row r="249">
      <c r="A249" s="16" t="inlineStr">
        <is>
          <t>NLCINDIA</t>
        </is>
      </c>
      <c r="B249" s="16" t="inlineStr">
        <is>
          <t>NLC India Ltd.</t>
        </is>
      </c>
      <c r="C249" s="16" t="inlineStr">
        <is>
          <t>Power - Electric Utilities</t>
        </is>
      </c>
      <c r="D249" s="16" t="inlineStr">
        <is>
          <t>Utilities</t>
        </is>
      </c>
      <c r="E249" s="16" t="inlineStr">
        <is>
          <t>INE589A01014</t>
        </is>
      </c>
      <c r="F249" s="17" t="n">
        <v>37862.11</v>
      </c>
      <c r="G249" s="18" t="n">
        <v>273.05</v>
      </c>
      <c r="H249" s="19" t="n">
        <v>-0.0067</v>
      </c>
      <c r="I249" s="20" t="n">
        <v>42</v>
      </c>
      <c r="J249" s="16" t="inlineStr">
        <is>
          <t>red</t>
        </is>
      </c>
      <c r="K249" s="20" t="n">
        <v>20</v>
      </c>
      <c r="L249" s="18" t="n">
        <v>44.13</v>
      </c>
      <c r="M249" s="18" t="n">
        <v>271.99</v>
      </c>
      <c r="N249" s="18" t="n">
        <v>291.29</v>
      </c>
      <c r="O249" s="18" t="n">
        <v>282.19</v>
      </c>
      <c r="P249" s="18" t="n">
        <v>370.9</v>
      </c>
      <c r="Q249" s="18" t="n">
        <v>224</v>
      </c>
      <c r="R249" s="21">
        <f>IF(OR(G249="",P249=""),"",G249/P249-1)</f>
        <v/>
      </c>
      <c r="S249" s="19" t="n">
        <v>0.3873</v>
      </c>
      <c r="T249" s="22" t="n">
        <v>0.0064</v>
      </c>
      <c r="U249" s="16" t="inlineStr">
        <is>
          <t>Yes</t>
        </is>
      </c>
      <c r="V249" s="16" t="inlineStr">
        <is>
          <t>No</t>
        </is>
      </c>
      <c r="W249" s="16" t="inlineStr">
        <is>
          <t>Yes</t>
        </is>
      </c>
      <c r="X249" s="16" t="inlineStr">
        <is>
          <t>Yes</t>
        </is>
      </c>
      <c r="Y249" s="20" t="n">
        <v>248</v>
      </c>
      <c r="Z249" s="19" t="n">
        <v>0.0322</v>
      </c>
      <c r="AA249" s="18" t="n">
        <v>36.66</v>
      </c>
      <c r="AB249" s="16" t="inlineStr">
        <is>
          <t>Weak</t>
        </is>
      </c>
      <c r="AC249" s="16" t="inlineStr">
        <is>
          <t>No</t>
        </is>
      </c>
      <c r="AD249" s="19" t="n">
        <v>0.1386</v>
      </c>
      <c r="AE249" s="19" t="n">
        <v>0.1032</v>
      </c>
      <c r="AF249" s="19" t="n">
        <v>0.3527</v>
      </c>
      <c r="AG249" s="19" t="n">
        <v>0.0414</v>
      </c>
      <c r="AH249" s="23" t="n">
        <v>1.3</v>
      </c>
      <c r="AI249" s="23" t="n">
        <v>0.35</v>
      </c>
      <c r="AJ249" s="19" t="n">
        <v>0.2823</v>
      </c>
    </row>
    <row r="250">
      <c r="A250" s="16" t="inlineStr">
        <is>
          <t>PIIND</t>
        </is>
      </c>
      <c r="B250" s="16" t="inlineStr">
        <is>
          <t>PI Industries Ltd.</t>
        </is>
      </c>
      <c r="C250" s="16" t="inlineStr">
        <is>
          <t>Agrochemicals</t>
        </is>
      </c>
      <c r="D250" s="16" t="inlineStr">
        <is>
          <t>Chemicals &amp; Petrochemicals</t>
        </is>
      </c>
      <c r="E250" s="16" t="inlineStr">
        <is>
          <t>INE603J01030</t>
        </is>
      </c>
      <c r="F250" s="17" t="n">
        <v>37398.51</v>
      </c>
      <c r="G250" s="18" t="n">
        <v>2465</v>
      </c>
      <c r="H250" s="19" t="n">
        <v>0.0186</v>
      </c>
      <c r="I250" s="20" t="n">
        <v>7</v>
      </c>
      <c r="J250" s="16" t="inlineStr">
        <is>
          <t>red</t>
        </is>
      </c>
      <c r="K250" s="20" t="n">
        <v>274</v>
      </c>
      <c r="L250" s="18" t="n">
        <v>49.09</v>
      </c>
      <c r="M250" s="18" t="n">
        <v>2430.05</v>
      </c>
      <c r="N250" s="18" t="n">
        <v>2595.99</v>
      </c>
      <c r="O250" s="18" t="n">
        <v>2940.54</v>
      </c>
      <c r="P250" s="18" t="n">
        <v>3800.59</v>
      </c>
      <c r="Q250" s="18" t="n">
        <v>2370</v>
      </c>
      <c r="R250" s="21">
        <f>IF(OR(G250="",P250=""),"",G250/P250-1)</f>
        <v/>
      </c>
      <c r="S250" s="19" t="n">
        <v>1.5611</v>
      </c>
      <c r="T250" s="22" t="n">
        <v>-0.0361</v>
      </c>
      <c r="U250" s="16" t="inlineStr">
        <is>
          <t>No</t>
        </is>
      </c>
      <c r="V250" s="16" t="inlineStr">
        <is>
          <t>No</t>
        </is>
      </c>
      <c r="W250" s="16" t="inlineStr">
        <is>
          <t>Yes</t>
        </is>
      </c>
      <c r="X250" s="16" t="inlineStr">
        <is>
          <t>No</t>
        </is>
      </c>
      <c r="Y250" s="20" t="n">
        <v>219</v>
      </c>
      <c r="Z250" s="19" t="n">
        <v>-0.1172</v>
      </c>
      <c r="AA250" s="18" t="n">
        <v>55.24</v>
      </c>
      <c r="AB250" s="16" t="inlineStr">
        <is>
          <t>Good</t>
        </is>
      </c>
      <c r="AC250" s="16" t="inlineStr">
        <is>
          <t>No</t>
        </is>
      </c>
      <c r="AD250" s="19" t="n">
        <v>0.1579</v>
      </c>
      <c r="AE250" s="19" t="n">
        <v>0.1913</v>
      </c>
      <c r="AF250" s="19" t="n">
        <v>0.05019999999999999</v>
      </c>
      <c r="AG250" s="19" t="n">
        <v>0.0203</v>
      </c>
      <c r="AH250" s="23" t="n">
        <v>0.03</v>
      </c>
      <c r="AI250" s="23" t="n">
        <v>1.5</v>
      </c>
      <c r="AJ250" s="19" t="n">
        <v>0.1744</v>
      </c>
    </row>
    <row r="251">
      <c r="A251" s="16" t="inlineStr">
        <is>
          <t>PATANJALI</t>
        </is>
      </c>
      <c r="B251" s="16" t="inlineStr">
        <is>
          <t>Patanjali Foods Ltd.</t>
        </is>
      </c>
      <c r="C251" s="16" t="inlineStr">
        <is>
          <t>Edible Oils</t>
        </is>
      </c>
      <c r="D251" s="16" t="inlineStr">
        <is>
          <t>FMCG</t>
        </is>
      </c>
      <c r="E251" s="16" t="inlineStr">
        <is>
          <t>INE619A01035</t>
        </is>
      </c>
      <c r="F251" s="17" t="n">
        <v>37267.72</v>
      </c>
      <c r="G251" s="18" t="n">
        <v>342.5</v>
      </c>
      <c r="H251" s="19" t="n">
        <v>-0.0012</v>
      </c>
      <c r="I251" s="20" t="n">
        <v>3</v>
      </c>
      <c r="J251" s="16" t="inlineStr">
        <is>
          <t>red</t>
        </is>
      </c>
      <c r="K251" s="20" t="n">
        <v>227</v>
      </c>
      <c r="L251" s="18" t="n">
        <v>27.01</v>
      </c>
      <c r="M251" s="18" t="n">
        <v>345.76</v>
      </c>
      <c r="N251" s="18" t="n">
        <v>362.41</v>
      </c>
      <c r="O251" s="18" t="n">
        <v>458.81</v>
      </c>
      <c r="P251" s="18" t="n">
        <v>601.52</v>
      </c>
      <c r="Q251" s="18" t="n">
        <v>333.96</v>
      </c>
      <c r="R251" s="21">
        <f>IF(OR(G251="",P251=""),"",G251/P251-1)</f>
        <v/>
      </c>
      <c r="S251" s="19" t="n">
        <v>0.4506</v>
      </c>
      <c r="T251" s="22" t="n">
        <v>-0.0481</v>
      </c>
      <c r="U251" s="16" t="inlineStr">
        <is>
          <t>No</t>
        </is>
      </c>
      <c r="V251" s="16" t="inlineStr">
        <is>
          <t>No</t>
        </is>
      </c>
      <c r="W251" s="16" t="inlineStr">
        <is>
          <t>No</t>
        </is>
      </c>
      <c r="X251" s="16" t="inlineStr">
        <is>
          <t>No</t>
        </is>
      </c>
      <c r="Y251" s="20" t="n">
        <v>212</v>
      </c>
      <c r="Z251" s="19" t="n">
        <v>-0.2101</v>
      </c>
      <c r="AA251" s="18" t="n">
        <v>51.07</v>
      </c>
      <c r="AB251" s="16" t="inlineStr">
        <is>
          <t>Average</t>
        </is>
      </c>
      <c r="AC251" s="16" t="inlineStr">
        <is>
          <t>No</t>
        </is>
      </c>
      <c r="AD251" s="19" t="n">
        <v>0.1093</v>
      </c>
      <c r="AE251" s="19" t="n">
        <v>0.1144</v>
      </c>
      <c r="AF251" s="19" t="n">
        <v>0.3175</v>
      </c>
      <c r="AG251" s="19" t="n">
        <v>0.08960000000000001</v>
      </c>
      <c r="AH251" s="23" t="n">
        <v>0.21</v>
      </c>
      <c r="AI251" s="23" t="n">
        <v>10.38</v>
      </c>
      <c r="AJ251" s="19" t="n">
        <v>0.0131</v>
      </c>
    </row>
    <row r="252">
      <c r="A252" s="16" t="inlineStr">
        <is>
          <t>LTTS</t>
        </is>
      </c>
      <c r="B252" s="16" t="inlineStr">
        <is>
          <t>L&amp;T Technology Services Ltd.</t>
        </is>
      </c>
      <c r="C252" s="16" t="inlineStr">
        <is>
          <t>IT Consulting &amp; Software</t>
        </is>
      </c>
      <c r="D252" s="16" t="inlineStr">
        <is>
          <t>Software &amp; Services</t>
        </is>
      </c>
      <c r="E252" s="16" t="inlineStr">
        <is>
          <t>INE010V01017</t>
        </is>
      </c>
      <c r="F252" s="17" t="n">
        <v>37056.05</v>
      </c>
      <c r="G252" s="18" t="n">
        <v>3493.3</v>
      </c>
      <c r="H252" s="19" t="n">
        <v>-0.0023</v>
      </c>
      <c r="I252" s="20" t="n">
        <v>30</v>
      </c>
      <c r="J252" s="16" t="inlineStr">
        <is>
          <t>red</t>
        </is>
      </c>
      <c r="K252" s="20" t="n">
        <v>160</v>
      </c>
      <c r="L252" s="18" t="n">
        <v>45.19</v>
      </c>
      <c r="M252" s="18" t="n">
        <v>3543.19</v>
      </c>
      <c r="N252" s="18" t="n">
        <v>3444.77</v>
      </c>
      <c r="O252" s="18" t="n">
        <v>3643.54</v>
      </c>
      <c r="P252" s="18" t="n">
        <v>4643.84</v>
      </c>
      <c r="Q252" s="18" t="n">
        <v>3041.31</v>
      </c>
      <c r="R252" s="21">
        <f>IF(OR(G252="",P252=""),"",G252/P252-1)</f>
        <v/>
      </c>
      <c r="S252" s="19" t="n">
        <v>0.4797</v>
      </c>
      <c r="T252" s="22" t="n">
        <v>-0.0145</v>
      </c>
      <c r="U252" s="16" t="inlineStr">
        <is>
          <t>No</t>
        </is>
      </c>
      <c r="V252" s="16" t="inlineStr">
        <is>
          <t>Yes</t>
        </is>
      </c>
      <c r="W252" s="16" t="inlineStr">
        <is>
          <t>No</t>
        </is>
      </c>
      <c r="X252" s="16" t="inlineStr">
        <is>
          <t>No</t>
        </is>
      </c>
      <c r="Y252" s="20" t="n">
        <v>142</v>
      </c>
      <c r="Z252" s="19" t="n">
        <v>-0.0546</v>
      </c>
      <c r="AA252" s="18" t="n">
        <v>64.90000000000001</v>
      </c>
      <c r="AB252" s="16" t="inlineStr">
        <is>
          <t>High</t>
        </is>
      </c>
      <c r="AC252" s="16" t="inlineStr">
        <is>
          <t>No</t>
        </is>
      </c>
      <c r="AD252" s="19" t="n">
        <v>0.2169</v>
      </c>
      <c r="AE252" s="19" t="n">
        <v>0.2704</v>
      </c>
      <c r="AF252" s="19" t="n">
        <v>0.0182</v>
      </c>
      <c r="AG252" s="19" t="n">
        <v>0.0781</v>
      </c>
      <c r="AH252" s="23" t="n">
        <v>0.09</v>
      </c>
      <c r="AI252" s="23" t="n">
        <v>12.63</v>
      </c>
      <c r="AJ252" s="19" t="n">
        <v>0.0134</v>
      </c>
    </row>
    <row r="253">
      <c r="A253" s="16" t="inlineStr">
        <is>
          <t>3MINDIA</t>
        </is>
      </c>
      <c r="B253" s="16" t="inlineStr">
        <is>
          <t>3M India Ltd.</t>
        </is>
      </c>
      <c r="C253" s="16" t="inlineStr">
        <is>
          <t>Industrial Machinery</t>
        </is>
      </c>
      <c r="D253" s="16" t="inlineStr">
        <is>
          <t>General Industrials</t>
        </is>
      </c>
      <c r="E253" s="16" t="inlineStr">
        <is>
          <t>INE470A01017</t>
        </is>
      </c>
      <c r="F253" s="17" t="n">
        <v>37000.22</v>
      </c>
      <c r="G253" s="18" t="n">
        <v>32845</v>
      </c>
      <c r="H253" s="19" t="n">
        <v>0.0008</v>
      </c>
      <c r="I253" s="20" t="n">
        <v>42</v>
      </c>
      <c r="J253" s="16" t="inlineStr">
        <is>
          <t>red</t>
        </is>
      </c>
      <c r="K253" s="20" t="n">
        <v>18</v>
      </c>
      <c r="L253" s="18" t="n">
        <v>27.72</v>
      </c>
      <c r="M253" s="18" t="n">
        <v>33428.13</v>
      </c>
      <c r="N253" s="18" t="n">
        <v>34640.23</v>
      </c>
      <c r="O253" s="18" t="n">
        <v>33590.78</v>
      </c>
      <c r="P253" s="18" t="n">
        <v>37097.74</v>
      </c>
      <c r="Q253" s="18" t="n">
        <v>28423.36</v>
      </c>
      <c r="R253" s="21">
        <f>IF(OR(G253="",P253=""),"",G253/P253-1)</f>
        <v/>
      </c>
      <c r="S253" s="19" t="n">
        <v>0.2614</v>
      </c>
      <c r="T253" s="22" t="n">
        <v>0.0064</v>
      </c>
      <c r="U253" s="16" t="inlineStr">
        <is>
          <t>Yes</t>
        </is>
      </c>
      <c r="V253" s="16" t="inlineStr">
        <is>
          <t>No</t>
        </is>
      </c>
      <c r="W253" s="16" t="inlineStr">
        <is>
          <t>No</t>
        </is>
      </c>
      <c r="X253" s="16" t="inlineStr">
        <is>
          <t>Yes</t>
        </is>
      </c>
      <c r="Y253" s="20" t="n">
        <v>31</v>
      </c>
      <c r="Z253" s="19" t="n">
        <v>0.0312</v>
      </c>
      <c r="AA253" s="18" t="n">
        <v>68.87</v>
      </c>
      <c r="AB253" s="16" t="inlineStr">
        <is>
          <t>High</t>
        </is>
      </c>
      <c r="AC253" s="16" t="inlineStr">
        <is>
          <t>No</t>
        </is>
      </c>
      <c r="AD253" s="19" t="n">
        <v>0.275</v>
      </c>
      <c r="AE253" s="19" t="n">
        <v>0.4163</v>
      </c>
      <c r="AF253" s="19" t="n">
        <v>0.0689</v>
      </c>
      <c r="AG253" s="19" t="n">
        <v>0.08800000000000001</v>
      </c>
      <c r="AH253" s="23" t="n">
        <v>0.1</v>
      </c>
      <c r="AI253" s="23" t="n">
        <v>10.02</v>
      </c>
      <c r="AJ253" s="19" t="n">
        <v>0.0481</v>
      </c>
    </row>
    <row r="254">
      <c r="A254" s="16" t="inlineStr">
        <is>
          <t>ANANDRATHI</t>
        </is>
      </c>
      <c r="B254" s="16" t="inlineStr">
        <is>
          <t>Anand Rathi Wealth Ltd.</t>
        </is>
      </c>
      <c r="C254" s="16" t="inlineStr">
        <is>
          <t>Capital Markets</t>
        </is>
      </c>
      <c r="D254" s="16" t="inlineStr">
        <is>
          <t>Banking and Finance</t>
        </is>
      </c>
      <c r="E254" s="16" t="inlineStr">
        <is>
          <t>INE463V01026</t>
        </is>
      </c>
      <c r="F254" s="17" t="n">
        <v>36793.09</v>
      </c>
      <c r="G254" s="18" t="n">
        <v>2215.9</v>
      </c>
      <c r="H254" s="19" t="n">
        <v>0.0048</v>
      </c>
      <c r="I254" s="20" t="n">
        <v>81</v>
      </c>
      <c r="J254" s="16" t="inlineStr">
        <is>
          <t>green</t>
        </is>
      </c>
      <c r="K254" s="20" t="n">
        <v>57</v>
      </c>
      <c r="L254" s="18" t="n">
        <v>61.92</v>
      </c>
      <c r="M254" s="18" t="n">
        <v>2199.55</v>
      </c>
      <c r="N254" s="18" t="n">
        <v>2109</v>
      </c>
      <c r="O254" s="18" t="n">
        <v>1740.4</v>
      </c>
      <c r="P254" s="18" t="n">
        <v>2215.9</v>
      </c>
      <c r="Q254" s="18" t="n">
        <v>1400.43</v>
      </c>
      <c r="R254" s="21">
        <f>IF(OR(G254="",P254=""),"",G254/P254-1)</f>
        <v/>
      </c>
      <c r="S254" s="19" t="n">
        <v>0.583</v>
      </c>
      <c r="T254" s="22" t="n">
        <v>0.0382</v>
      </c>
      <c r="U254" s="16" t="inlineStr">
        <is>
          <t>Yes</t>
        </is>
      </c>
      <c r="V254" s="16" t="inlineStr">
        <is>
          <t>Yes</t>
        </is>
      </c>
      <c r="W254" s="16" t="inlineStr">
        <is>
          <t>Yes</t>
        </is>
      </c>
      <c r="X254" s="16" t="inlineStr">
        <is>
          <t>Yes</t>
        </is>
      </c>
      <c r="Y254" s="20" t="n">
        <v>292</v>
      </c>
      <c r="Z254" s="19" t="n">
        <v>0.2118</v>
      </c>
      <c r="AA254" s="18" t="n">
        <v>85.54000000000001</v>
      </c>
      <c r="AB254" s="16" t="inlineStr">
        <is>
          <t>High</t>
        </is>
      </c>
      <c r="AC254" s="16" t="inlineStr">
        <is>
          <t>Yes</t>
        </is>
      </c>
      <c r="AD254" s="19" t="n">
        <v>0.3961</v>
      </c>
      <c r="AE254" s="19" t="n">
        <v>0.5025999999999999</v>
      </c>
      <c r="AF254" s="19" t="n">
        <v>0.328</v>
      </c>
      <c r="AG254" s="19" t="n">
        <v>0.28</v>
      </c>
      <c r="AH254" s="23" t="n">
        <v>0.08</v>
      </c>
      <c r="AI254" s="23" t="n">
        <v>6.36</v>
      </c>
      <c r="AJ254" s="19" t="n">
        <v>0</v>
      </c>
    </row>
    <row r="255">
      <c r="A255" s="16" t="inlineStr">
        <is>
          <t>PWL</t>
        </is>
      </c>
      <c r="B255" s="16" t="inlineStr">
        <is>
          <t>Physicswallah Ltd.</t>
        </is>
      </c>
      <c r="C255" s="16" t="inlineStr">
        <is>
          <t>Education</t>
        </is>
      </c>
      <c r="D255" s="16" t="inlineStr">
        <is>
          <t>Diversified Consumer Services</t>
        </is>
      </c>
      <c r="E255" s="16" t="inlineStr">
        <is>
          <t>INE0LP301011</t>
        </is>
      </c>
      <c r="F255" s="17" t="n">
        <v>36673.01</v>
      </c>
      <c r="G255" s="18" t="n">
        <v>126.42</v>
      </c>
      <c r="H255" s="19" t="n">
        <v>0.0483</v>
      </c>
      <c r="I255" s="20" t="n">
        <v>68</v>
      </c>
      <c r="J255" s="16" t="inlineStr">
        <is>
          <t>amber</t>
        </is>
      </c>
      <c r="K255" s="20" t="n">
        <v>3</v>
      </c>
      <c r="L255" s="18" t="n">
        <v>60.22</v>
      </c>
      <c r="M255" s="18" t="n">
        <v>120.43</v>
      </c>
      <c r="N255" s="18" t="n">
        <v>128.18</v>
      </c>
      <c r="O255" s="18" t="n">
        <v>116.29</v>
      </c>
      <c r="P255" s="18" t="n">
        <v>155.24</v>
      </c>
      <c r="Q255" s="18" t="n">
        <v>79.56</v>
      </c>
      <c r="R255" s="21">
        <f>IF(OR(G255="",P255=""),"",G255/P255-1)</f>
        <v/>
      </c>
      <c r="S255" s="19" t="n">
        <v>4.3328</v>
      </c>
      <c r="T255" s="22" t="n"/>
      <c r="U255" s="16" t="n"/>
      <c r="V255" s="16" t="inlineStr">
        <is>
          <t>No</t>
        </is>
      </c>
      <c r="W255" s="16" t="inlineStr">
        <is>
          <t>Yes</t>
        </is>
      </c>
      <c r="X255" s="16" t="inlineStr">
        <is>
          <t>Yes</t>
        </is>
      </c>
      <c r="Y255" s="20" t="n">
        <v>3</v>
      </c>
      <c r="Z255" s="19" t="n">
        <v>0.1023</v>
      </c>
      <c r="AA255" s="18" t="n">
        <v>40</v>
      </c>
      <c r="AB255" s="16" t="inlineStr">
        <is>
          <t>Average</t>
        </is>
      </c>
      <c r="AC255" s="16" t="inlineStr">
        <is>
          <t>No</t>
        </is>
      </c>
      <c r="AD255" s="19" t="n">
        <v>0.2294</v>
      </c>
      <c r="AE255" s="19" t="n">
        <v>0.9247</v>
      </c>
      <c r="AF255" s="19" t="n">
        <v>-3.4376</v>
      </c>
      <c r="AG255" s="19" t="n">
        <v>0.8177</v>
      </c>
      <c r="AH255" s="23" t="n">
        <v>0.23</v>
      </c>
      <c r="AI255" s="23" t="n">
        <v>2.83</v>
      </c>
      <c r="AJ255" s="19" t="n">
        <v>0.0036</v>
      </c>
    </row>
    <row r="256">
      <c r="A256" s="16" t="inlineStr">
        <is>
          <t>EMCURE</t>
        </is>
      </c>
      <c r="B256" s="16" t="inlineStr">
        <is>
          <t>Emcure Pharmaceuticals Ltd.</t>
        </is>
      </c>
      <c r="C256" s="16" t="inlineStr">
        <is>
          <t>Pharmaceuticals</t>
        </is>
      </c>
      <c r="D256" s="16" t="inlineStr">
        <is>
          <t>Pharmaceuticals &amp; Biotechnology</t>
        </is>
      </c>
      <c r="E256" s="16" t="inlineStr">
        <is>
          <t>INE168P01015</t>
        </is>
      </c>
      <c r="F256" s="17" t="n">
        <v>36566.42</v>
      </c>
      <c r="G256" s="18" t="n">
        <v>1927.6</v>
      </c>
      <c r="H256" s="19" t="n">
        <v>0.0413</v>
      </c>
      <c r="I256" s="20" t="n">
        <v>73</v>
      </c>
      <c r="J256" s="16" t="inlineStr">
        <is>
          <t>amber</t>
        </is>
      </c>
      <c r="K256" s="20" t="n">
        <v>16</v>
      </c>
      <c r="L256" s="18" t="n">
        <v>63.17</v>
      </c>
      <c r="M256" s="18" t="n">
        <v>1865.84</v>
      </c>
      <c r="N256" s="18" t="n">
        <v>1878.9</v>
      </c>
      <c r="O256" s="18" t="n">
        <v>1635.45</v>
      </c>
      <c r="P256" s="18" t="n">
        <v>2005.7</v>
      </c>
      <c r="Q256" s="18" t="n">
        <v>1269.33</v>
      </c>
      <c r="R256" s="21">
        <f>IF(OR(G256="",P256=""),"",G256/P256-1)</f>
        <v/>
      </c>
      <c r="S256" s="19" t="n">
        <v>1.8602</v>
      </c>
      <c r="T256" s="22" t="n">
        <v>0.0341</v>
      </c>
      <c r="U256" s="16" t="inlineStr">
        <is>
          <t>Yes</t>
        </is>
      </c>
      <c r="V256" s="16" t="inlineStr">
        <is>
          <t>Yes</t>
        </is>
      </c>
      <c r="W256" s="16" t="inlineStr">
        <is>
          <t>Yes</t>
        </is>
      </c>
      <c r="X256" s="16" t="inlineStr">
        <is>
          <t>Yes</t>
        </is>
      </c>
      <c r="Y256" s="20" t="n">
        <v>288</v>
      </c>
      <c r="Z256" s="19" t="n">
        <v>0.1489</v>
      </c>
      <c r="AA256" s="18" t="n">
        <v>60.27</v>
      </c>
      <c r="AB256" s="16" t="inlineStr">
        <is>
          <t>Good</t>
        </is>
      </c>
      <c r="AC256" s="16" t="inlineStr">
        <is>
          <t>No</t>
        </is>
      </c>
      <c r="AD256" s="19" t="n">
        <v>0.1695</v>
      </c>
      <c r="AE256" s="19" t="n">
        <v>0.2021</v>
      </c>
      <c r="AF256" s="19" t="n">
        <v>0.199</v>
      </c>
      <c r="AG256" s="19" t="n">
        <v>0.1583</v>
      </c>
      <c r="AH256" s="23" t="n">
        <v>0.31</v>
      </c>
      <c r="AI256" s="23" t="n">
        <v>3.69</v>
      </c>
      <c r="AJ256" s="19" t="n">
        <v>0.06909999999999999</v>
      </c>
    </row>
    <row r="257">
      <c r="A257" s="16" t="inlineStr">
        <is>
          <t>HUDCO</t>
        </is>
      </c>
      <c r="B257" s="16" t="inlineStr">
        <is>
          <t>Housing and Urban Development Corporation Ltd.</t>
        </is>
      </c>
      <c r="C257" s="16" t="inlineStr">
        <is>
          <t>Financial Institutions</t>
        </is>
      </c>
      <c r="D257" s="16" t="inlineStr">
        <is>
          <t>Banking and Finance</t>
        </is>
      </c>
      <c r="E257" s="16" t="inlineStr">
        <is>
          <t>INE031A01017</t>
        </is>
      </c>
      <c r="F257" s="17" t="n">
        <v>36138.3</v>
      </c>
      <c r="G257" s="18" t="n">
        <v>180.52</v>
      </c>
      <c r="H257" s="19" t="n">
        <v>-0.003</v>
      </c>
      <c r="I257" s="20" t="n">
        <v>21</v>
      </c>
      <c r="J257" s="16" t="inlineStr">
        <is>
          <t>red</t>
        </is>
      </c>
      <c r="K257" s="20" t="n">
        <v>81</v>
      </c>
      <c r="L257" s="18" t="n">
        <v>28.95</v>
      </c>
      <c r="M257" s="18" t="n">
        <v>181.67</v>
      </c>
      <c r="N257" s="18" t="n">
        <v>194.99</v>
      </c>
      <c r="O257" s="18" t="n">
        <v>198.69</v>
      </c>
      <c r="P257" s="18" t="n">
        <v>236.39</v>
      </c>
      <c r="Q257" s="18" t="n">
        <v>157.32</v>
      </c>
      <c r="R257" s="21">
        <f>IF(OR(G257="",P257=""),"",G257/P257-1)</f>
        <v/>
      </c>
      <c r="S257" s="19" t="n">
        <v>0.4616</v>
      </c>
      <c r="T257" s="22" t="n">
        <v>-0.019</v>
      </c>
      <c r="U257" s="16" t="inlineStr">
        <is>
          <t>No</t>
        </is>
      </c>
      <c r="V257" s="16" t="inlineStr">
        <is>
          <t>No</t>
        </is>
      </c>
      <c r="W257" s="16" t="inlineStr">
        <is>
          <t>No</t>
        </is>
      </c>
      <c r="X257" s="16" t="inlineStr">
        <is>
          <t>No</t>
        </is>
      </c>
      <c r="Y257" s="20" t="n">
        <v>33</v>
      </c>
      <c r="Z257" s="19" t="n">
        <v>-0.0186</v>
      </c>
      <c r="AA257" s="18" t="n">
        <v>63.17</v>
      </c>
      <c r="AB257" s="16" t="inlineStr">
        <is>
          <t>Good</t>
        </is>
      </c>
      <c r="AC257" s="16" t="inlineStr">
        <is>
          <t>Yes</t>
        </is>
      </c>
      <c r="AD257" s="19" t="n">
        <v>0.1539</v>
      </c>
      <c r="AE257" s="19" t="n"/>
      <c r="AF257" s="19" t="n">
        <v>0.3376</v>
      </c>
      <c r="AG257" s="19" t="n">
        <v>0.1058</v>
      </c>
      <c r="AH257" s="23" t="n">
        <v>6.45</v>
      </c>
      <c r="AI257" s="23" t="n">
        <v>35.11</v>
      </c>
      <c r="AJ257" s="19" t="n">
        <v>0.3938</v>
      </c>
    </row>
    <row r="258">
      <c r="A258" s="16" t="inlineStr">
        <is>
          <t>EXIDEIND</t>
        </is>
      </c>
      <c r="B258" s="16" t="inlineStr">
        <is>
          <t>Exide Industries Ltd.</t>
        </is>
      </c>
      <c r="C258" s="16" t="inlineStr">
        <is>
          <t>Auto Parts &amp; Equipment</t>
        </is>
      </c>
      <c r="D258" s="16" t="inlineStr">
        <is>
          <t>Automobiles &amp; Auto Components</t>
        </is>
      </c>
      <c r="E258" s="16" t="inlineStr">
        <is>
          <t>INE302A01020</t>
        </is>
      </c>
      <c r="F258" s="17" t="n">
        <v>36069.75</v>
      </c>
      <c r="G258" s="18" t="n">
        <v>424.35</v>
      </c>
      <c r="H258" s="19" t="n">
        <v>0.0032</v>
      </c>
      <c r="I258" s="20" t="n">
        <v>59</v>
      </c>
      <c r="J258" s="16" t="inlineStr">
        <is>
          <t>red</t>
        </is>
      </c>
      <c r="K258" s="20" t="n">
        <v>2</v>
      </c>
      <c r="L258" s="18" t="n">
        <v>16.63</v>
      </c>
      <c r="M258" s="18" t="n">
        <v>434.48</v>
      </c>
      <c r="N258" s="18" t="n">
        <v>441.38</v>
      </c>
      <c r="O258" s="18" t="n">
        <v>371.03</v>
      </c>
      <c r="P258" s="18" t="n">
        <v>490.65</v>
      </c>
      <c r="Q258" s="18" t="n">
        <v>286.53</v>
      </c>
      <c r="R258" s="21">
        <f>IF(OR(G258="",P258=""),"",G258/P258-1)</f>
        <v/>
      </c>
      <c r="S258" s="19" t="n">
        <v>0.5506</v>
      </c>
      <c r="T258" s="22" t="n">
        <v>0.0207</v>
      </c>
      <c r="U258" s="16" t="inlineStr">
        <is>
          <t>Yes</t>
        </is>
      </c>
      <c r="V258" s="16" t="inlineStr">
        <is>
          <t>No</t>
        </is>
      </c>
      <c r="W258" s="16" t="inlineStr">
        <is>
          <t>No</t>
        </is>
      </c>
      <c r="X258" s="16" t="inlineStr">
        <is>
          <t>Yes</t>
        </is>
      </c>
      <c r="Y258" s="20" t="n">
        <v>57</v>
      </c>
      <c r="Z258" s="19" t="n">
        <v>0.1896</v>
      </c>
      <c r="AA258" s="18" t="n">
        <v>40.18</v>
      </c>
      <c r="AB258" s="16" t="inlineStr">
        <is>
          <t>Average</t>
        </is>
      </c>
      <c r="AC258" s="16" t="inlineStr">
        <is>
          <t>No</t>
        </is>
      </c>
      <c r="AD258" s="19" t="n">
        <v>0.0622</v>
      </c>
      <c r="AE258" s="19" t="n">
        <v>0.0891</v>
      </c>
      <c r="AF258" s="19" t="n">
        <v>0.0156</v>
      </c>
      <c r="AG258" s="19" t="n">
        <v>0.0619</v>
      </c>
      <c r="AH258" s="23" t="n">
        <v>0.11</v>
      </c>
      <c r="AI258" s="23" t="n">
        <v>2.26</v>
      </c>
      <c r="AJ258" s="19" t="n">
        <v>0.5036999999999999</v>
      </c>
    </row>
    <row r="259">
      <c r="A259" s="16" t="inlineStr">
        <is>
          <t>PTCIL</t>
        </is>
      </c>
      <c r="B259" s="16" t="inlineStr">
        <is>
          <t>PTC Industries Ltd.</t>
        </is>
      </c>
      <c r="C259" s="16" t="inlineStr">
        <is>
          <t>Other Industrial Products</t>
        </is>
      </c>
      <c r="D259" s="16" t="inlineStr">
        <is>
          <t>General Industrials</t>
        </is>
      </c>
      <c r="E259" s="16" t="inlineStr">
        <is>
          <t>INE596F01018</t>
        </is>
      </c>
      <c r="F259" s="17" t="n">
        <v>35727.13</v>
      </c>
      <c r="G259" s="18" t="n">
        <v>23830</v>
      </c>
      <c r="H259" s="19" t="n">
        <v>0.0004</v>
      </c>
      <c r="I259" s="20" t="n">
        <v>80</v>
      </c>
      <c r="J259" s="16" t="inlineStr">
        <is>
          <t>green</t>
        </is>
      </c>
      <c r="K259" s="20" t="n">
        <v>2</v>
      </c>
      <c r="L259" s="18" t="n">
        <v>71.23</v>
      </c>
      <c r="M259" s="18" t="n">
        <v>22360.63</v>
      </c>
      <c r="N259" s="18" t="n">
        <v>18992.64</v>
      </c>
      <c r="O259" s="18" t="n">
        <v>17812.53</v>
      </c>
      <c r="P259" s="18" t="n">
        <v>23830</v>
      </c>
      <c r="Q259" s="18" t="n">
        <v>13522</v>
      </c>
      <c r="R259" s="21">
        <f>IF(OR(G259="",P259=""),"",G259/P259-1)</f>
        <v/>
      </c>
      <c r="S259" s="19" t="n">
        <v>1.5541</v>
      </c>
      <c r="T259" s="22" t="n">
        <v>0.0209</v>
      </c>
      <c r="U259" s="16" t="inlineStr">
        <is>
          <t>Yes</t>
        </is>
      </c>
      <c r="V259" s="16" t="inlineStr">
        <is>
          <t>Yes</t>
        </is>
      </c>
      <c r="W259" s="16" t="inlineStr">
        <is>
          <t>Yes</t>
        </is>
      </c>
      <c r="X259" s="16" t="inlineStr">
        <is>
          <t>Yes</t>
        </is>
      </c>
      <c r="Y259" s="20" t="n">
        <v>51</v>
      </c>
      <c r="Z259" s="19" t="n">
        <v>0.0663</v>
      </c>
      <c r="AA259" s="18" t="n">
        <v>50.1</v>
      </c>
      <c r="AB259" s="16" t="inlineStr">
        <is>
          <t>Average</t>
        </is>
      </c>
      <c r="AC259" s="16" t="inlineStr">
        <is>
          <t>No</t>
        </is>
      </c>
      <c r="AD259" s="19" t="n">
        <v>0.05889999999999999</v>
      </c>
      <c r="AE259" s="19" t="n">
        <v>0.07290000000000001</v>
      </c>
      <c r="AF259" s="19" t="n">
        <v>0.518</v>
      </c>
      <c r="AG259" s="19" t="n">
        <v>0.4504</v>
      </c>
      <c r="AH259" s="23" t="n">
        <v>0.17</v>
      </c>
      <c r="AI259" s="23" t="n">
        <v>0.71</v>
      </c>
      <c r="AJ259" s="19" t="n">
        <v>0.3659000000000001</v>
      </c>
    </row>
    <row r="260">
      <c r="A260" s="16" t="inlineStr">
        <is>
          <t>HFCL</t>
        </is>
      </c>
      <c r="B260" s="16" t="inlineStr">
        <is>
          <t>HFCL Ltd.</t>
        </is>
      </c>
      <c r="C260" s="16" t="inlineStr">
        <is>
          <t>Telecom Cables</t>
        </is>
      </c>
      <c r="D260" s="16" t="inlineStr">
        <is>
          <t>Telecommunications Equipment</t>
        </is>
      </c>
      <c r="E260" s="16" t="inlineStr">
        <is>
          <t>INE548A01028</t>
        </is>
      </c>
      <c r="F260" s="17" t="n">
        <v>35424.26</v>
      </c>
      <c r="G260" s="18" t="n">
        <v>231.44</v>
      </c>
      <c r="H260" s="19" t="n">
        <v>0.05</v>
      </c>
      <c r="I260" s="20" t="n">
        <v>97</v>
      </c>
      <c r="J260" s="16" t="inlineStr">
        <is>
          <t>green</t>
        </is>
      </c>
      <c r="K260" s="20" t="n">
        <v>105</v>
      </c>
      <c r="L260" s="18" t="n">
        <v>56.53</v>
      </c>
      <c r="M260" s="18" t="n">
        <v>237.13</v>
      </c>
      <c r="N260" s="18" t="n">
        <v>217.43</v>
      </c>
      <c r="O260" s="18" t="n">
        <v>128.51</v>
      </c>
      <c r="P260" s="18" t="n">
        <v>251.47</v>
      </c>
      <c r="Q260" s="18" t="n">
        <v>60.95</v>
      </c>
      <c r="R260" s="21">
        <f>IF(OR(G260="",P260=""),"",G260/P260-1)</f>
        <v/>
      </c>
      <c r="S260" s="19" t="n">
        <v>0.2082</v>
      </c>
      <c r="T260" s="22" t="n">
        <v>0.1362</v>
      </c>
      <c r="U260" s="16" t="inlineStr">
        <is>
          <t>Yes</t>
        </is>
      </c>
      <c r="V260" s="16" t="inlineStr">
        <is>
          <t>Yes</t>
        </is>
      </c>
      <c r="W260" s="16" t="inlineStr">
        <is>
          <t>No</t>
        </is>
      </c>
      <c r="X260" s="16" t="inlineStr">
        <is>
          <t>Yes</t>
        </is>
      </c>
      <c r="Y260" s="20" t="n">
        <v>100</v>
      </c>
      <c r="Z260" s="19" t="n">
        <v>0.6919</v>
      </c>
      <c r="AA260" s="18" t="n">
        <v>35.74</v>
      </c>
      <c r="AB260" s="16" t="inlineStr">
        <is>
          <t>Weak</t>
        </is>
      </c>
      <c r="AC260" s="16" t="inlineStr">
        <is>
          <t>No</t>
        </is>
      </c>
      <c r="AD260" s="19" t="n">
        <v>0.0635</v>
      </c>
      <c r="AE260" s="19" t="n">
        <v>0.0926</v>
      </c>
      <c r="AF260" s="19" t="n">
        <v>0.1095</v>
      </c>
      <c r="AG260" s="19" t="n">
        <v>0.0237</v>
      </c>
      <c r="AH260" s="23" t="n">
        <v>0.39</v>
      </c>
      <c r="AI260" s="23" t="n">
        <v>4.82</v>
      </c>
      <c r="AJ260" s="19" t="n">
        <v>0.0828</v>
      </c>
    </row>
    <row r="261">
      <c r="A261" s="16" t="inlineStr">
        <is>
          <t>CRISIL</t>
        </is>
      </c>
      <c r="B261" s="16" t="inlineStr">
        <is>
          <t>Crisil Ltd.</t>
        </is>
      </c>
      <c r="C261" s="16" t="inlineStr">
        <is>
          <t>Other Financial Services</t>
        </is>
      </c>
      <c r="D261" s="16" t="inlineStr">
        <is>
          <t>Banking and Finance</t>
        </is>
      </c>
      <c r="E261" s="16" t="inlineStr">
        <is>
          <t>INE007A01025</t>
        </is>
      </c>
      <c r="F261" s="17" t="n">
        <v>35117.03</v>
      </c>
      <c r="G261" s="18" t="n">
        <v>4802</v>
      </c>
      <c r="H261" s="19" t="n">
        <v>0.0089</v>
      </c>
      <c r="I261" s="20" t="n">
        <v>59</v>
      </c>
      <c r="J261" s="16" t="inlineStr">
        <is>
          <t>red</t>
        </is>
      </c>
      <c r="K261" s="20" t="n">
        <v>3</v>
      </c>
      <c r="L261" s="18" t="n">
        <v>70.23999999999999</v>
      </c>
      <c r="M261" s="18" t="n">
        <v>4733</v>
      </c>
      <c r="N261" s="18" t="n">
        <v>4381.53</v>
      </c>
      <c r="O261" s="18" t="n">
        <v>4287.78</v>
      </c>
      <c r="P261" s="18" t="n">
        <v>5010.62</v>
      </c>
      <c r="Q261" s="18" t="n">
        <v>3689.72</v>
      </c>
      <c r="R261" s="21">
        <f>IF(OR(G261="",P261=""),"",G261/P261-1)</f>
        <v/>
      </c>
      <c r="S261" s="19" t="n">
        <v>3.3395</v>
      </c>
      <c r="T261" s="22" t="n">
        <v>-0.0038</v>
      </c>
      <c r="U261" s="16" t="inlineStr">
        <is>
          <t>No</t>
        </is>
      </c>
      <c r="V261" s="16" t="inlineStr">
        <is>
          <t>Yes</t>
        </is>
      </c>
      <c r="W261" s="16" t="inlineStr">
        <is>
          <t>Yes</t>
        </is>
      </c>
      <c r="X261" s="16" t="inlineStr">
        <is>
          <t>Yes</t>
        </is>
      </c>
      <c r="Y261" s="20" t="n">
        <v>9</v>
      </c>
      <c r="Z261" s="19" t="n">
        <v>0.0219</v>
      </c>
      <c r="AA261" s="18" t="n">
        <v>67.01000000000001</v>
      </c>
      <c r="AB261" s="16" t="inlineStr">
        <is>
          <t>High</t>
        </is>
      </c>
      <c r="AC261" s="16" t="inlineStr">
        <is>
          <t>Yes</t>
        </is>
      </c>
      <c r="AD261" s="19" t="n">
        <v>0.2733</v>
      </c>
      <c r="AE261" s="19" t="n">
        <v>0.3465</v>
      </c>
      <c r="AF261" s="19" t="n">
        <v>0.07919999999999999</v>
      </c>
      <c r="AG261" s="19" t="n">
        <v>0.0789</v>
      </c>
      <c r="AH261" s="23" t="n">
        <v>0.1</v>
      </c>
      <c r="AI261" s="23" t="n">
        <v>8.02</v>
      </c>
      <c r="AJ261" s="19" t="n">
        <v>0.0077</v>
      </c>
    </row>
    <row r="262">
      <c r="A262" s="16" t="inlineStr">
        <is>
          <t>DELHIVERY</t>
        </is>
      </c>
      <c r="B262" s="16" t="inlineStr">
        <is>
          <t>Delhivery Ltd.</t>
        </is>
      </c>
      <c r="C262" s="16" t="inlineStr">
        <is>
          <t>Warehousing &amp; Logistics</t>
        </is>
      </c>
      <c r="D262" s="16" t="inlineStr">
        <is>
          <t>Transportation</t>
        </is>
      </c>
      <c r="E262" s="16" t="inlineStr">
        <is>
          <t>INE148O01028</t>
        </is>
      </c>
      <c r="F262" s="17" t="n">
        <v>34304.35</v>
      </c>
      <c r="G262" s="18" t="n">
        <v>457.9</v>
      </c>
      <c r="H262" s="19" t="n">
        <v>-0.0139</v>
      </c>
      <c r="I262" s="20" t="n">
        <v>48</v>
      </c>
      <c r="J262" s="16" t="inlineStr">
        <is>
          <t>red</t>
        </is>
      </c>
      <c r="K262" s="20" t="n">
        <v>33</v>
      </c>
      <c r="L262" s="18" t="n">
        <v>51.21</v>
      </c>
      <c r="M262" s="18" t="n">
        <v>459.91</v>
      </c>
      <c r="N262" s="18" t="n">
        <v>476.3</v>
      </c>
      <c r="O262" s="18" t="n">
        <v>443.44</v>
      </c>
      <c r="P262" s="18" t="n">
        <v>520.3</v>
      </c>
      <c r="Q262" s="18" t="n">
        <v>378.5</v>
      </c>
      <c r="R262" s="21">
        <f>IF(OR(G262="",P262=""),"",G262/P262-1)</f>
        <v/>
      </c>
      <c r="S262" s="19" t="n">
        <v>0.6302</v>
      </c>
      <c r="T262" s="22" t="n">
        <v>0.001</v>
      </c>
      <c r="U262" s="16" t="inlineStr">
        <is>
          <t>Yes</t>
        </is>
      </c>
      <c r="V262" s="16" t="inlineStr">
        <is>
          <t>No</t>
        </is>
      </c>
      <c r="W262" s="16" t="inlineStr">
        <is>
          <t>No</t>
        </is>
      </c>
      <c r="X262" s="16" t="inlineStr">
        <is>
          <t>Yes</t>
        </is>
      </c>
      <c r="Y262" s="20" t="n">
        <v>90</v>
      </c>
      <c r="Z262" s="19" t="n">
        <v>0.0741</v>
      </c>
      <c r="AA262" s="18" t="n">
        <v>41.53</v>
      </c>
      <c r="AB262" s="16" t="inlineStr">
        <is>
          <t>Average</t>
        </is>
      </c>
      <c r="AC262" s="16" t="inlineStr">
        <is>
          <t>No</t>
        </is>
      </c>
      <c r="AD262" s="19" t="n">
        <v>0.0019</v>
      </c>
      <c r="AE262" s="19" t="n">
        <v>0.0121</v>
      </c>
      <c r="AF262" s="19" t="n">
        <v>0.7742</v>
      </c>
      <c r="AG262" s="19" t="n">
        <v>0.1335</v>
      </c>
      <c r="AH262" s="23" t="n">
        <v>0.15</v>
      </c>
      <c r="AI262" s="23" t="n">
        <v>3.6</v>
      </c>
      <c r="AJ262" s="19" t="n">
        <v>0.0003</v>
      </c>
    </row>
    <row r="263">
      <c r="A263" s="16" t="inlineStr">
        <is>
          <t>WOCKPHARMA</t>
        </is>
      </c>
      <c r="B263" s="16" t="inlineStr">
        <is>
          <t>Wockhardt Ltd.</t>
        </is>
      </c>
      <c r="C263" s="16" t="inlineStr">
        <is>
          <t>Pharmaceuticals</t>
        </is>
      </c>
      <c r="D263" s="16" t="inlineStr">
        <is>
          <t>Pharmaceuticals &amp; Biotechnology</t>
        </is>
      </c>
      <c r="E263" s="16" t="inlineStr">
        <is>
          <t>INE049B01025</t>
        </is>
      </c>
      <c r="F263" s="17" t="n">
        <v>33939.75</v>
      </c>
      <c r="G263" s="18" t="n">
        <v>2088.7</v>
      </c>
      <c r="H263" s="19" t="n">
        <v>0.0708</v>
      </c>
      <c r="I263" s="20" t="n">
        <v>79</v>
      </c>
      <c r="J263" s="16" t="inlineStr">
        <is>
          <t>amber</t>
        </is>
      </c>
      <c r="K263" s="20" t="n">
        <v>20</v>
      </c>
      <c r="L263" s="18" t="n">
        <v>65.16</v>
      </c>
      <c r="M263" s="18" t="n">
        <v>1937.39</v>
      </c>
      <c r="N263" s="18" t="n">
        <v>1909.16</v>
      </c>
      <c r="O263" s="18" t="n">
        <v>1582.25</v>
      </c>
      <c r="P263" s="18" t="n">
        <v>2152.9</v>
      </c>
      <c r="Q263" s="18" t="n">
        <v>1100.3</v>
      </c>
      <c r="R263" s="21">
        <f>IF(OR(G263="",P263=""),"",G263/P263-1)</f>
        <v/>
      </c>
      <c r="S263" s="19" t="n">
        <v>4.5787</v>
      </c>
      <c r="T263" s="22" t="n">
        <v>0.0372</v>
      </c>
      <c r="U263" s="16" t="inlineStr">
        <is>
          <t>Yes</t>
        </is>
      </c>
      <c r="V263" s="16" t="inlineStr">
        <is>
          <t>Yes</t>
        </is>
      </c>
      <c r="W263" s="16" t="inlineStr">
        <is>
          <t>Yes</t>
        </is>
      </c>
      <c r="X263" s="16" t="inlineStr">
        <is>
          <t>Yes</t>
        </is>
      </c>
      <c r="Y263" s="20" t="n">
        <v>74</v>
      </c>
      <c r="Z263" s="19" t="n">
        <v>0.2066</v>
      </c>
      <c r="AA263" s="18" t="n">
        <v>35.91</v>
      </c>
      <c r="AB263" s="16" t="inlineStr">
        <is>
          <t>Weak</t>
        </is>
      </c>
      <c r="AC263" s="16" t="inlineStr">
        <is>
          <t>No</t>
        </is>
      </c>
      <c r="AD263" s="19" t="n">
        <v>-0.0352</v>
      </c>
      <c r="AE263" s="19" t="n">
        <v>0.0255</v>
      </c>
      <c r="AF263" s="19" t="n">
        <v>2.1391</v>
      </c>
      <c r="AG263" s="19" t="n">
        <v>0.079</v>
      </c>
      <c r="AH263" s="23" t="n">
        <v>0.45</v>
      </c>
      <c r="AI263" s="23" t="n">
        <v>1.44</v>
      </c>
      <c r="AJ263" s="19" t="n">
        <v>0.2971</v>
      </c>
    </row>
    <row r="264">
      <c r="A264" s="16" t="inlineStr">
        <is>
          <t>HSCL</t>
        </is>
      </c>
      <c r="B264" s="16" t="inlineStr">
        <is>
          <t>Himadri Speciality Chemical Ltd.</t>
        </is>
      </c>
      <c r="C264" s="16" t="inlineStr">
        <is>
          <t>Specialty Chemicals</t>
        </is>
      </c>
      <c r="D264" s="16" t="inlineStr">
        <is>
          <t>Chemicals &amp; Petrochemicals</t>
        </is>
      </c>
      <c r="E264" s="16" t="inlineStr">
        <is>
          <t>INE019C01026</t>
        </is>
      </c>
      <c r="F264" s="17" t="n">
        <v>33859.45</v>
      </c>
      <c r="G264" s="18" t="n">
        <v>671.05</v>
      </c>
      <c r="H264" s="19" t="n">
        <v>0.0137</v>
      </c>
      <c r="I264" s="20" t="n">
        <v>73</v>
      </c>
      <c r="J264" s="16" t="inlineStr">
        <is>
          <t>amber</t>
        </is>
      </c>
      <c r="K264" s="20" t="n">
        <v>11</v>
      </c>
      <c r="L264" s="18" t="n">
        <v>24.41</v>
      </c>
      <c r="M264" s="18" t="n">
        <v>667.98</v>
      </c>
      <c r="N264" s="18" t="n">
        <v>715.76</v>
      </c>
      <c r="O264" s="18" t="n">
        <v>564.34</v>
      </c>
      <c r="P264" s="18" t="n">
        <v>800.9</v>
      </c>
      <c r="Q264" s="18" t="n">
        <v>421.43</v>
      </c>
      <c r="R264" s="21">
        <f>IF(OR(G264="",P264=""),"",G264/P264-1)</f>
        <v/>
      </c>
      <c r="S264" s="19" t="n">
        <v>0.3715</v>
      </c>
      <c r="T264" s="22" t="n">
        <v>0.0454</v>
      </c>
      <c r="U264" s="16" t="inlineStr">
        <is>
          <t>Yes</t>
        </is>
      </c>
      <c r="V264" s="16" t="inlineStr">
        <is>
          <t>No</t>
        </is>
      </c>
      <c r="W264" s="16" t="inlineStr">
        <is>
          <t>Yes</t>
        </is>
      </c>
      <c r="X264" s="16" t="inlineStr">
        <is>
          <t>Yes</t>
        </is>
      </c>
      <c r="Y264" s="20" t="n">
        <v>95</v>
      </c>
      <c r="Z264" s="19" t="n">
        <v>0.2683</v>
      </c>
      <c r="AA264" s="18" t="n">
        <v>57.85</v>
      </c>
      <c r="AB264" s="16" t="inlineStr">
        <is>
          <t>Good</t>
        </is>
      </c>
      <c r="AC264" s="16" t="inlineStr">
        <is>
          <t>No</t>
        </is>
      </c>
      <c r="AD264" s="19" t="n">
        <v>0.1479</v>
      </c>
      <c r="AE264" s="19" t="n">
        <v>0.1924</v>
      </c>
      <c r="AF264" s="19" t="n">
        <v>0.4499</v>
      </c>
      <c r="AG264" s="19" t="n">
        <v>0.0383</v>
      </c>
      <c r="AH264" s="23" t="n">
        <v>0.16</v>
      </c>
      <c r="AI264" s="23" t="n">
        <v>2.03</v>
      </c>
      <c r="AJ264" s="19" t="n">
        <v>0.1888</v>
      </c>
    </row>
    <row r="265">
      <c r="A265" s="16" t="inlineStr">
        <is>
          <t>UBL</t>
        </is>
      </c>
      <c r="B265" s="16" t="inlineStr">
        <is>
          <t>United Breweries Ltd.</t>
        </is>
      </c>
      <c r="C265" s="16" t="inlineStr">
        <is>
          <t>Breweries &amp; Distilleries</t>
        </is>
      </c>
      <c r="D265" s="16" t="inlineStr">
        <is>
          <t>Food, Beverages &amp; Tobacco</t>
        </is>
      </c>
      <c r="E265" s="16" t="inlineStr">
        <is>
          <t>INE686F01025</t>
        </is>
      </c>
      <c r="F265" s="17" t="n">
        <v>33827.99</v>
      </c>
      <c r="G265" s="18" t="n">
        <v>1279.4</v>
      </c>
      <c r="H265" s="19" t="n">
        <v>-0.0037</v>
      </c>
      <c r="I265" s="20" t="n">
        <v>11</v>
      </c>
      <c r="J265" s="16" t="inlineStr">
        <is>
          <t>red</t>
        </is>
      </c>
      <c r="K265" s="20" t="n">
        <v>110</v>
      </c>
      <c r="L265" s="18" t="n">
        <v>15.24</v>
      </c>
      <c r="M265" s="18" t="n">
        <v>1312.25</v>
      </c>
      <c r="N265" s="18" t="n">
        <v>1360.32</v>
      </c>
      <c r="O265" s="18" t="n">
        <v>1469.68</v>
      </c>
      <c r="P265" s="18" t="n">
        <v>1827.3</v>
      </c>
      <c r="Q265" s="18" t="n">
        <v>1276.91</v>
      </c>
      <c r="R265" s="21">
        <f>IF(OR(G265="",P265=""),"",G265/P265-1)</f>
        <v/>
      </c>
      <c r="S265" s="19" t="n">
        <v>3.1275</v>
      </c>
      <c r="T265" s="22" t="n">
        <v>-0.0293</v>
      </c>
      <c r="U265" s="16" t="inlineStr">
        <is>
          <t>No</t>
        </is>
      </c>
      <c r="V265" s="16" t="inlineStr">
        <is>
          <t>No</t>
        </is>
      </c>
      <c r="W265" s="16" t="inlineStr">
        <is>
          <t>No</t>
        </is>
      </c>
      <c r="X265" s="16" t="inlineStr">
        <is>
          <t>No</t>
        </is>
      </c>
      <c r="Y265" s="20" t="n">
        <v>286</v>
      </c>
      <c r="Z265" s="19" t="n">
        <v>-0.07440000000000001</v>
      </c>
      <c r="AA265" s="18" t="n">
        <v>45.14</v>
      </c>
      <c r="AB265" s="16" t="inlineStr">
        <is>
          <t>Average</t>
        </is>
      </c>
      <c r="AC265" s="16" t="inlineStr">
        <is>
          <t>No</t>
        </is>
      </c>
      <c r="AD265" s="19" t="n">
        <v>0.0969</v>
      </c>
      <c r="AE265" s="19" t="n">
        <v>0.121</v>
      </c>
      <c r="AF265" s="19" t="n">
        <v>0.1205</v>
      </c>
      <c r="AG265" s="19" t="n">
        <v>0.0809</v>
      </c>
      <c r="AH265" s="23" t="n">
        <v>0.29</v>
      </c>
      <c r="AI265" s="23" t="n">
        <v>3.62</v>
      </c>
      <c r="AJ265" s="19" t="n">
        <v>0.2009</v>
      </c>
    </row>
    <row r="266">
      <c r="A266" s="16" t="inlineStr">
        <is>
          <t>KARURVYSYA</t>
        </is>
      </c>
      <c r="B266" s="16" t="inlineStr">
        <is>
          <t>Karur Vysya Bank Ltd.</t>
        </is>
      </c>
      <c r="C266" s="16" t="inlineStr">
        <is>
          <t>Banks</t>
        </is>
      </c>
      <c r="D266" s="16" t="inlineStr">
        <is>
          <t>Banking and Finance</t>
        </is>
      </c>
      <c r="E266" s="16" t="inlineStr">
        <is>
          <t>INE036D01028</t>
        </is>
      </c>
      <c r="F266" s="17" t="n">
        <v>33723.01</v>
      </c>
      <c r="G266" s="18" t="n">
        <v>348.85</v>
      </c>
      <c r="H266" s="19" t="n">
        <v>-0.0033</v>
      </c>
      <c r="I266" s="20" t="n">
        <v>78</v>
      </c>
      <c r="J266" s="16" t="inlineStr">
        <is>
          <t>amber</t>
        </is>
      </c>
      <c r="K266" s="20" t="n">
        <v>24</v>
      </c>
      <c r="L266" s="18" t="n">
        <v>67.78</v>
      </c>
      <c r="M266" s="18" t="n">
        <v>348.41</v>
      </c>
      <c r="N266" s="18" t="n">
        <v>326.74</v>
      </c>
      <c r="O266" s="18" t="n">
        <v>292.83</v>
      </c>
      <c r="P266" s="18" t="n">
        <v>354.35</v>
      </c>
      <c r="Q266" s="18" t="n">
        <v>201.39</v>
      </c>
      <c r="R266" s="21">
        <f>IF(OR(G266="",P266=""),"",G266/P266-1)</f>
        <v/>
      </c>
      <c r="S266" s="19" t="n">
        <v>0.5403</v>
      </c>
      <c r="T266" s="22" t="n">
        <v>0.0331</v>
      </c>
      <c r="U266" s="16" t="inlineStr">
        <is>
          <t>Yes</t>
        </is>
      </c>
      <c r="V266" s="16" t="inlineStr">
        <is>
          <t>Yes</t>
        </is>
      </c>
      <c r="W266" s="16" t="inlineStr">
        <is>
          <t>Yes</t>
        </is>
      </c>
      <c r="X266" s="16" t="inlineStr">
        <is>
          <t>Yes</t>
        </is>
      </c>
      <c r="Y266" s="20" t="n">
        <v>313</v>
      </c>
      <c r="Z266" s="19" t="n">
        <v>0.1158</v>
      </c>
      <c r="AA266" s="18" t="n">
        <v>68.94</v>
      </c>
      <c r="AB266" s="16" t="inlineStr">
        <is>
          <t>High</t>
        </is>
      </c>
      <c r="AC266" s="16" t="inlineStr">
        <is>
          <t>Yes</t>
        </is>
      </c>
      <c r="AD266" s="19" t="n">
        <v>0.1668</v>
      </c>
      <c r="AE266" s="19" t="n"/>
      <c r="AF266" s="19" t="n">
        <v>0.3165</v>
      </c>
      <c r="AG266" s="19" t="n">
        <v>0.1877</v>
      </c>
      <c r="AH266" s="23" t="n">
        <v>0.19</v>
      </c>
      <c r="AI266" s="23" t="n">
        <v>14</v>
      </c>
      <c r="AJ266" s="19" t="n">
        <v>0</v>
      </c>
    </row>
    <row r="267">
      <c r="A267" s="16" t="inlineStr">
        <is>
          <t>SAILIFE</t>
        </is>
      </c>
      <c r="B267" s="16" t="inlineStr">
        <is>
          <t>Sai Life Science Ltd.</t>
        </is>
      </c>
      <c r="C267" s="16" t="inlineStr">
        <is>
          <t>Pharmaceuticals</t>
        </is>
      </c>
      <c r="D267" s="16" t="inlineStr">
        <is>
          <t>Pharmaceuticals &amp; Biotechnology</t>
        </is>
      </c>
      <c r="E267" s="16" t="inlineStr">
        <is>
          <t>INE570L01029</t>
        </is>
      </c>
      <c r="F267" s="17" t="n">
        <v>33649.61</v>
      </c>
      <c r="G267" s="18" t="n">
        <v>1584.3</v>
      </c>
      <c r="H267" s="19" t="n">
        <v>0.006</v>
      </c>
      <c r="I267" s="20" t="n">
        <v>87</v>
      </c>
      <c r="J267" s="16" t="inlineStr">
        <is>
          <t>green</t>
        </is>
      </c>
      <c r="K267" s="20" t="n">
        <v>51</v>
      </c>
      <c r="L267" s="18" t="n">
        <v>73.55</v>
      </c>
      <c r="M267" s="18" t="n">
        <v>1519.76</v>
      </c>
      <c r="N267" s="18" t="n">
        <v>1358.99</v>
      </c>
      <c r="O267" s="18" t="n">
        <v>1083.56</v>
      </c>
      <c r="P267" s="18" t="n">
        <v>1587</v>
      </c>
      <c r="Q267" s="18" t="n">
        <v>795</v>
      </c>
      <c r="R267" s="21">
        <f>IF(OR(G267="",P267=""),"",G267/P267-1)</f>
        <v/>
      </c>
      <c r="S267" s="19" t="n">
        <v>0.8062</v>
      </c>
      <c r="T267" s="22" t="n">
        <v>0.0566</v>
      </c>
      <c r="U267" s="16" t="inlineStr">
        <is>
          <t>Yes</t>
        </is>
      </c>
      <c r="V267" s="16" t="inlineStr">
        <is>
          <t>Yes</t>
        </is>
      </c>
      <c r="W267" s="16" t="inlineStr">
        <is>
          <t>Yes</t>
        </is>
      </c>
      <c r="X267" s="16" t="inlineStr">
        <is>
          <t>Yes</t>
        </is>
      </c>
      <c r="Y267" s="20" t="n">
        <v>230</v>
      </c>
      <c r="Z267" s="19" t="n">
        <v>0.2542</v>
      </c>
      <c r="AA267" s="18" t="n">
        <v>59.42</v>
      </c>
      <c r="AB267" s="16" t="inlineStr">
        <is>
          <t>Good</t>
        </is>
      </c>
      <c r="AC267" s="16" t="inlineStr">
        <is>
          <t>No</t>
        </is>
      </c>
      <c r="AD267" s="19" t="n">
        <v>0.1018</v>
      </c>
      <c r="AE267" s="19" t="n">
        <v>0.1358</v>
      </c>
      <c r="AF267" s="19" t="n">
        <v>3.1211</v>
      </c>
      <c r="AG267" s="19" t="n">
        <v>0.2247</v>
      </c>
      <c r="AH267" s="23" t="n">
        <v>0.12</v>
      </c>
      <c r="AI267" s="23" t="n">
        <v>1.05</v>
      </c>
      <c r="AJ267" s="19" t="n">
        <v>0.1301</v>
      </c>
    </row>
    <row r="268">
      <c r="A268" s="16" t="inlineStr">
        <is>
          <t>ITCHOTELS</t>
        </is>
      </c>
      <c r="B268" s="16" t="inlineStr">
        <is>
          <t>ITC Hotels Ltd.</t>
        </is>
      </c>
      <c r="C268" s="16" t="inlineStr">
        <is>
          <t>Hotels</t>
        </is>
      </c>
      <c r="D268" s="16" t="inlineStr">
        <is>
          <t>Hotels Restaurants &amp; Tourism</t>
        </is>
      </c>
      <c r="E268" s="16" t="inlineStr">
        <is>
          <t>INE379A01028</t>
        </is>
      </c>
      <c r="F268" s="17" t="n">
        <v>33584.3</v>
      </c>
      <c r="G268" s="18" t="n">
        <v>161.23</v>
      </c>
      <c r="H268" s="19" t="n">
        <v>0.0061</v>
      </c>
      <c r="I268" s="20" t="n">
        <v>22</v>
      </c>
      <c r="J268" s="16" t="inlineStr">
        <is>
          <t>red</t>
        </is>
      </c>
      <c r="K268" s="20" t="n">
        <v>232</v>
      </c>
      <c r="L268" s="18" t="n">
        <v>38.72</v>
      </c>
      <c r="M268" s="18" t="n">
        <v>161.92</v>
      </c>
      <c r="N268" s="18" t="n">
        <v>169.25</v>
      </c>
      <c r="O268" s="18" t="n">
        <v>171.8</v>
      </c>
      <c r="P268" s="18" t="n">
        <v>245.98</v>
      </c>
      <c r="Q268" s="18" t="n">
        <v>136.97</v>
      </c>
      <c r="R268" s="21">
        <f>IF(OR(G268="",P268=""),"",G268/P268-1)</f>
        <v/>
      </c>
      <c r="S268" s="19" t="n">
        <v>1.24</v>
      </c>
      <c r="T268" s="22" t="n">
        <v>-0.0273</v>
      </c>
      <c r="U268" s="16" t="inlineStr">
        <is>
          <t>No</t>
        </is>
      </c>
      <c r="V268" s="16" t="inlineStr">
        <is>
          <t>No</t>
        </is>
      </c>
      <c r="W268" s="16" t="inlineStr">
        <is>
          <t>No</t>
        </is>
      </c>
      <c r="X268" s="16" t="inlineStr">
        <is>
          <t>No</t>
        </is>
      </c>
      <c r="Y268" s="20" t="n">
        <v>186</v>
      </c>
      <c r="Z268" s="19" t="n">
        <v>-0.0149</v>
      </c>
      <c r="AA268" s="18" t="n">
        <v>49.1</v>
      </c>
      <c r="AB268" s="16" t="inlineStr">
        <is>
          <t>Average</t>
        </is>
      </c>
      <c r="AC268" s="16" t="inlineStr">
        <is>
          <t>No</t>
        </is>
      </c>
      <c r="AD268" s="19" t="n">
        <v>0.06469999999999999</v>
      </c>
      <c r="AE268" s="19" t="n">
        <v>0.08960000000000001</v>
      </c>
      <c r="AF268" s="19" t="n">
        <v>0.2852</v>
      </c>
      <c r="AG268" s="19" t="n">
        <v>0.1654</v>
      </c>
      <c r="AH268" s="23" t="n">
        <v>0.01</v>
      </c>
      <c r="AI268" s="23" t="n">
        <v>0.49</v>
      </c>
      <c r="AJ268" s="19" t="n">
        <v>0.0437</v>
      </c>
    </row>
    <row r="269">
      <c r="A269" s="16" t="inlineStr">
        <is>
          <t>NUVAMA</t>
        </is>
      </c>
      <c r="B269" s="16" t="inlineStr">
        <is>
          <t>Nuvama Wealth Management Ltd.</t>
        </is>
      </c>
      <c r="C269" s="16" t="inlineStr">
        <is>
          <t>Capital Markets</t>
        </is>
      </c>
      <c r="D269" s="16" t="inlineStr">
        <is>
          <t>Banking and Finance</t>
        </is>
      </c>
      <c r="E269" s="16" t="inlineStr">
        <is>
          <t>INE531F01023</t>
        </is>
      </c>
      <c r="F269" s="17" t="n">
        <v>33446.66</v>
      </c>
      <c r="G269" s="18" t="n">
        <v>1815.6</v>
      </c>
      <c r="H269" s="19" t="n">
        <v>-0.0128</v>
      </c>
      <c r="I269" s="20" t="n">
        <v>76</v>
      </c>
      <c r="J269" s="16" t="inlineStr">
        <is>
          <t>amber</t>
        </is>
      </c>
      <c r="K269" s="20" t="n">
        <v>25</v>
      </c>
      <c r="L269" s="18" t="n">
        <v>65.3</v>
      </c>
      <c r="M269" s="18" t="n">
        <v>1800.34</v>
      </c>
      <c r="N269" s="18" t="n">
        <v>1804.96</v>
      </c>
      <c r="O269" s="18" t="n">
        <v>1496.32</v>
      </c>
      <c r="P269" s="18" t="n">
        <v>1980.1</v>
      </c>
      <c r="Q269" s="18" t="n">
        <v>1100.08</v>
      </c>
      <c r="R269" s="21">
        <f>IF(OR(G269="",P269=""),"",G269/P269-1)</f>
        <v/>
      </c>
      <c r="S269" s="19" t="n">
        <v>0.7193999999999999</v>
      </c>
      <c r="T269" s="22" t="n">
        <v>0.0214</v>
      </c>
      <c r="U269" s="16" t="inlineStr">
        <is>
          <t>Yes</t>
        </is>
      </c>
      <c r="V269" s="16" t="inlineStr">
        <is>
          <t>Yes</t>
        </is>
      </c>
      <c r="W269" s="16" t="inlineStr">
        <is>
          <t>Yes</t>
        </is>
      </c>
      <c r="X269" s="16" t="inlineStr">
        <is>
          <t>Yes</t>
        </is>
      </c>
      <c r="Y269" s="20" t="n">
        <v>70</v>
      </c>
      <c r="Z269" s="19" t="n">
        <v>0.2063</v>
      </c>
      <c r="AA269" s="18" t="n">
        <v>77.02</v>
      </c>
      <c r="AB269" s="16" t="inlineStr">
        <is>
          <t>High</t>
        </is>
      </c>
      <c r="AC269" s="16" t="inlineStr">
        <is>
          <t>Yes</t>
        </is>
      </c>
      <c r="AD269" s="19" t="n">
        <v>0.2504</v>
      </c>
      <c r="AE269" s="19" t="n">
        <v>0.1615</v>
      </c>
      <c r="AF269" s="19" t="n">
        <v>0.5292</v>
      </c>
      <c r="AG269" s="19" t="n">
        <v>0.204</v>
      </c>
      <c r="AH269" s="23" t="n">
        <v>2.8</v>
      </c>
      <c r="AI269" s="23" t="n">
        <v>10.82</v>
      </c>
      <c r="AJ269" s="19" t="n">
        <v>0.001</v>
      </c>
    </row>
    <row r="270">
      <c r="A270" s="16" t="inlineStr">
        <is>
          <t>ESCORTS</t>
        </is>
      </c>
      <c r="B270" s="16" t="inlineStr">
        <is>
          <t>Escorts Kubota Ltd.</t>
        </is>
      </c>
      <c r="C270" s="16" t="inlineStr">
        <is>
          <t>Commercial Vehicles</t>
        </is>
      </c>
      <c r="D270" s="16" t="inlineStr">
        <is>
          <t>Automobiles &amp; Auto Components</t>
        </is>
      </c>
      <c r="E270" s="16" t="inlineStr">
        <is>
          <t>INE042A01014</t>
        </is>
      </c>
      <c r="F270" s="17" t="n">
        <v>33214.28</v>
      </c>
      <c r="G270" s="18" t="n">
        <v>2968.8</v>
      </c>
      <c r="H270" s="19" t="n">
        <v>-0.0032</v>
      </c>
      <c r="I270" s="20" t="n">
        <v>27</v>
      </c>
      <c r="J270" s="16" t="inlineStr">
        <is>
          <t>red</t>
        </is>
      </c>
      <c r="K270" s="20" t="n">
        <v>118</v>
      </c>
      <c r="L270" s="18" t="n">
        <v>29.22</v>
      </c>
      <c r="M270" s="18" t="n">
        <v>3004.26</v>
      </c>
      <c r="N270" s="18" t="n">
        <v>3008.1</v>
      </c>
      <c r="O270" s="18" t="n">
        <v>3212.02</v>
      </c>
      <c r="P270" s="18" t="n">
        <v>3898.11</v>
      </c>
      <c r="Q270" s="18" t="n">
        <v>2694.21</v>
      </c>
      <c r="R270" s="21">
        <f>IF(OR(G270="",P270=""),"",G270/P270-1)</f>
        <v/>
      </c>
      <c r="S270" s="19" t="n">
        <v>0.5859000000000001</v>
      </c>
      <c r="T270" s="22" t="n">
        <v>-0.0169</v>
      </c>
      <c r="U270" s="16" t="inlineStr">
        <is>
          <t>No</t>
        </is>
      </c>
      <c r="V270" s="16" t="inlineStr">
        <is>
          <t>No</t>
        </is>
      </c>
      <c r="W270" s="16" t="inlineStr">
        <is>
          <t>No</t>
        </is>
      </c>
      <c r="X270" s="16" t="inlineStr">
        <is>
          <t>No</t>
        </is>
      </c>
      <c r="Y270" s="20" t="n">
        <v>119</v>
      </c>
      <c r="Z270" s="19" t="n">
        <v>-0.0635</v>
      </c>
      <c r="AA270" s="18" t="n">
        <v>65.34</v>
      </c>
      <c r="AB270" s="16" t="inlineStr">
        <is>
          <t>High</t>
        </is>
      </c>
      <c r="AC270" s="16" t="inlineStr">
        <is>
          <t>No</t>
        </is>
      </c>
      <c r="AD270" s="19" t="n">
        <v>0.1434</v>
      </c>
      <c r="AE270" s="19" t="n">
        <v>0.1363</v>
      </c>
      <c r="AF270" s="19" t="n">
        <v>0.5776</v>
      </c>
      <c r="AG270" s="19" t="n">
        <v>0.114</v>
      </c>
      <c r="AH270" s="23" t="n">
        <v>0.01</v>
      </c>
      <c r="AI270" s="23" t="n">
        <v>5.05</v>
      </c>
      <c r="AJ270" s="19" t="n">
        <v>0.0834</v>
      </c>
    </row>
    <row r="271">
      <c r="A271" s="16" t="inlineStr">
        <is>
          <t>DHOOTTRANS</t>
        </is>
      </c>
      <c r="B271" s="16" t="inlineStr">
        <is>
          <t>Dhoot Transmission Ltd.</t>
        </is>
      </c>
      <c r="C271" s="16" t="inlineStr">
        <is>
          <t>Auto Parts &amp; Equipment</t>
        </is>
      </c>
      <c r="D271" s="16" t="inlineStr">
        <is>
          <t>Automobiles &amp; Auto Components</t>
        </is>
      </c>
      <c r="E271" s="16" t="inlineStr">
        <is>
          <t>INE01NH01023</t>
        </is>
      </c>
      <c r="F271" s="17" t="n">
        <v>33048.84</v>
      </c>
      <c r="G271" s="18" t="n">
        <v>1615.7</v>
      </c>
      <c r="H271" s="19" t="n">
        <v>0.0203</v>
      </c>
      <c r="I271" s="20" t="n"/>
      <c r="J271" s="16" t="n"/>
      <c r="K271" s="20" t="n"/>
      <c r="L271" s="18" t="n">
        <v>77.13</v>
      </c>
      <c r="M271" s="18" t="n">
        <v>1522.04</v>
      </c>
      <c r="N271" s="18" t="n"/>
      <c r="O271" s="18" t="n"/>
      <c r="P271" s="18" t="n">
        <v>1615.7</v>
      </c>
      <c r="Q271" s="18" t="n">
        <v>1187.05</v>
      </c>
      <c r="R271" s="21">
        <f>IF(OR(G271="",P271=""),"",G271/P271-1)</f>
        <v/>
      </c>
      <c r="S271" s="19" t="n">
        <v>0.7288</v>
      </c>
      <c r="T271" s="22" t="n"/>
      <c r="U271" s="16" t="n"/>
      <c r="V271" s="16" t="n"/>
      <c r="W271" s="16" t="inlineStr">
        <is>
          <t>Yes</t>
        </is>
      </c>
      <c r="X271" s="16" t="n"/>
      <c r="Y271" s="20" t="n"/>
      <c r="Z271" s="19" t="n"/>
      <c r="AA271" s="18" t="n"/>
      <c r="AB271" s="16" t="n"/>
      <c r="AC271" s="16" t="inlineStr">
        <is>
          <t>No</t>
        </is>
      </c>
      <c r="AD271" s="19" t="n"/>
      <c r="AE271" s="19" t="n"/>
      <c r="AF271" s="19" t="n"/>
      <c r="AG271" s="19" t="n"/>
      <c r="AH271" s="23" t="n"/>
      <c r="AI271" s="23" t="n"/>
      <c r="AJ271" s="19" t="n"/>
    </row>
    <row r="272">
      <c r="A272" s="16" t="inlineStr">
        <is>
          <t>DALBHARAT</t>
        </is>
      </c>
      <c r="B272" s="16" t="inlineStr">
        <is>
          <t>Dalmia Bharat Ltd.</t>
        </is>
      </c>
      <c r="C272" s="16" t="inlineStr">
        <is>
          <t>Cement &amp; Cement Products</t>
        </is>
      </c>
      <c r="D272" s="16" t="inlineStr">
        <is>
          <t>Cement and Construction</t>
        </is>
      </c>
      <c r="E272" s="16" t="inlineStr">
        <is>
          <t>INE00R701025</t>
        </is>
      </c>
      <c r="F272" s="17" t="n">
        <v>32810.92</v>
      </c>
      <c r="G272" s="18" t="n">
        <v>1749.3</v>
      </c>
      <c r="H272" s="19" t="n">
        <v>-0.0124</v>
      </c>
      <c r="I272" s="20" t="n">
        <v>26</v>
      </c>
      <c r="J272" s="16" t="inlineStr">
        <is>
          <t>red</t>
        </is>
      </c>
      <c r="K272" s="20" t="n">
        <v>111</v>
      </c>
      <c r="L272" s="18" t="n">
        <v>37.68</v>
      </c>
      <c r="M272" s="18" t="n">
        <v>1821.99</v>
      </c>
      <c r="N272" s="18" t="n">
        <v>1813.38</v>
      </c>
      <c r="O272" s="18" t="n">
        <v>1909.61</v>
      </c>
      <c r="P272" s="18" t="n">
        <v>2464.34</v>
      </c>
      <c r="Q272" s="18" t="n">
        <v>1605.49</v>
      </c>
      <c r="R272" s="21">
        <f>IF(OR(G272="",P272=""),"",G272/P272-1)</f>
        <v/>
      </c>
      <c r="S272" s="19" t="n">
        <v>0.2939</v>
      </c>
      <c r="T272" s="22" t="n">
        <v>-0.0121</v>
      </c>
      <c r="U272" s="16" t="inlineStr">
        <is>
          <t>No</t>
        </is>
      </c>
      <c r="V272" s="16" t="inlineStr">
        <is>
          <t>No</t>
        </is>
      </c>
      <c r="W272" s="16" t="inlineStr">
        <is>
          <t>No</t>
        </is>
      </c>
      <c r="X272" s="16" t="inlineStr">
        <is>
          <t>No</t>
        </is>
      </c>
      <c r="Y272" s="20" t="n">
        <v>180</v>
      </c>
      <c r="Z272" s="19" t="n">
        <v>-0.0504</v>
      </c>
      <c r="AA272" s="18" t="n">
        <v>28.82</v>
      </c>
      <c r="AB272" s="16" t="inlineStr">
        <is>
          <t>Poor</t>
        </is>
      </c>
      <c r="AC272" s="16" t="inlineStr">
        <is>
          <t>No</t>
        </is>
      </c>
      <c r="AD272" s="19" t="n">
        <v>0.051</v>
      </c>
      <c r="AE272" s="19" t="n">
        <v>0.0658</v>
      </c>
      <c r="AF272" s="19" t="n">
        <v>0.0975</v>
      </c>
      <c r="AG272" s="19" t="n">
        <v>0.039</v>
      </c>
      <c r="AH272" s="23" t="n">
        <v>0.41</v>
      </c>
      <c r="AI272" s="23" t="n">
        <v>0.76</v>
      </c>
      <c r="AJ272" s="19" t="n">
        <v>0.1332</v>
      </c>
    </row>
    <row r="273">
      <c r="A273" s="16" t="inlineStr">
        <is>
          <t>STARHEALTH</t>
        </is>
      </c>
      <c r="B273" s="16" t="inlineStr">
        <is>
          <t>Star Health and Allied Insurance Company Ltd.</t>
        </is>
      </c>
      <c r="C273" s="16" t="inlineStr">
        <is>
          <t>General Insurance</t>
        </is>
      </c>
      <c r="D273" s="16" t="inlineStr">
        <is>
          <t>Banking and Finance</t>
        </is>
      </c>
      <c r="E273" s="16" t="inlineStr">
        <is>
          <t>INE575P01011</t>
        </is>
      </c>
      <c r="F273" s="17" t="n">
        <v>32754.31</v>
      </c>
      <c r="G273" s="18" t="n">
        <v>557.35</v>
      </c>
      <c r="H273" s="19" t="n">
        <v>-0.0036</v>
      </c>
      <c r="I273" s="20" t="n">
        <v>62</v>
      </c>
      <c r="J273" s="16" t="inlineStr">
        <is>
          <t>amber</t>
        </is>
      </c>
      <c r="K273" s="20" t="n">
        <v>40</v>
      </c>
      <c r="L273" s="18" t="n">
        <v>29.05</v>
      </c>
      <c r="M273" s="18" t="n">
        <v>568.89</v>
      </c>
      <c r="N273" s="18" t="n">
        <v>584</v>
      </c>
      <c r="O273" s="18" t="n">
        <v>509.12</v>
      </c>
      <c r="P273" s="18" t="n">
        <v>610.4</v>
      </c>
      <c r="Q273" s="18" t="n">
        <v>425.15</v>
      </c>
      <c r="R273" s="21">
        <f>IF(OR(G273="",P273=""),"",G273/P273-1)</f>
        <v/>
      </c>
      <c r="S273" s="19" t="n">
        <v>0.5959</v>
      </c>
      <c r="T273" s="22" t="n">
        <v>0.0161</v>
      </c>
      <c r="U273" s="16" t="inlineStr">
        <is>
          <t>Yes</t>
        </is>
      </c>
      <c r="V273" s="16" t="inlineStr">
        <is>
          <t>No</t>
        </is>
      </c>
      <c r="W273" s="16" t="inlineStr">
        <is>
          <t>No</t>
        </is>
      </c>
      <c r="X273" s="16" t="inlineStr">
        <is>
          <t>Yes</t>
        </is>
      </c>
      <c r="Y273" s="20" t="n">
        <v>115</v>
      </c>
      <c r="Z273" s="19" t="n">
        <v>0.1471</v>
      </c>
      <c r="AA273" s="18" t="n">
        <v>39.86</v>
      </c>
      <c r="AB273" s="16" t="inlineStr">
        <is>
          <t>Weak</t>
        </is>
      </c>
      <c r="AC273" s="16" t="inlineStr">
        <is>
          <t>Yes</t>
        </is>
      </c>
      <c r="AD273" s="19" t="n">
        <v>0.09669999999999999</v>
      </c>
      <c r="AE273" s="19" t="n">
        <v>0.1307</v>
      </c>
      <c r="AF273" s="19" t="n">
        <v>0.0001</v>
      </c>
      <c r="AG273" s="19" t="n">
        <v>0.1407</v>
      </c>
      <c r="AH273" s="23" t="n">
        <v>0.06</v>
      </c>
      <c r="AI273" s="23" t="n">
        <v>190.44</v>
      </c>
      <c r="AJ273" s="19" t="n">
        <v>0.0898</v>
      </c>
    </row>
    <row r="274">
      <c r="A274" s="16" t="inlineStr">
        <is>
          <t>TATATECH</t>
        </is>
      </c>
      <c r="B274" s="16" t="inlineStr">
        <is>
          <t>Tata Technologies Ltd.</t>
        </is>
      </c>
      <c r="C274" s="16" t="inlineStr">
        <is>
          <t>IT Software Products</t>
        </is>
      </c>
      <c r="D274" s="16" t="inlineStr">
        <is>
          <t>Software &amp; Services</t>
        </is>
      </c>
      <c r="E274" s="16" t="inlineStr">
        <is>
          <t>INE142M01025</t>
        </is>
      </c>
      <c r="F274" s="17" t="n">
        <v>32484.14</v>
      </c>
      <c r="G274" s="18" t="n">
        <v>800</v>
      </c>
      <c r="H274" s="19" t="n">
        <v>-0.0063</v>
      </c>
      <c r="I274" s="20" t="n">
        <v>67</v>
      </c>
      <c r="J274" s="16" t="inlineStr">
        <is>
          <t>amber</t>
        </is>
      </c>
      <c r="K274" s="20" t="n">
        <v>15</v>
      </c>
      <c r="L274" s="18" t="n">
        <v>35.94</v>
      </c>
      <c r="M274" s="18" t="n">
        <v>811.4400000000001</v>
      </c>
      <c r="N274" s="18" t="n">
        <v>773.17</v>
      </c>
      <c r="O274" s="18" t="n">
        <v>664.36</v>
      </c>
      <c r="P274" s="18" t="n">
        <v>879.15</v>
      </c>
      <c r="Q274" s="18" t="n">
        <v>501.5</v>
      </c>
      <c r="R274" s="21">
        <f>IF(OR(G274="",P274=""),"",G274/P274-1)</f>
        <v/>
      </c>
      <c r="S274" s="19" t="n">
        <v>0.5393</v>
      </c>
      <c r="T274" s="22" t="n">
        <v>0.0231</v>
      </c>
      <c r="U274" s="16" t="inlineStr">
        <is>
          <t>Yes</t>
        </is>
      </c>
      <c r="V274" s="16" t="inlineStr">
        <is>
          <t>Yes</t>
        </is>
      </c>
      <c r="W274" s="16" t="inlineStr">
        <is>
          <t>No</t>
        </is>
      </c>
      <c r="X274" s="16" t="inlineStr">
        <is>
          <t>Yes</t>
        </is>
      </c>
      <c r="Y274" s="20" t="n">
        <v>58</v>
      </c>
      <c r="Z274" s="19" t="n">
        <v>0.1638</v>
      </c>
      <c r="AA274" s="18" t="n">
        <v>40</v>
      </c>
      <c r="AB274" s="16" t="inlineStr">
        <is>
          <t>Average</t>
        </is>
      </c>
      <c r="AC274" s="16" t="inlineStr">
        <is>
          <t>No</t>
        </is>
      </c>
      <c r="AD274" s="19" t="n">
        <v>0.1798</v>
      </c>
      <c r="AE274" s="19" t="n">
        <v>0.2281</v>
      </c>
      <c r="AF274" s="19" t="n">
        <v>-0.036</v>
      </c>
      <c r="AG274" s="19" t="n">
        <v>0.07829999999999999</v>
      </c>
      <c r="AH274" s="23" t="n">
        <v>0.24</v>
      </c>
      <c r="AI274" s="23" t="n">
        <v>18.55</v>
      </c>
      <c r="AJ274" s="19" t="n">
        <v>0.0021</v>
      </c>
    </row>
    <row r="275">
      <c r="A275" s="16" t="inlineStr">
        <is>
          <t>HEXT</t>
        </is>
      </c>
      <c r="B275" s="16" t="inlineStr">
        <is>
          <t>Hexaware Technologies Ltd.</t>
        </is>
      </c>
      <c r="C275" s="16" t="inlineStr">
        <is>
          <t>IT Consulting &amp; Software</t>
        </is>
      </c>
      <c r="D275" s="16" t="inlineStr">
        <is>
          <t>Software &amp; Services</t>
        </is>
      </c>
      <c r="E275" s="16" t="inlineStr">
        <is>
          <t>INE093A01041</t>
        </is>
      </c>
      <c r="F275" s="17" t="n">
        <v>32192.11</v>
      </c>
      <c r="G275" s="18" t="n">
        <v>528.6</v>
      </c>
      <c r="H275" s="19" t="n">
        <v>-0.0009</v>
      </c>
      <c r="I275" s="20" t="n">
        <v>25</v>
      </c>
      <c r="J275" s="16" t="inlineStr">
        <is>
          <t>red</t>
        </is>
      </c>
      <c r="K275" s="20" t="n">
        <v>147</v>
      </c>
      <c r="L275" s="18" t="n">
        <v>33.28</v>
      </c>
      <c r="M275" s="18" t="n">
        <v>546.8</v>
      </c>
      <c r="N275" s="18" t="n">
        <v>555.16</v>
      </c>
      <c r="O275" s="18" t="n">
        <v>565.16</v>
      </c>
      <c r="P275" s="18" t="n">
        <v>777.85</v>
      </c>
      <c r="Q275" s="18" t="n">
        <v>399.45</v>
      </c>
      <c r="R275" s="21">
        <f>IF(OR(G275="",P275=""),"",G275/P275-1)</f>
        <v/>
      </c>
      <c r="S275" s="19" t="n">
        <v>0.2238</v>
      </c>
      <c r="T275" s="22" t="n">
        <v>-0.0233</v>
      </c>
      <c r="U275" s="16" t="inlineStr">
        <is>
          <t>No</t>
        </is>
      </c>
      <c r="V275" s="16" t="inlineStr">
        <is>
          <t>No</t>
        </is>
      </c>
      <c r="W275" s="16" t="inlineStr">
        <is>
          <t>No</t>
        </is>
      </c>
      <c r="X275" s="16" t="inlineStr">
        <is>
          <t>No</t>
        </is>
      </c>
      <c r="Y275" s="20" t="n">
        <v>184</v>
      </c>
      <c r="Z275" s="19" t="n">
        <v>-0.0177</v>
      </c>
      <c r="AA275" s="18" t="n">
        <v>70.45</v>
      </c>
      <c r="AB275" s="16" t="inlineStr">
        <is>
          <t>High</t>
        </is>
      </c>
      <c r="AC275" s="16" t="inlineStr">
        <is>
          <t>No</t>
        </is>
      </c>
      <c r="AD275" s="19" t="n">
        <v>0.2172</v>
      </c>
      <c r="AE275" s="19" t="n">
        <v>0.2603</v>
      </c>
      <c r="AF275" s="19" t="n">
        <v>0.1698</v>
      </c>
      <c r="AG275" s="19" t="n">
        <v>0.1376</v>
      </c>
      <c r="AH275" s="23" t="n">
        <v>0.11</v>
      </c>
      <c r="AI275" s="23" t="n">
        <v>9.43</v>
      </c>
      <c r="AJ275" s="19" t="n">
        <v>0.09429999999999999</v>
      </c>
    </row>
    <row r="276">
      <c r="A276" s="16" t="inlineStr">
        <is>
          <t>KIMS</t>
        </is>
      </c>
      <c r="B276" s="16" t="inlineStr">
        <is>
          <t>Krishna Institute of Medical Sciences Ltd.</t>
        </is>
      </c>
      <c r="C276" s="16" t="inlineStr">
        <is>
          <t>Healthcare Facilities</t>
        </is>
      </c>
      <c r="D276" s="16" t="inlineStr">
        <is>
          <t>Healthcare</t>
        </is>
      </c>
      <c r="E276" s="16" t="inlineStr">
        <is>
          <t>INE967H01025</t>
        </is>
      </c>
      <c r="F276" s="17" t="n">
        <v>32092.7</v>
      </c>
      <c r="G276" s="18" t="n">
        <v>764.1</v>
      </c>
      <c r="H276" s="19" t="n">
        <v>-0.0049</v>
      </c>
      <c r="I276" s="20" t="n">
        <v>44</v>
      </c>
      <c r="J276" s="16" t="inlineStr">
        <is>
          <t>red</t>
        </is>
      </c>
      <c r="K276" s="20" t="n">
        <v>13</v>
      </c>
      <c r="L276" s="18" t="n">
        <v>35.54</v>
      </c>
      <c r="M276" s="18" t="n">
        <v>761.88</v>
      </c>
      <c r="N276" s="18" t="n">
        <v>797.39</v>
      </c>
      <c r="O276" s="18" t="n">
        <v>713.09</v>
      </c>
      <c r="P276" s="18" t="n">
        <v>850.65</v>
      </c>
      <c r="Q276" s="18" t="n">
        <v>582.1</v>
      </c>
      <c r="R276" s="21">
        <f>IF(OR(G276="",P276=""),"",G276/P276-1)</f>
        <v/>
      </c>
      <c r="S276" s="19" t="n">
        <v>0.2563</v>
      </c>
      <c r="T276" s="22" t="n">
        <v>0.0111</v>
      </c>
      <c r="U276" s="16" t="inlineStr">
        <is>
          <t>Yes</t>
        </is>
      </c>
      <c r="V276" s="16" t="inlineStr">
        <is>
          <t>No</t>
        </is>
      </c>
      <c r="W276" s="16" t="inlineStr">
        <is>
          <t>Yes</t>
        </is>
      </c>
      <c r="X276" s="16" t="inlineStr">
        <is>
          <t>Yes</t>
        </is>
      </c>
      <c r="Y276" s="20" t="n">
        <v>72</v>
      </c>
      <c r="Z276" s="19" t="n">
        <v>0.1182</v>
      </c>
      <c r="AA276" s="18" t="n">
        <v>39.09</v>
      </c>
      <c r="AB276" s="16" t="inlineStr">
        <is>
          <t>Weak</t>
        </is>
      </c>
      <c r="AC276" s="16" t="inlineStr">
        <is>
          <t>No</t>
        </is>
      </c>
      <c r="AD276" s="19" t="n">
        <v>0.1523</v>
      </c>
      <c r="AE276" s="19" t="n">
        <v>0.126</v>
      </c>
      <c r="AF276" s="19" t="n">
        <v>-0.0703</v>
      </c>
      <c r="AG276" s="19" t="n">
        <v>0.2148</v>
      </c>
      <c r="AH276" s="23" t="n">
        <v>1.89</v>
      </c>
      <c r="AI276" s="23" t="n">
        <v>0.64</v>
      </c>
      <c r="AJ276" s="19" t="n">
        <v>0.1222</v>
      </c>
    </row>
    <row r="277">
      <c r="A277" s="16" t="inlineStr">
        <is>
          <t>TATAINVEST</t>
        </is>
      </c>
      <c r="B277" s="16" t="inlineStr">
        <is>
          <t>Tata Investment Corporation Ltd.</t>
        </is>
      </c>
      <c r="C277" s="16" t="inlineStr">
        <is>
          <t>Holding Companies</t>
        </is>
      </c>
      <c r="D277" s="16" t="inlineStr">
        <is>
          <t>Diversified</t>
        </is>
      </c>
      <c r="E277" s="16" t="inlineStr">
        <is>
          <t>INE672A01026</t>
        </is>
      </c>
      <c r="F277" s="17" t="n">
        <v>32062.24</v>
      </c>
      <c r="G277" s="18" t="n">
        <v>633.7</v>
      </c>
      <c r="H277" s="19" t="n">
        <v>-0.0067</v>
      </c>
      <c r="I277" s="20" t="n">
        <v>30</v>
      </c>
      <c r="J277" s="16" t="inlineStr">
        <is>
          <t>red</t>
        </is>
      </c>
      <c r="K277" s="20" t="n">
        <v>84</v>
      </c>
      <c r="L277" s="18" t="n">
        <v>32.35</v>
      </c>
      <c r="M277" s="18" t="n">
        <v>637.61</v>
      </c>
      <c r="N277" s="18" t="n">
        <v>661.05</v>
      </c>
      <c r="O277" s="18" t="n">
        <v>667.05</v>
      </c>
      <c r="P277" s="18" t="n">
        <v>1052.57</v>
      </c>
      <c r="Q277" s="18" t="n">
        <v>538.37</v>
      </c>
      <c r="R277" s="21">
        <f>IF(OR(G277="",P277=""),"",G277/P277-1)</f>
        <v/>
      </c>
      <c r="S277" s="19" t="n">
        <v>0.3863</v>
      </c>
      <c r="T277" s="22" t="n">
        <v>-0.0207</v>
      </c>
      <c r="U277" s="16" t="inlineStr">
        <is>
          <t>No</t>
        </is>
      </c>
      <c r="V277" s="16" t="inlineStr">
        <is>
          <t>No</t>
        </is>
      </c>
      <c r="W277" s="16" t="inlineStr">
        <is>
          <t>No</t>
        </is>
      </c>
      <c r="X277" s="16" t="inlineStr">
        <is>
          <t>No</t>
        </is>
      </c>
      <c r="Y277" s="20" t="n">
        <v>155</v>
      </c>
      <c r="Z277" s="19" t="n">
        <v>-0.009000000000000001</v>
      </c>
      <c r="AA277" s="18" t="n">
        <v>30.67</v>
      </c>
      <c r="AB277" s="16" t="inlineStr">
        <is>
          <t>Poor</t>
        </is>
      </c>
      <c r="AC277" s="16" t="inlineStr">
        <is>
          <t>Yes</t>
        </is>
      </c>
      <c r="AD277" s="19" t="n">
        <v>0.0125</v>
      </c>
      <c r="AE277" s="19" t="n"/>
      <c r="AF277" s="19" t="n">
        <v>-0.0005</v>
      </c>
      <c r="AG277" s="19" t="n">
        <v>0.2143</v>
      </c>
      <c r="AH277" s="23" t="n">
        <v>0</v>
      </c>
      <c r="AI277" s="23" t="n">
        <v>293.94</v>
      </c>
      <c r="AJ277" s="19" t="n">
        <v>0</v>
      </c>
    </row>
    <row r="278">
      <c r="A278" s="16" t="inlineStr">
        <is>
          <t>KIRLOSENG</t>
        </is>
      </c>
      <c r="B278" s="16" t="inlineStr">
        <is>
          <t>Kirloskar Oil Engines Ltd.</t>
        </is>
      </c>
      <c r="C278" s="16" t="inlineStr">
        <is>
          <t>Industrial Machinery</t>
        </is>
      </c>
      <c r="D278" s="16" t="inlineStr">
        <is>
          <t>General Industrials</t>
        </is>
      </c>
      <c r="E278" s="16" t="inlineStr">
        <is>
          <t>INE146L01010</t>
        </is>
      </c>
      <c r="F278" s="17" t="n">
        <v>32042.03</v>
      </c>
      <c r="G278" s="18" t="n">
        <v>2201.9</v>
      </c>
      <c r="H278" s="19" t="n">
        <v>-0.029</v>
      </c>
      <c r="I278" s="20" t="n">
        <v>90</v>
      </c>
      <c r="J278" s="16" t="inlineStr">
        <is>
          <t>green</t>
        </is>
      </c>
      <c r="K278" s="20" t="n">
        <v>201</v>
      </c>
      <c r="L278" s="18" t="n">
        <v>58.19</v>
      </c>
      <c r="M278" s="18" t="n">
        <v>2141</v>
      </c>
      <c r="N278" s="18" t="n">
        <v>2210.57</v>
      </c>
      <c r="O278" s="18" t="n">
        <v>1650.45</v>
      </c>
      <c r="P278" s="18" t="n">
        <v>2558.19</v>
      </c>
      <c r="Q278" s="18" t="n">
        <v>859.67</v>
      </c>
      <c r="R278" s="21">
        <f>IF(OR(G278="",P278=""),"",G278/P278-1)</f>
        <v/>
      </c>
      <c r="S278" s="19" t="n">
        <v>0.7756999999999999</v>
      </c>
      <c r="T278" s="22" t="n">
        <v>0.0727</v>
      </c>
      <c r="U278" s="16" t="inlineStr">
        <is>
          <t>Yes</t>
        </is>
      </c>
      <c r="V278" s="16" t="inlineStr">
        <is>
          <t>No</t>
        </is>
      </c>
      <c r="W278" s="16" t="inlineStr">
        <is>
          <t>Yes</t>
        </is>
      </c>
      <c r="X278" s="16" t="inlineStr">
        <is>
          <t>Yes</t>
        </is>
      </c>
      <c r="Y278" s="20" t="n">
        <v>269</v>
      </c>
      <c r="Z278" s="19" t="n">
        <v>0.3394</v>
      </c>
      <c r="AA278" s="18" t="n">
        <v>48.78</v>
      </c>
      <c r="AB278" s="16" t="inlineStr">
        <is>
          <t>Average</t>
        </is>
      </c>
      <c r="AC278" s="16" t="inlineStr">
        <is>
          <t>No</t>
        </is>
      </c>
      <c r="AD278" s="19" t="n">
        <v>0.1607</v>
      </c>
      <c r="AE278" s="19" t="n">
        <v>0.1308</v>
      </c>
      <c r="AF278" s="19" t="n">
        <v>0.2021</v>
      </c>
      <c r="AG278" s="19" t="n">
        <v>0.1559</v>
      </c>
      <c r="AH278" s="23" t="n">
        <v>1.48</v>
      </c>
      <c r="AI278" s="23" t="n">
        <v>6.99</v>
      </c>
      <c r="AJ278" s="19" t="n">
        <v>0.0702</v>
      </c>
    </row>
    <row r="279">
      <c r="A279" s="16" t="inlineStr">
        <is>
          <t>GODFRYPHLP</t>
        </is>
      </c>
      <c r="B279" s="16" t="inlineStr">
        <is>
          <t>Godfrey Phillips India Ltd.</t>
        </is>
      </c>
      <c r="C279" s="16" t="inlineStr">
        <is>
          <t>Cigarettes-Tobacco Products</t>
        </is>
      </c>
      <c r="D279" s="16" t="inlineStr">
        <is>
          <t>Food, Beverages &amp; Tobacco</t>
        </is>
      </c>
      <c r="E279" s="16" t="inlineStr">
        <is>
          <t>INE260B01028</t>
        </is>
      </c>
      <c r="F279" s="17" t="n">
        <v>31991.87</v>
      </c>
      <c r="G279" s="18" t="n">
        <v>2051</v>
      </c>
      <c r="H279" s="19" t="n">
        <v>0.0029</v>
      </c>
      <c r="I279" s="20" t="n">
        <v>12</v>
      </c>
      <c r="J279" s="16" t="inlineStr">
        <is>
          <t>red</t>
        </is>
      </c>
      <c r="K279" s="20" t="n">
        <v>171</v>
      </c>
      <c r="L279" s="18" t="n">
        <v>37.2</v>
      </c>
      <c r="M279" s="18" t="n">
        <v>2087.06</v>
      </c>
      <c r="N279" s="18" t="n">
        <v>2120.81</v>
      </c>
      <c r="O279" s="18" t="n">
        <v>2222.92</v>
      </c>
      <c r="P279" s="18" t="n">
        <v>3617.38</v>
      </c>
      <c r="Q279" s="18" t="n">
        <v>1817.42</v>
      </c>
      <c r="R279" s="21">
        <f>IF(OR(G279="",P279=""),"",G279/P279-1)</f>
        <v/>
      </c>
      <c r="S279" s="19" t="n">
        <v>0.2043</v>
      </c>
      <c r="T279" s="22" t="n">
        <v>-0.0383</v>
      </c>
      <c r="U279" s="16" t="inlineStr">
        <is>
          <t>No</t>
        </is>
      </c>
      <c r="V279" s="16" t="inlineStr">
        <is>
          <t>No</t>
        </is>
      </c>
      <c r="W279" s="16" t="inlineStr">
        <is>
          <t>No</t>
        </is>
      </c>
      <c r="X279" s="16" t="inlineStr">
        <is>
          <t>No</t>
        </is>
      </c>
      <c r="Y279" s="20" t="n">
        <v>171</v>
      </c>
      <c r="Z279" s="19" t="n">
        <v>-0.0459</v>
      </c>
      <c r="AA279" s="18" t="n">
        <v>78.7</v>
      </c>
      <c r="AB279" s="16" t="inlineStr">
        <is>
          <t>High</t>
        </is>
      </c>
      <c r="AC279" s="16" t="inlineStr">
        <is>
          <t>No</t>
        </is>
      </c>
      <c r="AD279" s="19" t="n">
        <v>0.2196</v>
      </c>
      <c r="AE279" s="19" t="n">
        <v>0.277</v>
      </c>
      <c r="AF279" s="19" t="n">
        <v>0.3053</v>
      </c>
      <c r="AG279" s="19" t="n">
        <v>0.2228</v>
      </c>
      <c r="AH279" s="23" t="n">
        <v>0.04</v>
      </c>
      <c r="AI279" s="23" t="n">
        <v>6.42</v>
      </c>
      <c r="AJ279" s="19" t="n">
        <v>0.2263</v>
      </c>
    </row>
    <row r="280">
      <c r="A280" s="16" t="inlineStr">
        <is>
          <t>IREDA</t>
        </is>
      </c>
      <c r="B280" s="16" t="inlineStr">
        <is>
          <t>Indian Renewable Energy Development Agency Ltd.</t>
        </is>
      </c>
      <c r="C280" s="16" t="inlineStr">
        <is>
          <t>Financial Institutions</t>
        </is>
      </c>
      <c r="D280" s="16" t="inlineStr">
        <is>
          <t>Banking and Finance</t>
        </is>
      </c>
      <c r="E280" s="16" t="inlineStr">
        <is>
          <t>INE202E01016</t>
        </is>
      </c>
      <c r="F280" s="17" t="n">
        <v>31924.1</v>
      </c>
      <c r="G280" s="18" t="n">
        <v>113.64</v>
      </c>
      <c r="H280" s="19" t="n">
        <v>0.005699999999999999</v>
      </c>
      <c r="I280" s="20" t="n">
        <v>19</v>
      </c>
      <c r="J280" s="16" t="inlineStr">
        <is>
          <t>red</t>
        </is>
      </c>
      <c r="K280" s="20" t="n">
        <v>397</v>
      </c>
      <c r="L280" s="18" t="n">
        <v>41.45</v>
      </c>
      <c r="M280" s="18" t="n">
        <v>115.39</v>
      </c>
      <c r="N280" s="18" t="n">
        <v>120.14</v>
      </c>
      <c r="O280" s="18" t="n">
        <v>126.74</v>
      </c>
      <c r="P280" s="18" t="n">
        <v>160.02</v>
      </c>
      <c r="Q280" s="18" t="n">
        <v>108.41</v>
      </c>
      <c r="R280" s="21">
        <f>IF(OR(G280="",P280=""),"",G280/P280-1)</f>
        <v/>
      </c>
      <c r="S280" s="19" t="n">
        <v>0.5416</v>
      </c>
      <c r="T280" s="22" t="n">
        <v>-0.0262</v>
      </c>
      <c r="U280" s="16" t="inlineStr">
        <is>
          <t>No</t>
        </is>
      </c>
      <c r="V280" s="16" t="inlineStr">
        <is>
          <t>No</t>
        </is>
      </c>
      <c r="W280" s="16" t="inlineStr">
        <is>
          <t>No</t>
        </is>
      </c>
      <c r="X280" s="16" t="inlineStr">
        <is>
          <t>No</t>
        </is>
      </c>
      <c r="Y280" s="20" t="n">
        <v>417</v>
      </c>
      <c r="Z280" s="19" t="n">
        <v>-0.0521</v>
      </c>
      <c r="AA280" s="18" t="n">
        <v>57.53</v>
      </c>
      <c r="AB280" s="16" t="inlineStr">
        <is>
          <t>Good</t>
        </is>
      </c>
      <c r="AC280" s="16" t="inlineStr">
        <is>
          <t>Yes</t>
        </is>
      </c>
      <c r="AD280" s="19" t="n">
        <v>0.1492</v>
      </c>
      <c r="AE280" s="19" t="n">
        <v>0.0383</v>
      </c>
      <c r="AF280" s="19" t="n">
        <v>0.2974</v>
      </c>
      <c r="AG280" s="19" t="n">
        <v>0.3537</v>
      </c>
      <c r="AH280" s="23" t="n">
        <v>5.41</v>
      </c>
      <c r="AI280" s="23" t="n">
        <v>26.07</v>
      </c>
      <c r="AJ280" s="19" t="n">
        <v>0</v>
      </c>
    </row>
    <row r="281">
      <c r="A281" s="16" t="inlineStr">
        <is>
          <t>JUBLFOOD</t>
        </is>
      </c>
      <c r="B281" s="16" t="inlineStr">
        <is>
          <t>Jubilant Foodworks Ltd.</t>
        </is>
      </c>
      <c r="C281" s="16" t="inlineStr">
        <is>
          <t>Restaurants</t>
        </is>
      </c>
      <c r="D281" s="16" t="inlineStr">
        <is>
          <t>Hotels Restaurants &amp; Tourism</t>
        </is>
      </c>
      <c r="E281" s="16" t="inlineStr">
        <is>
          <t>INE797F01020</t>
        </is>
      </c>
      <c r="F281" s="17" t="n">
        <v>31850.73</v>
      </c>
      <c r="G281" s="18" t="n">
        <v>482.7</v>
      </c>
      <c r="H281" s="19" t="n">
        <v>-0.0004</v>
      </c>
      <c r="I281" s="20" t="n">
        <v>34</v>
      </c>
      <c r="J281" s="16" t="inlineStr">
        <is>
          <t>red</t>
        </is>
      </c>
      <c r="K281" s="20" t="n">
        <v>298</v>
      </c>
      <c r="L281" s="18" t="n">
        <v>33.56</v>
      </c>
      <c r="M281" s="18" t="n">
        <v>490.81</v>
      </c>
      <c r="N281" s="18" t="n">
        <v>460.11</v>
      </c>
      <c r="O281" s="18" t="n">
        <v>486.48</v>
      </c>
      <c r="P281" s="18" t="n">
        <v>661.92</v>
      </c>
      <c r="Q281" s="18" t="n">
        <v>411.98</v>
      </c>
      <c r="R281" s="21">
        <f>IF(OR(G281="",P281=""),"",G281/P281-1)</f>
        <v/>
      </c>
      <c r="S281" s="19" t="n">
        <v>0.2106</v>
      </c>
      <c r="T281" s="22" t="n">
        <v>-0.0194</v>
      </c>
      <c r="U281" s="16" t="inlineStr">
        <is>
          <t>No</t>
        </is>
      </c>
      <c r="V281" s="16" t="inlineStr">
        <is>
          <t>Yes</t>
        </is>
      </c>
      <c r="W281" s="16" t="inlineStr">
        <is>
          <t>No</t>
        </is>
      </c>
      <c r="X281" s="16" t="inlineStr">
        <is>
          <t>No</t>
        </is>
      </c>
      <c r="Y281" s="20" t="n">
        <v>262</v>
      </c>
      <c r="Z281" s="19" t="n">
        <v>-0.0542</v>
      </c>
      <c r="AA281" s="18" t="n">
        <v>22.78</v>
      </c>
      <c r="AB281" s="16" t="inlineStr">
        <is>
          <t>Poor</t>
        </is>
      </c>
      <c r="AC281" s="16" t="inlineStr">
        <is>
          <t>No</t>
        </is>
      </c>
      <c r="AD281" s="19" t="n">
        <v>0.157</v>
      </c>
      <c r="AE281" s="19" t="n">
        <v>0.1295</v>
      </c>
      <c r="AF281" s="19" t="n">
        <v>0.1255</v>
      </c>
      <c r="AG281" s="19" t="n">
        <v>0.2079</v>
      </c>
      <c r="AH281" s="23" t="n">
        <v>2.14</v>
      </c>
      <c r="AI281" s="23" t="n">
        <v>1.67</v>
      </c>
      <c r="AJ281" s="19" t="n">
        <v>0.0299</v>
      </c>
    </row>
    <row r="282">
      <c r="A282" s="16" t="inlineStr">
        <is>
          <t>HONAUT</t>
        </is>
      </c>
      <c r="B282" s="16" t="inlineStr">
        <is>
          <t>Honeywell Automation India Ltd.</t>
        </is>
      </c>
      <c r="C282" s="16" t="inlineStr">
        <is>
          <t>Other Electrical Equipment/Products</t>
        </is>
      </c>
      <c r="D282" s="16" t="inlineStr">
        <is>
          <t>Consumer Durables</t>
        </is>
      </c>
      <c r="E282" s="16" t="inlineStr">
        <is>
          <t>INE671A01010</t>
        </is>
      </c>
      <c r="F282" s="17" t="n">
        <v>31524.37</v>
      </c>
      <c r="G282" s="18" t="n">
        <v>35655</v>
      </c>
      <c r="H282" s="19" t="n">
        <v>0.0111</v>
      </c>
      <c r="I282" s="20" t="n">
        <v>45</v>
      </c>
      <c r="J282" s="16" t="inlineStr">
        <is>
          <t>red</t>
        </is>
      </c>
      <c r="K282" s="20" t="n">
        <v>14</v>
      </c>
      <c r="L282" s="18" t="n">
        <v>40.39</v>
      </c>
      <c r="M282" s="18" t="n">
        <v>35885</v>
      </c>
      <c r="N282" s="18" t="n">
        <v>37713.97</v>
      </c>
      <c r="O282" s="18" t="n">
        <v>33776.25</v>
      </c>
      <c r="P282" s="18" t="n">
        <v>40105</v>
      </c>
      <c r="Q282" s="18" t="n">
        <v>26250.78</v>
      </c>
      <c r="R282" s="21">
        <f>IF(OR(G282="",P282=""),"",G282/P282-1)</f>
        <v/>
      </c>
      <c r="S282" s="19" t="n">
        <v>0.3351</v>
      </c>
      <c r="T282" s="22" t="n">
        <v>0.001</v>
      </c>
      <c r="U282" s="16" t="inlineStr">
        <is>
          <t>Yes</t>
        </is>
      </c>
      <c r="V282" s="16" t="inlineStr">
        <is>
          <t>No</t>
        </is>
      </c>
      <c r="W282" s="16" t="inlineStr">
        <is>
          <t>No</t>
        </is>
      </c>
      <c r="X282" s="16" t="inlineStr">
        <is>
          <t>Yes</t>
        </is>
      </c>
      <c r="Y282" s="20" t="n">
        <v>52</v>
      </c>
      <c r="Z282" s="19" t="n">
        <v>0.1166</v>
      </c>
      <c r="AA282" s="18" t="n">
        <v>61.67</v>
      </c>
      <c r="AB282" s="16" t="inlineStr">
        <is>
          <t>Good</t>
        </is>
      </c>
      <c r="AC282" s="16" t="inlineStr">
        <is>
          <t>No</t>
        </is>
      </c>
      <c r="AD282" s="19" t="n">
        <v>0.1288</v>
      </c>
      <c r="AE282" s="19" t="n">
        <v>0.1714</v>
      </c>
      <c r="AF282" s="19" t="n">
        <v>0.0639</v>
      </c>
      <c r="AG282" s="19" t="n">
        <v>0.1105</v>
      </c>
      <c r="AH282" s="23" t="n">
        <v>0.02</v>
      </c>
      <c r="AI282" s="23" t="n">
        <v>22.88</v>
      </c>
      <c r="AJ282" s="19" t="n">
        <v>0.0142</v>
      </c>
    </row>
    <row r="283">
      <c r="A283" s="16" t="inlineStr">
        <is>
          <t>AEGISVOPAK</t>
        </is>
      </c>
      <c r="B283" s="16" t="inlineStr">
        <is>
          <t>Aegis Vopak Terminals Ltd.</t>
        </is>
      </c>
      <c r="C283" s="16" t="inlineStr">
        <is>
          <t>Marine Port &amp; Services</t>
        </is>
      </c>
      <c r="D283" s="16" t="inlineStr">
        <is>
          <t>Transportation</t>
        </is>
      </c>
      <c r="E283" s="16" t="inlineStr">
        <is>
          <t>INE0INX01018</t>
        </is>
      </c>
      <c r="F283" s="17" t="n">
        <v>31522.36</v>
      </c>
      <c r="G283" s="18" t="n">
        <v>284.5</v>
      </c>
      <c r="H283" s="19" t="n">
        <v>-0.008199999999999999</v>
      </c>
      <c r="I283" s="20" t="n">
        <v>77</v>
      </c>
      <c r="J283" s="16" t="inlineStr">
        <is>
          <t>amber</t>
        </is>
      </c>
      <c r="K283" s="20" t="n">
        <v>24</v>
      </c>
      <c r="L283" s="18" t="n">
        <v>61.72</v>
      </c>
      <c r="M283" s="18" t="n">
        <v>274.26</v>
      </c>
      <c r="N283" s="18" t="n">
        <v>277.05</v>
      </c>
      <c r="O283" s="18" t="n">
        <v>231.59</v>
      </c>
      <c r="P283" s="18" t="n">
        <v>303.49</v>
      </c>
      <c r="Q283" s="18" t="n">
        <v>161.53</v>
      </c>
      <c r="R283" s="21">
        <f>IF(OR(G283="",P283=""),"",G283/P283-1)</f>
        <v/>
      </c>
      <c r="S283" s="19" t="n">
        <v>0.7254999999999999</v>
      </c>
      <c r="T283" s="22" t="n">
        <v>0.0002</v>
      </c>
      <c r="U283" s="16" t="inlineStr">
        <is>
          <t>Yes</t>
        </is>
      </c>
      <c r="V283" s="16" t="inlineStr">
        <is>
          <t>Yes</t>
        </is>
      </c>
      <c r="W283" s="16" t="inlineStr">
        <is>
          <t>Yes</t>
        </is>
      </c>
      <c r="X283" s="16" t="inlineStr">
        <is>
          <t>Yes</t>
        </is>
      </c>
      <c r="Y283" s="20" t="n">
        <v>33</v>
      </c>
      <c r="Z283" s="19" t="n">
        <v>0.1963</v>
      </c>
      <c r="AA283" s="18" t="n">
        <v>43.68</v>
      </c>
      <c r="AB283" s="16" t="inlineStr">
        <is>
          <t>Average</t>
        </is>
      </c>
      <c r="AC283" s="16" t="inlineStr">
        <is>
          <t>No</t>
        </is>
      </c>
      <c r="AD283" s="19" t="n">
        <v>0.1028</v>
      </c>
      <c r="AE283" s="19" t="n">
        <v>0.07240000000000001</v>
      </c>
      <c r="AF283" s="19" t="n">
        <v>0.9475</v>
      </c>
      <c r="AG283" s="19" t="n">
        <v>0.3881</v>
      </c>
      <c r="AH283" s="23" t="n">
        <v>0.87</v>
      </c>
      <c r="AI283" s="23" t="n">
        <v>0.12</v>
      </c>
      <c r="AJ283" s="19" t="n">
        <v>0.1281</v>
      </c>
    </row>
    <row r="284">
      <c r="A284" s="16" t="inlineStr">
        <is>
          <t>LALPATHLAB</t>
        </is>
      </c>
      <c r="B284" s="16" t="inlineStr">
        <is>
          <t>Dr. Lal Pathlabs Ltd.</t>
        </is>
      </c>
      <c r="C284" s="16" t="inlineStr">
        <is>
          <t>Healthcare Services</t>
        </is>
      </c>
      <c r="D284" s="16" t="inlineStr">
        <is>
          <t>Healthcare</t>
        </is>
      </c>
      <c r="E284" s="16" t="inlineStr">
        <is>
          <t>INE600L01024</t>
        </is>
      </c>
      <c r="F284" s="17" t="n">
        <v>31513.61</v>
      </c>
      <c r="G284" s="18" t="n">
        <v>1877.5</v>
      </c>
      <c r="H284" s="19" t="n">
        <v>-0.0248</v>
      </c>
      <c r="I284" s="20" t="n">
        <v>70</v>
      </c>
      <c r="J284" s="16" t="inlineStr">
        <is>
          <t>amber</t>
        </is>
      </c>
      <c r="K284" s="20" t="n">
        <v>27</v>
      </c>
      <c r="L284" s="18" t="n">
        <v>50.05</v>
      </c>
      <c r="M284" s="18" t="n">
        <v>1920.32</v>
      </c>
      <c r="N284" s="18" t="n">
        <v>1816.89</v>
      </c>
      <c r="O284" s="18" t="n">
        <v>1550.48</v>
      </c>
      <c r="P284" s="18" t="n">
        <v>1968.4</v>
      </c>
      <c r="Q284" s="18" t="n">
        <v>1300.98</v>
      </c>
      <c r="R284" s="21">
        <f>IF(OR(G284="",P284=""),"",G284/P284-1)</f>
        <v/>
      </c>
      <c r="S284" s="19" t="n">
        <v>0.8067</v>
      </c>
      <c r="T284" s="22" t="n">
        <v>0.0244</v>
      </c>
      <c r="U284" s="16" t="inlineStr">
        <is>
          <t>Yes</t>
        </is>
      </c>
      <c r="V284" s="16" t="inlineStr">
        <is>
          <t>Yes</t>
        </is>
      </c>
      <c r="W284" s="16" t="inlineStr">
        <is>
          <t>No</t>
        </is>
      </c>
      <c r="X284" s="16" t="inlineStr">
        <is>
          <t>Yes</t>
        </is>
      </c>
      <c r="Y284" s="20" t="n">
        <v>65</v>
      </c>
      <c r="Z284" s="19" t="n">
        <v>0.1718</v>
      </c>
      <c r="AA284" s="18" t="n">
        <v>69.23</v>
      </c>
      <c r="AB284" s="16" t="inlineStr">
        <is>
          <t>High</t>
        </is>
      </c>
      <c r="AC284" s="16" t="inlineStr">
        <is>
          <t>No</t>
        </is>
      </c>
      <c r="AD284" s="19" t="n">
        <v>0.2063</v>
      </c>
      <c r="AE284" s="19" t="n">
        <v>0.2628</v>
      </c>
      <c r="AF284" s="19" t="n">
        <v>0.2962</v>
      </c>
      <c r="AG284" s="19" t="n">
        <v>0.1107</v>
      </c>
      <c r="AH284" s="23" t="n">
        <v>0.08</v>
      </c>
      <c r="AI284" s="23" t="n">
        <v>5.64</v>
      </c>
      <c r="AJ284" s="19" t="n">
        <v>0.0121</v>
      </c>
    </row>
    <row r="285">
      <c r="A285" s="16" t="inlineStr">
        <is>
          <t>UCOBANK</t>
        </is>
      </c>
      <c r="B285" s="16" t="inlineStr">
        <is>
          <t>UCO Bank</t>
        </is>
      </c>
      <c r="C285" s="16" t="inlineStr">
        <is>
          <t>Banks</t>
        </is>
      </c>
      <c r="D285" s="16" t="inlineStr">
        <is>
          <t>Banking and Finance</t>
        </is>
      </c>
      <c r="E285" s="16" t="inlineStr">
        <is>
          <t>INE691A01018</t>
        </is>
      </c>
      <c r="F285" s="17" t="n">
        <v>31073.03</v>
      </c>
      <c r="G285" s="18" t="n">
        <v>24.78</v>
      </c>
      <c r="H285" s="19" t="n">
        <v>0.005699999999999999</v>
      </c>
      <c r="I285" s="20" t="n">
        <v>23</v>
      </c>
      <c r="J285" s="16" t="inlineStr">
        <is>
          <t>red</t>
        </is>
      </c>
      <c r="K285" s="20" t="n">
        <v>501</v>
      </c>
      <c r="L285" s="18" t="n">
        <v>29.91</v>
      </c>
      <c r="M285" s="18" t="n">
        <v>25.06</v>
      </c>
      <c r="N285" s="18" t="n">
        <v>26.11</v>
      </c>
      <c r="O285" s="18" t="n">
        <v>26.87</v>
      </c>
      <c r="P285" s="18" t="n">
        <v>33.03</v>
      </c>
      <c r="Q285" s="18" t="n">
        <v>22.08</v>
      </c>
      <c r="R285" s="21">
        <f>IF(OR(G285="",P285=""),"",G285/P285-1)</f>
        <v/>
      </c>
      <c r="S285" s="19" t="n">
        <v>1.4099</v>
      </c>
      <c r="T285" s="22" t="n">
        <v>-0.0216</v>
      </c>
      <c r="U285" s="16" t="inlineStr">
        <is>
          <t>No</t>
        </is>
      </c>
      <c r="V285" s="16" t="inlineStr">
        <is>
          <t>No</t>
        </is>
      </c>
      <c r="W285" s="16" t="inlineStr">
        <is>
          <t>No</t>
        </is>
      </c>
      <c r="X285" s="16" t="inlineStr">
        <is>
          <t>No</t>
        </is>
      </c>
      <c r="Y285" s="20" t="n">
        <v>484</v>
      </c>
      <c r="Z285" s="19" t="n">
        <v>-0.0282</v>
      </c>
      <c r="AA285" s="18" t="n">
        <v>37.86</v>
      </c>
      <c r="AB285" s="16" t="inlineStr">
        <is>
          <t>Weak</t>
        </is>
      </c>
      <c r="AC285" s="16" t="inlineStr">
        <is>
          <t>Yes</t>
        </is>
      </c>
      <c r="AD285" s="19" t="n">
        <v>0.0745</v>
      </c>
      <c r="AE285" s="19" t="n"/>
      <c r="AF285" s="19" t="n">
        <v>0.1518</v>
      </c>
      <c r="AG285" s="19" t="n">
        <v>0.07780000000000001</v>
      </c>
      <c r="AH285" s="23" t="n">
        <v>0.55</v>
      </c>
      <c r="AI285" s="23" t="n">
        <v>2.94</v>
      </c>
      <c r="AJ285" s="19" t="n">
        <v>0.0177</v>
      </c>
    </row>
    <row r="286">
      <c r="A286" s="16" t="inlineStr">
        <is>
          <t>LICHSGFIN</t>
        </is>
      </c>
      <c r="B286" s="16" t="inlineStr">
        <is>
          <t>LIC Housing Finance Ltd.</t>
        </is>
      </c>
      <c r="C286" s="16" t="inlineStr">
        <is>
          <t>Housing Finance</t>
        </is>
      </c>
      <c r="D286" s="16" t="inlineStr">
        <is>
          <t>Banking and Finance</t>
        </is>
      </c>
      <c r="E286" s="16" t="inlineStr">
        <is>
          <t>INE115A01026</t>
        </is>
      </c>
      <c r="F286" s="17" t="n">
        <v>30916.29</v>
      </c>
      <c r="G286" s="18" t="n">
        <v>562.05</v>
      </c>
      <c r="H286" s="19" t="n">
        <v>0.0145</v>
      </c>
      <c r="I286" s="20" t="n">
        <v>48</v>
      </c>
      <c r="J286" s="16" t="inlineStr">
        <is>
          <t>red</t>
        </is>
      </c>
      <c r="K286" s="20" t="n">
        <v>82</v>
      </c>
      <c r="L286" s="18" t="n">
        <v>87.39</v>
      </c>
      <c r="M286" s="18" t="n">
        <v>540.6900000000001</v>
      </c>
      <c r="N286" s="18" t="n">
        <v>523.03</v>
      </c>
      <c r="O286" s="18" t="n">
        <v>523.08</v>
      </c>
      <c r="P286" s="18" t="n">
        <v>581.77</v>
      </c>
      <c r="Q286" s="18" t="n">
        <v>451.63</v>
      </c>
      <c r="R286" s="21">
        <f>IF(OR(G286="",P286=""),"",G286/P286-1)</f>
        <v/>
      </c>
      <c r="S286" s="19" t="n">
        <v>2.5861</v>
      </c>
      <c r="T286" s="22" t="n">
        <v>-0.009599999999999999</v>
      </c>
      <c r="U286" s="16" t="inlineStr">
        <is>
          <t>No</t>
        </is>
      </c>
      <c r="V286" s="16" t="inlineStr">
        <is>
          <t>Yes</t>
        </is>
      </c>
      <c r="W286" s="16" t="inlineStr">
        <is>
          <t>Yes</t>
        </is>
      </c>
      <c r="X286" s="16" t="inlineStr">
        <is>
          <t>No</t>
        </is>
      </c>
      <c r="Y286" s="20" t="n">
        <v>11</v>
      </c>
      <c r="Z286" s="19" t="n">
        <v>-0.0001</v>
      </c>
      <c r="AA286" s="18" t="n">
        <v>60.15</v>
      </c>
      <c r="AB286" s="16" t="inlineStr">
        <is>
          <t>Good</t>
        </is>
      </c>
      <c r="AC286" s="16" t="inlineStr">
        <is>
          <t>Yes</t>
        </is>
      </c>
      <c r="AD286" s="19" t="n">
        <v>0.1454</v>
      </c>
      <c r="AE286" s="19" t="n"/>
      <c r="AF286" s="19" t="n">
        <v>0.2732</v>
      </c>
      <c r="AG286" s="19" t="n">
        <v>0.116</v>
      </c>
      <c r="AH286" s="23" t="n">
        <v>6.43</v>
      </c>
      <c r="AI286" s="23" t="n">
        <v>24.4</v>
      </c>
      <c r="AJ286" s="19" t="n">
        <v>0.0072</v>
      </c>
    </row>
    <row r="287">
      <c r="A287" s="16" t="inlineStr">
        <is>
          <t>NETWEB</t>
        </is>
      </c>
      <c r="B287" s="16" t="inlineStr">
        <is>
          <t>Netweb Technologies India Ltd.</t>
        </is>
      </c>
      <c r="C287" s="16" t="inlineStr">
        <is>
          <t>IT Consulting &amp; Software</t>
        </is>
      </c>
      <c r="D287" s="16" t="inlineStr">
        <is>
          <t>Software &amp; Services</t>
        </is>
      </c>
      <c r="E287" s="16" t="inlineStr">
        <is>
          <t>INE0NT901020</t>
        </is>
      </c>
      <c r="F287" s="17" t="n">
        <v>30870.26</v>
      </c>
      <c r="G287" s="18" t="n">
        <v>5193</v>
      </c>
      <c r="H287" s="19" t="n">
        <v>-0.0146</v>
      </c>
      <c r="I287" s="20" t="n">
        <v>86</v>
      </c>
      <c r="J287" s="16" t="inlineStr">
        <is>
          <t>green</t>
        </is>
      </c>
      <c r="K287" s="20" t="n">
        <v>253</v>
      </c>
      <c r="L287" s="18" t="n">
        <v>49.46</v>
      </c>
      <c r="M287" s="18" t="n">
        <v>5220.64</v>
      </c>
      <c r="N287" s="18" t="n">
        <v>4726.07</v>
      </c>
      <c r="O287" s="18" t="n">
        <v>3888.52</v>
      </c>
      <c r="P287" s="18" t="n">
        <v>5601</v>
      </c>
      <c r="Q287" s="18" t="n">
        <v>2650.45</v>
      </c>
      <c r="R287" s="21">
        <f>IF(OR(G287="",P287=""),"",G287/P287-1)</f>
        <v/>
      </c>
      <c r="S287" s="19" t="n">
        <v>0.929</v>
      </c>
      <c r="T287" s="22" t="n">
        <v>0.0416</v>
      </c>
      <c r="U287" s="16" t="inlineStr">
        <is>
          <t>Yes</t>
        </is>
      </c>
      <c r="V287" s="16" t="inlineStr">
        <is>
          <t>Yes</t>
        </is>
      </c>
      <c r="W287" s="16" t="inlineStr">
        <is>
          <t>No</t>
        </is>
      </c>
      <c r="X287" s="16" t="inlineStr">
        <is>
          <t>Yes</t>
        </is>
      </c>
      <c r="Y287" s="20" t="n">
        <v>254</v>
      </c>
      <c r="Z287" s="19" t="n">
        <v>0.2154</v>
      </c>
      <c r="AA287" s="18" t="n">
        <v>76.16</v>
      </c>
      <c r="AB287" s="16" t="inlineStr">
        <is>
          <t>High</t>
        </is>
      </c>
      <c r="AC287" s="16" t="inlineStr">
        <is>
          <t>No</t>
        </is>
      </c>
      <c r="AD287" s="19" t="n">
        <v>0.2262</v>
      </c>
      <c r="AE287" s="19" t="n">
        <v>0.2761</v>
      </c>
      <c r="AF287" s="19" t="n">
        <v>0.6374</v>
      </c>
      <c r="AG287" s="19" t="n">
        <v>0.7097</v>
      </c>
      <c r="AH287" s="23" t="n">
        <v>0.39</v>
      </c>
      <c r="AI287" s="23" t="n">
        <v>38.46</v>
      </c>
      <c r="AJ287" s="19" t="n">
        <v>0.0262</v>
      </c>
    </row>
    <row r="288">
      <c r="A288" s="16" t="inlineStr">
        <is>
          <t>ABSLAMC</t>
        </is>
      </c>
      <c r="B288" s="16" t="inlineStr">
        <is>
          <t>Aditya Birla Sun Life AMC Ltd.</t>
        </is>
      </c>
      <c r="C288" s="16" t="inlineStr">
        <is>
          <t>Asset Management Cos.</t>
        </is>
      </c>
      <c r="D288" s="16" t="inlineStr">
        <is>
          <t>Banking and Finance</t>
        </is>
      </c>
      <c r="E288" s="16" t="inlineStr">
        <is>
          <t>INE404A01024</t>
        </is>
      </c>
      <c r="F288" s="17" t="n">
        <v>30728.48</v>
      </c>
      <c r="G288" s="18" t="n">
        <v>1062.3</v>
      </c>
      <c r="H288" s="19" t="n">
        <v>0.0164</v>
      </c>
      <c r="I288" s="20" t="n">
        <v>68</v>
      </c>
      <c r="J288" s="16" t="inlineStr">
        <is>
          <t>amber</t>
        </is>
      </c>
      <c r="K288" s="20" t="n">
        <v>39</v>
      </c>
      <c r="L288" s="18" t="n">
        <v>62.77</v>
      </c>
      <c r="M288" s="18" t="n">
        <v>1042.29</v>
      </c>
      <c r="N288" s="18" t="n">
        <v>1051.98</v>
      </c>
      <c r="O288" s="18" t="n">
        <v>935.41</v>
      </c>
      <c r="P288" s="18" t="n">
        <v>1169.69</v>
      </c>
      <c r="Q288" s="18" t="n">
        <v>699.42</v>
      </c>
      <c r="R288" s="21">
        <f>IF(OR(G288="",P288=""),"",G288/P288-1)</f>
        <v/>
      </c>
      <c r="S288" s="19" t="n">
        <v>0.6129</v>
      </c>
      <c r="T288" s="22" t="n">
        <v>0.0294</v>
      </c>
      <c r="U288" s="16" t="inlineStr">
        <is>
          <t>Yes</t>
        </is>
      </c>
      <c r="V288" s="16" t="inlineStr">
        <is>
          <t>Yes</t>
        </is>
      </c>
      <c r="W288" s="16" t="inlineStr">
        <is>
          <t>Yes</t>
        </is>
      </c>
      <c r="X288" s="16" t="inlineStr">
        <is>
          <t>Yes</t>
        </is>
      </c>
      <c r="Y288" s="20" t="n">
        <v>145</v>
      </c>
      <c r="Z288" s="19" t="n">
        <v>0.1246</v>
      </c>
      <c r="AA288" s="18" t="n">
        <v>73.34</v>
      </c>
      <c r="AB288" s="16" t="inlineStr">
        <is>
          <t>High</t>
        </is>
      </c>
      <c r="AC288" s="16" t="inlineStr">
        <is>
          <t>Yes</t>
        </is>
      </c>
      <c r="AD288" s="19" t="n">
        <v>0.2458</v>
      </c>
      <c r="AE288" s="19" t="n">
        <v>0.317</v>
      </c>
      <c r="AF288" s="19" t="n">
        <v>0.182</v>
      </c>
      <c r="AG288" s="19" t="n">
        <v>0.1478</v>
      </c>
      <c r="AH288" s="23" t="n">
        <v>0.02</v>
      </c>
      <c r="AI288" s="23" t="n">
        <v>19.47</v>
      </c>
      <c r="AJ288" s="19" t="n">
        <v>0.0231</v>
      </c>
    </row>
    <row r="289">
      <c r="A289" s="16" t="inlineStr">
        <is>
          <t>MRPL</t>
        </is>
      </c>
      <c r="B289" s="16" t="inlineStr">
        <is>
          <t>Mangalore Refinery And Petrochemicals Ltd.</t>
        </is>
      </c>
      <c r="C289" s="16" t="inlineStr">
        <is>
          <t>Refineries/Petro-Products</t>
        </is>
      </c>
      <c r="D289" s="16" t="inlineStr">
        <is>
          <t>Oil &amp; Gas</t>
        </is>
      </c>
      <c r="E289" s="16" t="inlineStr">
        <is>
          <t>INE103A01014</t>
        </is>
      </c>
      <c r="F289" s="17" t="n">
        <v>30640.68</v>
      </c>
      <c r="G289" s="18" t="n">
        <v>174.83</v>
      </c>
      <c r="H289" s="19" t="n">
        <v>-0.0066</v>
      </c>
      <c r="I289" s="20" t="n">
        <v>57</v>
      </c>
      <c r="J289" s="16" t="inlineStr">
        <is>
          <t>red</t>
        </is>
      </c>
      <c r="K289" s="20" t="n">
        <v>1</v>
      </c>
      <c r="L289" s="18" t="n">
        <v>45.71</v>
      </c>
      <c r="M289" s="18" t="n">
        <v>172.6</v>
      </c>
      <c r="N289" s="18" t="n">
        <v>166.86</v>
      </c>
      <c r="O289" s="18" t="n">
        <v>165.44</v>
      </c>
      <c r="P289" s="18" t="n">
        <v>206.77</v>
      </c>
      <c r="Q289" s="18" t="n">
        <v>122.41</v>
      </c>
      <c r="R289" s="21">
        <f>IF(OR(G289="",P289=""),"",G289/P289-1)</f>
        <v/>
      </c>
      <c r="S289" s="19" t="n">
        <v>0.2809</v>
      </c>
      <c r="T289" s="22" t="n">
        <v>0.0066</v>
      </c>
      <c r="U289" s="16" t="inlineStr">
        <is>
          <t>Yes</t>
        </is>
      </c>
      <c r="V289" s="16" t="inlineStr">
        <is>
          <t>Yes</t>
        </is>
      </c>
      <c r="W289" s="16" t="inlineStr">
        <is>
          <t>Yes</t>
        </is>
      </c>
      <c r="X289" s="16" t="inlineStr">
        <is>
          <t>Yes</t>
        </is>
      </c>
      <c r="Y289" s="20" t="n">
        <v>4</v>
      </c>
      <c r="Z289" s="19" t="n">
        <v>0.0086</v>
      </c>
      <c r="AA289" s="18" t="n">
        <v>47.02</v>
      </c>
      <c r="AB289" s="16" t="inlineStr">
        <is>
          <t>Average</t>
        </is>
      </c>
      <c r="AC289" s="16" t="inlineStr">
        <is>
          <t>No</t>
        </is>
      </c>
      <c r="AD289" s="19" t="n">
        <v>0.1369</v>
      </c>
      <c r="AE289" s="19" t="n">
        <v>0.1533</v>
      </c>
      <c r="AF289" s="19" t="n">
        <v>10.8942</v>
      </c>
      <c r="AG289" s="19" t="n">
        <v>-0.0623</v>
      </c>
      <c r="AH289" s="23" t="n">
        <v>1.08</v>
      </c>
      <c r="AI289" s="23" t="n">
        <v>4.1</v>
      </c>
      <c r="AJ289" s="19" t="n">
        <v>0.07200000000000001</v>
      </c>
    </row>
    <row r="290">
      <c r="A290" s="16" t="inlineStr">
        <is>
          <t>BLUESTARCO</t>
        </is>
      </c>
      <c r="B290" s="16" t="inlineStr">
        <is>
          <t>Blue Star Ltd.</t>
        </is>
      </c>
      <c r="C290" s="16" t="inlineStr">
        <is>
          <t>Consumer Electronics</t>
        </is>
      </c>
      <c r="D290" s="16" t="inlineStr">
        <is>
          <t>Consumer Durables</t>
        </is>
      </c>
      <c r="E290" s="16" t="inlineStr">
        <is>
          <t>INE472A01039</t>
        </is>
      </c>
      <c r="F290" s="17" t="n">
        <v>30513.24</v>
      </c>
      <c r="G290" s="18" t="n">
        <v>1484</v>
      </c>
      <c r="H290" s="19" t="n">
        <v>-0.0011</v>
      </c>
      <c r="I290" s="20" t="n">
        <v>14</v>
      </c>
      <c r="J290" s="16" t="inlineStr">
        <is>
          <t>red</t>
        </is>
      </c>
      <c r="K290" s="20" t="n">
        <v>94</v>
      </c>
      <c r="L290" s="18" t="n">
        <v>45.04</v>
      </c>
      <c r="M290" s="18" t="n">
        <v>1478.96</v>
      </c>
      <c r="N290" s="18" t="n">
        <v>1587.6</v>
      </c>
      <c r="O290" s="18" t="n">
        <v>1712.76</v>
      </c>
      <c r="P290" s="18" t="n">
        <v>2006.86</v>
      </c>
      <c r="Q290" s="18" t="n">
        <v>1445.3</v>
      </c>
      <c r="R290" s="21">
        <f>IF(OR(G290="",P290=""),"",G290/P290-1)</f>
        <v/>
      </c>
      <c r="S290" s="19" t="n">
        <v>0.7951999999999999</v>
      </c>
      <c r="T290" s="22" t="n">
        <v>-0.0209</v>
      </c>
      <c r="U290" s="16" t="inlineStr">
        <is>
          <t>No</t>
        </is>
      </c>
      <c r="V290" s="16" t="inlineStr">
        <is>
          <t>No</t>
        </is>
      </c>
      <c r="W290" s="16" t="inlineStr">
        <is>
          <t>Yes</t>
        </is>
      </c>
      <c r="X290" s="16" t="inlineStr">
        <is>
          <t>No</t>
        </is>
      </c>
      <c r="Y290" s="20" t="n">
        <v>96</v>
      </c>
      <c r="Z290" s="19" t="n">
        <v>-0.0731</v>
      </c>
      <c r="AA290" s="18" t="n">
        <v>61.94</v>
      </c>
      <c r="AB290" s="16" t="inlineStr">
        <is>
          <t>Good</t>
        </is>
      </c>
      <c r="AC290" s="16" t="inlineStr">
        <is>
          <t>No</t>
        </is>
      </c>
      <c r="AD290" s="19" t="n">
        <v>0.1686</v>
      </c>
      <c r="AE290" s="19" t="n">
        <v>0.2111</v>
      </c>
      <c r="AF290" s="19" t="n">
        <v>0.0919</v>
      </c>
      <c r="AG290" s="19" t="n">
        <v>0.1612</v>
      </c>
      <c r="AH290" s="23" t="n">
        <v>0.24</v>
      </c>
      <c r="AI290" s="23" t="n">
        <v>7.57</v>
      </c>
      <c r="AJ290" s="19" t="n">
        <v>0.051</v>
      </c>
    </row>
    <row r="291">
      <c r="A291" s="16" t="inlineStr">
        <is>
          <t>PNBHOUSING</t>
        </is>
      </c>
      <c r="B291" s="16" t="inlineStr">
        <is>
          <t>PNB Housing Finance Ltd.</t>
        </is>
      </c>
      <c r="C291" s="16" t="inlineStr">
        <is>
          <t>Housing Finance</t>
        </is>
      </c>
      <c r="D291" s="16" t="inlineStr">
        <is>
          <t>Banking and Finance</t>
        </is>
      </c>
      <c r="E291" s="16" t="inlineStr">
        <is>
          <t>INE572E01012</t>
        </is>
      </c>
      <c r="F291" s="17" t="n">
        <v>30409.73</v>
      </c>
      <c r="G291" s="18" t="n">
        <v>1166</v>
      </c>
      <c r="H291" s="19" t="n">
        <v>0.0179</v>
      </c>
      <c r="I291" s="20" t="n">
        <v>78</v>
      </c>
      <c r="J291" s="16" t="inlineStr">
        <is>
          <t>amber</t>
        </is>
      </c>
      <c r="K291" s="20" t="n">
        <v>26</v>
      </c>
      <c r="L291" s="18" t="n">
        <v>55.4</v>
      </c>
      <c r="M291" s="18" t="n">
        <v>1160.76</v>
      </c>
      <c r="N291" s="18" t="n">
        <v>1110.38</v>
      </c>
      <c r="O291" s="18" t="n">
        <v>965.38</v>
      </c>
      <c r="P291" s="18" t="n">
        <v>1185</v>
      </c>
      <c r="Q291" s="18" t="n">
        <v>744.9400000000001</v>
      </c>
      <c r="R291" s="21">
        <f>IF(OR(G291="",P291=""),"",G291/P291-1)</f>
        <v/>
      </c>
      <c r="S291" s="19" t="n">
        <v>0.8808</v>
      </c>
      <c r="T291" s="22" t="n">
        <v>0.027</v>
      </c>
      <c r="U291" s="16" t="inlineStr">
        <is>
          <t>Yes</t>
        </is>
      </c>
      <c r="V291" s="16" t="inlineStr">
        <is>
          <t>Yes</t>
        </is>
      </c>
      <c r="W291" s="16" t="inlineStr">
        <is>
          <t>Yes</t>
        </is>
      </c>
      <c r="X291" s="16" t="inlineStr">
        <is>
          <t>Yes</t>
        </is>
      </c>
      <c r="Y291" s="20" t="n">
        <v>84</v>
      </c>
      <c r="Z291" s="19" t="n">
        <v>0.1502</v>
      </c>
      <c r="AA291" s="18" t="n">
        <v>49.89</v>
      </c>
      <c r="AB291" s="16" t="inlineStr">
        <is>
          <t>Average</t>
        </is>
      </c>
      <c r="AC291" s="16" t="inlineStr">
        <is>
          <t>Yes</t>
        </is>
      </c>
      <c r="AD291" s="19" t="n">
        <v>0.1116</v>
      </c>
      <c r="AE291" s="19" t="n"/>
      <c r="AF291" s="19" t="n">
        <v>0.1844</v>
      </c>
      <c r="AG291" s="19" t="n">
        <v>0.1269</v>
      </c>
      <c r="AH291" s="23" t="n">
        <v>2.77</v>
      </c>
      <c r="AI291" s="23" t="n">
        <v>14.9</v>
      </c>
      <c r="AJ291" s="19" t="n">
        <v>0.005699999999999999</v>
      </c>
    </row>
    <row r="292">
      <c r="A292" s="16" t="inlineStr">
        <is>
          <t>IKS</t>
        </is>
      </c>
      <c r="B292" s="16" t="inlineStr">
        <is>
          <t>Inventurus Knowledge Solutions Ltd.</t>
        </is>
      </c>
      <c r="C292" s="16" t="inlineStr">
        <is>
          <t>Healthcare Services</t>
        </is>
      </c>
      <c r="D292" s="16" t="inlineStr">
        <is>
          <t>Healthcare</t>
        </is>
      </c>
      <c r="E292" s="16" t="inlineStr">
        <is>
          <t>INE115Q01022</t>
        </is>
      </c>
      <c r="F292" s="17" t="n">
        <v>30195.17</v>
      </c>
      <c r="G292" s="18" t="n">
        <v>1759.9</v>
      </c>
      <c r="H292" s="19" t="n">
        <v>0.0159</v>
      </c>
      <c r="I292" s="20" t="n">
        <v>58</v>
      </c>
      <c r="J292" s="16" t="inlineStr">
        <is>
          <t>red</t>
        </is>
      </c>
      <c r="K292" s="20" t="n">
        <v>8</v>
      </c>
      <c r="L292" s="18" t="n">
        <v>36.39</v>
      </c>
      <c r="M292" s="18" t="n">
        <v>1745.69</v>
      </c>
      <c r="N292" s="18" t="n">
        <v>1810.51</v>
      </c>
      <c r="O292" s="18" t="n">
        <v>1643.28</v>
      </c>
      <c r="P292" s="18" t="n">
        <v>1928.1</v>
      </c>
      <c r="Q292" s="18" t="n">
        <v>1274.9</v>
      </c>
      <c r="R292" s="21">
        <f>IF(OR(G292="",P292=""),"",G292/P292-1)</f>
        <v/>
      </c>
      <c r="S292" s="19" t="n">
        <v>1.4168</v>
      </c>
      <c r="T292" s="22" t="n">
        <v>0.0106</v>
      </c>
      <c r="U292" s="16" t="inlineStr">
        <is>
          <t>Yes</t>
        </is>
      </c>
      <c r="V292" s="16" t="inlineStr">
        <is>
          <t>No</t>
        </is>
      </c>
      <c r="W292" s="16" t="inlineStr">
        <is>
          <t>Yes</t>
        </is>
      </c>
      <c r="X292" s="16" t="inlineStr">
        <is>
          <t>Yes</t>
        </is>
      </c>
      <c r="Y292" s="20" t="n">
        <v>63</v>
      </c>
      <c r="Z292" s="19" t="n">
        <v>0.1018</v>
      </c>
      <c r="AA292" s="18" t="n">
        <v>74.05</v>
      </c>
      <c r="AB292" s="16" t="inlineStr">
        <is>
          <t>High</t>
        </is>
      </c>
      <c r="AC292" s="16" t="inlineStr">
        <is>
          <t>No</t>
        </is>
      </c>
      <c r="AD292" s="19" t="n">
        <v>0.2831</v>
      </c>
      <c r="AE292" s="19" t="n">
        <v>0.2468</v>
      </c>
      <c r="AF292" s="19" t="n">
        <v>0.3386</v>
      </c>
      <c r="AG292" s="19" t="n">
        <v>0.4756</v>
      </c>
      <c r="AH292" s="23" t="n">
        <v>0.27</v>
      </c>
      <c r="AI292" s="23" t="n">
        <v>21.8</v>
      </c>
      <c r="AJ292" s="19" t="n">
        <v>0</v>
      </c>
    </row>
    <row r="293">
      <c r="A293" s="16" t="inlineStr">
        <is>
          <t>CRAFTSMAN</t>
        </is>
      </c>
      <c r="B293" s="16" t="inlineStr">
        <is>
          <t>Craftsman Automation Ltd.</t>
        </is>
      </c>
      <c r="C293" s="16" t="inlineStr">
        <is>
          <t>Auto Parts &amp; Equipment</t>
        </is>
      </c>
      <c r="D293" s="16" t="inlineStr">
        <is>
          <t>Automobiles &amp; Auto Components</t>
        </is>
      </c>
      <c r="E293" s="16" t="inlineStr">
        <is>
          <t>INE00LO01017</t>
        </is>
      </c>
      <c r="F293" s="17" t="n">
        <v>29810.79</v>
      </c>
      <c r="G293" s="18" t="n">
        <v>11398</v>
      </c>
      <c r="H293" s="19" t="n">
        <v>0.0159</v>
      </c>
      <c r="I293" s="20" t="n">
        <v>83</v>
      </c>
      <c r="J293" s="16" t="inlineStr">
        <is>
          <t>green</t>
        </is>
      </c>
      <c r="K293" s="20" t="n">
        <v>28</v>
      </c>
      <c r="L293" s="18" t="n">
        <v>68.68000000000001</v>
      </c>
      <c r="M293" s="18" t="n">
        <v>11077.94</v>
      </c>
      <c r="N293" s="18" t="n">
        <v>10005.85</v>
      </c>
      <c r="O293" s="18" t="n">
        <v>8320.469999999999</v>
      </c>
      <c r="P293" s="18" t="n">
        <v>11398</v>
      </c>
      <c r="Q293" s="18" t="n">
        <v>6416.17</v>
      </c>
      <c r="R293" s="21">
        <f>IF(OR(G293="",P293=""),"",G293/P293-1)</f>
        <v/>
      </c>
      <c r="S293" s="19" t="n">
        <v>0.4385</v>
      </c>
      <c r="T293" s="22" t="n">
        <v>0.0507</v>
      </c>
      <c r="U293" s="16" t="inlineStr">
        <is>
          <t>Yes</t>
        </is>
      </c>
      <c r="V293" s="16" t="inlineStr">
        <is>
          <t>Yes</t>
        </is>
      </c>
      <c r="W293" s="16" t="inlineStr">
        <is>
          <t>Yes</t>
        </is>
      </c>
      <c r="X293" s="16" t="inlineStr">
        <is>
          <t>Yes</t>
        </is>
      </c>
      <c r="Y293" s="20" t="n">
        <v>300</v>
      </c>
      <c r="Z293" s="19" t="n">
        <v>0.2026</v>
      </c>
      <c r="AA293" s="18" t="n">
        <v>47.37</v>
      </c>
      <c r="AB293" s="16" t="inlineStr">
        <is>
          <t>Average</t>
        </is>
      </c>
      <c r="AC293" s="16" t="inlineStr">
        <is>
          <t>No</t>
        </is>
      </c>
      <c r="AD293" s="19" t="n">
        <v>0.1231</v>
      </c>
      <c r="AE293" s="19" t="n">
        <v>0.1305</v>
      </c>
      <c r="AF293" s="19" t="n">
        <v>0.2433</v>
      </c>
      <c r="AG293" s="19" t="n">
        <v>0.3639</v>
      </c>
      <c r="AH293" s="23" t="n">
        <v>1.11</v>
      </c>
      <c r="AI293" s="23" t="n">
        <v>1.66</v>
      </c>
      <c r="AJ293" s="19" t="n">
        <v>0.07919999999999999</v>
      </c>
    </row>
    <row r="294">
      <c r="A294" s="16" t="inlineStr">
        <is>
          <t>SHYAMMETL</t>
        </is>
      </c>
      <c r="B294" s="16" t="inlineStr">
        <is>
          <t>Shyam Metalics and Energy Ltd.</t>
        </is>
      </c>
      <c r="C294" s="16" t="inlineStr">
        <is>
          <t>Iron &amp; Steel/Interm.Products</t>
        </is>
      </c>
      <c r="D294" s="16" t="inlineStr">
        <is>
          <t>Metals &amp; Mining</t>
        </is>
      </c>
      <c r="E294" s="16" t="inlineStr">
        <is>
          <t>INE810G01011</t>
        </is>
      </c>
      <c r="F294" s="17" t="n">
        <v>29735.92</v>
      </c>
      <c r="G294" s="18" t="n">
        <v>1065.3</v>
      </c>
      <c r="H294" s="19" t="n">
        <v>-0.0103</v>
      </c>
      <c r="I294" s="20" t="n">
        <v>67</v>
      </c>
      <c r="J294" s="16" t="inlineStr">
        <is>
          <t>amber</t>
        </is>
      </c>
      <c r="K294" s="20" t="n">
        <v>9</v>
      </c>
      <c r="L294" s="18" t="n">
        <v>71.75</v>
      </c>
      <c r="M294" s="18" t="n">
        <v>1071.06</v>
      </c>
      <c r="N294" s="18" t="n">
        <v>1010.78</v>
      </c>
      <c r="O294" s="18" t="n">
        <v>892.66</v>
      </c>
      <c r="P294" s="18" t="n">
        <v>1099.8</v>
      </c>
      <c r="Q294" s="18" t="n">
        <v>758.11</v>
      </c>
      <c r="R294" s="21">
        <f>IF(OR(G294="",P294=""),"",G294/P294-1)</f>
        <v/>
      </c>
      <c r="S294" s="19" t="n">
        <v>0.3840999999999999</v>
      </c>
      <c r="T294" s="22" t="n">
        <v>0.0171</v>
      </c>
      <c r="U294" s="16" t="inlineStr">
        <is>
          <t>Yes</t>
        </is>
      </c>
      <c r="V294" s="16" t="inlineStr">
        <is>
          <t>Yes</t>
        </is>
      </c>
      <c r="W294" s="16" t="inlineStr">
        <is>
          <t>No</t>
        </is>
      </c>
      <c r="X294" s="16" t="inlineStr">
        <is>
          <t>Yes</t>
        </is>
      </c>
      <c r="Y294" s="20" t="n">
        <v>69</v>
      </c>
      <c r="Z294" s="19" t="n">
        <v>0.1323</v>
      </c>
      <c r="AA294" s="18" t="n">
        <v>48.24</v>
      </c>
      <c r="AB294" s="16" t="inlineStr">
        <is>
          <t>Average</t>
        </is>
      </c>
      <c r="AC294" s="16" t="inlineStr">
        <is>
          <t>No</t>
        </is>
      </c>
      <c r="AD294" s="19" t="n">
        <v>0.09539999999999998</v>
      </c>
      <c r="AE294" s="19" t="n">
        <v>0.1147</v>
      </c>
      <c r="AF294" s="19" t="n">
        <v>0.066</v>
      </c>
      <c r="AG294" s="19" t="n">
        <v>0.1386</v>
      </c>
      <c r="AH294" s="23" t="n">
        <v>0.09</v>
      </c>
      <c r="AI294" s="23" t="n">
        <v>1.63</v>
      </c>
      <c r="AJ294" s="19" t="n">
        <v>0.2891</v>
      </c>
    </row>
    <row r="295">
      <c r="A295" s="16" t="inlineStr">
        <is>
          <t>ACMESOLAR</t>
        </is>
      </c>
      <c r="B295" s="16" t="inlineStr">
        <is>
          <t>ACME Solar Holdings Ltd.</t>
        </is>
      </c>
      <c r="C295" s="16" t="inlineStr">
        <is>
          <t>Green &amp; Renewable Energy</t>
        </is>
      </c>
      <c r="D295" s="16" t="inlineStr">
        <is>
          <t>Utilities</t>
        </is>
      </c>
      <c r="E295" s="16" t="inlineStr">
        <is>
          <t>INE622W01025</t>
        </is>
      </c>
      <c r="F295" s="17" t="n">
        <v>29547.35</v>
      </c>
      <c r="G295" s="18" t="n">
        <v>418</v>
      </c>
      <c r="H295" s="19" t="n">
        <v>0.0401</v>
      </c>
      <c r="I295" s="20" t="n">
        <v>86</v>
      </c>
      <c r="J295" s="16" t="inlineStr">
        <is>
          <t>green</t>
        </is>
      </c>
      <c r="K295" s="20" t="n">
        <v>56</v>
      </c>
      <c r="L295" s="18" t="n">
        <v>74.2</v>
      </c>
      <c r="M295" s="18" t="n">
        <v>399.97</v>
      </c>
      <c r="N295" s="18" t="n">
        <v>380.77</v>
      </c>
      <c r="O295" s="18" t="n">
        <v>291.42</v>
      </c>
      <c r="P295" s="18" t="n">
        <v>418</v>
      </c>
      <c r="Q295" s="18" t="n">
        <v>198.78</v>
      </c>
      <c r="R295" s="21">
        <f>IF(OR(G295="",P295=""),"",G295/P295-1)</f>
        <v/>
      </c>
      <c r="S295" s="19" t="n">
        <v>2.743</v>
      </c>
      <c r="T295" s="22" t="n">
        <v>0.0433</v>
      </c>
      <c r="U295" s="16" t="inlineStr">
        <is>
          <t>Yes</t>
        </is>
      </c>
      <c r="V295" s="16" t="inlineStr">
        <is>
          <t>Yes</t>
        </is>
      </c>
      <c r="W295" s="16" t="inlineStr">
        <is>
          <t>Yes</t>
        </is>
      </c>
      <c r="X295" s="16" t="inlineStr">
        <is>
          <t>Yes</t>
        </is>
      </c>
      <c r="Y295" s="20" t="n">
        <v>91</v>
      </c>
      <c r="Z295" s="19" t="n">
        <v>0.3066</v>
      </c>
      <c r="AA295" s="18" t="n">
        <v>24.57</v>
      </c>
      <c r="AB295" s="16" t="inlineStr">
        <is>
          <t>Poor</t>
        </is>
      </c>
      <c r="AC295" s="16" t="inlineStr">
        <is>
          <t>No</t>
        </is>
      </c>
      <c r="AD295" s="19" t="n">
        <v>0.1413</v>
      </c>
      <c r="AE295" s="19" t="n">
        <v>0.09759999999999999</v>
      </c>
      <c r="AF295" s="19" t="n">
        <v>77.2647</v>
      </c>
      <c r="AG295" s="19" t="n">
        <v>0.1747</v>
      </c>
      <c r="AH295" s="23" t="n">
        <v>3.93</v>
      </c>
      <c r="AI295" s="23" t="n">
        <v>0.1</v>
      </c>
      <c r="AJ295" s="19" t="n">
        <v>0.2169</v>
      </c>
    </row>
    <row r="296">
      <c r="A296" s="16" t="inlineStr">
        <is>
          <t>SCHNEIDER</t>
        </is>
      </c>
      <c r="B296" s="16" t="inlineStr">
        <is>
          <t>Schneider Electric Infrastructure Ltd.</t>
        </is>
      </c>
      <c r="C296" s="16" t="inlineStr">
        <is>
          <t>Heavy Electrical Equipment</t>
        </is>
      </c>
      <c r="D296" s="16" t="inlineStr">
        <is>
          <t>General Industrials</t>
        </is>
      </c>
      <c r="E296" s="16" t="inlineStr">
        <is>
          <t>INE839M01018</t>
        </is>
      </c>
      <c r="F296" s="17" t="n">
        <v>29467.18</v>
      </c>
      <c r="G296" s="18" t="n">
        <v>1232.4</v>
      </c>
      <c r="H296" s="19" t="n">
        <v>0.0348</v>
      </c>
      <c r="I296" s="20" t="n">
        <v>77</v>
      </c>
      <c r="J296" s="16" t="inlineStr">
        <is>
          <t>amber</t>
        </is>
      </c>
      <c r="K296" s="20" t="n">
        <v>15</v>
      </c>
      <c r="L296" s="18" t="n">
        <v>52.62</v>
      </c>
      <c r="M296" s="18" t="n">
        <v>1197.96</v>
      </c>
      <c r="N296" s="18" t="n">
        <v>1327.61</v>
      </c>
      <c r="O296" s="18" t="n">
        <v>1037.95</v>
      </c>
      <c r="P296" s="18" t="n">
        <v>1501</v>
      </c>
      <c r="Q296" s="18" t="n">
        <v>579.2</v>
      </c>
      <c r="R296" s="21">
        <f>IF(OR(G296="",P296=""),"",G296/P296-1)</f>
        <v/>
      </c>
      <c r="S296" s="19" t="n">
        <v>0.5804</v>
      </c>
      <c r="T296" s="22" t="n">
        <v>0.0426</v>
      </c>
      <c r="U296" s="16" t="inlineStr">
        <is>
          <t>Yes</t>
        </is>
      </c>
      <c r="V296" s="16" t="inlineStr">
        <is>
          <t>No</t>
        </is>
      </c>
      <c r="W296" s="16" t="inlineStr">
        <is>
          <t>Yes</t>
        </is>
      </c>
      <c r="X296" s="16" t="inlineStr">
        <is>
          <t>Yes</t>
        </is>
      </c>
      <c r="Y296" s="20" t="n">
        <v>110</v>
      </c>
      <c r="Z296" s="19" t="n">
        <v>0.2791</v>
      </c>
      <c r="AA296" s="18" t="n">
        <v>67.45</v>
      </c>
      <c r="AB296" s="16" t="inlineStr">
        <is>
          <t>High</t>
        </is>
      </c>
      <c r="AC296" s="16" t="inlineStr">
        <is>
          <t>No</t>
        </is>
      </c>
      <c r="AD296" s="19" t="n">
        <v>0.444</v>
      </c>
      <c r="AE296" s="19" t="n">
        <v>0.3601</v>
      </c>
      <c r="AF296" s="19" t="n">
        <v>0.2474</v>
      </c>
      <c r="AG296" s="19" t="n">
        <v>0.1807</v>
      </c>
      <c r="AH296" s="23" t="n">
        <v>0.71</v>
      </c>
      <c r="AI296" s="23" t="n">
        <v>5.13</v>
      </c>
      <c r="AJ296" s="19" t="n">
        <v>0.1809</v>
      </c>
    </row>
    <row r="297">
      <c r="A297" s="16" t="inlineStr">
        <is>
          <t>RUBICON</t>
        </is>
      </c>
      <c r="B297" s="16" t="inlineStr">
        <is>
          <t>Rubicon Research Ltd.</t>
        </is>
      </c>
      <c r="C297" s="16" t="inlineStr">
        <is>
          <t>Pharmaceuticals</t>
        </is>
      </c>
      <c r="D297" s="16" t="inlineStr">
        <is>
          <t>Pharmaceuticals &amp; Biotechnology</t>
        </is>
      </c>
      <c r="E297" s="16" t="inlineStr">
        <is>
          <t>INE506V01022</t>
        </is>
      </c>
      <c r="F297" s="17" t="n">
        <v>29271.01</v>
      </c>
      <c r="G297" s="18" t="n">
        <v>1768.3</v>
      </c>
      <c r="H297" s="19" t="n">
        <v>-0.0042</v>
      </c>
      <c r="I297" s="20" t="n">
        <v>95</v>
      </c>
      <c r="J297" s="16" t="inlineStr">
        <is>
          <t>green</t>
        </is>
      </c>
      <c r="K297" s="20" t="n">
        <v>74</v>
      </c>
      <c r="L297" s="18" t="n">
        <v>46.68</v>
      </c>
      <c r="M297" s="18" t="n">
        <v>1809.85</v>
      </c>
      <c r="N297" s="18" t="n">
        <v>1577.23</v>
      </c>
      <c r="O297" s="18" t="n">
        <v>1028.03</v>
      </c>
      <c r="P297" s="18" t="n">
        <v>1841</v>
      </c>
      <c r="Q297" s="18" t="n">
        <v>576.6900000000001</v>
      </c>
      <c r="R297" s="21">
        <f>IF(OR(G297="",P297=""),"",G297/P297-1)</f>
        <v/>
      </c>
      <c r="S297" s="19" t="n">
        <v>0.2998</v>
      </c>
      <c r="T297" s="22" t="n">
        <v>0.1223</v>
      </c>
      <c r="U297" s="16" t="inlineStr">
        <is>
          <t>Yes</t>
        </is>
      </c>
      <c r="V297" s="16" t="inlineStr">
        <is>
          <t>Yes</t>
        </is>
      </c>
      <c r="W297" s="16" t="inlineStr">
        <is>
          <t>No</t>
        </is>
      </c>
      <c r="X297" s="16" t="inlineStr">
        <is>
          <t>Yes</t>
        </is>
      </c>
      <c r="Y297" s="20" t="n">
        <v>22</v>
      </c>
      <c r="Z297" s="19" t="n">
        <v>0.5342</v>
      </c>
      <c r="AA297" s="18" t="n">
        <v>69.87</v>
      </c>
      <c r="AB297" s="16" t="inlineStr">
        <is>
          <t>High</t>
        </is>
      </c>
      <c r="AC297" s="16" t="inlineStr">
        <is>
          <t>No</t>
        </is>
      </c>
      <c r="AD297" s="19" t="n">
        <v>0.1914</v>
      </c>
      <c r="AE297" s="19" t="n">
        <v>0.2198</v>
      </c>
      <c r="AF297" s="19" t="n"/>
      <c r="AG297" s="19" t="n">
        <v>0.3662</v>
      </c>
      <c r="AH297" s="23" t="n">
        <v>0.24</v>
      </c>
      <c r="AI297" s="23" t="n">
        <v>3.34</v>
      </c>
      <c r="AJ297" s="19" t="n">
        <v>0.0989</v>
      </c>
    </row>
    <row r="298">
      <c r="A298" s="16" t="inlineStr">
        <is>
          <t>CDSL</t>
        </is>
      </c>
      <c r="B298" s="16" t="inlineStr">
        <is>
          <t>Central Depository Services (India) Ltd.</t>
        </is>
      </c>
      <c r="C298" s="16" t="inlineStr">
        <is>
          <t>Other Financial Services</t>
        </is>
      </c>
      <c r="D298" s="16" t="inlineStr">
        <is>
          <t>Banking and Finance</t>
        </is>
      </c>
      <c r="E298" s="16" t="inlineStr">
        <is>
          <t>INE736A01011</t>
        </is>
      </c>
      <c r="F298" s="17" t="n">
        <v>29147.14</v>
      </c>
      <c r="G298" s="18" t="n">
        <v>1394.6</v>
      </c>
      <c r="H298" s="19" t="n">
        <v>0.0004</v>
      </c>
      <c r="I298" s="20" t="n">
        <v>50</v>
      </c>
      <c r="J298" s="16" t="inlineStr">
        <is>
          <t>red</t>
        </is>
      </c>
      <c r="K298" s="20" t="n">
        <v>177</v>
      </c>
      <c r="L298" s="18" t="n">
        <v>57.67</v>
      </c>
      <c r="M298" s="18" t="n">
        <v>1400.85</v>
      </c>
      <c r="N298" s="18" t="n">
        <v>1359.25</v>
      </c>
      <c r="O298" s="18" t="n">
        <v>1333.22</v>
      </c>
      <c r="P298" s="18" t="n">
        <v>1640.34</v>
      </c>
      <c r="Q298" s="18" t="n">
        <v>1109.28</v>
      </c>
      <c r="R298" s="21">
        <f>IF(OR(G298="",P298=""),"",G298/P298-1)</f>
        <v/>
      </c>
      <c r="S298" s="19" t="n">
        <v>0.9043000000000001</v>
      </c>
      <c r="T298" s="22" t="n">
        <v>-0.016</v>
      </c>
      <c r="U298" s="16" t="inlineStr">
        <is>
          <t>No</t>
        </is>
      </c>
      <c r="V298" s="16" t="inlineStr">
        <is>
          <t>Yes</t>
        </is>
      </c>
      <c r="W298" s="16" t="inlineStr">
        <is>
          <t>No</t>
        </is>
      </c>
      <c r="X298" s="16" t="inlineStr">
        <is>
          <t>Yes</t>
        </is>
      </c>
      <c r="Y298" s="20" t="n">
        <v>10</v>
      </c>
      <c r="Z298" s="19" t="n">
        <v>0.0195</v>
      </c>
      <c r="AA298" s="18" t="n">
        <v>79.7</v>
      </c>
      <c r="AB298" s="16" t="inlineStr">
        <is>
          <t>High</t>
        </is>
      </c>
      <c r="AC298" s="16" t="inlineStr">
        <is>
          <t>Yes</t>
        </is>
      </c>
      <c r="AD298" s="19" t="n">
        <v>0.2728</v>
      </c>
      <c r="AE298" s="19" t="n">
        <v>0.3614</v>
      </c>
      <c r="AF298" s="19" t="n">
        <v>0.2139</v>
      </c>
      <c r="AG298" s="19" t="n">
        <v>0.2845</v>
      </c>
      <c r="AH298" s="23" t="n">
        <v>0</v>
      </c>
      <c r="AI298" s="23" t="n">
        <v>2.44</v>
      </c>
      <c r="AJ298" s="19" t="n">
        <v>0.0118</v>
      </c>
    </row>
    <row r="299">
      <c r="A299" s="16" t="inlineStr">
        <is>
          <t>NEULANDLAB</t>
        </is>
      </c>
      <c r="B299" s="16" t="inlineStr">
        <is>
          <t>Neuland Laboratories Ltd.</t>
        </is>
      </c>
      <c r="C299" s="16" t="inlineStr">
        <is>
          <t>Pharmaceuticals</t>
        </is>
      </c>
      <c r="D299" s="16" t="inlineStr">
        <is>
          <t>Pharmaceuticals &amp; Biotechnology</t>
        </is>
      </c>
      <c r="E299" s="16" t="inlineStr">
        <is>
          <t>INE794A01010</t>
        </is>
      </c>
      <c r="F299" s="17" t="n">
        <v>29072.55</v>
      </c>
      <c r="G299" s="18" t="n">
        <v>22660</v>
      </c>
      <c r="H299" s="19" t="n">
        <v>-0.01</v>
      </c>
      <c r="I299" s="20" t="n">
        <v>84</v>
      </c>
      <c r="J299" s="16" t="inlineStr">
        <is>
          <t>green</t>
        </is>
      </c>
      <c r="K299" s="20" t="n">
        <v>22</v>
      </c>
      <c r="L299" s="18" t="n">
        <v>32.54</v>
      </c>
      <c r="M299" s="18" t="n">
        <v>23098.88</v>
      </c>
      <c r="N299" s="18" t="n">
        <v>20745.44</v>
      </c>
      <c r="O299" s="18" t="n">
        <v>16409.19</v>
      </c>
      <c r="P299" s="18" t="n">
        <v>23661</v>
      </c>
      <c r="Q299" s="18" t="n">
        <v>11533.68</v>
      </c>
      <c r="R299" s="21">
        <f>IF(OR(G299="",P299=""),"",G299/P299-1)</f>
        <v/>
      </c>
      <c r="S299" s="19" t="n">
        <v>0.2411</v>
      </c>
      <c r="T299" s="22" t="n">
        <v>0.0396</v>
      </c>
      <c r="U299" s="16" t="inlineStr">
        <is>
          <t>Yes</t>
        </is>
      </c>
      <c r="V299" s="16" t="inlineStr">
        <is>
          <t>Yes</t>
        </is>
      </c>
      <c r="W299" s="16" t="inlineStr">
        <is>
          <t>No</t>
        </is>
      </c>
      <c r="X299" s="16" t="inlineStr">
        <is>
          <t>Yes</t>
        </is>
      </c>
      <c r="Y299" s="20" t="n">
        <v>72</v>
      </c>
      <c r="Z299" s="19" t="n">
        <v>0.2643</v>
      </c>
      <c r="AA299" s="18" t="n">
        <v>69.34999999999999</v>
      </c>
      <c r="AB299" s="16" t="inlineStr">
        <is>
          <t>High</t>
        </is>
      </c>
      <c r="AC299" s="16" t="inlineStr">
        <is>
          <t>No</t>
        </is>
      </c>
      <c r="AD299" s="19" t="n">
        <v>0.1996</v>
      </c>
      <c r="AE299" s="19" t="n">
        <v>0.2473</v>
      </c>
      <c r="AF299" s="19" t="n">
        <v>0.3671</v>
      </c>
      <c r="AG299" s="19" t="n">
        <v>0.1997</v>
      </c>
      <c r="AH299" s="23" t="n">
        <v>0.16</v>
      </c>
      <c r="AI299" s="23" t="n">
        <v>1.69</v>
      </c>
      <c r="AJ299" s="19" t="n">
        <v>0.2193</v>
      </c>
    </row>
    <row r="300">
      <c r="A300" s="16" t="inlineStr">
        <is>
          <t>ZFCVINDIA</t>
        </is>
      </c>
      <c r="B300" s="16" t="inlineStr">
        <is>
          <t>ZF Commercial Vehicle Control Systems India Ltd.</t>
        </is>
      </c>
      <c r="C300" s="16" t="inlineStr">
        <is>
          <t>Auto Parts &amp; Equipment</t>
        </is>
      </c>
      <c r="D300" s="16" t="inlineStr">
        <is>
          <t>Automobiles &amp; Auto Components</t>
        </is>
      </c>
      <c r="E300" s="16" t="inlineStr">
        <is>
          <t>INE342J01019</t>
        </is>
      </c>
      <c r="F300" s="17" t="n">
        <v>29042.03</v>
      </c>
      <c r="G300" s="18" t="n">
        <v>2551.9</v>
      </c>
      <c r="H300" s="19" t="n">
        <v>0.0107</v>
      </c>
      <c r="I300" s="20" t="n">
        <v>51</v>
      </c>
      <c r="J300" s="16" t="inlineStr">
        <is>
          <t>red</t>
        </is>
      </c>
      <c r="K300" s="20" t="n">
        <v>13</v>
      </c>
      <c r="L300" s="18" t="n">
        <v>40.78</v>
      </c>
      <c r="M300" s="18" t="n">
        <v>2557.27</v>
      </c>
      <c r="N300" s="18" t="n">
        <v>2490.34</v>
      </c>
      <c r="O300" s="18" t="n">
        <v>2441.43</v>
      </c>
      <c r="P300" s="18" t="n">
        <v>2681.35</v>
      </c>
      <c r="Q300" s="18" t="n">
        <v>2067.08</v>
      </c>
      <c r="R300" s="21">
        <f>IF(OR(G300="",P300=""),"",G300/P300-1)</f>
        <v/>
      </c>
      <c r="S300" s="19" t="n">
        <v>0.2832</v>
      </c>
      <c r="T300" s="22" t="n">
        <v>0.0197</v>
      </c>
      <c r="U300" s="16" t="inlineStr">
        <is>
          <t>Yes</t>
        </is>
      </c>
      <c r="V300" s="16" t="inlineStr">
        <is>
          <t>Yes</t>
        </is>
      </c>
      <c r="W300" s="16" t="inlineStr">
        <is>
          <t>No</t>
        </is>
      </c>
      <c r="X300" s="16" t="inlineStr">
        <is>
          <t>Yes</t>
        </is>
      </c>
      <c r="Y300" s="20" t="n">
        <v>304</v>
      </c>
      <c r="Z300" s="19" t="n">
        <v>0.02</v>
      </c>
      <c r="AA300" s="18" t="n">
        <v>63.21</v>
      </c>
      <c r="AB300" s="16" t="inlineStr">
        <is>
          <t>Good</t>
        </is>
      </c>
      <c r="AC300" s="16" t="inlineStr">
        <is>
          <t>No</t>
        </is>
      </c>
      <c r="AD300" s="19" t="n">
        <v>0.143</v>
      </c>
      <c r="AE300" s="19" t="n">
        <v>0.189</v>
      </c>
      <c r="AF300" s="19" t="n">
        <v>0.1785</v>
      </c>
      <c r="AG300" s="19" t="n">
        <v>0.0629</v>
      </c>
      <c r="AH300" s="23" t="n">
        <v>0.01</v>
      </c>
      <c r="AI300" s="23" t="n">
        <v>5.09</v>
      </c>
      <c r="AJ300" s="19" t="n">
        <v>0.1034</v>
      </c>
    </row>
    <row r="301">
      <c r="A301" s="16" t="inlineStr">
        <is>
          <t>REDINGTON</t>
        </is>
      </c>
      <c r="B301" s="16" t="inlineStr">
        <is>
          <t>Redington Ltd.</t>
        </is>
      </c>
      <c r="C301" s="16" t="inlineStr">
        <is>
          <t>Commodity Trading  &amp; Distribution</t>
        </is>
      </c>
      <c r="D301" s="16" t="inlineStr">
        <is>
          <t>Commercial Services &amp; Supplies</t>
        </is>
      </c>
      <c r="E301" s="16" t="inlineStr">
        <is>
          <t>INE891D01026</t>
        </is>
      </c>
      <c r="F301" s="17" t="n">
        <v>29027.28</v>
      </c>
      <c r="G301" s="18" t="n">
        <v>371.3</v>
      </c>
      <c r="H301" s="19" t="n">
        <v>-0.0031</v>
      </c>
      <c r="I301" s="20" t="n">
        <v>86</v>
      </c>
      <c r="J301" s="16" t="inlineStr">
        <is>
          <t>green</t>
        </is>
      </c>
      <c r="K301" s="20" t="n">
        <v>26</v>
      </c>
      <c r="L301" s="18" t="n">
        <v>67.26000000000001</v>
      </c>
      <c r="M301" s="18" t="n">
        <v>361.61</v>
      </c>
      <c r="N301" s="18" t="n">
        <v>314.29</v>
      </c>
      <c r="O301" s="18" t="n">
        <v>261.45</v>
      </c>
      <c r="P301" s="18" t="n">
        <v>372.45</v>
      </c>
      <c r="Q301" s="18" t="n">
        <v>195.65</v>
      </c>
      <c r="R301" s="21">
        <f>IF(OR(G301="",P301=""),"",G301/P301-1)</f>
        <v/>
      </c>
      <c r="S301" s="19" t="n">
        <v>0.3466</v>
      </c>
      <c r="T301" s="22" t="n">
        <v>0.0321</v>
      </c>
      <c r="U301" s="16" t="inlineStr">
        <is>
          <t>Yes</t>
        </is>
      </c>
      <c r="V301" s="16" t="inlineStr">
        <is>
          <t>Yes</t>
        </is>
      </c>
      <c r="W301" s="16" t="inlineStr">
        <is>
          <t>Yes</t>
        </is>
      </c>
      <c r="X301" s="16" t="inlineStr">
        <is>
          <t>Yes</t>
        </is>
      </c>
      <c r="Y301" s="20" t="n">
        <v>32</v>
      </c>
      <c r="Z301" s="19" t="n">
        <v>0.2021</v>
      </c>
      <c r="AA301" s="18" t="n">
        <v>61.64</v>
      </c>
      <c r="AB301" s="16" t="inlineStr">
        <is>
          <t>Good</t>
        </is>
      </c>
      <c r="AC301" s="16" t="inlineStr">
        <is>
          <t>No</t>
        </is>
      </c>
      <c r="AD301" s="19" t="n">
        <v>0.164</v>
      </c>
      <c r="AE301" s="19" t="n">
        <v>0.1906</v>
      </c>
      <c r="AF301" s="19" t="n">
        <v>0.04019999999999999</v>
      </c>
      <c r="AG301" s="19" t="n">
        <v>0.1457</v>
      </c>
      <c r="AH301" s="23" t="n">
        <v>0.28</v>
      </c>
      <c r="AI301" s="23" t="n">
        <v>210.11</v>
      </c>
      <c r="AJ301" s="19" t="n">
        <v>0.123</v>
      </c>
    </row>
    <row r="302">
      <c r="A302" s="16" t="inlineStr">
        <is>
          <t>GRSE</t>
        </is>
      </c>
      <c r="B302" s="16" t="inlineStr">
        <is>
          <t>Garden Reach Shipbuilders &amp; Engineers Ltd.</t>
        </is>
      </c>
      <c r="C302" s="16" t="inlineStr">
        <is>
          <t>Aerospace &amp; Defence</t>
        </is>
      </c>
      <c r="D302" s="16" t="inlineStr">
        <is>
          <t>General Industrials</t>
        </is>
      </c>
      <c r="E302" s="16" t="inlineStr">
        <is>
          <t>INE382Z01011</t>
        </is>
      </c>
      <c r="F302" s="17" t="n">
        <v>29018.31</v>
      </c>
      <c r="G302" s="18" t="n">
        <v>2533.2</v>
      </c>
      <c r="H302" s="19" t="n">
        <v>0.009300000000000001</v>
      </c>
      <c r="I302" s="20" t="n">
        <v>36</v>
      </c>
      <c r="J302" s="16" t="inlineStr">
        <is>
          <t>red</t>
        </is>
      </c>
      <c r="K302" s="20" t="n">
        <v>48</v>
      </c>
      <c r="L302" s="18" t="n">
        <v>41.44</v>
      </c>
      <c r="M302" s="18" t="n">
        <v>2565</v>
      </c>
      <c r="N302" s="18" t="n">
        <v>2614.94</v>
      </c>
      <c r="O302" s="18" t="n">
        <v>2564.7</v>
      </c>
      <c r="P302" s="18" t="n">
        <v>3093.8</v>
      </c>
      <c r="Q302" s="18" t="n">
        <v>1972.8</v>
      </c>
      <c r="R302" s="21">
        <f>IF(OR(G302="",P302=""),"",G302/P302-1)</f>
        <v/>
      </c>
      <c r="S302" s="19" t="n">
        <v>0.6297999999999999</v>
      </c>
      <c r="T302" s="22" t="n">
        <v>-0.0027</v>
      </c>
      <c r="U302" s="16" t="inlineStr">
        <is>
          <t>No</t>
        </is>
      </c>
      <c r="V302" s="16" t="inlineStr">
        <is>
          <t>No</t>
        </is>
      </c>
      <c r="W302" s="16" t="inlineStr">
        <is>
          <t>No</t>
        </is>
      </c>
      <c r="X302" s="16" t="inlineStr">
        <is>
          <t>Yes</t>
        </is>
      </c>
      <c r="Y302" s="20" t="n">
        <v>85</v>
      </c>
      <c r="Z302" s="19" t="n">
        <v>0.0196</v>
      </c>
      <c r="AA302" s="18" t="n">
        <v>85.23</v>
      </c>
      <c r="AB302" s="16" t="inlineStr">
        <is>
          <t>High</t>
        </is>
      </c>
      <c r="AC302" s="16" t="inlineStr">
        <is>
          <t>No</t>
        </is>
      </c>
      <c r="AD302" s="19" t="n">
        <v>0.2506</v>
      </c>
      <c r="AE302" s="19" t="n">
        <v>0.336</v>
      </c>
      <c r="AF302" s="19" t="n">
        <v>0.4869</v>
      </c>
      <c r="AG302" s="19" t="n">
        <v>0.4008</v>
      </c>
      <c r="AH302" s="23" t="n">
        <v>0.01</v>
      </c>
      <c r="AI302" s="23" t="n">
        <v>12.22</v>
      </c>
      <c r="AJ302" s="19" t="n">
        <v>0.0275</v>
      </c>
    </row>
    <row r="303">
      <c r="A303" s="16" t="inlineStr">
        <is>
          <t>MANAPPURAM</t>
        </is>
      </c>
      <c r="B303" s="16" t="inlineStr">
        <is>
          <t>Manappuram Finance Ltd.</t>
        </is>
      </c>
      <c r="C303" s="16" t="inlineStr">
        <is>
          <t>Finance (including NBFCs)</t>
        </is>
      </c>
      <c r="D303" s="16" t="inlineStr">
        <is>
          <t>Banking and Finance</t>
        </is>
      </c>
      <c r="E303" s="16" t="inlineStr">
        <is>
          <t>INE522D01027</t>
        </is>
      </c>
      <c r="F303" s="17" t="n">
        <v>28753.39</v>
      </c>
      <c r="G303" s="18" t="n">
        <v>339.7</v>
      </c>
      <c r="H303" s="19" t="n">
        <v>-0.0038</v>
      </c>
      <c r="I303" s="20" t="n">
        <v>66</v>
      </c>
      <c r="J303" s="16" t="inlineStr">
        <is>
          <t>amber</t>
        </is>
      </c>
      <c r="K303" s="20" t="n">
        <v>26</v>
      </c>
      <c r="L303" s="18" t="n">
        <v>43.95</v>
      </c>
      <c r="M303" s="18" t="n">
        <v>345.13</v>
      </c>
      <c r="N303" s="18" t="n">
        <v>346.26</v>
      </c>
      <c r="O303" s="18" t="n">
        <v>305.56</v>
      </c>
      <c r="P303" s="18" t="n">
        <v>370.78</v>
      </c>
      <c r="Q303" s="18" t="n">
        <v>249.98</v>
      </c>
      <c r="R303" s="21">
        <f>IF(OR(G303="",P303=""),"",G303/P303-1)</f>
        <v/>
      </c>
      <c r="S303" s="19" t="n">
        <v>0.304</v>
      </c>
      <c r="T303" s="22" t="n">
        <v>0.0256</v>
      </c>
      <c r="U303" s="16" t="inlineStr">
        <is>
          <t>Yes</t>
        </is>
      </c>
      <c r="V303" s="16" t="inlineStr">
        <is>
          <t>No</t>
        </is>
      </c>
      <c r="W303" s="16" t="inlineStr">
        <is>
          <t>No</t>
        </is>
      </c>
      <c r="X303" s="16" t="inlineStr">
        <is>
          <t>Yes</t>
        </is>
      </c>
      <c r="Y303" s="20" t="n">
        <v>73</v>
      </c>
      <c r="Z303" s="19" t="n">
        <v>0.1332</v>
      </c>
      <c r="AA303" s="18" t="n">
        <v>37.5</v>
      </c>
      <c r="AB303" s="16" t="inlineStr">
        <is>
          <t>Weak</t>
        </is>
      </c>
      <c r="AC303" s="16" t="inlineStr">
        <is>
          <t>Yes</t>
        </is>
      </c>
      <c r="AD303" s="19" t="n">
        <v>0.1166</v>
      </c>
      <c r="AE303" s="19" t="n"/>
      <c r="AF303" s="19" t="n">
        <v>-0.0553</v>
      </c>
      <c r="AG303" s="19" t="n">
        <v>0.08939999999999999</v>
      </c>
      <c r="AH303" s="23" t="n">
        <v>3.6</v>
      </c>
      <c r="AI303" s="23" t="n">
        <v>5.53</v>
      </c>
      <c r="AJ303" s="19" t="n">
        <v>0.027</v>
      </c>
    </row>
    <row r="304">
      <c r="A304" s="16" t="inlineStr">
        <is>
          <t>CHOLAHLDNG</t>
        </is>
      </c>
      <c r="B304" s="16" t="inlineStr">
        <is>
          <t>Cholamandalam Financial Holdings Ltd.</t>
        </is>
      </c>
      <c r="C304" s="16" t="inlineStr">
        <is>
          <t>Holding Companies</t>
        </is>
      </c>
      <c r="D304" s="16" t="inlineStr">
        <is>
          <t>Diversified</t>
        </is>
      </c>
      <c r="E304" s="16" t="inlineStr">
        <is>
          <t>INE149A01033</t>
        </is>
      </c>
      <c r="F304" s="17" t="n">
        <v>28649.21</v>
      </c>
      <c r="G304" s="18" t="n">
        <v>1525.7</v>
      </c>
      <c r="H304" s="19" t="n">
        <v>0.0152</v>
      </c>
      <c r="I304" s="20" t="n">
        <v>29</v>
      </c>
      <c r="J304" s="16" t="inlineStr">
        <is>
          <t>red</t>
        </is>
      </c>
      <c r="K304" s="20" t="n">
        <v>138</v>
      </c>
      <c r="L304" s="18" t="n">
        <v>37.81</v>
      </c>
      <c r="M304" s="18" t="n">
        <v>1506.68</v>
      </c>
      <c r="N304" s="18" t="n">
        <v>1576.42</v>
      </c>
      <c r="O304" s="18" t="n">
        <v>1644.78</v>
      </c>
      <c r="P304" s="18" t="n">
        <v>2017.91</v>
      </c>
      <c r="Q304" s="18" t="n">
        <v>1349.83</v>
      </c>
      <c r="R304" s="21">
        <f>IF(OR(G304="",P304=""),"",G304/P304-1)</f>
        <v/>
      </c>
      <c r="S304" s="19" t="n">
        <v>0.402</v>
      </c>
      <c r="T304" s="22" t="n">
        <v>-0.0233</v>
      </c>
      <c r="U304" s="16" t="inlineStr">
        <is>
          <t>No</t>
        </is>
      </c>
      <c r="V304" s="16" t="inlineStr">
        <is>
          <t>No</t>
        </is>
      </c>
      <c r="W304" s="16" t="inlineStr">
        <is>
          <t>Yes</t>
        </is>
      </c>
      <c r="X304" s="16" t="inlineStr">
        <is>
          <t>No</t>
        </is>
      </c>
      <c r="Y304" s="20" t="n">
        <v>166</v>
      </c>
      <c r="Z304" s="19" t="n">
        <v>-0.0416</v>
      </c>
      <c r="AA304" s="18" t="n">
        <v>57.52</v>
      </c>
      <c r="AB304" s="16" t="inlineStr">
        <is>
          <t>Good</t>
        </is>
      </c>
      <c r="AC304" s="16" t="inlineStr">
        <is>
          <t>Yes</t>
        </is>
      </c>
      <c r="AD304" s="19" t="n">
        <v>0.1683</v>
      </c>
      <c r="AE304" s="19" t="n">
        <v>0.0345</v>
      </c>
      <c r="AF304" s="19" t="n">
        <v>0.241</v>
      </c>
      <c r="AG304" s="19" t="n">
        <v>0.2842</v>
      </c>
      <c r="AH304" s="23" t="n">
        <v>13.61</v>
      </c>
      <c r="AI304" s="23" t="n">
        <v>19.71</v>
      </c>
      <c r="AJ304" s="19" t="n">
        <v>0.0089</v>
      </c>
    </row>
    <row r="305">
      <c r="A305" s="16" t="inlineStr">
        <is>
          <t>PPLPHARMA</t>
        </is>
      </c>
      <c r="B305" s="16" t="inlineStr">
        <is>
          <t>Piramal Pharma Ltd.</t>
        </is>
      </c>
      <c r="C305" s="16" t="inlineStr">
        <is>
          <t>Pharmaceuticals</t>
        </is>
      </c>
      <c r="D305" s="16" t="inlineStr">
        <is>
          <t>Pharmaceuticals &amp; Biotechnology</t>
        </is>
      </c>
      <c r="E305" s="16" t="inlineStr">
        <is>
          <t>INE0DK501011</t>
        </is>
      </c>
      <c r="F305" s="17" t="n">
        <v>28520.14</v>
      </c>
      <c r="G305" s="18" t="n">
        <v>214.22</v>
      </c>
      <c r="H305" s="19" t="n">
        <v>-0.0013</v>
      </c>
      <c r="I305" s="20" t="n">
        <v>71</v>
      </c>
      <c r="J305" s="16" t="inlineStr">
        <is>
          <t>amber</t>
        </is>
      </c>
      <c r="K305" s="20" t="n">
        <v>30</v>
      </c>
      <c r="L305" s="18" t="n">
        <v>61.67</v>
      </c>
      <c r="M305" s="18" t="n">
        <v>214.38</v>
      </c>
      <c r="N305" s="18" t="n">
        <v>194.77</v>
      </c>
      <c r="O305" s="18" t="n">
        <v>171.7</v>
      </c>
      <c r="P305" s="18" t="n">
        <v>218.68</v>
      </c>
      <c r="Q305" s="18" t="n">
        <v>133.27</v>
      </c>
      <c r="R305" s="21">
        <f>IF(OR(G305="",P305=""),"",G305/P305-1)</f>
        <v/>
      </c>
      <c r="S305" s="19" t="n">
        <v>0.4403</v>
      </c>
      <c r="T305" s="22" t="n">
        <v>0.0083</v>
      </c>
      <c r="U305" s="16" t="inlineStr">
        <is>
          <t>Yes</t>
        </is>
      </c>
      <c r="V305" s="16" t="inlineStr">
        <is>
          <t>Yes</t>
        </is>
      </c>
      <c r="W305" s="16" t="inlineStr">
        <is>
          <t>No</t>
        </is>
      </c>
      <c r="X305" s="16" t="inlineStr">
        <is>
          <t>Yes</t>
        </is>
      </c>
      <c r="Y305" s="20" t="n">
        <v>39</v>
      </c>
      <c r="Z305" s="19" t="n">
        <v>0.1344</v>
      </c>
      <c r="AA305" s="18" t="n">
        <v>27.13</v>
      </c>
      <c r="AB305" s="16" t="inlineStr">
        <is>
          <t>Poor</t>
        </is>
      </c>
      <c r="AC305" s="16" t="inlineStr">
        <is>
          <t>No</t>
        </is>
      </c>
      <c r="AD305" s="19" t="n">
        <v>-0.008800000000000001</v>
      </c>
      <c r="AE305" s="19" t="n">
        <v>0.0418</v>
      </c>
      <c r="AF305" s="19" t="n">
        <v>0.1514</v>
      </c>
      <c r="AG305" s="19" t="n">
        <v>0.079</v>
      </c>
      <c r="AH305" s="23" t="n">
        <v>0.7</v>
      </c>
      <c r="AI305" s="23" t="n">
        <v>1.55</v>
      </c>
      <c r="AJ305" s="19" t="n">
        <v>0.1417</v>
      </c>
    </row>
    <row r="306">
      <c r="A306" s="16" t="inlineStr">
        <is>
          <t>CENTRALBK</t>
        </is>
      </c>
      <c r="B306" s="16" t="inlineStr">
        <is>
          <t>Central Bank of India</t>
        </is>
      </c>
      <c r="C306" s="16" t="inlineStr">
        <is>
          <t>Banks</t>
        </is>
      </c>
      <c r="D306" s="16" t="inlineStr">
        <is>
          <t>Banking and Finance</t>
        </is>
      </c>
      <c r="E306" s="16" t="inlineStr">
        <is>
          <t>INE483A01010</t>
        </is>
      </c>
      <c r="F306" s="17" t="n">
        <v>28131.76</v>
      </c>
      <c r="G306" s="18" t="n">
        <v>31.08</v>
      </c>
      <c r="H306" s="19" t="n">
        <v>0.0101</v>
      </c>
      <c r="I306" s="20" t="n">
        <v>25</v>
      </c>
      <c r="J306" s="16" t="inlineStr">
        <is>
          <t>red</t>
        </is>
      </c>
      <c r="K306" s="20" t="n">
        <v>118</v>
      </c>
      <c r="L306" s="18" t="n">
        <v>46.69</v>
      </c>
      <c r="M306" s="18" t="n">
        <v>30.6</v>
      </c>
      <c r="N306" s="18" t="n">
        <v>31.49</v>
      </c>
      <c r="O306" s="18" t="n">
        <v>34.24</v>
      </c>
      <c r="P306" s="18" t="n">
        <v>39.79</v>
      </c>
      <c r="Q306" s="18" t="n">
        <v>29.62</v>
      </c>
      <c r="R306" s="21">
        <f>IF(OR(G306="",P306=""),"",G306/P306-1)</f>
        <v/>
      </c>
      <c r="S306" s="19" t="n">
        <v>0.9456</v>
      </c>
      <c r="T306" s="22" t="n">
        <v>-0.0206</v>
      </c>
      <c r="U306" s="16" t="inlineStr">
        <is>
          <t>No</t>
        </is>
      </c>
      <c r="V306" s="16" t="inlineStr">
        <is>
          <t>No</t>
        </is>
      </c>
      <c r="W306" s="16" t="inlineStr">
        <is>
          <t>Yes</t>
        </is>
      </c>
      <c r="X306" s="16" t="inlineStr">
        <is>
          <t>No</t>
        </is>
      </c>
      <c r="Y306" s="20" t="n">
        <v>117</v>
      </c>
      <c r="Z306" s="19" t="n">
        <v>-0.0806</v>
      </c>
      <c r="AA306" s="18" t="n">
        <v>52.83</v>
      </c>
      <c r="AB306" s="16" t="inlineStr">
        <is>
          <t>Good</t>
        </is>
      </c>
      <c r="AC306" s="16" t="inlineStr">
        <is>
          <t>Yes</t>
        </is>
      </c>
      <c r="AD306" s="19" t="n">
        <v>0.1017</v>
      </c>
      <c r="AE306" s="19" t="n"/>
      <c r="AF306" s="19" t="n">
        <v>0.39</v>
      </c>
      <c r="AG306" s="19" t="n">
        <v>0.0931</v>
      </c>
      <c r="AH306" s="23" t="n">
        <v>0.48</v>
      </c>
      <c r="AI306" s="23" t="n">
        <v>4.03</v>
      </c>
      <c r="AJ306" s="19" t="n">
        <v>0</v>
      </c>
    </row>
    <row r="307">
      <c r="A307" s="16" t="inlineStr">
        <is>
          <t>SYRMA</t>
        </is>
      </c>
      <c r="B307" s="16" t="inlineStr">
        <is>
          <t>Syrma SGS Technology Ltd.</t>
        </is>
      </c>
      <c r="C307" s="16" t="inlineStr">
        <is>
          <t>Other Electrical Equipment/Products</t>
        </is>
      </c>
      <c r="D307" s="16" t="inlineStr">
        <is>
          <t>Consumer Durables</t>
        </is>
      </c>
      <c r="E307" s="16" t="inlineStr">
        <is>
          <t>INE0DYJ01015</t>
        </is>
      </c>
      <c r="F307" s="17" t="n">
        <v>28047.81</v>
      </c>
      <c r="G307" s="18" t="n">
        <v>1457.3</v>
      </c>
      <c r="H307" s="19" t="n">
        <v>0.0031</v>
      </c>
      <c r="I307" s="20" t="n">
        <v>88</v>
      </c>
      <c r="J307" s="16" t="inlineStr">
        <is>
          <t>green</t>
        </is>
      </c>
      <c r="K307" s="20" t="n">
        <v>153</v>
      </c>
      <c r="L307" s="18" t="n">
        <v>48.23</v>
      </c>
      <c r="M307" s="18" t="n">
        <v>1458.86</v>
      </c>
      <c r="N307" s="18" t="n">
        <v>1416.49</v>
      </c>
      <c r="O307" s="18" t="n">
        <v>1025.67</v>
      </c>
      <c r="P307" s="18" t="n">
        <v>1514.85</v>
      </c>
      <c r="Q307" s="18" t="n">
        <v>639.5</v>
      </c>
      <c r="R307" s="21">
        <f>IF(OR(G307="",P307=""),"",G307/P307-1)</f>
        <v/>
      </c>
      <c r="S307" s="19" t="n">
        <v>0.4051</v>
      </c>
      <c r="T307" s="22" t="n">
        <v>0.067</v>
      </c>
      <c r="U307" s="16" t="inlineStr">
        <is>
          <t>Yes</t>
        </is>
      </c>
      <c r="V307" s="16" t="inlineStr">
        <is>
          <t>Yes</t>
        </is>
      </c>
      <c r="W307" s="16" t="inlineStr">
        <is>
          <t>No</t>
        </is>
      </c>
      <c r="X307" s="16" t="inlineStr">
        <is>
          <t>Yes</t>
        </is>
      </c>
      <c r="Y307" s="20" t="n">
        <v>319</v>
      </c>
      <c r="Z307" s="19" t="n">
        <v>0.381</v>
      </c>
      <c r="AA307" s="18" t="n">
        <v>58.79</v>
      </c>
      <c r="AB307" s="16" t="inlineStr">
        <is>
          <t>Good</t>
        </is>
      </c>
      <c r="AC307" s="16" t="inlineStr">
        <is>
          <t>No</t>
        </is>
      </c>
      <c r="AD307" s="19" t="n">
        <v>0.0916</v>
      </c>
      <c r="AE307" s="19" t="n">
        <v>0.1215</v>
      </c>
      <c r="AF307" s="19" t="n">
        <v>0.4169</v>
      </c>
      <c r="AG307" s="19" t="n">
        <v>0.3466</v>
      </c>
      <c r="AH307" s="23" t="n">
        <v>0.14</v>
      </c>
      <c r="AI307" s="23" t="n">
        <v>4.57</v>
      </c>
      <c r="AJ307" s="19" t="n">
        <v>0.0641</v>
      </c>
    </row>
    <row r="308">
      <c r="A308" s="16" t="inlineStr">
        <is>
          <t>URBANCO</t>
        </is>
      </c>
      <c r="B308" s="16" t="inlineStr">
        <is>
          <t>Urban Company Ltd.</t>
        </is>
      </c>
      <c r="C308" s="16" t="inlineStr">
        <is>
          <t>Special Consumer Services</t>
        </is>
      </c>
      <c r="D308" s="16" t="inlineStr">
        <is>
          <t>Diversified Consumer Services</t>
        </is>
      </c>
      <c r="E308" s="16" t="inlineStr">
        <is>
          <t>INE0CAZ01013</t>
        </is>
      </c>
      <c r="F308" s="17" t="n">
        <v>27927.35</v>
      </c>
      <c r="G308" s="18" t="n">
        <v>181.09</v>
      </c>
      <c r="H308" s="19" t="n">
        <v>0.0205</v>
      </c>
      <c r="I308" s="20" t="n">
        <v>86</v>
      </c>
      <c r="J308" s="16" t="inlineStr">
        <is>
          <t>green</t>
        </is>
      </c>
      <c r="K308" s="20" t="n">
        <v>10</v>
      </c>
      <c r="L308" s="18" t="n">
        <v>88.31999999999999</v>
      </c>
      <c r="M308" s="18" t="n">
        <v>171.05</v>
      </c>
      <c r="N308" s="18" t="n">
        <v>143.45</v>
      </c>
      <c r="O308" s="18" t="n">
        <v>130.83</v>
      </c>
      <c r="P308" s="18" t="n">
        <v>186.73</v>
      </c>
      <c r="Q308" s="18" t="n">
        <v>103.03</v>
      </c>
      <c r="R308" s="21">
        <f>IF(OR(G308="",P308=""),"",G308/P308-1)</f>
        <v/>
      </c>
      <c r="S308" s="19" t="n">
        <v>0.4563</v>
      </c>
      <c r="T308" s="22" t="n">
        <v>0.0076</v>
      </c>
      <c r="U308" s="16" t="inlineStr">
        <is>
          <t>Yes</t>
        </is>
      </c>
      <c r="V308" s="16" t="inlineStr">
        <is>
          <t>Yes</t>
        </is>
      </c>
      <c r="W308" s="16" t="inlineStr">
        <is>
          <t>Yes</t>
        </is>
      </c>
      <c r="X308" s="16" t="inlineStr">
        <is>
          <t>Yes</t>
        </is>
      </c>
      <c r="Y308" s="20" t="n">
        <v>23</v>
      </c>
      <c r="Z308" s="19" t="n">
        <v>0.0965</v>
      </c>
      <c r="AA308" s="18" t="n">
        <v>52.31</v>
      </c>
      <c r="AB308" s="16" t="inlineStr">
        <is>
          <t>Good</t>
        </is>
      </c>
      <c r="AC308" s="16" t="inlineStr">
        <is>
          <t>No</t>
        </is>
      </c>
      <c r="AD308" s="19" t="n">
        <v>-0.0159</v>
      </c>
      <c r="AE308" s="19" t="n">
        <v>-0.0369</v>
      </c>
      <c r="AF308" s="19" t="n">
        <v>0.777</v>
      </c>
      <c r="AG308" s="19" t="n">
        <v>0.3472999999999999</v>
      </c>
      <c r="AH308" s="23" t="n">
        <v>0.06</v>
      </c>
      <c r="AI308" s="23" t="n">
        <v>9.390000000000001</v>
      </c>
      <c r="AJ308" s="19" t="n">
        <v>0.044</v>
      </c>
    </row>
    <row r="309">
      <c r="A309" s="16" t="inlineStr">
        <is>
          <t>RRKABEL</t>
        </is>
      </c>
      <c r="B309" s="16" t="inlineStr">
        <is>
          <t>R R Kabel Ltd.</t>
        </is>
      </c>
      <c r="C309" s="16" t="inlineStr">
        <is>
          <t>Wires &amp; Cables</t>
        </is>
      </c>
      <c r="D309" s="16" t="inlineStr">
        <is>
          <t>Consumer Durables</t>
        </is>
      </c>
      <c r="E309" s="16" t="inlineStr">
        <is>
          <t>INE777K01022</t>
        </is>
      </c>
      <c r="F309" s="17" t="n">
        <v>27757.22</v>
      </c>
      <c r="G309" s="18" t="n">
        <v>2454.1</v>
      </c>
      <c r="H309" s="19" t="n">
        <v>-0.0625</v>
      </c>
      <c r="I309" s="20" t="n">
        <v>87</v>
      </c>
      <c r="J309" s="16" t="inlineStr">
        <is>
          <t>green</t>
        </is>
      </c>
      <c r="K309" s="20" t="n">
        <v>94</v>
      </c>
      <c r="L309" s="18" t="n">
        <v>33.63</v>
      </c>
      <c r="M309" s="18" t="n">
        <v>2755.79</v>
      </c>
      <c r="N309" s="18" t="n">
        <v>2583.44</v>
      </c>
      <c r="O309" s="18" t="n">
        <v>1849.53</v>
      </c>
      <c r="P309" s="18" t="n">
        <v>2928.4</v>
      </c>
      <c r="Q309" s="18" t="n">
        <v>1199.82</v>
      </c>
      <c r="R309" s="21">
        <f>IF(OR(G309="",P309=""),"",G309/P309-1)</f>
        <v/>
      </c>
      <c r="S309" s="19" t="n">
        <v>3.6504</v>
      </c>
      <c r="T309" s="22" t="n">
        <v>0.08439999999999999</v>
      </c>
      <c r="U309" s="16" t="inlineStr">
        <is>
          <t>Yes</t>
        </is>
      </c>
      <c r="V309" s="16" t="inlineStr">
        <is>
          <t>No</t>
        </is>
      </c>
      <c r="W309" s="16" t="inlineStr">
        <is>
          <t>No</t>
        </is>
      </c>
      <c r="X309" s="16" t="inlineStr">
        <is>
          <t>Yes</t>
        </is>
      </c>
      <c r="Y309" s="20" t="n">
        <v>291</v>
      </c>
      <c r="Z309" s="19" t="n">
        <v>0.3968</v>
      </c>
      <c r="AA309" s="18" t="n">
        <v>70.47</v>
      </c>
      <c r="AB309" s="16" t="inlineStr">
        <is>
          <t>High</t>
        </is>
      </c>
      <c r="AC309" s="16" t="inlineStr">
        <is>
          <t>No</t>
        </is>
      </c>
      <c r="AD309" s="19" t="n">
        <v>0.1663</v>
      </c>
      <c r="AE309" s="19" t="n">
        <v>0.2161</v>
      </c>
      <c r="AF309" s="19" t="n">
        <v>0.3983</v>
      </c>
      <c r="AG309" s="19" t="n">
        <v>0.2019</v>
      </c>
      <c r="AH309" s="23" t="n">
        <v>0.13</v>
      </c>
      <c r="AI309" s="23" t="n">
        <v>7.7</v>
      </c>
      <c r="AJ309" s="19" t="n">
        <v>0.058</v>
      </c>
    </row>
    <row r="310">
      <c r="A310" s="16" t="inlineStr">
        <is>
          <t>IIFL</t>
        </is>
      </c>
      <c r="B310" s="16" t="inlineStr">
        <is>
          <t>IIFL Finance Ltd.</t>
        </is>
      </c>
      <c r="C310" s="16" t="inlineStr">
        <is>
          <t>Other Financial Services</t>
        </is>
      </c>
      <c r="D310" s="16" t="inlineStr">
        <is>
          <t>Banking and Finance</t>
        </is>
      </c>
      <c r="E310" s="16" t="inlineStr">
        <is>
          <t>INE530B01024</t>
        </is>
      </c>
      <c r="F310" s="17" t="n">
        <v>27698.68</v>
      </c>
      <c r="G310" s="18" t="n">
        <v>651.15</v>
      </c>
      <c r="H310" s="19" t="n">
        <v>0.012</v>
      </c>
      <c r="I310" s="20" t="n">
        <v>76</v>
      </c>
      <c r="J310" s="16" t="inlineStr">
        <is>
          <t>amber</t>
        </is>
      </c>
      <c r="K310" s="20" t="n">
        <v>5</v>
      </c>
      <c r="L310" s="18" t="n">
        <v>55.02</v>
      </c>
      <c r="M310" s="18" t="n">
        <v>645.33</v>
      </c>
      <c r="N310" s="18" t="n">
        <v>593.5</v>
      </c>
      <c r="O310" s="18" t="n">
        <v>535.0599999999999</v>
      </c>
      <c r="P310" s="18" t="n">
        <v>696.4</v>
      </c>
      <c r="Q310" s="18" t="n">
        <v>416.27</v>
      </c>
      <c r="R310" s="21">
        <f>IF(OR(G310="",P310=""),"",G310/P310-1)</f>
        <v/>
      </c>
      <c r="S310" s="19" t="n">
        <v>0.8255</v>
      </c>
      <c r="T310" s="22" t="n">
        <v>0.0222</v>
      </c>
      <c r="U310" s="16" t="inlineStr">
        <is>
          <t>Yes</t>
        </is>
      </c>
      <c r="V310" s="16" t="inlineStr">
        <is>
          <t>Yes</t>
        </is>
      </c>
      <c r="W310" s="16" t="inlineStr">
        <is>
          <t>Yes</t>
        </is>
      </c>
      <c r="X310" s="16" t="inlineStr">
        <is>
          <t>Yes</t>
        </is>
      </c>
      <c r="Y310" s="20" t="n">
        <v>29</v>
      </c>
      <c r="Z310" s="19" t="n">
        <v>0.1092</v>
      </c>
      <c r="AA310" s="18" t="n">
        <v>62.16</v>
      </c>
      <c r="AB310" s="16" t="inlineStr">
        <is>
          <t>Good</t>
        </is>
      </c>
      <c r="AC310" s="16" t="inlineStr">
        <is>
          <t>Yes</t>
        </is>
      </c>
      <c r="AD310" s="19" t="n">
        <v>0.1052</v>
      </c>
      <c r="AE310" s="19" t="n"/>
      <c r="AF310" s="19" t="n">
        <v>0.9437000000000001</v>
      </c>
      <c r="AG310" s="19" t="n">
        <v>0.1491</v>
      </c>
      <c r="AH310" s="23" t="n">
        <v>5</v>
      </c>
      <c r="AI310" s="23" t="n">
        <v>11.89</v>
      </c>
      <c r="AJ310" s="19" t="n">
        <v>0.009000000000000001</v>
      </c>
    </row>
    <row r="311">
      <c r="A311" s="16" t="inlineStr">
        <is>
          <t>ANGELONE</t>
        </is>
      </c>
      <c r="B311" s="16" t="inlineStr">
        <is>
          <t>Angel One Ltd.</t>
        </is>
      </c>
      <c r="C311" s="16" t="inlineStr">
        <is>
          <t>Capital Markets</t>
        </is>
      </c>
      <c r="D311" s="16" t="inlineStr">
        <is>
          <t>Banking and Finance</t>
        </is>
      </c>
      <c r="E311" s="16" t="inlineStr">
        <is>
          <t>INE732I01021</t>
        </is>
      </c>
      <c r="F311" s="17" t="n">
        <v>27402.81</v>
      </c>
      <c r="G311" s="18" t="n">
        <v>299.8</v>
      </c>
      <c r="H311" s="19" t="n">
        <v>0.0483</v>
      </c>
      <c r="I311" s="20" t="n">
        <v>59</v>
      </c>
      <c r="J311" s="16" t="inlineStr">
        <is>
          <t>red</t>
        </is>
      </c>
      <c r="K311" s="20" t="n">
        <v>23</v>
      </c>
      <c r="L311" s="18" t="n">
        <v>54.88</v>
      </c>
      <c r="M311" s="18" t="n">
        <v>290.28</v>
      </c>
      <c r="N311" s="18" t="n">
        <v>308.85</v>
      </c>
      <c r="O311" s="18" t="n">
        <v>283.59</v>
      </c>
      <c r="P311" s="18" t="n">
        <v>353.71</v>
      </c>
      <c r="Q311" s="18" t="n">
        <v>208.47</v>
      </c>
      <c r="R311" s="21">
        <f>IF(OR(G311="",P311=""),"",G311/P311-1)</f>
        <v/>
      </c>
      <c r="S311" s="19" t="n">
        <v>4.7493</v>
      </c>
      <c r="T311" s="22" t="n">
        <v>0.0125</v>
      </c>
      <c r="U311" s="16" t="inlineStr">
        <is>
          <t>Yes</t>
        </is>
      </c>
      <c r="V311" s="16" t="inlineStr">
        <is>
          <t>No</t>
        </is>
      </c>
      <c r="W311" s="16" t="inlineStr">
        <is>
          <t>Yes</t>
        </is>
      </c>
      <c r="X311" s="16" t="inlineStr">
        <is>
          <t>Yes</t>
        </is>
      </c>
      <c r="Y311" s="20" t="n">
        <v>100</v>
      </c>
      <c r="Z311" s="19" t="n">
        <v>0.0891</v>
      </c>
      <c r="AA311" s="18" t="n">
        <v>40</v>
      </c>
      <c r="AB311" s="16" t="inlineStr">
        <is>
          <t>Average</t>
        </is>
      </c>
      <c r="AC311" s="16" t="inlineStr">
        <is>
          <t>Yes</t>
        </is>
      </c>
      <c r="AD311" s="19" t="n">
        <v>0.2428</v>
      </c>
      <c r="AE311" s="19" t="n">
        <v>0.2045</v>
      </c>
      <c r="AF311" s="19" t="n">
        <v>-0.0024</v>
      </c>
      <c r="AG311" s="19" t="n">
        <v>0.2125</v>
      </c>
      <c r="AH311" s="23" t="n">
        <v>1.3</v>
      </c>
      <c r="AI311" s="23" t="n">
        <v>9.609999999999999</v>
      </c>
      <c r="AJ311" s="19" t="n">
        <v>0.0014</v>
      </c>
    </row>
    <row r="312">
      <c r="A312" s="16" t="inlineStr">
        <is>
          <t>IFCI</t>
        </is>
      </c>
      <c r="B312" s="16" t="inlineStr">
        <is>
          <t>IFCI Ltd.</t>
        </is>
      </c>
      <c r="C312" s="16" t="inlineStr">
        <is>
          <t>Financial Institutions</t>
        </is>
      </c>
      <c r="D312" s="16" t="inlineStr">
        <is>
          <t>Banking and Finance</t>
        </is>
      </c>
      <c r="E312" s="16" t="inlineStr">
        <is>
          <t>INE039A01010</t>
        </is>
      </c>
      <c r="F312" s="17" t="n">
        <v>27314.96</v>
      </c>
      <c r="G312" s="18" t="n">
        <v>101.38</v>
      </c>
      <c r="H312" s="19" t="n">
        <v>0.057</v>
      </c>
      <c r="I312" s="20" t="n">
        <v>91</v>
      </c>
      <c r="J312" s="16" t="inlineStr">
        <is>
          <t>green</t>
        </is>
      </c>
      <c r="K312" s="20" t="n">
        <v>15</v>
      </c>
      <c r="L312" s="18" t="n">
        <v>80.58</v>
      </c>
      <c r="M312" s="18" t="n">
        <v>91.53</v>
      </c>
      <c r="N312" s="18" t="n">
        <v>78.16</v>
      </c>
      <c r="O312" s="18" t="n">
        <v>64.18000000000001</v>
      </c>
      <c r="P312" s="18" t="n">
        <v>101.38</v>
      </c>
      <c r="Q312" s="18" t="n">
        <v>46.81</v>
      </c>
      <c r="R312" s="21">
        <f>IF(OR(G312="",P312=""),"",G312/P312-1)</f>
        <v/>
      </c>
      <c r="S312" s="19" t="n">
        <v>6.6422</v>
      </c>
      <c r="T312" s="22" t="n">
        <v>0.04650000000000001</v>
      </c>
      <c r="U312" s="16" t="inlineStr">
        <is>
          <t>Yes</t>
        </is>
      </c>
      <c r="V312" s="16" t="inlineStr">
        <is>
          <t>Yes</t>
        </is>
      </c>
      <c r="W312" s="16" t="inlineStr">
        <is>
          <t>Yes</t>
        </is>
      </c>
      <c r="X312" s="16" t="inlineStr">
        <is>
          <t>Yes</t>
        </is>
      </c>
      <c r="Y312" s="20" t="n">
        <v>131</v>
      </c>
      <c r="Z312" s="19" t="n">
        <v>0.2177</v>
      </c>
      <c r="AA312" s="18" t="n">
        <v>51.11</v>
      </c>
      <c r="AB312" s="16" t="inlineStr">
        <is>
          <t>Average</t>
        </is>
      </c>
      <c r="AC312" s="16" t="inlineStr">
        <is>
          <t>Yes</t>
        </is>
      </c>
      <c r="AD312" s="19" t="n">
        <v>0.0209</v>
      </c>
      <c r="AE312" s="19" t="n"/>
      <c r="AF312" s="19" t="n">
        <v>0.6838</v>
      </c>
      <c r="AG312" s="19" t="n">
        <v>0.199</v>
      </c>
      <c r="AH312" s="23" t="n">
        <v>0.39</v>
      </c>
      <c r="AI312" s="23" t="n">
        <v>2.18</v>
      </c>
      <c r="AJ312" s="19" t="n">
        <v>0</v>
      </c>
    </row>
    <row r="313">
      <c r="A313" s="16" t="inlineStr">
        <is>
          <t>APOLLOTYRE</t>
        </is>
      </c>
      <c r="B313" s="16" t="inlineStr">
        <is>
          <t>Apollo Tyres Ltd.</t>
        </is>
      </c>
      <c r="C313" s="16" t="inlineStr">
        <is>
          <t>Auto Tyres &amp; Rubber Products</t>
        </is>
      </c>
      <c r="D313" s="16" t="inlineStr">
        <is>
          <t>Automobiles &amp; Auto Components</t>
        </is>
      </c>
      <c r="E313" s="16" t="inlineStr">
        <is>
          <t>INE438A01022</t>
        </is>
      </c>
      <c r="F313" s="17" t="n">
        <v>27280.76</v>
      </c>
      <c r="G313" s="18" t="n">
        <v>429.55</v>
      </c>
      <c r="H313" s="19" t="n">
        <v>-0.009899999999999999</v>
      </c>
      <c r="I313" s="20" t="n">
        <v>35</v>
      </c>
      <c r="J313" s="16" t="inlineStr">
        <is>
          <t>red</t>
        </is>
      </c>
      <c r="K313" s="20" t="n">
        <v>110</v>
      </c>
      <c r="L313" s="18" t="n">
        <v>43.6</v>
      </c>
      <c r="M313" s="18" t="n">
        <v>438.62</v>
      </c>
      <c r="N313" s="18" t="n">
        <v>435.97</v>
      </c>
      <c r="O313" s="18" t="n">
        <v>447.39</v>
      </c>
      <c r="P313" s="18" t="n">
        <v>530.15</v>
      </c>
      <c r="Q313" s="18" t="n">
        <v>369.69</v>
      </c>
      <c r="R313" s="21">
        <f>IF(OR(G313="",P313=""),"",G313/P313-1)</f>
        <v/>
      </c>
      <c r="S313" s="19" t="n">
        <v>0.4716</v>
      </c>
      <c r="T313" s="22" t="n">
        <v>-0.0151</v>
      </c>
      <c r="U313" s="16" t="inlineStr">
        <is>
          <t>No</t>
        </is>
      </c>
      <c r="V313" s="16" t="inlineStr">
        <is>
          <t>No</t>
        </is>
      </c>
      <c r="W313" s="16" t="inlineStr">
        <is>
          <t>No</t>
        </is>
      </c>
      <c r="X313" s="16" t="inlineStr">
        <is>
          <t>No</t>
        </is>
      </c>
      <c r="Y313" s="20" t="n">
        <v>118</v>
      </c>
      <c r="Z313" s="19" t="n">
        <v>-0.0255</v>
      </c>
      <c r="AA313" s="18" t="n">
        <v>41.23</v>
      </c>
      <c r="AB313" s="16" t="inlineStr">
        <is>
          <t>Average</t>
        </is>
      </c>
      <c r="AC313" s="16" t="inlineStr">
        <is>
          <t>No</t>
        </is>
      </c>
      <c r="AD313" s="19" t="n">
        <v>0.094</v>
      </c>
      <c r="AE313" s="19" t="n">
        <v>0.1159</v>
      </c>
      <c r="AF313" s="19" t="n">
        <v>0.1745</v>
      </c>
      <c r="AG313" s="19" t="n">
        <v>0.05400000000000001</v>
      </c>
      <c r="AH313" s="23" t="n">
        <v>0.22</v>
      </c>
      <c r="AI313" s="23" t="n">
        <v>1.72</v>
      </c>
      <c r="AJ313" s="19" t="n">
        <v>0.0558</v>
      </c>
    </row>
    <row r="314">
      <c r="A314" s="16" t="inlineStr">
        <is>
          <t>TVSHLTD</t>
        </is>
      </c>
      <c r="B314" s="16" t="inlineStr">
        <is>
          <t>TVS Holdings Ltd.</t>
        </is>
      </c>
      <c r="C314" s="16" t="inlineStr">
        <is>
          <t>Auto Parts &amp; Equipment</t>
        </is>
      </c>
      <c r="D314" s="16" t="inlineStr">
        <is>
          <t>Automobiles &amp; Auto Components</t>
        </is>
      </c>
      <c r="E314" s="16" t="inlineStr">
        <is>
          <t>INE105A01035</t>
        </is>
      </c>
      <c r="F314" s="17" t="n">
        <v>27058.41</v>
      </c>
      <c r="G314" s="18" t="n">
        <v>13374</v>
      </c>
      <c r="H314" s="19" t="n">
        <v>0.0166</v>
      </c>
      <c r="I314" s="20" t="n">
        <v>35</v>
      </c>
      <c r="J314" s="16" t="inlineStr">
        <is>
          <t>red</t>
        </is>
      </c>
      <c r="K314" s="20" t="n">
        <v>26</v>
      </c>
      <c r="L314" s="18" t="n">
        <v>27.19</v>
      </c>
      <c r="M314" s="18" t="n">
        <v>13311.5</v>
      </c>
      <c r="N314" s="18" t="n">
        <v>14126.82</v>
      </c>
      <c r="O314" s="18" t="n">
        <v>14146.37</v>
      </c>
      <c r="P314" s="18" t="n">
        <v>15642.8</v>
      </c>
      <c r="Q314" s="18" t="n">
        <v>12085.45</v>
      </c>
      <c r="R314" s="21">
        <f>IF(OR(G314="",P314=""),"",G314/P314-1)</f>
        <v/>
      </c>
      <c r="S314" s="19" t="n">
        <v>1.4754</v>
      </c>
      <c r="T314" s="22" t="n">
        <v>-0.0086</v>
      </c>
      <c r="U314" s="16" t="inlineStr">
        <is>
          <t>No</t>
        </is>
      </c>
      <c r="V314" s="16" t="inlineStr">
        <is>
          <t>No</t>
        </is>
      </c>
      <c r="W314" s="16" t="inlineStr">
        <is>
          <t>Yes</t>
        </is>
      </c>
      <c r="X314" s="16" t="inlineStr">
        <is>
          <t>No</t>
        </is>
      </c>
      <c r="Y314" s="20" t="n">
        <v>64</v>
      </c>
      <c r="Z314" s="19" t="n">
        <v>-0.0014</v>
      </c>
      <c r="AA314" s="18" t="n">
        <v>38.37</v>
      </c>
      <c r="AB314" s="16" t="inlineStr">
        <is>
          <t>Weak</t>
        </is>
      </c>
      <c r="AC314" s="16" t="inlineStr">
        <is>
          <t>No</t>
        </is>
      </c>
      <c r="AD314" s="19" t="n">
        <v>0.2642</v>
      </c>
      <c r="AE314" s="19" t="n">
        <v>0.1641</v>
      </c>
      <c r="AF314" s="19" t="n">
        <v>0.381</v>
      </c>
      <c r="AG314" s="19" t="n">
        <v>0.195</v>
      </c>
      <c r="AH314" s="23" t="n">
        <v>5.63</v>
      </c>
      <c r="AI314" s="23" t="n">
        <v>6.78</v>
      </c>
      <c r="AJ314" s="19" t="n">
        <v>0.1959</v>
      </c>
    </row>
    <row r="315">
      <c r="A315" s="16" t="inlineStr">
        <is>
          <t>CGCL</t>
        </is>
      </c>
      <c r="B315" s="16" t="inlineStr">
        <is>
          <t>Capri Global Capital Ltd.</t>
        </is>
      </c>
      <c r="C315" s="16" t="inlineStr">
        <is>
          <t>Finance (including NBFCs)</t>
        </is>
      </c>
      <c r="D315" s="16" t="inlineStr">
        <is>
          <t>Banking and Finance</t>
        </is>
      </c>
      <c r="E315" s="16" t="inlineStr">
        <is>
          <t>INE180C01042</t>
        </is>
      </c>
      <c r="F315" s="17" t="n">
        <v>26930.69</v>
      </c>
      <c r="G315" s="18" t="n">
        <v>279.9</v>
      </c>
      <c r="H315" s="19" t="n">
        <v>0.0309</v>
      </c>
      <c r="I315" s="20" t="n">
        <v>85</v>
      </c>
      <c r="J315" s="16" t="inlineStr">
        <is>
          <t>green</t>
        </is>
      </c>
      <c r="K315" s="20" t="n">
        <v>6</v>
      </c>
      <c r="L315" s="18" t="n">
        <v>77.79000000000001</v>
      </c>
      <c r="M315" s="18" t="n">
        <v>259.17</v>
      </c>
      <c r="N315" s="18" t="n">
        <v>240.14</v>
      </c>
      <c r="O315" s="18" t="n">
        <v>197.45</v>
      </c>
      <c r="P315" s="18" t="n">
        <v>279.9</v>
      </c>
      <c r="Q315" s="18" t="n">
        <v>151.86</v>
      </c>
      <c r="R315" s="21">
        <f>IF(OR(G315="",P315=""),"",G315/P315-1)</f>
        <v/>
      </c>
      <c r="S315" s="19" t="n">
        <v>1.1546</v>
      </c>
      <c r="T315" s="22" t="n">
        <v>0.0214</v>
      </c>
      <c r="U315" s="16" t="inlineStr">
        <is>
          <t>Yes</t>
        </is>
      </c>
      <c r="V315" s="16" t="inlineStr">
        <is>
          <t>Yes</t>
        </is>
      </c>
      <c r="W315" s="16" t="inlineStr">
        <is>
          <t>Yes</t>
        </is>
      </c>
      <c r="X315" s="16" t="inlineStr">
        <is>
          <t>Yes</t>
        </is>
      </c>
      <c r="Y315" s="20" t="n">
        <v>68</v>
      </c>
      <c r="Z315" s="19" t="n">
        <v>0.2162</v>
      </c>
      <c r="AA315" s="18" t="n">
        <v>54.76</v>
      </c>
      <c r="AB315" s="16" t="inlineStr">
        <is>
          <t>Good</t>
        </is>
      </c>
      <c r="AC315" s="16" t="inlineStr">
        <is>
          <t>Yes</t>
        </is>
      </c>
      <c r="AD315" s="19" t="n">
        <v>0.1053</v>
      </c>
      <c r="AE315" s="19" t="n">
        <v>0.0269</v>
      </c>
      <c r="AF315" s="19" t="n">
        <v>0.598</v>
      </c>
      <c r="AG315" s="19" t="n">
        <v>0.487</v>
      </c>
      <c r="AH315" s="23" t="n">
        <v>3.35</v>
      </c>
      <c r="AI315" s="23" t="n">
        <v>12.82</v>
      </c>
      <c r="AJ315" s="19" t="n">
        <v>0.0004</v>
      </c>
    </row>
    <row r="316">
      <c r="A316" s="16" t="inlineStr">
        <is>
          <t>BANDHANBNK</t>
        </is>
      </c>
      <c r="B316" s="16" t="inlineStr">
        <is>
          <t>Bandhan Bank Ltd.</t>
        </is>
      </c>
      <c r="C316" s="16" t="inlineStr">
        <is>
          <t>Banks</t>
        </is>
      </c>
      <c r="D316" s="16" t="inlineStr">
        <is>
          <t>Banking and Finance</t>
        </is>
      </c>
      <c r="E316" s="16" t="inlineStr">
        <is>
          <t>INE545U01014</t>
        </is>
      </c>
      <c r="F316" s="17" t="n">
        <v>26575.29</v>
      </c>
      <c r="G316" s="18" t="n">
        <v>164.95</v>
      </c>
      <c r="H316" s="19" t="n">
        <v>0.0044</v>
      </c>
      <c r="I316" s="20" t="n">
        <v>26</v>
      </c>
      <c r="J316" s="16" t="inlineStr">
        <is>
          <t>red</t>
        </is>
      </c>
      <c r="K316" s="20" t="n">
        <v>33</v>
      </c>
      <c r="L316" s="18" t="n">
        <v>34.61</v>
      </c>
      <c r="M316" s="18" t="n">
        <v>166.07</v>
      </c>
      <c r="N316" s="18" t="n">
        <v>182.15</v>
      </c>
      <c r="O316" s="18" t="n">
        <v>172.47</v>
      </c>
      <c r="P316" s="18" t="n">
        <v>214.88</v>
      </c>
      <c r="Q316" s="18" t="n">
        <v>134.31</v>
      </c>
      <c r="R316" s="21">
        <f>IF(OR(G316="",P316=""),"",G316/P316-1)</f>
        <v/>
      </c>
      <c r="S316" s="19" t="n">
        <v>0.3834</v>
      </c>
      <c r="T316" s="22" t="n">
        <v>0.0066</v>
      </c>
      <c r="U316" s="16" t="inlineStr">
        <is>
          <t>Yes</t>
        </is>
      </c>
      <c r="V316" s="16" t="inlineStr">
        <is>
          <t>No</t>
        </is>
      </c>
      <c r="W316" s="16" t="inlineStr">
        <is>
          <t>No</t>
        </is>
      </c>
      <c r="X316" s="16" t="inlineStr">
        <is>
          <t>Yes</t>
        </is>
      </c>
      <c r="Y316" s="20" t="n">
        <v>111</v>
      </c>
      <c r="Z316" s="19" t="n">
        <v>0.0561</v>
      </c>
      <c r="AA316" s="18" t="n">
        <v>28.35</v>
      </c>
      <c r="AB316" s="16" t="inlineStr">
        <is>
          <t>Poor</t>
        </is>
      </c>
      <c r="AC316" s="16" t="inlineStr">
        <is>
          <t>Yes</t>
        </is>
      </c>
      <c r="AD316" s="19" t="n">
        <v>0.08749999999999999</v>
      </c>
      <c r="AE316" s="19" t="n"/>
      <c r="AF316" s="19" t="n">
        <v>-0.1024</v>
      </c>
      <c r="AG316" s="19" t="n">
        <v>0.0538</v>
      </c>
      <c r="AH316" s="23" t="n">
        <v>0.5600000000000001</v>
      </c>
      <c r="AI316" s="23" t="n">
        <v>9.68</v>
      </c>
      <c r="AJ316" s="19" t="n">
        <v>0.3356</v>
      </c>
    </row>
    <row r="317">
      <c r="A317" s="16" t="inlineStr">
        <is>
          <t>AMBER</t>
        </is>
      </c>
      <c r="B317" s="16" t="inlineStr">
        <is>
          <t>Amber Enterprises India Ltd.</t>
        </is>
      </c>
      <c r="C317" s="16" t="inlineStr">
        <is>
          <t>Consumer Electronics</t>
        </is>
      </c>
      <c r="D317" s="16" t="inlineStr">
        <is>
          <t>Consumer Durables</t>
        </is>
      </c>
      <c r="E317" s="16" t="inlineStr">
        <is>
          <t>INE371P01015</t>
        </is>
      </c>
      <c r="F317" s="17" t="n">
        <v>26359.15</v>
      </c>
      <c r="G317" s="18" t="n">
        <v>7474</v>
      </c>
      <c r="H317" s="19" t="n">
        <v>0.0086</v>
      </c>
      <c r="I317" s="20" t="n">
        <v>38</v>
      </c>
      <c r="J317" s="16" t="inlineStr">
        <is>
          <t>red</t>
        </is>
      </c>
      <c r="K317" s="20" t="n">
        <v>52</v>
      </c>
      <c r="L317" s="18" t="n">
        <v>60.78</v>
      </c>
      <c r="M317" s="18" t="n">
        <v>7533.63</v>
      </c>
      <c r="N317" s="18" t="n">
        <v>7464.95</v>
      </c>
      <c r="O317" s="18" t="n">
        <v>7237.78</v>
      </c>
      <c r="P317" s="18" t="n">
        <v>8842.5</v>
      </c>
      <c r="Q317" s="18" t="n">
        <v>5510</v>
      </c>
      <c r="R317" s="21">
        <f>IF(OR(G317="",P317=""),"",G317/P317-1)</f>
        <v/>
      </c>
      <c r="S317" s="19" t="n">
        <v>0.4439</v>
      </c>
      <c r="T317" s="22" t="n">
        <v>-0.005500000000000001</v>
      </c>
      <c r="U317" s="16" t="inlineStr">
        <is>
          <t>No</t>
        </is>
      </c>
      <c r="V317" s="16" t="inlineStr">
        <is>
          <t>Yes</t>
        </is>
      </c>
      <c r="W317" s="16" t="inlineStr">
        <is>
          <t>No</t>
        </is>
      </c>
      <c r="X317" s="16" t="inlineStr">
        <is>
          <t>Yes</t>
        </is>
      </c>
      <c r="Y317" s="20" t="n">
        <v>96</v>
      </c>
      <c r="Z317" s="19" t="n">
        <v>0.0314</v>
      </c>
      <c r="AA317" s="18" t="n">
        <v>42.78</v>
      </c>
      <c r="AB317" s="16" t="inlineStr">
        <is>
          <t>Average</t>
        </is>
      </c>
      <c r="AC317" s="16" t="inlineStr">
        <is>
          <t>No</t>
        </is>
      </c>
      <c r="AD317" s="19" t="n">
        <v>0.07049999999999999</v>
      </c>
      <c r="AE317" s="19" t="n">
        <v>0.1055</v>
      </c>
      <c r="AF317" s="19" t="n">
        <v>0.1216</v>
      </c>
      <c r="AG317" s="19" t="n">
        <v>0.239</v>
      </c>
      <c r="AH317" s="23" t="n">
        <v>0.62</v>
      </c>
      <c r="AI317" s="23" t="n">
        <v>3.31</v>
      </c>
      <c r="AJ317" s="19" t="n">
        <v>0.1359</v>
      </c>
    </row>
    <row r="318">
      <c r="A318" s="16" t="inlineStr">
        <is>
          <t>ITI</t>
        </is>
      </c>
      <c r="B318" s="16" t="inlineStr">
        <is>
          <t>ITI Ltd.</t>
        </is>
      </c>
      <c r="C318" s="16" t="inlineStr">
        <is>
          <t>Telecom Equipment</t>
        </is>
      </c>
      <c r="D318" s="16" t="inlineStr">
        <is>
          <t>Telecommunications Equipment</t>
        </is>
      </c>
      <c r="E318" s="16" t="inlineStr">
        <is>
          <t>INE248A01017</t>
        </is>
      </c>
      <c r="F318" s="17" t="n">
        <v>26184.17</v>
      </c>
      <c r="G318" s="18" t="n">
        <v>272.5</v>
      </c>
      <c r="H318" s="19" t="n">
        <v>0.0151</v>
      </c>
      <c r="I318" s="20" t="n">
        <v>25</v>
      </c>
      <c r="J318" s="16" t="inlineStr">
        <is>
          <t>red</t>
        </is>
      </c>
      <c r="K318" s="20" t="n">
        <v>70</v>
      </c>
      <c r="L318" s="18" t="n">
        <v>39.18</v>
      </c>
      <c r="M318" s="18" t="n">
        <v>272.18</v>
      </c>
      <c r="N318" s="18" t="n">
        <v>282.3</v>
      </c>
      <c r="O318" s="18" t="n">
        <v>289.29</v>
      </c>
      <c r="P318" s="18" t="n">
        <v>356.65</v>
      </c>
      <c r="Q318" s="18" t="n">
        <v>239.05</v>
      </c>
      <c r="R318" s="21">
        <f>IF(OR(G318="",P318=""),"",G318/P318-1)</f>
        <v/>
      </c>
      <c r="S318" s="19" t="n">
        <v>0.9576</v>
      </c>
      <c r="T318" s="22" t="n">
        <v>-0.0155</v>
      </c>
      <c r="U318" s="16" t="inlineStr">
        <is>
          <t>No</t>
        </is>
      </c>
      <c r="V318" s="16" t="inlineStr">
        <is>
          <t>No</t>
        </is>
      </c>
      <c r="W318" s="16" t="inlineStr">
        <is>
          <t>Yes</t>
        </is>
      </c>
      <c r="X318" s="16" t="inlineStr">
        <is>
          <t>No</t>
        </is>
      </c>
      <c r="Y318" s="20" t="n">
        <v>154</v>
      </c>
      <c r="Z318" s="19" t="n">
        <v>-0.0242</v>
      </c>
      <c r="AA318" s="18" t="n">
        <v>38.89</v>
      </c>
      <c r="AB318" s="16" t="inlineStr">
        <is>
          <t>Weak</t>
        </is>
      </c>
      <c r="AC318" s="16" t="inlineStr">
        <is>
          <t>No</t>
        </is>
      </c>
      <c r="AD318" s="19" t="n">
        <v>-0.09910000000000001</v>
      </c>
      <c r="AE318" s="19" t="n">
        <v>0.0283</v>
      </c>
      <c r="AF318" s="19" t="n">
        <v>0.8083</v>
      </c>
      <c r="AG318" s="19" t="n">
        <v>0.4571</v>
      </c>
      <c r="AH318" s="23" t="n">
        <v>0.4</v>
      </c>
      <c r="AI318" s="23" t="n">
        <v>1.02</v>
      </c>
      <c r="AJ318" s="19" t="n">
        <v>0.0073</v>
      </c>
    </row>
    <row r="319">
      <c r="A319" s="16" t="inlineStr">
        <is>
          <t>HATSUN</t>
        </is>
      </c>
      <c r="B319" s="16" t="inlineStr">
        <is>
          <t>Hatsun Agro Products Ltd.</t>
        </is>
      </c>
      <c r="C319" s="16" t="inlineStr">
        <is>
          <t>Packaged Foods</t>
        </is>
      </c>
      <c r="D319" s="16" t="inlineStr">
        <is>
          <t>FMCG</t>
        </is>
      </c>
      <c r="E319" s="16" t="inlineStr">
        <is>
          <t>INE473B01035</t>
        </is>
      </c>
      <c r="F319" s="17" t="n">
        <v>26034.88</v>
      </c>
      <c r="G319" s="18" t="n">
        <v>1168.8</v>
      </c>
      <c r="H319" s="19" t="n">
        <v>0.0069</v>
      </c>
      <c r="I319" s="20" t="n">
        <v>72</v>
      </c>
      <c r="J319" s="16" t="inlineStr">
        <is>
          <t>amber</t>
        </is>
      </c>
      <c r="K319" s="20" t="n">
        <v>8</v>
      </c>
      <c r="L319" s="18" t="n">
        <v>73.39</v>
      </c>
      <c r="M319" s="18" t="n">
        <v>1163.41</v>
      </c>
      <c r="N319" s="18" t="n">
        <v>963.8</v>
      </c>
      <c r="O319" s="18" t="n">
        <v>943.79</v>
      </c>
      <c r="P319" s="18" t="n">
        <v>1193.6</v>
      </c>
      <c r="Q319" s="18" t="n">
        <v>853.1900000000001</v>
      </c>
      <c r="R319" s="21">
        <f>IF(OR(G319="",P319=""),"",G319/P319-1)</f>
        <v/>
      </c>
      <c r="S319" s="19" t="n">
        <v>0.8260999999999999</v>
      </c>
      <c r="T319" s="22" t="n">
        <v>0.0019</v>
      </c>
      <c r="U319" s="16" t="inlineStr">
        <is>
          <t>Yes</t>
        </is>
      </c>
      <c r="V319" s="16" t="inlineStr">
        <is>
          <t>Yes</t>
        </is>
      </c>
      <c r="W319" s="16" t="inlineStr">
        <is>
          <t>Yes</t>
        </is>
      </c>
      <c r="X319" s="16" t="inlineStr">
        <is>
          <t>Yes</t>
        </is>
      </c>
      <c r="Y319" s="20" t="n">
        <v>5</v>
      </c>
      <c r="Z319" s="19" t="n">
        <v>0.0212</v>
      </c>
      <c r="AA319" s="18" t="n">
        <v>47.61</v>
      </c>
      <c r="AB319" s="16" t="inlineStr">
        <is>
          <t>Average</t>
        </is>
      </c>
      <c r="AC319" s="16" t="inlineStr">
        <is>
          <t>No</t>
        </is>
      </c>
      <c r="AD319" s="19" t="n">
        <v>0.1718</v>
      </c>
      <c r="AE319" s="19" t="n">
        <v>0.1377</v>
      </c>
      <c r="AF319" s="19" t="n">
        <v>0.3041</v>
      </c>
      <c r="AG319" s="19" t="n">
        <v>0.113</v>
      </c>
      <c r="AH319" s="23" t="n">
        <v>0.95</v>
      </c>
      <c r="AI319" s="23" t="n">
        <v>2.92</v>
      </c>
      <c r="AJ319" s="19" t="n">
        <v>0.0172</v>
      </c>
    </row>
    <row r="320">
      <c r="A320" s="16" t="inlineStr">
        <is>
          <t>ACUTAAS</t>
        </is>
      </c>
      <c r="B320" s="16" t="inlineStr">
        <is>
          <t>Acutaas Chemicals Ltd.</t>
        </is>
      </c>
      <c r="C320" s="16" t="inlineStr">
        <is>
          <t>Pharmaceuticals</t>
        </is>
      </c>
      <c r="D320" s="16" t="inlineStr">
        <is>
          <t>Pharmaceuticals &amp; Biotechnology</t>
        </is>
      </c>
      <c r="E320" s="16" t="inlineStr">
        <is>
          <t>INE00FF01025</t>
        </is>
      </c>
      <c r="F320" s="17" t="n">
        <v>25940.86</v>
      </c>
      <c r="G320" s="18" t="n">
        <v>3168.5</v>
      </c>
      <c r="H320" s="19" t="n">
        <v>-0.0102</v>
      </c>
      <c r="I320" s="20" t="n">
        <v>85</v>
      </c>
      <c r="J320" s="16" t="inlineStr">
        <is>
          <t>green</t>
        </is>
      </c>
      <c r="K320" s="20" t="n">
        <v>286</v>
      </c>
      <c r="L320" s="18" t="n">
        <v>48.53</v>
      </c>
      <c r="M320" s="18" t="n">
        <v>3213.49</v>
      </c>
      <c r="N320" s="18" t="n">
        <v>3351.94</v>
      </c>
      <c r="O320" s="18" t="n">
        <v>2542.33</v>
      </c>
      <c r="P320" s="18" t="n">
        <v>3694.8</v>
      </c>
      <c r="Q320" s="18" t="n">
        <v>1317.8</v>
      </c>
      <c r="R320" s="21">
        <f>IF(OR(G320="",P320=""),"",G320/P320-1)</f>
        <v/>
      </c>
      <c r="S320" s="19" t="n">
        <v>0.4722</v>
      </c>
      <c r="T320" s="22" t="n">
        <v>0.062</v>
      </c>
      <c r="U320" s="16" t="inlineStr">
        <is>
          <t>Yes</t>
        </is>
      </c>
      <c r="V320" s="16" t="inlineStr">
        <is>
          <t>No</t>
        </is>
      </c>
      <c r="W320" s="16" t="inlineStr">
        <is>
          <t>No</t>
        </is>
      </c>
      <c r="X320" s="16" t="inlineStr">
        <is>
          <t>Yes</t>
        </is>
      </c>
      <c r="Y320" s="20" t="n">
        <v>569</v>
      </c>
      <c r="Z320" s="19" t="n">
        <v>0.3185</v>
      </c>
      <c r="AA320" s="18" t="n">
        <v>67.61</v>
      </c>
      <c r="AB320" s="16" t="inlineStr">
        <is>
          <t>High</t>
        </is>
      </c>
      <c r="AC320" s="16" t="inlineStr">
        <is>
          <t>No</t>
        </is>
      </c>
      <c r="AD320" s="19" t="n">
        <v>0.1083</v>
      </c>
      <c r="AE320" s="19" t="n">
        <v>0.1528</v>
      </c>
      <c r="AF320" s="19" t="n">
        <v>0.9540000000000001</v>
      </c>
      <c r="AG320" s="19" t="n">
        <v>0.2827</v>
      </c>
      <c r="AH320" s="23" t="n">
        <v>0.01</v>
      </c>
      <c r="AI320" s="23" t="n">
        <v>1.46</v>
      </c>
      <c r="AJ320" s="19" t="n">
        <v>0.2649</v>
      </c>
    </row>
    <row r="321">
      <c r="A321" s="16" t="inlineStr">
        <is>
          <t>DATAPATTNS</t>
        </is>
      </c>
      <c r="B321" s="16" t="inlineStr">
        <is>
          <t>Data Patterns (India) Ltd.</t>
        </is>
      </c>
      <c r="C321" s="16" t="inlineStr">
        <is>
          <t>Aerospace &amp; Defence</t>
        </is>
      </c>
      <c r="D321" s="16" t="inlineStr">
        <is>
          <t>General Industrials</t>
        </is>
      </c>
      <c r="E321" s="16" t="inlineStr">
        <is>
          <t>INE0IX101010</t>
        </is>
      </c>
      <c r="F321" s="17" t="n">
        <v>25668.66</v>
      </c>
      <c r="G321" s="18" t="n">
        <v>4585</v>
      </c>
      <c r="H321" s="19" t="n">
        <v>-0.0005</v>
      </c>
      <c r="I321" s="20" t="n">
        <v>78</v>
      </c>
      <c r="J321" s="16" t="inlineStr">
        <is>
          <t>amber</t>
        </is>
      </c>
      <c r="K321" s="20" t="n">
        <v>1</v>
      </c>
      <c r="L321" s="18" t="n">
        <v>52.14</v>
      </c>
      <c r="M321" s="18" t="n">
        <v>4599.58</v>
      </c>
      <c r="N321" s="18" t="n">
        <v>4476.17</v>
      </c>
      <c r="O321" s="18" t="n">
        <v>3597.19</v>
      </c>
      <c r="P321" s="18" t="n">
        <v>4855.62</v>
      </c>
      <c r="Q321" s="18" t="n">
        <v>2177.75</v>
      </c>
      <c r="R321" s="21">
        <f>IF(OR(G321="",P321=""),"",G321/P321-1)</f>
        <v/>
      </c>
      <c r="S321" s="19" t="n">
        <v>0.4738</v>
      </c>
      <c r="T321" s="22" t="n">
        <v>0.0521</v>
      </c>
      <c r="U321" s="16" t="inlineStr">
        <is>
          <t>Yes</t>
        </is>
      </c>
      <c r="V321" s="16" t="inlineStr">
        <is>
          <t>Yes</t>
        </is>
      </c>
      <c r="W321" s="16" t="inlineStr">
        <is>
          <t>No</t>
        </is>
      </c>
      <c r="X321" s="16" t="inlineStr">
        <is>
          <t>Yes</t>
        </is>
      </c>
      <c r="Y321" s="20" t="n">
        <v>125</v>
      </c>
      <c r="Z321" s="19" t="n">
        <v>0.2444</v>
      </c>
      <c r="AA321" s="18" t="n">
        <v>73.89</v>
      </c>
      <c r="AB321" s="16" t="inlineStr">
        <is>
          <t>High</t>
        </is>
      </c>
      <c r="AC321" s="16" t="inlineStr">
        <is>
          <t>No</t>
        </is>
      </c>
      <c r="AD321" s="19" t="n">
        <v>0.1469</v>
      </c>
      <c r="AE321" s="19" t="n">
        <v>0.1957</v>
      </c>
      <c r="AF321" s="19" t="n">
        <v>0.2693</v>
      </c>
      <c r="AG321" s="19" t="n">
        <v>0.2715</v>
      </c>
      <c r="AH321" s="23" t="n">
        <v>0</v>
      </c>
      <c r="AI321" s="23" t="n">
        <v>4.4</v>
      </c>
      <c r="AJ321" s="19" t="n">
        <v>0.1004</v>
      </c>
    </row>
    <row r="322">
      <c r="A322" s="16" t="inlineStr">
        <is>
          <t>SJVN</t>
        </is>
      </c>
      <c r="B322" s="16" t="inlineStr">
        <is>
          <t>SJVN Ltd.</t>
        </is>
      </c>
      <c r="C322" s="16" t="inlineStr">
        <is>
          <t>Green &amp; Renewable Energy</t>
        </is>
      </c>
      <c r="D322" s="16" t="inlineStr">
        <is>
          <t>Utilities</t>
        </is>
      </c>
      <c r="E322" s="16" t="inlineStr">
        <is>
          <t>INE002L01015</t>
        </is>
      </c>
      <c r="F322" s="17" t="n">
        <v>25634.05</v>
      </c>
      <c r="G322" s="18" t="n">
        <v>65.23</v>
      </c>
      <c r="H322" s="19" t="n">
        <v>0.0038</v>
      </c>
      <c r="I322" s="20" t="n">
        <v>15</v>
      </c>
      <c r="J322" s="16" t="inlineStr">
        <is>
          <t>red</t>
        </is>
      </c>
      <c r="K322" s="20" t="n">
        <v>490</v>
      </c>
      <c r="L322" s="18" t="n">
        <v>39.41</v>
      </c>
      <c r="M322" s="18" t="n">
        <v>64.97</v>
      </c>
      <c r="N322" s="18" t="n">
        <v>67.98</v>
      </c>
      <c r="O322" s="18" t="n">
        <v>72.11</v>
      </c>
      <c r="P322" s="18" t="n">
        <v>92.51000000000001</v>
      </c>
      <c r="Q322" s="18" t="n">
        <v>63.01</v>
      </c>
      <c r="R322" s="21">
        <f>IF(OR(G322="",P322=""),"",G322/P322-1)</f>
        <v/>
      </c>
      <c r="S322" s="19" t="n">
        <v>0.7829</v>
      </c>
      <c r="T322" s="22" t="n">
        <v>-0.0248</v>
      </c>
      <c r="U322" s="16" t="inlineStr">
        <is>
          <t>No</t>
        </is>
      </c>
      <c r="V322" s="16" t="inlineStr">
        <is>
          <t>No</t>
        </is>
      </c>
      <c r="W322" s="16" t="inlineStr">
        <is>
          <t>Yes</t>
        </is>
      </c>
      <c r="X322" s="16" t="inlineStr">
        <is>
          <t>No</t>
        </is>
      </c>
      <c r="Y322" s="20" t="n">
        <v>465</v>
      </c>
      <c r="Z322" s="19" t="n">
        <v>-0.0573</v>
      </c>
      <c r="AA322" s="18" t="n">
        <v>3.61</v>
      </c>
      <c r="AB322" s="16" t="inlineStr">
        <is>
          <t>Poor</t>
        </is>
      </c>
      <c r="AC322" s="16" t="inlineStr">
        <is>
          <t>No</t>
        </is>
      </c>
      <c r="AD322" s="19" t="n">
        <v>0.0559</v>
      </c>
      <c r="AE322" s="19" t="n">
        <v>0.0453</v>
      </c>
      <c r="AF322" s="19" t="n">
        <v>-0.2164</v>
      </c>
      <c r="AG322" s="19" t="n">
        <v>0.1637</v>
      </c>
      <c r="AH322" s="23" t="n">
        <v>2.27</v>
      </c>
      <c r="AI322" s="23" t="n">
        <v>0.1</v>
      </c>
      <c r="AJ322" s="19" t="n">
        <v>0.463</v>
      </c>
    </row>
    <row r="323">
      <c r="A323" s="16" t="inlineStr">
        <is>
          <t>SUNDRMFAST</t>
        </is>
      </c>
      <c r="B323" s="16" t="inlineStr">
        <is>
          <t>Sundram Fasteners Ltd.</t>
        </is>
      </c>
      <c r="C323" s="16" t="inlineStr">
        <is>
          <t>Auto Parts &amp; Equipment</t>
        </is>
      </c>
      <c r="D323" s="16" t="inlineStr">
        <is>
          <t>Automobiles &amp; Auto Components</t>
        </is>
      </c>
      <c r="E323" s="16" t="inlineStr">
        <is>
          <t>INE387A01021</t>
        </is>
      </c>
      <c r="F323" s="17" t="n">
        <v>25473.87</v>
      </c>
      <c r="G323" s="18" t="n">
        <v>1212.3</v>
      </c>
      <c r="H323" s="19" t="n">
        <v>0.011</v>
      </c>
      <c r="I323" s="20" t="n">
        <v>80</v>
      </c>
      <c r="J323" s="16" t="inlineStr">
        <is>
          <t>green</t>
        </is>
      </c>
      <c r="K323" s="20" t="n">
        <v>1</v>
      </c>
      <c r="L323" s="18" t="n">
        <v>49.21</v>
      </c>
      <c r="M323" s="18" t="n">
        <v>1209.36</v>
      </c>
      <c r="N323" s="18" t="n">
        <v>1063.46</v>
      </c>
      <c r="O323" s="18" t="n">
        <v>923.91</v>
      </c>
      <c r="P323" s="18" t="n">
        <v>1242.2</v>
      </c>
      <c r="Q323" s="18" t="n">
        <v>745.38</v>
      </c>
      <c r="R323" s="21">
        <f>IF(OR(G323="",P323=""),"",G323/P323-1)</f>
        <v/>
      </c>
      <c r="S323" s="19" t="n">
        <v>0.2248</v>
      </c>
      <c r="T323" s="22" t="n">
        <v>0.0285</v>
      </c>
      <c r="U323" s="16" t="inlineStr">
        <is>
          <t>Yes</t>
        </is>
      </c>
      <c r="V323" s="16" t="inlineStr">
        <is>
          <t>Yes</t>
        </is>
      </c>
      <c r="W323" s="16" t="inlineStr">
        <is>
          <t>Yes</t>
        </is>
      </c>
      <c r="X323" s="16" t="inlineStr">
        <is>
          <t>Yes</t>
        </is>
      </c>
      <c r="Y323" s="20" t="n">
        <v>29</v>
      </c>
      <c r="Z323" s="19" t="n">
        <v>0.151</v>
      </c>
      <c r="AA323" s="18" t="n">
        <v>49.57</v>
      </c>
      <c r="AB323" s="16" t="inlineStr">
        <is>
          <t>Average</t>
        </is>
      </c>
      <c r="AC323" s="16" t="inlineStr">
        <is>
          <t>No</t>
        </is>
      </c>
      <c r="AD323" s="19" t="n">
        <v>0.1441</v>
      </c>
      <c r="AE323" s="19" t="n">
        <v>0.1696</v>
      </c>
      <c r="AF323" s="19" t="n">
        <v>0.06150000000000001</v>
      </c>
      <c r="AG323" s="19" t="n">
        <v>0.0362</v>
      </c>
      <c r="AH323" s="23" t="n">
        <v>0.15</v>
      </c>
      <c r="AI323" s="23" t="n">
        <v>2.29</v>
      </c>
      <c r="AJ323" s="19" t="n">
        <v>0.067</v>
      </c>
    </row>
    <row r="324">
      <c r="A324" s="16" t="inlineStr">
        <is>
          <t>METROBRAND</t>
        </is>
      </c>
      <c r="B324" s="16" t="inlineStr">
        <is>
          <t>Metro Brands Ltd.</t>
        </is>
      </c>
      <c r="C324" s="16" t="inlineStr">
        <is>
          <t>Footwear</t>
        </is>
      </c>
      <c r="D324" s="16" t="inlineStr">
        <is>
          <t>Retailing</t>
        </is>
      </c>
      <c r="E324" s="16" t="inlineStr">
        <is>
          <t>INE317I01021</t>
        </is>
      </c>
      <c r="F324" s="17" t="n">
        <v>25327.95</v>
      </c>
      <c r="G324" s="18" t="n">
        <v>929.15</v>
      </c>
      <c r="H324" s="19" t="n">
        <v>0.0181</v>
      </c>
      <c r="I324" s="20" t="n">
        <v>19</v>
      </c>
      <c r="J324" s="16" t="inlineStr">
        <is>
          <t>red</t>
        </is>
      </c>
      <c r="K324" s="20" t="n">
        <v>165</v>
      </c>
      <c r="L324" s="18" t="n">
        <v>46.96</v>
      </c>
      <c r="M324" s="18" t="n">
        <v>920.6900000000001</v>
      </c>
      <c r="N324" s="18" t="n">
        <v>990.2</v>
      </c>
      <c r="O324" s="18" t="n">
        <v>1033.95</v>
      </c>
      <c r="P324" s="18" t="n">
        <v>1313.11</v>
      </c>
      <c r="Q324" s="18" t="n">
        <v>893.16</v>
      </c>
      <c r="R324" s="21">
        <f>IF(OR(G324="",P324=""),"",G324/P324-1)</f>
        <v/>
      </c>
      <c r="S324" s="19" t="n">
        <v>0.8489</v>
      </c>
      <c r="T324" s="22" t="n">
        <v>-0.0192</v>
      </c>
      <c r="U324" s="16" t="inlineStr">
        <is>
          <t>No</t>
        </is>
      </c>
      <c r="V324" s="16" t="inlineStr">
        <is>
          <t>No</t>
        </is>
      </c>
      <c r="W324" s="16" t="inlineStr">
        <is>
          <t>Yes</t>
        </is>
      </c>
      <c r="X324" s="16" t="inlineStr">
        <is>
          <t>No</t>
        </is>
      </c>
      <c r="Y324" s="20" t="n">
        <v>181</v>
      </c>
      <c r="Z324" s="19" t="n">
        <v>-0.0423</v>
      </c>
      <c r="AA324" s="18" t="n">
        <v>46.55</v>
      </c>
      <c r="AB324" s="16" t="inlineStr">
        <is>
          <t>Average</t>
        </is>
      </c>
      <c r="AC324" s="16" t="inlineStr">
        <is>
          <t>No</t>
        </is>
      </c>
      <c r="AD324" s="19" t="n">
        <v>0.2108</v>
      </c>
      <c r="AE324" s="19" t="n">
        <v>0.1906</v>
      </c>
      <c r="AF324" s="19" t="n">
        <v>0.0541</v>
      </c>
      <c r="AG324" s="19" t="n">
        <v>0.1048</v>
      </c>
      <c r="AH324" s="23" t="n">
        <v>0.79</v>
      </c>
      <c r="AI324" s="23" t="n">
        <v>1.56</v>
      </c>
      <c r="AJ324" s="19" t="n">
        <v>0.0074</v>
      </c>
    </row>
    <row r="325">
      <c r="A325" s="16" t="inlineStr">
        <is>
          <t>PGHH</t>
        </is>
      </c>
      <c r="B325" s="16" t="inlineStr">
        <is>
          <t>Procter &amp; Gamble Hygiene &amp; Healthcare Ltd.</t>
        </is>
      </c>
      <c r="C325" s="16" t="inlineStr">
        <is>
          <t>Personal Products</t>
        </is>
      </c>
      <c r="D325" s="16" t="inlineStr">
        <is>
          <t>FMCG</t>
        </is>
      </c>
      <c r="E325" s="16" t="inlineStr">
        <is>
          <t>INE179A01014</t>
        </is>
      </c>
      <c r="F325" s="17" t="n">
        <v>24889.24</v>
      </c>
      <c r="G325" s="18" t="n">
        <v>7667.5</v>
      </c>
      <c r="H325" s="19" t="n">
        <v>-0.0074</v>
      </c>
      <c r="I325" s="20" t="n">
        <v>4</v>
      </c>
      <c r="J325" s="16" t="inlineStr">
        <is>
          <t>red</t>
        </is>
      </c>
      <c r="K325" s="20" t="n">
        <v>232</v>
      </c>
      <c r="L325" s="18" t="n">
        <v>7.51</v>
      </c>
      <c r="M325" s="18" t="n">
        <v>7888.01</v>
      </c>
      <c r="N325" s="18" t="n">
        <v>8490.48</v>
      </c>
      <c r="O325" s="18" t="n">
        <v>10254.47</v>
      </c>
      <c r="P325" s="18" t="n">
        <v>14040.13</v>
      </c>
      <c r="Q325" s="18" t="n">
        <v>7667.5</v>
      </c>
      <c r="R325" s="21">
        <f>IF(OR(G325="",P325=""),"",G325/P325-1)</f>
        <v/>
      </c>
      <c r="S325" s="19" t="n">
        <v>1.211</v>
      </c>
      <c r="T325" s="22" t="n">
        <v>-0.0454</v>
      </c>
      <c r="U325" s="16" t="inlineStr">
        <is>
          <t>No</t>
        </is>
      </c>
      <c r="V325" s="16" t="inlineStr">
        <is>
          <t>No</t>
        </is>
      </c>
      <c r="W325" s="16" t="inlineStr">
        <is>
          <t>No</t>
        </is>
      </c>
      <c r="X325" s="16" t="inlineStr">
        <is>
          <t>No</t>
        </is>
      </c>
      <c r="Y325" s="20" t="n">
        <v>201</v>
      </c>
      <c r="Z325" s="19" t="n">
        <v>-0.172</v>
      </c>
      <c r="AA325" s="18" t="n">
        <v>77.84</v>
      </c>
      <c r="AB325" s="16" t="inlineStr">
        <is>
          <t>High</t>
        </is>
      </c>
      <c r="AC325" s="16" t="inlineStr">
        <is>
          <t>No</t>
        </is>
      </c>
      <c r="AD325" s="19" t="n">
        <v>0.9081999999999999</v>
      </c>
      <c r="AE325" s="19" t="n">
        <v>1.2322</v>
      </c>
      <c r="AF325" s="19" t="n">
        <v>0.1321</v>
      </c>
      <c r="AG325" s="19" t="n">
        <v>0.0474</v>
      </c>
      <c r="AH325" s="23" t="n">
        <v>0</v>
      </c>
      <c r="AI325" s="23" t="n">
        <v>23.23</v>
      </c>
      <c r="AJ325" s="19" t="n">
        <v>0.1154</v>
      </c>
    </row>
    <row r="326">
      <c r="A326" s="16" t="inlineStr">
        <is>
          <t>GUJENERGY</t>
        </is>
      </c>
      <c r="B326" s="16" t="inlineStr">
        <is>
          <t>Gujarat Energy Ltd.</t>
        </is>
      </c>
      <c r="C326" s="16" t="inlineStr">
        <is>
          <t>Utilities:Non-Electrical</t>
        </is>
      </c>
      <c r="D326" s="16" t="inlineStr">
        <is>
          <t>Utilities</t>
        </is>
      </c>
      <c r="E326" s="16" t="inlineStr">
        <is>
          <t>INE844O01030</t>
        </is>
      </c>
      <c r="F326" s="17" t="n">
        <v>24730.83</v>
      </c>
      <c r="G326" s="18" t="n">
        <v>263.59</v>
      </c>
      <c r="H326" s="19" t="n">
        <v>-0.0019</v>
      </c>
      <c r="I326" s="20" t="n">
        <v>2</v>
      </c>
      <c r="J326" s="16" t="inlineStr">
        <is>
          <t>red</t>
        </is>
      </c>
      <c r="K326" s="20" t="n">
        <v>127</v>
      </c>
      <c r="L326" s="18" t="n">
        <v>38.64</v>
      </c>
      <c r="M326" s="18" t="n">
        <v>256.39</v>
      </c>
      <c r="N326" s="18" t="n">
        <v>276.17</v>
      </c>
      <c r="O326" s="18" t="n">
        <v>359.83</v>
      </c>
      <c r="P326" s="18" t="n">
        <v>442.85</v>
      </c>
      <c r="Q326" s="18" t="n">
        <v>247.7</v>
      </c>
      <c r="R326" s="21">
        <f>IF(OR(G326="",P326=""),"",G326/P326-1)</f>
        <v/>
      </c>
      <c r="S326" s="19" t="n">
        <v>2.072</v>
      </c>
      <c r="T326" s="22" t="n">
        <v>-0.0385</v>
      </c>
      <c r="U326" s="16" t="inlineStr">
        <is>
          <t>No</t>
        </is>
      </c>
      <c r="V326" s="16" t="inlineStr">
        <is>
          <t>No</t>
        </is>
      </c>
      <c r="W326" s="16" t="inlineStr">
        <is>
          <t>Yes</t>
        </is>
      </c>
      <c r="X326" s="16" t="inlineStr">
        <is>
          <t>No</t>
        </is>
      </c>
      <c r="Y326" s="20" t="n">
        <v>262</v>
      </c>
      <c r="Z326" s="19" t="n">
        <v>-0.2325</v>
      </c>
      <c r="AA326" s="18" t="n">
        <v>61.93</v>
      </c>
      <c r="AB326" s="16" t="inlineStr">
        <is>
          <t>Good</t>
        </is>
      </c>
      <c r="AC326" s="16" t="inlineStr">
        <is>
          <t>No</t>
        </is>
      </c>
      <c r="AD326" s="19" t="n">
        <v>0.2474</v>
      </c>
      <c r="AE326" s="19" t="n">
        <v>0.1966</v>
      </c>
      <c r="AF326" s="19" t="n">
        <v>0.1333</v>
      </c>
      <c r="AG326" s="19" t="n">
        <v>0.1872</v>
      </c>
      <c r="AH326" s="23" t="n">
        <v>0.18</v>
      </c>
      <c r="AI326" s="23" t="n">
        <v>1.7</v>
      </c>
      <c r="AJ326" s="19" t="n">
        <v>0.0602</v>
      </c>
    </row>
    <row r="327">
      <c r="A327" s="16" t="inlineStr">
        <is>
          <t>SUMICHEM</t>
        </is>
      </c>
      <c r="B327" s="16" t="inlineStr">
        <is>
          <t>Sumitomo Chemical India Ltd.</t>
        </is>
      </c>
      <c r="C327" s="16" t="inlineStr">
        <is>
          <t>Agrochemicals</t>
        </is>
      </c>
      <c r="D327" s="16" t="inlineStr">
        <is>
          <t>Chemicals &amp; Petrochemicals</t>
        </is>
      </c>
      <c r="E327" s="16" t="inlineStr">
        <is>
          <t>INE258G01013</t>
        </is>
      </c>
      <c r="F327" s="17" t="n">
        <v>24627.85</v>
      </c>
      <c r="G327" s="18" t="n">
        <v>493.4</v>
      </c>
      <c r="H327" s="19" t="n">
        <v>-0.009899999999999999</v>
      </c>
      <c r="I327" s="20" t="n">
        <v>49</v>
      </c>
      <c r="J327" s="16" t="inlineStr">
        <is>
          <t>red</t>
        </is>
      </c>
      <c r="K327" s="20" t="n">
        <v>10</v>
      </c>
      <c r="L327" s="18" t="n">
        <v>13.48</v>
      </c>
      <c r="M327" s="18" t="n">
        <v>512.73</v>
      </c>
      <c r="N327" s="18" t="n">
        <v>516.77</v>
      </c>
      <c r="O327" s="18" t="n">
        <v>456.18</v>
      </c>
      <c r="P327" s="18" t="n">
        <v>600.35</v>
      </c>
      <c r="Q327" s="18" t="n">
        <v>363.57</v>
      </c>
      <c r="R327" s="21">
        <f>IF(OR(G327="",P327=""),"",G327/P327-1)</f>
        <v/>
      </c>
      <c r="S327" s="19" t="n">
        <v>0.2981</v>
      </c>
      <c r="T327" s="22" t="n">
        <v>0.01</v>
      </c>
      <c r="U327" s="16" t="inlineStr">
        <is>
          <t>Yes</t>
        </is>
      </c>
      <c r="V327" s="16" t="inlineStr">
        <is>
          <t>No</t>
        </is>
      </c>
      <c r="W327" s="16" t="inlineStr">
        <is>
          <t>No</t>
        </is>
      </c>
      <c r="X327" s="16" t="inlineStr">
        <is>
          <t>Yes</t>
        </is>
      </c>
      <c r="Y327" s="20" t="n">
        <v>53</v>
      </c>
      <c r="Z327" s="19" t="n">
        <v>0.1328</v>
      </c>
      <c r="AA327" s="18" t="n">
        <v>58.94</v>
      </c>
      <c r="AB327" s="16" t="inlineStr">
        <is>
          <t>Good</t>
        </is>
      </c>
      <c r="AC327" s="16" t="inlineStr">
        <is>
          <t>No</t>
        </is>
      </c>
      <c r="AD327" s="19" t="n">
        <v>0.1619</v>
      </c>
      <c r="AE327" s="19" t="n">
        <v>0.2165</v>
      </c>
      <c r="AF327" s="19" t="n">
        <v>0.0595</v>
      </c>
      <c r="AG327" s="19" t="n">
        <v>-0.0177</v>
      </c>
      <c r="AH327" s="23" t="n">
        <v>0.02</v>
      </c>
      <c r="AI327" s="23" t="n">
        <v>6.18</v>
      </c>
      <c r="AJ327" s="19" t="n">
        <v>0.0202</v>
      </c>
    </row>
    <row r="328">
      <c r="A328" s="16" t="inlineStr">
        <is>
          <t>ASAHIINDIA</t>
        </is>
      </c>
      <c r="B328" s="16" t="inlineStr">
        <is>
          <t>Asahi India Glass Ltd.</t>
        </is>
      </c>
      <c r="C328" s="16" t="inlineStr">
        <is>
          <t>Auto Parts &amp; Equipment</t>
        </is>
      </c>
      <c r="D328" s="16" t="inlineStr">
        <is>
          <t>Automobiles &amp; Auto Components</t>
        </is>
      </c>
      <c r="E328" s="16" t="inlineStr">
        <is>
          <t>INE439A01020</t>
        </is>
      </c>
      <c r="F328" s="17" t="n">
        <v>24368.49</v>
      </c>
      <c r="G328" s="18" t="n">
        <v>955.9</v>
      </c>
      <c r="H328" s="19" t="n">
        <v>-0.0066</v>
      </c>
      <c r="I328" s="20" t="n">
        <v>52</v>
      </c>
      <c r="J328" s="16" t="inlineStr">
        <is>
          <t>red</t>
        </is>
      </c>
      <c r="K328" s="20" t="n">
        <v>100</v>
      </c>
      <c r="L328" s="18" t="n">
        <v>63.37</v>
      </c>
      <c r="M328" s="18" t="n">
        <v>953.4400000000001</v>
      </c>
      <c r="N328" s="18" t="n">
        <v>909.3</v>
      </c>
      <c r="O328" s="18" t="n">
        <v>911.9400000000001</v>
      </c>
      <c r="P328" s="18" t="n">
        <v>1066.4</v>
      </c>
      <c r="Q328" s="18" t="n">
        <v>784.4</v>
      </c>
      <c r="R328" s="21">
        <f>IF(OR(G328="",P328=""),"",G328/P328-1)</f>
        <v/>
      </c>
      <c r="S328" s="19" t="n">
        <v>1.2098</v>
      </c>
      <c r="T328" s="22" t="n">
        <v>-0.0012</v>
      </c>
      <c r="U328" s="16" t="inlineStr">
        <is>
          <t>No</t>
        </is>
      </c>
      <c r="V328" s="16" t="inlineStr">
        <is>
          <t>Yes</t>
        </is>
      </c>
      <c r="W328" s="16" t="inlineStr">
        <is>
          <t>Yes</t>
        </is>
      </c>
      <c r="X328" s="16" t="inlineStr">
        <is>
          <t>No</t>
        </is>
      </c>
      <c r="Y328" s="20" t="n">
        <v>107</v>
      </c>
      <c r="Z328" s="19" t="n">
        <v>-0.0029</v>
      </c>
      <c r="AA328" s="18" t="n">
        <v>35.57</v>
      </c>
      <c r="AB328" s="16" t="inlineStr">
        <is>
          <t>Weak</t>
        </is>
      </c>
      <c r="AC328" s="16" t="inlineStr">
        <is>
          <t>No</t>
        </is>
      </c>
      <c r="AD328" s="19" t="n">
        <v>0.1221</v>
      </c>
      <c r="AE328" s="19" t="n">
        <v>0.1204</v>
      </c>
      <c r="AF328" s="19" t="n">
        <v>-0.0214</v>
      </c>
      <c r="AG328" s="19" t="n">
        <v>0.07200000000000001</v>
      </c>
      <c r="AH328" s="23" t="n">
        <v>0.5600000000000001</v>
      </c>
      <c r="AI328" s="23" t="n">
        <v>1.01</v>
      </c>
      <c r="AJ328" s="19" t="n">
        <v>0.09130000000000001</v>
      </c>
    </row>
    <row r="329">
      <c r="A329" s="16" t="inlineStr">
        <is>
          <t>AWL</t>
        </is>
      </c>
      <c r="B329" s="16" t="inlineStr">
        <is>
          <t>AWL Agri Business Ltd.</t>
        </is>
      </c>
      <c r="C329" s="16" t="inlineStr">
        <is>
          <t>Edible Oils</t>
        </is>
      </c>
      <c r="D329" s="16" t="inlineStr">
        <is>
          <t>FMCG</t>
        </is>
      </c>
      <c r="E329" s="16" t="inlineStr">
        <is>
          <t>INE699H01024</t>
        </is>
      </c>
      <c r="F329" s="17" t="n">
        <v>24341.68</v>
      </c>
      <c r="G329" s="18" t="n">
        <v>187.29</v>
      </c>
      <c r="H329" s="19" t="n">
        <v>-0.0183</v>
      </c>
      <c r="I329" s="20" t="n">
        <v>22</v>
      </c>
      <c r="J329" s="16" t="inlineStr">
        <is>
          <t>red</t>
        </is>
      </c>
      <c r="K329" s="20" t="n">
        <v>196</v>
      </c>
      <c r="L329" s="18" t="n">
        <v>41.88</v>
      </c>
      <c r="M329" s="18" t="n">
        <v>194.27</v>
      </c>
      <c r="N329" s="18" t="n">
        <v>190.58</v>
      </c>
      <c r="O329" s="18" t="n">
        <v>202.13</v>
      </c>
      <c r="P329" s="18" t="n">
        <v>276.16</v>
      </c>
      <c r="Q329" s="18" t="n">
        <v>171.4</v>
      </c>
      <c r="R329" s="21">
        <f>IF(OR(G329="",P329=""),"",G329/P329-1)</f>
        <v/>
      </c>
      <c r="S329" s="19" t="n">
        <v>0.8773000000000001</v>
      </c>
      <c r="T329" s="22" t="n">
        <v>-0.0365</v>
      </c>
      <c r="U329" s="16" t="inlineStr">
        <is>
          <t>No</t>
        </is>
      </c>
      <c r="V329" s="16" t="inlineStr">
        <is>
          <t>No</t>
        </is>
      </c>
      <c r="W329" s="16" t="inlineStr">
        <is>
          <t>No</t>
        </is>
      </c>
      <c r="X329" s="16" t="inlineStr">
        <is>
          <t>No</t>
        </is>
      </c>
      <c r="Y329" s="20" t="n">
        <v>178</v>
      </c>
      <c r="Z329" s="19" t="n">
        <v>-0.0572</v>
      </c>
      <c r="AA329" s="18" t="n">
        <v>46.43</v>
      </c>
      <c r="AB329" s="16" t="inlineStr">
        <is>
          <t>Average</t>
        </is>
      </c>
      <c r="AC329" s="16" t="inlineStr">
        <is>
          <t>No</t>
        </is>
      </c>
      <c r="AD329" s="19" t="n">
        <v>0.0825</v>
      </c>
      <c r="AE329" s="19" t="n">
        <v>0.0958</v>
      </c>
      <c r="AF329" s="19" t="n">
        <v>2.1267</v>
      </c>
      <c r="AG329" s="19" t="n">
        <v>0.09910000000000001</v>
      </c>
      <c r="AH329" s="23" t="n">
        <v>0.78</v>
      </c>
      <c r="AI329" s="23" t="n">
        <v>10.27</v>
      </c>
      <c r="AJ329" s="19" t="n">
        <v>0.1119</v>
      </c>
    </row>
    <row r="330">
      <c r="A330" s="16" t="inlineStr">
        <is>
          <t>MSUMI</t>
        </is>
      </c>
      <c r="B330" s="16" t="inlineStr">
        <is>
          <t>Motherson Sumi Wiring India Ltd.</t>
        </is>
      </c>
      <c r="C330" s="16" t="inlineStr">
        <is>
          <t>Auto Parts &amp; Equipment</t>
        </is>
      </c>
      <c r="D330" s="16" t="inlineStr">
        <is>
          <t>Automobiles &amp; Auto Components</t>
        </is>
      </c>
      <c r="E330" s="16" t="inlineStr">
        <is>
          <t>INE0FS801015</t>
        </is>
      </c>
      <c r="F330" s="17" t="n">
        <v>24218.83</v>
      </c>
      <c r="G330" s="18" t="n">
        <v>36.52</v>
      </c>
      <c r="H330" s="19" t="n">
        <v>-0.0138</v>
      </c>
      <c r="I330" s="20" t="n">
        <v>21</v>
      </c>
      <c r="J330" s="16" t="inlineStr">
        <is>
          <t>red</t>
        </is>
      </c>
      <c r="K330" s="20" t="n">
        <v>110</v>
      </c>
      <c r="L330" s="18" t="n">
        <v>24.63</v>
      </c>
      <c r="M330" s="18" t="n">
        <v>37.17</v>
      </c>
      <c r="N330" s="18" t="n">
        <v>39.69</v>
      </c>
      <c r="O330" s="18" t="n">
        <v>41.05</v>
      </c>
      <c r="P330" s="18" t="n">
        <v>51.31</v>
      </c>
      <c r="Q330" s="18" t="n">
        <v>35.38</v>
      </c>
      <c r="R330" s="21">
        <f>IF(OR(G330="",P330=""),"",G330/P330-1)</f>
        <v/>
      </c>
      <c r="S330" s="19" t="n">
        <v>1.1647</v>
      </c>
      <c r="T330" s="22" t="n">
        <v>-0.019</v>
      </c>
      <c r="U330" s="16" t="inlineStr">
        <is>
          <t>No</t>
        </is>
      </c>
      <c r="V330" s="16" t="inlineStr">
        <is>
          <t>No</t>
        </is>
      </c>
      <c r="W330" s="16" t="inlineStr">
        <is>
          <t>No</t>
        </is>
      </c>
      <c r="X330" s="16" t="inlineStr">
        <is>
          <t>No</t>
        </is>
      </c>
      <c r="Y330" s="20" t="n">
        <v>121</v>
      </c>
      <c r="Z330" s="19" t="n">
        <v>-0.0332</v>
      </c>
      <c r="AA330" s="18" t="n">
        <v>72.88</v>
      </c>
      <c r="AB330" s="16" t="inlineStr">
        <is>
          <t>High</t>
        </is>
      </c>
      <c r="AC330" s="16" t="inlineStr">
        <is>
          <t>No</t>
        </is>
      </c>
      <c r="AD330" s="19" t="n">
        <v>0.3422</v>
      </c>
      <c r="AE330" s="19" t="n">
        <v>0.4087</v>
      </c>
      <c r="AF330" s="19" t="n">
        <v>0.0987</v>
      </c>
      <c r="AG330" s="19" t="n">
        <v>0.1771</v>
      </c>
      <c r="AH330" s="23" t="n">
        <v>0.11</v>
      </c>
      <c r="AI330" s="23" t="n">
        <v>14.58</v>
      </c>
      <c r="AJ330" s="19" t="n">
        <v>0.006</v>
      </c>
    </row>
    <row r="331">
      <c r="A331" s="16" t="inlineStr">
        <is>
          <t>KAYNES</t>
        </is>
      </c>
      <c r="B331" s="16" t="inlineStr">
        <is>
          <t>Kaynes Technology India Ltd.</t>
        </is>
      </c>
      <c r="C331" s="16" t="inlineStr">
        <is>
          <t>Other Electrical Equipment/Products</t>
        </is>
      </c>
      <c r="D331" s="16" t="inlineStr">
        <is>
          <t>Consumer Durables</t>
        </is>
      </c>
      <c r="E331" s="16" t="inlineStr">
        <is>
          <t>INE918Z01012</t>
        </is>
      </c>
      <c r="F331" s="17" t="n">
        <v>24119.09</v>
      </c>
      <c r="G331" s="18" t="n">
        <v>3598</v>
      </c>
      <c r="H331" s="19" t="n">
        <v>0.03240000000000001</v>
      </c>
      <c r="I331" s="20" t="n">
        <v>23</v>
      </c>
      <c r="J331" s="16" t="inlineStr">
        <is>
          <t>red</t>
        </is>
      </c>
      <c r="K331" s="20" t="n">
        <v>195</v>
      </c>
      <c r="L331" s="18" t="n">
        <v>47.74</v>
      </c>
      <c r="M331" s="18" t="n">
        <v>3743.18</v>
      </c>
      <c r="N331" s="18" t="n">
        <v>3551.77</v>
      </c>
      <c r="O331" s="18" t="n">
        <v>3782.15</v>
      </c>
      <c r="P331" s="18" t="n">
        <v>7593</v>
      </c>
      <c r="Q331" s="18" t="n">
        <v>3001</v>
      </c>
      <c r="R331" s="21">
        <f>IF(OR(G331="",P331=""),"",G331/P331-1)</f>
        <v/>
      </c>
      <c r="S331" s="19" t="n">
        <v>0.8126000000000001</v>
      </c>
      <c r="T331" s="22" t="n">
        <v>-0.0679</v>
      </c>
      <c r="U331" s="16" t="inlineStr">
        <is>
          <t>No</t>
        </is>
      </c>
      <c r="V331" s="16" t="inlineStr">
        <is>
          <t>Yes</t>
        </is>
      </c>
      <c r="W331" s="16" t="inlineStr">
        <is>
          <t>No</t>
        </is>
      </c>
      <c r="X331" s="16" t="inlineStr">
        <is>
          <t>No</t>
        </is>
      </c>
      <c r="Y331" s="20" t="n">
        <v>179</v>
      </c>
      <c r="Z331" s="19" t="n">
        <v>-0.0609</v>
      </c>
      <c r="AA331" s="18" t="n">
        <v>56.12</v>
      </c>
      <c r="AB331" s="16" t="inlineStr">
        <is>
          <t>Good</t>
        </is>
      </c>
      <c r="AC331" s="16" t="inlineStr">
        <is>
          <t>No</t>
        </is>
      </c>
      <c r="AD331" s="19" t="n">
        <v>0.08449999999999999</v>
      </c>
      <c r="AE331" s="19" t="n">
        <v>0.1122</v>
      </c>
      <c r="AF331" s="19" t="n">
        <v>0.4143</v>
      </c>
      <c r="AG331" s="19" t="n">
        <v>0.481</v>
      </c>
      <c r="AH331" s="23" t="n">
        <v>0.19</v>
      </c>
      <c r="AI331" s="23" t="n">
        <v>2.31</v>
      </c>
      <c r="AJ331" s="19" t="n">
        <v>0.2374</v>
      </c>
    </row>
    <row r="332">
      <c r="A332" s="16" t="inlineStr">
        <is>
          <t>ACC</t>
        </is>
      </c>
      <c r="B332" s="16" t="inlineStr">
        <is>
          <t>ACC Ltd.</t>
        </is>
      </c>
      <c r="C332" s="16" t="inlineStr">
        <is>
          <t>Cement &amp; Cement Products</t>
        </is>
      </c>
      <c r="D332" s="16" t="inlineStr">
        <is>
          <t>Cement and Construction</t>
        </is>
      </c>
      <c r="E332" s="16" t="inlineStr">
        <is>
          <t>INE012A01025</t>
        </is>
      </c>
      <c r="F332" s="17" t="n">
        <v>24108.13</v>
      </c>
      <c r="G332" s="18" t="n">
        <v>1283.8</v>
      </c>
      <c r="H332" s="19" t="n">
        <v>0.009300000000000001</v>
      </c>
      <c r="I332" s="20" t="n">
        <v>13</v>
      </c>
      <c r="J332" s="16" t="inlineStr">
        <is>
          <t>red</t>
        </is>
      </c>
      <c r="K332" s="20" t="n">
        <v>501</v>
      </c>
      <c r="L332" s="18" t="n">
        <v>40.13</v>
      </c>
      <c r="M332" s="18" t="n">
        <v>1289.99</v>
      </c>
      <c r="N332" s="18" t="n">
        <v>1342.03</v>
      </c>
      <c r="O332" s="18" t="n">
        <v>1489.57</v>
      </c>
      <c r="P332" s="18" t="n">
        <v>1902.69</v>
      </c>
      <c r="Q332" s="18" t="n">
        <v>1247.38</v>
      </c>
      <c r="R332" s="21">
        <f>IF(OR(G332="",P332=""),"",G332/P332-1)</f>
        <v/>
      </c>
      <c r="S332" s="19" t="n">
        <v>0.6313</v>
      </c>
      <c r="T332" s="22" t="n">
        <v>-0.0346</v>
      </c>
      <c r="U332" s="16" t="inlineStr">
        <is>
          <t>No</t>
        </is>
      </c>
      <c r="V332" s="16" t="inlineStr">
        <is>
          <t>No</t>
        </is>
      </c>
      <c r="W332" s="16" t="inlineStr">
        <is>
          <t>No</t>
        </is>
      </c>
      <c r="X332" s="16" t="inlineStr">
        <is>
          <t>No</t>
        </is>
      </c>
      <c r="Y332" s="20" t="n">
        <v>488</v>
      </c>
      <c r="Z332" s="19" t="n">
        <v>-0.099</v>
      </c>
      <c r="AA332" s="18" t="n">
        <v>40</v>
      </c>
      <c r="AB332" s="16" t="inlineStr">
        <is>
          <t>Average</t>
        </is>
      </c>
      <c r="AC332" s="16" t="inlineStr">
        <is>
          <t>No</t>
        </is>
      </c>
      <c r="AD332" s="19" t="n">
        <v>0.1255</v>
      </c>
      <c r="AE332" s="19" t="n">
        <v>0.1505</v>
      </c>
      <c r="AF332" s="19" t="n">
        <v>-0.0408</v>
      </c>
      <c r="AG332" s="19" t="n">
        <v>0.1333</v>
      </c>
      <c r="AH332" s="23" t="n">
        <v>0.03</v>
      </c>
      <c r="AI332" s="23" t="n">
        <v>1.94</v>
      </c>
      <c r="AJ332" s="19" t="n">
        <v>0.2021</v>
      </c>
    </row>
    <row r="333">
      <c r="A333" s="16" t="inlineStr">
        <is>
          <t>KPIL</t>
        </is>
      </c>
      <c r="B333" s="16" t="inlineStr">
        <is>
          <t>Kalpataru Projects International Ltd.</t>
        </is>
      </c>
      <c r="C333" s="16" t="inlineStr">
        <is>
          <t>Construction &amp; Engineering</t>
        </is>
      </c>
      <c r="D333" s="16" t="inlineStr">
        <is>
          <t>Cement and Construction</t>
        </is>
      </c>
      <c r="E333" s="16" t="inlineStr">
        <is>
          <t>INE220B01022</t>
        </is>
      </c>
      <c r="F333" s="17" t="n">
        <v>24020.86</v>
      </c>
      <c r="G333" s="18" t="n">
        <v>1406.6</v>
      </c>
      <c r="H333" s="19" t="n">
        <v>-0.007800000000000001</v>
      </c>
      <c r="I333" s="20" t="n">
        <v>62</v>
      </c>
      <c r="J333" s="16" t="inlineStr">
        <is>
          <t>amber</t>
        </is>
      </c>
      <c r="K333" s="20" t="n">
        <v>4</v>
      </c>
      <c r="L333" s="18" t="n">
        <v>50.92</v>
      </c>
      <c r="M333" s="18" t="n">
        <v>1401.59</v>
      </c>
      <c r="N333" s="18" t="n">
        <v>1347.64</v>
      </c>
      <c r="O333" s="18" t="n">
        <v>1225.4</v>
      </c>
      <c r="P333" s="18" t="n">
        <v>1428.26</v>
      </c>
      <c r="Q333" s="18" t="n">
        <v>1010.01</v>
      </c>
      <c r="R333" s="21">
        <f>IF(OR(G333="",P333=""),"",G333/P333-1)</f>
        <v/>
      </c>
      <c r="S333" s="19" t="n">
        <v>0.5136999999999999</v>
      </c>
      <c r="T333" s="22" t="n">
        <v>0.011</v>
      </c>
      <c r="U333" s="16" t="inlineStr">
        <is>
          <t>Yes</t>
        </is>
      </c>
      <c r="V333" s="16" t="inlineStr">
        <is>
          <t>Yes</t>
        </is>
      </c>
      <c r="W333" s="16" t="inlineStr">
        <is>
          <t>Yes</t>
        </is>
      </c>
      <c r="X333" s="16" t="inlineStr">
        <is>
          <t>Yes</t>
        </is>
      </c>
      <c r="Y333" s="20" t="n">
        <v>70</v>
      </c>
      <c r="Z333" s="19" t="n">
        <v>0.0998</v>
      </c>
      <c r="AA333" s="18" t="n">
        <v>40</v>
      </c>
      <c r="AB333" s="16" t="inlineStr">
        <is>
          <t>Average</t>
        </is>
      </c>
      <c r="AC333" s="16" t="inlineStr">
        <is>
          <t>No</t>
        </is>
      </c>
      <c r="AD333" s="19" t="n">
        <v>0.1076</v>
      </c>
      <c r="AE333" s="19" t="n">
        <v>0.1382</v>
      </c>
      <c r="AF333" s="19" t="n">
        <v>-0.2626</v>
      </c>
      <c r="AG333" s="19" t="n">
        <v>0.1845</v>
      </c>
      <c r="AH333" s="23" t="n">
        <v>0.46</v>
      </c>
      <c r="AI333" s="23" t="n">
        <v>8.890000000000001</v>
      </c>
      <c r="AJ333" s="19" t="n">
        <v>0.0418</v>
      </c>
    </row>
    <row r="334">
      <c r="A334" s="16" t="inlineStr">
        <is>
          <t>GABRIEL</t>
        </is>
      </c>
      <c r="B334" s="16" t="inlineStr">
        <is>
          <t>Gabriel India Ltd.</t>
        </is>
      </c>
      <c r="C334" s="16" t="inlineStr">
        <is>
          <t>Auto Parts &amp; Equipment</t>
        </is>
      </c>
      <c r="D334" s="16" t="inlineStr">
        <is>
          <t>Automobiles &amp; Auto Components</t>
        </is>
      </c>
      <c r="E334" s="16" t="inlineStr">
        <is>
          <t>INE524A01029</t>
        </is>
      </c>
      <c r="F334" s="17" t="n">
        <v>23982.76</v>
      </c>
      <c r="G334" s="18" t="n">
        <v>1353.2</v>
      </c>
      <c r="H334" s="19" t="n">
        <v>0.005500000000000001</v>
      </c>
      <c r="I334" s="20" t="n">
        <v>76</v>
      </c>
      <c r="J334" s="16" t="inlineStr">
        <is>
          <t>amber</t>
        </is>
      </c>
      <c r="K334" s="20" t="n">
        <v>2</v>
      </c>
      <c r="L334" s="18" t="n">
        <v>37.05</v>
      </c>
      <c r="M334" s="18" t="n">
        <v>1376.94</v>
      </c>
      <c r="N334" s="18" t="n">
        <v>1381.89</v>
      </c>
      <c r="O334" s="18" t="n">
        <v>1094.05</v>
      </c>
      <c r="P334" s="18" t="n">
        <v>1584.42</v>
      </c>
      <c r="Q334" s="18" t="n">
        <v>821.4</v>
      </c>
      <c r="R334" s="21">
        <f>IF(OR(G334="",P334=""),"",G334/P334-1)</f>
        <v/>
      </c>
      <c r="S334" s="19" t="n">
        <v>0.5756</v>
      </c>
      <c r="T334" s="22" t="n">
        <v>0.0183</v>
      </c>
      <c r="U334" s="16" t="inlineStr">
        <is>
          <t>Yes</t>
        </is>
      </c>
      <c r="V334" s="16" t="inlineStr">
        <is>
          <t>No</t>
        </is>
      </c>
      <c r="W334" s="16" t="inlineStr">
        <is>
          <t>No</t>
        </is>
      </c>
      <c r="X334" s="16" t="inlineStr">
        <is>
          <t>Yes</t>
        </is>
      </c>
      <c r="Y334" s="20" t="n">
        <v>55</v>
      </c>
      <c r="Z334" s="19" t="n">
        <v>0.2631</v>
      </c>
      <c r="AA334" s="18" t="n">
        <v>70.17</v>
      </c>
      <c r="AB334" s="16" t="inlineStr">
        <is>
          <t>High</t>
        </is>
      </c>
      <c r="AC334" s="16" t="inlineStr">
        <is>
          <t>No</t>
        </is>
      </c>
      <c r="AD334" s="19" t="n">
        <v>0.1899</v>
      </c>
      <c r="AE334" s="19" t="n">
        <v>0.244</v>
      </c>
      <c r="AF334" s="19" t="n">
        <v>0.2502</v>
      </c>
      <c r="AG334" s="19" t="n">
        <v>0.1628</v>
      </c>
      <c r="AH334" s="23" t="n">
        <v>0.11</v>
      </c>
      <c r="AI334" s="23" t="n">
        <v>5.68</v>
      </c>
      <c r="AJ334" s="19" t="n">
        <v>0.07730000000000001</v>
      </c>
    </row>
    <row r="335">
      <c r="A335" s="16" t="inlineStr">
        <is>
          <t>PFOCUS</t>
        </is>
      </c>
      <c r="B335" s="16" t="inlineStr">
        <is>
          <t>Prime Focus Ltd.</t>
        </is>
      </c>
      <c r="C335" s="16" t="inlineStr">
        <is>
          <t>Movies &amp; Entertainment</t>
        </is>
      </c>
      <c r="D335" s="16" t="inlineStr">
        <is>
          <t>Media</t>
        </is>
      </c>
      <c r="E335" s="16" t="inlineStr">
        <is>
          <t>INE367G01038</t>
        </is>
      </c>
      <c r="F335" s="17" t="n">
        <v>23908.36</v>
      </c>
      <c r="G335" s="18" t="n">
        <v>307</v>
      </c>
      <c r="H335" s="19" t="n">
        <v>0.0526</v>
      </c>
      <c r="I335" s="20" t="n">
        <v>86</v>
      </c>
      <c r="J335" s="16" t="inlineStr">
        <is>
          <t>green</t>
        </is>
      </c>
      <c r="K335" s="20" t="n">
        <v>14</v>
      </c>
      <c r="L335" s="18" t="n">
        <v>68.52</v>
      </c>
      <c r="M335" s="18" t="n">
        <v>293.17</v>
      </c>
      <c r="N335" s="18" t="n">
        <v>277.18</v>
      </c>
      <c r="O335" s="18" t="n">
        <v>259.44</v>
      </c>
      <c r="P335" s="18" t="n">
        <v>349.5</v>
      </c>
      <c r="Q335" s="18" t="n">
        <v>142.01</v>
      </c>
      <c r="R335" s="21">
        <f>IF(OR(G335="",P335=""),"",G335/P335-1)</f>
        <v/>
      </c>
      <c r="S335" s="19" t="n">
        <v>2.0548</v>
      </c>
      <c r="T335" s="22" t="n">
        <v>0.0453</v>
      </c>
      <c r="U335" s="16" t="inlineStr">
        <is>
          <t>Yes</t>
        </is>
      </c>
      <c r="V335" s="16" t="inlineStr">
        <is>
          <t>Yes</t>
        </is>
      </c>
      <c r="W335" s="16" t="inlineStr">
        <is>
          <t>Yes</t>
        </is>
      </c>
      <c r="X335" s="16" t="inlineStr">
        <is>
          <t>Yes</t>
        </is>
      </c>
      <c r="Y335" s="20" t="n">
        <v>288</v>
      </c>
      <c r="Z335" s="19" t="n">
        <v>0.0684</v>
      </c>
      <c r="AA335" s="18" t="n">
        <v>0</v>
      </c>
      <c r="AB335" s="16" t="inlineStr">
        <is>
          <t>Poor</t>
        </is>
      </c>
      <c r="AC335" s="16" t="inlineStr">
        <is>
          <t>No</t>
        </is>
      </c>
      <c r="AD335" s="19" t="n">
        <v>-0.3921</v>
      </c>
      <c r="AE335" s="19" t="n">
        <v>0.042</v>
      </c>
      <c r="AF335" s="19" t="n">
        <v>-0.5784</v>
      </c>
      <c r="AG335" s="19" t="n">
        <v>0.0153</v>
      </c>
      <c r="AH335" s="23" t="n">
        <v>2.74</v>
      </c>
      <c r="AI335" s="23" t="n">
        <v>3.4</v>
      </c>
      <c r="AJ335" s="19" t="n">
        <v>0.0489</v>
      </c>
    </row>
    <row r="336">
      <c r="A336" s="16" t="inlineStr">
        <is>
          <t>GILLETTE</t>
        </is>
      </c>
      <c r="B336" s="16" t="inlineStr">
        <is>
          <t>Gillette India Ltd.</t>
        </is>
      </c>
      <c r="C336" s="16" t="inlineStr">
        <is>
          <t>Personal Products</t>
        </is>
      </c>
      <c r="D336" s="16" t="inlineStr">
        <is>
          <t>FMCG</t>
        </is>
      </c>
      <c r="E336" s="16" t="inlineStr">
        <is>
          <t>INE322A01010</t>
        </is>
      </c>
      <c r="F336" s="17" t="n">
        <v>23827.93</v>
      </c>
      <c r="G336" s="18" t="n">
        <v>7312.5</v>
      </c>
      <c r="H336" s="19" t="n">
        <v>-0.0039</v>
      </c>
      <c r="I336" s="20" t="n">
        <v>20</v>
      </c>
      <c r="J336" s="16" t="inlineStr">
        <is>
          <t>red</t>
        </is>
      </c>
      <c r="K336" s="20" t="n">
        <v>114</v>
      </c>
      <c r="L336" s="18" t="n">
        <v>30.09</v>
      </c>
      <c r="M336" s="18" t="n">
        <v>7359.56</v>
      </c>
      <c r="N336" s="18" t="n">
        <v>7596.19</v>
      </c>
      <c r="O336" s="18" t="n">
        <v>7858.06</v>
      </c>
      <c r="P336" s="18" t="n">
        <v>10250.79</v>
      </c>
      <c r="Q336" s="18" t="n">
        <v>7195.46</v>
      </c>
      <c r="R336" s="21">
        <f>IF(OR(G336="",P336=""),"",G336/P336-1)</f>
        <v/>
      </c>
      <c r="S336" s="19" t="n">
        <v>0.5136999999999999</v>
      </c>
      <c r="T336" s="22" t="n">
        <v>-0.0138</v>
      </c>
      <c r="U336" s="16" t="inlineStr">
        <is>
          <t>No</t>
        </is>
      </c>
      <c r="V336" s="16" t="inlineStr">
        <is>
          <t>No</t>
        </is>
      </c>
      <c r="W336" s="16" t="inlineStr">
        <is>
          <t>No</t>
        </is>
      </c>
      <c r="X336" s="16" t="inlineStr">
        <is>
          <t>No</t>
        </is>
      </c>
      <c r="Y336" s="20" t="n">
        <v>198</v>
      </c>
      <c r="Z336" s="19" t="n">
        <v>-0.0333</v>
      </c>
      <c r="AA336" s="18" t="n">
        <v>75.56999999999999</v>
      </c>
      <c r="AB336" s="16" t="inlineStr">
        <is>
          <t>High</t>
        </is>
      </c>
      <c r="AC336" s="16" t="inlineStr">
        <is>
          <t>No</t>
        </is>
      </c>
      <c r="AD336" s="19" t="n">
        <v>0.3918</v>
      </c>
      <c r="AE336" s="19" t="n">
        <v>0.5368999999999999</v>
      </c>
      <c r="AF336" s="19" t="n">
        <v>0.1576</v>
      </c>
      <c r="AG336" s="19" t="n">
        <v>0.063</v>
      </c>
      <c r="AH336" s="23" t="n">
        <v>0</v>
      </c>
      <c r="AI336" s="23" t="n">
        <v>7.06</v>
      </c>
      <c r="AJ336" s="19" t="n">
        <v>0.06950000000000001</v>
      </c>
    </row>
    <row r="337">
      <c r="A337" s="16" t="inlineStr">
        <is>
          <t>GODIGIT</t>
        </is>
      </c>
      <c r="B337" s="16" t="inlineStr">
        <is>
          <t>Go Digit General Insurance Ltd.</t>
        </is>
      </c>
      <c r="C337" s="16" t="inlineStr">
        <is>
          <t>General Insurance</t>
        </is>
      </c>
      <c r="D337" s="16" t="inlineStr">
        <is>
          <t>Banking and Finance</t>
        </is>
      </c>
      <c r="E337" s="16" t="inlineStr">
        <is>
          <t>INE03JT01014</t>
        </is>
      </c>
      <c r="F337" s="17" t="n">
        <v>23821.58</v>
      </c>
      <c r="G337" s="18" t="n">
        <v>258.3</v>
      </c>
      <c r="H337" s="19" t="n">
        <v>0.0017</v>
      </c>
      <c r="I337" s="20" t="n">
        <v>7</v>
      </c>
      <c r="J337" s="16" t="inlineStr">
        <is>
          <t>red</t>
        </is>
      </c>
      <c r="K337" s="20" t="n">
        <v>103</v>
      </c>
      <c r="L337" s="18" t="n">
        <v>54.61</v>
      </c>
      <c r="M337" s="18" t="n">
        <v>258.99</v>
      </c>
      <c r="N337" s="18" t="n">
        <v>275.78</v>
      </c>
      <c r="O337" s="18" t="n">
        <v>313.34</v>
      </c>
      <c r="P337" s="18" t="n">
        <v>365.6</v>
      </c>
      <c r="Q337" s="18" t="n">
        <v>245.65</v>
      </c>
      <c r="R337" s="21">
        <f>IF(OR(G337="",P337=""),"",G337/P337-1)</f>
        <v/>
      </c>
      <c r="S337" s="19" t="n">
        <v>0.2938</v>
      </c>
      <c r="T337" s="22" t="n">
        <v>-0.0301</v>
      </c>
      <c r="U337" s="16" t="inlineStr">
        <is>
          <t>No</t>
        </is>
      </c>
      <c r="V337" s="16" t="inlineStr">
        <is>
          <t>No</t>
        </is>
      </c>
      <c r="W337" s="16" t="inlineStr">
        <is>
          <t>No</t>
        </is>
      </c>
      <c r="X337" s="16" t="inlineStr">
        <is>
          <t>No</t>
        </is>
      </c>
      <c r="Y337" s="20" t="n">
        <v>151</v>
      </c>
      <c r="Z337" s="19" t="n">
        <v>-0.1199</v>
      </c>
      <c r="AA337" s="18" t="n">
        <v>59.35</v>
      </c>
      <c r="AB337" s="16" t="inlineStr">
        <is>
          <t>Good</t>
        </is>
      </c>
      <c r="AC337" s="16" t="inlineStr">
        <is>
          <t>Yes</t>
        </is>
      </c>
      <c r="AD337" s="19" t="n">
        <v>0.09300000000000001</v>
      </c>
      <c r="AE337" s="19" t="n">
        <v>0.1053</v>
      </c>
      <c r="AF337" s="19" t="n">
        <v>1.8943</v>
      </c>
      <c r="AG337" s="19" t="n">
        <v>0.2184</v>
      </c>
      <c r="AH337" s="23" t="n">
        <v>0.07000000000000001</v>
      </c>
      <c r="AI337" s="23" t="n">
        <v>67.8</v>
      </c>
      <c r="AJ337" s="19" t="n">
        <v>0.0216</v>
      </c>
    </row>
    <row r="338">
      <c r="A338" s="16" t="inlineStr">
        <is>
          <t>IRB</t>
        </is>
      </c>
      <c r="B338" s="16" t="inlineStr">
        <is>
          <t>IRB Infrastructure Developers Ltd.</t>
        </is>
      </c>
      <c r="C338" s="16" t="inlineStr">
        <is>
          <t>Roads &amp; Highways</t>
        </is>
      </c>
      <c r="D338" s="16" t="inlineStr">
        <is>
          <t>Cement and Construction</t>
        </is>
      </c>
      <c r="E338" s="16" t="inlineStr">
        <is>
          <t>INE821I01022</t>
        </is>
      </c>
      <c r="F338" s="17" t="n">
        <v>23733.27</v>
      </c>
      <c r="G338" s="18" t="n">
        <v>19.65</v>
      </c>
      <c r="H338" s="19" t="n">
        <v>-0.001</v>
      </c>
      <c r="I338" s="20" t="n">
        <v>29</v>
      </c>
      <c r="J338" s="16" t="inlineStr">
        <is>
          <t>red</t>
        </is>
      </c>
      <c r="K338" s="20" t="n">
        <v>100</v>
      </c>
      <c r="L338" s="18" t="n">
        <v>60.08</v>
      </c>
      <c r="M338" s="18" t="n">
        <v>19.38</v>
      </c>
      <c r="N338" s="18" t="n">
        <v>19.82</v>
      </c>
      <c r="O338" s="18" t="n">
        <v>20.7</v>
      </c>
      <c r="P338" s="18" t="n">
        <v>22.73</v>
      </c>
      <c r="Q338" s="18" t="n">
        <v>18.81</v>
      </c>
      <c r="R338" s="21">
        <f>IF(OR(G338="",P338=""),"",G338/P338-1)</f>
        <v/>
      </c>
      <c r="S338" s="19" t="n">
        <v>0.5229</v>
      </c>
      <c r="T338" s="22" t="n">
        <v>-0.0124</v>
      </c>
      <c r="U338" s="16" t="inlineStr">
        <is>
          <t>No</t>
        </is>
      </c>
      <c r="V338" s="16" t="inlineStr">
        <is>
          <t>No</t>
        </is>
      </c>
      <c r="W338" s="16" t="inlineStr">
        <is>
          <t>Yes</t>
        </is>
      </c>
      <c r="X338" s="16" t="inlineStr">
        <is>
          <t>No</t>
        </is>
      </c>
      <c r="Y338" s="20" t="n">
        <v>39</v>
      </c>
      <c r="Z338" s="19" t="n">
        <v>-0.0424</v>
      </c>
      <c r="AA338" s="18" t="n">
        <v>45.03</v>
      </c>
      <c r="AB338" s="16" t="inlineStr">
        <is>
          <t>Average</t>
        </is>
      </c>
      <c r="AC338" s="16" t="inlineStr">
        <is>
          <t>No</t>
        </is>
      </c>
      <c r="AD338" s="19" t="n">
        <v>0.1372</v>
      </c>
      <c r="AE338" s="19" t="n">
        <v>0.1236</v>
      </c>
      <c r="AF338" s="19" t="n">
        <v>2.9012</v>
      </c>
      <c r="AG338" s="19" t="n">
        <v>0.006500000000000001</v>
      </c>
      <c r="AH338" s="23" t="n">
        <v>0.96</v>
      </c>
      <c r="AI338" s="23" t="n">
        <v>6.69</v>
      </c>
      <c r="AJ338" s="19" t="n">
        <v>0.0042</v>
      </c>
    </row>
    <row r="339">
      <c r="A339" s="16" t="inlineStr">
        <is>
          <t>SANSERA</t>
        </is>
      </c>
      <c r="B339" s="16" t="inlineStr">
        <is>
          <t>Sansera Engineering Ltd.</t>
        </is>
      </c>
      <c r="C339" s="16" t="inlineStr">
        <is>
          <t>Auto Parts &amp; Equipment</t>
        </is>
      </c>
      <c r="D339" s="16" t="inlineStr">
        <is>
          <t>Automobiles &amp; Auto Components</t>
        </is>
      </c>
      <c r="E339" s="16" t="inlineStr">
        <is>
          <t>INE953O01021</t>
        </is>
      </c>
      <c r="F339" s="17" t="n">
        <v>23604.79</v>
      </c>
      <c r="G339" s="18" t="n">
        <v>3782.6</v>
      </c>
      <c r="H339" s="19" t="n">
        <v>-0.0018</v>
      </c>
      <c r="I339" s="20" t="n">
        <v>94</v>
      </c>
      <c r="J339" s="16" t="inlineStr">
        <is>
          <t>green</t>
        </is>
      </c>
      <c r="K339" s="20" t="n">
        <v>201</v>
      </c>
      <c r="L339" s="18" t="n">
        <v>34.07</v>
      </c>
      <c r="M339" s="18" t="n">
        <v>3855.28</v>
      </c>
      <c r="N339" s="18" t="n">
        <v>3524.44</v>
      </c>
      <c r="O339" s="18" t="n">
        <v>2535.33</v>
      </c>
      <c r="P339" s="18" t="n">
        <v>4018</v>
      </c>
      <c r="Q339" s="18" t="n">
        <v>1310.21</v>
      </c>
      <c r="R339" s="21">
        <f>IF(OR(G339="",P339=""),"",G339/P339-1)</f>
        <v/>
      </c>
      <c r="S339" s="19" t="n">
        <v>0.457</v>
      </c>
      <c r="T339" s="22" t="n">
        <v>0.1017</v>
      </c>
      <c r="U339" s="16" t="inlineStr">
        <is>
          <t>Yes</t>
        </is>
      </c>
      <c r="V339" s="16" t="inlineStr">
        <is>
          <t>Yes</t>
        </is>
      </c>
      <c r="W339" s="16" t="inlineStr">
        <is>
          <t>No</t>
        </is>
      </c>
      <c r="X339" s="16" t="inlineStr">
        <is>
          <t>Yes</t>
        </is>
      </c>
      <c r="Y339" s="20" t="n">
        <v>280</v>
      </c>
      <c r="Z339" s="19" t="n">
        <v>0.3901</v>
      </c>
      <c r="AA339" s="18" t="n">
        <v>50.73</v>
      </c>
      <c r="AB339" s="16" t="inlineStr">
        <is>
          <t>Average</t>
        </is>
      </c>
      <c r="AC339" s="16" t="inlineStr">
        <is>
          <t>No</t>
        </is>
      </c>
      <c r="AD339" s="19" t="n">
        <v>0.107</v>
      </c>
      <c r="AE339" s="19" t="n">
        <v>0.1304</v>
      </c>
      <c r="AF339" s="19" t="n">
        <v>0.2477</v>
      </c>
      <c r="AG339" s="19" t="n">
        <v>0.1715</v>
      </c>
      <c r="AH339" s="23" t="n">
        <v>0.19</v>
      </c>
      <c r="AI339" s="23" t="n">
        <v>1.44</v>
      </c>
      <c r="AJ339" s="19" t="n">
        <v>0.05980000000000001</v>
      </c>
    </row>
    <row r="340">
      <c r="A340" s="16" t="inlineStr">
        <is>
          <t>TIMKEN</t>
        </is>
      </c>
      <c r="B340" s="16" t="inlineStr">
        <is>
          <t>Timken India Ltd.</t>
        </is>
      </c>
      <c r="C340" s="16" t="inlineStr">
        <is>
          <t>Abrasives &amp; Bearings</t>
        </is>
      </c>
      <c r="D340" s="16" t="inlineStr">
        <is>
          <t>General Industrials</t>
        </is>
      </c>
      <c r="E340" s="16" t="inlineStr">
        <is>
          <t>INE325A01013</t>
        </is>
      </c>
      <c r="F340" s="17" t="n">
        <v>23508.1</v>
      </c>
      <c r="G340" s="18" t="n">
        <v>3125.3</v>
      </c>
      <c r="H340" s="19" t="n">
        <v>0.0002</v>
      </c>
      <c r="I340" s="20" t="n">
        <v>31</v>
      </c>
      <c r="J340" s="16" t="inlineStr">
        <is>
          <t>red</t>
        </is>
      </c>
      <c r="K340" s="20" t="n">
        <v>50</v>
      </c>
      <c r="L340" s="18" t="n">
        <v>35.64</v>
      </c>
      <c r="M340" s="18" t="n">
        <v>3146.96</v>
      </c>
      <c r="N340" s="18" t="n">
        <v>3211.85</v>
      </c>
      <c r="O340" s="18" t="n">
        <v>3280.28</v>
      </c>
      <c r="P340" s="18" t="n">
        <v>3764.06</v>
      </c>
      <c r="Q340" s="18" t="n">
        <v>2873.68</v>
      </c>
      <c r="R340" s="21">
        <f>IF(OR(G340="",P340=""),"",G340/P340-1)</f>
        <v/>
      </c>
      <c r="S340" s="19" t="n">
        <v>0.41</v>
      </c>
      <c r="T340" s="22" t="n">
        <v>0.0046</v>
      </c>
      <c r="U340" s="16" t="inlineStr">
        <is>
          <t>Yes</t>
        </is>
      </c>
      <c r="V340" s="16" t="inlineStr">
        <is>
          <t>No</t>
        </is>
      </c>
      <c r="W340" s="16" t="inlineStr">
        <is>
          <t>No</t>
        </is>
      </c>
      <c r="X340" s="16" t="inlineStr">
        <is>
          <t>No</t>
        </is>
      </c>
      <c r="Y340" s="20" t="n">
        <v>6</v>
      </c>
      <c r="Z340" s="19" t="n">
        <v>-0.0209</v>
      </c>
      <c r="AA340" s="18" t="n">
        <v>61.92</v>
      </c>
      <c r="AB340" s="16" t="inlineStr">
        <is>
          <t>Good</t>
        </is>
      </c>
      <c r="AC340" s="16" t="inlineStr">
        <is>
          <t>No</t>
        </is>
      </c>
      <c r="AD340" s="19" t="n">
        <v>0.1547</v>
      </c>
      <c r="AE340" s="19" t="n">
        <v>0.2013</v>
      </c>
      <c r="AF340" s="19" t="n">
        <v>0.0266</v>
      </c>
      <c r="AG340" s="19" t="n">
        <v>0.07519999999999999</v>
      </c>
      <c r="AH340" s="23" t="n">
        <v>0</v>
      </c>
      <c r="AI340" s="23" t="n">
        <v>2.72</v>
      </c>
      <c r="AJ340" s="19" t="n">
        <v>0.1153</v>
      </c>
    </row>
    <row r="341">
      <c r="A341" s="16" t="inlineStr">
        <is>
          <t>CUB</t>
        </is>
      </c>
      <c r="B341" s="16" t="inlineStr">
        <is>
          <t>City Union Bank Ltd.</t>
        </is>
      </c>
      <c r="C341" s="16" t="inlineStr">
        <is>
          <t>Banks</t>
        </is>
      </c>
      <c r="D341" s="16" t="inlineStr">
        <is>
          <t>Banking and Finance</t>
        </is>
      </c>
      <c r="E341" s="16" t="inlineStr">
        <is>
          <t>INE491A01021</t>
        </is>
      </c>
      <c r="F341" s="17" t="n">
        <v>23383.57</v>
      </c>
      <c r="G341" s="18" t="n">
        <v>236.01</v>
      </c>
      <c r="H341" s="19" t="n">
        <v>0.006999999999999999</v>
      </c>
      <c r="I341" s="20" t="n">
        <v>75</v>
      </c>
      <c r="J341" s="16" t="inlineStr">
        <is>
          <t>amber</t>
        </is>
      </c>
      <c r="K341" s="20" t="n">
        <v>64</v>
      </c>
      <c r="L341" s="18" t="n">
        <v>66.38</v>
      </c>
      <c r="M341" s="18" t="n">
        <v>230.43</v>
      </c>
      <c r="N341" s="18" t="n">
        <v>219.03</v>
      </c>
      <c r="O341" s="18" t="n">
        <v>203.98</v>
      </c>
      <c r="P341" s="18" t="n">
        <v>236.01</v>
      </c>
      <c r="Q341" s="18" t="n">
        <v>144.19</v>
      </c>
      <c r="R341" s="21">
        <f>IF(OR(G341="",P341=""),"",G341/P341-1)</f>
        <v/>
      </c>
      <c r="S341" s="19" t="n">
        <v>0.7134</v>
      </c>
      <c r="T341" s="22" t="n">
        <v>0.0183</v>
      </c>
      <c r="U341" s="16" t="inlineStr">
        <is>
          <t>Yes</t>
        </is>
      </c>
      <c r="V341" s="16" t="inlineStr">
        <is>
          <t>Yes</t>
        </is>
      </c>
      <c r="W341" s="16" t="inlineStr">
        <is>
          <t>Yes</t>
        </is>
      </c>
      <c r="X341" s="16" t="inlineStr">
        <is>
          <t>Yes</t>
        </is>
      </c>
      <c r="Y341" s="20" t="n">
        <v>326</v>
      </c>
      <c r="Z341" s="19" t="n">
        <v>0.0738</v>
      </c>
      <c r="AA341" s="18" t="n">
        <v>46.78</v>
      </c>
      <c r="AB341" s="16" t="inlineStr">
        <is>
          <t>Average</t>
        </is>
      </c>
      <c r="AC341" s="16" t="inlineStr">
        <is>
          <t>Yes</t>
        </is>
      </c>
      <c r="AD341" s="19" t="n">
        <v>0.1217</v>
      </c>
      <c r="AE341" s="19" t="n"/>
      <c r="AF341" s="19" t="n">
        <v>0.1242</v>
      </c>
      <c r="AG341" s="19" t="n">
        <v>0.096</v>
      </c>
      <c r="AH341" s="23" t="n">
        <v>0.46</v>
      </c>
      <c r="AI341" s="23" t="n">
        <v>8.25</v>
      </c>
      <c r="AJ341" s="19" t="n">
        <v>0</v>
      </c>
    </row>
    <row r="342">
      <c r="A342" s="16" t="inlineStr">
        <is>
          <t>NBCC</t>
        </is>
      </c>
      <c r="B342" s="16" t="inlineStr">
        <is>
          <t>NBCC (India) Ltd.</t>
        </is>
      </c>
      <c r="C342" s="16" t="inlineStr">
        <is>
          <t>Construction &amp; Engineering</t>
        </is>
      </c>
      <c r="D342" s="16" t="inlineStr">
        <is>
          <t>Cement and Construction</t>
        </is>
      </c>
      <c r="E342" s="16" t="inlineStr">
        <is>
          <t>INE095N01031</t>
        </is>
      </c>
      <c r="F342" s="17" t="n">
        <v>23382</v>
      </c>
      <c r="G342" s="18" t="n">
        <v>86.59999999999999</v>
      </c>
      <c r="H342" s="19" t="n">
        <v>0.0012</v>
      </c>
      <c r="I342" s="20" t="n">
        <v>14</v>
      </c>
      <c r="J342" s="16" t="inlineStr">
        <is>
          <t>red</t>
        </is>
      </c>
      <c r="K342" s="20" t="n">
        <v>57</v>
      </c>
      <c r="L342" s="18" t="n">
        <v>37.88</v>
      </c>
      <c r="M342" s="18" t="n">
        <v>86.73999999999999</v>
      </c>
      <c r="N342" s="18" t="n">
        <v>93.56999999999999</v>
      </c>
      <c r="O342" s="18" t="n">
        <v>98.12</v>
      </c>
      <c r="P342" s="18" t="n">
        <v>121.67</v>
      </c>
      <c r="Q342" s="18" t="n">
        <v>76.98999999999999</v>
      </c>
      <c r="R342" s="21">
        <f>IF(OR(G342="",P342=""),"",G342/P342-1)</f>
        <v/>
      </c>
      <c r="S342" s="19" t="n">
        <v>0.4686999999999999</v>
      </c>
      <c r="T342" s="22" t="n">
        <v>-0.0239</v>
      </c>
      <c r="U342" s="16" t="inlineStr">
        <is>
          <t>No</t>
        </is>
      </c>
      <c r="V342" s="16" t="inlineStr">
        <is>
          <t>No</t>
        </is>
      </c>
      <c r="W342" s="16" t="inlineStr">
        <is>
          <t>No</t>
        </is>
      </c>
      <c r="X342" s="16" t="inlineStr">
        <is>
          <t>No</t>
        </is>
      </c>
      <c r="Y342" s="20" t="n">
        <v>20</v>
      </c>
      <c r="Z342" s="19" t="n">
        <v>-0.0464</v>
      </c>
      <c r="AA342" s="18" t="n">
        <v>81.20999999999999</v>
      </c>
      <c r="AB342" s="16" t="inlineStr">
        <is>
          <t>High</t>
        </is>
      </c>
      <c r="AC342" s="16" t="inlineStr">
        <is>
          <t>No</t>
        </is>
      </c>
      <c r="AD342" s="19" t="n">
        <v>0.2124</v>
      </c>
      <c r="AE342" s="19" t="n">
        <v>0.3264</v>
      </c>
      <c r="AF342" s="19" t="n">
        <v>0.3941</v>
      </c>
      <c r="AG342" s="19" t="n">
        <v>0.1379</v>
      </c>
      <c r="AH342" s="23" t="n">
        <v>0</v>
      </c>
      <c r="AI342" s="23" t="n">
        <v>20.35</v>
      </c>
      <c r="AJ342" s="19" t="n">
        <v>0.0597</v>
      </c>
    </row>
    <row r="343">
      <c r="A343" s="16" t="inlineStr">
        <is>
          <t>DEEPAKNTR</t>
        </is>
      </c>
      <c r="B343" s="16" t="inlineStr">
        <is>
          <t>Deepak Nitrite Ltd.</t>
        </is>
      </c>
      <c r="C343" s="16" t="inlineStr">
        <is>
          <t>Commodity Chemicals</t>
        </is>
      </c>
      <c r="D343" s="16" t="inlineStr">
        <is>
          <t>Chemicals &amp; Petrochemicals</t>
        </is>
      </c>
      <c r="E343" s="16" t="inlineStr">
        <is>
          <t>INE288B01029</t>
        </is>
      </c>
      <c r="F343" s="17" t="n">
        <v>23355.94</v>
      </c>
      <c r="G343" s="18" t="n">
        <v>1712.4</v>
      </c>
      <c r="H343" s="19" t="n">
        <v>-0.0075</v>
      </c>
      <c r="I343" s="20" t="n">
        <v>49</v>
      </c>
      <c r="J343" s="16" t="inlineStr">
        <is>
          <t>red</t>
        </is>
      </c>
      <c r="K343" s="20" t="n">
        <v>77</v>
      </c>
      <c r="L343" s="18" t="n">
        <v>36.26</v>
      </c>
      <c r="M343" s="18" t="n">
        <v>1749.55</v>
      </c>
      <c r="N343" s="18" t="n">
        <v>1692.03</v>
      </c>
      <c r="O343" s="18" t="n">
        <v>1626.46</v>
      </c>
      <c r="P343" s="18" t="n">
        <v>1867.37</v>
      </c>
      <c r="Q343" s="18" t="n">
        <v>1280.95</v>
      </c>
      <c r="R343" s="21">
        <f>IF(OR(G343="",P343=""),"",G343/P343-1)</f>
        <v/>
      </c>
      <c r="S343" s="19" t="n">
        <v>0.4109</v>
      </c>
      <c r="T343" s="22" t="n">
        <v>0.0012</v>
      </c>
      <c r="U343" s="16" t="inlineStr">
        <is>
          <t>Yes</t>
        </is>
      </c>
      <c r="V343" s="16" t="inlineStr">
        <is>
          <t>Yes</t>
        </is>
      </c>
      <c r="W343" s="16" t="inlineStr">
        <is>
          <t>No</t>
        </is>
      </c>
      <c r="X343" s="16" t="inlineStr">
        <is>
          <t>Yes</t>
        </is>
      </c>
      <c r="Y343" s="20" t="n">
        <v>62</v>
      </c>
      <c r="Z343" s="19" t="n">
        <v>0.0403</v>
      </c>
      <c r="AA343" s="18" t="n">
        <v>40</v>
      </c>
      <c r="AB343" s="16" t="inlineStr">
        <is>
          <t>Average</t>
        </is>
      </c>
      <c r="AC343" s="16" t="inlineStr">
        <is>
          <t>No</t>
        </is>
      </c>
      <c r="AD343" s="19" t="n">
        <v>0.1309</v>
      </c>
      <c r="AE343" s="19" t="n">
        <v>0.1579</v>
      </c>
      <c r="AF343" s="19" t="n">
        <v>-0.1329</v>
      </c>
      <c r="AG343" s="19" t="n">
        <v>-0.004</v>
      </c>
      <c r="AH343" s="23" t="n">
        <v>0.28</v>
      </c>
      <c r="AI343" s="23" t="n">
        <v>1.51</v>
      </c>
      <c r="AJ343" s="19" t="n">
        <v>0.3751</v>
      </c>
    </row>
    <row r="344">
      <c r="A344" s="16" t="inlineStr">
        <is>
          <t>KIOCL</t>
        </is>
      </c>
      <c r="B344" s="16" t="inlineStr">
        <is>
          <t>KIOCL Ltd.</t>
        </is>
      </c>
      <c r="C344" s="16" t="inlineStr">
        <is>
          <t>Iron &amp; Steel/Interm.Products</t>
        </is>
      </c>
      <c r="D344" s="16" t="inlineStr">
        <is>
          <t>Metals &amp; Mining</t>
        </is>
      </c>
      <c r="E344" s="16" t="inlineStr">
        <is>
          <t>INE880L01014</t>
        </is>
      </c>
      <c r="F344" s="17" t="n">
        <v>23222.17</v>
      </c>
      <c r="G344" s="18" t="n">
        <v>382.1</v>
      </c>
      <c r="H344" s="19" t="n">
        <v>0.004099999999999999</v>
      </c>
      <c r="I344" s="20" t="n">
        <v>40</v>
      </c>
      <c r="J344" s="16" t="inlineStr">
        <is>
          <t>red</t>
        </is>
      </c>
      <c r="K344" s="20" t="n">
        <v>49</v>
      </c>
      <c r="L344" s="18" t="n">
        <v>45.12</v>
      </c>
      <c r="M344" s="18" t="n">
        <v>383.33</v>
      </c>
      <c r="N344" s="18" t="n">
        <v>379.96</v>
      </c>
      <c r="O344" s="18" t="n">
        <v>370.27</v>
      </c>
      <c r="P344" s="18" t="n">
        <v>627.6</v>
      </c>
      <c r="Q344" s="18" t="n">
        <v>296.9</v>
      </c>
      <c r="R344" s="21">
        <f>IF(OR(G344="",P344=""),"",G344/P344-1)</f>
        <v/>
      </c>
      <c r="S344" s="19" t="n">
        <v>0.2361</v>
      </c>
      <c r="T344" s="22" t="n">
        <v>-0.006999999999999999</v>
      </c>
      <c r="U344" s="16" t="inlineStr">
        <is>
          <t>No</t>
        </is>
      </c>
      <c r="V344" s="16" t="inlineStr">
        <is>
          <t>Yes</t>
        </is>
      </c>
      <c r="W344" s="16" t="inlineStr">
        <is>
          <t>No</t>
        </is>
      </c>
      <c r="X344" s="16" t="inlineStr">
        <is>
          <t>Yes</t>
        </is>
      </c>
      <c r="Y344" s="20" t="n">
        <v>63</v>
      </c>
      <c r="Z344" s="19" t="n">
        <v>0.0262</v>
      </c>
      <c r="AA344" s="18" t="n">
        <v>25.07</v>
      </c>
      <c r="AB344" s="16" t="inlineStr">
        <is>
          <t>Poor</t>
        </is>
      </c>
      <c r="AC344" s="16" t="inlineStr">
        <is>
          <t>No</t>
        </is>
      </c>
      <c r="AD344" s="19" t="n">
        <v>-0.05110000000000001</v>
      </c>
      <c r="AE344" s="19" t="n">
        <v>-0.0365</v>
      </c>
      <c r="AF344" s="19" t="n">
        <v>-0.07690000000000001</v>
      </c>
      <c r="AG344" s="19" t="n">
        <v>-0.1483</v>
      </c>
      <c r="AH344" s="23" t="n">
        <v>0.11</v>
      </c>
      <c r="AI344" s="23" t="n">
        <v>1.11</v>
      </c>
      <c r="AJ344" s="19" t="n">
        <v>0.3017</v>
      </c>
    </row>
    <row r="345">
      <c r="A345" s="16" t="inlineStr">
        <is>
          <t>CREDITACC</t>
        </is>
      </c>
      <c r="B345" s="16" t="inlineStr">
        <is>
          <t>CreditAccess Grameen Ltd.</t>
        </is>
      </c>
      <c r="C345" s="16" t="inlineStr">
        <is>
          <t>Microfinance Institutions</t>
        </is>
      </c>
      <c r="D345" s="16" t="inlineStr">
        <is>
          <t>Banking and Finance</t>
        </is>
      </c>
      <c r="E345" s="16" t="inlineStr">
        <is>
          <t>INE741K01010</t>
        </is>
      </c>
      <c r="F345" s="17" t="n">
        <v>23155.17</v>
      </c>
      <c r="G345" s="18" t="n">
        <v>1443.1</v>
      </c>
      <c r="H345" s="19" t="n">
        <v>0.004</v>
      </c>
      <c r="I345" s="20" t="n">
        <v>57</v>
      </c>
      <c r="J345" s="16" t="inlineStr">
        <is>
          <t>red</t>
        </is>
      </c>
      <c r="K345" s="20" t="n">
        <v>10</v>
      </c>
      <c r="L345" s="18" t="n">
        <v>35.72</v>
      </c>
      <c r="M345" s="18" t="n">
        <v>1412.31</v>
      </c>
      <c r="N345" s="18" t="n">
        <v>1509.31</v>
      </c>
      <c r="O345" s="18" t="n">
        <v>1345.75</v>
      </c>
      <c r="P345" s="18" t="n">
        <v>1614</v>
      </c>
      <c r="Q345" s="18" t="n">
        <v>1134.9</v>
      </c>
      <c r="R345" s="21">
        <f>IF(OR(G345="",P345=""),"",G345/P345-1)</f>
        <v/>
      </c>
      <c r="S345" s="19" t="n">
        <v>0.5328000000000001</v>
      </c>
      <c r="T345" s="22" t="n">
        <v>0.0069</v>
      </c>
      <c r="U345" s="16" t="inlineStr">
        <is>
          <t>Yes</t>
        </is>
      </c>
      <c r="V345" s="16" t="inlineStr">
        <is>
          <t>No</t>
        </is>
      </c>
      <c r="W345" s="16" t="inlineStr">
        <is>
          <t>Yes</t>
        </is>
      </c>
      <c r="X345" s="16" t="inlineStr">
        <is>
          <t>Yes</t>
        </is>
      </c>
      <c r="Y345" s="20" t="n">
        <v>57</v>
      </c>
      <c r="Z345" s="19" t="n">
        <v>0.1215</v>
      </c>
      <c r="AA345" s="18" t="n">
        <v>49.71</v>
      </c>
      <c r="AB345" s="16" t="inlineStr">
        <is>
          <t>Average</t>
        </is>
      </c>
      <c r="AC345" s="16" t="inlineStr">
        <is>
          <t>Yes</t>
        </is>
      </c>
      <c r="AD345" s="19" t="n">
        <v>0.1319</v>
      </c>
      <c r="AE345" s="19" t="n">
        <v>0.0487</v>
      </c>
      <c r="AF345" s="19" t="n">
        <v>0.1899</v>
      </c>
      <c r="AG345" s="19" t="n">
        <v>0.2234</v>
      </c>
      <c r="AH345" s="23" t="n">
        <v>3.01</v>
      </c>
      <c r="AI345" s="23" t="n">
        <v>44.45</v>
      </c>
      <c r="AJ345" s="19" t="n">
        <v>0</v>
      </c>
    </row>
    <row r="346">
      <c r="A346" s="16" t="inlineStr">
        <is>
          <t>TDPOWERSYS</t>
        </is>
      </c>
      <c r="B346" s="16" t="inlineStr">
        <is>
          <t>TD Power Systems Ltd.</t>
        </is>
      </c>
      <c r="C346" s="16" t="inlineStr">
        <is>
          <t>Heavy Electrical Equipment</t>
        </is>
      </c>
      <c r="D346" s="16" t="inlineStr">
        <is>
          <t>General Industrials</t>
        </is>
      </c>
      <c r="E346" s="16" t="inlineStr">
        <is>
          <t>INE419M01035</t>
        </is>
      </c>
      <c r="F346" s="17" t="n">
        <v>23124.94</v>
      </c>
      <c r="G346" s="18" t="n">
        <v>740.1</v>
      </c>
      <c r="H346" s="19" t="n">
        <v>0.0243</v>
      </c>
      <c r="I346" s="20" t="n">
        <v>92</v>
      </c>
      <c r="J346" s="16" t="inlineStr">
        <is>
          <t>green</t>
        </is>
      </c>
      <c r="K346" s="20" t="n">
        <v>239</v>
      </c>
      <c r="L346" s="18" t="n">
        <v>43.36</v>
      </c>
      <c r="M346" s="18" t="n">
        <v>744.23</v>
      </c>
      <c r="N346" s="18" t="n">
        <v>639.42</v>
      </c>
      <c r="O346" s="18" t="n">
        <v>507.2</v>
      </c>
      <c r="P346" s="18" t="n">
        <v>793.3</v>
      </c>
      <c r="Q346" s="18" t="n">
        <v>266.51</v>
      </c>
      <c r="R346" s="21">
        <f>IF(OR(G346="",P346=""),"",G346/P346-1)</f>
        <v/>
      </c>
      <c r="S346" s="19" t="n">
        <v>0.3951</v>
      </c>
      <c r="T346" s="22" t="n">
        <v>0.07870000000000001</v>
      </c>
      <c r="U346" s="16" t="inlineStr">
        <is>
          <t>Yes</t>
        </is>
      </c>
      <c r="V346" s="16" t="inlineStr">
        <is>
          <t>Yes</t>
        </is>
      </c>
      <c r="W346" s="16" t="inlineStr">
        <is>
          <t>No</t>
        </is>
      </c>
      <c r="X346" s="16" t="inlineStr">
        <is>
          <t>Yes</t>
        </is>
      </c>
      <c r="Y346" s="20" t="n">
        <v>326</v>
      </c>
      <c r="Z346" s="19" t="n">
        <v>0.2607</v>
      </c>
      <c r="AA346" s="18" t="n"/>
      <c r="AB346" s="16" t="n"/>
      <c r="AC346" s="16" t="inlineStr">
        <is>
          <t>No</t>
        </is>
      </c>
      <c r="AD346" s="19" t="n"/>
      <c r="AE346" s="19" t="n"/>
      <c r="AF346" s="19" t="n"/>
      <c r="AG346" s="19" t="n"/>
      <c r="AH346" s="23" t="n"/>
      <c r="AI346" s="23" t="n"/>
      <c r="AJ346" s="19" t="n"/>
    </row>
    <row r="347">
      <c r="A347" s="16" t="inlineStr">
        <is>
          <t>FORCEMOT</t>
        </is>
      </c>
      <c r="B347" s="16" t="inlineStr">
        <is>
          <t>Force Motors Ltd.</t>
        </is>
      </c>
      <c r="C347" s="16" t="inlineStr">
        <is>
          <t>Cars &amp; Utility Vehicles</t>
        </is>
      </c>
      <c r="D347" s="16" t="inlineStr">
        <is>
          <t>Automobiles &amp; Auto Components</t>
        </is>
      </c>
      <c r="E347" s="16" t="inlineStr">
        <is>
          <t>INE451A01017</t>
        </is>
      </c>
      <c r="F347" s="17" t="n">
        <v>23058.52</v>
      </c>
      <c r="G347" s="18" t="n">
        <v>17500</v>
      </c>
      <c r="H347" s="19" t="n">
        <v>0</v>
      </c>
      <c r="I347" s="20" t="n">
        <v>27</v>
      </c>
      <c r="J347" s="16" t="inlineStr">
        <is>
          <t>red</t>
        </is>
      </c>
      <c r="K347" s="20" t="n">
        <v>69</v>
      </c>
      <c r="L347" s="18" t="n">
        <v>21.56</v>
      </c>
      <c r="M347" s="18" t="n">
        <v>17505.37</v>
      </c>
      <c r="N347" s="18" t="n">
        <v>18030.74</v>
      </c>
      <c r="O347" s="18" t="n">
        <v>19584.29</v>
      </c>
      <c r="P347" s="18" t="n">
        <v>25776</v>
      </c>
      <c r="Q347" s="18" t="n">
        <v>15303</v>
      </c>
      <c r="R347" s="21">
        <f>IF(OR(G347="",P347=""),"",G347/P347-1)</f>
        <v/>
      </c>
      <c r="S347" s="19" t="n">
        <v>0.5631</v>
      </c>
      <c r="T347" s="22" t="n">
        <v>0.0026</v>
      </c>
      <c r="U347" s="16" t="inlineStr">
        <is>
          <t>Yes</t>
        </is>
      </c>
      <c r="V347" s="16" t="inlineStr">
        <is>
          <t>No</t>
        </is>
      </c>
      <c r="W347" s="16" t="inlineStr">
        <is>
          <t>No</t>
        </is>
      </c>
      <c r="X347" s="16" t="inlineStr">
        <is>
          <t>No</t>
        </is>
      </c>
      <c r="Y347" s="20" t="n">
        <v>51</v>
      </c>
      <c r="Z347" s="19" t="n">
        <v>-0.0793</v>
      </c>
      <c r="AA347" s="18" t="n">
        <v>85.67</v>
      </c>
      <c r="AB347" s="16" t="inlineStr">
        <is>
          <t>High</t>
        </is>
      </c>
      <c r="AC347" s="16" t="inlineStr">
        <is>
          <t>No</t>
        </is>
      </c>
      <c r="AD347" s="19" t="n">
        <v>0.2417</v>
      </c>
      <c r="AE347" s="19" t="n">
        <v>0.3387</v>
      </c>
      <c r="AF347" s="19" t="n">
        <v>1.1601</v>
      </c>
      <c r="AG347" s="19" t="n">
        <v>0.2261</v>
      </c>
      <c r="AH347" s="23" t="n">
        <v>0</v>
      </c>
      <c r="AI347" s="23" t="n">
        <v>5.3</v>
      </c>
      <c r="AJ347" s="19" t="n">
        <v>0.1379</v>
      </c>
    </row>
    <row r="348">
      <c r="A348" s="16" t="inlineStr">
        <is>
          <t>BELRISE</t>
        </is>
      </c>
      <c r="B348" s="16" t="inlineStr">
        <is>
          <t>Belrise Industries Ltd.</t>
        </is>
      </c>
      <c r="C348" s="16" t="inlineStr">
        <is>
          <t>Auto Parts &amp; Equipment</t>
        </is>
      </c>
      <c r="D348" s="16" t="inlineStr">
        <is>
          <t>Automobiles &amp; Auto Components</t>
        </is>
      </c>
      <c r="E348" s="16" t="inlineStr">
        <is>
          <t>INE894V01022</t>
        </is>
      </c>
      <c r="F348" s="17" t="n">
        <v>22907.96</v>
      </c>
      <c r="G348" s="18" t="n">
        <v>236.86</v>
      </c>
      <c r="H348" s="19" t="n">
        <v>-0.0052</v>
      </c>
      <c r="I348" s="20" t="n">
        <v>73</v>
      </c>
      <c r="J348" s="16" t="inlineStr">
        <is>
          <t>amber</t>
        </is>
      </c>
      <c r="K348" s="20" t="n">
        <v>13</v>
      </c>
      <c r="L348" s="18" t="n">
        <v>51.42</v>
      </c>
      <c r="M348" s="18" t="n">
        <v>232.64</v>
      </c>
      <c r="N348" s="18" t="n">
        <v>235.83</v>
      </c>
      <c r="O348" s="18" t="n">
        <v>203.51</v>
      </c>
      <c r="P348" s="18" t="n">
        <v>261.35</v>
      </c>
      <c r="Q348" s="18" t="n">
        <v>136.62</v>
      </c>
      <c r="R348" s="21">
        <f>IF(OR(G348="",P348=""),"",G348/P348-1)</f>
        <v/>
      </c>
      <c r="S348" s="19" t="n">
        <v>0.4243</v>
      </c>
      <c r="T348" s="22" t="n">
        <v>0.0435</v>
      </c>
      <c r="U348" s="16" t="inlineStr">
        <is>
          <t>Yes</t>
        </is>
      </c>
      <c r="V348" s="16" t="inlineStr">
        <is>
          <t>Yes</t>
        </is>
      </c>
      <c r="W348" s="16" t="inlineStr">
        <is>
          <t>Yes</t>
        </is>
      </c>
      <c r="X348" s="16" t="inlineStr">
        <is>
          <t>Yes</t>
        </is>
      </c>
      <c r="Y348" s="20" t="n">
        <v>122</v>
      </c>
      <c r="Z348" s="19" t="n">
        <v>0.1588</v>
      </c>
      <c r="AA348" s="18" t="n">
        <v>40</v>
      </c>
      <c r="AB348" s="16" t="inlineStr">
        <is>
          <t>Average</t>
        </is>
      </c>
      <c r="AC348" s="16" t="inlineStr">
        <is>
          <t>No</t>
        </is>
      </c>
      <c r="AD348" s="19" t="n">
        <v>0.1203</v>
      </c>
      <c r="AE348" s="19" t="n">
        <v>0.134</v>
      </c>
      <c r="AF348" s="19" t="n">
        <v>-0.2889</v>
      </c>
      <c r="AG348" s="19" t="n">
        <v>0.1425</v>
      </c>
      <c r="AH348" s="23" t="n">
        <v>0.29</v>
      </c>
      <c r="AI348" s="23" t="n">
        <v>2.85</v>
      </c>
      <c r="AJ348" s="19" t="n">
        <v>0.0718</v>
      </c>
    </row>
    <row r="349">
      <c r="A349" s="16" t="inlineStr">
        <is>
          <t>JYOTICNC</t>
        </is>
      </c>
      <c r="B349" s="16" t="inlineStr">
        <is>
          <t>Jyoti CNC Automation Ltd.</t>
        </is>
      </c>
      <c r="C349" s="16" t="inlineStr">
        <is>
          <t>Industrial Machinery</t>
        </is>
      </c>
      <c r="D349" s="16" t="inlineStr">
        <is>
          <t>General Industrials</t>
        </is>
      </c>
      <c r="E349" s="16" t="inlineStr">
        <is>
          <t>INE980O01024</t>
        </is>
      </c>
      <c r="F349" s="17" t="n">
        <v>22831.01</v>
      </c>
      <c r="G349" s="18" t="n">
        <v>1003.9</v>
      </c>
      <c r="H349" s="19" t="n">
        <v>-0.0223</v>
      </c>
      <c r="I349" s="20" t="n">
        <v>76</v>
      </c>
      <c r="J349" s="16" t="inlineStr">
        <is>
          <t>amber</t>
        </is>
      </c>
      <c r="K349" s="20" t="n">
        <v>5</v>
      </c>
      <c r="L349" s="18" t="n">
        <v>69.29000000000001</v>
      </c>
      <c r="M349" s="18" t="n">
        <v>1006.54</v>
      </c>
      <c r="N349" s="18" t="n">
        <v>854.9299999999999</v>
      </c>
      <c r="O349" s="18" t="n">
        <v>822.48</v>
      </c>
      <c r="P349" s="18" t="n">
        <v>1041.75</v>
      </c>
      <c r="Q349" s="18" t="n">
        <v>585.5</v>
      </c>
      <c r="R349" s="21">
        <f>IF(OR(G349="",P349=""),"",G349/P349-1)</f>
        <v/>
      </c>
      <c r="S349" s="19" t="n">
        <v>0.7592</v>
      </c>
      <c r="T349" s="22" t="n">
        <v>0.0022</v>
      </c>
      <c r="U349" s="16" t="inlineStr">
        <is>
          <t>Yes</t>
        </is>
      </c>
      <c r="V349" s="16" t="inlineStr">
        <is>
          <t>Yes</t>
        </is>
      </c>
      <c r="W349" s="16" t="inlineStr">
        <is>
          <t>No</t>
        </is>
      </c>
      <c r="X349" s="16" t="inlineStr">
        <is>
          <t>Yes</t>
        </is>
      </c>
      <c r="Y349" s="20" t="n">
        <v>7</v>
      </c>
      <c r="Z349" s="19" t="n">
        <v>0.0394</v>
      </c>
      <c r="AA349" s="18" t="n">
        <v>66.12</v>
      </c>
      <c r="AB349" s="16" t="inlineStr">
        <is>
          <t>High</t>
        </is>
      </c>
      <c r="AC349" s="16" t="inlineStr">
        <is>
          <t>No</t>
        </is>
      </c>
      <c r="AD349" s="19" t="n">
        <v>0.1553</v>
      </c>
      <c r="AE349" s="19" t="n">
        <v>0.1858</v>
      </c>
      <c r="AF349" s="19" t="n">
        <v>11.5667</v>
      </c>
      <c r="AG349" s="19" t="n">
        <v>0.3183</v>
      </c>
      <c r="AH349" s="23" t="n">
        <v>0.43</v>
      </c>
      <c r="AI349" s="23" t="n">
        <v>2.67</v>
      </c>
      <c r="AJ349" s="19" t="n">
        <v>0.1141</v>
      </c>
    </row>
    <row r="350">
      <c r="A350" s="16" t="inlineStr">
        <is>
          <t>AFFLE</t>
        </is>
      </c>
      <c r="B350" s="16" t="inlineStr">
        <is>
          <t>Affle 3I Ltd.</t>
        </is>
      </c>
      <c r="C350" s="16" t="inlineStr">
        <is>
          <t>Internet Software &amp; Services</t>
        </is>
      </c>
      <c r="D350" s="16" t="inlineStr">
        <is>
          <t>Software &amp; Services</t>
        </is>
      </c>
      <c r="E350" s="16" t="inlineStr">
        <is>
          <t>INE00WC01027</t>
        </is>
      </c>
      <c r="F350" s="17" t="n">
        <v>22778.8</v>
      </c>
      <c r="G350" s="18" t="n">
        <v>1616.5</v>
      </c>
      <c r="H350" s="19" t="n">
        <v>0.064</v>
      </c>
      <c r="I350" s="20" t="n">
        <v>46</v>
      </c>
      <c r="J350" s="16" t="inlineStr">
        <is>
          <t>red</t>
        </is>
      </c>
      <c r="K350" s="20" t="n">
        <v>146</v>
      </c>
      <c r="L350" s="18" t="n">
        <v>39.43</v>
      </c>
      <c r="M350" s="18" t="n">
        <v>1596.74</v>
      </c>
      <c r="N350" s="18" t="n">
        <v>1579.01</v>
      </c>
      <c r="O350" s="18" t="n">
        <v>1547.44</v>
      </c>
      <c r="P350" s="18" t="n">
        <v>2146.7</v>
      </c>
      <c r="Q350" s="18" t="n">
        <v>1268.7</v>
      </c>
      <c r="R350" s="21">
        <f>IF(OR(G350="",P350=""),"",G350/P350-1)</f>
        <v/>
      </c>
      <c r="S350" s="19" t="n">
        <v>6.063</v>
      </c>
      <c r="T350" s="22" t="n">
        <v>-0.0106</v>
      </c>
      <c r="U350" s="16" t="inlineStr">
        <is>
          <t>No</t>
        </is>
      </c>
      <c r="V350" s="16" t="inlineStr">
        <is>
          <t>Yes</t>
        </is>
      </c>
      <c r="W350" s="16" t="inlineStr">
        <is>
          <t>Yes</t>
        </is>
      </c>
      <c r="X350" s="16" t="inlineStr">
        <is>
          <t>Yes</t>
        </is>
      </c>
      <c r="Y350" s="20" t="n">
        <v>10</v>
      </c>
      <c r="Z350" s="19" t="n">
        <v>0.0204</v>
      </c>
      <c r="AA350" s="18" t="n">
        <v>68.22</v>
      </c>
      <c r="AB350" s="16" t="inlineStr">
        <is>
          <t>High</t>
        </is>
      </c>
      <c r="AC350" s="16" t="inlineStr">
        <is>
          <t>No</t>
        </is>
      </c>
      <c r="AD350" s="19" t="n">
        <v>0.1244</v>
      </c>
      <c r="AE350" s="19" t="n">
        <v>0.1465</v>
      </c>
      <c r="AF350" s="19" t="n">
        <v>0.2077</v>
      </c>
      <c r="AG350" s="19" t="n">
        <v>0.2369</v>
      </c>
      <c r="AH350" s="23" t="n">
        <v>0</v>
      </c>
      <c r="AI350" s="23" t="n">
        <v>377.34</v>
      </c>
      <c r="AJ350" s="19" t="n">
        <v>0</v>
      </c>
    </row>
    <row r="351">
      <c r="A351" s="16" t="inlineStr">
        <is>
          <t>BRIGADE</t>
        </is>
      </c>
      <c r="B351" s="16" t="inlineStr">
        <is>
          <t>Brigade Enterprises Ltd.</t>
        </is>
      </c>
      <c r="C351" s="16" t="inlineStr">
        <is>
          <t>Realty</t>
        </is>
      </c>
      <c r="D351" s="16" t="inlineStr">
        <is>
          <t>Realty</t>
        </is>
      </c>
      <c r="E351" s="16" t="inlineStr">
        <is>
          <t>INE791I01019</t>
        </is>
      </c>
      <c r="F351" s="17" t="n">
        <v>22710.91</v>
      </c>
      <c r="G351" s="18" t="n">
        <v>696.1</v>
      </c>
      <c r="H351" s="19" t="n">
        <v>-0.0227</v>
      </c>
      <c r="I351" s="20" t="n">
        <v>72</v>
      </c>
      <c r="J351" s="16" t="inlineStr">
        <is>
          <t>amber</t>
        </is>
      </c>
      <c r="K351" s="20" t="n">
        <v>10</v>
      </c>
      <c r="L351" s="18" t="n">
        <v>73.37</v>
      </c>
      <c r="M351" s="18" t="n">
        <v>662.9299999999999</v>
      </c>
      <c r="N351" s="18" t="n">
        <v>580.29</v>
      </c>
      <c r="O351" s="18" t="n">
        <v>571.85</v>
      </c>
      <c r="P351" s="18" t="n">
        <v>778.36</v>
      </c>
      <c r="Q351" s="18" t="n">
        <v>474.38</v>
      </c>
      <c r="R351" s="21">
        <f>IF(OR(G351="",P351=""),"",G351/P351-1)</f>
        <v/>
      </c>
      <c r="S351" s="19" t="n">
        <v>2.6983</v>
      </c>
      <c r="T351" s="22" t="n">
        <v>-0.0183</v>
      </c>
      <c r="U351" s="16" t="inlineStr">
        <is>
          <t>No</t>
        </is>
      </c>
      <c r="V351" s="16" t="inlineStr">
        <is>
          <t>Yes</t>
        </is>
      </c>
      <c r="W351" s="16" t="inlineStr">
        <is>
          <t>Yes</t>
        </is>
      </c>
      <c r="X351" s="16" t="inlineStr">
        <is>
          <t>Yes</t>
        </is>
      </c>
      <c r="Y351" s="20" t="n">
        <v>3</v>
      </c>
      <c r="Z351" s="19" t="n">
        <v>0.0148</v>
      </c>
      <c r="AA351" s="18" t="n">
        <v>47.37</v>
      </c>
      <c r="AB351" s="16" t="inlineStr">
        <is>
          <t>Average</t>
        </is>
      </c>
      <c r="AC351" s="16" t="inlineStr">
        <is>
          <t>No</t>
        </is>
      </c>
      <c r="AD351" s="19" t="n">
        <v>0.1148</v>
      </c>
      <c r="AE351" s="19" t="n">
        <v>0.1074</v>
      </c>
      <c r="AF351" s="19" t="n">
        <v>0.3117</v>
      </c>
      <c r="AG351" s="19" t="n">
        <v>0.1971</v>
      </c>
      <c r="AH351" s="23" t="n">
        <v>1.01</v>
      </c>
      <c r="AI351" s="23" t="n">
        <v>4.09</v>
      </c>
      <c r="AJ351" s="19" t="n">
        <v>0.2372</v>
      </c>
    </row>
    <row r="352">
      <c r="A352" s="16" t="inlineStr">
        <is>
          <t>EMMVEE</t>
        </is>
      </c>
      <c r="B352" s="16" t="inlineStr">
        <is>
          <t>Emmvee Photovoltaic Power Ltd.</t>
        </is>
      </c>
      <c r="C352" s="16" t="inlineStr">
        <is>
          <t>Other Electrical Equipment/Products</t>
        </is>
      </c>
      <c r="D352" s="16" t="inlineStr">
        <is>
          <t>Consumer Durables</t>
        </is>
      </c>
      <c r="E352" s="16" t="inlineStr">
        <is>
          <t>INE1C6T01020</t>
        </is>
      </c>
      <c r="F352" s="17" t="n">
        <v>22515.06</v>
      </c>
      <c r="G352" s="18" t="n">
        <v>325.2</v>
      </c>
      <c r="H352" s="19" t="n">
        <v>-0.0037</v>
      </c>
      <c r="I352" s="20" t="n">
        <v>74</v>
      </c>
      <c r="J352" s="16" t="inlineStr">
        <is>
          <t>amber</t>
        </is>
      </c>
      <c r="K352" s="20" t="n">
        <v>14</v>
      </c>
      <c r="L352" s="18" t="n">
        <v>54.78</v>
      </c>
      <c r="M352" s="18" t="n">
        <v>325.21</v>
      </c>
      <c r="N352" s="18" t="n">
        <v>329.42</v>
      </c>
      <c r="O352" s="18" t="n">
        <v>260.5</v>
      </c>
      <c r="P352" s="18" t="n">
        <v>365.35</v>
      </c>
      <c r="Q352" s="18" t="n">
        <v>172.93</v>
      </c>
      <c r="R352" s="21">
        <f>IF(OR(G352="",P352=""),"",G352/P352-1)</f>
        <v/>
      </c>
      <c r="S352" s="19" t="n">
        <v>0.5154</v>
      </c>
      <c r="T352" s="22" t="n"/>
      <c r="U352" s="16" t="n"/>
      <c r="V352" s="16" t="inlineStr">
        <is>
          <t>No</t>
        </is>
      </c>
      <c r="W352" s="16" t="inlineStr">
        <is>
          <t>No</t>
        </is>
      </c>
      <c r="X352" s="16" t="inlineStr">
        <is>
          <t>Yes</t>
        </is>
      </c>
      <c r="Y352" s="20" t="n">
        <v>3</v>
      </c>
      <c r="Z352" s="19" t="n">
        <v>0.2646</v>
      </c>
      <c r="AA352" s="18" t="n">
        <v>76.93000000000001</v>
      </c>
      <c r="AB352" s="16" t="inlineStr">
        <is>
          <t>High</t>
        </is>
      </c>
      <c r="AC352" s="16" t="inlineStr">
        <is>
          <t>No</t>
        </is>
      </c>
      <c r="AD352" s="19" t="n">
        <v>0.3838</v>
      </c>
      <c r="AE352" s="19" t="n">
        <v>0.2143</v>
      </c>
      <c r="AF352" s="19" t="n">
        <v>5.3809</v>
      </c>
      <c r="AG352" s="19" t="n">
        <v>1.0667</v>
      </c>
      <c r="AH352" s="23" t="n">
        <v>0.1</v>
      </c>
      <c r="AI352" s="23" t="n">
        <v>1.91</v>
      </c>
      <c r="AJ352" s="19" t="n">
        <v>0.0037</v>
      </c>
    </row>
    <row r="353">
      <c r="A353" s="16" t="inlineStr">
        <is>
          <t>ANANTRAJ</t>
        </is>
      </c>
      <c r="B353" s="16" t="inlineStr">
        <is>
          <t>Anant Raj Ltd.</t>
        </is>
      </c>
      <c r="C353" s="16" t="inlineStr">
        <is>
          <t>Realty</t>
        </is>
      </c>
      <c r="D353" s="16" t="inlineStr">
        <is>
          <t>Realty</t>
        </is>
      </c>
      <c r="E353" s="16" t="inlineStr">
        <is>
          <t>INE242C01024</t>
        </is>
      </c>
      <c r="F353" s="17" t="n">
        <v>22508.5</v>
      </c>
      <c r="G353" s="18" t="n">
        <v>625.45</v>
      </c>
      <c r="H353" s="19" t="n">
        <v>-0.004500000000000001</v>
      </c>
      <c r="I353" s="20" t="n">
        <v>65</v>
      </c>
      <c r="J353" s="16" t="inlineStr">
        <is>
          <t>amber</t>
        </is>
      </c>
      <c r="K353" s="20" t="n">
        <v>2</v>
      </c>
      <c r="L353" s="18" t="n">
        <v>48.93</v>
      </c>
      <c r="M353" s="18" t="n">
        <v>606.51</v>
      </c>
      <c r="N353" s="18" t="n">
        <v>596.24</v>
      </c>
      <c r="O353" s="18" t="n">
        <v>540.65</v>
      </c>
      <c r="P353" s="18" t="n">
        <v>734.39</v>
      </c>
      <c r="Q353" s="18" t="n">
        <v>405.03</v>
      </c>
      <c r="R353" s="21">
        <f>IF(OR(G353="",P353=""),"",G353/P353-1)</f>
        <v/>
      </c>
      <c r="S353" s="19" t="n">
        <v>1.6077</v>
      </c>
      <c r="T353" s="22" t="n">
        <v>-0.0023</v>
      </c>
      <c r="U353" s="16" t="inlineStr">
        <is>
          <t>No</t>
        </is>
      </c>
      <c r="V353" s="16" t="inlineStr">
        <is>
          <t>Yes</t>
        </is>
      </c>
      <c r="W353" s="16" t="inlineStr">
        <is>
          <t>Yes</t>
        </is>
      </c>
      <c r="X353" s="16" t="inlineStr">
        <is>
          <t>Yes</t>
        </is>
      </c>
      <c r="Y353" s="20" t="n">
        <v>29</v>
      </c>
      <c r="Z353" s="19" t="n">
        <v>0.1028</v>
      </c>
      <c r="AA353" s="18" t="n">
        <v>60.23</v>
      </c>
      <c r="AB353" s="16" t="inlineStr">
        <is>
          <t>Good</t>
        </is>
      </c>
      <c r="AC353" s="16" t="inlineStr">
        <is>
          <t>No</t>
        </is>
      </c>
      <c r="AD353" s="19" t="n">
        <v>0.09039999999999999</v>
      </c>
      <c r="AE353" s="19" t="n">
        <v>0.09810000000000001</v>
      </c>
      <c r="AF353" s="19" t="n">
        <v>0.5151</v>
      </c>
      <c r="AG353" s="19" t="n">
        <v>0.386</v>
      </c>
      <c r="AH353" s="23" t="n">
        <v>0.12</v>
      </c>
      <c r="AI353" s="23" t="n">
        <v>5.21</v>
      </c>
      <c r="AJ353" s="19" t="n">
        <v>0.4198</v>
      </c>
    </row>
    <row r="354">
      <c r="A354" s="16" t="inlineStr">
        <is>
          <t>CEMPRO</t>
        </is>
      </c>
      <c r="B354" s="16" t="inlineStr">
        <is>
          <t>Cemindia Projects Ltd.</t>
        </is>
      </c>
      <c r="C354" s="16" t="inlineStr">
        <is>
          <t>Construction &amp; Engineering</t>
        </is>
      </c>
      <c r="D354" s="16" t="inlineStr">
        <is>
          <t>Cement and Construction</t>
        </is>
      </c>
      <c r="E354" s="16" t="inlineStr">
        <is>
          <t>INE686A01026</t>
        </is>
      </c>
      <c r="F354" s="17" t="n">
        <v>22287.72</v>
      </c>
      <c r="G354" s="18" t="n">
        <v>1297.4</v>
      </c>
      <c r="H354" s="19" t="n">
        <v>0.0004</v>
      </c>
      <c r="I354" s="20" t="n">
        <v>88</v>
      </c>
      <c r="J354" s="16" t="inlineStr">
        <is>
          <t>green</t>
        </is>
      </c>
      <c r="K354" s="20" t="n">
        <v>92</v>
      </c>
      <c r="L354" s="18" t="n">
        <v>45.87</v>
      </c>
      <c r="M354" s="18" t="n">
        <v>1263.27</v>
      </c>
      <c r="N354" s="18" t="n">
        <v>1378.27</v>
      </c>
      <c r="O354" s="18" t="n">
        <v>922.91</v>
      </c>
      <c r="P354" s="18" t="n">
        <v>1639.6</v>
      </c>
      <c r="Q354" s="18" t="n">
        <v>508.4</v>
      </c>
      <c r="R354" s="21">
        <f>IF(OR(G354="",P354=""),"",G354/P354-1)</f>
        <v/>
      </c>
      <c r="S354" s="19" t="n">
        <v>0.7573000000000001</v>
      </c>
      <c r="T354" s="22" t="n">
        <v>0.0508</v>
      </c>
      <c r="U354" s="16" t="inlineStr">
        <is>
          <t>Yes</t>
        </is>
      </c>
      <c r="V354" s="16" t="inlineStr">
        <is>
          <t>No</t>
        </is>
      </c>
      <c r="W354" s="16" t="inlineStr">
        <is>
          <t>Yes</t>
        </is>
      </c>
      <c r="X354" s="16" t="inlineStr">
        <is>
          <t>Yes</t>
        </is>
      </c>
      <c r="Y354" s="20" t="n">
        <v>70</v>
      </c>
      <c r="Z354" s="19" t="n">
        <v>0.4934000000000001</v>
      </c>
      <c r="AA354" s="18" t="n">
        <v>70.93000000000001</v>
      </c>
      <c r="AB354" s="16" t="inlineStr">
        <is>
          <t>High</t>
        </is>
      </c>
      <c r="AC354" s="16" t="inlineStr">
        <is>
          <t>No</t>
        </is>
      </c>
      <c r="AD354" s="19" t="n">
        <v>0.2119</v>
      </c>
      <c r="AE354" s="19" t="n">
        <v>0.2462</v>
      </c>
      <c r="AF354" s="19" t="n">
        <v>0.7229000000000001</v>
      </c>
      <c r="AG354" s="19" t="n">
        <v>0.2674</v>
      </c>
      <c r="AH354" s="23" t="n">
        <v>0.42</v>
      </c>
      <c r="AI354" s="23" t="n">
        <v>8.359999999999999</v>
      </c>
      <c r="AJ354" s="19" t="n">
        <v>0.0343</v>
      </c>
    </row>
    <row r="355">
      <c r="A355" s="16" t="inlineStr">
        <is>
          <t>TATAELXSI</t>
        </is>
      </c>
      <c r="B355" s="16" t="inlineStr">
        <is>
          <t>Tata Elxsi Ltd.</t>
        </is>
      </c>
      <c r="C355" s="16" t="inlineStr">
        <is>
          <t>IT Consulting &amp; Software</t>
        </is>
      </c>
      <c r="D355" s="16" t="inlineStr">
        <is>
          <t>Software &amp; Services</t>
        </is>
      </c>
      <c r="E355" s="16" t="inlineStr">
        <is>
          <t>INE670A01012</t>
        </is>
      </c>
      <c r="F355" s="17" t="n">
        <v>22168.37</v>
      </c>
      <c r="G355" s="18" t="n">
        <v>3558</v>
      </c>
      <c r="H355" s="19" t="n">
        <v>-0.0061</v>
      </c>
      <c r="I355" s="20" t="n">
        <v>6</v>
      </c>
      <c r="J355" s="16" t="inlineStr">
        <is>
          <t>red</t>
        </is>
      </c>
      <c r="K355" s="20" t="n">
        <v>152</v>
      </c>
      <c r="L355" s="18" t="n">
        <v>30.61</v>
      </c>
      <c r="M355" s="18" t="n">
        <v>3616.48</v>
      </c>
      <c r="N355" s="18" t="n">
        <v>3658.68</v>
      </c>
      <c r="O355" s="18" t="n">
        <v>4381.06</v>
      </c>
      <c r="P355" s="18" t="n">
        <v>5749.89</v>
      </c>
      <c r="Q355" s="18" t="n">
        <v>3387.6</v>
      </c>
      <c r="R355" s="21">
        <f>IF(OR(G355="",P355=""),"",G355/P355-1)</f>
        <v/>
      </c>
      <c r="S355" s="19" t="n">
        <v>0.8421999999999999</v>
      </c>
      <c r="T355" s="22" t="n">
        <v>-0.0354</v>
      </c>
      <c r="U355" s="16" t="inlineStr">
        <is>
          <t>No</t>
        </is>
      </c>
      <c r="V355" s="16" t="inlineStr">
        <is>
          <t>No</t>
        </is>
      </c>
      <c r="W355" s="16" t="inlineStr">
        <is>
          <t>No</t>
        </is>
      </c>
      <c r="X355" s="16" t="inlineStr">
        <is>
          <t>No</t>
        </is>
      </c>
      <c r="Y355" s="20" t="n">
        <v>261</v>
      </c>
      <c r="Z355" s="19" t="n">
        <v>-0.1649</v>
      </c>
      <c r="AA355" s="18" t="n">
        <v>40</v>
      </c>
      <c r="AB355" s="16" t="inlineStr">
        <is>
          <t>Average</t>
        </is>
      </c>
      <c r="AC355" s="16" t="inlineStr">
        <is>
          <t>No</t>
        </is>
      </c>
      <c r="AD355" s="19" t="n">
        <v>0.2658</v>
      </c>
      <c r="AE355" s="19" t="n">
        <v>0.3325</v>
      </c>
      <c r="AF355" s="19" t="n">
        <v>-0.0532</v>
      </c>
      <c r="AG355" s="19" t="n">
        <v>0.0623</v>
      </c>
      <c r="AH355" s="23" t="n">
        <v>0.05</v>
      </c>
      <c r="AI355" s="23" t="n">
        <v>14.78</v>
      </c>
      <c r="AJ355" s="19" t="n">
        <v>0</v>
      </c>
    </row>
    <row r="356">
      <c r="A356" s="16" t="inlineStr">
        <is>
          <t>IGL</t>
        </is>
      </c>
      <c r="B356" s="16" t="inlineStr">
        <is>
          <t>Indraprastha Gas Ltd.</t>
        </is>
      </c>
      <c r="C356" s="16" t="inlineStr">
        <is>
          <t>Utilities:Non-Electrical</t>
        </is>
      </c>
      <c r="D356" s="16" t="inlineStr">
        <is>
          <t>Utilities</t>
        </is>
      </c>
      <c r="E356" s="16" t="inlineStr">
        <is>
          <t>INE203G01027</t>
        </is>
      </c>
      <c r="F356" s="17" t="n">
        <v>22125.63</v>
      </c>
      <c r="G356" s="18" t="n">
        <v>158.04</v>
      </c>
      <c r="H356" s="19" t="n">
        <v>0.05769999999999999</v>
      </c>
      <c r="I356" s="20" t="n">
        <v>22</v>
      </c>
      <c r="J356" s="16" t="inlineStr">
        <is>
          <t>red</t>
        </is>
      </c>
      <c r="K356" s="20" t="n">
        <v>195</v>
      </c>
      <c r="L356" s="18" t="n">
        <v>62.44</v>
      </c>
      <c r="M356" s="18" t="n">
        <v>149.91</v>
      </c>
      <c r="N356" s="18" t="n">
        <v>152.36</v>
      </c>
      <c r="O356" s="18" t="n">
        <v>165.77</v>
      </c>
      <c r="P356" s="18" t="n">
        <v>215.97</v>
      </c>
      <c r="Q356" s="18" t="n">
        <v>145.62</v>
      </c>
      <c r="R356" s="21">
        <f>IF(OR(G356="",P356=""),"",G356/P356-1)</f>
        <v/>
      </c>
      <c r="S356" s="19" t="n">
        <v>3.9057</v>
      </c>
      <c r="T356" s="22" t="n">
        <v>-0.0332</v>
      </c>
      <c r="U356" s="16" t="inlineStr">
        <is>
          <t>No</t>
        </is>
      </c>
      <c r="V356" s="16" t="inlineStr">
        <is>
          <t>Yes</t>
        </is>
      </c>
      <c r="W356" s="16" t="inlineStr">
        <is>
          <t>Yes</t>
        </is>
      </c>
      <c r="X356" s="16" t="inlineStr">
        <is>
          <t>No</t>
        </is>
      </c>
      <c r="Y356" s="20" t="n">
        <v>178</v>
      </c>
      <c r="Z356" s="19" t="n">
        <v>-0.0809</v>
      </c>
      <c r="AA356" s="18" t="n">
        <v>40</v>
      </c>
      <c r="AB356" s="16" t="inlineStr">
        <is>
          <t>Average</t>
        </is>
      </c>
      <c r="AC356" s="16" t="inlineStr">
        <is>
          <t>No</t>
        </is>
      </c>
      <c r="AD356" s="19" t="n">
        <v>0.1675</v>
      </c>
      <c r="AE356" s="19" t="n">
        <v>0.2132</v>
      </c>
      <c r="AF356" s="19" t="n">
        <v>-0.3079</v>
      </c>
      <c r="AG356" s="19" t="n">
        <v>0.0478</v>
      </c>
      <c r="AH356" s="23" t="n">
        <v>0.01</v>
      </c>
      <c r="AI356" s="23" t="n">
        <v>1.69</v>
      </c>
      <c r="AJ356" s="19" t="n">
        <v>0.1587</v>
      </c>
    </row>
    <row r="357">
      <c r="A357" s="16" t="inlineStr">
        <is>
          <t>MTARTECH</t>
        </is>
      </c>
      <c r="B357" s="16" t="inlineStr">
        <is>
          <t>MTAR Technologies Ltd.</t>
        </is>
      </c>
      <c r="C357" s="16" t="inlineStr">
        <is>
          <t>Aerospace &amp; Defence</t>
        </is>
      </c>
      <c r="D357" s="16" t="inlineStr">
        <is>
          <t>General Industrials</t>
        </is>
      </c>
      <c r="E357" s="16" t="inlineStr">
        <is>
          <t>INE864I01014</t>
        </is>
      </c>
      <c r="F357" s="17" t="n">
        <v>22026.95</v>
      </c>
      <c r="G357" s="18" t="n">
        <v>7161</v>
      </c>
      <c r="H357" s="19" t="n">
        <v>0.05</v>
      </c>
      <c r="I357" s="20" t="n">
        <v>97</v>
      </c>
      <c r="J357" s="16" t="inlineStr">
        <is>
          <t>green</t>
        </is>
      </c>
      <c r="K357" s="20" t="n">
        <v>235</v>
      </c>
      <c r="L357" s="18" t="n">
        <v>52.97</v>
      </c>
      <c r="M357" s="18" t="n">
        <v>7000.44</v>
      </c>
      <c r="N357" s="18" t="n">
        <v>6685.52</v>
      </c>
      <c r="O357" s="18" t="n">
        <v>4971.62</v>
      </c>
      <c r="P357" s="18" t="n">
        <v>8374.5</v>
      </c>
      <c r="Q357" s="18" t="n">
        <v>1408</v>
      </c>
      <c r="R357" s="21">
        <f>IF(OR(G357="",P357=""),"",G357/P357-1)</f>
        <v/>
      </c>
      <c r="S357" s="19" t="n">
        <v>1.4065</v>
      </c>
      <c r="T357" s="22" t="n">
        <v>0.101</v>
      </c>
      <c r="U357" s="16" t="inlineStr">
        <is>
          <t>Yes</t>
        </is>
      </c>
      <c r="V357" s="16" t="inlineStr">
        <is>
          <t>Yes</t>
        </is>
      </c>
      <c r="W357" s="16" t="inlineStr">
        <is>
          <t>Yes</t>
        </is>
      </c>
      <c r="X357" s="16" t="inlineStr">
        <is>
          <t>Yes</t>
        </is>
      </c>
      <c r="Y357" s="20" t="n">
        <v>239</v>
      </c>
      <c r="Z357" s="19" t="n">
        <v>0.3447</v>
      </c>
      <c r="AA357" s="18" t="n">
        <v>39.99</v>
      </c>
      <c r="AB357" s="16" t="inlineStr">
        <is>
          <t>Weak</t>
        </is>
      </c>
      <c r="AC357" s="16" t="inlineStr">
        <is>
          <t>No</t>
        </is>
      </c>
      <c r="AD357" s="19" t="n">
        <v>0.09</v>
      </c>
      <c r="AE357" s="19" t="n">
        <v>0.113</v>
      </c>
      <c r="AF357" s="19" t="n">
        <v>0.08779999999999999</v>
      </c>
      <c r="AG357" s="19" t="n">
        <v>0.1599</v>
      </c>
      <c r="AH357" s="23" t="n">
        <v>0.46</v>
      </c>
      <c r="AI357" s="23" t="n">
        <v>1.58</v>
      </c>
      <c r="AJ357" s="19" t="n">
        <v>0.0629</v>
      </c>
    </row>
    <row r="358">
      <c r="A358" s="16" t="inlineStr">
        <is>
          <t>SAGILITY</t>
        </is>
      </c>
      <c r="B358" s="16" t="inlineStr">
        <is>
          <t>Sagility Ltd.</t>
        </is>
      </c>
      <c r="C358" s="16" t="inlineStr">
        <is>
          <t>Misc. Commercial Services</t>
        </is>
      </c>
      <c r="D358" s="16" t="inlineStr">
        <is>
          <t>Commercial Services &amp; Supplies</t>
        </is>
      </c>
      <c r="E358" s="16" t="inlineStr">
        <is>
          <t>INE0W2G01015</t>
        </is>
      </c>
      <c r="F358" s="17" t="n">
        <v>21917.98</v>
      </c>
      <c r="G358" s="18" t="n">
        <v>46.82</v>
      </c>
      <c r="H358" s="19" t="n">
        <v>0.0004</v>
      </c>
      <c r="I358" s="20" t="n">
        <v>56</v>
      </c>
      <c r="J358" s="16" t="inlineStr">
        <is>
          <t>red</t>
        </is>
      </c>
      <c r="K358" s="20" t="n">
        <v>107</v>
      </c>
      <c r="L358" s="18" t="n">
        <v>82.69</v>
      </c>
      <c r="M358" s="18" t="n">
        <v>46.05</v>
      </c>
      <c r="N358" s="18" t="n">
        <v>42.82</v>
      </c>
      <c r="O358" s="18" t="n">
        <v>44.32</v>
      </c>
      <c r="P358" s="18" t="n">
        <v>54.4</v>
      </c>
      <c r="Q358" s="18" t="n">
        <v>36.27</v>
      </c>
      <c r="R358" s="21">
        <f>IF(OR(G358="",P358=""),"",G358/P358-1)</f>
        <v/>
      </c>
      <c r="S358" s="19" t="n">
        <v>0.3789</v>
      </c>
      <c r="T358" s="22" t="n">
        <v>-0.0141</v>
      </c>
      <c r="U358" s="16" t="inlineStr">
        <is>
          <t>No</t>
        </is>
      </c>
      <c r="V358" s="16" t="inlineStr">
        <is>
          <t>Yes</t>
        </is>
      </c>
      <c r="W358" s="16" t="inlineStr">
        <is>
          <t>Yes</t>
        </is>
      </c>
      <c r="X358" s="16" t="inlineStr">
        <is>
          <t>No</t>
        </is>
      </c>
      <c r="Y358" s="20" t="n">
        <v>117</v>
      </c>
      <c r="Z358" s="19" t="n">
        <v>-0.0339</v>
      </c>
      <c r="AA358" s="18" t="n">
        <v>55.29</v>
      </c>
      <c r="AB358" s="16" t="inlineStr">
        <is>
          <t>Good</t>
        </is>
      </c>
      <c r="AC358" s="16" t="inlineStr">
        <is>
          <t>No</t>
        </is>
      </c>
      <c r="AD358" s="19" t="n">
        <v>0.0653</v>
      </c>
      <c r="AE358" s="19" t="n">
        <v>0.0876</v>
      </c>
      <c r="AF358" s="19" t="n">
        <v>0.8869</v>
      </c>
      <c r="AG358" s="19" t="n">
        <v>0.1967</v>
      </c>
      <c r="AH358" s="23" t="n">
        <v>0.11</v>
      </c>
      <c r="AI358" s="23" t="n">
        <v>7.57</v>
      </c>
      <c r="AJ358" s="19" t="n">
        <v>0.042</v>
      </c>
    </row>
    <row r="359">
      <c r="A359" s="16" t="inlineStr">
        <is>
          <t>GRINDWELL</t>
        </is>
      </c>
      <c r="B359" s="16" t="inlineStr">
        <is>
          <t>Grindwell Norton Ltd.</t>
        </is>
      </c>
      <c r="C359" s="16" t="inlineStr">
        <is>
          <t>Abrasives &amp; Bearings</t>
        </is>
      </c>
      <c r="D359" s="16" t="inlineStr">
        <is>
          <t>General Industrials</t>
        </is>
      </c>
      <c r="E359" s="16" t="inlineStr">
        <is>
          <t>INE536A01023</t>
        </is>
      </c>
      <c r="F359" s="17" t="n">
        <v>21728.8</v>
      </c>
      <c r="G359" s="18" t="n">
        <v>1962.5</v>
      </c>
      <c r="H359" s="19" t="n">
        <v>-0.006</v>
      </c>
      <c r="I359" s="20" t="n">
        <v>62</v>
      </c>
      <c r="J359" s="16" t="inlineStr">
        <is>
          <t>amber</t>
        </is>
      </c>
      <c r="K359" s="20" t="n">
        <v>22</v>
      </c>
      <c r="L359" s="18" t="n">
        <v>24.66</v>
      </c>
      <c r="M359" s="18" t="n">
        <v>2006.04</v>
      </c>
      <c r="N359" s="18" t="n">
        <v>2073.18</v>
      </c>
      <c r="O359" s="18" t="n">
        <v>1748.25</v>
      </c>
      <c r="P359" s="18" t="n">
        <v>2382.3</v>
      </c>
      <c r="Q359" s="18" t="n">
        <v>1340.38</v>
      </c>
      <c r="R359" s="21">
        <f>IF(OR(G359="",P359=""),"",G359/P359-1)</f>
        <v/>
      </c>
      <c r="S359" s="19" t="n">
        <v>0.301</v>
      </c>
      <c r="T359" s="22" t="n">
        <v>0.0267</v>
      </c>
      <c r="U359" s="16" t="inlineStr">
        <is>
          <t>Yes</t>
        </is>
      </c>
      <c r="V359" s="16" t="inlineStr">
        <is>
          <t>No</t>
        </is>
      </c>
      <c r="W359" s="16" t="inlineStr">
        <is>
          <t>No</t>
        </is>
      </c>
      <c r="X359" s="16" t="inlineStr">
        <is>
          <t>Yes</t>
        </is>
      </c>
      <c r="Y359" s="20" t="n">
        <v>75</v>
      </c>
      <c r="Z359" s="19" t="n">
        <v>0.1859</v>
      </c>
      <c r="AA359" s="18" t="n">
        <v>62.15</v>
      </c>
      <c r="AB359" s="16" t="inlineStr">
        <is>
          <t>Good</t>
        </is>
      </c>
      <c r="AC359" s="16" t="inlineStr">
        <is>
          <t>No</t>
        </is>
      </c>
      <c r="AD359" s="19" t="n">
        <v>0.1714</v>
      </c>
      <c r="AE359" s="19" t="n">
        <v>0.2243</v>
      </c>
      <c r="AF359" s="19" t="n">
        <v>0.04940000000000001</v>
      </c>
      <c r="AG359" s="19" t="n">
        <v>0.0663</v>
      </c>
      <c r="AH359" s="23" t="n">
        <v>0.02</v>
      </c>
      <c r="AI359" s="23" t="n">
        <v>3.6</v>
      </c>
      <c r="AJ359" s="19" t="n">
        <v>0.0654</v>
      </c>
    </row>
    <row r="360">
      <c r="A360" s="16" t="inlineStr">
        <is>
          <t>CHENNPETRO</t>
        </is>
      </c>
      <c r="B360" s="16" t="inlineStr">
        <is>
          <t>Chennai Petroleum Corporation Ltd.</t>
        </is>
      </c>
      <c r="C360" s="16" t="inlineStr">
        <is>
          <t>Refineries/Petro-Products</t>
        </is>
      </c>
      <c r="D360" s="16" t="inlineStr">
        <is>
          <t>Oil &amp; Gas</t>
        </is>
      </c>
      <c r="E360" s="16" t="inlineStr">
        <is>
          <t>INE178A01016</t>
        </is>
      </c>
      <c r="F360" s="17" t="n">
        <v>21624.91</v>
      </c>
      <c r="G360" s="18" t="n">
        <v>1452.2</v>
      </c>
      <c r="H360" s="19" t="n">
        <v>0.008500000000000001</v>
      </c>
      <c r="I360" s="20" t="n">
        <v>88</v>
      </c>
      <c r="J360" s="16" t="inlineStr">
        <is>
          <t>green</t>
        </is>
      </c>
      <c r="K360" s="20" t="n">
        <v>43</v>
      </c>
      <c r="L360" s="18" t="n">
        <v>61.21</v>
      </c>
      <c r="M360" s="18" t="n">
        <v>1391.14</v>
      </c>
      <c r="N360" s="18" t="n">
        <v>1244.95</v>
      </c>
      <c r="O360" s="18" t="n">
        <v>1007.85</v>
      </c>
      <c r="P360" s="18" t="n">
        <v>1452.2</v>
      </c>
      <c r="Q360" s="18" t="n">
        <v>658.6799999999999</v>
      </c>
      <c r="R360" s="21">
        <f>IF(OR(G360="",P360=""),"",G360/P360-1)</f>
        <v/>
      </c>
      <c r="S360" s="19" t="n">
        <v>0.4129</v>
      </c>
      <c r="T360" s="22" t="n">
        <v>0.0506</v>
      </c>
      <c r="U360" s="16" t="inlineStr">
        <is>
          <t>Yes</t>
        </is>
      </c>
      <c r="V360" s="16" t="inlineStr">
        <is>
          <t>Yes</t>
        </is>
      </c>
      <c r="W360" s="16" t="inlineStr">
        <is>
          <t>Yes</t>
        </is>
      </c>
      <c r="X360" s="16" t="inlineStr">
        <is>
          <t>Yes</t>
        </is>
      </c>
      <c r="Y360" s="20" t="n">
        <v>298</v>
      </c>
      <c r="Z360" s="19" t="n">
        <v>0.2353</v>
      </c>
      <c r="AA360" s="18" t="n">
        <v>65.93000000000001</v>
      </c>
      <c r="AB360" s="16" t="inlineStr">
        <is>
          <t>High</t>
        </is>
      </c>
      <c r="AC360" s="16" t="inlineStr">
        <is>
          <t>No</t>
        </is>
      </c>
      <c r="AD360" s="19" t="n">
        <v>0.2055</v>
      </c>
      <c r="AE360" s="19" t="n">
        <v>0.2362</v>
      </c>
      <c r="AF360" s="19" t="n">
        <v>4.115</v>
      </c>
      <c r="AG360" s="19" t="n">
        <v>-0.0562</v>
      </c>
      <c r="AH360" s="23" t="n">
        <v>0.18</v>
      </c>
      <c r="AI360" s="23" t="n">
        <v>8.49</v>
      </c>
      <c r="AJ360" s="19" t="n">
        <v>0.047</v>
      </c>
    </row>
    <row r="361">
      <c r="A361" s="16" t="inlineStr">
        <is>
          <t>AETHER</t>
        </is>
      </c>
      <c r="B361" s="16" t="inlineStr">
        <is>
          <t>Aether Industries Ltd.</t>
        </is>
      </c>
      <c r="C361" s="16" t="inlineStr">
        <is>
          <t>Specialty Chemicals</t>
        </is>
      </c>
      <c r="D361" s="16" t="inlineStr">
        <is>
          <t>Chemicals &amp; Petrochemicals</t>
        </is>
      </c>
      <c r="E361" s="16" t="inlineStr">
        <is>
          <t>INE0BWX01014</t>
        </is>
      </c>
      <c r="F361" s="17" t="n">
        <v>21576.23</v>
      </c>
      <c r="G361" s="18" t="n">
        <v>1625.6</v>
      </c>
      <c r="H361" s="19" t="n">
        <v>-0.0176</v>
      </c>
      <c r="I361" s="20" t="n">
        <v>91</v>
      </c>
      <c r="J361" s="16" t="inlineStr">
        <is>
          <t>green</t>
        </is>
      </c>
      <c r="K361" s="20" t="n">
        <v>55</v>
      </c>
      <c r="L361" s="18" t="n">
        <v>53.64</v>
      </c>
      <c r="M361" s="18" t="n">
        <v>1666.35</v>
      </c>
      <c r="N361" s="18" t="n">
        <v>1531.27</v>
      </c>
      <c r="O361" s="18" t="n">
        <v>1162.17</v>
      </c>
      <c r="P361" s="18" t="n">
        <v>1696.8</v>
      </c>
      <c r="Q361" s="18" t="n">
        <v>730.8</v>
      </c>
      <c r="R361" s="21">
        <f>IF(OR(G361="",P361=""),"",G361/P361-1)</f>
        <v/>
      </c>
      <c r="S361" s="19" t="n">
        <v>0.6034</v>
      </c>
      <c r="T361" s="22" t="n">
        <v>0.0805</v>
      </c>
      <c r="U361" s="16" t="inlineStr">
        <is>
          <t>Yes</t>
        </is>
      </c>
      <c r="V361" s="16" t="inlineStr">
        <is>
          <t>Yes</t>
        </is>
      </c>
      <c r="W361" s="16" t="inlineStr">
        <is>
          <t>No</t>
        </is>
      </c>
      <c r="X361" s="16" t="inlineStr">
        <is>
          <t>Yes</t>
        </is>
      </c>
      <c r="Y361" s="20" t="n">
        <v>190</v>
      </c>
      <c r="Z361" s="19" t="n">
        <v>0.3176</v>
      </c>
      <c r="AA361" s="18" t="n">
        <v>46.42</v>
      </c>
      <c r="AB361" s="16" t="inlineStr">
        <is>
          <t>Average</t>
        </is>
      </c>
      <c r="AC361" s="16" t="inlineStr">
        <is>
          <t>No</t>
        </is>
      </c>
      <c r="AD361" s="19" t="n">
        <v>0.0669</v>
      </c>
      <c r="AE361" s="19" t="n">
        <v>0.08380000000000001</v>
      </c>
      <c r="AF361" s="19" t="n">
        <v>0.2931</v>
      </c>
      <c r="AG361" s="19" t="n">
        <v>0.2347</v>
      </c>
      <c r="AH361" s="23" t="n">
        <v>0.19</v>
      </c>
      <c r="AI361" s="23" t="n">
        <v>0.58</v>
      </c>
      <c r="AJ361" s="19" t="n">
        <v>0.2529</v>
      </c>
    </row>
    <row r="362">
      <c r="A362" s="16" t="inlineStr">
        <is>
          <t>CARBORUNIV</t>
        </is>
      </c>
      <c r="B362" s="16" t="inlineStr">
        <is>
          <t>Carborundum Universal Ltd.</t>
        </is>
      </c>
      <c r="C362" s="16" t="inlineStr">
        <is>
          <t>Abrasives &amp; Bearings</t>
        </is>
      </c>
      <c r="D362" s="16" t="inlineStr">
        <is>
          <t>General Industrials</t>
        </is>
      </c>
      <c r="E362" s="16" t="inlineStr">
        <is>
          <t>INE120A01034</t>
        </is>
      </c>
      <c r="F362" s="17" t="n">
        <v>21538.54</v>
      </c>
      <c r="G362" s="18" t="n">
        <v>1130.6</v>
      </c>
      <c r="H362" s="19" t="n">
        <v>0.0488</v>
      </c>
      <c r="I362" s="20" t="n">
        <v>68</v>
      </c>
      <c r="J362" s="16" t="inlineStr">
        <is>
          <t>amber</t>
        </is>
      </c>
      <c r="K362" s="20" t="n">
        <v>48</v>
      </c>
      <c r="L362" s="18" t="n">
        <v>51.28</v>
      </c>
      <c r="M362" s="18" t="n">
        <v>1101.61</v>
      </c>
      <c r="N362" s="18" t="n">
        <v>1103.78</v>
      </c>
      <c r="O362" s="18" t="n">
        <v>948.63</v>
      </c>
      <c r="P362" s="18" t="n">
        <v>1238.75</v>
      </c>
      <c r="Q362" s="18" t="n">
        <v>746.5700000000001</v>
      </c>
      <c r="R362" s="21">
        <f>IF(OR(G362="",P362=""),"",G362/P362-1)</f>
        <v/>
      </c>
      <c r="S362" s="19" t="n">
        <v>1.5739</v>
      </c>
      <c r="T362" s="22" t="n">
        <v>0.0246</v>
      </c>
      <c r="U362" s="16" t="inlineStr">
        <is>
          <t>Yes</t>
        </is>
      </c>
      <c r="V362" s="16" t="inlineStr">
        <is>
          <t>Yes</t>
        </is>
      </c>
      <c r="W362" s="16" t="inlineStr">
        <is>
          <t>Yes</t>
        </is>
      </c>
      <c r="X362" s="16" t="inlineStr">
        <is>
          <t>Yes</t>
        </is>
      </c>
      <c r="Y362" s="20" t="n">
        <v>80</v>
      </c>
      <c r="Z362" s="19" t="n">
        <v>0.1635</v>
      </c>
      <c r="AA362" s="18" t="n">
        <v>40</v>
      </c>
      <c r="AB362" s="16" t="inlineStr">
        <is>
          <t>Average</t>
        </is>
      </c>
      <c r="AC362" s="16" t="inlineStr">
        <is>
          <t>No</t>
        </is>
      </c>
      <c r="AD362" s="19" t="n">
        <v>0.0935</v>
      </c>
      <c r="AE362" s="19" t="n">
        <v>0.1358</v>
      </c>
      <c r="AF362" s="19" t="n">
        <v>-0.1938</v>
      </c>
      <c r="AG362" s="19" t="n">
        <v>0.0385</v>
      </c>
      <c r="AH362" s="23" t="n">
        <v>0.08</v>
      </c>
      <c r="AI362" s="23" t="n">
        <v>3.33</v>
      </c>
      <c r="AJ362" s="19" t="n">
        <v>0.1006</v>
      </c>
    </row>
    <row r="363">
      <c r="A363" s="16" t="inlineStr">
        <is>
          <t>CAPLIPOINT</t>
        </is>
      </c>
      <c r="B363" s="16" t="inlineStr">
        <is>
          <t>Caplin Point Laboratories Ltd.</t>
        </is>
      </c>
      <c r="C363" s="16" t="inlineStr">
        <is>
          <t>Pharmaceuticals</t>
        </is>
      </c>
      <c r="D363" s="16" t="inlineStr">
        <is>
          <t>Pharmaceuticals &amp; Biotechnology</t>
        </is>
      </c>
      <c r="E363" s="16" t="inlineStr">
        <is>
          <t>INE475E01026</t>
        </is>
      </c>
      <c r="F363" s="17" t="n">
        <v>21365.37</v>
      </c>
      <c r="G363" s="18" t="n">
        <v>2810.8</v>
      </c>
      <c r="H363" s="19" t="n">
        <v>-0.012</v>
      </c>
      <c r="I363" s="20" t="n">
        <v>81</v>
      </c>
      <c r="J363" s="16" t="inlineStr">
        <is>
          <t>green</t>
        </is>
      </c>
      <c r="K363" s="20" t="n">
        <v>4</v>
      </c>
      <c r="L363" s="18" t="n">
        <v>71.72</v>
      </c>
      <c r="M363" s="18" t="n">
        <v>2647.39</v>
      </c>
      <c r="N363" s="18" t="n">
        <v>2578.61</v>
      </c>
      <c r="O363" s="18" t="n">
        <v>2043.85</v>
      </c>
      <c r="P363" s="18" t="n">
        <v>2845</v>
      </c>
      <c r="Q363" s="18" t="n">
        <v>1501.83</v>
      </c>
      <c r="R363" s="21">
        <f>IF(OR(G363="",P363=""),"",G363/P363-1)</f>
        <v/>
      </c>
      <c r="S363" s="19" t="n">
        <v>1.0381</v>
      </c>
      <c r="T363" s="22" t="n">
        <v>0.0302</v>
      </c>
      <c r="U363" s="16" t="inlineStr">
        <is>
          <t>Yes</t>
        </is>
      </c>
      <c r="V363" s="16" t="inlineStr">
        <is>
          <t>Yes</t>
        </is>
      </c>
      <c r="W363" s="16" t="inlineStr">
        <is>
          <t>Yes</t>
        </is>
      </c>
      <c r="X363" s="16" t="inlineStr">
        <is>
          <t>Yes</t>
        </is>
      </c>
      <c r="Y363" s="20" t="n">
        <v>59</v>
      </c>
      <c r="Z363" s="19" t="n">
        <v>0.2616</v>
      </c>
      <c r="AA363" s="18" t="n">
        <v>73.09999999999999</v>
      </c>
      <c r="AB363" s="16" t="inlineStr">
        <is>
          <t>High</t>
        </is>
      </c>
      <c r="AC363" s="16" t="inlineStr">
        <is>
          <t>No</t>
        </is>
      </c>
      <c r="AD363" s="19" t="n">
        <v>0.1881</v>
      </c>
      <c r="AE363" s="19" t="n">
        <v>0.235</v>
      </c>
      <c r="AF363" s="19" t="n">
        <v>0.196</v>
      </c>
      <c r="AG363" s="19" t="n">
        <v>0.1459</v>
      </c>
      <c r="AH363" s="23" t="n">
        <v>0</v>
      </c>
      <c r="AI363" s="23" t="n">
        <v>2.88</v>
      </c>
      <c r="AJ363" s="19" t="n">
        <v>0.2746</v>
      </c>
    </row>
    <row r="364">
      <c r="A364" s="16" t="inlineStr">
        <is>
          <t>AADHARHFC</t>
        </is>
      </c>
      <c r="B364" s="16" t="inlineStr">
        <is>
          <t>Aadhar Housing Finance Ltd.</t>
        </is>
      </c>
      <c r="C364" s="16" t="inlineStr">
        <is>
          <t>Housing Finance</t>
        </is>
      </c>
      <c r="D364" s="16" t="inlineStr">
        <is>
          <t>Banking and Finance</t>
        </is>
      </c>
      <c r="E364" s="16" t="inlineStr">
        <is>
          <t>INE883F01010</t>
        </is>
      </c>
      <c r="F364" s="17" t="n">
        <v>21189.48</v>
      </c>
      <c r="G364" s="18" t="n">
        <v>483.55</v>
      </c>
      <c r="H364" s="19" t="n">
        <v>0.0102</v>
      </c>
      <c r="I364" s="20" t="n">
        <v>41</v>
      </c>
      <c r="J364" s="16" t="inlineStr">
        <is>
          <t>red</t>
        </is>
      </c>
      <c r="K364" s="20" t="n">
        <v>39</v>
      </c>
      <c r="L364" s="18" t="n">
        <v>47.22</v>
      </c>
      <c r="M364" s="18" t="n">
        <v>473.67</v>
      </c>
      <c r="N364" s="18" t="n">
        <v>501.95</v>
      </c>
      <c r="O364" s="18" t="n">
        <v>484.38</v>
      </c>
      <c r="P364" s="18" t="n">
        <v>556.5</v>
      </c>
      <c r="Q364" s="18" t="n">
        <v>439.1</v>
      </c>
      <c r="R364" s="21">
        <f>IF(OR(G364="",P364=""),"",G364/P364-1)</f>
        <v/>
      </c>
      <c r="S364" s="19" t="n">
        <v>0.5937</v>
      </c>
      <c r="T364" s="22" t="n">
        <v>-0.004699999999999999</v>
      </c>
      <c r="U364" s="16" t="inlineStr">
        <is>
          <t>No</t>
        </is>
      </c>
      <c r="V364" s="16" t="inlineStr">
        <is>
          <t>No</t>
        </is>
      </c>
      <c r="W364" s="16" t="inlineStr">
        <is>
          <t>Yes</t>
        </is>
      </c>
      <c r="X364" s="16" t="inlineStr">
        <is>
          <t>Yes</t>
        </is>
      </c>
      <c r="Y364" s="20" t="n">
        <v>47</v>
      </c>
      <c r="Z364" s="19" t="n">
        <v>0.0363</v>
      </c>
      <c r="AA364" s="18" t="n">
        <v>59.22</v>
      </c>
      <c r="AB364" s="16" t="inlineStr">
        <is>
          <t>Good</t>
        </is>
      </c>
      <c r="AC364" s="16" t="inlineStr">
        <is>
          <t>Yes</t>
        </is>
      </c>
      <c r="AD364" s="19" t="n">
        <v>0.1523</v>
      </c>
      <c r="AE364" s="19" t="n">
        <v>0.1041</v>
      </c>
      <c r="AF364" s="19" t="n">
        <v>0.2502</v>
      </c>
      <c r="AG364" s="19" t="n">
        <v>0.2169</v>
      </c>
      <c r="AH364" s="23" t="n">
        <v>2.49</v>
      </c>
      <c r="AI364" s="23" t="n">
        <v>25.06</v>
      </c>
      <c r="AJ364" s="19" t="n">
        <v>0</v>
      </c>
    </row>
    <row r="365">
      <c r="A365" s="16" t="inlineStr">
        <is>
          <t>HAPPYFORGE</t>
        </is>
      </c>
      <c r="B365" s="16" t="inlineStr">
        <is>
          <t>Happy Forgings Ltd.</t>
        </is>
      </c>
      <c r="C365" s="16" t="inlineStr">
        <is>
          <t>Castings &amp; Forgings</t>
        </is>
      </c>
      <c r="D365" s="16" t="inlineStr">
        <is>
          <t>General Industrials</t>
        </is>
      </c>
      <c r="E365" s="16" t="inlineStr">
        <is>
          <t>INE330T01021</t>
        </is>
      </c>
      <c r="F365" s="17" t="n">
        <v>21126.67</v>
      </c>
      <c r="G365" s="18" t="n">
        <v>2238.5</v>
      </c>
      <c r="H365" s="19" t="n">
        <v>-0.0244</v>
      </c>
      <c r="I365" s="20" t="n">
        <v>94</v>
      </c>
      <c r="J365" s="16" t="inlineStr">
        <is>
          <t>green</t>
        </is>
      </c>
      <c r="K365" s="20" t="n">
        <v>58</v>
      </c>
      <c r="L365" s="18" t="n">
        <v>52.66</v>
      </c>
      <c r="M365" s="18" t="n">
        <v>2310.19</v>
      </c>
      <c r="N365" s="18" t="n">
        <v>1852.2</v>
      </c>
      <c r="O365" s="18" t="n">
        <v>1388.87</v>
      </c>
      <c r="P365" s="18" t="n">
        <v>2420.4</v>
      </c>
      <c r="Q365" s="18" t="n">
        <v>875.8</v>
      </c>
      <c r="R365" s="21">
        <f>IF(OR(G365="",P365=""),"",G365/P365-1)</f>
        <v/>
      </c>
      <c r="S365" s="19" t="n">
        <v>0.5296</v>
      </c>
      <c r="T365" s="22" t="n">
        <v>0.09359999999999999</v>
      </c>
      <c r="U365" s="16" t="inlineStr">
        <is>
          <t>Yes</t>
        </is>
      </c>
      <c r="V365" s="16" t="inlineStr">
        <is>
          <t>Yes</t>
        </is>
      </c>
      <c r="W365" s="16" t="inlineStr">
        <is>
          <t>No</t>
        </is>
      </c>
      <c r="X365" s="16" t="inlineStr">
        <is>
          <t>Yes</t>
        </is>
      </c>
      <c r="Y365" s="20" t="n">
        <v>275</v>
      </c>
      <c r="Z365" s="19" t="n">
        <v>0.3336</v>
      </c>
      <c r="AA365" s="18" t="n">
        <v>54.04</v>
      </c>
      <c r="AB365" s="16" t="inlineStr">
        <is>
          <t>Good</t>
        </is>
      </c>
      <c r="AC365" s="16" t="inlineStr">
        <is>
          <t>No</t>
        </is>
      </c>
      <c r="AD365" s="19" t="n">
        <v>0.1457</v>
      </c>
      <c r="AE365" s="19" t="n">
        <v>0.1783</v>
      </c>
      <c r="AF365" s="19" t="n">
        <v>0.1298</v>
      </c>
      <c r="AG365" s="19" t="n">
        <v>0.09949999999999999</v>
      </c>
      <c r="AH365" s="23" t="n">
        <v>0.15</v>
      </c>
      <c r="AI365" s="23" t="n">
        <v>0.95</v>
      </c>
      <c r="AJ365" s="19" t="n">
        <v>0.2698</v>
      </c>
    </row>
    <row r="366">
      <c r="A366" s="16" t="inlineStr">
        <is>
          <t>PFIZER</t>
        </is>
      </c>
      <c r="B366" s="16" t="inlineStr">
        <is>
          <t>Pfizer Ltd.</t>
        </is>
      </c>
      <c r="C366" s="16" t="inlineStr">
        <is>
          <t>Pharmaceuticals</t>
        </is>
      </c>
      <c r="D366" s="16" t="inlineStr">
        <is>
          <t>Pharmaceuticals &amp; Biotechnology</t>
        </is>
      </c>
      <c r="E366" s="16" t="inlineStr">
        <is>
          <t>INE182A01018</t>
        </is>
      </c>
      <c r="F366" s="17" t="n">
        <v>21088.32</v>
      </c>
      <c r="G366" s="18" t="n">
        <v>4609.7</v>
      </c>
      <c r="H366" s="19" t="n">
        <v>-0.0073</v>
      </c>
      <c r="I366" s="20" t="n">
        <v>34</v>
      </c>
      <c r="J366" s="16" t="inlineStr">
        <is>
          <t>red</t>
        </is>
      </c>
      <c r="K366" s="20" t="n">
        <v>80</v>
      </c>
      <c r="L366" s="18" t="n">
        <v>34.29</v>
      </c>
      <c r="M366" s="18" t="n">
        <v>4684.75</v>
      </c>
      <c r="N366" s="18" t="n">
        <v>4704.12</v>
      </c>
      <c r="O366" s="18" t="n">
        <v>4720.24</v>
      </c>
      <c r="P366" s="18" t="n">
        <v>5441.22</v>
      </c>
      <c r="Q366" s="18" t="n">
        <v>4334.58</v>
      </c>
      <c r="R366" s="21">
        <f>IF(OR(G366="",P366=""),"",G366/P366-1)</f>
        <v/>
      </c>
      <c r="S366" s="19" t="n">
        <v>0.6667000000000001</v>
      </c>
      <c r="T366" s="22" t="n">
        <v>-0.0059</v>
      </c>
      <c r="U366" s="16" t="inlineStr">
        <is>
          <t>No</t>
        </is>
      </c>
      <c r="V366" s="16" t="inlineStr">
        <is>
          <t>No</t>
        </is>
      </c>
      <c r="W366" s="16" t="inlineStr">
        <is>
          <t>No</t>
        </is>
      </c>
      <c r="X366" s="16" t="inlineStr">
        <is>
          <t>No</t>
        </is>
      </c>
      <c r="Y366" s="20" t="n">
        <v>163</v>
      </c>
      <c r="Z366" s="19" t="n">
        <v>-0.0034</v>
      </c>
      <c r="AA366" s="18" t="n">
        <v>64.92</v>
      </c>
      <c r="AB366" s="16" t="inlineStr">
        <is>
          <t>High</t>
        </is>
      </c>
      <c r="AC366" s="16" t="inlineStr">
        <is>
          <t>No</t>
        </is>
      </c>
      <c r="AD366" s="19" t="n">
        <v>0.1691</v>
      </c>
      <c r="AE366" s="19" t="n">
        <v>0.2246</v>
      </c>
      <c r="AF366" s="19" t="n">
        <v>0.07240000000000001</v>
      </c>
      <c r="AG366" s="19" t="n">
        <v>0.0166</v>
      </c>
      <c r="AH366" s="23" t="n">
        <v>0.02</v>
      </c>
      <c r="AI366" s="23" t="n">
        <v>16.05</v>
      </c>
      <c r="AJ366" s="19" t="n">
        <v>0.1329</v>
      </c>
    </row>
    <row r="367">
      <c r="A367" s="16" t="inlineStr">
        <is>
          <t>SHRIPISTON</t>
        </is>
      </c>
      <c r="B367" s="16" t="inlineStr">
        <is>
          <t>SPR Auto Technologies Ltd</t>
        </is>
      </c>
      <c r="C367" s="16" t="inlineStr">
        <is>
          <t>Auto Parts &amp; Equipment</t>
        </is>
      </c>
      <c r="D367" s="16" t="inlineStr">
        <is>
          <t>Automobiles &amp; Auto Components</t>
        </is>
      </c>
      <c r="E367" s="16" t="inlineStr">
        <is>
          <t>INE526E01018</t>
        </is>
      </c>
      <c r="F367" s="17" t="n">
        <v>21045</v>
      </c>
      <c r="G367" s="18" t="n">
        <v>4536.9</v>
      </c>
      <c r="H367" s="19" t="n">
        <v>-0.0032</v>
      </c>
      <c r="I367" s="20" t="n">
        <v>87</v>
      </c>
      <c r="J367" s="16" t="inlineStr">
        <is>
          <t>green</t>
        </is>
      </c>
      <c r="K367" s="20" t="n">
        <v>60</v>
      </c>
      <c r="L367" s="18" t="n">
        <v>55.86</v>
      </c>
      <c r="M367" s="18" t="n">
        <v>4572.08</v>
      </c>
      <c r="N367" s="18" t="n">
        <v>4378.08</v>
      </c>
      <c r="O367" s="18" t="n">
        <v>3474.93</v>
      </c>
      <c r="P367" s="18" t="n">
        <v>4746.8</v>
      </c>
      <c r="Q367" s="18" t="n">
        <v>2565.98</v>
      </c>
      <c r="R367" s="21">
        <f>IF(OR(G367="",P367=""),"",G367/P367-1)</f>
        <v/>
      </c>
      <c r="S367" s="19" t="n">
        <v>0.9632999999999999</v>
      </c>
      <c r="T367" s="22" t="n">
        <v>0.0565</v>
      </c>
      <c r="U367" s="16" t="inlineStr">
        <is>
          <t>Yes</t>
        </is>
      </c>
      <c r="V367" s="16" t="inlineStr">
        <is>
          <t>Yes</t>
        </is>
      </c>
      <c r="W367" s="16" t="inlineStr">
        <is>
          <t>No</t>
        </is>
      </c>
      <c r="X367" s="16" t="inlineStr">
        <is>
          <t>Yes</t>
        </is>
      </c>
      <c r="Y367" s="20" t="n">
        <v>315</v>
      </c>
      <c r="Z367" s="19" t="n">
        <v>0.2599</v>
      </c>
      <c r="AA367" s="18" t="n">
        <v>63.11</v>
      </c>
      <c r="AB367" s="16" t="inlineStr">
        <is>
          <t>Good</t>
        </is>
      </c>
      <c r="AC367" s="16" t="inlineStr">
        <is>
          <t>No</t>
        </is>
      </c>
      <c r="AD367" s="19" t="n">
        <v>0.2106</v>
      </c>
      <c r="AE367" s="19" t="n">
        <v>0.2234</v>
      </c>
      <c r="AF367" s="19" t="n">
        <v>0.7504999999999999</v>
      </c>
      <c r="AG367" s="19" t="n">
        <v>0.1989</v>
      </c>
      <c r="AH367" s="23" t="n">
        <v>0.68</v>
      </c>
      <c r="AI367" s="23" t="n">
        <v>3.17</v>
      </c>
      <c r="AJ367" s="19" t="n">
        <v>0.0462</v>
      </c>
    </row>
    <row r="368">
      <c r="A368" s="16" t="inlineStr">
        <is>
          <t>GRANULES</t>
        </is>
      </c>
      <c r="B368" s="16" t="inlineStr">
        <is>
          <t>Granules India Ltd.</t>
        </is>
      </c>
      <c r="C368" s="16" t="inlineStr">
        <is>
          <t>Pharmaceuticals</t>
        </is>
      </c>
      <c r="D368" s="16" t="inlineStr">
        <is>
          <t>Pharmaceuticals &amp; Biotechnology</t>
        </is>
      </c>
      <c r="E368" s="16" t="inlineStr">
        <is>
          <t>INE101D01020</t>
        </is>
      </c>
      <c r="F368" s="17" t="n">
        <v>21020.61</v>
      </c>
      <c r="G368" s="18" t="n">
        <v>848.3</v>
      </c>
      <c r="H368" s="19" t="n">
        <v>-0.006500000000000001</v>
      </c>
      <c r="I368" s="20" t="n">
        <v>80</v>
      </c>
      <c r="J368" s="16" t="inlineStr">
        <is>
          <t>green</t>
        </is>
      </c>
      <c r="K368" s="20" t="n">
        <v>120</v>
      </c>
      <c r="L368" s="18" t="n">
        <v>44.73</v>
      </c>
      <c r="M368" s="18" t="n">
        <v>837.09</v>
      </c>
      <c r="N368" s="18" t="n">
        <v>850.35</v>
      </c>
      <c r="O368" s="18" t="n">
        <v>690.9299999999999</v>
      </c>
      <c r="P368" s="18" t="n">
        <v>901.37</v>
      </c>
      <c r="Q368" s="18" t="n">
        <v>510.34</v>
      </c>
      <c r="R368" s="21">
        <f>IF(OR(G368="",P368=""),"",G368/P368-1)</f>
        <v/>
      </c>
      <c r="S368" s="19" t="n">
        <v>1.6558</v>
      </c>
      <c r="T368" s="22" t="n">
        <v>0.0435</v>
      </c>
      <c r="U368" s="16" t="inlineStr">
        <is>
          <t>Yes</t>
        </is>
      </c>
      <c r="V368" s="16" t="inlineStr">
        <is>
          <t>No</t>
        </is>
      </c>
      <c r="W368" s="16" t="inlineStr">
        <is>
          <t>Yes</t>
        </is>
      </c>
      <c r="X368" s="16" t="inlineStr">
        <is>
          <t>Yes</t>
        </is>
      </c>
      <c r="Y368" s="20" t="n">
        <v>222</v>
      </c>
      <c r="Z368" s="19" t="n">
        <v>0.2307</v>
      </c>
      <c r="AA368" s="18" t="n">
        <v>43.7</v>
      </c>
      <c r="AB368" s="16" t="inlineStr">
        <is>
          <t>Average</t>
        </is>
      </c>
      <c r="AC368" s="16" t="inlineStr">
        <is>
          <t>No</t>
        </is>
      </c>
      <c r="AD368" s="19" t="n">
        <v>0.1259</v>
      </c>
      <c r="AE368" s="19" t="n">
        <v>0.1352</v>
      </c>
      <c r="AF368" s="19" t="n">
        <v>0.07190000000000001</v>
      </c>
      <c r="AG368" s="19" t="n">
        <v>0.06309999999999999</v>
      </c>
      <c r="AH368" s="23" t="n">
        <v>0.3</v>
      </c>
      <c r="AI368" s="23" t="n">
        <v>1.47</v>
      </c>
      <c r="AJ368" s="19" t="n">
        <v>0.1586</v>
      </c>
    </row>
    <row r="369">
      <c r="A369" s="16" t="inlineStr">
        <is>
          <t>RAMCOCEM</t>
        </is>
      </c>
      <c r="B369" s="16" t="inlineStr">
        <is>
          <t>The Ramco Cements Ltd.</t>
        </is>
      </c>
      <c r="C369" s="16" t="inlineStr">
        <is>
          <t>Cement &amp; Cement Products</t>
        </is>
      </c>
      <c r="D369" s="16" t="inlineStr">
        <is>
          <t>Cement and Construction</t>
        </is>
      </c>
      <c r="E369" s="16" t="inlineStr">
        <is>
          <t>INE331A01037</t>
        </is>
      </c>
      <c r="F369" s="17" t="n">
        <v>20900.06</v>
      </c>
      <c r="G369" s="18" t="n">
        <v>884.5</v>
      </c>
      <c r="H369" s="19" t="n">
        <v>0.0061</v>
      </c>
      <c r="I369" s="20" t="n">
        <v>24</v>
      </c>
      <c r="J369" s="16" t="inlineStr">
        <is>
          <t>red</t>
        </is>
      </c>
      <c r="K369" s="20" t="n">
        <v>103</v>
      </c>
      <c r="L369" s="18" t="n">
        <v>39.26</v>
      </c>
      <c r="M369" s="18" t="n">
        <v>888.97</v>
      </c>
      <c r="N369" s="18" t="n">
        <v>916.71</v>
      </c>
      <c r="O369" s="18" t="n">
        <v>979.54</v>
      </c>
      <c r="P369" s="18" t="n">
        <v>1201.62</v>
      </c>
      <c r="Q369" s="18" t="n">
        <v>848.6799999999999</v>
      </c>
      <c r="R369" s="21">
        <f>IF(OR(G369="",P369=""),"",G369/P369-1)</f>
        <v/>
      </c>
      <c r="S369" s="19" t="n">
        <v>0.36</v>
      </c>
      <c r="T369" s="22" t="n">
        <v>-0.0121</v>
      </c>
      <c r="U369" s="16" t="inlineStr">
        <is>
          <t>No</t>
        </is>
      </c>
      <c r="V369" s="16" t="inlineStr">
        <is>
          <t>No</t>
        </is>
      </c>
      <c r="W369" s="16" t="inlineStr">
        <is>
          <t>No</t>
        </is>
      </c>
      <c r="X369" s="16" t="inlineStr">
        <is>
          <t>No</t>
        </is>
      </c>
      <c r="Y369" s="20" t="n">
        <v>107</v>
      </c>
      <c r="Z369" s="19" t="n">
        <v>-0.0641</v>
      </c>
      <c r="AA369" s="18" t="n">
        <v>32.67</v>
      </c>
      <c r="AB369" s="16" t="inlineStr">
        <is>
          <t>Poor</t>
        </is>
      </c>
      <c r="AC369" s="16" t="inlineStr">
        <is>
          <t>No</t>
        </is>
      </c>
      <c r="AD369" s="19" t="n">
        <v>0.0575</v>
      </c>
      <c r="AE369" s="19" t="n">
        <v>0.0746</v>
      </c>
      <c r="AF369" s="19" t="n">
        <v>0.4803</v>
      </c>
      <c r="AG369" s="19" t="n">
        <v>0.0377</v>
      </c>
      <c r="AH369" s="23" t="n">
        <v>0.48</v>
      </c>
      <c r="AI369" s="23" t="n">
        <v>0.65</v>
      </c>
      <c r="AJ369" s="19" t="n">
        <v>0.0692</v>
      </c>
    </row>
    <row r="370">
      <c r="A370" s="16" t="inlineStr">
        <is>
          <t>TENNIND</t>
        </is>
      </c>
      <c r="B370" s="16" t="inlineStr">
        <is>
          <t>Tenneco Clean Air India Ltd.</t>
        </is>
      </c>
      <c r="C370" s="16" t="inlineStr">
        <is>
          <t>Auto Parts &amp; Equipment</t>
        </is>
      </c>
      <c r="D370" s="16" t="inlineStr">
        <is>
          <t>Automobiles &amp; Auto Components</t>
        </is>
      </c>
      <c r="E370" s="16" t="inlineStr">
        <is>
          <t>INE19RI01016</t>
        </is>
      </c>
      <c r="F370" s="17" t="n">
        <v>20888.54</v>
      </c>
      <c r="G370" s="18" t="n">
        <v>517.55</v>
      </c>
      <c r="H370" s="19" t="n">
        <v>0.0036</v>
      </c>
      <c r="I370" s="20" t="n">
        <v>28</v>
      </c>
      <c r="J370" s="16" t="inlineStr">
        <is>
          <t>red</t>
        </is>
      </c>
      <c r="K370" s="20" t="n">
        <v>45</v>
      </c>
      <c r="L370" s="18" t="n">
        <v>33.49</v>
      </c>
      <c r="M370" s="18" t="n">
        <v>528.27</v>
      </c>
      <c r="N370" s="18" t="n">
        <v>557.08</v>
      </c>
      <c r="O370" s="18" t="n">
        <v>550.42</v>
      </c>
      <c r="P370" s="18" t="n">
        <v>651.35</v>
      </c>
      <c r="Q370" s="18" t="n">
        <v>443.95</v>
      </c>
      <c r="R370" s="21">
        <f>IF(OR(G370="",P370=""),"",G370/P370-1)</f>
        <v/>
      </c>
      <c r="S370" s="19" t="n">
        <v>0.1829</v>
      </c>
      <c r="T370" s="22" t="n"/>
      <c r="U370" s="16" t="n"/>
      <c r="V370" s="16" t="inlineStr">
        <is>
          <t>No</t>
        </is>
      </c>
      <c r="W370" s="16" t="inlineStr">
        <is>
          <t>No</t>
        </is>
      </c>
      <c r="X370" s="16" t="inlineStr">
        <is>
          <t>Yes</t>
        </is>
      </c>
      <c r="Y370" s="20" t="n">
        <v>2</v>
      </c>
      <c r="Z370" s="19" t="n">
        <v>0.0121</v>
      </c>
      <c r="AA370" s="18" t="n">
        <v>71.67</v>
      </c>
      <c r="AB370" s="16" t="inlineStr">
        <is>
          <t>High</t>
        </is>
      </c>
      <c r="AC370" s="16" t="inlineStr">
        <is>
          <t>No</t>
        </is>
      </c>
      <c r="AD370" s="19" t="n">
        <v>0.4241</v>
      </c>
      <c r="AE370" s="19" t="n">
        <v>0.5558</v>
      </c>
      <c r="AF370" s="19" t="n">
        <v>0.1705</v>
      </c>
      <c r="AG370" s="19" t="n">
        <v>0.04480000000000001</v>
      </c>
      <c r="AH370" s="23" t="n">
        <v>0.07000000000000001</v>
      </c>
      <c r="AI370" s="23" t="n">
        <v>7.9</v>
      </c>
      <c r="AJ370" s="19" t="n">
        <v>0.1461</v>
      </c>
    </row>
    <row r="371">
      <c r="A371" s="16" t="inlineStr">
        <is>
          <t>INOXINDIA</t>
        </is>
      </c>
      <c r="B371" s="16" t="inlineStr">
        <is>
          <t>Inox India Ltd.</t>
        </is>
      </c>
      <c r="C371" s="16" t="inlineStr">
        <is>
          <t>Other Industrial Products</t>
        </is>
      </c>
      <c r="D371" s="16" t="inlineStr">
        <is>
          <t>General Industrials</t>
        </is>
      </c>
      <c r="E371" s="16" t="inlineStr">
        <is>
          <t>INE616N01034</t>
        </is>
      </c>
      <c r="F371" s="17" t="n">
        <v>20401.82</v>
      </c>
      <c r="G371" s="18" t="n">
        <v>2247.8</v>
      </c>
      <c r="H371" s="19" t="n">
        <v>0.0329</v>
      </c>
      <c r="I371" s="20" t="n">
        <v>91</v>
      </c>
      <c r="J371" s="16" t="inlineStr">
        <is>
          <t>green</t>
        </is>
      </c>
      <c r="K371" s="20" t="n">
        <v>105</v>
      </c>
      <c r="L371" s="18" t="n">
        <v>71.67</v>
      </c>
      <c r="M371" s="18" t="n">
        <v>2131.79</v>
      </c>
      <c r="N371" s="18" t="n">
        <v>1968.62</v>
      </c>
      <c r="O371" s="18" t="n">
        <v>1472.35</v>
      </c>
      <c r="P371" s="18" t="n">
        <v>2247.8</v>
      </c>
      <c r="Q371" s="18" t="n">
        <v>1072.11</v>
      </c>
      <c r="R371" s="21">
        <f>IF(OR(G371="",P371=""),"",G371/P371-1)</f>
        <v/>
      </c>
      <c r="S371" s="19" t="n">
        <v>2.8589</v>
      </c>
      <c r="T371" s="22" t="n">
        <v>0.05860000000000001</v>
      </c>
      <c r="U371" s="16" t="inlineStr">
        <is>
          <t>Yes</t>
        </is>
      </c>
      <c r="V371" s="16" t="inlineStr">
        <is>
          <t>Yes</t>
        </is>
      </c>
      <c r="W371" s="16" t="inlineStr">
        <is>
          <t>Yes</t>
        </is>
      </c>
      <c r="X371" s="16" t="inlineStr">
        <is>
          <t>Yes</t>
        </is>
      </c>
      <c r="Y371" s="20" t="n">
        <v>104</v>
      </c>
      <c r="Z371" s="19" t="n">
        <v>0.3371</v>
      </c>
      <c r="AA371" s="18" t="n">
        <v>72</v>
      </c>
      <c r="AB371" s="16" t="inlineStr">
        <is>
          <t>High</t>
        </is>
      </c>
      <c r="AC371" s="16" t="inlineStr">
        <is>
          <t>No</t>
        </is>
      </c>
      <c r="AD371" s="19" t="n">
        <v>0.2638</v>
      </c>
      <c r="AE371" s="19" t="n">
        <v>0.3382</v>
      </c>
      <c r="AF371" s="19" t="n">
        <v>0.1857</v>
      </c>
      <c r="AG371" s="19" t="n">
        <v>0.1827</v>
      </c>
      <c r="AH371" s="23" t="n">
        <v>0.07000000000000001</v>
      </c>
      <c r="AI371" s="23" t="n">
        <v>3.63</v>
      </c>
      <c r="AJ371" s="19" t="n">
        <v>0.0186</v>
      </c>
    </row>
    <row r="372">
      <c r="A372" s="16" t="inlineStr">
        <is>
          <t>ELGIEQUIP</t>
        </is>
      </c>
      <c r="B372" s="16" t="inlineStr">
        <is>
          <t>Elgi Equipments Ltd.</t>
        </is>
      </c>
      <c r="C372" s="16" t="inlineStr">
        <is>
          <t>Compressors &amp; Pumps</t>
        </is>
      </c>
      <c r="D372" s="16" t="inlineStr">
        <is>
          <t>General Industrials</t>
        </is>
      </c>
      <c r="E372" s="16" t="inlineStr">
        <is>
          <t>INE285A01027</t>
        </is>
      </c>
      <c r="F372" s="17" t="n">
        <v>20348.73</v>
      </c>
      <c r="G372" s="18" t="n">
        <v>642.1</v>
      </c>
      <c r="H372" s="19" t="n">
        <v>0.0186</v>
      </c>
      <c r="I372" s="20" t="n">
        <v>67</v>
      </c>
      <c r="J372" s="16" t="inlineStr">
        <is>
          <t>amber</t>
        </is>
      </c>
      <c r="K372" s="20" t="n">
        <v>6</v>
      </c>
      <c r="L372" s="18" t="n">
        <v>55.57</v>
      </c>
      <c r="M372" s="18" t="n">
        <v>623.89</v>
      </c>
      <c r="N372" s="18" t="n">
        <v>595.4400000000001</v>
      </c>
      <c r="O372" s="18" t="n">
        <v>532.62</v>
      </c>
      <c r="P372" s="18" t="n">
        <v>642.1</v>
      </c>
      <c r="Q372" s="18" t="n">
        <v>413.62</v>
      </c>
      <c r="R372" s="21">
        <f>IF(OR(G372="",P372=""),"",G372/P372-1)</f>
        <v/>
      </c>
      <c r="S372" s="19" t="n">
        <v>1.0418</v>
      </c>
      <c r="T372" s="22" t="n">
        <v>0.0239</v>
      </c>
      <c r="U372" s="16" t="inlineStr">
        <is>
          <t>Yes</t>
        </is>
      </c>
      <c r="V372" s="16" t="inlineStr">
        <is>
          <t>Yes</t>
        </is>
      </c>
      <c r="W372" s="16" t="inlineStr">
        <is>
          <t>Yes</t>
        </is>
      </c>
      <c r="X372" s="16" t="inlineStr">
        <is>
          <t>Yes</t>
        </is>
      </c>
      <c r="Y372" s="20" t="n">
        <v>103</v>
      </c>
      <c r="Z372" s="19" t="n">
        <v>0.1179</v>
      </c>
      <c r="AA372" s="18" t="n">
        <v>61.19</v>
      </c>
      <c r="AB372" s="16" t="inlineStr">
        <is>
          <t>Good</t>
        </is>
      </c>
      <c r="AC372" s="16" t="inlineStr">
        <is>
          <t>No</t>
        </is>
      </c>
      <c r="AD372" s="19" t="n">
        <v>0.1914</v>
      </c>
      <c r="AE372" s="19" t="n">
        <v>0.2121</v>
      </c>
      <c r="AF372" s="19" t="n">
        <v>0.06469999999999999</v>
      </c>
      <c r="AG372" s="19" t="n">
        <v>0.09179999999999999</v>
      </c>
      <c r="AH372" s="23" t="n">
        <v>0.24</v>
      </c>
      <c r="AI372" s="23" t="n">
        <v>6.77</v>
      </c>
      <c r="AJ372" s="19" t="n">
        <v>0.2522</v>
      </c>
    </row>
    <row r="373">
      <c r="A373" s="16" t="inlineStr">
        <is>
          <t>LMW</t>
        </is>
      </c>
      <c r="B373" s="16" t="inlineStr">
        <is>
          <t>LMW Ltd.</t>
        </is>
      </c>
      <c r="C373" s="16" t="inlineStr">
        <is>
          <t>Industrial Machinery</t>
        </is>
      </c>
      <c r="D373" s="16" t="inlineStr">
        <is>
          <t>General Industrials</t>
        </is>
      </c>
      <c r="E373" s="16" t="inlineStr">
        <is>
          <t>INE269B01029</t>
        </is>
      </c>
      <c r="F373" s="17" t="n">
        <v>20056.26</v>
      </c>
      <c r="G373" s="18" t="n">
        <v>18774</v>
      </c>
      <c r="H373" s="19" t="n">
        <v>-0.0115</v>
      </c>
      <c r="I373" s="20" t="n">
        <v>72</v>
      </c>
      <c r="J373" s="16" t="inlineStr">
        <is>
          <t>amber</t>
        </is>
      </c>
      <c r="K373" s="20" t="n">
        <v>12</v>
      </c>
      <c r="L373" s="18" t="n">
        <v>24.24</v>
      </c>
      <c r="M373" s="18" t="n">
        <v>18971.62</v>
      </c>
      <c r="N373" s="18" t="n">
        <v>17221.6</v>
      </c>
      <c r="O373" s="18" t="n">
        <v>15407.49</v>
      </c>
      <c r="P373" s="18" t="n">
        <v>20047</v>
      </c>
      <c r="Q373" s="18" t="n">
        <v>11970.71</v>
      </c>
      <c r="R373" s="21">
        <f>IF(OR(G373="",P373=""),"",G373/P373-1)</f>
        <v/>
      </c>
      <c r="S373" s="19" t="n">
        <v>0.3243</v>
      </c>
      <c r="T373" s="22" t="n">
        <v>0.0223</v>
      </c>
      <c r="U373" s="16" t="inlineStr">
        <is>
          <t>Yes</t>
        </is>
      </c>
      <c r="V373" s="16" t="inlineStr">
        <is>
          <t>Yes</t>
        </is>
      </c>
      <c r="W373" s="16" t="inlineStr">
        <is>
          <t>No</t>
        </is>
      </c>
      <c r="X373" s="16" t="inlineStr">
        <is>
          <t>Yes</t>
        </is>
      </c>
      <c r="Y373" s="20" t="n">
        <v>57</v>
      </c>
      <c r="Z373" s="19" t="n">
        <v>0.1177</v>
      </c>
      <c r="AA373" s="18" t="n">
        <v>37.63</v>
      </c>
      <c r="AB373" s="16" t="inlineStr">
        <is>
          <t>Weak</t>
        </is>
      </c>
      <c r="AC373" s="16" t="inlineStr">
        <is>
          <t>No</t>
        </is>
      </c>
      <c r="AD373" s="19" t="n">
        <v>0.0736</v>
      </c>
      <c r="AE373" s="19" t="n">
        <v>0.08109999999999999</v>
      </c>
      <c r="AF373" s="19" t="n">
        <v>-0.1595</v>
      </c>
      <c r="AG373" s="19" t="n">
        <v>-0.1007</v>
      </c>
      <c r="AH373" s="23" t="n">
        <v>0</v>
      </c>
      <c r="AI373" s="23" t="n">
        <v>3.34</v>
      </c>
      <c r="AJ373" s="19" t="n">
        <v>0.003</v>
      </c>
    </row>
    <row r="374">
      <c r="A374" s="16" t="inlineStr">
        <is>
          <t>WELSPUNLIV</t>
        </is>
      </c>
      <c r="B374" s="16" t="inlineStr">
        <is>
          <t>Welspun Living Ltd.</t>
        </is>
      </c>
      <c r="C374" s="16" t="inlineStr">
        <is>
          <t>Textiles</t>
        </is>
      </c>
      <c r="D374" s="16" t="inlineStr">
        <is>
          <t>Textiles Apparels &amp; Accessories</t>
        </is>
      </c>
      <c r="E374" s="16" t="inlineStr">
        <is>
          <t>INE192B01031</t>
        </is>
      </c>
      <c r="F374" s="17" t="n">
        <v>19999.29</v>
      </c>
      <c r="G374" s="18" t="n">
        <v>208.51</v>
      </c>
      <c r="H374" s="19" t="n">
        <v>0.0394</v>
      </c>
      <c r="I374" s="20" t="n">
        <v>89</v>
      </c>
      <c r="J374" s="16" t="inlineStr">
        <is>
          <t>green</t>
        </is>
      </c>
      <c r="K374" s="20" t="n">
        <v>13</v>
      </c>
      <c r="L374" s="18" t="n">
        <v>95.56999999999999</v>
      </c>
      <c r="M374" s="18" t="n">
        <v>197.14</v>
      </c>
      <c r="N374" s="18" t="n">
        <v>171.83</v>
      </c>
      <c r="O374" s="18" t="n">
        <v>142.27</v>
      </c>
      <c r="P374" s="18" t="n">
        <v>208.51</v>
      </c>
      <c r="Q374" s="18" t="n">
        <v>108.25</v>
      </c>
      <c r="R374" s="21">
        <f>IF(OR(G374="",P374=""),"",G374/P374-1)</f>
        <v/>
      </c>
      <c r="S374" s="19" t="n">
        <v>0.945</v>
      </c>
      <c r="T374" s="22" t="n">
        <v>0.03759999999999999</v>
      </c>
      <c r="U374" s="16" t="inlineStr">
        <is>
          <t>Yes</t>
        </is>
      </c>
      <c r="V374" s="16" t="inlineStr">
        <is>
          <t>Yes</t>
        </is>
      </c>
      <c r="W374" s="16" t="inlineStr">
        <is>
          <t>Yes</t>
        </is>
      </c>
      <c r="X374" s="16" t="inlineStr">
        <is>
          <t>Yes</t>
        </is>
      </c>
      <c r="Y374" s="20" t="n">
        <v>72</v>
      </c>
      <c r="Z374" s="19" t="n">
        <v>0.2078</v>
      </c>
      <c r="AA374" s="18" t="n">
        <v>45.47</v>
      </c>
      <c r="AB374" s="16" t="inlineStr">
        <is>
          <t>Average</t>
        </is>
      </c>
      <c r="AC374" s="16" t="inlineStr">
        <is>
          <t>No</t>
        </is>
      </c>
      <c r="AD374" s="19" t="n">
        <v>0.1083</v>
      </c>
      <c r="AE374" s="19" t="n">
        <v>0.1191</v>
      </c>
      <c r="AF374" s="19" t="n">
        <v>0.4804</v>
      </c>
      <c r="AG374" s="19" t="n">
        <v>0.107</v>
      </c>
      <c r="AH374" s="23" t="n">
        <v>0.47</v>
      </c>
      <c r="AI374" s="23" t="n">
        <v>2.1</v>
      </c>
      <c r="AJ374" s="19" t="n">
        <v>0.0575</v>
      </c>
    </row>
    <row r="375">
      <c r="A375" s="16" t="inlineStr">
        <is>
          <t>DIACABS</t>
        </is>
      </c>
      <c r="B375" s="16" t="inlineStr">
        <is>
          <t>Diamond Power Infrastructure Ltd.</t>
        </is>
      </c>
      <c r="C375" s="16" t="inlineStr">
        <is>
          <t>Other Electrical Equipment/Products</t>
        </is>
      </c>
      <c r="D375" s="16" t="inlineStr">
        <is>
          <t>Consumer Durables</t>
        </is>
      </c>
      <c r="E375" s="16" t="inlineStr">
        <is>
          <t>INE989C01038</t>
        </is>
      </c>
      <c r="F375" s="17" t="n">
        <v>19844</v>
      </c>
      <c r="G375" s="18" t="n">
        <v>331.8</v>
      </c>
      <c r="H375" s="19" t="n">
        <v>0.0276</v>
      </c>
      <c r="I375" s="20" t="n">
        <v>95</v>
      </c>
      <c r="J375" s="16" t="inlineStr">
        <is>
          <t>green</t>
        </is>
      </c>
      <c r="K375" s="20" t="n">
        <v>100</v>
      </c>
      <c r="L375" s="18" t="n">
        <v>34.14</v>
      </c>
      <c r="M375" s="18" t="n">
        <v>337.47</v>
      </c>
      <c r="N375" s="18" t="n">
        <v>299.52</v>
      </c>
      <c r="O375" s="18" t="n">
        <v>189.12</v>
      </c>
      <c r="P375" s="18" t="n">
        <v>368.5</v>
      </c>
      <c r="Q375" s="18" t="n">
        <v>117.94</v>
      </c>
      <c r="R375" s="21">
        <f>IF(OR(G375="",P375=""),"",G375/P375-1)</f>
        <v/>
      </c>
      <c r="S375" s="19" t="n">
        <v>0.4295</v>
      </c>
      <c r="T375" s="22" t="n">
        <v>0.1188</v>
      </c>
      <c r="U375" s="16" t="inlineStr">
        <is>
          <t>Yes</t>
        </is>
      </c>
      <c r="V375" s="16" t="inlineStr">
        <is>
          <t>Yes</t>
        </is>
      </c>
      <c r="W375" s="16" t="inlineStr">
        <is>
          <t>No</t>
        </is>
      </c>
      <c r="X375" s="16" t="inlineStr">
        <is>
          <t>Yes</t>
        </is>
      </c>
      <c r="Y375" s="20" t="n">
        <v>82</v>
      </c>
      <c r="Z375" s="19" t="n">
        <v>0.5837</v>
      </c>
      <c r="AA375" s="18" t="n">
        <v>53.23</v>
      </c>
      <c r="AB375" s="16" t="inlineStr">
        <is>
          <t>Good</t>
        </is>
      </c>
      <c r="AC375" s="16" t="inlineStr">
        <is>
          <t>No</t>
        </is>
      </c>
      <c r="AD375" s="19" t="n">
        <v>-0.1062</v>
      </c>
      <c r="AE375" s="19" t="n">
        <v>0.0027</v>
      </c>
      <c r="AF375" s="19" t="n">
        <v>0.4754</v>
      </c>
      <c r="AG375" s="19" t="n">
        <v>8.6851</v>
      </c>
      <c r="AH375" s="23" t="n">
        <v>-4.2</v>
      </c>
      <c r="AI375" s="23" t="n">
        <v>1.41</v>
      </c>
      <c r="AJ375" s="19" t="n">
        <v>0.1126</v>
      </c>
    </row>
    <row r="376">
      <c r="A376" s="16" t="inlineStr">
        <is>
          <t>KAJARIACER</t>
        </is>
      </c>
      <c r="B376" s="16" t="inlineStr">
        <is>
          <t>Kajaria Ceramics Ltd.</t>
        </is>
      </c>
      <c r="C376" s="16" t="inlineStr">
        <is>
          <t>Ceramics</t>
        </is>
      </c>
      <c r="D376" s="16" t="inlineStr">
        <is>
          <t>Consumer Durables</t>
        </is>
      </c>
      <c r="E376" s="16" t="inlineStr">
        <is>
          <t>INE217B01036</t>
        </is>
      </c>
      <c r="F376" s="17" t="n">
        <v>19745.96</v>
      </c>
      <c r="G376" s="18" t="n">
        <v>1239.6</v>
      </c>
      <c r="H376" s="19" t="n">
        <v>-0.0167</v>
      </c>
      <c r="I376" s="20" t="n">
        <v>63</v>
      </c>
      <c r="J376" s="16" t="inlineStr">
        <is>
          <t>amber</t>
        </is>
      </c>
      <c r="K376" s="20" t="n">
        <v>5</v>
      </c>
      <c r="L376" s="18" t="n">
        <v>47.08</v>
      </c>
      <c r="M376" s="18" t="n">
        <v>1232.56</v>
      </c>
      <c r="N376" s="18" t="n">
        <v>1218.73</v>
      </c>
      <c r="O376" s="18" t="n">
        <v>1082.3</v>
      </c>
      <c r="P376" s="18" t="n">
        <v>1261.1</v>
      </c>
      <c r="Q376" s="18" t="n">
        <v>883.65</v>
      </c>
      <c r="R376" s="21">
        <f>IF(OR(G376="",P376=""),"",G376/P376-1)</f>
        <v/>
      </c>
      <c r="S376" s="19" t="n">
        <v>1.1381</v>
      </c>
      <c r="T376" s="22" t="n">
        <v>0.0063</v>
      </c>
      <c r="U376" s="16" t="inlineStr">
        <is>
          <t>Yes</t>
        </is>
      </c>
      <c r="V376" s="16" t="inlineStr">
        <is>
          <t>Yes</t>
        </is>
      </c>
      <c r="W376" s="16" t="inlineStr">
        <is>
          <t>Yes</t>
        </is>
      </c>
      <c r="X376" s="16" t="inlineStr">
        <is>
          <t>Yes</t>
        </is>
      </c>
      <c r="Y376" s="20" t="n">
        <v>68</v>
      </c>
      <c r="Z376" s="19" t="n">
        <v>0.1261</v>
      </c>
      <c r="AA376" s="18" t="n">
        <v>56.71</v>
      </c>
      <c r="AB376" s="16" t="inlineStr">
        <is>
          <t>Good</t>
        </is>
      </c>
      <c r="AC376" s="16" t="inlineStr">
        <is>
          <t>No</t>
        </is>
      </c>
      <c r="AD376" s="19" t="n">
        <v>0.1423</v>
      </c>
      <c r="AE376" s="19" t="n">
        <v>0.1973</v>
      </c>
      <c r="AF376" s="19" t="n">
        <v>0.1901</v>
      </c>
      <c r="AG376" s="19" t="n">
        <v>0.0339</v>
      </c>
      <c r="AH376" s="23" t="n">
        <v>0.07000000000000001</v>
      </c>
      <c r="AI376" s="23" t="n">
        <v>2.74</v>
      </c>
      <c r="AJ376" s="19" t="n">
        <v>0.0677</v>
      </c>
    </row>
    <row r="377">
      <c r="A377" s="16" t="inlineStr">
        <is>
          <t>CHALET</t>
        </is>
      </c>
      <c r="B377" s="16" t="inlineStr">
        <is>
          <t>Chalet Hotels Ltd.</t>
        </is>
      </c>
      <c r="C377" s="16" t="inlineStr">
        <is>
          <t>Hotels</t>
        </is>
      </c>
      <c r="D377" s="16" t="inlineStr">
        <is>
          <t>Hotels Restaurants &amp; Tourism</t>
        </is>
      </c>
      <c r="E377" s="16" t="inlineStr">
        <is>
          <t>INE427F01016</t>
        </is>
      </c>
      <c r="F377" s="17" t="n">
        <v>19638.3</v>
      </c>
      <c r="G377" s="18" t="n">
        <v>896.75</v>
      </c>
      <c r="H377" s="19" t="n">
        <v>0.0067</v>
      </c>
      <c r="I377" s="20" t="n">
        <v>52</v>
      </c>
      <c r="J377" s="16" t="inlineStr">
        <is>
          <t>red</t>
        </is>
      </c>
      <c r="K377" s="20" t="n">
        <v>133</v>
      </c>
      <c r="L377" s="18" t="n">
        <v>71.27</v>
      </c>
      <c r="M377" s="18" t="n">
        <v>901.36</v>
      </c>
      <c r="N377" s="18" t="n">
        <v>847.4400000000001</v>
      </c>
      <c r="O377" s="18" t="n">
        <v>823.66</v>
      </c>
      <c r="P377" s="18" t="n">
        <v>1063.42</v>
      </c>
      <c r="Q377" s="18" t="n">
        <v>702.3</v>
      </c>
      <c r="R377" s="21">
        <f>IF(OR(G377="",P377=""),"",G377/P377-1)</f>
        <v/>
      </c>
      <c r="S377" s="19" t="n">
        <v>0.4607</v>
      </c>
      <c r="T377" s="22" t="n">
        <v>-0.0066</v>
      </c>
      <c r="U377" s="16" t="inlineStr">
        <is>
          <t>No</t>
        </is>
      </c>
      <c r="V377" s="16" t="inlineStr">
        <is>
          <t>Yes</t>
        </is>
      </c>
      <c r="W377" s="16" t="inlineStr">
        <is>
          <t>No</t>
        </is>
      </c>
      <c r="X377" s="16" t="inlineStr">
        <is>
          <t>Yes</t>
        </is>
      </c>
      <c r="Y377" s="20" t="n">
        <v>12</v>
      </c>
      <c r="Z377" s="19" t="n">
        <v>0.0289</v>
      </c>
      <c r="AA377" s="18" t="n">
        <v>50.85</v>
      </c>
      <c r="AB377" s="16" t="inlineStr">
        <is>
          <t>Average</t>
        </is>
      </c>
      <c r="AC377" s="16" t="inlineStr">
        <is>
          <t>No</t>
        </is>
      </c>
      <c r="AD377" s="19" t="n">
        <v>0.1239</v>
      </c>
      <c r="AE377" s="19" t="n">
        <v>0.1233</v>
      </c>
      <c r="AF377" s="19" t="n">
        <v>1.1712</v>
      </c>
      <c r="AG377" s="19" t="n">
        <v>0.3601</v>
      </c>
      <c r="AH377" s="23" t="n">
        <v>0.64</v>
      </c>
      <c r="AI377" s="23" t="n">
        <v>0.8</v>
      </c>
      <c r="AJ377" s="19" t="n">
        <v>0.0381</v>
      </c>
    </row>
    <row r="378">
      <c r="A378" s="16" t="inlineStr">
        <is>
          <t>GESHIP</t>
        </is>
      </c>
      <c r="B378" s="16" t="inlineStr">
        <is>
          <t>Great Eastern Shipping Company Ltd.</t>
        </is>
      </c>
      <c r="C378" s="16" t="inlineStr">
        <is>
          <t>Shipping</t>
        </is>
      </c>
      <c r="D378" s="16" t="inlineStr">
        <is>
          <t>Transportation</t>
        </is>
      </c>
      <c r="E378" s="16" t="inlineStr">
        <is>
          <t>INE017A01032</t>
        </is>
      </c>
      <c r="F378" s="17" t="n">
        <v>19554.82</v>
      </c>
      <c r="G378" s="18" t="n">
        <v>1369.7</v>
      </c>
      <c r="H378" s="19" t="n">
        <v>0.0119</v>
      </c>
      <c r="I378" s="20" t="n">
        <v>59</v>
      </c>
      <c r="J378" s="16" t="inlineStr">
        <is>
          <t>red</t>
        </is>
      </c>
      <c r="K378" s="20" t="n">
        <v>19</v>
      </c>
      <c r="L378" s="18" t="n">
        <v>66.11</v>
      </c>
      <c r="M378" s="18" t="n">
        <v>1330.66</v>
      </c>
      <c r="N378" s="18" t="n">
        <v>1360.43</v>
      </c>
      <c r="O378" s="18" t="n">
        <v>1316.63</v>
      </c>
      <c r="P378" s="18" t="n">
        <v>1701.3</v>
      </c>
      <c r="Q378" s="18" t="n">
        <v>922.72</v>
      </c>
      <c r="R378" s="21">
        <f>IF(OR(G378="",P378=""),"",G378/P378-1)</f>
        <v/>
      </c>
      <c r="S378" s="19" t="n">
        <v>0.9443</v>
      </c>
      <c r="T378" s="22" t="n">
        <v>0.0202</v>
      </c>
      <c r="U378" s="16" t="inlineStr">
        <is>
          <t>Yes</t>
        </is>
      </c>
      <c r="V378" s="16" t="inlineStr">
        <is>
          <t>Yes</t>
        </is>
      </c>
      <c r="W378" s="16" t="inlineStr">
        <is>
          <t>Yes</t>
        </is>
      </c>
      <c r="X378" s="16" t="inlineStr">
        <is>
          <t>Yes</t>
        </is>
      </c>
      <c r="Y378" s="20" t="n">
        <v>272</v>
      </c>
      <c r="Z378" s="19" t="n">
        <v>0.0333</v>
      </c>
      <c r="AA378" s="18" t="n">
        <v>49.29</v>
      </c>
      <c r="AB378" s="16" t="inlineStr">
        <is>
          <t>Average</t>
        </is>
      </c>
      <c r="AC378" s="16" t="inlineStr">
        <is>
          <t>No</t>
        </is>
      </c>
      <c r="AD378" s="19" t="n">
        <v>0.1829</v>
      </c>
      <c r="AE378" s="19" t="n">
        <v>0.176</v>
      </c>
      <c r="AF378" s="19" t="n">
        <v>0.0557</v>
      </c>
      <c r="AG378" s="19" t="n">
        <v>-0.0152</v>
      </c>
      <c r="AH378" s="23" t="n">
        <v>0.06</v>
      </c>
      <c r="AI378" s="23" t="n">
        <v>0.57</v>
      </c>
      <c r="AJ378" s="19" t="n">
        <v>0.0109</v>
      </c>
    </row>
    <row r="379">
      <c r="A379" s="16" t="inlineStr">
        <is>
          <t>JINDALSAW</t>
        </is>
      </c>
      <c r="B379" s="16" t="inlineStr">
        <is>
          <t>Jindal Saw Ltd.</t>
        </is>
      </c>
      <c r="C379" s="16" t="inlineStr">
        <is>
          <t>Iron &amp; Steel/Interm.Products</t>
        </is>
      </c>
      <c r="D379" s="16" t="inlineStr">
        <is>
          <t>Metals &amp; Mining</t>
        </is>
      </c>
      <c r="E379" s="16" t="inlineStr">
        <is>
          <t>INE324A01032</t>
        </is>
      </c>
      <c r="F379" s="17" t="n">
        <v>19524.19</v>
      </c>
      <c r="G379" s="18" t="n">
        <v>305.3</v>
      </c>
      <c r="H379" s="19" t="n">
        <v>-0.0179</v>
      </c>
      <c r="I379" s="20" t="n">
        <v>87</v>
      </c>
      <c r="J379" s="16" t="inlineStr">
        <is>
          <t>green</t>
        </is>
      </c>
      <c r="K379" s="20" t="n">
        <v>16</v>
      </c>
      <c r="L379" s="18" t="n">
        <v>73.64</v>
      </c>
      <c r="M379" s="18" t="n">
        <v>308.25</v>
      </c>
      <c r="N379" s="18" t="n">
        <v>272.51</v>
      </c>
      <c r="O379" s="18" t="n">
        <v>216.24</v>
      </c>
      <c r="P379" s="18" t="n">
        <v>310.85</v>
      </c>
      <c r="Q379" s="18" t="n">
        <v>153.23</v>
      </c>
      <c r="R379" s="21">
        <f>IF(OR(G379="",P379=""),"",G379/P379-1)</f>
        <v/>
      </c>
      <c r="S379" s="19" t="n">
        <v>0.36</v>
      </c>
      <c r="T379" s="22" t="n">
        <v>0.0564</v>
      </c>
      <c r="U379" s="16" t="inlineStr">
        <is>
          <t>Yes</t>
        </is>
      </c>
      <c r="V379" s="16" t="inlineStr">
        <is>
          <t>Yes</t>
        </is>
      </c>
      <c r="W379" s="16" t="inlineStr">
        <is>
          <t>No</t>
        </is>
      </c>
      <c r="X379" s="16" t="inlineStr">
        <is>
          <t>Yes</t>
        </is>
      </c>
      <c r="Y379" s="20" t="n">
        <v>99</v>
      </c>
      <c r="Z379" s="19" t="n">
        <v>0.2602</v>
      </c>
      <c r="AA379" s="18" t="n">
        <v>45.66</v>
      </c>
      <c r="AB379" s="16" t="inlineStr">
        <is>
          <t>Average</t>
        </is>
      </c>
      <c r="AC379" s="16" t="inlineStr">
        <is>
          <t>No</t>
        </is>
      </c>
      <c r="AD379" s="19" t="n">
        <v>0.132</v>
      </c>
      <c r="AE379" s="19" t="n">
        <v>0.1456</v>
      </c>
      <c r="AF379" s="19" t="n">
        <v>0.3967</v>
      </c>
      <c r="AG379" s="19" t="n">
        <v>0.0117</v>
      </c>
      <c r="AH379" s="23" t="n">
        <v>0.37</v>
      </c>
      <c r="AI379" s="23" t="n">
        <v>1.58</v>
      </c>
      <c r="AJ379" s="19" t="n">
        <v>0.0534</v>
      </c>
    </row>
    <row r="380">
      <c r="A380" s="16" t="inlineStr">
        <is>
          <t>MILKYMIST</t>
        </is>
      </c>
      <c r="B380" s="16" t="inlineStr">
        <is>
          <t>Milky Mist Dairy Food Ltd.</t>
        </is>
      </c>
      <c r="C380" s="16" t="inlineStr">
        <is>
          <t>Packaged Foods</t>
        </is>
      </c>
      <c r="D380" s="16" t="inlineStr">
        <is>
          <t>FMCG</t>
        </is>
      </c>
      <c r="E380" s="16" t="inlineStr">
        <is>
          <t>INE00IT01020</t>
        </is>
      </c>
      <c r="F380" s="17" t="n">
        <v>19433.16</v>
      </c>
      <c r="G380" s="18" t="n">
        <v>252.43</v>
      </c>
      <c r="H380" s="19" t="n">
        <v>-0.0018</v>
      </c>
      <c r="I380" s="20" t="n"/>
      <c r="J380" s="16" t="n"/>
      <c r="K380" s="20" t="n"/>
      <c r="L380" s="18" t="n"/>
      <c r="M380" s="18" t="n">
        <v>231.76</v>
      </c>
      <c r="N380" s="18" t="n"/>
      <c r="O380" s="18" t="n"/>
      <c r="P380" s="18" t="n">
        <v>252.89</v>
      </c>
      <c r="Q380" s="18" t="n">
        <v>181.5</v>
      </c>
      <c r="R380" s="21">
        <f>IF(OR(G380="",P380=""),"",G380/P380-1)</f>
        <v/>
      </c>
      <c r="S380" s="19" t="n">
        <v>0.4142</v>
      </c>
      <c r="T380" s="22" t="n"/>
      <c r="U380" s="16" t="n"/>
      <c r="V380" s="16" t="n"/>
      <c r="W380" s="16" t="inlineStr">
        <is>
          <t>Yes</t>
        </is>
      </c>
      <c r="X380" s="16" t="n"/>
      <c r="Y380" s="20" t="n"/>
      <c r="Z380" s="19" t="n"/>
      <c r="AA380" s="18" t="n"/>
      <c r="AB380" s="16" t="n"/>
      <c r="AC380" s="16" t="inlineStr">
        <is>
          <t>No</t>
        </is>
      </c>
      <c r="AD380" s="19" t="n"/>
      <c r="AE380" s="19" t="n"/>
      <c r="AF380" s="19" t="n"/>
      <c r="AG380" s="19" t="n"/>
      <c r="AH380" s="23" t="n"/>
      <c r="AI380" s="23" t="n"/>
      <c r="AJ380" s="19" t="n"/>
    </row>
    <row r="381">
      <c r="A381" s="16" t="inlineStr">
        <is>
          <t>CESC</t>
        </is>
      </c>
      <c r="B381" s="16" t="inlineStr">
        <is>
          <t>CESC Ltd.</t>
        </is>
      </c>
      <c r="C381" s="16" t="inlineStr">
        <is>
          <t>Power - Electric Utilities</t>
        </is>
      </c>
      <c r="D381" s="16" t="inlineStr">
        <is>
          <t>Utilities</t>
        </is>
      </c>
      <c r="E381" s="16" t="inlineStr">
        <is>
          <t>INE486A01021</t>
        </is>
      </c>
      <c r="F381" s="17" t="n">
        <v>19419.61</v>
      </c>
      <c r="G381" s="18" t="n">
        <v>146.5</v>
      </c>
      <c r="H381" s="19" t="n">
        <v>-0.009899999999999999</v>
      </c>
      <c r="I381" s="20" t="n">
        <v>25</v>
      </c>
      <c r="J381" s="16" t="inlineStr">
        <is>
          <t>red</t>
        </is>
      </c>
      <c r="K381" s="20" t="n">
        <v>61</v>
      </c>
      <c r="L381" s="18" t="n">
        <v>12.66</v>
      </c>
      <c r="M381" s="18" t="n">
        <v>148.22</v>
      </c>
      <c r="N381" s="18" t="n">
        <v>157.1</v>
      </c>
      <c r="O381" s="18" t="n">
        <v>159.38</v>
      </c>
      <c r="P381" s="18" t="n">
        <v>191.62</v>
      </c>
      <c r="Q381" s="18" t="n">
        <v>135.41</v>
      </c>
      <c r="R381" s="21">
        <f>IF(OR(G381="",P381=""),"",G381/P381-1)</f>
        <v/>
      </c>
      <c r="S381" s="19" t="n">
        <v>0.9521999999999999</v>
      </c>
      <c r="T381" s="22" t="n">
        <v>-0.0098</v>
      </c>
      <c r="U381" s="16" t="inlineStr">
        <is>
          <t>No</t>
        </is>
      </c>
      <c r="V381" s="16" t="inlineStr">
        <is>
          <t>No</t>
        </is>
      </c>
      <c r="W381" s="16" t="inlineStr">
        <is>
          <t>No</t>
        </is>
      </c>
      <c r="X381" s="16" t="inlineStr">
        <is>
          <t>No</t>
        </is>
      </c>
      <c r="Y381" s="20" t="n">
        <v>17</v>
      </c>
      <c r="Z381" s="19" t="n">
        <v>-0.0143</v>
      </c>
      <c r="AA381" s="18" t="n">
        <v>31.89</v>
      </c>
      <c r="AB381" s="16" t="inlineStr">
        <is>
          <t>Poor</t>
        </is>
      </c>
      <c r="AC381" s="16" t="inlineStr">
        <is>
          <t>No</t>
        </is>
      </c>
      <c r="AD381" s="19" t="n">
        <v>0.1192</v>
      </c>
      <c r="AE381" s="19" t="n">
        <v>0.1105</v>
      </c>
      <c r="AF381" s="19" t="n">
        <v>0.0486</v>
      </c>
      <c r="AG381" s="19" t="n">
        <v>0.0925</v>
      </c>
      <c r="AH381" s="23" t="n">
        <v>1.73</v>
      </c>
      <c r="AI381" s="23" t="n">
        <v>0.75</v>
      </c>
      <c r="AJ381" s="19" t="n">
        <v>0.118</v>
      </c>
    </row>
    <row r="382">
      <c r="A382" s="16" t="inlineStr">
        <is>
          <t>HBLENGINE</t>
        </is>
      </c>
      <c r="B382" s="16" t="inlineStr">
        <is>
          <t>HBL Engineering Ltd.</t>
        </is>
      </c>
      <c r="C382" s="16" t="inlineStr">
        <is>
          <t>Other Electrical Equipment/Products</t>
        </is>
      </c>
      <c r="D382" s="16" t="inlineStr">
        <is>
          <t>Consumer Durables</t>
        </is>
      </c>
      <c r="E382" s="16" t="inlineStr">
        <is>
          <t>INE292B01021</t>
        </is>
      </c>
      <c r="F382" s="17" t="n">
        <v>19285.84</v>
      </c>
      <c r="G382" s="18" t="n">
        <v>695.75</v>
      </c>
      <c r="H382" s="19" t="n">
        <v>0.0454</v>
      </c>
      <c r="I382" s="20" t="n">
        <v>21</v>
      </c>
      <c r="J382" s="16" t="inlineStr">
        <is>
          <t>red</t>
        </is>
      </c>
      <c r="K382" s="20" t="n">
        <v>45</v>
      </c>
      <c r="L382" s="18" t="n">
        <v>56.39</v>
      </c>
      <c r="M382" s="18" t="n">
        <v>670.22</v>
      </c>
      <c r="N382" s="18" t="n">
        <v>721.98</v>
      </c>
      <c r="O382" s="18" t="n">
        <v>767.25</v>
      </c>
      <c r="P382" s="18" t="n">
        <v>1095.97</v>
      </c>
      <c r="Q382" s="18" t="n">
        <v>614.8</v>
      </c>
      <c r="R382" s="21">
        <f>IF(OR(G382="",P382=""),"",G382/P382-1)</f>
        <v/>
      </c>
      <c r="S382" s="19" t="n">
        <v>10.7596</v>
      </c>
      <c r="T382" s="22" t="n">
        <v>-0.0385</v>
      </c>
      <c r="U382" s="16" t="inlineStr">
        <is>
          <t>No</t>
        </is>
      </c>
      <c r="V382" s="16" t="inlineStr">
        <is>
          <t>No</t>
        </is>
      </c>
      <c r="W382" s="16" t="inlineStr">
        <is>
          <t>Yes</t>
        </is>
      </c>
      <c r="X382" s="16" t="inlineStr">
        <is>
          <t>No</t>
        </is>
      </c>
      <c r="Y382" s="20" t="n">
        <v>123</v>
      </c>
      <c r="Z382" s="19" t="n">
        <v>-0.059</v>
      </c>
      <c r="AA382" s="18" t="n">
        <v>86.29000000000001</v>
      </c>
      <c r="AB382" s="16" t="inlineStr">
        <is>
          <t>High</t>
        </is>
      </c>
      <c r="AC382" s="16" t="inlineStr">
        <is>
          <t>No</t>
        </is>
      </c>
      <c r="AD382" s="19" t="n">
        <v>0.2616</v>
      </c>
      <c r="AE382" s="19" t="n">
        <v>0.339</v>
      </c>
      <c r="AF382" s="19" t="n">
        <v>1.2625</v>
      </c>
      <c r="AG382" s="19" t="n">
        <v>0.4003</v>
      </c>
      <c r="AH382" s="23" t="n">
        <v>0.03</v>
      </c>
      <c r="AI382" s="23" t="n">
        <v>5.83</v>
      </c>
      <c r="AJ382" s="19" t="n">
        <v>0.2252</v>
      </c>
    </row>
    <row r="383">
      <c r="A383" s="16" t="inlineStr">
        <is>
          <t>PINELABS</t>
        </is>
      </c>
      <c r="B383" s="16" t="inlineStr">
        <is>
          <t>Pine Labs Ltd.</t>
        </is>
      </c>
      <c r="C383" s="16" t="inlineStr">
        <is>
          <t>Internet Software &amp; Services</t>
        </is>
      </c>
      <c r="D383" s="16" t="inlineStr">
        <is>
          <t>Software &amp; Services</t>
        </is>
      </c>
      <c r="E383" s="16" t="inlineStr">
        <is>
          <t>INE15B701018</t>
        </is>
      </c>
      <c r="F383" s="17" t="n">
        <v>19196.74</v>
      </c>
      <c r="G383" s="18" t="n">
        <v>166.37</v>
      </c>
      <c r="H383" s="19" t="n">
        <v>0.06309999999999999</v>
      </c>
      <c r="I383" s="20" t="n">
        <v>30</v>
      </c>
      <c r="J383" s="16" t="inlineStr">
        <is>
          <t>red</t>
        </is>
      </c>
      <c r="K383" s="20" t="n">
        <v>141</v>
      </c>
      <c r="L383" s="18" t="n">
        <v>53.7</v>
      </c>
      <c r="M383" s="18" t="n">
        <v>163.84</v>
      </c>
      <c r="N383" s="18" t="n">
        <v>155.64</v>
      </c>
      <c r="O383" s="18" t="n">
        <v>185.39</v>
      </c>
      <c r="P383" s="18" t="n">
        <v>250.89</v>
      </c>
      <c r="Q383" s="18" t="n">
        <v>137.94</v>
      </c>
      <c r="R383" s="21">
        <f>IF(OR(G383="",P383=""),"",G383/P383-1)</f>
        <v/>
      </c>
      <c r="S383" s="19" t="n">
        <v>1.9822</v>
      </c>
      <c r="T383" s="22" t="n"/>
      <c r="U383" s="16" t="n"/>
      <c r="V383" s="16" t="inlineStr">
        <is>
          <t>Yes</t>
        </is>
      </c>
      <c r="W383" s="16" t="inlineStr">
        <is>
          <t>Yes</t>
        </is>
      </c>
      <c r="X383" s="16" t="inlineStr">
        <is>
          <t>No</t>
        </is>
      </c>
      <c r="Y383" s="20" t="n">
        <v>5</v>
      </c>
      <c r="Z383" s="19" t="n">
        <v>-0.1604</v>
      </c>
      <c r="AA383" s="18" t="n">
        <v>50.2</v>
      </c>
      <c r="AB383" s="16" t="inlineStr">
        <is>
          <t>Average</t>
        </is>
      </c>
      <c r="AC383" s="16" t="inlineStr">
        <is>
          <t>No</t>
        </is>
      </c>
      <c r="AD383" s="19" t="n">
        <v>-0.0396</v>
      </c>
      <c r="AE383" s="19" t="n">
        <v>-0.0192</v>
      </c>
      <c r="AF383" s="19" t="n">
        <v>0.6956</v>
      </c>
      <c r="AG383" s="19" t="n">
        <v>0.2791</v>
      </c>
      <c r="AH383" s="23" t="n">
        <v>0.07000000000000001</v>
      </c>
      <c r="AI383" s="23" t="n">
        <v>5.7</v>
      </c>
      <c r="AJ383" s="19" t="n">
        <v>0.0862</v>
      </c>
    </row>
    <row r="384">
      <c r="A384" s="16" t="inlineStr">
        <is>
          <t>RATNAMANI</t>
        </is>
      </c>
      <c r="B384" s="16" t="inlineStr">
        <is>
          <t>Ratnamani Metals &amp; Tubes Ltd.</t>
        </is>
      </c>
      <c r="C384" s="16" t="inlineStr">
        <is>
          <t>Iron &amp; Steel/Interm.Products</t>
        </is>
      </c>
      <c r="D384" s="16" t="inlineStr">
        <is>
          <t>Metals &amp; Mining</t>
        </is>
      </c>
      <c r="E384" s="16" t="inlineStr">
        <is>
          <t>INE703B01027</t>
        </is>
      </c>
      <c r="F384" s="17" t="n">
        <v>19114.09</v>
      </c>
      <c r="G384" s="18" t="n">
        <v>2727</v>
      </c>
      <c r="H384" s="19" t="n">
        <v>0.0215</v>
      </c>
      <c r="I384" s="20" t="n">
        <v>57</v>
      </c>
      <c r="J384" s="16" t="inlineStr">
        <is>
          <t>red</t>
        </is>
      </c>
      <c r="K384" s="20" t="n">
        <v>40</v>
      </c>
      <c r="L384" s="18" t="n">
        <v>72.02</v>
      </c>
      <c r="M384" s="18" t="n">
        <v>2649.16</v>
      </c>
      <c r="N384" s="18" t="n">
        <v>2480.64</v>
      </c>
      <c r="O384" s="18" t="n">
        <v>2411.11</v>
      </c>
      <c r="P384" s="18" t="n">
        <v>3032.78</v>
      </c>
      <c r="Q384" s="18" t="n">
        <v>1937.82</v>
      </c>
      <c r="R384" s="21">
        <f>IF(OR(G384="",P384=""),"",G384/P384-1)</f>
        <v/>
      </c>
      <c r="S384" s="19" t="n">
        <v>0.5828</v>
      </c>
      <c r="T384" s="22" t="n">
        <v>0.0024</v>
      </c>
      <c r="U384" s="16" t="inlineStr">
        <is>
          <t>Yes</t>
        </is>
      </c>
      <c r="V384" s="16" t="inlineStr">
        <is>
          <t>Yes</t>
        </is>
      </c>
      <c r="W384" s="16" t="inlineStr">
        <is>
          <t>Yes</t>
        </is>
      </c>
      <c r="X384" s="16" t="inlineStr">
        <is>
          <t>Yes</t>
        </is>
      </c>
      <c r="Y384" s="20" t="n">
        <v>90</v>
      </c>
      <c r="Z384" s="19" t="n">
        <v>0.0288</v>
      </c>
      <c r="AA384" s="18" t="n">
        <v>40</v>
      </c>
      <c r="AB384" s="16" t="inlineStr">
        <is>
          <t>Average</t>
        </is>
      </c>
      <c r="AC384" s="16" t="inlineStr">
        <is>
          <t>No</t>
        </is>
      </c>
      <c r="AD384" s="19" t="n">
        <v>0.1551</v>
      </c>
      <c r="AE384" s="19" t="n">
        <v>0.2084</v>
      </c>
      <c r="AF384" s="19" t="n">
        <v>-0.0066</v>
      </c>
      <c r="AG384" s="19" t="n">
        <v>0.003</v>
      </c>
      <c r="AH384" s="23" t="n">
        <v>0.08</v>
      </c>
      <c r="AI384" s="23" t="n">
        <v>2.27</v>
      </c>
      <c r="AJ384" s="19" t="n">
        <v>0.1822</v>
      </c>
    </row>
    <row r="385">
      <c r="A385" s="16" t="inlineStr">
        <is>
          <t>SHILPAMED</t>
        </is>
      </c>
      <c r="B385" s="16" t="inlineStr">
        <is>
          <t>Shilpa Medicare Ltd.</t>
        </is>
      </c>
      <c r="C385" s="16" t="inlineStr">
        <is>
          <t>Pharmaceuticals</t>
        </is>
      </c>
      <c r="D385" s="16" t="inlineStr">
        <is>
          <t>Pharmaceuticals &amp; Biotechnology</t>
        </is>
      </c>
      <c r="E385" s="16" t="inlineStr">
        <is>
          <t>INE790G01031</t>
        </is>
      </c>
      <c r="F385" s="17" t="n">
        <v>18857.02</v>
      </c>
      <c r="G385" s="18" t="n">
        <v>964.15</v>
      </c>
      <c r="H385" s="19" t="n">
        <v>0.009000000000000001</v>
      </c>
      <c r="I385" s="20" t="n">
        <v>97</v>
      </c>
      <c r="J385" s="16" t="inlineStr">
        <is>
          <t>green</t>
        </is>
      </c>
      <c r="K385" s="20" t="n">
        <v>111</v>
      </c>
      <c r="L385" s="18" t="n">
        <v>76.59</v>
      </c>
      <c r="M385" s="18" t="n">
        <v>918.78</v>
      </c>
      <c r="N385" s="18" t="n">
        <v>718.95</v>
      </c>
      <c r="O385" s="18" t="n">
        <v>466.29</v>
      </c>
      <c r="P385" s="18" t="n">
        <v>964.15</v>
      </c>
      <c r="Q385" s="18" t="n">
        <v>266.83</v>
      </c>
      <c r="R385" s="21">
        <f>IF(OR(G385="",P385=""),"",G385/P385-1)</f>
        <v/>
      </c>
      <c r="S385" s="19" t="n">
        <v>0.2433</v>
      </c>
      <c r="T385" s="22" t="n">
        <v>0.1171</v>
      </c>
      <c r="U385" s="16" t="inlineStr">
        <is>
          <t>Yes</t>
        </is>
      </c>
      <c r="V385" s="16" t="inlineStr">
        <is>
          <t>Yes</t>
        </is>
      </c>
      <c r="W385" s="16" t="inlineStr">
        <is>
          <t>Yes</t>
        </is>
      </c>
      <c r="X385" s="16" t="inlineStr">
        <is>
          <t>Yes</t>
        </is>
      </c>
      <c r="Y385" s="20" t="n">
        <v>87</v>
      </c>
      <c r="Z385" s="19" t="n">
        <v>0.5418999999999999</v>
      </c>
      <c r="AA385" s="18" t="n">
        <v>45.81</v>
      </c>
      <c r="AB385" s="16" t="inlineStr">
        <is>
          <t>Average</t>
        </is>
      </c>
      <c r="AC385" s="16" t="inlineStr">
        <is>
          <t>No</t>
        </is>
      </c>
      <c r="AD385" s="19" t="n">
        <v>0.0482</v>
      </c>
      <c r="AE385" s="19" t="n">
        <v>0.0859</v>
      </c>
      <c r="AF385" s="19" t="n">
        <v>1.7527</v>
      </c>
      <c r="AG385" s="19" t="n">
        <v>0.139</v>
      </c>
      <c r="AH385" s="23" t="n">
        <v>0.25</v>
      </c>
      <c r="AI385" s="23" t="n">
        <v>0.86</v>
      </c>
      <c r="AJ385" s="19" t="n">
        <v>0.242</v>
      </c>
    </row>
    <row r="386">
      <c r="A386" s="16" t="inlineStr">
        <is>
          <t>CASTROLIND</t>
        </is>
      </c>
      <c r="B386" s="16" t="inlineStr">
        <is>
          <t>Castrol India Ltd.</t>
        </is>
      </c>
      <c r="C386" s="16" t="inlineStr">
        <is>
          <t>Oil Marketing &amp; Distribution</t>
        </is>
      </c>
      <c r="D386" s="16" t="inlineStr">
        <is>
          <t>Oil &amp; Gas</t>
        </is>
      </c>
      <c r="E386" s="16" t="inlineStr">
        <is>
          <t>INE172A01027</t>
        </is>
      </c>
      <c r="F386" s="17" t="n">
        <v>18820.03</v>
      </c>
      <c r="G386" s="18" t="n">
        <v>190.27</v>
      </c>
      <c r="H386" s="19" t="n">
        <v>0.0207</v>
      </c>
      <c r="I386" s="20" t="n">
        <v>50</v>
      </c>
      <c r="J386" s="16" t="inlineStr">
        <is>
          <t>red</t>
        </is>
      </c>
      <c r="K386" s="20" t="n">
        <v>108</v>
      </c>
      <c r="L386" s="18" t="n">
        <v>60.74</v>
      </c>
      <c r="M386" s="18" t="n">
        <v>186.32</v>
      </c>
      <c r="N386" s="18" t="n">
        <v>182.43</v>
      </c>
      <c r="O386" s="18" t="n">
        <v>177.9</v>
      </c>
      <c r="P386" s="18" t="n">
        <v>192.83</v>
      </c>
      <c r="Q386" s="18" t="n">
        <v>167.91</v>
      </c>
      <c r="R386" s="21">
        <f>IF(OR(G386="",P386=""),"",G386/P386-1)</f>
        <v/>
      </c>
      <c r="S386" s="19" t="n">
        <v>1.5948</v>
      </c>
      <c r="T386" s="22" t="n">
        <v>0.0023</v>
      </c>
      <c r="U386" s="16" t="inlineStr">
        <is>
          <t>Yes</t>
        </is>
      </c>
      <c r="V386" s="16" t="inlineStr">
        <is>
          <t>Yes</t>
        </is>
      </c>
      <c r="W386" s="16" t="inlineStr">
        <is>
          <t>Yes</t>
        </is>
      </c>
      <c r="X386" s="16" t="inlineStr">
        <is>
          <t>Yes</t>
        </is>
      </c>
      <c r="Y386" s="20" t="n">
        <v>33</v>
      </c>
      <c r="Z386" s="19" t="n">
        <v>0.0255</v>
      </c>
      <c r="AA386" s="18" t="n">
        <v>73.28</v>
      </c>
      <c r="AB386" s="16" t="inlineStr">
        <is>
          <t>High</t>
        </is>
      </c>
      <c r="AC386" s="16" t="inlineStr">
        <is>
          <t>No</t>
        </is>
      </c>
      <c r="AD386" s="19" t="n">
        <v>0.4381</v>
      </c>
      <c r="AE386" s="19" t="n">
        <v>0.5784</v>
      </c>
      <c r="AF386" s="19" t="n">
        <v>0.0483</v>
      </c>
      <c r="AG386" s="19" t="n">
        <v>0.062</v>
      </c>
      <c r="AH386" s="23" t="n">
        <v>0.03</v>
      </c>
      <c r="AI386" s="23" t="n">
        <v>14.08</v>
      </c>
      <c r="AJ386" s="19" t="n">
        <v>0.1781</v>
      </c>
    </row>
    <row r="387">
      <c r="A387" s="16" t="inlineStr">
        <is>
          <t>ATUL</t>
        </is>
      </c>
      <c r="B387" s="16" t="inlineStr">
        <is>
          <t>Atul Ltd.</t>
        </is>
      </c>
      <c r="C387" s="16" t="inlineStr">
        <is>
          <t>Specialty Chemicals</t>
        </is>
      </c>
      <c r="D387" s="16" t="inlineStr">
        <is>
          <t>Chemicals &amp; Petrochemicals</t>
        </is>
      </c>
      <c r="E387" s="16" t="inlineStr">
        <is>
          <t>INE100A01010</t>
        </is>
      </c>
      <c r="F387" s="17" t="n">
        <v>18801.53</v>
      </c>
      <c r="G387" s="18" t="n">
        <v>6386</v>
      </c>
      <c r="H387" s="19" t="n">
        <v>-0.0128</v>
      </c>
      <c r="I387" s="20" t="n">
        <v>40</v>
      </c>
      <c r="J387" s="16" t="inlineStr">
        <is>
          <t>red</t>
        </is>
      </c>
      <c r="K387" s="20" t="n">
        <v>70</v>
      </c>
      <c r="L387" s="18" t="n">
        <v>30.11</v>
      </c>
      <c r="M387" s="18" t="n">
        <v>6469.38</v>
      </c>
      <c r="N387" s="18" t="n">
        <v>6501.05</v>
      </c>
      <c r="O387" s="18" t="n">
        <v>6388.79</v>
      </c>
      <c r="P387" s="18" t="n">
        <v>7073.12</v>
      </c>
      <c r="Q387" s="18" t="n">
        <v>5636.71</v>
      </c>
      <c r="R387" s="21">
        <f>IF(OR(G387="",P387=""),"",G387/P387-1)</f>
        <v/>
      </c>
      <c r="S387" s="19" t="n">
        <v>0.339</v>
      </c>
      <c r="T387" s="22" t="n">
        <v>0.0116</v>
      </c>
      <c r="U387" s="16" t="inlineStr">
        <is>
          <t>Yes</t>
        </is>
      </c>
      <c r="V387" s="16" t="inlineStr">
        <is>
          <t>No</t>
        </is>
      </c>
      <c r="W387" s="16" t="inlineStr">
        <is>
          <t>No</t>
        </is>
      </c>
      <c r="X387" s="16" t="inlineStr">
        <is>
          <t>Yes</t>
        </is>
      </c>
      <c r="Y387" s="20" t="n">
        <v>107</v>
      </c>
      <c r="Z387" s="19" t="n">
        <v>0.0176</v>
      </c>
      <c r="AA387" s="18" t="n">
        <v>47.34</v>
      </c>
      <c r="AB387" s="16" t="inlineStr">
        <is>
          <t>Average</t>
        </is>
      </c>
      <c r="AC387" s="16" t="inlineStr">
        <is>
          <t>No</t>
        </is>
      </c>
      <c r="AD387" s="19" t="n">
        <v>0.0862</v>
      </c>
      <c r="AE387" s="19" t="n">
        <v>0.1176</v>
      </c>
      <c r="AF387" s="19" t="n">
        <v>0.1768</v>
      </c>
      <c r="AG387" s="19" t="n">
        <v>0.0587</v>
      </c>
      <c r="AH387" s="23" t="n">
        <v>0.03</v>
      </c>
      <c r="AI387" s="23" t="n">
        <v>2.26</v>
      </c>
      <c r="AJ387" s="19" t="n">
        <v>0.0454</v>
      </c>
    </row>
    <row r="388">
      <c r="A388" s="16" t="inlineStr">
        <is>
          <t>FINCABLES</t>
        </is>
      </c>
      <c r="B388" s="16" t="inlineStr">
        <is>
          <t>Finolex Cables Ltd.</t>
        </is>
      </c>
      <c r="C388" s="16" t="inlineStr">
        <is>
          <t>Wires &amp; Cables</t>
        </is>
      </c>
      <c r="D388" s="16" t="inlineStr">
        <is>
          <t>Consumer Durables</t>
        </is>
      </c>
      <c r="E388" s="16" t="inlineStr">
        <is>
          <t>INE235A01022</t>
        </is>
      </c>
      <c r="F388" s="17" t="n">
        <v>18661.65</v>
      </c>
      <c r="G388" s="18" t="n">
        <v>1220.2</v>
      </c>
      <c r="H388" s="19" t="n">
        <v>-0.0346</v>
      </c>
      <c r="I388" s="20" t="n">
        <v>79</v>
      </c>
      <c r="J388" s="16" t="inlineStr">
        <is>
          <t>amber</t>
        </is>
      </c>
      <c r="K388" s="20" t="n">
        <v>1</v>
      </c>
      <c r="L388" s="18" t="n">
        <v>38.87</v>
      </c>
      <c r="M388" s="18" t="n">
        <v>1249.09</v>
      </c>
      <c r="N388" s="18" t="n">
        <v>1118.83</v>
      </c>
      <c r="O388" s="18" t="n">
        <v>937.64</v>
      </c>
      <c r="P388" s="18" t="n">
        <v>1319.95</v>
      </c>
      <c r="Q388" s="18" t="n">
        <v>705.77</v>
      </c>
      <c r="R388" s="21">
        <f>IF(OR(G388="",P388=""),"",G388/P388-1)</f>
        <v/>
      </c>
      <c r="S388" s="19" t="n">
        <v>0.9301999999999999</v>
      </c>
      <c r="T388" s="22" t="n">
        <v>0.0526</v>
      </c>
      <c r="U388" s="16" t="inlineStr">
        <is>
          <t>Yes</t>
        </is>
      </c>
      <c r="V388" s="16" t="inlineStr">
        <is>
          <t>Yes</t>
        </is>
      </c>
      <c r="W388" s="16" t="inlineStr">
        <is>
          <t>No</t>
        </is>
      </c>
      <c r="X388" s="16" t="inlineStr">
        <is>
          <t>Yes</t>
        </is>
      </c>
      <c r="Y388" s="20" t="n">
        <v>106</v>
      </c>
      <c r="Z388" s="19" t="n">
        <v>0.1932</v>
      </c>
      <c r="AA388" s="18" t="n">
        <v>64.7</v>
      </c>
      <c r="AB388" s="16" t="inlineStr">
        <is>
          <t>High</t>
        </is>
      </c>
      <c r="AC388" s="16" t="inlineStr">
        <is>
          <t>No</t>
        </is>
      </c>
      <c r="AD388" s="19" t="n">
        <v>0.1255</v>
      </c>
      <c r="AE388" s="19" t="n">
        <v>0.1648</v>
      </c>
      <c r="AF388" s="19" t="n">
        <v>0.1288</v>
      </c>
      <c r="AG388" s="19" t="n">
        <v>0.1284</v>
      </c>
      <c r="AH388" s="23" t="n">
        <v>0</v>
      </c>
      <c r="AI388" s="23" t="n">
        <v>6.64</v>
      </c>
      <c r="AJ388" s="19" t="n">
        <v>0.1105</v>
      </c>
    </row>
    <row r="389">
      <c r="A389" s="16" t="inlineStr">
        <is>
          <t>CAMS</t>
        </is>
      </c>
      <c r="B389" s="16" t="inlineStr">
        <is>
          <t>Computer Age Management Services Ltd.</t>
        </is>
      </c>
      <c r="C389" s="16" t="inlineStr">
        <is>
          <t>Data Processing Services</t>
        </is>
      </c>
      <c r="D389" s="16" t="inlineStr">
        <is>
          <t>Software &amp; Services</t>
        </is>
      </c>
      <c r="E389" s="16" t="inlineStr">
        <is>
          <t>INE596I01020</t>
        </is>
      </c>
      <c r="F389" s="17" t="n">
        <v>18601.57</v>
      </c>
      <c r="G389" s="18" t="n">
        <v>748.8</v>
      </c>
      <c r="H389" s="19" t="n">
        <v>0.0019</v>
      </c>
      <c r="I389" s="20" t="n">
        <v>44</v>
      </c>
      <c r="J389" s="16" t="inlineStr">
        <is>
          <t>red</t>
        </is>
      </c>
      <c r="K389" s="20" t="n">
        <v>53</v>
      </c>
      <c r="L389" s="18" t="n">
        <v>39.53</v>
      </c>
      <c r="M389" s="18" t="n">
        <v>752.62</v>
      </c>
      <c r="N389" s="18" t="n">
        <v>771.27</v>
      </c>
      <c r="O389" s="18" t="n">
        <v>740.1900000000001</v>
      </c>
      <c r="P389" s="18" t="n">
        <v>829.35</v>
      </c>
      <c r="Q389" s="18" t="n">
        <v>617.28</v>
      </c>
      <c r="R389" s="21">
        <f>IF(OR(G389="",P389=""),"",G389/P389-1)</f>
        <v/>
      </c>
      <c r="S389" s="19" t="n">
        <v>0.3475</v>
      </c>
      <c r="T389" s="22" t="n">
        <v>-0.0009</v>
      </c>
      <c r="U389" s="16" t="inlineStr">
        <is>
          <t>No</t>
        </is>
      </c>
      <c r="V389" s="16" t="inlineStr">
        <is>
          <t>No</t>
        </is>
      </c>
      <c r="W389" s="16" t="inlineStr">
        <is>
          <t>No</t>
        </is>
      </c>
      <c r="X389" s="16" t="inlineStr">
        <is>
          <t>Yes</t>
        </is>
      </c>
      <c r="Y389" s="20" t="n">
        <v>67</v>
      </c>
      <c r="Z389" s="19" t="n">
        <v>0.042</v>
      </c>
      <c r="AA389" s="18" t="n">
        <v>75.41</v>
      </c>
      <c r="AB389" s="16" t="inlineStr">
        <is>
          <t>High</t>
        </is>
      </c>
      <c r="AC389" s="16" t="inlineStr">
        <is>
          <t>No</t>
        </is>
      </c>
      <c r="AD389" s="19" t="n">
        <v>0.3890999999999999</v>
      </c>
      <c r="AE389" s="19" t="n">
        <v>0.4828</v>
      </c>
      <c r="AF389" s="19" t="n">
        <v>0.19</v>
      </c>
      <c r="AG389" s="19" t="n">
        <v>0.1623</v>
      </c>
      <c r="AH389" s="23" t="n">
        <v>0.05</v>
      </c>
      <c r="AI389" s="23" t="n">
        <v>7.88</v>
      </c>
      <c r="AJ389" s="19" t="n">
        <v>0.0058</v>
      </c>
    </row>
    <row r="390">
      <c r="A390" s="16" t="inlineStr">
        <is>
          <t>SUNTV</t>
        </is>
      </c>
      <c r="B390" s="16" t="inlineStr">
        <is>
          <t>Sun TV Network Ltd.</t>
        </is>
      </c>
      <c r="C390" s="16" t="inlineStr">
        <is>
          <t>Broadcasting &amp; Cable TV</t>
        </is>
      </c>
      <c r="D390" s="16" t="inlineStr">
        <is>
          <t>Media</t>
        </is>
      </c>
      <c r="E390" s="16" t="inlineStr">
        <is>
          <t>INE424H01027</t>
        </is>
      </c>
      <c r="F390" s="17" t="n">
        <v>18557.44</v>
      </c>
      <c r="G390" s="18" t="n">
        <v>470.9</v>
      </c>
      <c r="H390" s="19" t="n">
        <v>0.0107</v>
      </c>
      <c r="I390" s="20" t="n">
        <v>17</v>
      </c>
      <c r="J390" s="16" t="inlineStr">
        <is>
          <t>red</t>
        </is>
      </c>
      <c r="K390" s="20" t="n">
        <v>90</v>
      </c>
      <c r="L390" s="18" t="n">
        <v>38.64</v>
      </c>
      <c r="M390" s="18" t="n">
        <v>466.16</v>
      </c>
      <c r="N390" s="18" t="n">
        <v>486.39</v>
      </c>
      <c r="O390" s="18" t="n">
        <v>538.83</v>
      </c>
      <c r="P390" s="18" t="n">
        <v>645.77</v>
      </c>
      <c r="Q390" s="18" t="n">
        <v>460.6</v>
      </c>
      <c r="R390" s="21">
        <f>IF(OR(G390="",P390=""),"",G390/P390-1)</f>
        <v/>
      </c>
      <c r="S390" s="19" t="n">
        <v>1.8068</v>
      </c>
      <c r="T390" s="22" t="n">
        <v>-0.0139</v>
      </c>
      <c r="U390" s="16" t="inlineStr">
        <is>
          <t>No</t>
        </is>
      </c>
      <c r="V390" s="16" t="inlineStr">
        <is>
          <t>No</t>
        </is>
      </c>
      <c r="W390" s="16" t="inlineStr">
        <is>
          <t>Yes</t>
        </is>
      </c>
      <c r="X390" s="16" t="inlineStr">
        <is>
          <t>No</t>
        </is>
      </c>
      <c r="Y390" s="20" t="n">
        <v>61</v>
      </c>
      <c r="Z390" s="19" t="n">
        <v>-0.0973</v>
      </c>
      <c r="AA390" s="18" t="n">
        <v>40</v>
      </c>
      <c r="AB390" s="16" t="inlineStr">
        <is>
          <t>Average</t>
        </is>
      </c>
      <c r="AC390" s="16" t="inlineStr">
        <is>
          <t>No</t>
        </is>
      </c>
      <c r="AD390" s="19" t="n">
        <v>0.1476</v>
      </c>
      <c r="AE390" s="19" t="n">
        <v>0.1969</v>
      </c>
      <c r="AF390" s="19" t="n">
        <v>-0.0471</v>
      </c>
      <c r="AG390" s="19" t="n">
        <v>0.0508</v>
      </c>
      <c r="AH390" s="23" t="n">
        <v>0.01</v>
      </c>
      <c r="AI390" s="23" t="n">
        <v>5.21</v>
      </c>
      <c r="AJ390" s="19" t="n">
        <v>0.0367</v>
      </c>
    </row>
    <row r="391">
      <c r="A391" s="16" t="inlineStr">
        <is>
          <t>THELEELA</t>
        </is>
      </c>
      <c r="B391" s="16" t="inlineStr">
        <is>
          <t>Leela Palaces Hotels &amp; Resorts Ltd.</t>
        </is>
      </c>
      <c r="C391" s="16" t="inlineStr">
        <is>
          <t>Hotels</t>
        </is>
      </c>
      <c r="D391" s="16" t="inlineStr">
        <is>
          <t>Hotels Restaurants &amp; Tourism</t>
        </is>
      </c>
      <c r="E391" s="16" t="inlineStr">
        <is>
          <t>INE0AQ201015</t>
        </is>
      </c>
      <c r="F391" s="17" t="n">
        <v>18502.94</v>
      </c>
      <c r="G391" s="18" t="n">
        <v>554.05</v>
      </c>
      <c r="H391" s="19" t="n">
        <v>-0.0212</v>
      </c>
      <c r="I391" s="20" t="n">
        <v>77</v>
      </c>
      <c r="J391" s="16" t="inlineStr">
        <is>
          <t>amber</t>
        </is>
      </c>
      <c r="K391" s="20" t="n">
        <v>2</v>
      </c>
      <c r="L391" s="18" t="n">
        <v>70.95</v>
      </c>
      <c r="M391" s="18" t="n">
        <v>562.2</v>
      </c>
      <c r="N391" s="18" t="n">
        <v>508.94</v>
      </c>
      <c r="O391" s="18" t="n">
        <v>446.41</v>
      </c>
      <c r="P391" s="18" t="n">
        <v>575.35</v>
      </c>
      <c r="Q391" s="18" t="n">
        <v>389.65</v>
      </c>
      <c r="R391" s="21">
        <f>IF(OR(G391="",P391=""),"",G391/P391-1)</f>
        <v/>
      </c>
      <c r="S391" s="19" t="n">
        <v>0.8125</v>
      </c>
      <c r="T391" s="22" t="n">
        <v>0.0244</v>
      </c>
      <c r="U391" s="16" t="inlineStr">
        <is>
          <t>Yes</t>
        </is>
      </c>
      <c r="V391" s="16" t="inlineStr">
        <is>
          <t>Yes</t>
        </is>
      </c>
      <c r="W391" s="16" t="inlineStr">
        <is>
          <t>No</t>
        </is>
      </c>
      <c r="X391" s="16" t="inlineStr">
        <is>
          <t>Yes</t>
        </is>
      </c>
      <c r="Y391" s="20" t="n">
        <v>55</v>
      </c>
      <c r="Z391" s="19" t="n">
        <v>0.1401</v>
      </c>
      <c r="AA391" s="18" t="n">
        <v>50.72</v>
      </c>
      <c r="AB391" s="16" t="inlineStr">
        <is>
          <t>Average</t>
        </is>
      </c>
      <c r="AC391" s="16" t="inlineStr">
        <is>
          <t>No</t>
        </is>
      </c>
      <c r="AD391" s="19" t="n">
        <v>0.0257</v>
      </c>
      <c r="AE391" s="19" t="n">
        <v>0.1449</v>
      </c>
      <c r="AF391" s="19" t="n">
        <v>11.1644</v>
      </c>
      <c r="AG391" s="19" t="n">
        <v>0.2155</v>
      </c>
      <c r="AH391" s="23" t="n">
        <v>0.28</v>
      </c>
      <c r="AI391" s="23" t="n">
        <v>0.22</v>
      </c>
      <c r="AJ391" s="19" t="n">
        <v>0.0336</v>
      </c>
    </row>
    <row r="392">
      <c r="A392" s="16" t="inlineStr">
        <is>
          <t>FSL</t>
        </is>
      </c>
      <c r="B392" s="16" t="inlineStr">
        <is>
          <t>Firstsource Solutions Ltd.</t>
        </is>
      </c>
      <c r="C392" s="16" t="inlineStr">
        <is>
          <t>BPO/KPO</t>
        </is>
      </c>
      <c r="D392" s="16" t="inlineStr">
        <is>
          <t>Software &amp; Services</t>
        </is>
      </c>
      <c r="E392" s="16" t="inlineStr">
        <is>
          <t>INE684F01012</t>
        </is>
      </c>
      <c r="F392" s="17" t="n">
        <v>18440.56</v>
      </c>
      <c r="G392" s="18" t="n">
        <v>264.4</v>
      </c>
      <c r="H392" s="19" t="n">
        <v>-0.0034</v>
      </c>
      <c r="I392" s="20" t="n">
        <v>32</v>
      </c>
      <c r="J392" s="16" t="inlineStr">
        <is>
          <t>red</t>
        </is>
      </c>
      <c r="K392" s="20" t="n">
        <v>22</v>
      </c>
      <c r="L392" s="18" t="n">
        <v>46.51</v>
      </c>
      <c r="M392" s="18" t="n">
        <v>267.34</v>
      </c>
      <c r="N392" s="18" t="n">
        <v>268.72</v>
      </c>
      <c r="O392" s="18" t="n">
        <v>269.47</v>
      </c>
      <c r="P392" s="18" t="n">
        <v>367.77</v>
      </c>
      <c r="Q392" s="18" t="n">
        <v>204.39</v>
      </c>
      <c r="R392" s="21">
        <f>IF(OR(G392="",P392=""),"",G392/P392-1)</f>
        <v/>
      </c>
      <c r="S392" s="19" t="n">
        <v>0.2028</v>
      </c>
      <c r="T392" s="22" t="n">
        <v>-0.0261</v>
      </c>
      <c r="U392" s="16" t="inlineStr">
        <is>
          <t>No</t>
        </is>
      </c>
      <c r="V392" s="16" t="inlineStr">
        <is>
          <t>No</t>
        </is>
      </c>
      <c r="W392" s="16" t="inlineStr">
        <is>
          <t>No</t>
        </is>
      </c>
      <c r="X392" s="16" t="inlineStr">
        <is>
          <t>No</t>
        </is>
      </c>
      <c r="Y392" s="20" t="n">
        <v>233</v>
      </c>
      <c r="Z392" s="19" t="n">
        <v>-0.0028</v>
      </c>
      <c r="AA392" s="18" t="n">
        <v>49.73</v>
      </c>
      <c r="AB392" s="16" t="inlineStr">
        <is>
          <t>Average</t>
        </is>
      </c>
      <c r="AC392" s="16" t="inlineStr">
        <is>
          <t>No</t>
        </is>
      </c>
      <c r="AD392" s="19" t="n">
        <v>0.146</v>
      </c>
      <c r="AE392" s="19" t="n">
        <v>0.1383</v>
      </c>
      <c r="AF392" s="19" t="n">
        <v>0.0951</v>
      </c>
      <c r="AG392" s="19" t="n">
        <v>0.1743</v>
      </c>
      <c r="AH392" s="23" t="n">
        <v>0.67</v>
      </c>
      <c r="AI392" s="23" t="n">
        <v>8.039999999999999</v>
      </c>
      <c r="AJ392" s="19" t="n">
        <v>0.025</v>
      </c>
    </row>
    <row r="393">
      <c r="A393" s="16" t="inlineStr">
        <is>
          <t>SAMMAANCAP</t>
        </is>
      </c>
      <c r="B393" s="16" t="inlineStr">
        <is>
          <t>Sammaan Capital Ltd.</t>
        </is>
      </c>
      <c r="C393" s="16" t="inlineStr">
        <is>
          <t>Housing Finance</t>
        </is>
      </c>
      <c r="D393" s="16" t="inlineStr">
        <is>
          <t>Banking and Finance</t>
        </is>
      </c>
      <c r="E393" s="16" t="inlineStr">
        <is>
          <t>INE148I01020</t>
        </is>
      </c>
      <c r="F393" s="17" t="n">
        <v>18413.68</v>
      </c>
      <c r="G393" s="18" t="n">
        <v>158.39</v>
      </c>
      <c r="H393" s="19" t="n">
        <v>0.0305</v>
      </c>
      <c r="I393" s="20" t="n">
        <v>41</v>
      </c>
      <c r="J393" s="16" t="inlineStr">
        <is>
          <t>red</t>
        </is>
      </c>
      <c r="K393" s="20" t="n">
        <v>16</v>
      </c>
      <c r="L393" s="18" t="n">
        <v>58.83</v>
      </c>
      <c r="M393" s="18" t="n">
        <v>150.05</v>
      </c>
      <c r="N393" s="18" t="n">
        <v>160.26</v>
      </c>
      <c r="O393" s="18" t="n">
        <v>153.47</v>
      </c>
      <c r="P393" s="18" t="n">
        <v>189.93</v>
      </c>
      <c r="Q393" s="18" t="n">
        <v>130</v>
      </c>
      <c r="R393" s="21">
        <f>IF(OR(G393="",P393=""),"",G393/P393-1)</f>
        <v/>
      </c>
      <c r="S393" s="19" t="n">
        <v>1.7964</v>
      </c>
      <c r="T393" s="22" t="n">
        <v>-0.0183</v>
      </c>
      <c r="U393" s="16" t="inlineStr">
        <is>
          <t>No</t>
        </is>
      </c>
      <c r="V393" s="16" t="inlineStr">
        <is>
          <t>No</t>
        </is>
      </c>
      <c r="W393" s="16" t="inlineStr">
        <is>
          <t>Yes</t>
        </is>
      </c>
      <c r="X393" s="16" t="inlineStr">
        <is>
          <t>Yes</t>
        </is>
      </c>
      <c r="Y393" s="20" t="n">
        <v>70</v>
      </c>
      <c r="Z393" s="19" t="n">
        <v>0.0442</v>
      </c>
      <c r="AA393" s="18" t="n">
        <v>18.91</v>
      </c>
      <c r="AB393" s="16" t="inlineStr">
        <is>
          <t>Poor</t>
        </is>
      </c>
      <c r="AC393" s="16" t="inlineStr">
        <is>
          <t>Yes</t>
        </is>
      </c>
      <c r="AD393" s="19" t="n">
        <v>-0.1325</v>
      </c>
      <c r="AE393" s="19" t="n">
        <v>0.012</v>
      </c>
      <c r="AF393" s="19" t="n">
        <v>-0.3624</v>
      </c>
      <c r="AG393" s="19" t="n">
        <v>0.3535</v>
      </c>
      <c r="AH393" s="23" t="n">
        <v>2.52</v>
      </c>
      <c r="AI393" s="23" t="n">
        <v>18.19</v>
      </c>
      <c r="AJ393" s="19" t="n">
        <v>0</v>
      </c>
    </row>
    <row r="394">
      <c r="A394" s="16" t="inlineStr">
        <is>
          <t>TRITURBINE</t>
        </is>
      </c>
      <c r="B394" s="16" t="inlineStr">
        <is>
          <t>Triveni Turbine Ltd.</t>
        </is>
      </c>
      <c r="C394" s="16" t="inlineStr">
        <is>
          <t>Heavy Electrical Equipment</t>
        </is>
      </c>
      <c r="D394" s="16" t="inlineStr">
        <is>
          <t>General Industrials</t>
        </is>
      </c>
      <c r="E394" s="16" t="inlineStr">
        <is>
          <t>INE152M01016</t>
        </is>
      </c>
      <c r="F394" s="17" t="n">
        <v>18352.28</v>
      </c>
      <c r="G394" s="18" t="n">
        <v>577.3</v>
      </c>
      <c r="H394" s="19" t="n">
        <v>0.0098</v>
      </c>
      <c r="I394" s="20" t="n">
        <v>44</v>
      </c>
      <c r="J394" s="16" t="inlineStr">
        <is>
          <t>red</t>
        </is>
      </c>
      <c r="K394" s="20" t="n">
        <v>18</v>
      </c>
      <c r="L394" s="18" t="n">
        <v>39.65</v>
      </c>
      <c r="M394" s="18" t="n">
        <v>574.87</v>
      </c>
      <c r="N394" s="18" t="n">
        <v>608.65</v>
      </c>
      <c r="O394" s="18" t="n">
        <v>559.54</v>
      </c>
      <c r="P394" s="18" t="n">
        <v>738.9400000000001</v>
      </c>
      <c r="Q394" s="18" t="n">
        <v>433.75</v>
      </c>
      <c r="R394" s="21">
        <f>IF(OR(G394="",P394=""),"",G394/P394-1)</f>
        <v/>
      </c>
      <c r="S394" s="19" t="n">
        <v>0.3586</v>
      </c>
      <c r="T394" s="22" t="n">
        <v>0.0097</v>
      </c>
      <c r="U394" s="16" t="inlineStr">
        <is>
          <t>Yes</t>
        </is>
      </c>
      <c r="V394" s="16" t="inlineStr">
        <is>
          <t>No</t>
        </is>
      </c>
      <c r="W394" s="16" t="inlineStr">
        <is>
          <t>Yes</t>
        </is>
      </c>
      <c r="X394" s="16" t="inlineStr">
        <is>
          <t>Yes</t>
        </is>
      </c>
      <c r="Y394" s="20" t="n">
        <v>77</v>
      </c>
      <c r="Z394" s="19" t="n">
        <v>0.08779999999999999</v>
      </c>
      <c r="AA394" s="18" t="n">
        <v>40</v>
      </c>
      <c r="AB394" s="16" t="inlineStr">
        <is>
          <t>Average</t>
        </is>
      </c>
      <c r="AC394" s="16" t="inlineStr">
        <is>
          <t>No</t>
        </is>
      </c>
      <c r="AD394" s="19" t="n">
        <v>0.272</v>
      </c>
      <c r="AE394" s="19" t="n">
        <v>0.3622</v>
      </c>
      <c r="AF394" s="19" t="n">
        <v>-0.0832</v>
      </c>
      <c r="AG394" s="19" t="n">
        <v>0.2123</v>
      </c>
      <c r="AH394" s="23" t="n">
        <v>0.02</v>
      </c>
      <c r="AI394" s="23" t="n">
        <v>5.89</v>
      </c>
      <c r="AJ394" s="19" t="n">
        <v>0.0459</v>
      </c>
    </row>
    <row r="395">
      <c r="A395" s="16" t="inlineStr">
        <is>
          <t>TBOTEK</t>
        </is>
      </c>
      <c r="B395" s="16" t="inlineStr">
        <is>
          <t>TBO Tek Ltd.</t>
        </is>
      </c>
      <c r="C395" s="16" t="inlineStr">
        <is>
          <t>Travel Support Services</t>
        </is>
      </c>
      <c r="D395" s="16" t="inlineStr">
        <is>
          <t>Diversified Consumer Services</t>
        </is>
      </c>
      <c r="E395" s="16" t="inlineStr">
        <is>
          <t>INE673O01025</t>
        </is>
      </c>
      <c r="F395" s="17" t="n">
        <v>18339.39</v>
      </c>
      <c r="G395" s="18" t="n">
        <v>1688.9</v>
      </c>
      <c r="H395" s="19" t="n">
        <v>-0.0258</v>
      </c>
      <c r="I395" s="20" t="n">
        <v>72</v>
      </c>
      <c r="J395" s="16" t="inlineStr">
        <is>
          <t>amber</t>
        </is>
      </c>
      <c r="K395" s="20" t="n">
        <v>30</v>
      </c>
      <c r="L395" s="18" t="n">
        <v>48.46</v>
      </c>
      <c r="M395" s="18" t="n">
        <v>1709.49</v>
      </c>
      <c r="N395" s="18" t="n">
        <v>1576.99</v>
      </c>
      <c r="O395" s="18" t="n">
        <v>1429.46</v>
      </c>
      <c r="P395" s="18" t="n">
        <v>1745.1</v>
      </c>
      <c r="Q395" s="18" t="n">
        <v>1018</v>
      </c>
      <c r="R395" s="21">
        <f>IF(OR(G395="",P395=""),"",G395/P395-1)</f>
        <v/>
      </c>
      <c r="S395" s="19" t="n">
        <v>0.2194</v>
      </c>
      <c r="T395" s="22" t="n">
        <v>0.0074</v>
      </c>
      <c r="U395" s="16" t="inlineStr">
        <is>
          <t>Yes</t>
        </is>
      </c>
      <c r="V395" s="16" t="inlineStr">
        <is>
          <t>Yes</t>
        </is>
      </c>
      <c r="W395" s="16" t="inlineStr">
        <is>
          <t>No</t>
        </is>
      </c>
      <c r="X395" s="16" t="inlineStr">
        <is>
          <t>Yes</t>
        </is>
      </c>
      <c r="Y395" s="20" t="n">
        <v>23</v>
      </c>
      <c r="Z395" s="19" t="n">
        <v>0.1032</v>
      </c>
      <c r="AA395" s="18" t="n">
        <v>66.62</v>
      </c>
      <c r="AB395" s="16" t="inlineStr">
        <is>
          <t>High</t>
        </is>
      </c>
      <c r="AC395" s="16" t="inlineStr">
        <is>
          <t>No</t>
        </is>
      </c>
      <c r="AD395" s="19" t="n">
        <v>0.2403</v>
      </c>
      <c r="AE395" s="19" t="n">
        <v>0.224</v>
      </c>
      <c r="AF395" s="19" t="n">
        <v>0.2051</v>
      </c>
      <c r="AG395" s="19" t="n">
        <v>0.3733</v>
      </c>
      <c r="AH395" s="23" t="n">
        <v>0.49</v>
      </c>
      <c r="AI395" s="23" t="n">
        <v>22.01</v>
      </c>
      <c r="AJ395" s="19" t="n">
        <v>0</v>
      </c>
    </row>
    <row r="396">
      <c r="A396" s="16" t="inlineStr">
        <is>
          <t>ERIS</t>
        </is>
      </c>
      <c r="B396" s="16" t="inlineStr">
        <is>
          <t>Eris Lifesciences Ltd.</t>
        </is>
      </c>
      <c r="C396" s="16" t="inlineStr">
        <is>
          <t>Pharmaceuticals</t>
        </is>
      </c>
      <c r="D396" s="16" t="inlineStr">
        <is>
          <t>Pharmaceuticals &amp; Biotechnology</t>
        </is>
      </c>
      <c r="E396" s="16" t="inlineStr">
        <is>
          <t>INE406M01024</t>
        </is>
      </c>
      <c r="F396" s="17" t="n">
        <v>18316.55</v>
      </c>
      <c r="G396" s="18" t="n">
        <v>1321.7</v>
      </c>
      <c r="H396" s="19" t="n">
        <v>0.014</v>
      </c>
      <c r="I396" s="20" t="n">
        <v>21</v>
      </c>
      <c r="J396" s="16" t="inlineStr">
        <is>
          <t>red</t>
        </is>
      </c>
      <c r="K396" s="20" t="n">
        <v>111</v>
      </c>
      <c r="L396" s="18" t="n">
        <v>38.21</v>
      </c>
      <c r="M396" s="18" t="n">
        <v>1306.11</v>
      </c>
      <c r="N396" s="18" t="n">
        <v>1386.22</v>
      </c>
      <c r="O396" s="18" t="n">
        <v>1411.85</v>
      </c>
      <c r="P396" s="18" t="n">
        <v>1770.4</v>
      </c>
      <c r="Q396" s="18" t="n">
        <v>1264.22</v>
      </c>
      <c r="R396" s="21">
        <f>IF(OR(G396="",P396=""),"",G396/P396-1)</f>
        <v/>
      </c>
      <c r="S396" s="19" t="n">
        <v>0.7223999999999999</v>
      </c>
      <c r="T396" s="22" t="n">
        <v>-0.0174</v>
      </c>
      <c r="U396" s="16" t="inlineStr">
        <is>
          <t>No</t>
        </is>
      </c>
      <c r="V396" s="16" t="inlineStr">
        <is>
          <t>No</t>
        </is>
      </c>
      <c r="W396" s="16" t="inlineStr">
        <is>
          <t>Yes</t>
        </is>
      </c>
      <c r="X396" s="16" t="inlineStr">
        <is>
          <t>No</t>
        </is>
      </c>
      <c r="Y396" s="20" t="n">
        <v>174</v>
      </c>
      <c r="Z396" s="19" t="n">
        <v>-0.0182</v>
      </c>
      <c r="AA396" s="18" t="n">
        <v>52.6</v>
      </c>
      <c r="AB396" s="16" t="inlineStr">
        <is>
          <t>Good</t>
        </is>
      </c>
      <c r="AC396" s="16" t="inlineStr">
        <is>
          <t>No</t>
        </is>
      </c>
      <c r="AD396" s="19" t="n">
        <v>0.1445</v>
      </c>
      <c r="AE396" s="19" t="n">
        <v>0.1214</v>
      </c>
      <c r="AF396" s="19" t="n">
        <v>0.2252</v>
      </c>
      <c r="AG396" s="19" t="n">
        <v>0.242</v>
      </c>
      <c r="AH396" s="23" t="n">
        <v>0.6</v>
      </c>
      <c r="AI396" s="23" t="n">
        <v>3.54</v>
      </c>
      <c r="AJ396" s="19" t="n">
        <v>0.1949</v>
      </c>
    </row>
    <row r="397">
      <c r="A397" s="16" t="inlineStr">
        <is>
          <t>EIHOTEL</t>
        </is>
      </c>
      <c r="B397" s="16" t="inlineStr">
        <is>
          <t>EIH Ltd.</t>
        </is>
      </c>
      <c r="C397" s="16" t="inlineStr">
        <is>
          <t>Hotels</t>
        </is>
      </c>
      <c r="D397" s="16" t="inlineStr">
        <is>
          <t>Hotels Restaurants &amp; Tourism</t>
        </is>
      </c>
      <c r="E397" s="16" t="inlineStr">
        <is>
          <t>INE230A01023</t>
        </is>
      </c>
      <c r="F397" s="17" t="n">
        <v>18254.38</v>
      </c>
      <c r="G397" s="18" t="n">
        <v>291.9</v>
      </c>
      <c r="H397" s="19" t="n">
        <v>0.004</v>
      </c>
      <c r="I397" s="20" t="n">
        <v>17</v>
      </c>
      <c r="J397" s="16" t="inlineStr">
        <is>
          <t>red</t>
        </is>
      </c>
      <c r="K397" s="20" t="n">
        <v>183</v>
      </c>
      <c r="L397" s="18" t="n">
        <v>46.67</v>
      </c>
      <c r="M397" s="18" t="n">
        <v>293.32</v>
      </c>
      <c r="N397" s="18" t="n">
        <v>315.88</v>
      </c>
      <c r="O397" s="18" t="n">
        <v>326.04</v>
      </c>
      <c r="P397" s="18" t="n">
        <v>416.26</v>
      </c>
      <c r="Q397" s="18" t="n">
        <v>272.31</v>
      </c>
      <c r="R397" s="21">
        <f>IF(OR(G397="",P397=""),"",G397/P397-1)</f>
        <v/>
      </c>
      <c r="S397" s="19" t="n">
        <v>0.7193000000000001</v>
      </c>
      <c r="T397" s="22" t="n">
        <v>-0.0262</v>
      </c>
      <c r="U397" s="16" t="inlineStr">
        <is>
          <t>No</t>
        </is>
      </c>
      <c r="V397" s="16" t="inlineStr">
        <is>
          <t>No</t>
        </is>
      </c>
      <c r="W397" s="16" t="inlineStr">
        <is>
          <t>No</t>
        </is>
      </c>
      <c r="X397" s="16" t="inlineStr">
        <is>
          <t>No</t>
        </is>
      </c>
      <c r="Y397" s="20" t="n">
        <v>168</v>
      </c>
      <c r="Z397" s="19" t="n">
        <v>-0.0311</v>
      </c>
      <c r="AA397" s="18" t="n">
        <v>62.37</v>
      </c>
      <c r="AB397" s="16" t="inlineStr">
        <is>
          <t>Good</t>
        </is>
      </c>
      <c r="AC397" s="16" t="inlineStr">
        <is>
          <t>No</t>
        </is>
      </c>
      <c r="AD397" s="19" t="n">
        <v>0.1473</v>
      </c>
      <c r="AE397" s="19" t="n">
        <v>0.2055</v>
      </c>
      <c r="AF397" s="19" t="n">
        <v>0.3462</v>
      </c>
      <c r="AG397" s="19" t="n">
        <v>0.136</v>
      </c>
      <c r="AH397" s="23" t="n">
        <v>0.05</v>
      </c>
      <c r="AI397" s="23" t="n">
        <v>0.82</v>
      </c>
      <c r="AJ397" s="19" t="n">
        <v>0.0639</v>
      </c>
    </row>
    <row r="398">
      <c r="A398" s="16" t="inlineStr">
        <is>
          <t>AZAD</t>
        </is>
      </c>
      <c r="B398" s="16" t="inlineStr">
        <is>
          <t>Azad Engineering Ltd.</t>
        </is>
      </c>
      <c r="C398" s="16" t="inlineStr">
        <is>
          <t>Industrial Machinery</t>
        </is>
      </c>
      <c r="D398" s="16" t="inlineStr">
        <is>
          <t>General Industrials</t>
        </is>
      </c>
      <c r="E398" s="16" t="inlineStr">
        <is>
          <t>INE02IJ01035</t>
        </is>
      </c>
      <c r="F398" s="17" t="n">
        <v>17936.28</v>
      </c>
      <c r="G398" s="18" t="n">
        <v>2777.3</v>
      </c>
      <c r="H398" s="19" t="n">
        <v>0.0038</v>
      </c>
      <c r="I398" s="20" t="n">
        <v>86</v>
      </c>
      <c r="J398" s="16" t="inlineStr">
        <is>
          <t>green</t>
        </is>
      </c>
      <c r="K398" s="20" t="n">
        <v>26</v>
      </c>
      <c r="L398" s="18" t="n">
        <v>36.77</v>
      </c>
      <c r="M398" s="18" t="n">
        <v>2814.31</v>
      </c>
      <c r="N398" s="18" t="n">
        <v>2495.4</v>
      </c>
      <c r="O398" s="18" t="n">
        <v>1948.15</v>
      </c>
      <c r="P398" s="18" t="n">
        <v>2899.9</v>
      </c>
      <c r="Q398" s="18" t="n">
        <v>1366.5</v>
      </c>
      <c r="R398" s="21">
        <f>IF(OR(G398="",P398=""),"",G398/P398-1)</f>
        <v/>
      </c>
      <c r="S398" s="19" t="n">
        <v>0.3851</v>
      </c>
      <c r="T398" s="22" t="n">
        <v>0.0601</v>
      </c>
      <c r="U398" s="16" t="inlineStr">
        <is>
          <t>Yes</t>
        </is>
      </c>
      <c r="V398" s="16" t="inlineStr">
        <is>
          <t>Yes</t>
        </is>
      </c>
      <c r="W398" s="16" t="inlineStr">
        <is>
          <t>No</t>
        </is>
      </c>
      <c r="X398" s="16" t="inlineStr">
        <is>
          <t>Yes</t>
        </is>
      </c>
      <c r="Y398" s="20" t="n">
        <v>101</v>
      </c>
      <c r="Z398" s="19" t="n">
        <v>0.2809</v>
      </c>
      <c r="AA398" s="18" t="n">
        <v>53.98</v>
      </c>
      <c r="AB398" s="16" t="inlineStr">
        <is>
          <t>Good</t>
        </is>
      </c>
      <c r="AC398" s="16" t="inlineStr">
        <is>
          <t>No</t>
        </is>
      </c>
      <c r="AD398" s="19" t="n">
        <v>0.0801</v>
      </c>
      <c r="AE398" s="19" t="n">
        <v>0.1202</v>
      </c>
      <c r="AF398" s="19" t="n">
        <v>2.5147</v>
      </c>
      <c r="AG398" s="19" t="n">
        <v>0.3568</v>
      </c>
      <c r="AH398" s="23" t="n">
        <v>0.31</v>
      </c>
      <c r="AI398" s="23" t="n">
        <v>0.58</v>
      </c>
      <c r="AJ398" s="19" t="n">
        <v>0.2478</v>
      </c>
    </row>
    <row r="399">
      <c r="A399" s="16" t="inlineStr">
        <is>
          <t>BAYERCROP</t>
        </is>
      </c>
      <c r="B399" s="16" t="inlineStr">
        <is>
          <t>Bayer Cropscience Ltd.</t>
        </is>
      </c>
      <c r="C399" s="16" t="inlineStr">
        <is>
          <t>Agrochemicals</t>
        </is>
      </c>
      <c r="D399" s="16" t="inlineStr">
        <is>
          <t>Chemicals &amp; Petrochemicals</t>
        </is>
      </c>
      <c r="E399" s="16" t="inlineStr">
        <is>
          <t>INE462A01022</t>
        </is>
      </c>
      <c r="F399" s="17" t="n">
        <v>17931.45</v>
      </c>
      <c r="G399" s="18" t="n">
        <v>3989.9</v>
      </c>
      <c r="H399" s="19" t="n">
        <v>0.0073</v>
      </c>
      <c r="I399" s="20" t="n">
        <v>20</v>
      </c>
      <c r="J399" s="16" t="inlineStr">
        <is>
          <t>red</t>
        </is>
      </c>
      <c r="K399" s="20" t="n">
        <v>101</v>
      </c>
      <c r="L399" s="18" t="n">
        <v>32.66</v>
      </c>
      <c r="M399" s="18" t="n">
        <v>4011.82</v>
      </c>
      <c r="N399" s="18" t="n">
        <v>4111.3</v>
      </c>
      <c r="O399" s="18" t="n">
        <v>4373.33</v>
      </c>
      <c r="P399" s="18" t="n">
        <v>5167.98</v>
      </c>
      <c r="Q399" s="18" t="n">
        <v>3960.8</v>
      </c>
      <c r="R399" s="21">
        <f>IF(OR(G399="",P399=""),"",G399/P399-1)</f>
        <v/>
      </c>
      <c r="S399" s="19" t="n">
        <v>0.4819</v>
      </c>
      <c r="T399" s="22" t="n">
        <v>-0.0125</v>
      </c>
      <c r="U399" s="16" t="inlineStr">
        <is>
          <t>No</t>
        </is>
      </c>
      <c r="V399" s="16" t="inlineStr">
        <is>
          <t>No</t>
        </is>
      </c>
      <c r="W399" s="16" t="inlineStr">
        <is>
          <t>No</t>
        </is>
      </c>
      <c r="X399" s="16" t="inlineStr">
        <is>
          <t>No</t>
        </is>
      </c>
      <c r="Y399" s="20" t="n">
        <v>223</v>
      </c>
      <c r="Z399" s="19" t="n">
        <v>-0.0599</v>
      </c>
      <c r="AA399" s="18" t="n">
        <v>40</v>
      </c>
      <c r="AB399" s="16" t="inlineStr">
        <is>
          <t>Average</t>
        </is>
      </c>
      <c r="AC399" s="16" t="inlineStr">
        <is>
          <t>No</t>
        </is>
      </c>
      <c r="AD399" s="19" t="n">
        <v>0.2305</v>
      </c>
      <c r="AE399" s="19" t="n">
        <v>0.288</v>
      </c>
      <c r="AF399" s="19" t="n">
        <v>-0.0143</v>
      </c>
      <c r="AG399" s="19" t="n">
        <v>0.0367</v>
      </c>
      <c r="AH399" s="23" t="n">
        <v>0.03</v>
      </c>
      <c r="AI399" s="23" t="n">
        <v>13.45</v>
      </c>
      <c r="AJ399" s="19" t="n">
        <v>0.0176</v>
      </c>
    </row>
    <row r="400">
      <c r="A400" s="16" t="inlineStr">
        <is>
          <t>ECLERX</t>
        </is>
      </c>
      <c r="B400" s="16" t="inlineStr">
        <is>
          <t>eClerx Services Ltd.</t>
        </is>
      </c>
      <c r="C400" s="16" t="inlineStr">
        <is>
          <t>BPO/KPO</t>
        </is>
      </c>
      <c r="D400" s="16" t="inlineStr">
        <is>
          <t>Software &amp; Services</t>
        </is>
      </c>
      <c r="E400" s="16" t="inlineStr">
        <is>
          <t>INE738I01010</t>
        </is>
      </c>
      <c r="F400" s="17" t="n">
        <v>17923.24</v>
      </c>
      <c r="G400" s="18" t="n">
        <v>1905.7</v>
      </c>
      <c r="H400" s="19" t="n">
        <v>-0.0335</v>
      </c>
      <c r="I400" s="20" t="n">
        <v>57</v>
      </c>
      <c r="J400" s="16" t="inlineStr">
        <is>
          <t>red</t>
        </is>
      </c>
      <c r="K400" s="20" t="n">
        <v>1</v>
      </c>
      <c r="L400" s="18" t="n">
        <v>57.03</v>
      </c>
      <c r="M400" s="18" t="n">
        <v>1959.12</v>
      </c>
      <c r="N400" s="18" t="n">
        <v>1785.41</v>
      </c>
      <c r="O400" s="18" t="n">
        <v>1808.81</v>
      </c>
      <c r="P400" s="18" t="n">
        <v>2472.13</v>
      </c>
      <c r="Q400" s="18" t="n">
        <v>1324.17</v>
      </c>
      <c r="R400" s="21">
        <f>IF(OR(G400="",P400=""),"",G400/P400-1)</f>
        <v/>
      </c>
      <c r="S400" s="19" t="n">
        <v>0.6177</v>
      </c>
      <c r="T400" s="22" t="n">
        <v>-0.0208</v>
      </c>
      <c r="U400" s="16" t="inlineStr">
        <is>
          <t>No</t>
        </is>
      </c>
      <c r="V400" s="16" t="inlineStr">
        <is>
          <t>Yes</t>
        </is>
      </c>
      <c r="W400" s="16" t="inlineStr">
        <is>
          <t>No</t>
        </is>
      </c>
      <c r="X400" s="16" t="inlineStr">
        <is>
          <t>No</t>
        </is>
      </c>
      <c r="Y400" s="20" t="n">
        <v>124</v>
      </c>
      <c r="Z400" s="19" t="n">
        <v>-0.0129</v>
      </c>
      <c r="AA400" s="18" t="n">
        <v>69.14</v>
      </c>
      <c r="AB400" s="16" t="inlineStr">
        <is>
          <t>High</t>
        </is>
      </c>
      <c r="AC400" s="16" t="inlineStr">
        <is>
          <t>No</t>
        </is>
      </c>
      <c r="AD400" s="19" t="n">
        <v>0.246</v>
      </c>
      <c r="AE400" s="19" t="n">
        <v>0.2994</v>
      </c>
      <c r="AF400" s="19" t="n">
        <v>0.1587</v>
      </c>
      <c r="AG400" s="19" t="n">
        <v>0.1594</v>
      </c>
      <c r="AH400" s="23" t="n">
        <v>0.15</v>
      </c>
      <c r="AI400" s="23" t="n">
        <v>7.57</v>
      </c>
      <c r="AJ400" s="19" t="n">
        <v>0.009000000000000001</v>
      </c>
    </row>
    <row r="401">
      <c r="A401" s="16" t="inlineStr">
        <is>
          <t>SARDAEN</t>
        </is>
      </c>
      <c r="B401" s="16" t="inlineStr">
        <is>
          <t>Sarda Energy &amp; Minerals Ltd.</t>
        </is>
      </c>
      <c r="C401" s="16" t="inlineStr">
        <is>
          <t>Iron &amp; Steel/Interm.Products</t>
        </is>
      </c>
      <c r="D401" s="16" t="inlineStr">
        <is>
          <t>Metals &amp; Mining</t>
        </is>
      </c>
      <c r="E401" s="16" t="inlineStr">
        <is>
          <t>INE385C01021</t>
        </is>
      </c>
      <c r="F401" s="17" t="n">
        <v>17920.35</v>
      </c>
      <c r="G401" s="18" t="n">
        <v>508.55</v>
      </c>
      <c r="H401" s="19" t="n">
        <v>0.0039</v>
      </c>
      <c r="I401" s="20" t="n">
        <v>30</v>
      </c>
      <c r="J401" s="16" t="inlineStr">
        <is>
          <t>red</t>
        </is>
      </c>
      <c r="K401" s="20" t="n">
        <v>65</v>
      </c>
      <c r="L401" s="18" t="n">
        <v>40.44</v>
      </c>
      <c r="M401" s="18" t="n">
        <v>504.29</v>
      </c>
      <c r="N401" s="18" t="n">
        <v>503.6</v>
      </c>
      <c r="O401" s="18" t="n">
        <v>517.85</v>
      </c>
      <c r="P401" s="18" t="n">
        <v>623.76</v>
      </c>
      <c r="Q401" s="18" t="n">
        <v>460.63</v>
      </c>
      <c r="R401" s="21">
        <f>IF(OR(G401="",P401=""),"",G401/P401-1)</f>
        <v/>
      </c>
      <c r="S401" s="19" t="n">
        <v>0.4674</v>
      </c>
      <c r="T401" s="22" t="n">
        <v>-0.0043</v>
      </c>
      <c r="U401" s="16" t="inlineStr">
        <is>
          <t>No</t>
        </is>
      </c>
      <c r="V401" s="16" t="inlineStr">
        <is>
          <t>Yes</t>
        </is>
      </c>
      <c r="W401" s="16" t="inlineStr">
        <is>
          <t>Yes</t>
        </is>
      </c>
      <c r="X401" s="16" t="inlineStr">
        <is>
          <t>No</t>
        </is>
      </c>
      <c r="Y401" s="20" t="n">
        <v>37</v>
      </c>
      <c r="Z401" s="19" t="n">
        <v>-0.0275</v>
      </c>
      <c r="AA401" s="18" t="n">
        <v>48.56</v>
      </c>
      <c r="AB401" s="16" t="inlineStr">
        <is>
          <t>Average</t>
        </is>
      </c>
      <c r="AC401" s="16" t="inlineStr">
        <is>
          <t>No</t>
        </is>
      </c>
      <c r="AD401" s="19" t="n">
        <v>0.1319</v>
      </c>
      <c r="AE401" s="19" t="n">
        <v>0.1476</v>
      </c>
      <c r="AF401" s="19" t="n">
        <v>0.2639</v>
      </c>
      <c r="AG401" s="19" t="n">
        <v>0.1142</v>
      </c>
      <c r="AH401" s="23" t="n">
        <v>0.36</v>
      </c>
      <c r="AI401" s="23" t="n">
        <v>0.88</v>
      </c>
      <c r="AJ401" s="19" t="n">
        <v>0.0722</v>
      </c>
    </row>
    <row r="402">
      <c r="A402" s="16" t="inlineStr">
        <is>
          <t>GMDCLTD</t>
        </is>
      </c>
      <c r="B402" s="16" t="inlineStr">
        <is>
          <t>Gujarat Mineral Development Corporation Ltd.</t>
        </is>
      </c>
      <c r="C402" s="16" t="inlineStr">
        <is>
          <t>Coal &amp; Mining</t>
        </is>
      </c>
      <c r="D402" s="16" t="inlineStr">
        <is>
          <t>Metals &amp; Mining</t>
        </is>
      </c>
      <c r="E402" s="16" t="inlineStr">
        <is>
          <t>INE131A01031</t>
        </is>
      </c>
      <c r="F402" s="17" t="n">
        <v>17901.81</v>
      </c>
      <c r="G402" s="18" t="n">
        <v>562.95</v>
      </c>
      <c r="H402" s="19" t="n">
        <v>-0.0051</v>
      </c>
      <c r="I402" s="20" t="n">
        <v>44</v>
      </c>
      <c r="J402" s="16" t="inlineStr">
        <is>
          <t>red</t>
        </is>
      </c>
      <c r="K402" s="20" t="n">
        <v>50</v>
      </c>
      <c r="L402" s="18" t="n">
        <v>42.88</v>
      </c>
      <c r="M402" s="18" t="n">
        <v>565.7</v>
      </c>
      <c r="N402" s="18" t="n">
        <v>577.6799999999999</v>
      </c>
      <c r="O402" s="18" t="n">
        <v>590.36</v>
      </c>
      <c r="P402" s="18" t="n">
        <v>746.75</v>
      </c>
      <c r="Q402" s="18" t="n">
        <v>446.81</v>
      </c>
      <c r="R402" s="21">
        <f>IF(OR(G402="",P402=""),"",G402/P402-1)</f>
        <v/>
      </c>
      <c r="S402" s="19" t="n">
        <v>0.4195</v>
      </c>
      <c r="T402" s="22" t="n">
        <v>-0.0011</v>
      </c>
      <c r="U402" s="16" t="inlineStr">
        <is>
          <t>No</t>
        </is>
      </c>
      <c r="V402" s="16" t="inlineStr">
        <is>
          <t>No</t>
        </is>
      </c>
      <c r="W402" s="16" t="inlineStr">
        <is>
          <t>No</t>
        </is>
      </c>
      <c r="X402" s="16" t="inlineStr">
        <is>
          <t>No</t>
        </is>
      </c>
      <c r="Y402" s="20" t="n">
        <v>16</v>
      </c>
      <c r="Z402" s="19" t="n">
        <v>-0.0215</v>
      </c>
      <c r="AA402" s="18" t="n">
        <v>45.3</v>
      </c>
      <c r="AB402" s="16" t="inlineStr">
        <is>
          <t>Average</t>
        </is>
      </c>
      <c r="AC402" s="16" t="inlineStr">
        <is>
          <t>No</t>
        </is>
      </c>
      <c r="AD402" s="19" t="n">
        <v>0.1131</v>
      </c>
      <c r="AE402" s="19" t="n">
        <v>0.1467</v>
      </c>
      <c r="AF402" s="19" t="n">
        <v>0.0137</v>
      </c>
      <c r="AG402" s="19" t="n">
        <v>-0.0692</v>
      </c>
      <c r="AH402" s="23" t="n">
        <v>0.04</v>
      </c>
      <c r="AI402" s="23" t="n">
        <v>1.56</v>
      </c>
      <c r="AJ402" s="19" t="n">
        <v>0.1263</v>
      </c>
    </row>
    <row r="403">
      <c r="A403" s="16" t="inlineStr">
        <is>
          <t>AARTIIND</t>
        </is>
      </c>
      <c r="B403" s="16" t="inlineStr">
        <is>
          <t>Aarti Industries Ltd.</t>
        </is>
      </c>
      <c r="C403" s="16" t="inlineStr">
        <is>
          <t>Specialty Chemicals</t>
        </is>
      </c>
      <c r="D403" s="16" t="inlineStr">
        <is>
          <t>Chemicals &amp; Petrochemicals</t>
        </is>
      </c>
      <c r="E403" s="16" t="inlineStr">
        <is>
          <t>INE769A01020</t>
        </is>
      </c>
      <c r="F403" s="17" t="n">
        <v>17847.97</v>
      </c>
      <c r="G403" s="18" t="n">
        <v>492.05</v>
      </c>
      <c r="H403" s="19" t="n">
        <v>-0.0196</v>
      </c>
      <c r="I403" s="20" t="n">
        <v>67</v>
      </c>
      <c r="J403" s="16" t="inlineStr">
        <is>
          <t>amber</t>
        </is>
      </c>
      <c r="K403" s="20" t="n">
        <v>47</v>
      </c>
      <c r="L403" s="18" t="n">
        <v>32.6</v>
      </c>
      <c r="M403" s="18" t="n">
        <v>521.33</v>
      </c>
      <c r="N403" s="18" t="n">
        <v>500.38</v>
      </c>
      <c r="O403" s="18" t="n">
        <v>443.81</v>
      </c>
      <c r="P403" s="18" t="n">
        <v>543.15</v>
      </c>
      <c r="Q403" s="18" t="n">
        <v>340</v>
      </c>
      <c r="R403" s="21">
        <f>IF(OR(G403="",P403=""),"",G403/P403-1)</f>
        <v/>
      </c>
      <c r="S403" s="19" t="n">
        <v>0.5165999999999999</v>
      </c>
      <c r="T403" s="22" t="n">
        <v>0.032</v>
      </c>
      <c r="U403" s="16" t="inlineStr">
        <is>
          <t>Yes</t>
        </is>
      </c>
      <c r="V403" s="16" t="inlineStr">
        <is>
          <t>No</t>
        </is>
      </c>
      <c r="W403" s="16" t="inlineStr">
        <is>
          <t>No</t>
        </is>
      </c>
      <c r="X403" s="16" t="inlineStr">
        <is>
          <t>Yes</t>
        </is>
      </c>
      <c r="Y403" s="20" t="n">
        <v>123</v>
      </c>
      <c r="Z403" s="19" t="n">
        <v>0.1275</v>
      </c>
      <c r="AA403" s="18" t="n">
        <v>26.87</v>
      </c>
      <c r="AB403" s="16" t="inlineStr">
        <is>
          <t>Poor</t>
        </is>
      </c>
      <c r="AC403" s="16" t="inlineStr">
        <is>
          <t>No</t>
        </is>
      </c>
      <c r="AD403" s="19" t="n">
        <v>0.0694</v>
      </c>
      <c r="AE403" s="19" t="n">
        <v>0.064</v>
      </c>
      <c r="AF403" s="19" t="n">
        <v>-0.05860000000000001</v>
      </c>
      <c r="AG403" s="19" t="n">
        <v>0.0892</v>
      </c>
      <c r="AH403" s="23" t="n">
        <v>0.83</v>
      </c>
      <c r="AI403" s="23" t="n">
        <v>0.99</v>
      </c>
      <c r="AJ403" s="19" t="n">
        <v>0.2436</v>
      </c>
    </row>
    <row r="404">
      <c r="A404" s="16" t="inlineStr">
        <is>
          <t>OLAELEC</t>
        </is>
      </c>
      <c r="B404" s="16" t="inlineStr">
        <is>
          <t>Ola Electric Mobility Ltd.</t>
        </is>
      </c>
      <c r="C404" s="16" t="inlineStr">
        <is>
          <t>2/3 Wheelers</t>
        </is>
      </c>
      <c r="D404" s="16" t="inlineStr">
        <is>
          <t>Automobiles &amp; Auto Components</t>
        </is>
      </c>
      <c r="E404" s="16" t="inlineStr">
        <is>
          <t>INE0LXG01040</t>
        </is>
      </c>
      <c r="F404" s="17" t="n">
        <v>17680.52</v>
      </c>
      <c r="G404" s="18" t="n">
        <v>38.2</v>
      </c>
      <c r="H404" s="19" t="n">
        <v>0.0195</v>
      </c>
      <c r="I404" s="20" t="n">
        <v>32</v>
      </c>
      <c r="J404" s="16" t="inlineStr">
        <is>
          <t>red</t>
        </is>
      </c>
      <c r="K404" s="20" t="n">
        <v>22</v>
      </c>
      <c r="L404" s="18" t="n">
        <v>46.39</v>
      </c>
      <c r="M404" s="18" t="n">
        <v>38.86</v>
      </c>
      <c r="N404" s="18" t="n">
        <v>39.55</v>
      </c>
      <c r="O404" s="18" t="n">
        <v>36.04</v>
      </c>
      <c r="P404" s="18" t="n">
        <v>64.5</v>
      </c>
      <c r="Q404" s="18" t="n">
        <v>22.8</v>
      </c>
      <c r="R404" s="21">
        <f>IF(OR(G404="",P404=""),"",G404/P404-1)</f>
        <v/>
      </c>
      <c r="S404" s="19" t="n">
        <v>0.8275</v>
      </c>
      <c r="T404" s="22" t="n">
        <v>-0.0244</v>
      </c>
      <c r="U404" s="16" t="inlineStr">
        <is>
          <t>No</t>
        </is>
      </c>
      <c r="V404" s="16" t="inlineStr">
        <is>
          <t>No</t>
        </is>
      </c>
      <c r="W404" s="16" t="inlineStr">
        <is>
          <t>No</t>
        </is>
      </c>
      <c r="X404" s="16" t="inlineStr">
        <is>
          <t>Yes</t>
        </is>
      </c>
      <c r="Y404" s="20" t="n">
        <v>52</v>
      </c>
      <c r="Z404" s="19" t="n">
        <v>0.0974</v>
      </c>
      <c r="AA404" s="18" t="n">
        <v>18.75</v>
      </c>
      <c r="AB404" s="16" t="inlineStr">
        <is>
          <t>Poor</t>
        </is>
      </c>
      <c r="AC404" s="16" t="inlineStr">
        <is>
          <t>No</t>
        </is>
      </c>
      <c r="AD404" s="19" t="n">
        <v>-0.5913</v>
      </c>
      <c r="AE404" s="19" t="n">
        <v>-0.2518</v>
      </c>
      <c r="AF404" s="19" t="n">
        <v>-0.1201</v>
      </c>
      <c r="AG404" s="19" t="n">
        <v>0.095</v>
      </c>
      <c r="AH404" s="23" t="n">
        <v>0.82</v>
      </c>
      <c r="AI404" s="23" t="n">
        <v>0.8</v>
      </c>
      <c r="AJ404" s="19" t="n">
        <v>0.1766</v>
      </c>
    </row>
    <row r="405">
      <c r="A405" s="16" t="inlineStr">
        <is>
          <t>ONESOURCE</t>
        </is>
      </c>
      <c r="B405" s="16" t="inlineStr">
        <is>
          <t>OneSource Specialty Pharma Ltd.</t>
        </is>
      </c>
      <c r="C405" s="16" t="inlineStr">
        <is>
          <t>Pharmaceuticals</t>
        </is>
      </c>
      <c r="D405" s="16" t="inlineStr">
        <is>
          <t>Pharmaceuticals &amp; Biotechnology</t>
        </is>
      </c>
      <c r="E405" s="16" t="inlineStr">
        <is>
          <t>INE013P01021</t>
        </is>
      </c>
      <c r="F405" s="17" t="n">
        <v>17634.4</v>
      </c>
      <c r="G405" s="18" t="n">
        <v>1537.8</v>
      </c>
      <c r="H405" s="19" t="n">
        <v>-0.0241</v>
      </c>
      <c r="I405" s="20" t="n">
        <v>23</v>
      </c>
      <c r="J405" s="16" t="inlineStr">
        <is>
          <t>red</t>
        </is>
      </c>
      <c r="K405" s="20" t="n">
        <v>64</v>
      </c>
      <c r="L405" s="18" t="n">
        <v>46.07</v>
      </c>
      <c r="M405" s="18" t="n">
        <v>1529.77</v>
      </c>
      <c r="N405" s="18" t="n">
        <v>1601.45</v>
      </c>
      <c r="O405" s="18" t="n">
        <v>1585.82</v>
      </c>
      <c r="P405" s="18" t="n">
        <v>1889.8</v>
      </c>
      <c r="Q405" s="18" t="n">
        <v>1114</v>
      </c>
      <c r="R405" s="21">
        <f>IF(OR(G405="",P405=""),"",G405/P405-1)</f>
        <v/>
      </c>
      <c r="S405" s="19" t="n">
        <v>0.5945</v>
      </c>
      <c r="T405" s="22" t="n">
        <v>-0.016</v>
      </c>
      <c r="U405" s="16" t="inlineStr">
        <is>
          <t>No</t>
        </is>
      </c>
      <c r="V405" s="16" t="inlineStr">
        <is>
          <t>No</t>
        </is>
      </c>
      <c r="W405" s="16" t="inlineStr">
        <is>
          <t>Yes</t>
        </is>
      </c>
      <c r="X405" s="16" t="inlineStr">
        <is>
          <t>Yes</t>
        </is>
      </c>
      <c r="Y405" s="20" t="n">
        <v>68</v>
      </c>
      <c r="Z405" s="19" t="n">
        <v>0.009899999999999999</v>
      </c>
      <c r="AA405" s="18" t="n">
        <v>32.66</v>
      </c>
      <c r="AB405" s="16" t="inlineStr">
        <is>
          <t>Poor</t>
        </is>
      </c>
      <c r="AC405" s="16" t="inlineStr">
        <is>
          <t>No</t>
        </is>
      </c>
      <c r="AD405" s="19" t="n">
        <v>-0.3348</v>
      </c>
      <c r="AE405" s="19" t="n">
        <v>-0.09039999999999999</v>
      </c>
      <c r="AF405" s="19" t="n">
        <v>-0.4959</v>
      </c>
      <c r="AG405" s="19" t="n">
        <v>3.6098</v>
      </c>
      <c r="AH405" s="23" t="n">
        <v>0.26</v>
      </c>
      <c r="AI405" s="23" t="n">
        <v>1.15</v>
      </c>
      <c r="AJ405" s="19" t="n">
        <v>0.2532</v>
      </c>
    </row>
    <row r="406">
      <c r="A406" s="16" t="inlineStr">
        <is>
          <t>COHANCE</t>
        </is>
      </c>
      <c r="B406" s="16" t="inlineStr">
        <is>
          <t>Cohance Lifesciences Ltd.</t>
        </is>
      </c>
      <c r="C406" s="16" t="inlineStr">
        <is>
          <t>Pharmaceuticals</t>
        </is>
      </c>
      <c r="D406" s="16" t="inlineStr">
        <is>
          <t>Pharmaceuticals &amp; Biotechnology</t>
        </is>
      </c>
      <c r="E406" s="16" t="inlineStr">
        <is>
          <t>INE03QK01018</t>
        </is>
      </c>
      <c r="F406" s="17" t="n">
        <v>17469.39</v>
      </c>
      <c r="G406" s="18" t="n">
        <v>456.6</v>
      </c>
      <c r="H406" s="19" t="n">
        <v>-0.0092</v>
      </c>
      <c r="I406" s="20" t="n">
        <v>42</v>
      </c>
      <c r="J406" s="16" t="inlineStr">
        <is>
          <t>red</t>
        </is>
      </c>
      <c r="K406" s="20" t="n">
        <v>320</v>
      </c>
      <c r="L406" s="18" t="n">
        <v>54.72</v>
      </c>
      <c r="M406" s="18" t="n">
        <v>457.24</v>
      </c>
      <c r="N406" s="18" t="n">
        <v>444.81</v>
      </c>
      <c r="O406" s="18" t="n">
        <v>424.97</v>
      </c>
      <c r="P406" s="18" t="n">
        <v>1019.8</v>
      </c>
      <c r="Q406" s="18" t="n">
        <v>279.9</v>
      </c>
      <c r="R406" s="21">
        <f>IF(OR(G406="",P406=""),"",G406/P406-1)</f>
        <v/>
      </c>
      <c r="S406" s="19" t="n">
        <v>0.4949</v>
      </c>
      <c r="T406" s="22" t="n">
        <v>-0.0623</v>
      </c>
      <c r="U406" s="16" t="inlineStr">
        <is>
          <t>No</t>
        </is>
      </c>
      <c r="V406" s="16" t="inlineStr">
        <is>
          <t>Yes</t>
        </is>
      </c>
      <c r="W406" s="16" t="inlineStr">
        <is>
          <t>No</t>
        </is>
      </c>
      <c r="X406" s="16" t="inlineStr">
        <is>
          <t>Yes</t>
        </is>
      </c>
      <c r="Y406" s="20" t="n">
        <v>13</v>
      </c>
      <c r="Z406" s="19" t="n">
        <v>0.0467</v>
      </c>
      <c r="AA406" s="18" t="n">
        <v>40</v>
      </c>
      <c r="AB406" s="16" t="inlineStr">
        <is>
          <t>Average</t>
        </is>
      </c>
      <c r="AC406" s="16" t="inlineStr">
        <is>
          <t>No</t>
        </is>
      </c>
      <c r="AD406" s="19" t="n">
        <v>0.1598</v>
      </c>
      <c r="AE406" s="19" t="n">
        <v>0.1993</v>
      </c>
      <c r="AF406" s="19" t="n">
        <v>-0.2754</v>
      </c>
      <c r="AG406" s="19" t="n">
        <v>0.3897</v>
      </c>
      <c r="AH406" s="23" t="n">
        <v>0.1</v>
      </c>
      <c r="AI406" s="23" t="n">
        <v>1.05</v>
      </c>
      <c r="AJ406" s="19" t="n">
        <v>0.0801</v>
      </c>
    </row>
    <row r="407">
      <c r="A407" s="16" t="inlineStr">
        <is>
          <t>CMPDI</t>
        </is>
      </c>
      <c r="B407" s="16" t="inlineStr">
        <is>
          <t>Central Mine Planning &amp; Design Institute Ltd.</t>
        </is>
      </c>
      <c r="C407" s="16" t="inlineStr">
        <is>
          <t>Consulting Services</t>
        </is>
      </c>
      <c r="D407" s="16" t="inlineStr">
        <is>
          <t>Commercial Services &amp; Supplies</t>
        </is>
      </c>
      <c r="E407" s="16" t="inlineStr">
        <is>
          <t>INE05HV01027</t>
        </is>
      </c>
      <c r="F407" s="17" t="n">
        <v>17415.89</v>
      </c>
      <c r="G407" s="18" t="n">
        <v>243.92</v>
      </c>
      <c r="H407" s="19" t="n">
        <v>0.0178</v>
      </c>
      <c r="I407" s="20" t="n">
        <v>40</v>
      </c>
      <c r="J407" s="16" t="inlineStr">
        <is>
          <t>red</t>
        </is>
      </c>
      <c r="K407" s="20" t="n">
        <v>21</v>
      </c>
      <c r="L407" s="18" t="n">
        <v>58.06</v>
      </c>
      <c r="M407" s="18" t="n">
        <v>231.61</v>
      </c>
      <c r="N407" s="18" t="n">
        <v>246.86</v>
      </c>
      <c r="O407" s="18" t="n"/>
      <c r="P407" s="18" t="n">
        <v>275.18</v>
      </c>
      <c r="Q407" s="18" t="n">
        <v>150.2</v>
      </c>
      <c r="R407" s="21">
        <f>IF(OR(G407="",P407=""),"",G407/P407-1)</f>
        <v/>
      </c>
      <c r="S407" s="19" t="n">
        <v>1.6805</v>
      </c>
      <c r="T407" s="22" t="n"/>
      <c r="U407" s="16" t="n"/>
      <c r="V407" s="16" t="inlineStr">
        <is>
          <t>No</t>
        </is>
      </c>
      <c r="W407" s="16" t="inlineStr">
        <is>
          <t>Yes</t>
        </is>
      </c>
      <c r="X407" s="16" t="n"/>
      <c r="Y407" s="20" t="n"/>
      <c r="Z407" s="19" t="n"/>
      <c r="AA407" s="18" t="n">
        <v>84.22</v>
      </c>
      <c r="AB407" s="16" t="inlineStr">
        <is>
          <t>High</t>
        </is>
      </c>
      <c r="AC407" s="16" t="inlineStr">
        <is>
          <t>No</t>
        </is>
      </c>
      <c r="AD407" s="19" t="n">
        <v>0.3038</v>
      </c>
      <c r="AE407" s="19" t="n">
        <v>0.4175</v>
      </c>
      <c r="AF407" s="19" t="n">
        <v>0.3144</v>
      </c>
      <c r="AG407" s="19" t="n">
        <v>0.1884</v>
      </c>
      <c r="AH407" s="23" t="n">
        <v>0</v>
      </c>
      <c r="AI407" s="23" t="n">
        <v>8.33</v>
      </c>
      <c r="AJ407" s="19" t="n">
        <v>0.1503</v>
      </c>
    </row>
    <row r="408">
      <c r="A408" s="16" t="inlineStr">
        <is>
          <t>ASTRAZEN</t>
        </is>
      </c>
      <c r="B408" s="16" t="inlineStr">
        <is>
          <t>AstraZeneca Pharma India Ltd.</t>
        </is>
      </c>
      <c r="C408" s="16" t="inlineStr">
        <is>
          <t>Pharmaceuticals</t>
        </is>
      </c>
      <c r="D408" s="16" t="inlineStr">
        <is>
          <t>Pharmaceuticals &amp; Biotechnology</t>
        </is>
      </c>
      <c r="E408" s="16" t="inlineStr">
        <is>
          <t>INE203A01020</t>
        </is>
      </c>
      <c r="F408" s="17" t="n">
        <v>17360</v>
      </c>
      <c r="G408" s="18" t="n">
        <v>6944</v>
      </c>
      <c r="H408" s="19" t="n">
        <v>0.0005</v>
      </c>
      <c r="I408" s="20" t="n">
        <v>8</v>
      </c>
      <c r="J408" s="16" t="inlineStr">
        <is>
          <t>red</t>
        </is>
      </c>
      <c r="K408" s="20" t="n">
        <v>102</v>
      </c>
      <c r="L408" s="18" t="n">
        <v>10.63</v>
      </c>
      <c r="M408" s="18" t="n">
        <v>7002.06</v>
      </c>
      <c r="N408" s="18" t="n">
        <v>7818.66</v>
      </c>
      <c r="O408" s="18" t="n">
        <v>8379.33</v>
      </c>
      <c r="P408" s="18" t="n">
        <v>9783.790000000001</v>
      </c>
      <c r="Q408" s="18" t="n">
        <v>6868</v>
      </c>
      <c r="R408" s="21">
        <f>IF(OR(G408="",P408=""),"",G408/P408-1)</f>
        <v/>
      </c>
      <c r="S408" s="19" t="n">
        <v>0.4106</v>
      </c>
      <c r="T408" s="22" t="n">
        <v>-0.0219</v>
      </c>
      <c r="U408" s="16" t="inlineStr">
        <is>
          <t>No</t>
        </is>
      </c>
      <c r="V408" s="16" t="inlineStr">
        <is>
          <t>No</t>
        </is>
      </c>
      <c r="W408" s="16" t="inlineStr">
        <is>
          <t>No</t>
        </is>
      </c>
      <c r="X408" s="16" t="inlineStr">
        <is>
          <t>No</t>
        </is>
      </c>
      <c r="Y408" s="20" t="n">
        <v>156</v>
      </c>
      <c r="Z408" s="19" t="n">
        <v>-0.0669</v>
      </c>
      <c r="AA408" s="18" t="n">
        <v>74.09999999999999</v>
      </c>
      <c r="AB408" s="16" t="inlineStr">
        <is>
          <t>High</t>
        </is>
      </c>
      <c r="AC408" s="16" t="inlineStr">
        <is>
          <t>No</t>
        </is>
      </c>
      <c r="AD408" s="19" t="n">
        <v>0.1973</v>
      </c>
      <c r="AE408" s="19" t="n">
        <v>0.255</v>
      </c>
      <c r="AF408" s="19" t="n">
        <v>0.3213</v>
      </c>
      <c r="AG408" s="19" t="n">
        <v>0.3135</v>
      </c>
      <c r="AH408" s="23" t="n">
        <v>0.13</v>
      </c>
      <c r="AI408" s="23" t="n">
        <v>19.35</v>
      </c>
      <c r="AJ408" s="19" t="n">
        <v>0</v>
      </c>
    </row>
    <row r="409">
      <c r="A409" s="16" t="inlineStr">
        <is>
          <t>VTL</t>
        </is>
      </c>
      <c r="B409" s="16" t="inlineStr">
        <is>
          <t>Vardhman Textiles Ltd.</t>
        </is>
      </c>
      <c r="C409" s="16" t="inlineStr">
        <is>
          <t>Textiles</t>
        </is>
      </c>
      <c r="D409" s="16" t="inlineStr">
        <is>
          <t>Textiles Apparels &amp; Accessories</t>
        </is>
      </c>
      <c r="E409" s="16" t="inlineStr">
        <is>
          <t>INE825A01020</t>
        </is>
      </c>
      <c r="F409" s="17" t="n">
        <v>17322.48</v>
      </c>
      <c r="G409" s="18" t="n">
        <v>598.2</v>
      </c>
      <c r="H409" s="19" t="n">
        <v>0.0162</v>
      </c>
      <c r="I409" s="20" t="n">
        <v>65</v>
      </c>
      <c r="J409" s="16" t="inlineStr">
        <is>
          <t>amber</t>
        </is>
      </c>
      <c r="K409" s="20" t="n">
        <v>4</v>
      </c>
      <c r="L409" s="18" t="n">
        <v>49.11</v>
      </c>
      <c r="M409" s="18" t="n">
        <v>591.1</v>
      </c>
      <c r="N409" s="18" t="n">
        <v>609.87</v>
      </c>
      <c r="O409" s="18" t="n">
        <v>542.2</v>
      </c>
      <c r="P409" s="18" t="n">
        <v>660.65</v>
      </c>
      <c r="Q409" s="18" t="n">
        <v>391.33</v>
      </c>
      <c r="R409" s="21">
        <f>IF(OR(G409="",P409=""),"",G409/P409-1)</f>
        <v/>
      </c>
      <c r="S409" s="19" t="n">
        <v>0.2369</v>
      </c>
      <c r="T409" s="22" t="n">
        <v>0.0293</v>
      </c>
      <c r="U409" s="16" t="inlineStr">
        <is>
          <t>Yes</t>
        </is>
      </c>
      <c r="V409" s="16" t="inlineStr">
        <is>
          <t>No</t>
        </is>
      </c>
      <c r="W409" s="16" t="inlineStr">
        <is>
          <t>Yes</t>
        </is>
      </c>
      <c r="X409" s="16" t="inlineStr">
        <is>
          <t>Yes</t>
        </is>
      </c>
      <c r="Y409" s="20" t="n">
        <v>137</v>
      </c>
      <c r="Z409" s="19" t="n">
        <v>0.1248</v>
      </c>
      <c r="AA409" s="18" t="n">
        <v>34.55</v>
      </c>
      <c r="AB409" s="16" t="inlineStr">
        <is>
          <t>Poor</t>
        </is>
      </c>
      <c r="AC409" s="16" t="inlineStr">
        <is>
          <t>No</t>
        </is>
      </c>
      <c r="AD409" s="19" t="n">
        <v>0.0765</v>
      </c>
      <c r="AE409" s="19" t="n">
        <v>0.09380000000000001</v>
      </c>
      <c r="AF409" s="19" t="n">
        <v>0.012</v>
      </c>
      <c r="AG409" s="19" t="n">
        <v>-0.0008</v>
      </c>
      <c r="AH409" s="23" t="n">
        <v>0.18</v>
      </c>
      <c r="AI409" s="23" t="n">
        <v>1.74</v>
      </c>
      <c r="AJ409" s="19" t="n">
        <v>0.1034</v>
      </c>
    </row>
    <row r="410">
      <c r="A410" s="16" t="inlineStr">
        <is>
          <t>POLYMED</t>
        </is>
      </c>
      <c r="B410" s="16" t="inlineStr">
        <is>
          <t>Poly Medicure Ltd.</t>
        </is>
      </c>
      <c r="C410" s="16" t="inlineStr">
        <is>
          <t>Healthcare Supplies</t>
        </is>
      </c>
      <c r="D410" s="16" t="inlineStr">
        <is>
          <t>Healthcare</t>
        </is>
      </c>
      <c r="E410" s="16" t="inlineStr">
        <is>
          <t>INE205C01021</t>
        </is>
      </c>
      <c r="F410" s="17" t="n">
        <v>17256.8</v>
      </c>
      <c r="G410" s="18" t="n">
        <v>1702.5</v>
      </c>
      <c r="H410" s="19" t="n">
        <v>-0.0374</v>
      </c>
      <c r="I410" s="20" t="n">
        <v>50</v>
      </c>
      <c r="J410" s="16" t="inlineStr">
        <is>
          <t>red</t>
        </is>
      </c>
      <c r="K410" s="20" t="n">
        <v>4</v>
      </c>
      <c r="L410" s="18" t="n">
        <v>45.74</v>
      </c>
      <c r="M410" s="18" t="n">
        <v>1740.1</v>
      </c>
      <c r="N410" s="18" t="n">
        <v>1711.76</v>
      </c>
      <c r="O410" s="18" t="n">
        <v>1583.35</v>
      </c>
      <c r="P410" s="18" t="n">
        <v>2061.18</v>
      </c>
      <c r="Q410" s="18" t="n">
        <v>1188.67</v>
      </c>
      <c r="R410" s="21">
        <f>IF(OR(G410="",P410=""),"",G410/P410-1)</f>
        <v/>
      </c>
      <c r="S410" s="19" t="n">
        <v>0.8634000000000001</v>
      </c>
      <c r="T410" s="22" t="n">
        <v>-0.0108</v>
      </c>
      <c r="U410" s="16" t="inlineStr">
        <is>
          <t>No</t>
        </is>
      </c>
      <c r="V410" s="16" t="inlineStr">
        <is>
          <t>No</t>
        </is>
      </c>
      <c r="W410" s="16" t="inlineStr">
        <is>
          <t>No</t>
        </is>
      </c>
      <c r="X410" s="16" t="inlineStr">
        <is>
          <t>Yes</t>
        </is>
      </c>
      <c r="Y410" s="20" t="n">
        <v>21</v>
      </c>
      <c r="Z410" s="19" t="n">
        <v>0.08109999999999999</v>
      </c>
      <c r="AA410" s="18" t="n">
        <v>58.36</v>
      </c>
      <c r="AB410" s="16" t="inlineStr">
        <is>
          <t>Good</t>
        </is>
      </c>
      <c r="AC410" s="16" t="inlineStr">
        <is>
          <t>No</t>
        </is>
      </c>
      <c r="AD410" s="19" t="n">
        <v>0.1349</v>
      </c>
      <c r="AE410" s="19" t="n">
        <v>0.1675</v>
      </c>
      <c r="AF410" s="19" t="n">
        <v>0.2132</v>
      </c>
      <c r="AG410" s="19" t="n">
        <v>0.1925</v>
      </c>
      <c r="AH410" s="23" t="n">
        <v>0.11</v>
      </c>
      <c r="AI410" s="23" t="n">
        <v>1.39</v>
      </c>
      <c r="AJ410" s="19" t="n">
        <v>0.0669</v>
      </c>
    </row>
    <row r="411">
      <c r="A411" s="16" t="inlineStr">
        <is>
          <t>DEEPAKFERT</t>
        </is>
      </c>
      <c r="B411" s="16" t="inlineStr">
        <is>
          <t>Deepak Fertilisers &amp; Petrochemicals Corporation Ltd.</t>
        </is>
      </c>
      <c r="C411" s="16" t="inlineStr">
        <is>
          <t>Commodity Chemicals</t>
        </is>
      </c>
      <c r="D411" s="16" t="inlineStr">
        <is>
          <t>Chemicals &amp; Petrochemicals</t>
        </is>
      </c>
      <c r="E411" s="16" t="inlineStr">
        <is>
          <t>INE501A01019</t>
        </is>
      </c>
      <c r="F411" s="17" t="n">
        <v>17194.85</v>
      </c>
      <c r="G411" s="18" t="n">
        <v>1362.1</v>
      </c>
      <c r="H411" s="19" t="n">
        <v>0.0046</v>
      </c>
      <c r="I411" s="20" t="n">
        <v>46</v>
      </c>
      <c r="J411" s="16" t="inlineStr">
        <is>
          <t>red</t>
        </is>
      </c>
      <c r="K411" s="20" t="n">
        <v>7</v>
      </c>
      <c r="L411" s="18" t="n">
        <v>27.05</v>
      </c>
      <c r="M411" s="18" t="n">
        <v>1417.51</v>
      </c>
      <c r="N411" s="18" t="n">
        <v>1521.3</v>
      </c>
      <c r="O411" s="18" t="n">
        <v>1285.04</v>
      </c>
      <c r="P411" s="18" t="n">
        <v>1653.03</v>
      </c>
      <c r="Q411" s="18" t="n">
        <v>866.1900000000001</v>
      </c>
      <c r="R411" s="21">
        <f>IF(OR(G411="",P411=""),"",G411/P411-1)</f>
        <v/>
      </c>
      <c r="S411" s="19" t="n">
        <v>0.5306999999999999</v>
      </c>
      <c r="T411" s="22" t="n">
        <v>0.001</v>
      </c>
      <c r="U411" s="16" t="inlineStr">
        <is>
          <t>Yes</t>
        </is>
      </c>
      <c r="V411" s="16" t="inlineStr">
        <is>
          <t>No</t>
        </is>
      </c>
      <c r="W411" s="16" t="inlineStr">
        <is>
          <t>No</t>
        </is>
      </c>
      <c r="X411" s="16" t="inlineStr">
        <is>
          <t>Yes</t>
        </is>
      </c>
      <c r="Y411" s="20" t="n">
        <v>63</v>
      </c>
      <c r="Z411" s="19" t="n">
        <v>0.1839</v>
      </c>
      <c r="AA411" s="18" t="n">
        <v>34.68</v>
      </c>
      <c r="AB411" s="16" t="inlineStr">
        <is>
          <t>Weak</t>
        </is>
      </c>
      <c r="AC411" s="16" t="inlineStr">
        <is>
          <t>No</t>
        </is>
      </c>
      <c r="AD411" s="19" t="n">
        <v>0.113</v>
      </c>
      <c r="AE411" s="19" t="n">
        <v>0.1238</v>
      </c>
      <c r="AF411" s="19" t="n">
        <v>0.0728</v>
      </c>
      <c r="AG411" s="19" t="n">
        <v>0.0395</v>
      </c>
      <c r="AH411" s="23" t="n">
        <v>0.83</v>
      </c>
      <c r="AI411" s="23" t="n">
        <v>1.04</v>
      </c>
      <c r="AJ411" s="19" t="n">
        <v>0.357</v>
      </c>
    </row>
    <row r="412">
      <c r="A412" s="16" t="inlineStr">
        <is>
          <t>DEVYANI</t>
        </is>
      </c>
      <c r="B412" s="16" t="inlineStr">
        <is>
          <t>Devyani International Ltd.</t>
        </is>
      </c>
      <c r="C412" s="16" t="inlineStr">
        <is>
          <t>Restaurants</t>
        </is>
      </c>
      <c r="D412" s="16" t="inlineStr">
        <is>
          <t>Hotels Restaurants &amp; Tourism</t>
        </is>
      </c>
      <c r="E412" s="16" t="inlineStr">
        <is>
          <t>INE872J01023</t>
        </is>
      </c>
      <c r="F412" s="17" t="n">
        <v>17172.39</v>
      </c>
      <c r="G412" s="18" t="n">
        <v>139.28</v>
      </c>
      <c r="H412" s="19" t="n">
        <v>0.0089</v>
      </c>
      <c r="I412" s="20" t="n">
        <v>55</v>
      </c>
      <c r="J412" s="16" t="inlineStr">
        <is>
          <t>red</t>
        </is>
      </c>
      <c r="K412" s="20" t="n">
        <v>7</v>
      </c>
      <c r="L412" s="18" t="n">
        <v>42.52</v>
      </c>
      <c r="M412" s="18" t="n">
        <v>141.03</v>
      </c>
      <c r="N412" s="18" t="n">
        <v>125.85</v>
      </c>
      <c r="O412" s="18" t="n">
        <v>122.82</v>
      </c>
      <c r="P412" s="18" t="n">
        <v>188.9</v>
      </c>
      <c r="Q412" s="18" t="n">
        <v>94.59</v>
      </c>
      <c r="R412" s="21">
        <f>IF(OR(G412="",P412=""),"",G412/P412-1)</f>
        <v/>
      </c>
      <c r="S412" s="19" t="n">
        <v>0.3532</v>
      </c>
      <c r="T412" s="22" t="n">
        <v>-0.0098</v>
      </c>
      <c r="U412" s="16" t="inlineStr">
        <is>
          <t>No</t>
        </is>
      </c>
      <c r="V412" s="16" t="inlineStr">
        <is>
          <t>Yes</t>
        </is>
      </c>
      <c r="W412" s="16" t="inlineStr">
        <is>
          <t>No</t>
        </is>
      </c>
      <c r="X412" s="16" t="inlineStr">
        <is>
          <t>Yes</t>
        </is>
      </c>
      <c r="Y412" s="20" t="n">
        <v>7</v>
      </c>
      <c r="Z412" s="19" t="n">
        <v>0.0246</v>
      </c>
      <c r="AA412" s="18" t="n">
        <v>0.51</v>
      </c>
      <c r="AB412" s="16" t="inlineStr">
        <is>
          <t>Poor</t>
        </is>
      </c>
      <c r="AC412" s="16" t="inlineStr">
        <is>
          <t>No</t>
        </is>
      </c>
      <c r="AD412" s="19" t="n">
        <v>0.009399999999999999</v>
      </c>
      <c r="AE412" s="19" t="n">
        <v>0.0513</v>
      </c>
      <c r="AF412" s="19" t="n">
        <v>-2.1639</v>
      </c>
      <c r="AG412" s="19" t="n">
        <v>0.2378</v>
      </c>
      <c r="AH412" s="23" t="n">
        <v>2.45</v>
      </c>
      <c r="AI412" s="23" t="n">
        <v>1.46</v>
      </c>
      <c r="AJ412" s="19" t="n">
        <v>0.004699999999999999</v>
      </c>
    </row>
    <row r="413">
      <c r="A413" s="16" t="inlineStr">
        <is>
          <t>LALITHAA</t>
        </is>
      </c>
      <c r="B413" s="16" t="inlineStr">
        <is>
          <t>Lalithaa Jewellery Mart Ltd.</t>
        </is>
      </c>
      <c r="C413" s="16" t="inlineStr">
        <is>
          <t>Gems &amp; Jewellery</t>
        </is>
      </c>
      <c r="D413" s="16" t="inlineStr">
        <is>
          <t>Textiles Apparels &amp; Accessories</t>
        </is>
      </c>
      <c r="E413" s="16" t="inlineStr">
        <is>
          <t>INE0K9O01026</t>
        </is>
      </c>
      <c r="F413" s="17" t="n">
        <v>17166.3</v>
      </c>
      <c r="G413" s="18" t="n">
        <v>306.7</v>
      </c>
      <c r="H413" s="19" t="n">
        <v>0.09420000000000001</v>
      </c>
      <c r="I413" s="20" t="n"/>
      <c r="J413" s="16" t="n"/>
      <c r="K413" s="20" t="n"/>
      <c r="L413" s="18" t="n"/>
      <c r="M413" s="18" t="n">
        <v>266.54</v>
      </c>
      <c r="N413" s="18" t="n"/>
      <c r="O413" s="18" t="n"/>
      <c r="P413" s="18" t="n">
        <v>306.7</v>
      </c>
      <c r="Q413" s="18" t="n">
        <v>244</v>
      </c>
      <c r="R413" s="21">
        <f>IF(OR(G413="",P413=""),"",G413/P413-1)</f>
        <v/>
      </c>
      <c r="S413" s="19" t="n">
        <v>0.8895999999999999</v>
      </c>
      <c r="T413" s="22" t="n"/>
      <c r="U413" s="16" t="n"/>
      <c r="V413" s="16" t="n"/>
      <c r="W413" s="16" t="inlineStr">
        <is>
          <t>Yes</t>
        </is>
      </c>
      <c r="X413" s="16" t="n"/>
      <c r="Y413" s="20" t="n"/>
      <c r="Z413" s="19" t="n"/>
      <c r="AA413" s="18" t="n"/>
      <c r="AB413" s="16" t="n"/>
      <c r="AC413" s="16" t="inlineStr">
        <is>
          <t>No</t>
        </is>
      </c>
      <c r="AD413" s="19" t="n"/>
      <c r="AE413" s="19" t="n"/>
      <c r="AF413" s="19" t="n"/>
      <c r="AG413" s="19" t="n"/>
      <c r="AH413" s="23" t="n"/>
      <c r="AI413" s="23" t="n"/>
      <c r="AJ413" s="19" t="n"/>
    </row>
    <row r="414">
      <c r="A414" s="16" t="inlineStr">
        <is>
          <t>BEML</t>
        </is>
      </c>
      <c r="B414" s="16" t="inlineStr">
        <is>
          <t>BEML Ltd.</t>
        </is>
      </c>
      <c r="C414" s="16" t="inlineStr">
        <is>
          <t>Commercial Vehicles</t>
        </is>
      </c>
      <c r="D414" s="16" t="inlineStr">
        <is>
          <t>Automobiles &amp; Auto Components</t>
        </is>
      </c>
      <c r="E414" s="16" t="inlineStr">
        <is>
          <t>INE258A01024</t>
        </is>
      </c>
      <c r="F414" s="17" t="n">
        <v>17139.21</v>
      </c>
      <c r="G414" s="18" t="n">
        <v>2057.8</v>
      </c>
      <c r="H414" s="19" t="n">
        <v>-0.0104</v>
      </c>
      <c r="I414" s="20" t="n">
        <v>61</v>
      </c>
      <c r="J414" s="16" t="inlineStr">
        <is>
          <t>amber</t>
        </is>
      </c>
      <c r="K414" s="20" t="n">
        <v>3</v>
      </c>
      <c r="L414" s="18" t="n">
        <v>67.44</v>
      </c>
      <c r="M414" s="18" t="n">
        <v>1989.89</v>
      </c>
      <c r="N414" s="18" t="n">
        <v>1850.82</v>
      </c>
      <c r="O414" s="18" t="n">
        <v>1763.62</v>
      </c>
      <c r="P414" s="18" t="n">
        <v>2229.33</v>
      </c>
      <c r="Q414" s="18" t="n">
        <v>1367.59</v>
      </c>
      <c r="R414" s="21">
        <f>IF(OR(G414="",P414=""),"",G414/P414-1)</f>
        <v/>
      </c>
      <c r="S414" s="19" t="n">
        <v>1.486</v>
      </c>
      <c r="T414" s="22" t="n">
        <v>-0.007800000000000001</v>
      </c>
      <c r="U414" s="16" t="inlineStr">
        <is>
          <t>No</t>
        </is>
      </c>
      <c r="V414" s="16" t="inlineStr">
        <is>
          <t>Yes</t>
        </is>
      </c>
      <c r="W414" s="16" t="inlineStr">
        <is>
          <t>Yes</t>
        </is>
      </c>
      <c r="X414" s="16" t="inlineStr">
        <is>
          <t>Yes</t>
        </is>
      </c>
      <c r="Y414" s="20" t="n">
        <v>20</v>
      </c>
      <c r="Z414" s="19" t="n">
        <v>0.04940000000000001</v>
      </c>
      <c r="AA414" s="18" t="n">
        <v>46.21</v>
      </c>
      <c r="AB414" s="16" t="inlineStr">
        <is>
          <t>Average</t>
        </is>
      </c>
      <c r="AC414" s="16" t="inlineStr">
        <is>
          <t>No</t>
        </is>
      </c>
      <c r="AD414" s="19" t="n">
        <v>0.08500000000000001</v>
      </c>
      <c r="AE414" s="19" t="n">
        <v>0.1243</v>
      </c>
      <c r="AF414" s="19" t="n">
        <v>0.0214</v>
      </c>
      <c r="AG414" s="19" t="n">
        <v>0.04650000000000001</v>
      </c>
      <c r="AH414" s="23" t="n">
        <v>0.11</v>
      </c>
      <c r="AI414" s="23" t="n">
        <v>4.72</v>
      </c>
      <c r="AJ414" s="19" t="n">
        <v>0.3001</v>
      </c>
    </row>
    <row r="415">
      <c r="A415" s="16" t="inlineStr">
        <is>
          <t>TRAVELFOOD</t>
        </is>
      </c>
      <c r="B415" s="16" t="inlineStr">
        <is>
          <t>Travel Food Services Ltd.</t>
        </is>
      </c>
      <c r="C415" s="16" t="inlineStr">
        <is>
          <t>Restaurants</t>
        </is>
      </c>
      <c r="D415" s="16" t="inlineStr">
        <is>
          <t>Hotels Restaurants &amp; Tourism</t>
        </is>
      </c>
      <c r="E415" s="16" t="inlineStr">
        <is>
          <t>INE103V01028</t>
        </is>
      </c>
      <c r="F415" s="17" t="n">
        <v>17069.61</v>
      </c>
      <c r="G415" s="18" t="n">
        <v>1296.3</v>
      </c>
      <c r="H415" s="19" t="n">
        <v>0.014</v>
      </c>
      <c r="I415" s="20" t="n">
        <v>48</v>
      </c>
      <c r="J415" s="16" t="inlineStr">
        <is>
          <t>red</t>
        </is>
      </c>
      <c r="K415" s="20" t="n">
        <v>11</v>
      </c>
      <c r="L415" s="18" t="n">
        <v>35.23</v>
      </c>
      <c r="M415" s="18" t="n">
        <v>1292.21</v>
      </c>
      <c r="N415" s="18" t="n">
        <v>1319.88</v>
      </c>
      <c r="O415" s="18" t="n">
        <v>1243.25</v>
      </c>
      <c r="P415" s="18" t="n">
        <v>1428.6</v>
      </c>
      <c r="Q415" s="18" t="n">
        <v>1043.7</v>
      </c>
      <c r="R415" s="21">
        <f>IF(OR(G415="",P415=""),"",G415/P415-1)</f>
        <v/>
      </c>
      <c r="S415" s="19" t="n">
        <v>0.5668</v>
      </c>
      <c r="T415" s="22" t="n">
        <v>0.0018</v>
      </c>
      <c r="U415" s="16" t="inlineStr">
        <is>
          <t>Yes</t>
        </is>
      </c>
      <c r="V415" s="16" t="inlineStr">
        <is>
          <t>No</t>
        </is>
      </c>
      <c r="W415" s="16" t="inlineStr">
        <is>
          <t>Yes</t>
        </is>
      </c>
      <c r="X415" s="16" t="inlineStr">
        <is>
          <t>Yes</t>
        </is>
      </c>
      <c r="Y415" s="20" t="n">
        <v>44</v>
      </c>
      <c r="Z415" s="19" t="n">
        <v>0.0616</v>
      </c>
      <c r="AA415" s="18" t="n">
        <v>40</v>
      </c>
      <c r="AB415" s="16" t="inlineStr">
        <is>
          <t>Average</t>
        </is>
      </c>
      <c r="AC415" s="16" t="inlineStr">
        <is>
          <t>No</t>
        </is>
      </c>
      <c r="AD415" s="19" t="n">
        <v>0.3265999999999999</v>
      </c>
      <c r="AE415" s="19" t="n">
        <v>0.376</v>
      </c>
      <c r="AF415" s="19" t="n">
        <v>-0.186</v>
      </c>
      <c r="AG415" s="19" t="n">
        <v>0.1649</v>
      </c>
      <c r="AH415" s="23" t="n">
        <v>0.17</v>
      </c>
      <c r="AI415" s="23" t="n">
        <v>5.22</v>
      </c>
      <c r="AJ415" s="19" t="n">
        <v>0.08960000000000001</v>
      </c>
    </row>
    <row r="416">
      <c r="A416" s="16" t="inlineStr">
        <is>
          <t>ABDL</t>
        </is>
      </c>
      <c r="B416" s="16" t="inlineStr">
        <is>
          <t>Allied Blenders &amp; Distillers Ltd.</t>
        </is>
      </c>
      <c r="C416" s="16" t="inlineStr">
        <is>
          <t>Breweries &amp; Distilleries</t>
        </is>
      </c>
      <c r="D416" s="16" t="inlineStr">
        <is>
          <t>Food, Beverages &amp; Tobacco</t>
        </is>
      </c>
      <c r="E416" s="16" t="inlineStr">
        <is>
          <t>INE552Z01027</t>
        </is>
      </c>
      <c r="F416" s="17" t="n">
        <v>17060.92</v>
      </c>
      <c r="G416" s="18" t="n">
        <v>609.95</v>
      </c>
      <c r="H416" s="19" t="n">
        <v>0.0009</v>
      </c>
      <c r="I416" s="20" t="n">
        <v>59</v>
      </c>
      <c r="J416" s="16" t="inlineStr">
        <is>
          <t>red</t>
        </is>
      </c>
      <c r="K416" s="20" t="n">
        <v>1</v>
      </c>
      <c r="L416" s="18" t="n">
        <v>49.69</v>
      </c>
      <c r="M416" s="18" t="n">
        <v>611.3200000000001</v>
      </c>
      <c r="N416" s="18" t="n">
        <v>627.0599999999999</v>
      </c>
      <c r="O416" s="18" t="n">
        <v>557.8200000000001</v>
      </c>
      <c r="P416" s="18" t="n">
        <v>702.7</v>
      </c>
      <c r="Q416" s="18" t="n">
        <v>380.85</v>
      </c>
      <c r="R416" s="21">
        <f>IF(OR(G416="",P416=""),"",G416/P416-1)</f>
        <v/>
      </c>
      <c r="S416" s="19" t="n">
        <v>0.3577</v>
      </c>
      <c r="T416" s="22" t="n">
        <v>-0.0035</v>
      </c>
      <c r="U416" s="16" t="inlineStr">
        <is>
          <t>No</t>
        </is>
      </c>
      <c r="V416" s="16" t="inlineStr">
        <is>
          <t>No</t>
        </is>
      </c>
      <c r="W416" s="16" t="inlineStr">
        <is>
          <t>No</t>
        </is>
      </c>
      <c r="X416" s="16" t="inlineStr">
        <is>
          <t>Yes</t>
        </is>
      </c>
      <c r="Y416" s="20" t="n">
        <v>60</v>
      </c>
      <c r="Z416" s="19" t="n">
        <v>0.1241</v>
      </c>
      <c r="AA416" s="18" t="n">
        <v>51.63</v>
      </c>
      <c r="AB416" s="16" t="inlineStr">
        <is>
          <t>Average</t>
        </is>
      </c>
      <c r="AC416" s="16" t="inlineStr">
        <is>
          <t>No</t>
        </is>
      </c>
      <c r="AD416" s="19" t="n">
        <v>0.08939999999999999</v>
      </c>
      <c r="AE416" s="19" t="n">
        <v>0.1606</v>
      </c>
      <c r="AF416" s="19" t="n">
        <v>34.00530000000001</v>
      </c>
      <c r="AG416" s="19" t="n">
        <v>0.07429999999999999</v>
      </c>
      <c r="AH416" s="23" t="n">
        <v>0.6899999999999999</v>
      </c>
      <c r="AI416" s="23" t="n">
        <v>3.92</v>
      </c>
      <c r="AJ416" s="19" t="n">
        <v>0.2032</v>
      </c>
    </row>
    <row r="417">
      <c r="A417" s="16" t="inlineStr">
        <is>
          <t>CHOICEIN</t>
        </is>
      </c>
      <c r="B417" s="16" t="inlineStr">
        <is>
          <t>Choice International Ltd.</t>
        </is>
      </c>
      <c r="C417" s="16" t="inlineStr">
        <is>
          <t>Capital Markets</t>
        </is>
      </c>
      <c r="D417" s="16" t="inlineStr">
        <is>
          <t>Banking and Finance</t>
        </is>
      </c>
      <c r="E417" s="16" t="inlineStr">
        <is>
          <t>INE102B01014</t>
        </is>
      </c>
      <c r="F417" s="17" t="n">
        <v>16952.18</v>
      </c>
      <c r="G417" s="18" t="n">
        <v>760.95</v>
      </c>
      <c r="H417" s="19" t="n">
        <v>-0.0098</v>
      </c>
      <c r="I417" s="20" t="n">
        <v>52</v>
      </c>
      <c r="J417" s="16" t="inlineStr">
        <is>
          <t>red</t>
        </is>
      </c>
      <c r="K417" s="20" t="n">
        <v>15</v>
      </c>
      <c r="L417" s="18" t="n">
        <v>27.24</v>
      </c>
      <c r="M417" s="18" t="n">
        <v>773.9400000000001</v>
      </c>
      <c r="N417" s="18" t="n">
        <v>800.54</v>
      </c>
      <c r="O417" s="18" t="n">
        <v>745.58</v>
      </c>
      <c r="P417" s="18" t="n">
        <v>850.3</v>
      </c>
      <c r="Q417" s="18" t="n">
        <v>583.95</v>
      </c>
      <c r="R417" s="21">
        <f>IF(OR(G417="",P417=""),"",G417/P417-1)</f>
        <v/>
      </c>
      <c r="S417" s="19" t="n">
        <v>1.2828</v>
      </c>
      <c r="T417" s="22" t="n">
        <v>-0.0015</v>
      </c>
      <c r="U417" s="16" t="inlineStr">
        <is>
          <t>No</t>
        </is>
      </c>
      <c r="V417" s="16" t="inlineStr">
        <is>
          <t>No</t>
        </is>
      </c>
      <c r="W417" s="16" t="inlineStr">
        <is>
          <t>No</t>
        </is>
      </c>
      <c r="X417" s="16" t="inlineStr">
        <is>
          <t>Yes</t>
        </is>
      </c>
      <c r="Y417" s="20" t="n">
        <v>24</v>
      </c>
      <c r="Z417" s="19" t="n">
        <v>0.0737</v>
      </c>
      <c r="AA417" s="18" t="n">
        <v>65.23</v>
      </c>
      <c r="AB417" s="16" t="inlineStr">
        <is>
          <t>High</t>
        </is>
      </c>
      <c r="AC417" s="16" t="inlineStr">
        <is>
          <t>Yes</t>
        </is>
      </c>
      <c r="AD417" s="19" t="n">
        <v>0.1632</v>
      </c>
      <c r="AE417" s="19" t="n">
        <v>0.1834</v>
      </c>
      <c r="AF417" s="19" t="n">
        <v>0.1305</v>
      </c>
      <c r="AG417" s="19" t="n">
        <v>0.4567</v>
      </c>
      <c r="AH417" s="23" t="n">
        <v>0.54</v>
      </c>
      <c r="AI417" s="23" t="n">
        <v>5.89</v>
      </c>
      <c r="AJ417" s="19" t="n">
        <v>0.0534</v>
      </c>
    </row>
    <row r="418">
      <c r="A418" s="16" t="inlineStr">
        <is>
          <t>ZYDUSWELL</t>
        </is>
      </c>
      <c r="B418" s="16" t="inlineStr">
        <is>
          <t>Zydus Wellness Ltd.</t>
        </is>
      </c>
      <c r="C418" s="16" t="inlineStr">
        <is>
          <t>Packaged Foods</t>
        </is>
      </c>
      <c r="D418" s="16" t="inlineStr">
        <is>
          <t>FMCG</t>
        </is>
      </c>
      <c r="E418" s="16" t="inlineStr">
        <is>
          <t>INE768C01028</t>
        </is>
      </c>
      <c r="F418" s="17" t="n">
        <v>16916.6</v>
      </c>
      <c r="G418" s="18" t="n">
        <v>531.7</v>
      </c>
      <c r="H418" s="19" t="n">
        <v>-0.0121</v>
      </c>
      <c r="I418" s="20" t="n">
        <v>65</v>
      </c>
      <c r="J418" s="16" t="inlineStr">
        <is>
          <t>amber</t>
        </is>
      </c>
      <c r="K418" s="20" t="n">
        <v>33</v>
      </c>
      <c r="L418" s="18" t="n">
        <v>59.71</v>
      </c>
      <c r="M418" s="18" t="n">
        <v>531.83</v>
      </c>
      <c r="N418" s="18" t="n">
        <v>549.03</v>
      </c>
      <c r="O418" s="18" t="n">
        <v>477.48</v>
      </c>
      <c r="P418" s="18" t="n">
        <v>602.5</v>
      </c>
      <c r="Q418" s="18" t="n">
        <v>372.76</v>
      </c>
      <c r="R418" s="21">
        <f>IF(OR(G418="",P418=""),"",G418/P418-1)</f>
        <v/>
      </c>
      <c r="S418" s="19" t="n">
        <v>0.6561</v>
      </c>
      <c r="T418" s="22" t="n">
        <v>0.01</v>
      </c>
      <c r="U418" s="16" t="inlineStr">
        <is>
          <t>Yes</t>
        </is>
      </c>
      <c r="V418" s="16" t="inlineStr">
        <is>
          <t>No</t>
        </is>
      </c>
      <c r="W418" s="16" t="inlineStr">
        <is>
          <t>No</t>
        </is>
      </c>
      <c r="X418" s="16" t="inlineStr">
        <is>
          <t>Yes</t>
        </is>
      </c>
      <c r="Y418" s="20" t="n">
        <v>91</v>
      </c>
      <c r="Z418" s="19" t="n">
        <v>0.1499</v>
      </c>
      <c r="AA418" s="18" t="n">
        <v>37.53</v>
      </c>
      <c r="AB418" s="16" t="inlineStr">
        <is>
          <t>Weak</t>
        </is>
      </c>
      <c r="AC418" s="16" t="inlineStr">
        <is>
          <t>No</t>
        </is>
      </c>
      <c r="AD418" s="19" t="n">
        <v>0.0483</v>
      </c>
      <c r="AE418" s="19" t="n">
        <v>0.04969999999999999</v>
      </c>
      <c r="AF418" s="19" t="n">
        <v>-0.09080000000000001</v>
      </c>
      <c r="AG418" s="19" t="n">
        <v>0.2196</v>
      </c>
      <c r="AH418" s="23" t="n">
        <v>0.55</v>
      </c>
      <c r="AI418" s="23" t="n">
        <v>11.64</v>
      </c>
      <c r="AJ418" s="19" t="n">
        <v>0.0683</v>
      </c>
    </row>
    <row r="419">
      <c r="A419" s="16" t="inlineStr">
        <is>
          <t>JSWCEMENT</t>
        </is>
      </c>
      <c r="B419" s="16" t="inlineStr">
        <is>
          <t>JSW Cement Ltd.</t>
        </is>
      </c>
      <c r="C419" s="16" t="inlineStr">
        <is>
          <t>Cement &amp; Cement Products</t>
        </is>
      </c>
      <c r="D419" s="16" t="inlineStr">
        <is>
          <t>Cement and Construction</t>
        </is>
      </c>
      <c r="E419" s="16" t="inlineStr">
        <is>
          <t>INE718I01012</t>
        </is>
      </c>
      <c r="F419" s="17" t="n">
        <v>16915.27</v>
      </c>
      <c r="G419" s="18" t="n">
        <v>124.07</v>
      </c>
      <c r="H419" s="19" t="n">
        <v>0.005699999999999999</v>
      </c>
      <c r="I419" s="20" t="n">
        <v>35</v>
      </c>
      <c r="J419" s="16" t="inlineStr">
        <is>
          <t>red</t>
        </is>
      </c>
      <c r="K419" s="20" t="n">
        <v>28</v>
      </c>
      <c r="L419" s="18" t="n">
        <v>38.91</v>
      </c>
      <c r="M419" s="18" t="n">
        <v>124.82</v>
      </c>
      <c r="N419" s="18" t="n">
        <v>132</v>
      </c>
      <c r="O419" s="18" t="n">
        <v>124.08</v>
      </c>
      <c r="P419" s="18" t="n">
        <v>151.73</v>
      </c>
      <c r="Q419" s="18" t="n">
        <v>107.62</v>
      </c>
      <c r="R419" s="21">
        <f>IF(OR(G419="",P419=""),"",G419/P419-1)</f>
        <v/>
      </c>
      <c r="S419" s="19" t="n">
        <v>1.0498</v>
      </c>
      <c r="T419" s="22" t="n">
        <v>-0.0031</v>
      </c>
      <c r="U419" s="16" t="inlineStr">
        <is>
          <t>No</t>
        </is>
      </c>
      <c r="V419" s="16" t="inlineStr">
        <is>
          <t>No</t>
        </is>
      </c>
      <c r="W419" s="16" t="inlineStr">
        <is>
          <t>No</t>
        </is>
      </c>
      <c r="X419" s="16" t="inlineStr">
        <is>
          <t>Yes</t>
        </is>
      </c>
      <c r="Y419" s="20" t="n">
        <v>56</v>
      </c>
      <c r="Z419" s="19" t="n">
        <v>0.0638</v>
      </c>
      <c r="AA419" s="18" t="n">
        <v>16.37</v>
      </c>
      <c r="AB419" s="16" t="inlineStr">
        <is>
          <t>Poor</t>
        </is>
      </c>
      <c r="AC419" s="16" t="inlineStr">
        <is>
          <t>No</t>
        </is>
      </c>
      <c r="AD419" s="19" t="n">
        <v>-0.0425</v>
      </c>
      <c r="AE419" s="19" t="n">
        <v>0.0256</v>
      </c>
      <c r="AF419" s="19" t="n">
        <v>-2.9908</v>
      </c>
      <c r="AG419" s="19" t="n">
        <v>0.0479</v>
      </c>
      <c r="AH419" s="23" t="n">
        <v>0.68</v>
      </c>
      <c r="AI419" s="23" t="n">
        <v>0.6899999999999999</v>
      </c>
      <c r="AJ419" s="19" t="n">
        <v>0.2031</v>
      </c>
    </row>
    <row r="420">
      <c r="A420" s="16" t="inlineStr">
        <is>
          <t>MINDACORP</t>
        </is>
      </c>
      <c r="B420" s="16" t="inlineStr">
        <is>
          <t>Minda Corporation Ltd.</t>
        </is>
      </c>
      <c r="C420" s="16" t="inlineStr">
        <is>
          <t>Auto Parts &amp; Equipment</t>
        </is>
      </c>
      <c r="D420" s="16" t="inlineStr">
        <is>
          <t>Automobiles &amp; Auto Components</t>
        </is>
      </c>
      <c r="E420" s="16" t="inlineStr">
        <is>
          <t>INE842C01021</t>
        </is>
      </c>
      <c r="F420" s="17" t="n">
        <v>16802.5</v>
      </c>
      <c r="G420" s="18" t="n">
        <v>702.8</v>
      </c>
      <c r="H420" s="19" t="n">
        <v>-0.0052</v>
      </c>
      <c r="I420" s="20" t="n">
        <v>68</v>
      </c>
      <c r="J420" s="16" t="inlineStr">
        <is>
          <t>amber</t>
        </is>
      </c>
      <c r="K420" s="20" t="n">
        <v>13</v>
      </c>
      <c r="L420" s="18" t="n">
        <v>40.92</v>
      </c>
      <c r="M420" s="18" t="n">
        <v>705.38</v>
      </c>
      <c r="N420" s="18" t="n">
        <v>703.48</v>
      </c>
      <c r="O420" s="18" t="n">
        <v>601.26</v>
      </c>
      <c r="P420" s="18" t="n">
        <v>745.25</v>
      </c>
      <c r="Q420" s="18" t="n">
        <v>480.31</v>
      </c>
      <c r="R420" s="21">
        <f>IF(OR(G420="",P420=""),"",G420/P420-1)</f>
        <v/>
      </c>
      <c r="S420" s="19" t="n">
        <v>0.3183</v>
      </c>
      <c r="T420" s="22" t="n">
        <v>0.0233</v>
      </c>
      <c r="U420" s="16" t="inlineStr">
        <is>
          <t>Yes</t>
        </is>
      </c>
      <c r="V420" s="16" t="inlineStr">
        <is>
          <t>No</t>
        </is>
      </c>
      <c r="W420" s="16" t="inlineStr">
        <is>
          <t>No</t>
        </is>
      </c>
      <c r="X420" s="16" t="inlineStr">
        <is>
          <t>Yes</t>
        </is>
      </c>
      <c r="Y420" s="20" t="n">
        <v>59</v>
      </c>
      <c r="Z420" s="19" t="n">
        <v>0.17</v>
      </c>
      <c r="AA420" s="18" t="n">
        <v>45.32</v>
      </c>
      <c r="AB420" s="16" t="inlineStr">
        <is>
          <t>Average</t>
        </is>
      </c>
      <c r="AC420" s="16" t="inlineStr">
        <is>
          <t>No</t>
        </is>
      </c>
      <c r="AD420" s="19" t="n">
        <v>0.1223</v>
      </c>
      <c r="AE420" s="19" t="n">
        <v>0.1234</v>
      </c>
      <c r="AF420" s="19" t="n">
        <v>0.1115</v>
      </c>
      <c r="AG420" s="19" t="n">
        <v>0.1297</v>
      </c>
      <c r="AH420" s="23" t="n">
        <v>0.5600000000000001</v>
      </c>
      <c r="AI420" s="23" t="n">
        <v>3.62</v>
      </c>
      <c r="AJ420" s="19" t="n">
        <v>0.1371</v>
      </c>
    </row>
    <row r="421">
      <c r="A421" s="16" t="inlineStr">
        <is>
          <t>CHAMBLFERT</t>
        </is>
      </c>
      <c r="B421" s="16" t="inlineStr">
        <is>
          <t>Chambal Fertilisers &amp; Chemicals Ltd.</t>
        </is>
      </c>
      <c r="C421" s="16" t="inlineStr">
        <is>
          <t>Fertilizers</t>
        </is>
      </c>
      <c r="D421" s="16" t="inlineStr">
        <is>
          <t>Fertilizers</t>
        </is>
      </c>
      <c r="E421" s="16" t="inlineStr">
        <is>
          <t>INE085A01013</t>
        </is>
      </c>
      <c r="F421" s="17" t="n">
        <v>16789.33</v>
      </c>
      <c r="G421" s="18" t="n">
        <v>419.05</v>
      </c>
      <c r="H421" s="19" t="n">
        <v>0.0018</v>
      </c>
      <c r="I421" s="20" t="n">
        <v>24</v>
      </c>
      <c r="J421" s="16" t="inlineStr">
        <is>
          <t>red</t>
        </is>
      </c>
      <c r="K421" s="20" t="n">
        <v>252</v>
      </c>
      <c r="L421" s="18" t="n">
        <v>25.96</v>
      </c>
      <c r="M421" s="18" t="n">
        <v>418.06</v>
      </c>
      <c r="N421" s="18" t="n">
        <v>440.68</v>
      </c>
      <c r="O421" s="18" t="n">
        <v>442.9</v>
      </c>
      <c r="P421" s="18" t="n">
        <v>544.37</v>
      </c>
      <c r="Q421" s="18" t="n">
        <v>406.77</v>
      </c>
      <c r="R421" s="21">
        <f>IF(OR(G421="",P421=""),"",G421/P421-1)</f>
        <v/>
      </c>
      <c r="S421" s="19" t="n">
        <v>0.5924</v>
      </c>
      <c r="T421" s="22" t="n">
        <v>-0.0086</v>
      </c>
      <c r="U421" s="16" t="inlineStr">
        <is>
          <t>No</t>
        </is>
      </c>
      <c r="V421" s="16" t="inlineStr">
        <is>
          <t>No</t>
        </is>
      </c>
      <c r="W421" s="16" t="inlineStr">
        <is>
          <t>Yes</t>
        </is>
      </c>
      <c r="X421" s="16" t="inlineStr">
        <is>
          <t>No</t>
        </is>
      </c>
      <c r="Y421" s="20" t="n">
        <v>3</v>
      </c>
      <c r="Z421" s="19" t="n">
        <v>-0.005</v>
      </c>
      <c r="AA421" s="18" t="n">
        <v>60.85</v>
      </c>
      <c r="AB421" s="16" t="inlineStr">
        <is>
          <t>Good</t>
        </is>
      </c>
      <c r="AC421" s="16" t="inlineStr">
        <is>
          <t>No</t>
        </is>
      </c>
      <c r="AD421" s="19" t="n">
        <v>0.184</v>
      </c>
      <c r="AE421" s="19" t="n">
        <v>0.2434</v>
      </c>
      <c r="AF421" s="19" t="n">
        <v>0.2535</v>
      </c>
      <c r="AG421" s="19" t="n">
        <v>-0.059</v>
      </c>
      <c r="AH421" s="23" t="n">
        <v>0.1</v>
      </c>
      <c r="AI421" s="23" t="n">
        <v>2.75</v>
      </c>
      <c r="AJ421" s="19" t="n">
        <v>0.1933</v>
      </c>
    </row>
    <row r="422">
      <c r="A422" s="16" t="inlineStr">
        <is>
          <t>ALIVUS</t>
        </is>
      </c>
      <c r="B422" s="16" t="inlineStr">
        <is>
          <t>Alivus Life Sciences Ltd.</t>
        </is>
      </c>
      <c r="C422" s="16" t="inlineStr">
        <is>
          <t>Pharmaceuticals</t>
        </is>
      </c>
      <c r="D422" s="16" t="inlineStr">
        <is>
          <t>Pharmaceuticals &amp; Biotechnology</t>
        </is>
      </c>
      <c r="E422" s="16" t="inlineStr">
        <is>
          <t>INE03Q201024</t>
        </is>
      </c>
      <c r="F422" s="17" t="n">
        <v>16774.26</v>
      </c>
      <c r="G422" s="18" t="n">
        <v>1366.3</v>
      </c>
      <c r="H422" s="19" t="n">
        <v>-0.03700000000000001</v>
      </c>
      <c r="I422" s="20" t="n">
        <v>83</v>
      </c>
      <c r="J422" s="16" t="inlineStr">
        <is>
          <t>green</t>
        </is>
      </c>
      <c r="K422" s="20" t="n">
        <v>21</v>
      </c>
      <c r="L422" s="18" t="n">
        <v>45.97</v>
      </c>
      <c r="M422" s="18" t="n">
        <v>1387.77</v>
      </c>
      <c r="N422" s="18" t="n">
        <v>1248.4</v>
      </c>
      <c r="O422" s="18" t="n">
        <v>1037.41</v>
      </c>
      <c r="P422" s="18" t="n">
        <v>1443.7</v>
      </c>
      <c r="Q422" s="18" t="n">
        <v>856.99</v>
      </c>
      <c r="R422" s="21">
        <f>IF(OR(G422="",P422=""),"",G422/P422-1)</f>
        <v/>
      </c>
      <c r="S422" s="19" t="n">
        <v>0.8273</v>
      </c>
      <c r="T422" s="22" t="n">
        <v>0.047</v>
      </c>
      <c r="U422" s="16" t="inlineStr">
        <is>
          <t>Yes</t>
        </is>
      </c>
      <c r="V422" s="16" t="inlineStr">
        <is>
          <t>Yes</t>
        </is>
      </c>
      <c r="W422" s="16" t="inlineStr">
        <is>
          <t>No</t>
        </is>
      </c>
      <c r="X422" s="16" t="inlineStr">
        <is>
          <t>Yes</t>
        </is>
      </c>
      <c r="Y422" s="20" t="n">
        <v>105</v>
      </c>
      <c r="Z422" s="19" t="n">
        <v>0.2034</v>
      </c>
      <c r="AA422" s="18" t="n">
        <v>63.64</v>
      </c>
      <c r="AB422" s="16" t="inlineStr">
        <is>
          <t>High</t>
        </is>
      </c>
      <c r="AC422" s="16" t="inlineStr">
        <is>
          <t>No</t>
        </is>
      </c>
      <c r="AD422" s="19" t="n">
        <v>0.1812</v>
      </c>
      <c r="AE422" s="19" t="n">
        <v>0.2404</v>
      </c>
      <c r="AF422" s="19" t="n">
        <v>0.06610000000000001</v>
      </c>
      <c r="AG422" s="19" t="n">
        <v>0.0762</v>
      </c>
      <c r="AH422" s="23" t="n">
        <v>0.02</v>
      </c>
      <c r="AI422" s="23" t="n">
        <v>1.98</v>
      </c>
      <c r="AJ422" s="19" t="n">
        <v>0.2117</v>
      </c>
    </row>
    <row r="423">
      <c r="A423" s="16" t="inlineStr">
        <is>
          <t>BASF</t>
        </is>
      </c>
      <c r="B423" s="16" t="inlineStr">
        <is>
          <t>BASF India Ltd.</t>
        </is>
      </c>
      <c r="C423" s="16" t="inlineStr">
        <is>
          <t>Specialty Chemicals</t>
        </is>
      </c>
      <c r="D423" s="16" t="inlineStr">
        <is>
          <t>Chemicals &amp; Petrochemicals</t>
        </is>
      </c>
      <c r="E423" s="16" t="inlineStr">
        <is>
          <t>INE373A01013</t>
        </is>
      </c>
      <c r="F423" s="17" t="n">
        <v>16729.45</v>
      </c>
      <c r="G423" s="18" t="n">
        <v>3864.9</v>
      </c>
      <c r="H423" s="19" t="n">
        <v>0.008500000000000001</v>
      </c>
      <c r="I423" s="20" t="n">
        <v>47</v>
      </c>
      <c r="J423" s="16" t="inlineStr">
        <is>
          <t>red</t>
        </is>
      </c>
      <c r="K423" s="20" t="n">
        <v>326</v>
      </c>
      <c r="L423" s="18" t="n">
        <v>34.43</v>
      </c>
      <c r="M423" s="18" t="n">
        <v>3833.21</v>
      </c>
      <c r="N423" s="18" t="n">
        <v>3780.68</v>
      </c>
      <c r="O423" s="18" t="n">
        <v>3679.26</v>
      </c>
      <c r="P423" s="18" t="n">
        <v>4656.17</v>
      </c>
      <c r="Q423" s="18" t="n">
        <v>3142.26</v>
      </c>
      <c r="R423" s="21">
        <f>IF(OR(G423="",P423=""),"",G423/P423-1)</f>
        <v/>
      </c>
      <c r="S423" s="19" t="n">
        <v>0.4866</v>
      </c>
      <c r="T423" s="22" t="n">
        <v>-0.0133</v>
      </c>
      <c r="U423" s="16" t="inlineStr">
        <is>
          <t>No</t>
        </is>
      </c>
      <c r="V423" s="16" t="inlineStr">
        <is>
          <t>Yes</t>
        </is>
      </c>
      <c r="W423" s="16" t="inlineStr">
        <is>
          <t>Yes</t>
        </is>
      </c>
      <c r="X423" s="16" t="inlineStr">
        <is>
          <t>Yes</t>
        </is>
      </c>
      <c r="Y423" s="20" t="n">
        <v>12</v>
      </c>
      <c r="Z423" s="19" t="n">
        <v>0.0276</v>
      </c>
      <c r="AA423" s="18" t="n">
        <v>60.14</v>
      </c>
      <c r="AB423" s="16" t="inlineStr">
        <is>
          <t>Good</t>
        </is>
      </c>
      <c r="AC423" s="16" t="inlineStr">
        <is>
          <t>No</t>
        </is>
      </c>
      <c r="AD423" s="19" t="n">
        <v>0.1376</v>
      </c>
      <c r="AE423" s="19" t="n">
        <v>0.1819</v>
      </c>
      <c r="AF423" s="19" t="n">
        <v>0.0418</v>
      </c>
      <c r="AG423" s="19" t="n">
        <v>0.0313</v>
      </c>
      <c r="AH423" s="23" t="n">
        <v>0.03</v>
      </c>
      <c r="AI423" s="23" t="n">
        <v>16.45</v>
      </c>
      <c r="AJ423" s="19" t="n">
        <v>0.2017</v>
      </c>
    </row>
    <row r="424">
      <c r="A424" s="16" t="inlineStr">
        <is>
          <t>CENTURYPLY</t>
        </is>
      </c>
      <c r="B424" s="16" t="inlineStr">
        <is>
          <t>Century Plyboards (India) Ltd.</t>
        </is>
      </c>
      <c r="C424" s="16" t="inlineStr">
        <is>
          <t>Forest Products</t>
        </is>
      </c>
      <c r="D424" s="16" t="inlineStr">
        <is>
          <t>Forest Materials</t>
        </is>
      </c>
      <c r="E424" s="16" t="inlineStr">
        <is>
          <t>INE348B01021</t>
        </is>
      </c>
      <c r="F424" s="17" t="n">
        <v>16628.54</v>
      </c>
      <c r="G424" s="18" t="n">
        <v>748.45</v>
      </c>
      <c r="H424" s="19" t="n">
        <v>-0.001</v>
      </c>
      <c r="I424" s="20" t="n">
        <v>37</v>
      </c>
      <c r="J424" s="16" t="inlineStr">
        <is>
          <t>red</t>
        </is>
      </c>
      <c r="K424" s="20" t="n">
        <v>79</v>
      </c>
      <c r="L424" s="18" t="n">
        <v>48.97</v>
      </c>
      <c r="M424" s="18" t="n">
        <v>750.9299999999999</v>
      </c>
      <c r="N424" s="18" t="n">
        <v>770.1</v>
      </c>
      <c r="O424" s="18" t="n">
        <v>766.52</v>
      </c>
      <c r="P424" s="18" t="n">
        <v>844</v>
      </c>
      <c r="Q424" s="18" t="n">
        <v>645.75</v>
      </c>
      <c r="R424" s="21">
        <f>IF(OR(G424="",P424=""),"",G424/P424-1)</f>
        <v/>
      </c>
      <c r="S424" s="19" t="n">
        <v>0.2038</v>
      </c>
      <c r="T424" s="22" t="n">
        <v>-0.0003</v>
      </c>
      <c r="U424" s="16" t="inlineStr">
        <is>
          <t>No</t>
        </is>
      </c>
      <c r="V424" s="16" t="inlineStr">
        <is>
          <t>No</t>
        </is>
      </c>
      <c r="W424" s="16" t="inlineStr">
        <is>
          <t>No</t>
        </is>
      </c>
      <c r="X424" s="16" t="inlineStr">
        <is>
          <t>Yes</t>
        </is>
      </c>
      <c r="Y424" s="20" t="n">
        <v>29</v>
      </c>
      <c r="Z424" s="19" t="n">
        <v>0.004699999999999999</v>
      </c>
      <c r="AA424" s="18" t="n">
        <v>36.95</v>
      </c>
      <c r="AB424" s="16" t="inlineStr">
        <is>
          <t>Weak</t>
        </is>
      </c>
      <c r="AC424" s="16" t="inlineStr">
        <is>
          <t>No</t>
        </is>
      </c>
      <c r="AD424" s="19" t="n">
        <v>0.1089</v>
      </c>
      <c r="AE424" s="19" t="n">
        <v>0.117</v>
      </c>
      <c r="AF424" s="19" t="n">
        <v>-0.0491</v>
      </c>
      <c r="AG424" s="19" t="n">
        <v>0.1426</v>
      </c>
      <c r="AH424" s="23" t="n">
        <v>0.68</v>
      </c>
      <c r="AI424" s="23" t="n">
        <v>1.81</v>
      </c>
      <c r="AJ424" s="19" t="n">
        <v>0.0604</v>
      </c>
    </row>
    <row r="425">
      <c r="A425" s="16" t="inlineStr">
        <is>
          <t>THANGAMAYL</t>
        </is>
      </c>
      <c r="B425" s="16" t="inlineStr">
        <is>
          <t>Thangamayil Jewellery Ltd.</t>
        </is>
      </c>
      <c r="C425" s="16" t="inlineStr">
        <is>
          <t>Gems &amp; Jewellery</t>
        </is>
      </c>
      <c r="D425" s="16" t="inlineStr">
        <is>
          <t>Textiles Apparels &amp; Accessories</t>
        </is>
      </c>
      <c r="E425" s="16" t="inlineStr">
        <is>
          <t>INE085J01014</t>
        </is>
      </c>
      <c r="F425" s="17" t="n">
        <v>16581.29</v>
      </c>
      <c r="G425" s="18" t="n">
        <v>5332</v>
      </c>
      <c r="H425" s="19" t="n">
        <v>0.006999999999999999</v>
      </c>
      <c r="I425" s="20" t="n">
        <v>85</v>
      </c>
      <c r="J425" s="16" t="inlineStr">
        <is>
          <t>green</t>
        </is>
      </c>
      <c r="K425" s="20" t="n">
        <v>212</v>
      </c>
      <c r="L425" s="18" t="n">
        <v>49.73</v>
      </c>
      <c r="M425" s="18" t="n">
        <v>5378.31</v>
      </c>
      <c r="N425" s="18" t="n">
        <v>5860.43</v>
      </c>
      <c r="O425" s="18" t="n">
        <v>4337.46</v>
      </c>
      <c r="P425" s="18" t="n">
        <v>7309.5</v>
      </c>
      <c r="Q425" s="18" t="n">
        <v>1945.26</v>
      </c>
      <c r="R425" s="21">
        <f>IF(OR(G425="",P425=""),"",G425/P425-1)</f>
        <v/>
      </c>
      <c r="S425" s="19" t="n">
        <v>0.2852</v>
      </c>
      <c r="T425" s="22" t="n">
        <v>0.06559999999999999</v>
      </c>
      <c r="U425" s="16" t="inlineStr">
        <is>
          <t>Yes</t>
        </is>
      </c>
      <c r="V425" s="16" t="inlineStr">
        <is>
          <t>No</t>
        </is>
      </c>
      <c r="W425" s="16" t="inlineStr">
        <is>
          <t>No</t>
        </is>
      </c>
      <c r="X425" s="16" t="inlineStr">
        <is>
          <t>Yes</t>
        </is>
      </c>
      <c r="Y425" s="20" t="n">
        <v>260</v>
      </c>
      <c r="Z425" s="19" t="n">
        <v>0.3511</v>
      </c>
      <c r="AA425" s="18" t="n">
        <v>67.47</v>
      </c>
      <c r="AB425" s="16" t="inlineStr">
        <is>
          <t>High</t>
        </is>
      </c>
      <c r="AC425" s="16" t="inlineStr">
        <is>
          <t>No</t>
        </is>
      </c>
      <c r="AD425" s="19" t="n">
        <v>0.202</v>
      </c>
      <c r="AE425" s="19" t="n">
        <v>0.1737</v>
      </c>
      <c r="AF425" s="19" t="n">
        <v>0.7365999999999999</v>
      </c>
      <c r="AG425" s="19" t="n">
        <v>0.4093</v>
      </c>
      <c r="AH425" s="23" t="n">
        <v>0.64</v>
      </c>
      <c r="AI425" s="23" t="n">
        <v>28.46</v>
      </c>
      <c r="AJ425" s="19" t="n">
        <v>0.023</v>
      </c>
    </row>
    <row r="426">
      <c r="A426" s="16" t="inlineStr">
        <is>
          <t>J&amp;KBANK</t>
        </is>
      </c>
      <c r="B426" s="16" t="inlineStr">
        <is>
          <t>Jammu &amp; Kashmir Bank Ltd.</t>
        </is>
      </c>
      <c r="C426" s="16" t="inlineStr">
        <is>
          <t>Banks</t>
        </is>
      </c>
      <c r="D426" s="16" t="inlineStr">
        <is>
          <t>Banking and Finance</t>
        </is>
      </c>
      <c r="E426" s="16" t="inlineStr">
        <is>
          <t>INE168A01041</t>
        </is>
      </c>
      <c r="F426" s="17" t="n">
        <v>16519.94</v>
      </c>
      <c r="G426" s="18" t="n">
        <v>150.02</v>
      </c>
      <c r="H426" s="19" t="n">
        <v>0.0011</v>
      </c>
      <c r="I426" s="20" t="n">
        <v>68</v>
      </c>
      <c r="J426" s="16" t="inlineStr">
        <is>
          <t>amber</t>
        </is>
      </c>
      <c r="K426" s="20" t="n">
        <v>15</v>
      </c>
      <c r="L426" s="18" t="n">
        <v>53.77</v>
      </c>
      <c r="M426" s="18" t="n">
        <v>149.2</v>
      </c>
      <c r="N426" s="18" t="n">
        <v>161.57</v>
      </c>
      <c r="O426" s="18" t="n">
        <v>130.38</v>
      </c>
      <c r="P426" s="18" t="n">
        <v>192.65</v>
      </c>
      <c r="Q426" s="18" t="n">
        <v>98.09</v>
      </c>
      <c r="R426" s="21">
        <f>IF(OR(G426="",P426=""),"",G426/P426-1)</f>
        <v/>
      </c>
      <c r="S426" s="19" t="n">
        <v>0.4425</v>
      </c>
      <c r="T426" s="22" t="n">
        <v>0.0349</v>
      </c>
      <c r="U426" s="16" t="inlineStr">
        <is>
          <t>Yes</t>
        </is>
      </c>
      <c r="V426" s="16" t="inlineStr">
        <is>
          <t>No</t>
        </is>
      </c>
      <c r="W426" s="16" t="inlineStr">
        <is>
          <t>Yes</t>
        </is>
      </c>
      <c r="X426" s="16" t="inlineStr">
        <is>
          <t>Yes</t>
        </is>
      </c>
      <c r="Y426" s="20" t="n">
        <v>129</v>
      </c>
      <c r="Z426" s="19" t="n">
        <v>0.2392</v>
      </c>
      <c r="AA426" s="18" t="n">
        <v>55.15</v>
      </c>
      <c r="AB426" s="16" t="inlineStr">
        <is>
          <t>Good</t>
        </is>
      </c>
      <c r="AC426" s="16" t="inlineStr">
        <is>
          <t>Yes</t>
        </is>
      </c>
      <c r="AD426" s="19" t="n">
        <v>0.1449</v>
      </c>
      <c r="AE426" s="19" t="n"/>
      <c r="AF426" s="19" t="n">
        <v>0.2101</v>
      </c>
      <c r="AG426" s="19" t="n">
        <v>0.0824</v>
      </c>
      <c r="AH426" s="23" t="n">
        <v>0.21</v>
      </c>
      <c r="AI426" s="23" t="n">
        <v>2.7</v>
      </c>
      <c r="AJ426" s="19" t="n">
        <v>0</v>
      </c>
    </row>
    <row r="427">
      <c r="A427" s="16" t="inlineStr">
        <is>
          <t>PSB</t>
        </is>
      </c>
      <c r="B427" s="16" t="inlineStr">
        <is>
          <t>Punjab &amp; Sind Bank</t>
        </is>
      </c>
      <c r="C427" s="16" t="inlineStr">
        <is>
          <t>Banks</t>
        </is>
      </c>
      <c r="D427" s="16" t="inlineStr">
        <is>
          <t>Banking and Finance</t>
        </is>
      </c>
      <c r="E427" s="16" t="inlineStr">
        <is>
          <t>INE608A01012</t>
        </is>
      </c>
      <c r="F427" s="17" t="n">
        <v>16483.04</v>
      </c>
      <c r="G427" s="18" t="n">
        <v>23.23</v>
      </c>
      <c r="H427" s="19" t="n">
        <v>0.007800000000000001</v>
      </c>
      <c r="I427" s="20" t="n">
        <v>23</v>
      </c>
      <c r="J427" s="16" t="inlineStr">
        <is>
          <t>red</t>
        </is>
      </c>
      <c r="K427" s="20" t="n">
        <v>501</v>
      </c>
      <c r="L427" s="18" t="n">
        <v>41.82</v>
      </c>
      <c r="M427" s="18" t="n">
        <v>23.04</v>
      </c>
      <c r="N427" s="18" t="n">
        <v>23.77</v>
      </c>
      <c r="O427" s="18" t="n">
        <v>25</v>
      </c>
      <c r="P427" s="18" t="n">
        <v>31.36</v>
      </c>
      <c r="Q427" s="18" t="n">
        <v>20.34</v>
      </c>
      <c r="R427" s="21">
        <f>IF(OR(G427="",P427=""),"",G427/P427-1)</f>
        <v/>
      </c>
      <c r="S427" s="19" t="n">
        <v>1.2021</v>
      </c>
      <c r="T427" s="22" t="n">
        <v>-0.0277</v>
      </c>
      <c r="U427" s="16" t="inlineStr">
        <is>
          <t>No</t>
        </is>
      </c>
      <c r="V427" s="16" t="inlineStr">
        <is>
          <t>No</t>
        </is>
      </c>
      <c r="W427" s="16" t="inlineStr">
        <is>
          <t>Yes</t>
        </is>
      </c>
      <c r="X427" s="16" t="inlineStr">
        <is>
          <t>No</t>
        </is>
      </c>
      <c r="Y427" s="20" t="n">
        <v>477</v>
      </c>
      <c r="Z427" s="19" t="n">
        <v>-0.0493</v>
      </c>
      <c r="AA427" s="18" t="n">
        <v>40.33</v>
      </c>
      <c r="AB427" s="16" t="inlineStr">
        <is>
          <t>Average</t>
        </is>
      </c>
      <c r="AC427" s="16" t="inlineStr">
        <is>
          <t>Yes</t>
        </is>
      </c>
      <c r="AD427" s="19" t="n">
        <v>0.0693</v>
      </c>
      <c r="AE427" s="19" t="n"/>
      <c r="AF427" s="19" t="n">
        <v>0.1327</v>
      </c>
      <c r="AG427" s="19" t="n">
        <v>0.1507</v>
      </c>
      <c r="AH427" s="23" t="n">
        <v>0.99</v>
      </c>
      <c r="AI427" s="23" t="n">
        <v>3.02</v>
      </c>
      <c r="AJ427" s="19" t="n">
        <v>0.0131</v>
      </c>
    </row>
    <row r="428">
      <c r="A428" s="16" t="inlineStr">
        <is>
          <t>GRWRHITECH</t>
        </is>
      </c>
      <c r="B428" s="16" t="inlineStr">
        <is>
          <t>Garware Hi-Tech Films Ltd.</t>
        </is>
      </c>
      <c r="C428" s="16" t="inlineStr">
        <is>
          <t>Containers &amp; Packaging</t>
        </is>
      </c>
      <c r="D428" s="16" t="inlineStr">
        <is>
          <t>Commercial Services &amp; Supplies</t>
        </is>
      </c>
      <c r="E428" s="16" t="inlineStr">
        <is>
          <t>INE291A01017</t>
        </is>
      </c>
      <c r="F428" s="17" t="n">
        <v>16463.64</v>
      </c>
      <c r="G428" s="18" t="n">
        <v>7086.5</v>
      </c>
      <c r="H428" s="19" t="n">
        <v>-0.0019</v>
      </c>
      <c r="I428" s="20" t="n">
        <v>91</v>
      </c>
      <c r="J428" s="16" t="inlineStr">
        <is>
          <t>green</t>
        </is>
      </c>
      <c r="K428" s="20" t="n">
        <v>90</v>
      </c>
      <c r="L428" s="18" t="n">
        <v>53.06</v>
      </c>
      <c r="M428" s="18" t="n">
        <v>7142.06</v>
      </c>
      <c r="N428" s="18" t="n">
        <v>7041.57</v>
      </c>
      <c r="O428" s="18" t="n">
        <v>4945.8</v>
      </c>
      <c r="P428" s="18" t="n">
        <v>7409.5</v>
      </c>
      <c r="Q428" s="18" t="n">
        <v>2704.5</v>
      </c>
      <c r="R428" s="21">
        <f>IF(OR(G428="",P428=""),"",G428/P428-1)</f>
        <v/>
      </c>
      <c r="S428" s="19" t="n">
        <v>0.4598</v>
      </c>
      <c r="T428" s="22" t="n">
        <v>0.0775</v>
      </c>
      <c r="U428" s="16" t="inlineStr">
        <is>
          <t>Yes</t>
        </is>
      </c>
      <c r="V428" s="16" t="inlineStr">
        <is>
          <t>Yes</t>
        </is>
      </c>
      <c r="W428" s="16" t="inlineStr">
        <is>
          <t>No</t>
        </is>
      </c>
      <c r="X428" s="16" t="inlineStr">
        <is>
          <t>Yes</t>
        </is>
      </c>
      <c r="Y428" s="20" t="n">
        <v>126</v>
      </c>
      <c r="Z428" s="19" t="n">
        <v>0.4237</v>
      </c>
      <c r="AA428" s="18" t="n">
        <v>59.9</v>
      </c>
      <c r="AB428" s="16" t="inlineStr">
        <is>
          <t>Good</t>
        </is>
      </c>
      <c r="AC428" s="16" t="inlineStr">
        <is>
          <t>No</t>
        </is>
      </c>
      <c r="AD428" s="19" t="n">
        <v>0.1221</v>
      </c>
      <c r="AE428" s="19" t="n">
        <v>0.1651</v>
      </c>
      <c r="AF428" s="19" t="n">
        <v>0.2914</v>
      </c>
      <c r="AG428" s="19" t="n">
        <v>0.1507</v>
      </c>
      <c r="AH428" s="23" t="n">
        <v>0.01</v>
      </c>
      <c r="AI428" s="23" t="n">
        <v>1.32</v>
      </c>
      <c r="AJ428" s="19" t="n">
        <v>0.0165</v>
      </c>
    </row>
    <row r="429">
      <c r="A429" s="16" t="inlineStr">
        <is>
          <t>ASTRAMICRO</t>
        </is>
      </c>
      <c r="B429" s="16" t="inlineStr">
        <is>
          <t>Astra Microwave Products Ltd.</t>
        </is>
      </c>
      <c r="C429" s="16" t="inlineStr">
        <is>
          <t>Aerospace &amp; Defence</t>
        </is>
      </c>
      <c r="D429" s="16" t="inlineStr">
        <is>
          <t>General Industrials</t>
        </is>
      </c>
      <c r="E429" s="16" t="inlineStr">
        <is>
          <t>INE386C01029</t>
        </is>
      </c>
      <c r="F429" s="17" t="n">
        <v>16415.99</v>
      </c>
      <c r="G429" s="18" t="n">
        <v>1729</v>
      </c>
      <c r="H429" s="19" t="n">
        <v>0.0384</v>
      </c>
      <c r="I429" s="20" t="n">
        <v>86</v>
      </c>
      <c r="J429" s="16" t="inlineStr">
        <is>
          <t>green</t>
        </is>
      </c>
      <c r="K429" s="20" t="n">
        <v>75</v>
      </c>
      <c r="L429" s="18" t="n">
        <v>52.47</v>
      </c>
      <c r="M429" s="18" t="n">
        <v>1685.14</v>
      </c>
      <c r="N429" s="18" t="n">
        <v>1747.44</v>
      </c>
      <c r="O429" s="18" t="n">
        <v>1236.4</v>
      </c>
      <c r="P429" s="18" t="n">
        <v>1861.6</v>
      </c>
      <c r="Q429" s="18" t="n">
        <v>855.7</v>
      </c>
      <c r="R429" s="21">
        <f>IF(OR(G429="",P429=""),"",G429/P429-1)</f>
        <v/>
      </c>
      <c r="S429" s="19" t="n">
        <v>0.9679000000000001</v>
      </c>
      <c r="T429" s="22" t="n">
        <v>0.0557</v>
      </c>
      <c r="U429" s="16" t="inlineStr">
        <is>
          <t>Yes</t>
        </is>
      </c>
      <c r="V429" s="16" t="inlineStr">
        <is>
          <t>No</t>
        </is>
      </c>
      <c r="W429" s="16" t="inlineStr">
        <is>
          <t>Yes</t>
        </is>
      </c>
      <c r="X429" s="16" t="inlineStr">
        <is>
          <t>Yes</t>
        </is>
      </c>
      <c r="Y429" s="20" t="n">
        <v>91</v>
      </c>
      <c r="Z429" s="19" t="n">
        <v>0.4133</v>
      </c>
      <c r="AA429" s="18" t="n">
        <v>58.89</v>
      </c>
      <c r="AB429" s="16" t="inlineStr">
        <is>
          <t>Good</t>
        </is>
      </c>
      <c r="AC429" s="16" t="inlineStr">
        <is>
          <t>No</t>
        </is>
      </c>
      <c r="AD429" s="19" t="n">
        <v>0.1373</v>
      </c>
      <c r="AE429" s="19" t="n">
        <v>0.1731</v>
      </c>
      <c r="AF429" s="19" t="n">
        <v>0.3688</v>
      </c>
      <c r="AG429" s="19" t="n">
        <v>0.1265</v>
      </c>
      <c r="AH429" s="23" t="n">
        <v>0.22</v>
      </c>
      <c r="AI429" s="23" t="n">
        <v>4.3</v>
      </c>
      <c r="AJ429" s="19" t="n">
        <v>0.0342</v>
      </c>
    </row>
    <row r="430">
      <c r="A430" s="16" t="inlineStr">
        <is>
          <t>PARADEEP</t>
        </is>
      </c>
      <c r="B430" s="16" t="inlineStr">
        <is>
          <t>Paradeep Phosphates Ltd.</t>
        </is>
      </c>
      <c r="C430" s="16" t="inlineStr">
        <is>
          <t>Fertilizers</t>
        </is>
      </c>
      <c r="D430" s="16" t="inlineStr">
        <is>
          <t>Fertilizers</t>
        </is>
      </c>
      <c r="E430" s="16" t="inlineStr">
        <is>
          <t>INE088F01024</t>
        </is>
      </c>
      <c r="F430" s="17" t="n">
        <v>16304.77</v>
      </c>
      <c r="G430" s="18" t="n">
        <v>157</v>
      </c>
      <c r="H430" s="19" t="n">
        <v>0.0327</v>
      </c>
      <c r="I430" s="20" t="n">
        <v>62</v>
      </c>
      <c r="J430" s="16" t="inlineStr">
        <is>
          <t>amber</t>
        </is>
      </c>
      <c r="K430" s="20" t="n">
        <v>1</v>
      </c>
      <c r="L430" s="18" t="n">
        <v>62.39</v>
      </c>
      <c r="M430" s="18" t="n">
        <v>157.95</v>
      </c>
      <c r="N430" s="18" t="n">
        <v>145.32</v>
      </c>
      <c r="O430" s="18" t="n">
        <v>134.87</v>
      </c>
      <c r="P430" s="18" t="n">
        <v>205.14</v>
      </c>
      <c r="Q430" s="18" t="n">
        <v>102.18</v>
      </c>
      <c r="R430" s="21">
        <f>IF(OR(G430="",P430=""),"",G430/P430-1)</f>
        <v/>
      </c>
      <c r="S430" s="19" t="n">
        <v>0.3131</v>
      </c>
      <c r="T430" s="22" t="n">
        <v>-0.01</v>
      </c>
      <c r="U430" s="16" t="inlineStr">
        <is>
          <t>No</t>
        </is>
      </c>
      <c r="V430" s="16" t="inlineStr">
        <is>
          <t>Yes</t>
        </is>
      </c>
      <c r="W430" s="16" t="inlineStr">
        <is>
          <t>No</t>
        </is>
      </c>
      <c r="X430" s="16" t="inlineStr">
        <is>
          <t>Yes</t>
        </is>
      </c>
      <c r="Y430" s="20" t="n">
        <v>20</v>
      </c>
      <c r="Z430" s="19" t="n">
        <v>0.0775</v>
      </c>
      <c r="AA430" s="18" t="n">
        <v>53.22</v>
      </c>
      <c r="AB430" s="16" t="inlineStr">
        <is>
          <t>Good</t>
        </is>
      </c>
      <c r="AC430" s="16" t="inlineStr">
        <is>
          <t>No</t>
        </is>
      </c>
      <c r="AD430" s="19" t="n">
        <v>0.1124</v>
      </c>
      <c r="AE430" s="19" t="n">
        <v>0.1191</v>
      </c>
      <c r="AF430" s="19" t="n">
        <v>1.3485</v>
      </c>
      <c r="AG430" s="19" t="n">
        <v>0.8251000000000001</v>
      </c>
      <c r="AH430" s="23" t="n">
        <v>1.02</v>
      </c>
      <c r="AI430" s="23" t="n">
        <v>3.49</v>
      </c>
      <c r="AJ430" s="19" t="n">
        <v>0.0678</v>
      </c>
    </row>
    <row r="431">
      <c r="A431" s="16" t="inlineStr">
        <is>
          <t>AGARWALEYE</t>
        </is>
      </c>
      <c r="B431" s="16" t="inlineStr">
        <is>
          <t>Dr. Agarwals Health Care Ltd.</t>
        </is>
      </c>
      <c r="C431" s="16" t="inlineStr">
        <is>
          <t>Healthcare Facilities</t>
        </is>
      </c>
      <c r="D431" s="16" t="inlineStr">
        <is>
          <t>Healthcare</t>
        </is>
      </c>
      <c r="E431" s="16" t="inlineStr">
        <is>
          <t>INE943P01029</t>
        </is>
      </c>
      <c r="F431" s="17" t="n">
        <v>16298.32</v>
      </c>
      <c r="G431" s="18" t="n">
        <v>514.1</v>
      </c>
      <c r="H431" s="19" t="n">
        <v>0.0052</v>
      </c>
      <c r="I431" s="20" t="n">
        <v>58</v>
      </c>
      <c r="J431" s="16" t="inlineStr">
        <is>
          <t>red</t>
        </is>
      </c>
      <c r="K431" s="20" t="n">
        <v>18</v>
      </c>
      <c r="L431" s="18" t="n">
        <v>63.38</v>
      </c>
      <c r="M431" s="18" t="n">
        <v>508.09</v>
      </c>
      <c r="N431" s="18" t="n">
        <v>496.78</v>
      </c>
      <c r="O431" s="18" t="n">
        <v>472.88</v>
      </c>
      <c r="P431" s="18" t="n">
        <v>560.7</v>
      </c>
      <c r="Q431" s="18" t="n">
        <v>406.55</v>
      </c>
      <c r="R431" s="21">
        <f>IF(OR(G431="",P431=""),"",G431/P431-1)</f>
        <v/>
      </c>
      <c r="S431" s="19" t="n">
        <v>0.04099999999999999</v>
      </c>
      <c r="T431" s="22" t="n">
        <v>-0.0019</v>
      </c>
      <c r="U431" s="16" t="inlineStr">
        <is>
          <t>No</t>
        </is>
      </c>
      <c r="V431" s="16" t="inlineStr">
        <is>
          <t>Yes</t>
        </is>
      </c>
      <c r="W431" s="16" t="inlineStr">
        <is>
          <t>Yes</t>
        </is>
      </c>
      <c r="X431" s="16" t="inlineStr">
        <is>
          <t>Yes</t>
        </is>
      </c>
      <c r="Y431" s="20" t="n">
        <v>24</v>
      </c>
      <c r="Z431" s="19" t="n">
        <v>0.0505</v>
      </c>
      <c r="AA431" s="18" t="n">
        <v>40.21</v>
      </c>
      <c r="AB431" s="16" t="inlineStr">
        <is>
          <t>Average</t>
        </is>
      </c>
      <c r="AC431" s="16" t="inlineStr">
        <is>
          <t>No</t>
        </is>
      </c>
      <c r="AD431" s="19" t="n">
        <v>0.0575</v>
      </c>
      <c r="AE431" s="19" t="n">
        <v>0.1024</v>
      </c>
      <c r="AF431" s="19" t="n">
        <v>0.1477</v>
      </c>
      <c r="AG431" s="19" t="n">
        <v>0.2702</v>
      </c>
      <c r="AH431" s="23" t="n">
        <v>0.53</v>
      </c>
      <c r="AI431" s="23" t="n">
        <v>1.06</v>
      </c>
      <c r="AJ431" s="19" t="n">
        <v>0.1195</v>
      </c>
    </row>
    <row r="432">
      <c r="A432" s="16" t="inlineStr">
        <is>
          <t>ZENTEC</t>
        </is>
      </c>
      <c r="B432" s="16" t="inlineStr">
        <is>
          <t>Zen Technologies Ltd.</t>
        </is>
      </c>
      <c r="C432" s="16" t="inlineStr">
        <is>
          <t>Aerospace &amp; Defence</t>
        </is>
      </c>
      <c r="D432" s="16" t="inlineStr">
        <is>
          <t>General Industrials</t>
        </is>
      </c>
      <c r="E432" s="16" t="inlineStr">
        <is>
          <t>INE251B01027</t>
        </is>
      </c>
      <c r="F432" s="17" t="n">
        <v>16264.91</v>
      </c>
      <c r="G432" s="18" t="n">
        <v>1801.4</v>
      </c>
      <c r="H432" s="19" t="n">
        <v>-0.0049</v>
      </c>
      <c r="I432" s="20" t="n">
        <v>63</v>
      </c>
      <c r="J432" s="16" t="inlineStr">
        <is>
          <t>amber</t>
        </is>
      </c>
      <c r="K432" s="20" t="n">
        <v>13</v>
      </c>
      <c r="L432" s="18" t="n">
        <v>42.85</v>
      </c>
      <c r="M432" s="18" t="n">
        <v>1814.96</v>
      </c>
      <c r="N432" s="18" t="n">
        <v>1792.66</v>
      </c>
      <c r="O432" s="18" t="n">
        <v>1559.19</v>
      </c>
      <c r="P432" s="18" t="n">
        <v>1995.95</v>
      </c>
      <c r="Q432" s="18" t="n">
        <v>1227.46</v>
      </c>
      <c r="R432" s="21">
        <f>IF(OR(G432="",P432=""),"",G432/P432-1)</f>
        <v/>
      </c>
      <c r="S432" s="19" t="n">
        <v>0.3294</v>
      </c>
      <c r="T432" s="22" t="n">
        <v>0.0306</v>
      </c>
      <c r="U432" s="16" t="inlineStr">
        <is>
          <t>Yes</t>
        </is>
      </c>
      <c r="V432" s="16" t="inlineStr">
        <is>
          <t>Yes</t>
        </is>
      </c>
      <c r="W432" s="16" t="inlineStr">
        <is>
          <t>No</t>
        </is>
      </c>
      <c r="X432" s="16" t="inlineStr">
        <is>
          <t>Yes</t>
        </is>
      </c>
      <c r="Y432" s="20" t="n">
        <v>92</v>
      </c>
      <c r="Z432" s="19" t="n">
        <v>0.1497</v>
      </c>
      <c r="AA432" s="18" t="n">
        <v>82.78</v>
      </c>
      <c r="AB432" s="16" t="inlineStr">
        <is>
          <t>High</t>
        </is>
      </c>
      <c r="AC432" s="16" t="inlineStr">
        <is>
          <t>No</t>
        </is>
      </c>
      <c r="AD432" s="19" t="n">
        <v>0.1841</v>
      </c>
      <c r="AE432" s="19" t="n">
        <v>0.2695</v>
      </c>
      <c r="AF432" s="19" t="n">
        <v>0.9039</v>
      </c>
      <c r="AG432" s="19" t="n">
        <v>0.6431999999999999</v>
      </c>
      <c r="AH432" s="23" t="n">
        <v>0.01</v>
      </c>
      <c r="AI432" s="23" t="n">
        <v>4.06</v>
      </c>
      <c r="AJ432" s="19" t="n">
        <v>0.0944</v>
      </c>
    </row>
    <row r="433">
      <c r="A433" s="16" t="inlineStr">
        <is>
          <t>NSDL</t>
        </is>
      </c>
      <c r="B433" s="16" t="inlineStr">
        <is>
          <t>National Securities Depository Ltd.</t>
        </is>
      </c>
      <c r="C433" s="16" t="inlineStr">
        <is>
          <t>Other Financial Services</t>
        </is>
      </c>
      <c r="D433" s="16" t="inlineStr">
        <is>
          <t>Banking and Finance</t>
        </is>
      </c>
      <c r="E433" s="16" t="inlineStr">
        <is>
          <t>INE301O01023</t>
        </is>
      </c>
      <c r="F433" s="17" t="n">
        <v>16257</v>
      </c>
      <c r="G433" s="18" t="n">
        <v>812.85</v>
      </c>
      <c r="H433" s="19" t="n">
        <v>0.0014</v>
      </c>
      <c r="I433" s="20" t="n">
        <v>14</v>
      </c>
      <c r="J433" s="16" t="inlineStr">
        <is>
          <t>red</t>
        </is>
      </c>
      <c r="K433" s="20" t="n">
        <v>205</v>
      </c>
      <c r="L433" s="18" t="n">
        <v>53.36</v>
      </c>
      <c r="M433" s="18" t="n">
        <v>813.73</v>
      </c>
      <c r="N433" s="18" t="n">
        <v>824.98</v>
      </c>
      <c r="O433" s="18" t="n">
        <v>913.5599999999999</v>
      </c>
      <c r="P433" s="18" t="n">
        <v>1340.11</v>
      </c>
      <c r="Q433" s="18" t="n">
        <v>791.15</v>
      </c>
      <c r="R433" s="21">
        <f>IF(OR(G433="",P433=""),"",G433/P433-1)</f>
        <v/>
      </c>
      <c r="S433" s="19" t="n">
        <v>0.7476999999999999</v>
      </c>
      <c r="T433" s="22" t="n">
        <v>-0.0341</v>
      </c>
      <c r="U433" s="16" t="inlineStr">
        <is>
          <t>No</t>
        </is>
      </c>
      <c r="V433" s="16" t="inlineStr">
        <is>
          <t>No</t>
        </is>
      </c>
      <c r="W433" s="16" t="inlineStr">
        <is>
          <t>No</t>
        </is>
      </c>
      <c r="X433" s="16" t="inlineStr">
        <is>
          <t>No</t>
        </is>
      </c>
      <c r="Y433" s="20" t="n">
        <v>70</v>
      </c>
      <c r="Z433" s="19" t="n">
        <v>-0.09699999999999999</v>
      </c>
      <c r="AA433" s="18" t="n"/>
      <c r="AB433" s="16" t="n"/>
      <c r="AC433" s="16" t="inlineStr">
        <is>
          <t>No</t>
        </is>
      </c>
      <c r="AD433" s="19" t="n"/>
      <c r="AE433" s="19" t="n"/>
      <c r="AF433" s="19" t="n"/>
      <c r="AG433" s="19" t="n"/>
      <c r="AH433" s="23" t="n"/>
      <c r="AI433" s="23" t="n"/>
      <c r="AJ433" s="19" t="n"/>
    </row>
    <row r="434">
      <c r="A434" s="16" t="inlineStr">
        <is>
          <t>AEQUS</t>
        </is>
      </c>
      <c r="B434" s="16" t="inlineStr">
        <is>
          <t>Aequs Ltd.</t>
        </is>
      </c>
      <c r="C434" s="16" t="inlineStr">
        <is>
          <t>Industrial Machinery</t>
        </is>
      </c>
      <c r="D434" s="16" t="inlineStr">
        <is>
          <t>General Industrials</t>
        </is>
      </c>
      <c r="E434" s="16" t="inlineStr">
        <is>
          <t>INE947N01017</t>
        </is>
      </c>
      <c r="F434" s="17" t="n">
        <v>16242.18</v>
      </c>
      <c r="G434" s="18" t="n">
        <v>242.18</v>
      </c>
      <c r="H434" s="19" t="n">
        <v>-0.0204</v>
      </c>
      <c r="I434" s="20" t="n">
        <v>84</v>
      </c>
      <c r="J434" s="16" t="inlineStr">
        <is>
          <t>green</t>
        </is>
      </c>
      <c r="K434" s="20" t="n">
        <v>31</v>
      </c>
      <c r="L434" s="18" t="n">
        <v>41.32</v>
      </c>
      <c r="M434" s="18" t="n">
        <v>246.39</v>
      </c>
      <c r="N434" s="18" t="n">
        <v>242.08</v>
      </c>
      <c r="O434" s="18" t="n"/>
      <c r="P434" s="18" t="n">
        <v>262.45</v>
      </c>
      <c r="Q434" s="18" t="n">
        <v>115.11</v>
      </c>
      <c r="R434" s="21">
        <f>IF(OR(G434="",P434=""),"",G434/P434-1)</f>
        <v/>
      </c>
      <c r="S434" s="19" t="n">
        <v>0.6128</v>
      </c>
      <c r="T434" s="22" t="n"/>
      <c r="U434" s="16" t="n"/>
      <c r="V434" s="16" t="inlineStr">
        <is>
          <t>Yes</t>
        </is>
      </c>
      <c r="W434" s="16" t="inlineStr">
        <is>
          <t>No</t>
        </is>
      </c>
      <c r="X434" s="16" t="n"/>
      <c r="Y434" s="20" t="n"/>
      <c r="Z434" s="19" t="n"/>
      <c r="AA434" s="18" t="n">
        <v>22.52</v>
      </c>
      <c r="AB434" s="16" t="inlineStr">
        <is>
          <t>Poor</t>
        </is>
      </c>
      <c r="AC434" s="16" t="inlineStr">
        <is>
          <t>No</t>
        </is>
      </c>
      <c r="AD434" s="19" t="n">
        <v>-0.0774</v>
      </c>
      <c r="AE434" s="19" t="n">
        <v>0.0076</v>
      </c>
      <c r="AF434" s="19" t="n">
        <v>-2.4959</v>
      </c>
      <c r="AG434" s="19" t="n">
        <v>0.1674</v>
      </c>
      <c r="AH434" s="23" t="n">
        <v>0.47</v>
      </c>
      <c r="AI434" s="23" t="n">
        <v>1.09</v>
      </c>
      <c r="AJ434" s="19" t="n">
        <v>0.0699</v>
      </c>
    </row>
    <row r="435">
      <c r="A435" s="16" t="inlineStr">
        <is>
          <t>GPIL</t>
        </is>
      </c>
      <c r="B435" s="16" t="inlineStr">
        <is>
          <t>Godawari Power &amp; Ispat Ltd.</t>
        </is>
      </c>
      <c r="C435" s="16" t="inlineStr">
        <is>
          <t>Iron &amp; Steel/Interm.Products</t>
        </is>
      </c>
      <c r="D435" s="16" t="inlineStr">
        <is>
          <t>Metals &amp; Mining</t>
        </is>
      </c>
      <c r="E435" s="16" t="inlineStr">
        <is>
          <t>INE177H01039</t>
        </is>
      </c>
      <c r="F435" s="17" t="n">
        <v>16202.84</v>
      </c>
      <c r="G435" s="18" t="n">
        <v>240.67</v>
      </c>
      <c r="H435" s="19" t="n">
        <v>0.0032</v>
      </c>
      <c r="I435" s="20" t="n">
        <v>29</v>
      </c>
      <c r="J435" s="16" t="inlineStr">
        <is>
          <t>red</t>
        </is>
      </c>
      <c r="K435" s="20" t="n">
        <v>52</v>
      </c>
      <c r="L435" s="18" t="n">
        <v>35.98</v>
      </c>
      <c r="M435" s="18" t="n">
        <v>241.63</v>
      </c>
      <c r="N435" s="18" t="n">
        <v>245.34</v>
      </c>
      <c r="O435" s="18" t="n">
        <v>261.01</v>
      </c>
      <c r="P435" s="18" t="n">
        <v>304.59</v>
      </c>
      <c r="Q435" s="18" t="n">
        <v>226.14</v>
      </c>
      <c r="R435" s="21">
        <f>IF(OR(G435="",P435=""),"",G435/P435-1)</f>
        <v/>
      </c>
      <c r="S435" s="19" t="n">
        <v>0.5486</v>
      </c>
      <c r="T435" s="22" t="n">
        <v>-0.0106</v>
      </c>
      <c r="U435" s="16" t="inlineStr">
        <is>
          <t>No</t>
        </is>
      </c>
      <c r="V435" s="16" t="inlineStr">
        <is>
          <t>No</t>
        </is>
      </c>
      <c r="W435" s="16" t="inlineStr">
        <is>
          <t>No</t>
        </is>
      </c>
      <c r="X435" s="16" t="inlineStr">
        <is>
          <t>No</t>
        </is>
      </c>
      <c r="Y435" s="20" t="n">
        <v>27</v>
      </c>
      <c r="Z435" s="19" t="n">
        <v>-0.06</v>
      </c>
      <c r="AA435" s="18" t="n">
        <v>53.65</v>
      </c>
      <c r="AB435" s="16" t="inlineStr">
        <is>
          <t>Good</t>
        </is>
      </c>
      <c r="AC435" s="16" t="inlineStr">
        <is>
          <t>No</t>
        </is>
      </c>
      <c r="AD435" s="19" t="n">
        <v>0.1704</v>
      </c>
      <c r="AE435" s="19" t="n">
        <v>0.2287</v>
      </c>
      <c r="AF435" s="19" t="n">
        <v>0.0191</v>
      </c>
      <c r="AG435" s="19" t="n">
        <v>-0.0213</v>
      </c>
      <c r="AH435" s="23" t="n">
        <v>0.08</v>
      </c>
      <c r="AI435" s="23" t="n">
        <v>1.41</v>
      </c>
      <c r="AJ435" s="19" t="n">
        <v>0.1228</v>
      </c>
    </row>
    <row r="436">
      <c r="A436" s="16" t="inlineStr">
        <is>
          <t>PGEL</t>
        </is>
      </c>
      <c r="B436" s="16" t="inlineStr">
        <is>
          <t>PG Electroplast Ltd.</t>
        </is>
      </c>
      <c r="C436" s="16" t="inlineStr">
        <is>
          <t>Consumer Electronics</t>
        </is>
      </c>
      <c r="D436" s="16" t="inlineStr">
        <is>
          <t>Consumer Durables</t>
        </is>
      </c>
      <c r="E436" s="16" t="inlineStr">
        <is>
          <t>INE457L01029</t>
        </is>
      </c>
      <c r="F436" s="17" t="n">
        <v>16124.35</v>
      </c>
      <c r="G436" s="18" t="n">
        <v>562.3</v>
      </c>
      <c r="H436" s="19" t="n">
        <v>0.0152</v>
      </c>
      <c r="I436" s="20" t="n">
        <v>47</v>
      </c>
      <c r="J436" s="16" t="inlineStr">
        <is>
          <t>red</t>
        </is>
      </c>
      <c r="K436" s="20" t="n">
        <v>9</v>
      </c>
      <c r="L436" s="18" t="n">
        <v>23.16</v>
      </c>
      <c r="M436" s="18" t="n">
        <v>575.26</v>
      </c>
      <c r="N436" s="18" t="n">
        <v>591.37</v>
      </c>
      <c r="O436" s="18" t="n">
        <v>557.61</v>
      </c>
      <c r="P436" s="18" t="n">
        <v>630.65</v>
      </c>
      <c r="Q436" s="18" t="n">
        <v>440.65</v>
      </c>
      <c r="R436" s="21">
        <f>IF(OR(G436="",P436=""),"",G436/P436-1)</f>
        <v/>
      </c>
      <c r="S436" s="19" t="n">
        <v>0.5595</v>
      </c>
      <c r="T436" s="22" t="n">
        <v>0.0053</v>
      </c>
      <c r="U436" s="16" t="inlineStr">
        <is>
          <t>Yes</t>
        </is>
      </c>
      <c r="V436" s="16" t="inlineStr">
        <is>
          <t>No</t>
        </is>
      </c>
      <c r="W436" s="16" t="inlineStr">
        <is>
          <t>No</t>
        </is>
      </c>
      <c r="X436" s="16" t="inlineStr">
        <is>
          <t>Yes</t>
        </is>
      </c>
      <c r="Y436" s="20" t="n">
        <v>22</v>
      </c>
      <c r="Z436" s="19" t="n">
        <v>0.0605</v>
      </c>
      <c r="AA436" s="18" t="n">
        <v>58.34</v>
      </c>
      <c r="AB436" s="16" t="inlineStr">
        <is>
          <t>Good</t>
        </is>
      </c>
      <c r="AC436" s="16" t="inlineStr">
        <is>
          <t>No</t>
        </is>
      </c>
      <c r="AD436" s="19" t="n">
        <v>0.09880000000000001</v>
      </c>
      <c r="AE436" s="19" t="n">
        <v>0.127</v>
      </c>
      <c r="AF436" s="19" t="n">
        <v>0.4097</v>
      </c>
      <c r="AG436" s="19" t="n">
        <v>0.3843</v>
      </c>
      <c r="AH436" s="23" t="n">
        <v>0.2</v>
      </c>
      <c r="AI436" s="23" t="n">
        <v>2.86</v>
      </c>
      <c r="AJ436" s="19" t="n">
        <v>0.1691</v>
      </c>
    </row>
    <row r="437">
      <c r="A437" s="16" t="inlineStr">
        <is>
          <t>KFINTECH</t>
        </is>
      </c>
      <c r="B437" s="16" t="inlineStr">
        <is>
          <t>KFIN Technologies Ltd.</t>
        </is>
      </c>
      <c r="C437" s="16" t="inlineStr">
        <is>
          <t>Other Financial Services</t>
        </is>
      </c>
      <c r="D437" s="16" t="inlineStr">
        <is>
          <t>Banking and Finance</t>
        </is>
      </c>
      <c r="E437" s="16" t="inlineStr">
        <is>
          <t>INE138Y01010</t>
        </is>
      </c>
      <c r="F437" s="17" t="n">
        <v>16058.09</v>
      </c>
      <c r="G437" s="18" t="n">
        <v>928.9</v>
      </c>
      <c r="H437" s="19" t="n">
        <v>0.0013</v>
      </c>
      <c r="I437" s="20" t="n">
        <v>39</v>
      </c>
      <c r="J437" s="16" t="inlineStr">
        <is>
          <t>red</t>
        </is>
      </c>
      <c r="K437" s="20" t="n">
        <v>132</v>
      </c>
      <c r="L437" s="18" t="n">
        <v>37.15</v>
      </c>
      <c r="M437" s="18" t="n">
        <v>947.0700000000001</v>
      </c>
      <c r="N437" s="18" t="n">
        <v>918.21</v>
      </c>
      <c r="O437" s="18" t="n">
        <v>941.75</v>
      </c>
      <c r="P437" s="18" t="n">
        <v>1159.11</v>
      </c>
      <c r="Q437" s="18" t="n">
        <v>794.84</v>
      </c>
      <c r="R437" s="21">
        <f>IF(OR(G437="",P437=""),"",G437/P437-1)</f>
        <v/>
      </c>
      <c r="S437" s="19" t="n">
        <v>0.5314</v>
      </c>
      <c r="T437" s="22" t="n">
        <v>-0.015</v>
      </c>
      <c r="U437" s="16" t="inlineStr">
        <is>
          <t>No</t>
        </is>
      </c>
      <c r="V437" s="16" t="inlineStr">
        <is>
          <t>Yes</t>
        </is>
      </c>
      <c r="W437" s="16" t="inlineStr">
        <is>
          <t>No</t>
        </is>
      </c>
      <c r="X437" s="16" t="inlineStr">
        <is>
          <t>No</t>
        </is>
      </c>
      <c r="Y437" s="20" t="n">
        <v>244</v>
      </c>
      <c r="Z437" s="19" t="n">
        <v>-0.025</v>
      </c>
      <c r="AA437" s="18" t="n">
        <v>75.41</v>
      </c>
      <c r="AB437" s="16" t="inlineStr">
        <is>
          <t>High</t>
        </is>
      </c>
      <c r="AC437" s="16" t="inlineStr">
        <is>
          <t>Yes</t>
        </is>
      </c>
      <c r="AD437" s="19" t="n">
        <v>0.2191</v>
      </c>
      <c r="AE437" s="19" t="n">
        <v>0.2889</v>
      </c>
      <c r="AF437" s="19" t="n">
        <v>0.2055</v>
      </c>
      <c r="AG437" s="19" t="n">
        <v>0.2265</v>
      </c>
      <c r="AH437" s="23" t="n">
        <v>0.03</v>
      </c>
      <c r="AI437" s="23" t="n">
        <v>9.26</v>
      </c>
      <c r="AJ437" s="19" t="n">
        <v>0.0329</v>
      </c>
    </row>
    <row r="438">
      <c r="A438" s="16" t="inlineStr">
        <is>
          <t>EMAMILTD</t>
        </is>
      </c>
      <c r="B438" s="16" t="inlineStr">
        <is>
          <t>Emami Ltd.</t>
        </is>
      </c>
      <c r="C438" s="16" t="inlineStr">
        <is>
          <t>Personal Products</t>
        </is>
      </c>
      <c r="D438" s="16" t="inlineStr">
        <is>
          <t>FMCG</t>
        </is>
      </c>
      <c r="E438" s="16" t="inlineStr">
        <is>
          <t>INE548C01032</t>
        </is>
      </c>
      <c r="F438" s="17" t="n">
        <v>15978.08</v>
      </c>
      <c r="G438" s="18" t="n">
        <v>366.05</v>
      </c>
      <c r="H438" s="19" t="n">
        <v>-0.0058</v>
      </c>
      <c r="I438" s="20" t="n">
        <v>8</v>
      </c>
      <c r="J438" s="16" t="inlineStr">
        <is>
          <t>red</t>
        </is>
      </c>
      <c r="K438" s="20" t="n">
        <v>327</v>
      </c>
      <c r="L438" s="18" t="n">
        <v>27.29</v>
      </c>
      <c r="M438" s="18" t="n">
        <v>376.44</v>
      </c>
      <c r="N438" s="18" t="n">
        <v>403.26</v>
      </c>
      <c r="O438" s="18" t="n">
        <v>445.55</v>
      </c>
      <c r="P438" s="18" t="n">
        <v>603.55</v>
      </c>
      <c r="Q438" s="18" t="n">
        <v>364</v>
      </c>
      <c r="R438" s="21">
        <f>IF(OR(G438="",P438=""),"",G438/P438-1)</f>
        <v/>
      </c>
      <c r="S438" s="19" t="n">
        <v>1.4469</v>
      </c>
      <c r="T438" s="22" t="n">
        <v>-0.0283</v>
      </c>
      <c r="U438" s="16" t="inlineStr">
        <is>
          <t>No</t>
        </is>
      </c>
      <c r="V438" s="16" t="inlineStr">
        <is>
          <t>No</t>
        </is>
      </c>
      <c r="W438" s="16" t="inlineStr">
        <is>
          <t>No</t>
        </is>
      </c>
      <c r="X438" s="16" t="inlineStr">
        <is>
          <t>No</t>
        </is>
      </c>
      <c r="Y438" s="20" t="n">
        <v>222</v>
      </c>
      <c r="Z438" s="19" t="n">
        <v>-0.0949</v>
      </c>
      <c r="AA438" s="18" t="n">
        <v>64.66</v>
      </c>
      <c r="AB438" s="16" t="inlineStr">
        <is>
          <t>High</t>
        </is>
      </c>
      <c r="AC438" s="16" t="inlineStr">
        <is>
          <t>No</t>
        </is>
      </c>
      <c r="AD438" s="19" t="n">
        <v>0.2867</v>
      </c>
      <c r="AE438" s="19" t="n">
        <v>0.3058</v>
      </c>
      <c r="AF438" s="19" t="n">
        <v>0.073</v>
      </c>
      <c r="AG438" s="19" t="n">
        <v>0.0371</v>
      </c>
      <c r="AH438" s="23" t="n">
        <v>0.06</v>
      </c>
      <c r="AI438" s="23" t="n">
        <v>6.52</v>
      </c>
      <c r="AJ438" s="19" t="n">
        <v>0.0054</v>
      </c>
    </row>
    <row r="439">
      <c r="A439" s="16" t="inlineStr">
        <is>
          <t>SYNGENE</t>
        </is>
      </c>
      <c r="B439" s="16" t="inlineStr">
        <is>
          <t>Syngene International Ltd.</t>
        </is>
      </c>
      <c r="C439" s="16" t="inlineStr">
        <is>
          <t>Pharmaceuticals</t>
        </is>
      </c>
      <c r="D439" s="16" t="inlineStr">
        <is>
          <t>Pharmaceuticals &amp; Biotechnology</t>
        </is>
      </c>
      <c r="E439" s="16" t="inlineStr">
        <is>
          <t>INE398R01022</t>
        </is>
      </c>
      <c r="F439" s="17" t="n">
        <v>15969.15</v>
      </c>
      <c r="G439" s="18" t="n">
        <v>395.6</v>
      </c>
      <c r="H439" s="19" t="n">
        <v>-0.013</v>
      </c>
      <c r="I439" s="20" t="n">
        <v>8</v>
      </c>
      <c r="J439" s="16" t="inlineStr">
        <is>
          <t>red</t>
        </is>
      </c>
      <c r="K439" s="20" t="n">
        <v>403</v>
      </c>
      <c r="L439" s="18" t="n">
        <v>44.76</v>
      </c>
      <c r="M439" s="18" t="n">
        <v>403.27</v>
      </c>
      <c r="N439" s="18" t="n">
        <v>410.68</v>
      </c>
      <c r="O439" s="18" t="n">
        <v>476.45</v>
      </c>
      <c r="P439" s="18" t="n">
        <v>668.91</v>
      </c>
      <c r="Q439" s="18" t="n">
        <v>385.9</v>
      </c>
      <c r="R439" s="21">
        <f>IF(OR(G439="",P439=""),"",G439/P439-1)</f>
        <v/>
      </c>
      <c r="S439" s="19" t="n">
        <v>0.398</v>
      </c>
      <c r="T439" s="22" t="n">
        <v>-0.0486</v>
      </c>
      <c r="U439" s="16" t="inlineStr">
        <is>
          <t>No</t>
        </is>
      </c>
      <c r="V439" s="16" t="inlineStr">
        <is>
          <t>No</t>
        </is>
      </c>
      <c r="W439" s="16" t="inlineStr">
        <is>
          <t>No</t>
        </is>
      </c>
      <c r="X439" s="16" t="inlineStr">
        <is>
          <t>No</t>
        </is>
      </c>
      <c r="Y439" s="20" t="n">
        <v>385</v>
      </c>
      <c r="Z439" s="19" t="n">
        <v>-0.138</v>
      </c>
      <c r="AA439" s="18" t="n">
        <v>40</v>
      </c>
      <c r="AB439" s="16" t="inlineStr">
        <is>
          <t>Average</t>
        </is>
      </c>
      <c r="AC439" s="16" t="inlineStr">
        <is>
          <t>No</t>
        </is>
      </c>
      <c r="AD439" s="19" t="n">
        <v>0.09669999999999999</v>
      </c>
      <c r="AE439" s="19" t="n">
        <v>0.1194</v>
      </c>
      <c r="AF439" s="19" t="n">
        <v>-0.0958</v>
      </c>
      <c r="AG439" s="19" t="n">
        <v>0.0548</v>
      </c>
      <c r="AH439" s="23" t="n">
        <v>0.09</v>
      </c>
      <c r="AI439" s="23" t="n">
        <v>0.91</v>
      </c>
      <c r="AJ439" s="19" t="n">
        <v>0.263</v>
      </c>
    </row>
    <row r="440">
      <c r="A440" s="16" t="inlineStr">
        <is>
          <t>TATACHEM</t>
        </is>
      </c>
      <c r="B440" s="16" t="inlineStr">
        <is>
          <t>Tata Chemicals Ltd.</t>
        </is>
      </c>
      <c r="C440" s="16" t="inlineStr">
        <is>
          <t>Commodity Chemicals</t>
        </is>
      </c>
      <c r="D440" s="16" t="inlineStr">
        <is>
          <t>Chemicals &amp; Petrochemicals</t>
        </is>
      </c>
      <c r="E440" s="16" t="inlineStr">
        <is>
          <t>INE092A01019</t>
        </is>
      </c>
      <c r="F440" s="17" t="n">
        <v>15924.82</v>
      </c>
      <c r="G440" s="18" t="n">
        <v>625.1</v>
      </c>
      <c r="H440" s="19" t="n">
        <v>-0.0253</v>
      </c>
      <c r="I440" s="20" t="n">
        <v>11</v>
      </c>
      <c r="J440" s="16" t="inlineStr">
        <is>
          <t>red</t>
        </is>
      </c>
      <c r="K440" s="20" t="n">
        <v>501</v>
      </c>
      <c r="L440" s="18" t="n">
        <v>33.2</v>
      </c>
      <c r="M440" s="18" t="n">
        <v>639.3200000000001</v>
      </c>
      <c r="N440" s="18" t="n">
        <v>673.99</v>
      </c>
      <c r="O440" s="18" t="n">
        <v>709.26</v>
      </c>
      <c r="P440" s="18" t="n">
        <v>989.9299999999999</v>
      </c>
      <c r="Q440" s="18" t="n">
        <v>574.42</v>
      </c>
      <c r="R440" s="21">
        <f>IF(OR(G440="",P440=""),"",G440/P440-1)</f>
        <v/>
      </c>
      <c r="S440" s="19" t="n">
        <v>1.5153</v>
      </c>
      <c r="T440" s="22" t="n">
        <v>-0.0288</v>
      </c>
      <c r="U440" s="16" t="inlineStr">
        <is>
          <t>No</t>
        </is>
      </c>
      <c r="V440" s="16" t="inlineStr">
        <is>
          <t>No</t>
        </is>
      </c>
      <c r="W440" s="16" t="inlineStr">
        <is>
          <t>No</t>
        </is>
      </c>
      <c r="X440" s="16" t="inlineStr">
        <is>
          <t>No</t>
        </is>
      </c>
      <c r="Y440" s="20" t="n">
        <v>193</v>
      </c>
      <c r="Z440" s="19" t="n">
        <v>-0.04969999999999999</v>
      </c>
      <c r="AA440" s="18" t="n">
        <v>16.55</v>
      </c>
      <c r="AB440" s="16" t="inlineStr">
        <is>
          <t>Poor</t>
        </is>
      </c>
      <c r="AC440" s="16" t="inlineStr">
        <is>
          <t>No</t>
        </is>
      </c>
      <c r="AD440" s="19" t="n">
        <v>-0.0222</v>
      </c>
      <c r="AE440" s="19" t="n">
        <v>0.0158</v>
      </c>
      <c r="AF440" s="19" t="n">
        <v>-3.3566</v>
      </c>
      <c r="AG440" s="19" t="n">
        <v>-0.0475</v>
      </c>
      <c r="AH440" s="23" t="n">
        <v>0.38</v>
      </c>
      <c r="AI440" s="23" t="n">
        <v>1.22</v>
      </c>
      <c r="AJ440" s="19" t="n">
        <v>0.0931</v>
      </c>
    </row>
    <row r="441">
      <c r="A441" s="16" t="inlineStr">
        <is>
          <t>DCMSHRIRAM</t>
        </is>
      </c>
      <c r="B441" s="16" t="inlineStr">
        <is>
          <t>DCM Shriram Ltd.</t>
        </is>
      </c>
      <c r="C441" s="16" t="inlineStr">
        <is>
          <t>Diversified</t>
        </is>
      </c>
      <c r="D441" s="16" t="inlineStr">
        <is>
          <t>Diversified</t>
        </is>
      </c>
      <c r="E441" s="16" t="inlineStr">
        <is>
          <t>INE499A01024</t>
        </is>
      </c>
      <c r="F441" s="17" t="n">
        <v>15920.15</v>
      </c>
      <c r="G441" s="18" t="n">
        <v>1020.9</v>
      </c>
      <c r="H441" s="19" t="n">
        <v>0.0017</v>
      </c>
      <c r="I441" s="20" t="n">
        <v>28</v>
      </c>
      <c r="J441" s="16" t="inlineStr">
        <is>
          <t>red</t>
        </is>
      </c>
      <c r="K441" s="20" t="n">
        <v>87</v>
      </c>
      <c r="L441" s="18" t="n">
        <v>50.8</v>
      </c>
      <c r="M441" s="18" t="n">
        <v>1027</v>
      </c>
      <c r="N441" s="18" t="n">
        <v>1028</v>
      </c>
      <c r="O441" s="18" t="n">
        <v>1106.95</v>
      </c>
      <c r="P441" s="18" t="n">
        <v>1366.12</v>
      </c>
      <c r="Q441" s="18" t="n">
        <v>960.35</v>
      </c>
      <c r="R441" s="21">
        <f>IF(OR(G441="",P441=""),"",G441/P441-1)</f>
        <v/>
      </c>
      <c r="S441" s="19" t="n">
        <v>0.4362</v>
      </c>
      <c r="T441" s="22" t="n">
        <v>-0.0186</v>
      </c>
      <c r="U441" s="16" t="inlineStr">
        <is>
          <t>No</t>
        </is>
      </c>
      <c r="V441" s="16" t="inlineStr">
        <is>
          <t>No</t>
        </is>
      </c>
      <c r="W441" s="16" t="inlineStr">
        <is>
          <t>No</t>
        </is>
      </c>
      <c r="X441" s="16" t="inlineStr">
        <is>
          <t>No</t>
        </is>
      </c>
      <c r="Y441" s="20" t="n">
        <v>148</v>
      </c>
      <c r="Z441" s="19" t="n">
        <v>-0.0713</v>
      </c>
      <c r="AA441" s="18" t="n">
        <v>35.56</v>
      </c>
      <c r="AB441" s="16" t="inlineStr">
        <is>
          <t>Weak</t>
        </is>
      </c>
      <c r="AC441" s="16" t="inlineStr">
        <is>
          <t>No</t>
        </is>
      </c>
      <c r="AD441" s="19" t="n">
        <v>0.0885</v>
      </c>
      <c r="AE441" s="19" t="n">
        <v>0.1028</v>
      </c>
      <c r="AF441" s="19" t="n">
        <v>0.0849</v>
      </c>
      <c r="AG441" s="19" t="n">
        <v>0.0576</v>
      </c>
      <c r="AH441" s="23" t="n">
        <v>0.38</v>
      </c>
      <c r="AI441" s="23" t="n">
        <v>1.69</v>
      </c>
      <c r="AJ441" s="19" t="n">
        <v>0.07539999999999999</v>
      </c>
    </row>
    <row r="442">
      <c r="A442" s="16" t="inlineStr">
        <is>
          <t>HORIZONIND</t>
        </is>
      </c>
      <c r="B442" s="16" t="inlineStr">
        <is>
          <t>Horizon Industrial Parks Ltd.</t>
        </is>
      </c>
      <c r="C442" s="16" t="inlineStr">
        <is>
          <t>Realty</t>
        </is>
      </c>
      <c r="D442" s="16" t="inlineStr">
        <is>
          <t>Realty</t>
        </is>
      </c>
      <c r="E442" s="16" t="inlineStr">
        <is>
          <t>INE685T01010</t>
        </is>
      </c>
      <c r="F442" s="17" t="n">
        <v>15893.44</v>
      </c>
      <c r="G442" s="18" t="n">
        <v>55.13</v>
      </c>
      <c r="H442" s="19" t="n">
        <v>-0.0101</v>
      </c>
      <c r="I442" s="20" t="n"/>
      <c r="J442" s="16" t="n"/>
      <c r="K442" s="20" t="n"/>
      <c r="L442" s="18" t="n"/>
      <c r="M442" s="18" t="n">
        <v>56.41</v>
      </c>
      <c r="N442" s="18" t="n"/>
      <c r="O442" s="18" t="n"/>
      <c r="P442" s="18" t="n">
        <v>58.16</v>
      </c>
      <c r="Q442" s="18" t="n">
        <v>55.13</v>
      </c>
      <c r="R442" s="21">
        <f>IF(OR(G442="",P442=""),"",G442/P442-1)</f>
        <v/>
      </c>
      <c r="S442" s="19" t="n">
        <v>0.4028</v>
      </c>
      <c r="T442" s="22" t="n"/>
      <c r="U442" s="16" t="n"/>
      <c r="V442" s="16" t="n"/>
      <c r="W442" s="16" t="inlineStr">
        <is>
          <t>No</t>
        </is>
      </c>
      <c r="X442" s="16" t="n"/>
      <c r="Y442" s="20" t="n"/>
      <c r="Z442" s="19" t="n"/>
      <c r="AA442" s="18" t="n"/>
      <c r="AB442" s="16" t="n"/>
      <c r="AC442" s="16" t="inlineStr">
        <is>
          <t>No</t>
        </is>
      </c>
      <c r="AD442" s="19" t="n"/>
      <c r="AE442" s="19" t="n"/>
      <c r="AF442" s="19" t="n"/>
      <c r="AG442" s="19" t="n"/>
      <c r="AH442" s="23" t="n"/>
      <c r="AI442" s="23" t="n"/>
      <c r="AJ442" s="19" t="n"/>
    </row>
    <row r="443">
      <c r="A443" s="16" t="inlineStr">
        <is>
          <t>APLLTD</t>
        </is>
      </c>
      <c r="B443" s="16" t="inlineStr">
        <is>
          <t>Alembic Pharmaceuticals Ltd.</t>
        </is>
      </c>
      <c r="C443" s="16" t="inlineStr">
        <is>
          <t>Pharmaceuticals</t>
        </is>
      </c>
      <c r="D443" s="16" t="inlineStr">
        <is>
          <t>Pharmaceuticals &amp; Biotechnology</t>
        </is>
      </c>
      <c r="E443" s="16" t="inlineStr">
        <is>
          <t>INE901L01018</t>
        </is>
      </c>
      <c r="F443" s="17" t="n">
        <v>15886.23</v>
      </c>
      <c r="G443" s="18" t="n">
        <v>808.2</v>
      </c>
      <c r="H443" s="19" t="n">
        <v>0.005699999999999999</v>
      </c>
      <c r="I443" s="20" t="n">
        <v>45</v>
      </c>
      <c r="J443" s="16" t="inlineStr">
        <is>
          <t>red</t>
        </is>
      </c>
      <c r="K443" s="20" t="n">
        <v>317</v>
      </c>
      <c r="L443" s="18" t="n">
        <v>45.15</v>
      </c>
      <c r="M443" s="18" t="n">
        <v>822.47</v>
      </c>
      <c r="N443" s="18" t="n">
        <v>816.29</v>
      </c>
      <c r="O443" s="18" t="n">
        <v>777.08</v>
      </c>
      <c r="P443" s="18" t="n">
        <v>963.77</v>
      </c>
      <c r="Q443" s="18" t="n">
        <v>637.08</v>
      </c>
      <c r="R443" s="21">
        <f>IF(OR(G443="",P443=""),"",G443/P443-1)</f>
        <v/>
      </c>
      <c r="S443" s="19" t="n">
        <v>1.4431</v>
      </c>
      <c r="T443" s="22" t="n">
        <v>-0.0103</v>
      </c>
      <c r="U443" s="16" t="inlineStr">
        <is>
          <t>No</t>
        </is>
      </c>
      <c r="V443" s="16" t="inlineStr">
        <is>
          <t>No</t>
        </is>
      </c>
      <c r="W443" s="16" t="inlineStr">
        <is>
          <t>No</t>
        </is>
      </c>
      <c r="X443" s="16" t="inlineStr">
        <is>
          <t>Yes</t>
        </is>
      </c>
      <c r="Y443" s="20" t="n">
        <v>19</v>
      </c>
      <c r="Z443" s="19" t="n">
        <v>0.0505</v>
      </c>
      <c r="AA443" s="18" t="n">
        <v>49.4</v>
      </c>
      <c r="AB443" s="16" t="inlineStr">
        <is>
          <t>Average</t>
        </is>
      </c>
      <c r="AC443" s="16" t="inlineStr">
        <is>
          <t>No</t>
        </is>
      </c>
      <c r="AD443" s="19" t="n">
        <v>0.1197</v>
      </c>
      <c r="AE443" s="19" t="n">
        <v>0.1206</v>
      </c>
      <c r="AF443" s="19" t="n">
        <v>0.3015</v>
      </c>
      <c r="AG443" s="19" t="n">
        <v>0.09470000000000001</v>
      </c>
      <c r="AH443" s="23" t="n">
        <v>0.25</v>
      </c>
      <c r="AI443" s="23" t="n">
        <v>2.07</v>
      </c>
      <c r="AJ443" s="19" t="n">
        <v>0.1859</v>
      </c>
    </row>
    <row r="444">
      <c r="A444" s="16" t="inlineStr">
        <is>
          <t>NAVA</t>
        </is>
      </c>
      <c r="B444" s="16" t="inlineStr">
        <is>
          <t>NAVA Ltd.</t>
        </is>
      </c>
      <c r="C444" s="16" t="inlineStr">
        <is>
          <t>Power - Electric Utilities</t>
        </is>
      </c>
      <c r="D444" s="16" t="inlineStr">
        <is>
          <t>Utilities</t>
        </is>
      </c>
      <c r="E444" s="16" t="inlineStr">
        <is>
          <t>INE725A01030</t>
        </is>
      </c>
      <c r="F444" s="17" t="n">
        <v>15871.17</v>
      </c>
      <c r="G444" s="18" t="n">
        <v>560.2</v>
      </c>
      <c r="H444" s="19" t="n">
        <v>0.0054</v>
      </c>
      <c r="I444" s="20" t="n">
        <v>31</v>
      </c>
      <c r="J444" s="16" t="inlineStr">
        <is>
          <t>red</t>
        </is>
      </c>
      <c r="K444" s="20" t="n">
        <v>65</v>
      </c>
      <c r="L444" s="18" t="n">
        <v>50.42</v>
      </c>
      <c r="M444" s="18" t="n">
        <v>562.39</v>
      </c>
      <c r="N444" s="18" t="n">
        <v>574.53</v>
      </c>
      <c r="O444" s="18" t="n">
        <v>580.01</v>
      </c>
      <c r="P444" s="18" t="n">
        <v>723.64</v>
      </c>
      <c r="Q444" s="18" t="n">
        <v>501.32</v>
      </c>
      <c r="R444" s="21">
        <f>IF(OR(G444="",P444=""),"",G444/P444-1)</f>
        <v/>
      </c>
      <c r="S444" s="19" t="n">
        <v>0.6154999999999999</v>
      </c>
      <c r="T444" s="22" t="n">
        <v>-0.0018</v>
      </c>
      <c r="U444" s="16" t="inlineStr">
        <is>
          <t>No</t>
        </is>
      </c>
      <c r="V444" s="16" t="inlineStr">
        <is>
          <t>No</t>
        </is>
      </c>
      <c r="W444" s="16" t="inlineStr">
        <is>
          <t>No</t>
        </is>
      </c>
      <c r="X444" s="16" t="inlineStr">
        <is>
          <t>No</t>
        </is>
      </c>
      <c r="Y444" s="20" t="n">
        <v>6</v>
      </c>
      <c r="Z444" s="19" t="n">
        <v>-0.0095</v>
      </c>
      <c r="AA444" s="18" t="n">
        <v>40</v>
      </c>
      <c r="AB444" s="16" t="inlineStr">
        <is>
          <t>Average</t>
        </is>
      </c>
      <c r="AC444" s="16" t="inlineStr">
        <is>
          <t>No</t>
        </is>
      </c>
      <c r="AD444" s="19" t="n">
        <v>0.1233</v>
      </c>
      <c r="AE444" s="19" t="n">
        <v>0.1847</v>
      </c>
      <c r="AF444" s="19" t="n">
        <v>-0.0289</v>
      </c>
      <c r="AG444" s="19" t="n">
        <v>0.0678</v>
      </c>
      <c r="AH444" s="23" t="n">
        <v>0.25</v>
      </c>
      <c r="AI444" s="23" t="n">
        <v>0.54</v>
      </c>
      <c r="AJ444" s="19" t="n">
        <v>0.3441</v>
      </c>
    </row>
    <row r="445">
      <c r="A445" s="16" t="inlineStr">
        <is>
          <t>CLEANMAX</t>
        </is>
      </c>
      <c r="B445" s="16" t="inlineStr">
        <is>
          <t>Clean Max Enviro Energy Solutions Ltd.</t>
        </is>
      </c>
      <c r="C445" s="16" t="inlineStr">
        <is>
          <t>Green &amp; Renewable Energy</t>
        </is>
      </c>
      <c r="D445" s="16" t="inlineStr">
        <is>
          <t>Utilities</t>
        </is>
      </c>
      <c r="E445" s="16" t="inlineStr">
        <is>
          <t>INE647U01026</t>
        </is>
      </c>
      <c r="F445" s="17" t="n">
        <v>15835.76</v>
      </c>
      <c r="G445" s="18" t="n">
        <v>1347.9</v>
      </c>
      <c r="H445" s="19" t="n">
        <v>0.0379</v>
      </c>
      <c r="I445" s="20" t="n">
        <v>73</v>
      </c>
      <c r="J445" s="16" t="inlineStr">
        <is>
          <t>amber</t>
        </is>
      </c>
      <c r="K445" s="20" t="n">
        <v>3</v>
      </c>
      <c r="L445" s="18" t="n">
        <v>64.14</v>
      </c>
      <c r="M445" s="18" t="n">
        <v>1263.55</v>
      </c>
      <c r="N445" s="18" t="n">
        <v>1300.02</v>
      </c>
      <c r="O445" s="18" t="n"/>
      <c r="P445" s="18" t="n">
        <v>1494</v>
      </c>
      <c r="Q445" s="18" t="n">
        <v>769.7</v>
      </c>
      <c r="R445" s="21">
        <f>IF(OR(G445="",P445=""),"",G445/P445-1)</f>
        <v/>
      </c>
      <c r="S445" s="19" t="n">
        <v>1.0552</v>
      </c>
      <c r="T445" s="22" t="n"/>
      <c r="U445" s="16" t="n"/>
      <c r="V445" s="16" t="inlineStr">
        <is>
          <t>Yes</t>
        </is>
      </c>
      <c r="W445" s="16" t="inlineStr">
        <is>
          <t>Yes</t>
        </is>
      </c>
      <c r="X445" s="16" t="n"/>
      <c r="Y445" s="20" t="n"/>
      <c r="Z445" s="19" t="n"/>
      <c r="AA445" s="18" t="n">
        <v>16.56</v>
      </c>
      <c r="AB445" s="16" t="inlineStr">
        <is>
          <t>Poor</t>
        </is>
      </c>
      <c r="AC445" s="16" t="inlineStr">
        <is>
          <t>No</t>
        </is>
      </c>
      <c r="AD445" s="19" t="n">
        <v>0.0048</v>
      </c>
      <c r="AE445" s="19" t="n">
        <v>0.06059999999999999</v>
      </c>
      <c r="AF445" s="19" t="n">
        <v>1.729</v>
      </c>
      <c r="AG445" s="19" t="n">
        <v>0.283</v>
      </c>
      <c r="AH445" s="23" t="n">
        <v>2.76</v>
      </c>
      <c r="AI445" s="23" t="n">
        <v>0.11</v>
      </c>
      <c r="AJ445" s="19" t="n">
        <v>0.3321</v>
      </c>
    </row>
    <row r="446">
      <c r="A446" s="16" t="inlineStr">
        <is>
          <t>ARE&amp;M</t>
        </is>
      </c>
      <c r="B446" s="16" t="inlineStr">
        <is>
          <t>Amara Raja Energy &amp; Mobility Ltd.</t>
        </is>
      </c>
      <c r="C446" s="16" t="inlineStr">
        <is>
          <t>Auto Parts &amp; Equipment</t>
        </is>
      </c>
      <c r="D446" s="16" t="inlineStr">
        <is>
          <t>Automobiles &amp; Auto Components</t>
        </is>
      </c>
      <c r="E446" s="16" t="inlineStr">
        <is>
          <t>INE885A01032</t>
        </is>
      </c>
      <c r="F446" s="17" t="n">
        <v>15817.06</v>
      </c>
      <c r="G446" s="18" t="n">
        <v>864.2</v>
      </c>
      <c r="H446" s="19" t="n">
        <v>0.0044</v>
      </c>
      <c r="I446" s="20" t="n">
        <v>37</v>
      </c>
      <c r="J446" s="16" t="inlineStr">
        <is>
          <t>red</t>
        </is>
      </c>
      <c r="K446" s="20" t="n">
        <v>362</v>
      </c>
      <c r="L446" s="18" t="n">
        <v>15.67</v>
      </c>
      <c r="M446" s="18" t="n">
        <v>890.3</v>
      </c>
      <c r="N446" s="18" t="n">
        <v>896.6900000000001</v>
      </c>
      <c r="O446" s="18" t="n">
        <v>861.24</v>
      </c>
      <c r="P446" s="18" t="n">
        <v>1039.58</v>
      </c>
      <c r="Q446" s="18" t="n">
        <v>668.4400000000001</v>
      </c>
      <c r="R446" s="21">
        <f>IF(OR(G446="",P446=""),"",G446/P446-1)</f>
        <v/>
      </c>
      <c r="S446" s="19" t="n">
        <v>0.3479</v>
      </c>
      <c r="T446" s="22" t="n">
        <v>-0.0066</v>
      </c>
      <c r="U446" s="16" t="inlineStr">
        <is>
          <t>No</t>
        </is>
      </c>
      <c r="V446" s="16" t="inlineStr">
        <is>
          <t>No</t>
        </is>
      </c>
      <c r="W446" s="16" t="inlineStr">
        <is>
          <t>No</t>
        </is>
      </c>
      <c r="X446" s="16" t="inlineStr">
        <is>
          <t>Yes</t>
        </is>
      </c>
      <c r="Y446" s="20" t="n">
        <v>19</v>
      </c>
      <c r="Z446" s="19" t="n">
        <v>0.0412</v>
      </c>
      <c r="AA446" s="18" t="n">
        <v>40</v>
      </c>
      <c r="AB446" s="16" t="inlineStr">
        <is>
          <t>Average</t>
        </is>
      </c>
      <c r="AC446" s="16" t="inlineStr">
        <is>
          <t>No</t>
        </is>
      </c>
      <c r="AD446" s="19" t="n">
        <v>0.1253</v>
      </c>
      <c r="AE446" s="19" t="n">
        <v>0.1666</v>
      </c>
      <c r="AF446" s="19" t="n">
        <v>-0.2368</v>
      </c>
      <c r="AG446" s="19" t="n">
        <v>0.1002</v>
      </c>
      <c r="AH446" s="23" t="n">
        <v>0.05</v>
      </c>
      <c r="AI446" s="23" t="n">
        <v>2.33</v>
      </c>
      <c r="AJ446" s="19" t="n">
        <v>0.2897</v>
      </c>
    </row>
    <row r="447">
      <c r="A447" s="16" t="inlineStr">
        <is>
          <t>FINEORG</t>
        </is>
      </c>
      <c r="B447" s="16" t="inlineStr">
        <is>
          <t>Fine Organic Industries Ltd.</t>
        </is>
      </c>
      <c r="C447" s="16" t="inlineStr">
        <is>
          <t>Specialty Chemicals</t>
        </is>
      </c>
      <c r="D447" s="16" t="inlineStr">
        <is>
          <t>Chemicals &amp; Petrochemicals</t>
        </is>
      </c>
      <c r="E447" s="16" t="inlineStr">
        <is>
          <t>INE686Y01026</t>
        </is>
      </c>
      <c r="F447" s="17" t="n">
        <v>15796.03</v>
      </c>
      <c r="G447" s="18" t="n">
        <v>5152</v>
      </c>
      <c r="H447" s="19" t="n">
        <v>-0.0053</v>
      </c>
      <c r="I447" s="20" t="n">
        <v>57</v>
      </c>
      <c r="J447" s="16" t="inlineStr">
        <is>
          <t>red</t>
        </is>
      </c>
      <c r="K447" s="20" t="n">
        <v>2</v>
      </c>
      <c r="L447" s="18" t="n">
        <v>52.57</v>
      </c>
      <c r="M447" s="18" t="n">
        <v>5212.01</v>
      </c>
      <c r="N447" s="18" t="n">
        <v>5061.14</v>
      </c>
      <c r="O447" s="18" t="n">
        <v>4628.21</v>
      </c>
      <c r="P447" s="18" t="n">
        <v>5322.07</v>
      </c>
      <c r="Q447" s="18" t="n">
        <v>3878.03</v>
      </c>
      <c r="R447" s="21">
        <f>IF(OR(G447="",P447=""),"",G447/P447-1)</f>
        <v/>
      </c>
      <c r="S447" s="19" t="n">
        <v>0.3262</v>
      </c>
      <c r="T447" s="22" t="n">
        <v>0.0161</v>
      </c>
      <c r="U447" s="16" t="inlineStr">
        <is>
          <t>Yes</t>
        </is>
      </c>
      <c r="V447" s="16" t="inlineStr">
        <is>
          <t>Yes</t>
        </is>
      </c>
      <c r="W447" s="16" t="inlineStr">
        <is>
          <t>No</t>
        </is>
      </c>
      <c r="X447" s="16" t="inlineStr">
        <is>
          <t>Yes</t>
        </is>
      </c>
      <c r="Y447" s="20" t="n">
        <v>77</v>
      </c>
      <c r="Z447" s="19" t="n">
        <v>0.0935</v>
      </c>
      <c r="AA447" s="18" t="n">
        <v>40</v>
      </c>
      <c r="AB447" s="16" t="inlineStr">
        <is>
          <t>Average</t>
        </is>
      </c>
      <c r="AC447" s="16" t="inlineStr">
        <is>
          <t>No</t>
        </is>
      </c>
      <c r="AD447" s="19" t="n">
        <v>0.1832</v>
      </c>
      <c r="AE447" s="19" t="n">
        <v>0.2413</v>
      </c>
      <c r="AF447" s="19" t="n">
        <v>-0.107</v>
      </c>
      <c r="AG447" s="19" t="n">
        <v>-0.0655</v>
      </c>
      <c r="AH447" s="23" t="n">
        <v>0.03</v>
      </c>
      <c r="AI447" s="23" t="n">
        <v>4.46</v>
      </c>
      <c r="AJ447" s="19" t="n">
        <v>0.2649</v>
      </c>
    </row>
    <row r="448">
      <c r="A448" s="16" t="inlineStr">
        <is>
          <t>KPITTECH</t>
        </is>
      </c>
      <c r="B448" s="16" t="inlineStr">
        <is>
          <t>KPIT Technologies Ltd.</t>
        </is>
      </c>
      <c r="C448" s="16" t="inlineStr">
        <is>
          <t>IT Consulting &amp; Software</t>
        </is>
      </c>
      <c r="D448" s="16" t="inlineStr">
        <is>
          <t>Software &amp; Services</t>
        </is>
      </c>
      <c r="E448" s="16" t="inlineStr">
        <is>
          <t>INE04I401011</t>
        </is>
      </c>
      <c r="F448" s="17" t="n">
        <v>15775.6</v>
      </c>
      <c r="G448" s="18" t="n">
        <v>575.45</v>
      </c>
      <c r="H448" s="19" t="n">
        <v>-0.0138</v>
      </c>
      <c r="I448" s="20" t="n">
        <v>2</v>
      </c>
      <c r="J448" s="16" t="inlineStr">
        <is>
          <t>red</t>
        </is>
      </c>
      <c r="K448" s="20" t="n">
        <v>156</v>
      </c>
      <c r="L448" s="18" t="n">
        <v>34.99</v>
      </c>
      <c r="M448" s="18" t="n">
        <v>588.67</v>
      </c>
      <c r="N448" s="18" t="n">
        <v>587.64</v>
      </c>
      <c r="O448" s="18" t="n">
        <v>815.8200000000001</v>
      </c>
      <c r="P448" s="18" t="n">
        <v>1287.57</v>
      </c>
      <c r="Q448" s="18" t="n">
        <v>543.5599999999999</v>
      </c>
      <c r="R448" s="21">
        <f>IF(OR(G448="",P448=""),"",G448/P448-1)</f>
        <v/>
      </c>
      <c r="S448" s="19" t="n">
        <v>0.3482</v>
      </c>
      <c r="T448" s="22" t="n">
        <v>-0.06619999999999999</v>
      </c>
      <c r="U448" s="16" t="inlineStr">
        <is>
          <t>No</t>
        </is>
      </c>
      <c r="V448" s="16" t="inlineStr">
        <is>
          <t>No</t>
        </is>
      </c>
      <c r="W448" s="16" t="inlineStr">
        <is>
          <t>No</t>
        </is>
      </c>
      <c r="X448" s="16" t="inlineStr">
        <is>
          <t>No</t>
        </is>
      </c>
      <c r="Y448" s="20" t="n">
        <v>447</v>
      </c>
      <c r="Z448" s="19" t="n">
        <v>-0.2797</v>
      </c>
      <c r="AA448" s="18" t="n">
        <v>72.13</v>
      </c>
      <c r="AB448" s="16" t="inlineStr">
        <is>
          <t>High</t>
        </is>
      </c>
      <c r="AC448" s="16" t="inlineStr">
        <is>
          <t>No</t>
        </is>
      </c>
      <c r="AD448" s="19" t="n">
        <v>0.2485</v>
      </c>
      <c r="AE448" s="19" t="n">
        <v>0.3073</v>
      </c>
      <c r="AF448" s="19" t="n">
        <v>0.243</v>
      </c>
      <c r="AG448" s="19" t="n">
        <v>0.2506</v>
      </c>
      <c r="AH448" s="23" t="n">
        <v>0.24</v>
      </c>
      <c r="AI448" s="23" t="n">
        <v>10.29</v>
      </c>
      <c r="AJ448" s="19" t="n">
        <v>0.0013</v>
      </c>
    </row>
    <row r="449">
      <c r="A449" s="16" t="inlineStr">
        <is>
          <t>BHARATCOAL</t>
        </is>
      </c>
      <c r="B449" s="16" t="inlineStr">
        <is>
          <t>Bharat Coking Coal Ltd.</t>
        </is>
      </c>
      <c r="C449" s="16" t="inlineStr">
        <is>
          <t>Coal &amp; Mining</t>
        </is>
      </c>
      <c r="D449" s="16" t="inlineStr">
        <is>
          <t>Metals &amp; Mining</t>
        </is>
      </c>
      <c r="E449" s="16" t="inlineStr">
        <is>
          <t>INE05XR01022</t>
        </is>
      </c>
      <c r="F449" s="17" t="n">
        <v>15745.32</v>
      </c>
      <c r="G449" s="18" t="n">
        <v>33.81</v>
      </c>
      <c r="H449" s="19" t="n">
        <v>0.0003</v>
      </c>
      <c r="I449" s="20" t="n">
        <v>21</v>
      </c>
      <c r="J449" s="16" t="inlineStr">
        <is>
          <t>red</t>
        </is>
      </c>
      <c r="K449" s="20" t="n">
        <v>33</v>
      </c>
      <c r="L449" s="18" t="n">
        <v>54.88</v>
      </c>
      <c r="M449" s="18" t="n">
        <v>33.91</v>
      </c>
      <c r="N449" s="18" t="n">
        <v>35.38</v>
      </c>
      <c r="O449" s="18" t="n"/>
      <c r="P449" s="18" t="n">
        <v>42.55</v>
      </c>
      <c r="Q449" s="18" t="n">
        <v>29.95</v>
      </c>
      <c r="R449" s="21">
        <f>IF(OR(G449="",P449=""),"",G449/P449-1)</f>
        <v/>
      </c>
      <c r="S449" s="19" t="n">
        <v>0.6591</v>
      </c>
      <c r="T449" s="22" t="n"/>
      <c r="U449" s="16" t="n"/>
      <c r="V449" s="16" t="inlineStr">
        <is>
          <t>No</t>
        </is>
      </c>
      <c r="W449" s="16" t="inlineStr">
        <is>
          <t>No</t>
        </is>
      </c>
      <c r="X449" s="16" t="n"/>
      <c r="Y449" s="20" t="n"/>
      <c r="Z449" s="19" t="n"/>
      <c r="AA449" s="18" t="n">
        <v>51.85</v>
      </c>
      <c r="AB449" s="16" t="inlineStr">
        <is>
          <t>Average</t>
        </is>
      </c>
      <c r="AC449" s="16" t="inlineStr">
        <is>
          <t>No</t>
        </is>
      </c>
      <c r="AD449" s="19" t="n">
        <v>0.1694</v>
      </c>
      <c r="AE449" s="19" t="n">
        <v>0.2268</v>
      </c>
      <c r="AF449" s="19" t="n">
        <v>0.08220000000000001</v>
      </c>
      <c r="AG449" s="19" t="n">
        <v>0.04559999999999999</v>
      </c>
      <c r="AH449" s="23" t="n">
        <v>0.39</v>
      </c>
      <c r="AI449" s="23" t="n">
        <v>1.72</v>
      </c>
      <c r="AJ449" s="19" t="n">
        <v>0.3349</v>
      </c>
    </row>
    <row r="450">
      <c r="A450" s="16" t="inlineStr">
        <is>
          <t>KANSAINER</t>
        </is>
      </c>
      <c r="B450" s="16" t="inlineStr">
        <is>
          <t>Kansai Nerolac Paints Ltd.</t>
        </is>
      </c>
      <c r="C450" s="16" t="inlineStr">
        <is>
          <t>Paints</t>
        </is>
      </c>
      <c r="D450" s="16" t="inlineStr">
        <is>
          <t>Consumer Durables</t>
        </is>
      </c>
      <c r="E450" s="16" t="inlineStr">
        <is>
          <t>INE531A01024</t>
        </is>
      </c>
      <c r="F450" s="17" t="n">
        <v>15706.48</v>
      </c>
      <c r="G450" s="18" t="n">
        <v>194.2</v>
      </c>
      <c r="H450" s="19" t="n">
        <v>-0.004699999999999999</v>
      </c>
      <c r="I450" s="20" t="n">
        <v>23</v>
      </c>
      <c r="J450" s="16" t="inlineStr">
        <is>
          <t>red</t>
        </is>
      </c>
      <c r="K450" s="20" t="n">
        <v>157</v>
      </c>
      <c r="L450" s="18" t="n">
        <v>28.99</v>
      </c>
      <c r="M450" s="18" t="n">
        <v>195.9</v>
      </c>
      <c r="N450" s="18" t="n">
        <v>202.68</v>
      </c>
      <c r="O450" s="18" t="n">
        <v>207.74</v>
      </c>
      <c r="P450" s="18" t="n">
        <v>253.83</v>
      </c>
      <c r="Q450" s="18" t="n">
        <v>157.2</v>
      </c>
      <c r="R450" s="21">
        <f>IF(OR(G450="",P450=""),"",G450/P450-1)</f>
        <v/>
      </c>
      <c r="S450" s="19" t="n">
        <v>6.1967</v>
      </c>
      <c r="T450" s="22" t="n">
        <v>-0.0214</v>
      </c>
      <c r="U450" s="16" t="inlineStr">
        <is>
          <t>No</t>
        </is>
      </c>
      <c r="V450" s="16" t="inlineStr">
        <is>
          <t>No</t>
        </is>
      </c>
      <c r="W450" s="16" t="inlineStr">
        <is>
          <t>No</t>
        </is>
      </c>
      <c r="X450" s="16" t="inlineStr">
        <is>
          <t>No</t>
        </is>
      </c>
      <c r="Y450" s="20" t="n">
        <v>184</v>
      </c>
      <c r="Z450" s="19" t="n">
        <v>-0.0243</v>
      </c>
      <c r="AA450" s="18" t="n">
        <v>61.34</v>
      </c>
      <c r="AB450" s="16" t="inlineStr">
        <is>
          <t>Good</t>
        </is>
      </c>
      <c r="AC450" s="16" t="inlineStr">
        <is>
          <t>No</t>
        </is>
      </c>
      <c r="AD450" s="19" t="n">
        <v>0.1593</v>
      </c>
      <c r="AE450" s="19" t="n">
        <v>0.2047</v>
      </c>
      <c r="AF450" s="19" t="n">
        <v>0.3265</v>
      </c>
      <c r="AG450" s="19" t="n">
        <v>0.0226</v>
      </c>
      <c r="AH450" s="23" t="n">
        <v>0.05</v>
      </c>
      <c r="AI450" s="23" t="n">
        <v>3.18</v>
      </c>
      <c r="AJ450" s="19" t="n">
        <v>0.06860000000000001</v>
      </c>
    </row>
    <row r="451">
      <c r="A451" s="16" t="inlineStr">
        <is>
          <t>ENGINERSIN</t>
        </is>
      </c>
      <c r="B451" s="16" t="inlineStr">
        <is>
          <t>Engineers India Ltd.</t>
        </is>
      </c>
      <c r="C451" s="16" t="inlineStr">
        <is>
          <t>Consulting Services</t>
        </is>
      </c>
      <c r="D451" s="16" t="inlineStr">
        <is>
          <t>Commercial Services &amp; Supplies</t>
        </is>
      </c>
      <c r="E451" s="16" t="inlineStr">
        <is>
          <t>INE510A01028</t>
        </is>
      </c>
      <c r="F451" s="17" t="n">
        <v>15706.27</v>
      </c>
      <c r="G451" s="18" t="n">
        <v>279.45</v>
      </c>
      <c r="H451" s="19" t="n">
        <v>-0.0089</v>
      </c>
      <c r="I451" s="20" t="n">
        <v>75</v>
      </c>
      <c r="J451" s="16" t="inlineStr">
        <is>
          <t>amber</t>
        </is>
      </c>
      <c r="K451" s="20" t="n">
        <v>23</v>
      </c>
      <c r="L451" s="18" t="n">
        <v>73.75</v>
      </c>
      <c r="M451" s="18" t="n">
        <v>266.37</v>
      </c>
      <c r="N451" s="18" t="n">
        <v>240.57</v>
      </c>
      <c r="O451" s="18" t="n">
        <v>218.94</v>
      </c>
      <c r="P451" s="18" t="n">
        <v>281.95</v>
      </c>
      <c r="Q451" s="18" t="n">
        <v>163.36</v>
      </c>
      <c r="R451" s="21">
        <f>IF(OR(G451="",P451=""),"",G451/P451-1)</f>
        <v/>
      </c>
      <c r="S451" s="19" t="n">
        <v>0.7342</v>
      </c>
      <c r="T451" s="22" t="n">
        <v>0.0264</v>
      </c>
      <c r="U451" s="16" t="inlineStr">
        <is>
          <t>Yes</t>
        </is>
      </c>
      <c r="V451" s="16" t="inlineStr">
        <is>
          <t>Yes</t>
        </is>
      </c>
      <c r="W451" s="16" t="inlineStr">
        <is>
          <t>Yes</t>
        </is>
      </c>
      <c r="X451" s="16" t="inlineStr">
        <is>
          <t>Yes</t>
        </is>
      </c>
      <c r="Y451" s="20" t="n">
        <v>99</v>
      </c>
      <c r="Z451" s="19" t="n">
        <v>0.09880000000000001</v>
      </c>
      <c r="AA451" s="18" t="n">
        <v>73.40000000000001</v>
      </c>
      <c r="AB451" s="16" t="inlineStr">
        <is>
          <t>High</t>
        </is>
      </c>
      <c r="AC451" s="16" t="inlineStr">
        <is>
          <t>No</t>
        </is>
      </c>
      <c r="AD451" s="19" t="n">
        <v>0.2115</v>
      </c>
      <c r="AE451" s="19" t="n">
        <v>0.2563</v>
      </c>
      <c r="AF451" s="19" t="n">
        <v>0.2602</v>
      </c>
      <c r="AG451" s="19" t="n">
        <v>0.0664</v>
      </c>
      <c r="AH451" s="23" t="n">
        <v>0.01</v>
      </c>
      <c r="AI451" s="23" t="n">
        <v>11.79</v>
      </c>
      <c r="AJ451" s="19" t="n">
        <v>0.0926</v>
      </c>
    </row>
    <row r="452">
      <c r="A452" s="16" t="inlineStr">
        <is>
          <t>USHAMART</t>
        </is>
      </c>
      <c r="B452" s="16" t="inlineStr">
        <is>
          <t>Usha Martin Ltd.</t>
        </is>
      </c>
      <c r="C452" s="16" t="inlineStr">
        <is>
          <t>Iron &amp; Steel Products</t>
        </is>
      </c>
      <c r="D452" s="16" t="inlineStr">
        <is>
          <t>Metals &amp; Mining</t>
        </is>
      </c>
      <c r="E452" s="16" t="inlineStr">
        <is>
          <t>INE228A01035</t>
        </is>
      </c>
      <c r="F452" s="17" t="n">
        <v>15668.31</v>
      </c>
      <c r="G452" s="18" t="n">
        <v>514.15</v>
      </c>
      <c r="H452" s="19" t="n">
        <v>-0.0029</v>
      </c>
      <c r="I452" s="20" t="n">
        <v>64</v>
      </c>
      <c r="J452" s="16" t="inlineStr">
        <is>
          <t>amber</t>
        </is>
      </c>
      <c r="K452" s="20" t="n">
        <v>6</v>
      </c>
      <c r="L452" s="18" t="n">
        <v>60.02</v>
      </c>
      <c r="M452" s="18" t="n">
        <v>500.96</v>
      </c>
      <c r="N452" s="18" t="n">
        <v>498.92</v>
      </c>
      <c r="O452" s="18" t="n">
        <v>453.82</v>
      </c>
      <c r="P452" s="18" t="n">
        <v>516.37</v>
      </c>
      <c r="Q452" s="18" t="n">
        <v>378.41</v>
      </c>
      <c r="R452" s="21">
        <f>IF(OR(G452="",P452=""),"",G452/P452-1)</f>
        <v/>
      </c>
      <c r="S452" s="19" t="n">
        <v>2.1623</v>
      </c>
      <c r="T452" s="22" t="n">
        <v>0.008800000000000001</v>
      </c>
      <c r="U452" s="16" t="inlineStr">
        <is>
          <t>Yes</t>
        </is>
      </c>
      <c r="V452" s="16" t="inlineStr">
        <is>
          <t>Yes</t>
        </is>
      </c>
      <c r="W452" s="16" t="inlineStr">
        <is>
          <t>Yes</t>
        </is>
      </c>
      <c r="X452" s="16" t="inlineStr">
        <is>
          <t>Yes</t>
        </is>
      </c>
      <c r="Y452" s="20" t="n">
        <v>93</v>
      </c>
      <c r="Z452" s="19" t="n">
        <v>0.09939999999999999</v>
      </c>
      <c r="AA452" s="18" t="n">
        <v>54.91</v>
      </c>
      <c r="AB452" s="16" t="inlineStr">
        <is>
          <t>Good</t>
        </is>
      </c>
      <c r="AC452" s="16" t="inlineStr">
        <is>
          <t>No</t>
        </is>
      </c>
      <c r="AD452" s="19" t="n">
        <v>0.1558</v>
      </c>
      <c r="AE452" s="19" t="n">
        <v>0.1897</v>
      </c>
      <c r="AF452" s="19" t="n">
        <v>0.1045</v>
      </c>
      <c r="AG452" s="19" t="n">
        <v>0.0418</v>
      </c>
      <c r="AH452" s="23" t="n">
        <v>0.07000000000000001</v>
      </c>
      <c r="AI452" s="23" t="n">
        <v>2.15</v>
      </c>
      <c r="AJ452" s="19" t="n">
        <v>0.06469999999999999</v>
      </c>
    </row>
    <row r="453">
      <c r="A453" s="16" t="inlineStr">
        <is>
          <t>MAHSCOOTER</t>
        </is>
      </c>
      <c r="B453" s="16" t="inlineStr">
        <is>
          <t>Maharashtra Scooters Ltd.</t>
        </is>
      </c>
      <c r="C453" s="16" t="inlineStr">
        <is>
          <t>Investment Companies</t>
        </is>
      </c>
      <c r="D453" s="16" t="inlineStr">
        <is>
          <t>Others</t>
        </is>
      </c>
      <c r="E453" s="16" t="inlineStr">
        <is>
          <t>INE288A01013</t>
        </is>
      </c>
      <c r="F453" s="17" t="n">
        <v>15545.18</v>
      </c>
      <c r="G453" s="18" t="n">
        <v>13602</v>
      </c>
      <c r="H453" s="19" t="n">
        <v>-0.0027</v>
      </c>
      <c r="I453" s="20" t="n">
        <v>40</v>
      </c>
      <c r="J453" s="16" t="inlineStr">
        <is>
          <t>red</t>
        </is>
      </c>
      <c r="K453" s="20" t="n">
        <v>103</v>
      </c>
      <c r="L453" s="18" t="n">
        <v>54.37</v>
      </c>
      <c r="M453" s="18" t="n">
        <v>13636.5</v>
      </c>
      <c r="N453" s="18" t="n">
        <v>13210.4</v>
      </c>
      <c r="O453" s="18" t="n">
        <v>13116.58</v>
      </c>
      <c r="P453" s="18" t="n">
        <v>17785.41</v>
      </c>
      <c r="Q453" s="18" t="n">
        <v>11055.18</v>
      </c>
      <c r="R453" s="21">
        <f>IF(OR(G453="",P453=""),"",G453/P453-1)</f>
        <v/>
      </c>
      <c r="S453" s="19" t="n">
        <v>0.2022</v>
      </c>
      <c r="T453" s="22" t="n">
        <v>-0.0141</v>
      </c>
      <c r="U453" s="16" t="inlineStr">
        <is>
          <t>No</t>
        </is>
      </c>
      <c r="V453" s="16" t="inlineStr">
        <is>
          <t>Yes</t>
        </is>
      </c>
      <c r="W453" s="16" t="inlineStr">
        <is>
          <t>No</t>
        </is>
      </c>
      <c r="X453" s="16" t="inlineStr">
        <is>
          <t>Yes</t>
        </is>
      </c>
      <c r="Y453" s="20" t="n">
        <v>4</v>
      </c>
      <c r="Z453" s="19" t="n">
        <v>0.0072</v>
      </c>
      <c r="AA453" s="18" t="n">
        <v>32.13</v>
      </c>
      <c r="AB453" s="16" t="inlineStr">
        <is>
          <t>Poor</t>
        </is>
      </c>
      <c r="AC453" s="16" t="inlineStr">
        <is>
          <t>Yes</t>
        </is>
      </c>
      <c r="AD453" s="19" t="n">
        <v>0.008500000000000001</v>
      </c>
      <c r="AE453" s="19" t="n">
        <v>0.008100000000000001</v>
      </c>
      <c r="AF453" s="19" t="n">
        <v>0.1815</v>
      </c>
      <c r="AG453" s="19" t="n">
        <v>0.1879</v>
      </c>
      <c r="AH453" s="23" t="n">
        <v>0</v>
      </c>
      <c r="AI453" s="23" t="n">
        <v>1141.81</v>
      </c>
      <c r="AJ453" s="19" t="n"/>
    </row>
    <row r="454">
      <c r="A454" s="16" t="inlineStr">
        <is>
          <t>LTFOODS</t>
        </is>
      </c>
      <c r="B454" s="16" t="inlineStr">
        <is>
          <t>LT Foods Ltd.</t>
        </is>
      </c>
      <c r="C454" s="16" t="inlineStr">
        <is>
          <t>Other Agricultural Products</t>
        </is>
      </c>
      <c r="D454" s="16" t="inlineStr">
        <is>
          <t>Food, Beverages &amp; Tobacco</t>
        </is>
      </c>
      <c r="E454" s="16" t="inlineStr">
        <is>
          <t>INE818H01020</t>
        </is>
      </c>
      <c r="F454" s="17" t="n">
        <v>15445.81</v>
      </c>
      <c r="G454" s="18" t="n">
        <v>444.8</v>
      </c>
      <c r="H454" s="19" t="n">
        <v>0.0051</v>
      </c>
      <c r="I454" s="20" t="n">
        <v>57</v>
      </c>
      <c r="J454" s="16" t="inlineStr">
        <is>
          <t>red</t>
        </is>
      </c>
      <c r="K454" s="20" t="n">
        <v>86</v>
      </c>
      <c r="L454" s="18" t="n">
        <v>63.28</v>
      </c>
      <c r="M454" s="18" t="n">
        <v>442.73</v>
      </c>
      <c r="N454" s="18" t="n">
        <v>405.72</v>
      </c>
      <c r="O454" s="18" t="n">
        <v>396.98</v>
      </c>
      <c r="P454" s="18" t="n">
        <v>470.35</v>
      </c>
      <c r="Q454" s="18" t="n">
        <v>335.54</v>
      </c>
      <c r="R454" s="21">
        <f>IF(OR(G454="",P454=""),"",G454/P454-1)</f>
        <v/>
      </c>
      <c r="S454" s="19" t="n">
        <v>0.2014</v>
      </c>
      <c r="T454" s="22" t="n">
        <v>0.0054</v>
      </c>
      <c r="U454" s="16" t="inlineStr">
        <is>
          <t>Yes</t>
        </is>
      </c>
      <c r="V454" s="16" t="inlineStr">
        <is>
          <t>Yes</t>
        </is>
      </c>
      <c r="W454" s="16" t="inlineStr">
        <is>
          <t>Yes</t>
        </is>
      </c>
      <c r="X454" s="16" t="inlineStr">
        <is>
          <t>Yes</t>
        </is>
      </c>
      <c r="Y454" s="20" t="n">
        <v>9</v>
      </c>
      <c r="Z454" s="19" t="n">
        <v>0.022</v>
      </c>
      <c r="AA454" s="18" t="n">
        <v>57.75</v>
      </c>
      <c r="AB454" s="16" t="inlineStr">
        <is>
          <t>Good</t>
        </is>
      </c>
      <c r="AC454" s="16" t="inlineStr">
        <is>
          <t>No</t>
        </is>
      </c>
      <c r="AD454" s="19" t="n">
        <v>0.1571</v>
      </c>
      <c r="AE454" s="19" t="n">
        <v>0.1814</v>
      </c>
      <c r="AF454" s="19" t="n">
        <v>0.1401</v>
      </c>
      <c r="AG454" s="19" t="n">
        <v>0.1683</v>
      </c>
      <c r="AH454" s="23" t="n">
        <v>0.36</v>
      </c>
      <c r="AI454" s="23" t="n">
        <v>6.44</v>
      </c>
      <c r="AJ454" s="19" t="n">
        <v>0.0395</v>
      </c>
    </row>
    <row r="455">
      <c r="A455" s="16" t="inlineStr">
        <is>
          <t>FIVESTAR</t>
        </is>
      </c>
      <c r="B455" s="16" t="inlineStr">
        <is>
          <t>Five-Star Business Finance Ltd.</t>
        </is>
      </c>
      <c r="C455" s="16" t="inlineStr">
        <is>
          <t>Finance (including NBFCs)</t>
        </is>
      </c>
      <c r="D455" s="16" t="inlineStr">
        <is>
          <t>Banking and Finance</t>
        </is>
      </c>
      <c r="E455" s="16" t="inlineStr">
        <is>
          <t>INE128S01021</t>
        </is>
      </c>
      <c r="F455" s="17" t="n">
        <v>15439.84</v>
      </c>
      <c r="G455" s="18" t="n">
        <v>523.05</v>
      </c>
      <c r="H455" s="19" t="n">
        <v>-0.0216</v>
      </c>
      <c r="I455" s="20" t="n">
        <v>58</v>
      </c>
      <c r="J455" s="16" t="inlineStr">
        <is>
          <t>red</t>
        </is>
      </c>
      <c r="K455" s="20" t="n">
        <v>1</v>
      </c>
      <c r="L455" s="18" t="n">
        <v>44.28</v>
      </c>
      <c r="M455" s="18" t="n">
        <v>530.29</v>
      </c>
      <c r="N455" s="18" t="n">
        <v>538.52</v>
      </c>
      <c r="O455" s="18" t="n">
        <v>490.61</v>
      </c>
      <c r="P455" s="18" t="n">
        <v>657.61</v>
      </c>
      <c r="Q455" s="18" t="n">
        <v>346.04</v>
      </c>
      <c r="R455" s="21">
        <f>IF(OR(G455="",P455=""),"",G455/P455-1)</f>
        <v/>
      </c>
      <c r="S455" s="19" t="n">
        <v>1.3695</v>
      </c>
      <c r="T455" s="22" t="n">
        <v>-0.0144</v>
      </c>
      <c r="U455" s="16" t="inlineStr">
        <is>
          <t>No</t>
        </is>
      </c>
      <c r="V455" s="16" t="inlineStr">
        <is>
          <t>No</t>
        </is>
      </c>
      <c r="W455" s="16" t="inlineStr">
        <is>
          <t>No</t>
        </is>
      </c>
      <c r="X455" s="16" t="inlineStr">
        <is>
          <t>Yes</t>
        </is>
      </c>
      <c r="Y455" s="20" t="n">
        <v>28</v>
      </c>
      <c r="Z455" s="19" t="n">
        <v>0.09759999999999999</v>
      </c>
      <c r="AA455" s="18" t="n">
        <v>60.39</v>
      </c>
      <c r="AB455" s="16" t="inlineStr">
        <is>
          <t>Good</t>
        </is>
      </c>
      <c r="AC455" s="16" t="inlineStr">
        <is>
          <t>Yes</t>
        </is>
      </c>
      <c r="AD455" s="19" t="n">
        <v>0.16</v>
      </c>
      <c r="AE455" s="19" t="n">
        <v>0.1015</v>
      </c>
      <c r="AF455" s="19" t="n">
        <v>0.2306</v>
      </c>
      <c r="AG455" s="19" t="n">
        <v>0.2806</v>
      </c>
      <c r="AH455" s="23" t="n">
        <v>1.11</v>
      </c>
      <c r="AI455" s="23" t="n">
        <v>19.71</v>
      </c>
      <c r="AJ455" s="19" t="n">
        <v>0.4663</v>
      </c>
    </row>
    <row r="456">
      <c r="A456" s="16" t="inlineStr">
        <is>
          <t>VIJAYA</t>
        </is>
      </c>
      <c r="B456" s="16" t="inlineStr">
        <is>
          <t>Vijaya Diagnostic Centre Ltd.</t>
        </is>
      </c>
      <c r="C456" s="16" t="inlineStr">
        <is>
          <t>Healthcare Services</t>
        </is>
      </c>
      <c r="D456" s="16" t="inlineStr">
        <is>
          <t>Healthcare</t>
        </is>
      </c>
      <c r="E456" s="16" t="inlineStr">
        <is>
          <t>INE043W01024</t>
        </is>
      </c>
      <c r="F456" s="17" t="n">
        <v>15379.62</v>
      </c>
      <c r="G456" s="18" t="n">
        <v>1493.2</v>
      </c>
      <c r="H456" s="19" t="n">
        <v>-0.008199999999999999</v>
      </c>
      <c r="I456" s="20" t="n">
        <v>79</v>
      </c>
      <c r="J456" s="16" t="inlineStr">
        <is>
          <t>amber</t>
        </is>
      </c>
      <c r="K456" s="20" t="n">
        <v>3</v>
      </c>
      <c r="L456" s="18" t="n">
        <v>47.02</v>
      </c>
      <c r="M456" s="18" t="n">
        <v>1486.86</v>
      </c>
      <c r="N456" s="18" t="n">
        <v>1407.77</v>
      </c>
      <c r="O456" s="18" t="n">
        <v>1155.27</v>
      </c>
      <c r="P456" s="18" t="n">
        <v>1518.4</v>
      </c>
      <c r="Q456" s="18" t="n">
        <v>861.4</v>
      </c>
      <c r="R456" s="21">
        <f>IF(OR(G456="",P456=""),"",G456/P456-1)</f>
        <v/>
      </c>
      <c r="S456" s="19" t="n">
        <v>0.2324</v>
      </c>
      <c r="T456" s="22" t="n">
        <v>0.04219999999999999</v>
      </c>
      <c r="U456" s="16" t="inlineStr">
        <is>
          <t>Yes</t>
        </is>
      </c>
      <c r="V456" s="16" t="inlineStr">
        <is>
          <t>Yes</t>
        </is>
      </c>
      <c r="W456" s="16" t="inlineStr">
        <is>
          <t>Yes</t>
        </is>
      </c>
      <c r="X456" s="16" t="inlineStr">
        <is>
          <t>Yes</t>
        </is>
      </c>
      <c r="Y456" s="20" t="n">
        <v>82</v>
      </c>
      <c r="Z456" s="19" t="n">
        <v>0.2186</v>
      </c>
      <c r="AA456" s="18" t="n">
        <v>56.75</v>
      </c>
      <c r="AB456" s="16" t="inlineStr">
        <is>
          <t>Good</t>
        </is>
      </c>
      <c r="AC456" s="16" t="inlineStr">
        <is>
          <t>No</t>
        </is>
      </c>
      <c r="AD456" s="19" t="n">
        <v>0.1807</v>
      </c>
      <c r="AE456" s="19" t="n">
        <v>0.1957</v>
      </c>
      <c r="AF456" s="19" t="n">
        <v>0.2701</v>
      </c>
      <c r="AG456" s="19" t="n">
        <v>0.2108</v>
      </c>
      <c r="AH456" s="23" t="n">
        <v>0.44</v>
      </c>
      <c r="AI456" s="23" t="n">
        <v>0.84</v>
      </c>
      <c r="AJ456" s="19" t="n">
        <v>0.0356</v>
      </c>
    </row>
    <row r="457">
      <c r="A457" s="16" t="inlineStr">
        <is>
          <t>HONASA</t>
        </is>
      </c>
      <c r="B457" s="16" t="inlineStr">
        <is>
          <t>Honasa Consumer Ltd.</t>
        </is>
      </c>
      <c r="C457" s="16" t="inlineStr">
        <is>
          <t>Personal Products</t>
        </is>
      </c>
      <c r="D457" s="16" t="inlineStr">
        <is>
          <t>FMCG</t>
        </is>
      </c>
      <c r="E457" s="16" t="inlineStr">
        <is>
          <t>INE0J5401028</t>
        </is>
      </c>
      <c r="F457" s="17" t="n">
        <v>15357.37</v>
      </c>
      <c r="G457" s="18" t="n">
        <v>471.05</v>
      </c>
      <c r="H457" s="19" t="n">
        <v>-0.0126</v>
      </c>
      <c r="I457" s="20" t="n">
        <v>83</v>
      </c>
      <c r="J457" s="16" t="inlineStr">
        <is>
          <t>green</t>
        </is>
      </c>
      <c r="K457" s="20" t="n">
        <v>117</v>
      </c>
      <c r="L457" s="18" t="n">
        <v>46.07</v>
      </c>
      <c r="M457" s="18" t="n">
        <v>474.69</v>
      </c>
      <c r="N457" s="18" t="n">
        <v>465.53</v>
      </c>
      <c r="O457" s="18" t="n">
        <v>354.36</v>
      </c>
      <c r="P457" s="18" t="n">
        <v>499.69</v>
      </c>
      <c r="Q457" s="18" t="n">
        <v>254.71</v>
      </c>
      <c r="R457" s="21">
        <f>IF(OR(G457="",P457=""),"",G457/P457-1)</f>
        <v/>
      </c>
      <c r="S457" s="19" t="n">
        <v>0.5831000000000001</v>
      </c>
      <c r="T457" s="22" t="n">
        <v>0.0592</v>
      </c>
      <c r="U457" s="16" t="inlineStr">
        <is>
          <t>Yes</t>
        </is>
      </c>
      <c r="V457" s="16" t="inlineStr">
        <is>
          <t>Yes</t>
        </is>
      </c>
      <c r="W457" s="16" t="inlineStr">
        <is>
          <t>No</t>
        </is>
      </c>
      <c r="X457" s="16" t="inlineStr">
        <is>
          <t>Yes</t>
        </is>
      </c>
      <c r="Y457" s="20" t="n">
        <v>112</v>
      </c>
      <c r="Z457" s="19" t="n">
        <v>0.3137</v>
      </c>
      <c r="AA457" s="18" t="n">
        <v>54.41</v>
      </c>
      <c r="AB457" s="16" t="inlineStr">
        <is>
          <t>Good</t>
        </is>
      </c>
      <c r="AC457" s="16" t="inlineStr">
        <is>
          <t>No</t>
        </is>
      </c>
      <c r="AD457" s="19" t="n">
        <v>0.1018</v>
      </c>
      <c r="AE457" s="19" t="n">
        <v>0.1265</v>
      </c>
      <c r="AF457" s="19" t="n">
        <v>0.1426</v>
      </c>
      <c r="AG457" s="19" t="n">
        <v>0.1733</v>
      </c>
      <c r="AH457" s="23" t="n">
        <v>0.1</v>
      </c>
      <c r="AI457" s="23" t="n">
        <v>17.62</v>
      </c>
      <c r="AJ457" s="19" t="n">
        <v>0</v>
      </c>
    </row>
    <row r="458">
      <c r="A458" s="16" t="inlineStr">
        <is>
          <t>ABREL</t>
        </is>
      </c>
      <c r="B458" s="16" t="inlineStr">
        <is>
          <t>Aditya Birla Real Estate Ltd.</t>
        </is>
      </c>
      <c r="C458" s="16" t="inlineStr">
        <is>
          <t>Paper &amp; Paper Products</t>
        </is>
      </c>
      <c r="D458" s="16" t="inlineStr">
        <is>
          <t>Commercial Services &amp; Supplies</t>
        </is>
      </c>
      <c r="E458" s="16" t="inlineStr">
        <is>
          <t>INE055A01016</t>
        </is>
      </c>
      <c r="F458" s="17" t="n">
        <v>15342.52</v>
      </c>
      <c r="G458" s="18" t="n">
        <v>1373.6</v>
      </c>
      <c r="H458" s="19" t="n">
        <v>-0.0024</v>
      </c>
      <c r="I458" s="20" t="n">
        <v>35</v>
      </c>
      <c r="J458" s="16" t="inlineStr">
        <is>
          <t>red</t>
        </is>
      </c>
      <c r="K458" s="20" t="n">
        <v>296</v>
      </c>
      <c r="L458" s="18" t="n">
        <v>44.94</v>
      </c>
      <c r="M458" s="18" t="n">
        <v>1370.85</v>
      </c>
      <c r="N458" s="18" t="n">
        <v>1399.65</v>
      </c>
      <c r="O458" s="18" t="n">
        <v>1402.55</v>
      </c>
      <c r="P458" s="18" t="n">
        <v>1927.74</v>
      </c>
      <c r="Q458" s="18" t="n">
        <v>1092.99</v>
      </c>
      <c r="R458" s="21">
        <f>IF(OR(G458="",P458=""),"",G458/P458-1)</f>
        <v/>
      </c>
      <c r="S458" s="19" t="n">
        <v>0.3683</v>
      </c>
      <c r="T458" s="22" t="n">
        <v>-0.0262</v>
      </c>
      <c r="U458" s="16" t="inlineStr">
        <is>
          <t>No</t>
        </is>
      </c>
      <c r="V458" s="16" t="inlineStr">
        <is>
          <t>No</t>
        </is>
      </c>
      <c r="W458" s="16" t="inlineStr">
        <is>
          <t>Yes</t>
        </is>
      </c>
      <c r="X458" s="16" t="inlineStr">
        <is>
          <t>No</t>
        </is>
      </c>
      <c r="Y458" s="20" t="n">
        <v>394</v>
      </c>
      <c r="Z458" s="19" t="n">
        <v>-0.0021</v>
      </c>
      <c r="AA458" s="18" t="n">
        <v>7.22</v>
      </c>
      <c r="AB458" s="16" t="inlineStr">
        <is>
          <t>Poor</t>
        </is>
      </c>
      <c r="AC458" s="16" t="inlineStr">
        <is>
          <t>No</t>
        </is>
      </c>
      <c r="AD458" s="19" t="n">
        <v>-0.0191</v>
      </c>
      <c r="AE458" s="19" t="n">
        <v>-0.009000000000000001</v>
      </c>
      <c r="AF458" s="19" t="n">
        <v>-1.3118</v>
      </c>
      <c r="AG458" s="19" t="n">
        <v>-0.4244</v>
      </c>
      <c r="AH458" s="23" t="n">
        <v>1.52</v>
      </c>
      <c r="AI458" s="23" t="n">
        <v>0.62</v>
      </c>
      <c r="AJ458" s="19" t="n">
        <v>0.0472</v>
      </c>
    </row>
    <row r="459">
      <c r="A459" s="16" t="inlineStr">
        <is>
          <t>INGERRAND</t>
        </is>
      </c>
      <c r="B459" s="16" t="inlineStr">
        <is>
          <t>Ingersoll-Rand (India) Ltd.</t>
        </is>
      </c>
      <c r="C459" s="16" t="inlineStr">
        <is>
          <t>Compressors &amp; Pumps</t>
        </is>
      </c>
      <c r="D459" s="16" t="inlineStr">
        <is>
          <t>General Industrials</t>
        </is>
      </c>
      <c r="E459" s="16" t="inlineStr">
        <is>
          <t>INE177A01018</t>
        </is>
      </c>
      <c r="F459" s="17" t="n">
        <v>15293.75</v>
      </c>
      <c r="G459" s="18" t="n">
        <v>4844.7</v>
      </c>
      <c r="H459" s="19" t="n">
        <v>-0.0004</v>
      </c>
      <c r="I459" s="20" t="n">
        <v>73</v>
      </c>
      <c r="J459" s="16" t="inlineStr">
        <is>
          <t>amber</t>
        </is>
      </c>
      <c r="K459" s="20" t="n">
        <v>17</v>
      </c>
      <c r="L459" s="18" t="n">
        <v>69.66</v>
      </c>
      <c r="M459" s="18" t="n">
        <v>4782.93</v>
      </c>
      <c r="N459" s="18" t="n">
        <v>4498.58</v>
      </c>
      <c r="O459" s="18" t="n">
        <v>3987.2</v>
      </c>
      <c r="P459" s="18" t="n">
        <v>4883.5</v>
      </c>
      <c r="Q459" s="18" t="n">
        <v>3110.26</v>
      </c>
      <c r="R459" s="21">
        <f>IF(OR(G459="",P459=""),"",G459/P459-1)</f>
        <v/>
      </c>
      <c r="S459" s="19" t="n">
        <v>0.3217</v>
      </c>
      <c r="T459" s="22" t="n">
        <v>0.0223</v>
      </c>
      <c r="U459" s="16" t="inlineStr">
        <is>
          <t>Yes</t>
        </is>
      </c>
      <c r="V459" s="16" t="inlineStr">
        <is>
          <t>Yes</t>
        </is>
      </c>
      <c r="W459" s="16" t="inlineStr">
        <is>
          <t>Yes</t>
        </is>
      </c>
      <c r="X459" s="16" t="inlineStr">
        <is>
          <t>Yes</t>
        </is>
      </c>
      <c r="Y459" s="20" t="n">
        <v>102</v>
      </c>
      <c r="Z459" s="19" t="n">
        <v>0.1283</v>
      </c>
      <c r="AA459" s="18" t="n">
        <v>74.09999999999999</v>
      </c>
      <c r="AB459" s="16" t="inlineStr">
        <is>
          <t>High</t>
        </is>
      </c>
      <c r="AC459" s="16" t="inlineStr">
        <is>
          <t>No</t>
        </is>
      </c>
      <c r="AD459" s="19" t="n">
        <v>0.4127</v>
      </c>
      <c r="AE459" s="19" t="n">
        <v>0.5490999999999999</v>
      </c>
      <c r="AF459" s="19" t="n">
        <v>0.1258</v>
      </c>
      <c r="AG459" s="19" t="n">
        <v>0.0672</v>
      </c>
      <c r="AH459" s="23" t="n">
        <v>0.01</v>
      </c>
      <c r="AI459" s="23" t="n">
        <v>5.12</v>
      </c>
      <c r="AJ459" s="19" t="n">
        <v>0.1852</v>
      </c>
    </row>
    <row r="460">
      <c r="A460" s="16" t="inlineStr">
        <is>
          <t>SHADOWFAX</t>
        </is>
      </c>
      <c r="B460" s="16" t="inlineStr">
        <is>
          <t>Shadowfax Technologies Ltd.</t>
        </is>
      </c>
      <c r="C460" s="16" t="inlineStr">
        <is>
          <t>Warehousing &amp; Logistics</t>
        </is>
      </c>
      <c r="D460" s="16" t="inlineStr">
        <is>
          <t>Transportation</t>
        </is>
      </c>
      <c r="E460" s="16" t="inlineStr">
        <is>
          <t>INE12UN01015</t>
        </is>
      </c>
      <c r="F460" s="17" t="n">
        <v>15228.59</v>
      </c>
      <c r="G460" s="18" t="n">
        <v>259.55</v>
      </c>
      <c r="H460" s="19" t="n">
        <v>-0.0013</v>
      </c>
      <c r="I460" s="20" t="n">
        <v>86</v>
      </c>
      <c r="J460" s="16" t="inlineStr">
        <is>
          <t>green</t>
        </is>
      </c>
      <c r="K460" s="20" t="n">
        <v>28</v>
      </c>
      <c r="L460" s="18" t="n">
        <v>50.62</v>
      </c>
      <c r="M460" s="18" t="n">
        <v>252.35</v>
      </c>
      <c r="N460" s="18" t="n">
        <v>236.19</v>
      </c>
      <c r="O460" s="18" t="n"/>
      <c r="P460" s="18" t="n">
        <v>264.84</v>
      </c>
      <c r="Q460" s="18" t="n">
        <v>100.85</v>
      </c>
      <c r="R460" s="21">
        <f>IF(OR(G460="",P460=""),"",G460/P460-1)</f>
        <v/>
      </c>
      <c r="S460" s="19" t="n">
        <v>0.1899</v>
      </c>
      <c r="T460" s="22" t="n"/>
      <c r="U460" s="16" t="n"/>
      <c r="V460" s="16" t="inlineStr">
        <is>
          <t>Yes</t>
        </is>
      </c>
      <c r="W460" s="16" t="inlineStr">
        <is>
          <t>Yes</t>
        </is>
      </c>
      <c r="X460" s="16" t="n"/>
      <c r="Y460" s="20" t="n"/>
      <c r="Z460" s="19" t="n"/>
      <c r="AA460" s="18" t="n">
        <v>52.04</v>
      </c>
      <c r="AB460" s="16" t="inlineStr">
        <is>
          <t>Average</t>
        </is>
      </c>
      <c r="AC460" s="16" t="inlineStr">
        <is>
          <t>No</t>
        </is>
      </c>
      <c r="AD460" s="19" t="n">
        <v>0.0152</v>
      </c>
      <c r="AE460" s="19" t="n">
        <v>0.0271</v>
      </c>
      <c r="AF460" s="19" t="n">
        <v>7.0857</v>
      </c>
      <c r="AG460" s="19" t="n">
        <v>0.4471</v>
      </c>
      <c r="AH460" s="23" t="n">
        <v>0.14</v>
      </c>
      <c r="AI460" s="23" t="n">
        <v>8.6</v>
      </c>
      <c r="AJ460" s="19" t="n">
        <v>0</v>
      </c>
    </row>
    <row r="461">
      <c r="A461" s="16" t="inlineStr">
        <is>
          <t>JNPR</t>
        </is>
      </c>
      <c r="B461" s="16" t="inlineStr">
        <is>
          <t>Juniper Green Energy Ltd.</t>
        </is>
      </c>
      <c r="C461" s="16" t="inlineStr">
        <is>
          <t>Green &amp; Renewable Energy</t>
        </is>
      </c>
      <c r="D461" s="16" t="inlineStr">
        <is>
          <t>Utilities</t>
        </is>
      </c>
      <c r="E461" s="16" t="inlineStr">
        <is>
          <t>INE05C901015</t>
        </is>
      </c>
      <c r="F461" s="17" t="n">
        <v>15084.15</v>
      </c>
      <c r="G461" s="18" t="n">
        <v>265.1</v>
      </c>
      <c r="H461" s="19" t="n">
        <v>0.0228</v>
      </c>
      <c r="I461" s="20" t="n"/>
      <c r="J461" s="16" t="n"/>
      <c r="K461" s="20" t="n"/>
      <c r="L461" s="18" t="n">
        <v>62.65</v>
      </c>
      <c r="M461" s="18" t="n">
        <v>261.46</v>
      </c>
      <c r="N461" s="18" t="n"/>
      <c r="O461" s="18" t="n"/>
      <c r="P461" s="18" t="n">
        <v>273.76</v>
      </c>
      <c r="Q461" s="18" t="n">
        <v>239.16</v>
      </c>
      <c r="R461" s="21">
        <f>IF(OR(G461="",P461=""),"",G461/P461-1)</f>
        <v/>
      </c>
      <c r="S461" s="19" t="n">
        <v>0.1696</v>
      </c>
      <c r="T461" s="22" t="n"/>
      <c r="U461" s="16" t="n"/>
      <c r="V461" s="16" t="n"/>
      <c r="W461" s="16" t="inlineStr">
        <is>
          <t>Yes</t>
        </is>
      </c>
      <c r="X461" s="16" t="n"/>
      <c r="Y461" s="20" t="n"/>
      <c r="Z461" s="19" t="n"/>
      <c r="AA461" s="18" t="n">
        <v>3.47</v>
      </c>
      <c r="AB461" s="16" t="inlineStr">
        <is>
          <t>Poor</t>
        </is>
      </c>
      <c r="AC461" s="16" t="inlineStr">
        <is>
          <t>No</t>
        </is>
      </c>
      <c r="AD461" s="19" t="n">
        <v>0.0153</v>
      </c>
      <c r="AE461" s="19" t="n">
        <v>0.0375</v>
      </c>
      <c r="AF461" s="19" t="n">
        <v>-0.5428999999999999</v>
      </c>
      <c r="AG461" s="19" t="n">
        <v>0.3675</v>
      </c>
      <c r="AH461" s="23" t="n">
        <v>4.02</v>
      </c>
      <c r="AI461" s="23" t="n">
        <v>0.05</v>
      </c>
      <c r="AJ461" s="19" t="n">
        <v>0.5192</v>
      </c>
    </row>
    <row r="462">
      <c r="A462" s="16" t="inlineStr">
        <is>
          <t>SHAILY</t>
        </is>
      </c>
      <c r="B462" s="16" t="inlineStr">
        <is>
          <t>Shaily Engineering Plastics Ltd.</t>
        </is>
      </c>
      <c r="C462" s="16" t="inlineStr">
        <is>
          <t>Plastic Products</t>
        </is>
      </c>
      <c r="D462" s="16" t="inlineStr">
        <is>
          <t>General Industrials</t>
        </is>
      </c>
      <c r="E462" s="16" t="inlineStr">
        <is>
          <t>INE151G01028</t>
        </is>
      </c>
      <c r="F462" s="17" t="n">
        <v>15064.67</v>
      </c>
      <c r="G462" s="18" t="n">
        <v>3278.3</v>
      </c>
      <c r="H462" s="19" t="n">
        <v>0.0034</v>
      </c>
      <c r="I462" s="20" t="n">
        <v>76</v>
      </c>
      <c r="J462" s="16" t="inlineStr">
        <is>
          <t>amber</t>
        </is>
      </c>
      <c r="K462" s="20" t="n">
        <v>8</v>
      </c>
      <c r="L462" s="18" t="n">
        <v>37.07</v>
      </c>
      <c r="M462" s="18" t="n">
        <v>3256.78</v>
      </c>
      <c r="N462" s="18" t="n">
        <v>3081.13</v>
      </c>
      <c r="O462" s="18" t="n">
        <v>2536.07</v>
      </c>
      <c r="P462" s="18" t="n">
        <v>3457.9</v>
      </c>
      <c r="Q462" s="18" t="n">
        <v>1821.6</v>
      </c>
      <c r="R462" s="21">
        <f>IF(OR(G462="",P462=""),"",G462/P462-1)</f>
        <v/>
      </c>
      <c r="S462" s="19" t="n">
        <v>0.4373</v>
      </c>
      <c r="T462" s="22" t="n">
        <v>0.0338</v>
      </c>
      <c r="U462" s="16" t="inlineStr">
        <is>
          <t>Yes</t>
        </is>
      </c>
      <c r="V462" s="16" t="inlineStr">
        <is>
          <t>Yes</t>
        </is>
      </c>
      <c r="W462" s="16" t="inlineStr">
        <is>
          <t>Yes</t>
        </is>
      </c>
      <c r="X462" s="16" t="inlineStr">
        <is>
          <t>Yes</t>
        </is>
      </c>
      <c r="Y462" s="20" t="n">
        <v>81</v>
      </c>
      <c r="Z462" s="19" t="n">
        <v>0.2149</v>
      </c>
      <c r="AA462" s="18" t="n">
        <v>63</v>
      </c>
      <c r="AB462" s="16" t="inlineStr">
        <is>
          <t>Good</t>
        </is>
      </c>
      <c r="AC462" s="16" t="inlineStr">
        <is>
          <t>No</t>
        </is>
      </c>
      <c r="AD462" s="19" t="n">
        <v>0.1773</v>
      </c>
      <c r="AE462" s="19" t="n">
        <v>0.1944</v>
      </c>
      <c r="AF462" s="19" t="n">
        <v>0.6903</v>
      </c>
      <c r="AG462" s="19" t="n">
        <v>0.1818</v>
      </c>
      <c r="AH462" s="23" t="n">
        <v>0.25</v>
      </c>
      <c r="AI462" s="23" t="n">
        <v>1.63</v>
      </c>
      <c r="AJ462" s="19" t="n">
        <v>0.0475</v>
      </c>
    </row>
    <row r="463">
      <c r="A463" s="16" t="inlineStr">
        <is>
          <t>ARVIND</t>
        </is>
      </c>
      <c r="B463" s="16" t="inlineStr">
        <is>
          <t>Arvind Ltd.</t>
        </is>
      </c>
      <c r="C463" s="16" t="inlineStr">
        <is>
          <t>Textiles</t>
        </is>
      </c>
      <c r="D463" s="16" t="inlineStr">
        <is>
          <t>Textiles Apparels &amp; Accessories</t>
        </is>
      </c>
      <c r="E463" s="16" t="inlineStr">
        <is>
          <t>INE034A01011</t>
        </is>
      </c>
      <c r="F463" s="17" t="n">
        <v>15042.48</v>
      </c>
      <c r="G463" s="18" t="n">
        <v>552.95</v>
      </c>
      <c r="H463" s="19" t="n">
        <v>-0.017</v>
      </c>
      <c r="I463" s="20" t="n">
        <v>85</v>
      </c>
      <c r="J463" s="16" t="inlineStr">
        <is>
          <t>green</t>
        </is>
      </c>
      <c r="K463" s="20" t="n">
        <v>87</v>
      </c>
      <c r="L463" s="18" t="n">
        <v>52</v>
      </c>
      <c r="M463" s="18" t="n">
        <v>550.28</v>
      </c>
      <c r="N463" s="18" t="n">
        <v>538.0700000000001</v>
      </c>
      <c r="O463" s="18" t="n">
        <v>418.38</v>
      </c>
      <c r="P463" s="18" t="n">
        <v>582.4400000000001</v>
      </c>
      <c r="Q463" s="18" t="n">
        <v>277.38</v>
      </c>
      <c r="R463" s="21">
        <f>IF(OR(G463="",P463=""),"",G463/P463-1)</f>
        <v/>
      </c>
      <c r="S463" s="19" t="n">
        <v>0.4198</v>
      </c>
      <c r="T463" s="22" t="n">
        <v>0.0556</v>
      </c>
      <c r="U463" s="16" t="inlineStr">
        <is>
          <t>Yes</t>
        </is>
      </c>
      <c r="V463" s="16" t="inlineStr">
        <is>
          <t>Yes</t>
        </is>
      </c>
      <c r="W463" s="16" t="inlineStr">
        <is>
          <t>Yes</t>
        </is>
      </c>
      <c r="X463" s="16" t="inlineStr">
        <is>
          <t>Yes</t>
        </is>
      </c>
      <c r="Y463" s="20" t="n">
        <v>133</v>
      </c>
      <c r="Z463" s="19" t="n">
        <v>0.2861</v>
      </c>
      <c r="AA463" s="18" t="n">
        <v>36.64</v>
      </c>
      <c r="AB463" s="16" t="inlineStr">
        <is>
          <t>Weak</t>
        </is>
      </c>
      <c r="AC463" s="16" t="inlineStr">
        <is>
          <t>No</t>
        </is>
      </c>
      <c r="AD463" s="19" t="n">
        <v>0.0969</v>
      </c>
      <c r="AE463" s="19" t="n">
        <v>0.127</v>
      </c>
      <c r="AF463" s="19" t="n">
        <v>0.0166</v>
      </c>
      <c r="AG463" s="19" t="n">
        <v>0.0508</v>
      </c>
      <c r="AH463" s="23" t="n">
        <v>0.41</v>
      </c>
      <c r="AI463" s="23" t="n">
        <v>2.34</v>
      </c>
      <c r="AJ463" s="19" t="n">
        <v>0.0301</v>
      </c>
    </row>
    <row r="464">
      <c r="A464" s="16" t="inlineStr">
        <is>
          <t>SUDEEPPHRM</t>
        </is>
      </c>
      <c r="B464" s="16" t="inlineStr">
        <is>
          <t>Sudeep Pharma Ltd.</t>
        </is>
      </c>
      <c r="C464" s="16" t="inlineStr">
        <is>
          <t>Pharmaceuticals</t>
        </is>
      </c>
      <c r="D464" s="16" t="inlineStr">
        <is>
          <t>Pharmaceuticals &amp; Biotechnology</t>
        </is>
      </c>
      <c r="E464" s="16" t="inlineStr">
        <is>
          <t>INE0QPI01025</t>
        </is>
      </c>
      <c r="F464" s="17" t="n">
        <v>15014.26</v>
      </c>
      <c r="G464" s="18" t="n">
        <v>1329.3</v>
      </c>
      <c r="H464" s="19" t="n">
        <v>0.0282</v>
      </c>
      <c r="I464" s="20" t="n">
        <v>95</v>
      </c>
      <c r="J464" s="16" t="inlineStr">
        <is>
          <t>green</t>
        </is>
      </c>
      <c r="K464" s="20" t="n">
        <v>50</v>
      </c>
      <c r="L464" s="18" t="n">
        <v>84.20999999999999</v>
      </c>
      <c r="M464" s="18" t="n">
        <v>1214</v>
      </c>
      <c r="N464" s="18" t="n">
        <v>975.34</v>
      </c>
      <c r="O464" s="18" t="n"/>
      <c r="P464" s="18" t="n">
        <v>1329.3</v>
      </c>
      <c r="Q464" s="18" t="n">
        <v>529.0599999999999</v>
      </c>
      <c r="R464" s="21">
        <f>IF(OR(G464="",P464=""),"",G464/P464-1)</f>
        <v/>
      </c>
      <c r="S464" s="19" t="n">
        <v>0.6756</v>
      </c>
      <c r="T464" s="22" t="n"/>
      <c r="U464" s="16" t="n"/>
      <c r="V464" s="16" t="inlineStr">
        <is>
          <t>Yes</t>
        </is>
      </c>
      <c r="W464" s="16" t="inlineStr">
        <is>
          <t>Yes</t>
        </is>
      </c>
      <c r="X464" s="16" t="n"/>
      <c r="Y464" s="20" t="n"/>
      <c r="Z464" s="19" t="n"/>
      <c r="AA464" s="18" t="n">
        <v>70.90000000000001</v>
      </c>
      <c r="AB464" s="16" t="inlineStr">
        <is>
          <t>High</t>
        </is>
      </c>
      <c r="AC464" s="16" t="inlineStr">
        <is>
          <t>No</t>
        </is>
      </c>
      <c r="AD464" s="19" t="n">
        <v>0.2837</v>
      </c>
      <c r="AE464" s="19" t="n">
        <v>0.311</v>
      </c>
      <c r="AF464" s="19" t="n">
        <v>0.4799</v>
      </c>
      <c r="AG464" s="19" t="n">
        <v>0.1484</v>
      </c>
      <c r="AH464" s="23" t="n">
        <v>0.17</v>
      </c>
      <c r="AI464" s="23" t="n">
        <v>1.41</v>
      </c>
      <c r="AJ464" s="19" t="n">
        <v>0.4065</v>
      </c>
    </row>
    <row r="465">
      <c r="A465" s="16" t="inlineStr">
        <is>
          <t>CROMPTON</t>
        </is>
      </c>
      <c r="B465" s="16" t="inlineStr">
        <is>
          <t>Crompton Greaves Consumer Electricals Ltd.</t>
        </is>
      </c>
      <c r="C465" s="16" t="inlineStr">
        <is>
          <t>Household Appliances</t>
        </is>
      </c>
      <c r="D465" s="16" t="inlineStr">
        <is>
          <t>Consumer Durables</t>
        </is>
      </c>
      <c r="E465" s="16" t="inlineStr">
        <is>
          <t>INE299U01018</t>
        </is>
      </c>
      <c r="F465" s="17" t="n">
        <v>14964.58</v>
      </c>
      <c r="G465" s="18" t="n">
        <v>232.4</v>
      </c>
      <c r="H465" s="19" t="n">
        <v>0.026</v>
      </c>
      <c r="I465" s="20" t="n">
        <v>17</v>
      </c>
      <c r="J465" s="16" t="inlineStr">
        <is>
          <t>red</t>
        </is>
      </c>
      <c r="K465" s="20" t="n">
        <v>80</v>
      </c>
      <c r="L465" s="18" t="n">
        <v>34.7</v>
      </c>
      <c r="M465" s="18" t="n">
        <v>232.85</v>
      </c>
      <c r="N465" s="18" t="n">
        <v>252.56</v>
      </c>
      <c r="O465" s="18" t="n">
        <v>255.06</v>
      </c>
      <c r="P465" s="18" t="n">
        <v>323.95</v>
      </c>
      <c r="Q465" s="18" t="n">
        <v>218.82</v>
      </c>
      <c r="R465" s="21">
        <f>IF(OR(G465="",P465=""),"",G465/P465-1)</f>
        <v/>
      </c>
      <c r="S465" s="19" t="n">
        <v>1.0631</v>
      </c>
      <c r="T465" s="22" t="n">
        <v>-0.0147</v>
      </c>
      <c r="U465" s="16" t="inlineStr">
        <is>
          <t>No</t>
        </is>
      </c>
      <c r="V465" s="16" t="inlineStr">
        <is>
          <t>No</t>
        </is>
      </c>
      <c r="W465" s="16" t="inlineStr">
        <is>
          <t>No</t>
        </is>
      </c>
      <c r="X465" s="16" t="inlineStr">
        <is>
          <t>No</t>
        </is>
      </c>
      <c r="Y465" s="20" t="n">
        <v>4</v>
      </c>
      <c r="Z465" s="19" t="n">
        <v>-0.0098</v>
      </c>
      <c r="AA465" s="18" t="n">
        <v>40</v>
      </c>
      <c r="AB465" s="16" t="inlineStr">
        <is>
          <t>Average</t>
        </is>
      </c>
      <c r="AC465" s="16" t="inlineStr">
        <is>
          <t>No</t>
        </is>
      </c>
      <c r="AD465" s="19" t="n">
        <v>0.0764</v>
      </c>
      <c r="AE465" s="19" t="n">
        <v>0.1222</v>
      </c>
      <c r="AF465" s="19" t="n">
        <v>-0.411</v>
      </c>
      <c r="AG465" s="19" t="n">
        <v>0.0566</v>
      </c>
      <c r="AH465" s="23" t="n">
        <v>0.07000000000000001</v>
      </c>
      <c r="AI465" s="23" t="n">
        <v>12.32</v>
      </c>
      <c r="AJ465" s="19" t="n">
        <v>0.049</v>
      </c>
    </row>
    <row r="466">
      <c r="A466" s="16" t="inlineStr">
        <is>
          <t>CANHLIFE</t>
        </is>
      </c>
      <c r="B466" s="16" t="inlineStr">
        <is>
          <t>Canara HSBC Life Insurance Company Ltd.</t>
        </is>
      </c>
      <c r="C466" s="16" t="inlineStr">
        <is>
          <t>Life Insurance</t>
        </is>
      </c>
      <c r="D466" s="16" t="inlineStr">
        <is>
          <t>Banking and Finance</t>
        </is>
      </c>
      <c r="E466" s="16" t="inlineStr">
        <is>
          <t>INE01TY01017</t>
        </is>
      </c>
      <c r="F466" s="17" t="n">
        <v>14936.85</v>
      </c>
      <c r="G466" s="18" t="n">
        <v>157.23</v>
      </c>
      <c r="H466" s="19" t="n">
        <v>0.0189</v>
      </c>
      <c r="I466" s="20" t="n">
        <v>62</v>
      </c>
      <c r="J466" s="16" t="inlineStr">
        <is>
          <t>amber</t>
        </is>
      </c>
      <c r="K466" s="20" t="n">
        <v>1</v>
      </c>
      <c r="L466" s="18" t="n">
        <v>65.73</v>
      </c>
      <c r="M466" s="18" t="n">
        <v>154.95</v>
      </c>
      <c r="N466" s="18" t="n">
        <v>148.73</v>
      </c>
      <c r="O466" s="18" t="n">
        <v>142.34</v>
      </c>
      <c r="P466" s="18" t="n">
        <v>157.23</v>
      </c>
      <c r="Q466" s="18" t="n">
        <v>108.33</v>
      </c>
      <c r="R466" s="21">
        <f>IF(OR(G466="",P466=""),"",G466/P466-1)</f>
        <v/>
      </c>
      <c r="S466" s="19" t="n">
        <v>1.137</v>
      </c>
      <c r="T466" s="22" t="n">
        <v>0.0241</v>
      </c>
      <c r="U466" s="16" t="inlineStr">
        <is>
          <t>Yes</t>
        </is>
      </c>
      <c r="V466" s="16" t="inlineStr">
        <is>
          <t>Yes</t>
        </is>
      </c>
      <c r="W466" s="16" t="inlineStr">
        <is>
          <t>Yes</t>
        </is>
      </c>
      <c r="X466" s="16" t="inlineStr">
        <is>
          <t>Yes</t>
        </is>
      </c>
      <c r="Y466" s="20" t="n">
        <v>23</v>
      </c>
      <c r="Z466" s="19" t="n">
        <v>0.0449</v>
      </c>
      <c r="AA466" s="18" t="n">
        <v>32.94</v>
      </c>
      <c r="AB466" s="16" t="inlineStr">
        <is>
          <t>Poor</t>
        </is>
      </c>
      <c r="AC466" s="16" t="inlineStr">
        <is>
          <t>Yes</t>
        </is>
      </c>
      <c r="AD466" s="19" t="n">
        <v>0.078</v>
      </c>
      <c r="AE466" s="19" t="n">
        <v>0.08539999999999999</v>
      </c>
      <c r="AF466" s="19" t="n">
        <v>0.08130000000000001</v>
      </c>
      <c r="AG466" s="19" t="n">
        <v>0.0731</v>
      </c>
      <c r="AH466" s="23" t="n">
        <v>0.16</v>
      </c>
      <c r="AI466" s="23" t="n">
        <v>461.86</v>
      </c>
      <c r="AJ466" s="19" t="n">
        <v>0.2658</v>
      </c>
    </row>
    <row r="467">
      <c r="A467" s="16" t="inlineStr">
        <is>
          <t>VOGL</t>
        </is>
      </c>
      <c r="B467" s="16" t="inlineStr">
        <is>
          <t>Vedanta Oil and Gas Ltd.</t>
        </is>
      </c>
      <c r="C467" s="16" t="inlineStr">
        <is>
          <t>Exploration &amp; Production</t>
        </is>
      </c>
      <c r="D467" s="16" t="inlineStr">
        <is>
          <t>Oil &amp; Gas</t>
        </is>
      </c>
      <c r="E467" s="16" t="inlineStr">
        <is>
          <t>INE704J01044</t>
        </is>
      </c>
      <c r="F467" s="17" t="n">
        <v>14867.3</v>
      </c>
      <c r="G467" s="18" t="n">
        <v>38.02</v>
      </c>
      <c r="H467" s="19" t="n">
        <v>0.0128</v>
      </c>
      <c r="I467" s="20" t="n"/>
      <c r="J467" s="16" t="n"/>
      <c r="K467" s="20" t="n"/>
      <c r="L467" s="18" t="n">
        <v>51.16</v>
      </c>
      <c r="M467" s="18" t="n">
        <v>39.27</v>
      </c>
      <c r="N467" s="18" t="n">
        <v>37.23</v>
      </c>
      <c r="O467" s="18" t="n"/>
      <c r="P467" s="18" t="n">
        <v>44.59</v>
      </c>
      <c r="Q467" s="18" t="n">
        <v>31.32</v>
      </c>
      <c r="R467" s="21">
        <f>IF(OR(G467="",P467=""),"",G467/P467-1)</f>
        <v/>
      </c>
      <c r="S467" s="19" t="n">
        <v>0.5478999999999999</v>
      </c>
      <c r="T467" s="22" t="n"/>
      <c r="U467" s="16" t="n"/>
      <c r="V467" s="16" t="inlineStr">
        <is>
          <t>Yes</t>
        </is>
      </c>
      <c r="W467" s="16" t="inlineStr">
        <is>
          <t>No</t>
        </is>
      </c>
      <c r="X467" s="16" t="n"/>
      <c r="Y467" s="20" t="n"/>
      <c r="Z467" s="19" t="n"/>
      <c r="AA467" s="18" t="n">
        <v>59.12</v>
      </c>
      <c r="AB467" s="16" t="inlineStr">
        <is>
          <t>Good</t>
        </is>
      </c>
      <c r="AC467" s="16" t="inlineStr">
        <is>
          <t>No</t>
        </is>
      </c>
      <c r="AD467" s="19" t="n">
        <v>0.4909000000000001</v>
      </c>
      <c r="AE467" s="19" t="n">
        <v>-0.0033</v>
      </c>
      <c r="AF467" s="19" t="n">
        <v>5.717899999999999</v>
      </c>
      <c r="AG467" s="19" t="n">
        <v>5.6519</v>
      </c>
      <c r="AH467" s="23" t="n">
        <v>0.36</v>
      </c>
      <c r="AI467" s="23" t="n">
        <v>0.76</v>
      </c>
      <c r="AJ467" s="19" t="n">
        <v>0.4626</v>
      </c>
    </row>
    <row r="468">
      <c r="A468" s="16" t="inlineStr">
        <is>
          <t>SKFINDUS</t>
        </is>
      </c>
      <c r="B468" s="16" t="inlineStr">
        <is>
          <t>SKF India (Industrial) Ltd.</t>
        </is>
      </c>
      <c r="C468" s="16" t="inlineStr">
        <is>
          <t>Abrasives &amp; Bearings</t>
        </is>
      </c>
      <c r="D468" s="16" t="inlineStr">
        <is>
          <t>General Industrials</t>
        </is>
      </c>
      <c r="E468" s="16" t="inlineStr">
        <is>
          <t>INE2J8701016</t>
        </is>
      </c>
      <c r="F468" s="17" t="n">
        <v>14843.76</v>
      </c>
      <c r="G468" s="18" t="n">
        <v>3002.5</v>
      </c>
      <c r="H468" s="19" t="n">
        <v>-0.0197</v>
      </c>
      <c r="I468" s="20" t="n">
        <v>74</v>
      </c>
      <c r="J468" s="16" t="inlineStr">
        <is>
          <t>amber</t>
        </is>
      </c>
      <c r="K468" s="20" t="n">
        <v>56</v>
      </c>
      <c r="L468" s="18" t="n">
        <v>69.31999999999999</v>
      </c>
      <c r="M468" s="18" t="n">
        <v>2968.68</v>
      </c>
      <c r="N468" s="18" t="n">
        <v>2775.85</v>
      </c>
      <c r="O468" s="18" t="n"/>
      <c r="P468" s="18" t="n">
        <v>3062.8</v>
      </c>
      <c r="Q468" s="18" t="n">
        <v>2015.84</v>
      </c>
      <c r="R468" s="21">
        <f>IF(OR(G468="",P468=""),"",G468/P468-1)</f>
        <v/>
      </c>
      <c r="S468" s="19" t="n">
        <v>0.6579</v>
      </c>
      <c r="T468" s="22" t="n"/>
      <c r="U468" s="16" t="n"/>
      <c r="V468" s="16" t="inlineStr">
        <is>
          <t>Yes</t>
        </is>
      </c>
      <c r="W468" s="16" t="inlineStr">
        <is>
          <t>Yes</t>
        </is>
      </c>
      <c r="X468" s="16" t="n"/>
      <c r="Y468" s="20" t="n"/>
      <c r="Z468" s="19" t="n"/>
      <c r="AA468" s="18" t="n">
        <v>40</v>
      </c>
      <c r="AB468" s="16" t="inlineStr">
        <is>
          <t>Average</t>
        </is>
      </c>
      <c r="AC468" s="16" t="inlineStr">
        <is>
          <t>No</t>
        </is>
      </c>
      <c r="AD468" s="19" t="n">
        <v>0.12</v>
      </c>
      <c r="AE468" s="19" t="n">
        <v>0.1374</v>
      </c>
      <c r="AF468" s="19" t="n">
        <v>-1</v>
      </c>
      <c r="AG468" s="19" t="n">
        <v>3.6405</v>
      </c>
      <c r="AH468" s="23" t="n">
        <v>0</v>
      </c>
      <c r="AI468" s="23" t="n">
        <v>10.34</v>
      </c>
      <c r="AJ468" s="19" t="n">
        <v>0.4185</v>
      </c>
    </row>
    <row r="469">
      <c r="A469" s="16" t="inlineStr">
        <is>
          <t>NATCOPHARM</t>
        </is>
      </c>
      <c r="B469" s="16" t="inlineStr">
        <is>
          <t>Natco Pharma Ltd.</t>
        </is>
      </c>
      <c r="C469" s="16" t="inlineStr">
        <is>
          <t>Pharmaceuticals</t>
        </is>
      </c>
      <c r="D469" s="16" t="inlineStr">
        <is>
          <t>Pharmaceuticals &amp; Biotechnology</t>
        </is>
      </c>
      <c r="E469" s="16" t="inlineStr">
        <is>
          <t>INE987B01026</t>
        </is>
      </c>
      <c r="F469" s="17" t="n">
        <v>14841.94</v>
      </c>
      <c r="G469" s="18" t="n">
        <v>828.65</v>
      </c>
      <c r="H469" s="19" t="n">
        <v>-0.0115</v>
      </c>
      <c r="I469" s="20" t="n">
        <v>24</v>
      </c>
      <c r="J469" s="16" t="inlineStr">
        <is>
          <t>red</t>
        </is>
      </c>
      <c r="K469" s="20" t="n">
        <v>70</v>
      </c>
      <c r="L469" s="18" t="n">
        <v>21.66</v>
      </c>
      <c r="M469" s="18" t="n">
        <v>846.96</v>
      </c>
      <c r="N469" s="18" t="n">
        <v>914.15</v>
      </c>
      <c r="O469" s="18" t="n">
        <v>947.48</v>
      </c>
      <c r="P469" s="18" t="n">
        <v>1203.96</v>
      </c>
      <c r="Q469" s="18" t="n">
        <v>788.84</v>
      </c>
      <c r="R469" s="21">
        <f>IF(OR(G469="",P469=""),"",G469/P469-1)</f>
        <v/>
      </c>
      <c r="S469" s="19" t="n">
        <v>1.0603</v>
      </c>
      <c r="T469" s="22" t="n">
        <v>0.006500000000000001</v>
      </c>
      <c r="U469" s="16" t="inlineStr">
        <is>
          <t>Yes</t>
        </is>
      </c>
      <c r="V469" s="16" t="inlineStr">
        <is>
          <t>No</t>
        </is>
      </c>
      <c r="W469" s="16" t="inlineStr">
        <is>
          <t>No</t>
        </is>
      </c>
      <c r="X469" s="16" t="inlineStr">
        <is>
          <t>No</t>
        </is>
      </c>
      <c r="Y469" s="20" t="n">
        <v>25</v>
      </c>
      <c r="Z469" s="19" t="n">
        <v>-0.0352</v>
      </c>
      <c r="AA469" s="18" t="n">
        <v>65.2</v>
      </c>
      <c r="AB469" s="16" t="inlineStr">
        <is>
          <t>High</t>
        </is>
      </c>
      <c r="AC469" s="16" t="inlineStr">
        <is>
          <t>No</t>
        </is>
      </c>
      <c r="AD469" s="19" t="n">
        <v>0.213</v>
      </c>
      <c r="AE469" s="19" t="n">
        <v>0.2394</v>
      </c>
      <c r="AF469" s="19" t="n">
        <v>0.1117</v>
      </c>
      <c r="AG469" s="19" t="n">
        <v>0.1698</v>
      </c>
      <c r="AH469" s="23" t="n">
        <v>0.08</v>
      </c>
      <c r="AI469" s="23" t="n">
        <v>1.44</v>
      </c>
      <c r="AJ469" s="19" t="n">
        <v>0.1034</v>
      </c>
    </row>
    <row r="470">
      <c r="A470" s="16" t="inlineStr">
        <is>
          <t>CONCORDBIO</t>
        </is>
      </c>
      <c r="B470" s="16" t="inlineStr">
        <is>
          <t>Concord Biotech Ltd.</t>
        </is>
      </c>
      <c r="C470" s="16" t="inlineStr">
        <is>
          <t>Biotechnology</t>
        </is>
      </c>
      <c r="D470" s="16" t="inlineStr">
        <is>
          <t>Pharmaceuticals &amp; Biotechnology</t>
        </is>
      </c>
      <c r="E470" s="16" t="inlineStr">
        <is>
          <t>INE338H01029</t>
        </is>
      </c>
      <c r="F470" s="17" t="n">
        <v>14825.16</v>
      </c>
      <c r="G470" s="18" t="n">
        <v>1417.1</v>
      </c>
      <c r="H470" s="19" t="n">
        <v>-0.0211</v>
      </c>
      <c r="I470" s="20" t="n">
        <v>49</v>
      </c>
      <c r="J470" s="16" t="inlineStr">
        <is>
          <t>red</t>
        </is>
      </c>
      <c r="K470" s="20" t="n">
        <v>5</v>
      </c>
      <c r="L470" s="18" t="n">
        <v>35.7</v>
      </c>
      <c r="M470" s="18" t="n">
        <v>1468.15</v>
      </c>
      <c r="N470" s="18" t="n">
        <v>1384.8</v>
      </c>
      <c r="O470" s="18" t="n">
        <v>1256.94</v>
      </c>
      <c r="P470" s="18" t="n">
        <v>1685.01</v>
      </c>
      <c r="Q470" s="18" t="n">
        <v>1008.76</v>
      </c>
      <c r="R470" s="21">
        <f>IF(OR(G470="",P470=""),"",G470/P470-1)</f>
        <v/>
      </c>
      <c r="S470" s="19" t="n">
        <v>0.3174</v>
      </c>
      <c r="T470" s="22" t="n">
        <v>0.0031</v>
      </c>
      <c r="U470" s="16" t="inlineStr">
        <is>
          <t>Yes</t>
        </is>
      </c>
      <c r="V470" s="16" t="inlineStr">
        <is>
          <t>Yes</t>
        </is>
      </c>
      <c r="W470" s="16" t="inlineStr">
        <is>
          <t>No</t>
        </is>
      </c>
      <c r="X470" s="16" t="inlineStr">
        <is>
          <t>Yes</t>
        </is>
      </c>
      <c r="Y470" s="20" t="n">
        <v>28</v>
      </c>
      <c r="Z470" s="19" t="n">
        <v>0.1017</v>
      </c>
      <c r="AA470" s="18" t="n">
        <v>63.8</v>
      </c>
      <c r="AB470" s="16" t="inlineStr">
        <is>
          <t>High</t>
        </is>
      </c>
      <c r="AC470" s="16" t="inlineStr">
        <is>
          <t>No</t>
        </is>
      </c>
      <c r="AD470" s="19" t="n">
        <v>0.1787</v>
      </c>
      <c r="AE470" s="19" t="n">
        <v>0.2379</v>
      </c>
      <c r="AF470" s="19" t="n">
        <v>0.0623</v>
      </c>
      <c r="AG470" s="19" t="n">
        <v>0.0902</v>
      </c>
      <c r="AH470" s="23" t="n">
        <v>0</v>
      </c>
      <c r="AI470" s="23" t="n">
        <v>1.19</v>
      </c>
      <c r="AJ470" s="19" t="n">
        <v>0.1002</v>
      </c>
    </row>
    <row r="471">
      <c r="A471" s="16" t="inlineStr">
        <is>
          <t>NIVABUPA</t>
        </is>
      </c>
      <c r="B471" s="16" t="inlineStr">
        <is>
          <t>Niva Bupa Health Insurance Company Ltd.</t>
        </is>
      </c>
      <c r="C471" s="16" t="inlineStr">
        <is>
          <t>General Insurance</t>
        </is>
      </c>
      <c r="D471" s="16" t="inlineStr">
        <is>
          <t>Banking and Finance</t>
        </is>
      </c>
      <c r="E471" s="16" t="inlineStr">
        <is>
          <t>INE995S01015</t>
        </is>
      </c>
      <c r="F471" s="17" t="n">
        <v>14817.5</v>
      </c>
      <c r="G471" s="18" t="n">
        <v>80.11</v>
      </c>
      <c r="H471" s="19" t="n">
        <v>-0.0077</v>
      </c>
      <c r="I471" s="20" t="n">
        <v>41</v>
      </c>
      <c r="J471" s="16" t="inlineStr">
        <is>
          <t>red</t>
        </is>
      </c>
      <c r="K471" s="20" t="n">
        <v>22</v>
      </c>
      <c r="L471" s="18" t="n">
        <v>35.93</v>
      </c>
      <c r="M471" s="18" t="n">
        <v>81.45</v>
      </c>
      <c r="N471" s="18" t="n">
        <v>84.86</v>
      </c>
      <c r="O471" s="18" t="n">
        <v>79.34</v>
      </c>
      <c r="P471" s="18" t="n">
        <v>88.36</v>
      </c>
      <c r="Q471" s="18" t="n">
        <v>68.40000000000001</v>
      </c>
      <c r="R471" s="21">
        <f>IF(OR(G471="",P471=""),"",G471/P471-1)</f>
        <v/>
      </c>
      <c r="S471" s="19" t="n">
        <v>0.6038</v>
      </c>
      <c r="T471" s="22" t="n">
        <v>0.0092</v>
      </c>
      <c r="U471" s="16" t="inlineStr">
        <is>
          <t>Yes</t>
        </is>
      </c>
      <c r="V471" s="16" t="inlineStr">
        <is>
          <t>No</t>
        </is>
      </c>
      <c r="W471" s="16" t="inlineStr">
        <is>
          <t>No</t>
        </is>
      </c>
      <c r="X471" s="16" t="inlineStr">
        <is>
          <t>Yes</t>
        </is>
      </c>
      <c r="Y471" s="20" t="n">
        <v>69</v>
      </c>
      <c r="Z471" s="19" t="n">
        <v>0.0696</v>
      </c>
      <c r="AA471" s="18" t="n">
        <v>52.36</v>
      </c>
      <c r="AB471" s="16" t="inlineStr">
        <is>
          <t>Good</t>
        </is>
      </c>
      <c r="AC471" s="16" t="inlineStr">
        <is>
          <t>Yes</t>
        </is>
      </c>
      <c r="AD471" s="19" t="n">
        <v>0.04389999999999999</v>
      </c>
      <c r="AE471" s="19" t="n">
        <v>0.0564</v>
      </c>
      <c r="AF471" s="19" t="n">
        <v>2.229</v>
      </c>
      <c r="AG471" s="19" t="n">
        <v>0.3720000000000001</v>
      </c>
      <c r="AH471" s="23" t="n">
        <v>0.08</v>
      </c>
      <c r="AI471" s="23" t="n">
        <v>178.76</v>
      </c>
      <c r="AJ471" s="19" t="n">
        <v>0.08449999999999999</v>
      </c>
    </row>
    <row r="472">
      <c r="A472" s="16" t="inlineStr">
        <is>
          <t>MARKSANS</t>
        </is>
      </c>
      <c r="B472" s="16" t="inlineStr">
        <is>
          <t>Marksans Pharma Ltd.</t>
        </is>
      </c>
      <c r="C472" s="16" t="inlineStr">
        <is>
          <t>Pharmaceuticals</t>
        </is>
      </c>
      <c r="D472" s="16" t="inlineStr">
        <is>
          <t>Pharmaceuticals &amp; Biotechnology</t>
        </is>
      </c>
      <c r="E472" s="16" t="inlineStr">
        <is>
          <t>INE750C01026</t>
        </is>
      </c>
      <c r="F472" s="17" t="n">
        <v>14807.12</v>
      </c>
      <c r="G472" s="18" t="n">
        <v>326.75</v>
      </c>
      <c r="H472" s="19" t="n">
        <v>-0.0164</v>
      </c>
      <c r="I472" s="20" t="n">
        <v>90</v>
      </c>
      <c r="J472" s="16" t="inlineStr">
        <is>
          <t>green</t>
        </is>
      </c>
      <c r="K472" s="20" t="n">
        <v>31</v>
      </c>
      <c r="L472" s="18" t="n">
        <v>47.08</v>
      </c>
      <c r="M472" s="18" t="n">
        <v>327.79</v>
      </c>
      <c r="N472" s="18" t="n">
        <v>285.87</v>
      </c>
      <c r="O472" s="18" t="n">
        <v>215.38</v>
      </c>
      <c r="P472" s="18" t="n">
        <v>332.5</v>
      </c>
      <c r="Q472" s="18" t="n">
        <v>156.46</v>
      </c>
      <c r="R472" s="21">
        <f>IF(OR(G472="",P472=""),"",G472/P472-1)</f>
        <v/>
      </c>
      <c r="S472" s="19" t="n">
        <v>0.3595</v>
      </c>
      <c r="T472" s="22" t="n">
        <v>0.066</v>
      </c>
      <c r="U472" s="16" t="inlineStr">
        <is>
          <t>Yes</t>
        </is>
      </c>
      <c r="V472" s="16" t="inlineStr">
        <is>
          <t>Yes</t>
        </is>
      </c>
      <c r="W472" s="16" t="inlineStr">
        <is>
          <t>No</t>
        </is>
      </c>
      <c r="X472" s="16" t="inlineStr">
        <is>
          <t>Yes</t>
        </is>
      </c>
      <c r="Y472" s="20" t="n">
        <v>77</v>
      </c>
      <c r="Z472" s="19" t="n">
        <v>0.3273</v>
      </c>
      <c r="AA472" s="18" t="n">
        <v>59.13</v>
      </c>
      <c r="AB472" s="16" t="inlineStr">
        <is>
          <t>Good</t>
        </is>
      </c>
      <c r="AC472" s="16" t="inlineStr">
        <is>
          <t>No</t>
        </is>
      </c>
      <c r="AD472" s="19" t="n">
        <v>0.1481</v>
      </c>
      <c r="AE472" s="19" t="n">
        <v>0.1823</v>
      </c>
      <c r="AF472" s="19" t="n">
        <v>0.1304</v>
      </c>
      <c r="AG472" s="19" t="n">
        <v>0.1677</v>
      </c>
      <c r="AH472" s="23" t="n">
        <v>0.11</v>
      </c>
      <c r="AI472" s="23" t="n">
        <v>3.13</v>
      </c>
      <c r="AJ472" s="19" t="n">
        <v>0.0163</v>
      </c>
    </row>
    <row r="473">
      <c r="A473" s="16" t="inlineStr">
        <is>
          <t>JBMA</t>
        </is>
      </c>
      <c r="B473" s="16" t="inlineStr">
        <is>
          <t>JBM Auto Ltd.</t>
        </is>
      </c>
      <c r="C473" s="16" t="inlineStr">
        <is>
          <t>Auto Parts &amp; Equipment</t>
        </is>
      </c>
      <c r="D473" s="16" t="inlineStr">
        <is>
          <t>Automobiles &amp; Auto Components</t>
        </is>
      </c>
      <c r="E473" s="16" t="inlineStr">
        <is>
          <t>INE927D01051</t>
        </is>
      </c>
      <c r="F473" s="17" t="n">
        <v>14795.08</v>
      </c>
      <c r="G473" s="18" t="n">
        <v>625.6</v>
      </c>
      <c r="H473" s="19" t="n">
        <v>-0.005600000000000001</v>
      </c>
      <c r="I473" s="20" t="n">
        <v>42</v>
      </c>
      <c r="J473" s="16" t="inlineStr">
        <is>
          <t>red</t>
        </is>
      </c>
      <c r="K473" s="20" t="n">
        <v>26</v>
      </c>
      <c r="L473" s="18" t="n">
        <v>51.59</v>
      </c>
      <c r="M473" s="18" t="n">
        <v>632.79</v>
      </c>
      <c r="N473" s="18" t="n">
        <v>658.83</v>
      </c>
      <c r="O473" s="18" t="n">
        <v>617.99</v>
      </c>
      <c r="P473" s="18" t="n">
        <v>741.7</v>
      </c>
      <c r="Q473" s="18" t="n">
        <v>486.2</v>
      </c>
      <c r="R473" s="21">
        <f>IF(OR(G473="",P473=""),"",G473/P473-1)</f>
        <v/>
      </c>
      <c r="S473" s="19" t="n">
        <v>0.2127</v>
      </c>
      <c r="T473" s="22" t="n">
        <v>-0.0019</v>
      </c>
      <c r="U473" s="16" t="inlineStr">
        <is>
          <t>No</t>
        </is>
      </c>
      <c r="V473" s="16" t="inlineStr">
        <is>
          <t>No</t>
        </is>
      </c>
      <c r="W473" s="16" t="inlineStr">
        <is>
          <t>No</t>
        </is>
      </c>
      <c r="X473" s="16" t="inlineStr">
        <is>
          <t>Yes</t>
        </is>
      </c>
      <c r="Y473" s="20" t="n">
        <v>70</v>
      </c>
      <c r="Z473" s="19" t="n">
        <v>0.06610000000000001</v>
      </c>
      <c r="AA473" s="18" t="n">
        <v>28.45</v>
      </c>
      <c r="AB473" s="16" t="inlineStr">
        <is>
          <t>Poor</t>
        </is>
      </c>
      <c r="AC473" s="16" t="inlineStr">
        <is>
          <t>No</t>
        </is>
      </c>
      <c r="AD473" s="19" t="n">
        <v>0.1483</v>
      </c>
      <c r="AE473" s="19" t="n">
        <v>0.1315</v>
      </c>
      <c r="AF473" s="19" t="n">
        <v>0.2167</v>
      </c>
      <c r="AG473" s="19" t="n">
        <v>0.2032</v>
      </c>
      <c r="AH473" s="23" t="n">
        <v>2.04</v>
      </c>
      <c r="AI473" s="23" t="n">
        <v>4.08</v>
      </c>
      <c r="AJ473" s="19" t="n">
        <v>0.1062</v>
      </c>
    </row>
    <row r="474">
      <c r="A474" s="16" t="inlineStr">
        <is>
          <t>KIRLOSBROS</t>
        </is>
      </c>
      <c r="B474" s="16" t="inlineStr">
        <is>
          <t>Kirloskar Brothers Ltd.</t>
        </is>
      </c>
      <c r="C474" s="16" t="inlineStr">
        <is>
          <t>Compressors &amp; Pumps</t>
        </is>
      </c>
      <c r="D474" s="16" t="inlineStr">
        <is>
          <t>General Industrials</t>
        </is>
      </c>
      <c r="E474" s="16" t="inlineStr">
        <is>
          <t>INE732A01036</t>
        </is>
      </c>
      <c r="F474" s="17" t="n">
        <v>14785.94</v>
      </c>
      <c r="G474" s="18" t="n">
        <v>1862</v>
      </c>
      <c r="H474" s="19" t="n">
        <v>-0.0103</v>
      </c>
      <c r="I474" s="20" t="n">
        <v>52</v>
      </c>
      <c r="J474" s="16" t="inlineStr">
        <is>
          <t>red</t>
        </is>
      </c>
      <c r="K474" s="20" t="n">
        <v>3</v>
      </c>
      <c r="L474" s="18" t="n">
        <v>36.4</v>
      </c>
      <c r="M474" s="18" t="n">
        <v>1886.52</v>
      </c>
      <c r="N474" s="18" t="n">
        <v>1900.79</v>
      </c>
      <c r="O474" s="18" t="n">
        <v>1697.54</v>
      </c>
      <c r="P474" s="18" t="n">
        <v>2074.41</v>
      </c>
      <c r="Q474" s="18" t="n">
        <v>1334.03</v>
      </c>
      <c r="R474" s="21">
        <f>IF(OR(G474="",P474=""),"",G474/P474-1)</f>
        <v/>
      </c>
      <c r="S474" s="19" t="n">
        <v>0.291</v>
      </c>
      <c r="T474" s="22" t="n">
        <v>0.0054</v>
      </c>
      <c r="U474" s="16" t="inlineStr">
        <is>
          <t>Yes</t>
        </is>
      </c>
      <c r="V474" s="16" t="inlineStr">
        <is>
          <t>No</t>
        </is>
      </c>
      <c r="W474" s="16" t="inlineStr">
        <is>
          <t>No</t>
        </is>
      </c>
      <c r="X474" s="16" t="inlineStr">
        <is>
          <t>Yes</t>
        </is>
      </c>
      <c r="Y474" s="20" t="n">
        <v>55</v>
      </c>
      <c r="Z474" s="19" t="n">
        <v>0.1197</v>
      </c>
      <c r="AA474" s="18" t="n">
        <v>64.55</v>
      </c>
      <c r="AB474" s="16" t="inlineStr">
        <is>
          <t>High</t>
        </is>
      </c>
      <c r="AC474" s="16" t="inlineStr">
        <is>
          <t>No</t>
        </is>
      </c>
      <c r="AD474" s="19" t="n">
        <v>0.1842</v>
      </c>
      <c r="AE474" s="19" t="n">
        <v>0.228</v>
      </c>
      <c r="AF474" s="19" t="n">
        <v>0.1914</v>
      </c>
      <c r="AG474" s="19" t="n">
        <v>0.0696</v>
      </c>
      <c r="AH474" s="23" t="n">
        <v>0.1</v>
      </c>
      <c r="AI474" s="23" t="n">
        <v>6.03</v>
      </c>
      <c r="AJ474" s="19" t="n">
        <v>0.08130000000000001</v>
      </c>
    </row>
    <row r="475">
      <c r="A475" s="16" t="inlineStr">
        <is>
          <t>CCL</t>
        </is>
      </c>
      <c r="B475" s="16" t="inlineStr">
        <is>
          <t>CCL Products India Ltd.</t>
        </is>
      </c>
      <c r="C475" s="16" t="inlineStr">
        <is>
          <t>Tea &amp; Coffee</t>
        </is>
      </c>
      <c r="D475" s="16" t="inlineStr">
        <is>
          <t>Food, Beverages &amp; Tobacco</t>
        </is>
      </c>
      <c r="E475" s="16" t="inlineStr">
        <is>
          <t>INE421D01022</t>
        </is>
      </c>
      <c r="F475" s="17" t="n">
        <v>14770.86</v>
      </c>
      <c r="G475" s="18" t="n">
        <v>1106.2</v>
      </c>
      <c r="H475" s="19" t="n">
        <v>-0.001</v>
      </c>
      <c r="I475" s="20" t="n">
        <v>51</v>
      </c>
      <c r="J475" s="16" t="inlineStr">
        <is>
          <t>red</t>
        </is>
      </c>
      <c r="K475" s="20" t="n">
        <v>5</v>
      </c>
      <c r="L475" s="18" t="n">
        <v>44.82</v>
      </c>
      <c r="M475" s="18" t="n">
        <v>1099.63</v>
      </c>
      <c r="N475" s="18" t="n">
        <v>1151.59</v>
      </c>
      <c r="O475" s="18" t="n">
        <v>1065.96</v>
      </c>
      <c r="P475" s="18" t="n">
        <v>1226.28</v>
      </c>
      <c r="Q475" s="18" t="n">
        <v>824.72</v>
      </c>
      <c r="R475" s="21">
        <f>IF(OR(G475="",P475=""),"",G475/P475-1)</f>
        <v/>
      </c>
      <c r="S475" s="19" t="n">
        <v>1.1041</v>
      </c>
      <c r="T475" s="22" t="n">
        <v>0.0159</v>
      </c>
      <c r="U475" s="16" t="inlineStr">
        <is>
          <t>Yes</t>
        </is>
      </c>
      <c r="V475" s="16" t="inlineStr">
        <is>
          <t>No</t>
        </is>
      </c>
      <c r="W475" s="16" t="inlineStr">
        <is>
          <t>Yes</t>
        </is>
      </c>
      <c r="X475" s="16" t="inlineStr">
        <is>
          <t>Yes</t>
        </is>
      </c>
      <c r="Y475" s="20" t="n">
        <v>315</v>
      </c>
      <c r="Z475" s="19" t="n">
        <v>0.0803</v>
      </c>
      <c r="AA475" s="18" t="n">
        <v>48.94</v>
      </c>
      <c r="AB475" s="16" t="inlineStr">
        <is>
          <t>Average</t>
        </is>
      </c>
      <c r="AC475" s="16" t="inlineStr">
        <is>
          <t>No</t>
        </is>
      </c>
      <c r="AD475" s="19" t="n">
        <v>0.1576</v>
      </c>
      <c r="AE475" s="19" t="n">
        <v>0.1301</v>
      </c>
      <c r="AF475" s="19" t="n">
        <v>0.1232</v>
      </c>
      <c r="AG475" s="19" t="n">
        <v>0.2956</v>
      </c>
      <c r="AH475" s="23" t="n">
        <v>0.5600000000000001</v>
      </c>
      <c r="AI475" s="23" t="n">
        <v>2.19</v>
      </c>
      <c r="AJ475" s="19" t="n">
        <v>0.0017</v>
      </c>
    </row>
    <row r="476">
      <c r="A476" s="16" t="inlineStr">
        <is>
          <t>TMB</t>
        </is>
      </c>
      <c r="B476" s="16" t="inlineStr">
        <is>
          <t>Tamilnad Mercantile Bank Ltd.</t>
        </is>
      </c>
      <c r="C476" s="16" t="inlineStr">
        <is>
          <t>Banks</t>
        </is>
      </c>
      <c r="D476" s="16" t="inlineStr">
        <is>
          <t>Banking and Finance</t>
        </is>
      </c>
      <c r="E476" s="16" t="inlineStr">
        <is>
          <t>INE668A01016</t>
        </is>
      </c>
      <c r="F476" s="17" t="n">
        <v>14765.49</v>
      </c>
      <c r="G476" s="18" t="n">
        <v>932.45</v>
      </c>
      <c r="H476" s="19" t="n">
        <v>-0.0106</v>
      </c>
      <c r="I476" s="20" t="n">
        <v>89</v>
      </c>
      <c r="J476" s="16" t="inlineStr">
        <is>
          <t>green</t>
        </is>
      </c>
      <c r="K476" s="20" t="n">
        <v>182</v>
      </c>
      <c r="L476" s="18" t="n">
        <v>70.68000000000001</v>
      </c>
      <c r="M476" s="18" t="n">
        <v>912.46</v>
      </c>
      <c r="N476" s="18" t="n">
        <v>838.11</v>
      </c>
      <c r="O476" s="18" t="n">
        <v>675.6799999999999</v>
      </c>
      <c r="P476" s="18" t="n">
        <v>942.45</v>
      </c>
      <c r="Q476" s="18" t="n">
        <v>415.08</v>
      </c>
      <c r="R476" s="21">
        <f>IF(OR(G476="",P476=""),"",G476/P476-1)</f>
        <v/>
      </c>
      <c r="S476" s="19" t="n">
        <v>0.2496</v>
      </c>
      <c r="T476" s="22" t="n">
        <v>0.0634</v>
      </c>
      <c r="U476" s="16" t="inlineStr">
        <is>
          <t>Yes</t>
        </is>
      </c>
      <c r="V476" s="16" t="inlineStr">
        <is>
          <t>Yes</t>
        </is>
      </c>
      <c r="W476" s="16" t="inlineStr">
        <is>
          <t>Yes</t>
        </is>
      </c>
      <c r="X476" s="16" t="inlineStr">
        <is>
          <t>Yes</t>
        </is>
      </c>
      <c r="Y476" s="20" t="n">
        <v>221</v>
      </c>
      <c r="Z476" s="19" t="n">
        <v>0.2404</v>
      </c>
      <c r="AA476" s="18" t="n">
        <v>45.41</v>
      </c>
      <c r="AB476" s="16" t="inlineStr">
        <is>
          <t>Average</t>
        </is>
      </c>
      <c r="AC476" s="16" t="inlineStr">
        <is>
          <t>Yes</t>
        </is>
      </c>
      <c r="AD476" s="19" t="n">
        <v>0.133</v>
      </c>
      <c r="AE476" s="19" t="n"/>
      <c r="AF476" s="19" t="n">
        <v>0.07629999999999999</v>
      </c>
      <c r="AG476" s="19" t="n">
        <v>0.078</v>
      </c>
      <c r="AH476" s="23" t="n">
        <v>0.07000000000000001</v>
      </c>
      <c r="AI476" s="23" t="n">
        <v>10.96</v>
      </c>
      <c r="AJ476" s="19" t="n">
        <v>0</v>
      </c>
    </row>
    <row r="477">
      <c r="A477" s="16" t="inlineStr">
        <is>
          <t>JUBLPHARMA</t>
        </is>
      </c>
      <c r="B477" s="16" t="inlineStr">
        <is>
          <t>Jubilant Pharmova Ltd.</t>
        </is>
      </c>
      <c r="C477" s="16" t="inlineStr">
        <is>
          <t>Pharmaceuticals</t>
        </is>
      </c>
      <c r="D477" s="16" t="inlineStr">
        <is>
          <t>Pharmaceuticals &amp; Biotechnology</t>
        </is>
      </c>
      <c r="E477" s="16" t="inlineStr">
        <is>
          <t>INE700A01033</t>
        </is>
      </c>
      <c r="F477" s="17" t="n">
        <v>14725.54</v>
      </c>
      <c r="G477" s="18" t="n">
        <v>924.5</v>
      </c>
      <c r="H477" s="19" t="n">
        <v>0.0183</v>
      </c>
      <c r="I477" s="20" t="n">
        <v>31</v>
      </c>
      <c r="J477" s="16" t="inlineStr">
        <is>
          <t>red</t>
        </is>
      </c>
      <c r="K477" s="20" t="n">
        <v>76</v>
      </c>
      <c r="L477" s="18" t="n">
        <v>73.29000000000001</v>
      </c>
      <c r="M477" s="18" t="n">
        <v>896.37</v>
      </c>
      <c r="N477" s="18" t="n">
        <v>939.02</v>
      </c>
      <c r="O477" s="18" t="n">
        <v>956.86</v>
      </c>
      <c r="P477" s="18" t="n">
        <v>1175.12</v>
      </c>
      <c r="Q477" s="18" t="n">
        <v>803.49</v>
      </c>
      <c r="R477" s="21">
        <f>IF(OR(G477="",P477=""),"",G477/P477-1)</f>
        <v/>
      </c>
      <c r="S477" s="19" t="n">
        <v>1.6247</v>
      </c>
      <c r="T477" s="22" t="n">
        <v>-0.0238</v>
      </c>
      <c r="U477" s="16" t="inlineStr">
        <is>
          <t>No</t>
        </is>
      </c>
      <c r="V477" s="16" t="inlineStr">
        <is>
          <t>No</t>
        </is>
      </c>
      <c r="W477" s="16" t="inlineStr">
        <is>
          <t>Yes</t>
        </is>
      </c>
      <c r="X477" s="16" t="inlineStr">
        <is>
          <t>No</t>
        </is>
      </c>
      <c r="Y477" s="20" t="n">
        <v>157</v>
      </c>
      <c r="Z477" s="19" t="n">
        <v>-0.0186</v>
      </c>
      <c r="AA477" s="18" t="n">
        <v>42.43</v>
      </c>
      <c r="AB477" s="16" t="inlineStr">
        <is>
          <t>Average</t>
        </is>
      </c>
      <c r="AC477" s="16" t="inlineStr">
        <is>
          <t>No</t>
        </is>
      </c>
      <c r="AD477" s="19" t="n">
        <v>0.0682</v>
      </c>
      <c r="AE477" s="19" t="n">
        <v>0.08560000000000001</v>
      </c>
      <c r="AF477" s="19" t="n">
        <v>3.7145</v>
      </c>
      <c r="AG477" s="19" t="n">
        <v>0.09810000000000001</v>
      </c>
      <c r="AH477" s="23" t="n">
        <v>0.51</v>
      </c>
      <c r="AI477" s="23" t="n">
        <v>1.19</v>
      </c>
      <c r="AJ477" s="19" t="n">
        <v>0.4305</v>
      </c>
    </row>
    <row r="478">
      <c r="A478" s="16" t="inlineStr">
        <is>
          <t>RAINBOW</t>
        </is>
      </c>
      <c r="B478" s="16" t="inlineStr">
        <is>
          <t>Rainbow Childrens Medicare Ltd.</t>
        </is>
      </c>
      <c r="C478" s="16" t="inlineStr">
        <is>
          <t>Healthcare Facilities</t>
        </is>
      </c>
      <c r="D478" s="16" t="inlineStr">
        <is>
          <t>Healthcare</t>
        </is>
      </c>
      <c r="E478" s="16" t="inlineStr">
        <is>
          <t>INE961O01016</t>
        </is>
      </c>
      <c r="F478" s="17" t="n">
        <v>14698.72</v>
      </c>
      <c r="G478" s="18" t="n">
        <v>1447.2</v>
      </c>
      <c r="H478" s="19" t="n">
        <v>0.0044</v>
      </c>
      <c r="I478" s="20" t="n">
        <v>53</v>
      </c>
      <c r="J478" s="16" t="inlineStr">
        <is>
          <t>red</t>
        </is>
      </c>
      <c r="K478" s="20" t="n">
        <v>17</v>
      </c>
      <c r="L478" s="18" t="n">
        <v>41.75</v>
      </c>
      <c r="M478" s="18" t="n">
        <v>1439.07</v>
      </c>
      <c r="N478" s="18" t="n">
        <v>1472.6</v>
      </c>
      <c r="O478" s="18" t="n">
        <v>1322.96</v>
      </c>
      <c r="P478" s="18" t="n">
        <v>1598.6</v>
      </c>
      <c r="Q478" s="18" t="n">
        <v>1101.21</v>
      </c>
      <c r="R478" s="21">
        <f>IF(OR(G478="",P478=""),"",G478/P478-1)</f>
        <v/>
      </c>
      <c r="S478" s="19" t="n">
        <v>0.5025999999999999</v>
      </c>
      <c r="T478" s="22" t="n">
        <v>0.0077</v>
      </c>
      <c r="U478" s="16" t="inlineStr">
        <is>
          <t>Yes</t>
        </is>
      </c>
      <c r="V478" s="16" t="inlineStr">
        <is>
          <t>No</t>
        </is>
      </c>
      <c r="W478" s="16" t="inlineStr">
        <is>
          <t>Yes</t>
        </is>
      </c>
      <c r="X478" s="16" t="inlineStr">
        <is>
          <t>Yes</t>
        </is>
      </c>
      <c r="Y478" s="20" t="n">
        <v>59</v>
      </c>
      <c r="Z478" s="19" t="n">
        <v>0.1131</v>
      </c>
      <c r="AA478" s="18" t="n">
        <v>48.31</v>
      </c>
      <c r="AB478" s="16" t="inlineStr">
        <is>
          <t>Average</t>
        </is>
      </c>
      <c r="AC478" s="16" t="inlineStr">
        <is>
          <t>No</t>
        </is>
      </c>
      <c r="AD478" s="19" t="n">
        <v>0.169</v>
      </c>
      <c r="AE478" s="19" t="n">
        <v>0.1756</v>
      </c>
      <c r="AF478" s="19" t="n">
        <v>0.09609999999999999</v>
      </c>
      <c r="AG478" s="19" t="n">
        <v>0.1309</v>
      </c>
      <c r="AH478" s="23" t="n">
        <v>0.54</v>
      </c>
      <c r="AI478" s="23" t="n">
        <v>1</v>
      </c>
      <c r="AJ478" s="19" t="n">
        <v>0.0668</v>
      </c>
    </row>
    <row r="479">
      <c r="A479" s="16" t="inlineStr">
        <is>
          <t>AVALON</t>
        </is>
      </c>
      <c r="B479" s="16" t="inlineStr">
        <is>
          <t>Avalon Technologies Ltd.</t>
        </is>
      </c>
      <c r="C479" s="16" t="inlineStr">
        <is>
          <t>Heavy Electrical Equipment</t>
        </is>
      </c>
      <c r="D479" s="16" t="inlineStr">
        <is>
          <t>General Industrials</t>
        </is>
      </c>
      <c r="E479" s="16" t="inlineStr">
        <is>
          <t>INE0LCL01028</t>
        </is>
      </c>
      <c r="F479" s="17" t="n">
        <v>14691.37</v>
      </c>
      <c r="G479" s="18" t="n">
        <v>2196.6</v>
      </c>
      <c r="H479" s="19" t="n">
        <v>-0.0231</v>
      </c>
      <c r="I479" s="20" t="n">
        <v>95</v>
      </c>
      <c r="J479" s="16" t="inlineStr">
        <is>
          <t>green</t>
        </is>
      </c>
      <c r="K479" s="20" t="n">
        <v>91</v>
      </c>
      <c r="L479" s="18" t="n">
        <v>57.4</v>
      </c>
      <c r="M479" s="18" t="n">
        <v>2255.18</v>
      </c>
      <c r="N479" s="18" t="n">
        <v>1908.69</v>
      </c>
      <c r="O479" s="18" t="n">
        <v>1302.82</v>
      </c>
      <c r="P479" s="18" t="n">
        <v>2373.3</v>
      </c>
      <c r="Q479" s="18" t="n">
        <v>793.85</v>
      </c>
      <c r="R479" s="21">
        <f>IF(OR(G479="",P479=""),"",G479/P479-1)</f>
        <v/>
      </c>
      <c r="S479" s="19" t="n">
        <v>1.2552</v>
      </c>
      <c r="T479" s="22" t="n">
        <v>0.08710000000000001</v>
      </c>
      <c r="U479" s="16" t="inlineStr">
        <is>
          <t>Yes</t>
        </is>
      </c>
      <c r="V479" s="16" t="inlineStr">
        <is>
          <t>Yes</t>
        </is>
      </c>
      <c r="W479" s="16" t="inlineStr">
        <is>
          <t>No</t>
        </is>
      </c>
      <c r="X479" s="16" t="inlineStr">
        <is>
          <t>Yes</t>
        </is>
      </c>
      <c r="Y479" s="20" t="n">
        <v>129</v>
      </c>
      <c r="Z479" s="19" t="n">
        <v>0.465</v>
      </c>
      <c r="AA479" s="18" t="n">
        <v>57.67</v>
      </c>
      <c r="AB479" s="16" t="inlineStr">
        <is>
          <t>Good</t>
        </is>
      </c>
      <c r="AC479" s="16" t="inlineStr">
        <is>
          <t>No</t>
        </is>
      </c>
      <c r="AD479" s="19" t="n">
        <v>0.1038</v>
      </c>
      <c r="AE479" s="19" t="n">
        <v>0.1275</v>
      </c>
      <c r="AF479" s="19" t="n">
        <v>0.5207000000000001</v>
      </c>
      <c r="AG479" s="19" t="n">
        <v>0.2157</v>
      </c>
      <c r="AH479" s="23" t="n">
        <v>0.3</v>
      </c>
      <c r="AI479" s="23" t="n">
        <v>7.64</v>
      </c>
      <c r="AJ479" s="19" t="n">
        <v>0.114</v>
      </c>
    </row>
    <row r="480">
      <c r="A480" s="16" t="inlineStr">
        <is>
          <t>VGUARD</t>
        </is>
      </c>
      <c r="B480" s="16" t="inlineStr">
        <is>
          <t>V-Guard Industries Ltd.</t>
        </is>
      </c>
      <c r="C480" s="16" t="inlineStr">
        <is>
          <t>Household Appliances</t>
        </is>
      </c>
      <c r="D480" s="16" t="inlineStr">
        <is>
          <t>Consumer Durables</t>
        </is>
      </c>
      <c r="E480" s="16" t="inlineStr">
        <is>
          <t>INE951I01027</t>
        </is>
      </c>
      <c r="F480" s="17" t="n">
        <v>14654.13</v>
      </c>
      <c r="G480" s="18" t="n">
        <v>335.4</v>
      </c>
      <c r="H480" s="19" t="n">
        <v>-0.0113</v>
      </c>
      <c r="I480" s="20" t="n">
        <v>49</v>
      </c>
      <c r="J480" s="16" t="inlineStr">
        <is>
          <t>red</t>
        </is>
      </c>
      <c r="K480" s="20" t="n">
        <v>107</v>
      </c>
      <c r="L480" s="18" t="n">
        <v>41.66</v>
      </c>
      <c r="M480" s="18" t="n">
        <v>337.46</v>
      </c>
      <c r="N480" s="18" t="n">
        <v>315.71</v>
      </c>
      <c r="O480" s="18" t="n">
        <v>319.91</v>
      </c>
      <c r="P480" s="18" t="n">
        <v>380.74</v>
      </c>
      <c r="Q480" s="18" t="n">
        <v>289.42</v>
      </c>
      <c r="R480" s="21">
        <f>IF(OR(G480="",P480=""),"",G480/P480-1)</f>
        <v/>
      </c>
      <c r="S480" s="19" t="n">
        <v>0.326</v>
      </c>
      <c r="T480" s="22" t="n">
        <v>-0.0089</v>
      </c>
      <c r="U480" s="16" t="inlineStr">
        <is>
          <t>No</t>
        </is>
      </c>
      <c r="V480" s="16" t="inlineStr">
        <is>
          <t>Yes</t>
        </is>
      </c>
      <c r="W480" s="16" t="inlineStr">
        <is>
          <t>No</t>
        </is>
      </c>
      <c r="X480" s="16" t="inlineStr">
        <is>
          <t>No</t>
        </is>
      </c>
      <c r="Y480" s="20" t="n">
        <v>239</v>
      </c>
      <c r="Z480" s="19" t="n">
        <v>-0.0131</v>
      </c>
      <c r="AA480" s="18" t="n">
        <v>61.85</v>
      </c>
      <c r="AB480" s="16" t="inlineStr">
        <is>
          <t>Good</t>
        </is>
      </c>
      <c r="AC480" s="16" t="inlineStr">
        <is>
          <t>No</t>
        </is>
      </c>
      <c r="AD480" s="19" t="n">
        <v>0.1405</v>
      </c>
      <c r="AE480" s="19" t="n">
        <v>0.1779</v>
      </c>
      <c r="AF480" s="19" t="n">
        <v>0.1826</v>
      </c>
      <c r="AG480" s="19" t="n">
        <v>0.1319</v>
      </c>
      <c r="AH480" s="23" t="n">
        <v>0.07000000000000001</v>
      </c>
      <c r="AI480" s="23" t="n">
        <v>6.94</v>
      </c>
      <c r="AJ480" s="19" t="n">
        <v>0.0234</v>
      </c>
    </row>
    <row r="481">
      <c r="A481" s="16" t="inlineStr">
        <is>
          <t>BIKAJI</t>
        </is>
      </c>
      <c r="B481" s="16" t="inlineStr">
        <is>
          <t>Bikaji Foods International Ltd.</t>
        </is>
      </c>
      <c r="C481" s="16" t="inlineStr">
        <is>
          <t>Packaged Foods</t>
        </is>
      </c>
      <c r="D481" s="16" t="inlineStr">
        <is>
          <t>FMCG</t>
        </is>
      </c>
      <c r="E481" s="16" t="inlineStr">
        <is>
          <t>INE00E101023</t>
        </is>
      </c>
      <c r="F481" s="17" t="n">
        <v>14648.02</v>
      </c>
      <c r="G481" s="18" t="n">
        <v>584.2</v>
      </c>
      <c r="H481" s="19" t="n">
        <v>-0.005</v>
      </c>
      <c r="I481" s="20" t="n">
        <v>15</v>
      </c>
      <c r="J481" s="16" t="inlineStr">
        <is>
          <t>red</t>
        </is>
      </c>
      <c r="K481" s="20" t="n">
        <v>154</v>
      </c>
      <c r="L481" s="18" t="n">
        <v>32.18</v>
      </c>
      <c r="M481" s="18" t="n">
        <v>603.54</v>
      </c>
      <c r="N481" s="18" t="n">
        <v>628.05</v>
      </c>
      <c r="O481" s="18" t="n">
        <v>658.72</v>
      </c>
      <c r="P481" s="18" t="n">
        <v>799.79</v>
      </c>
      <c r="Q481" s="18" t="n">
        <v>584.2</v>
      </c>
      <c r="R481" s="21">
        <f>IF(OR(G481="",P481=""),"",G481/P481-1)</f>
        <v/>
      </c>
      <c r="S481" s="19" t="n">
        <v>0.33</v>
      </c>
      <c r="T481" s="22" t="n">
        <v>-0.0172</v>
      </c>
      <c r="U481" s="16" t="inlineStr">
        <is>
          <t>No</t>
        </is>
      </c>
      <c r="V481" s="16" t="inlineStr">
        <is>
          <t>No</t>
        </is>
      </c>
      <c r="W481" s="16" t="inlineStr">
        <is>
          <t>No</t>
        </is>
      </c>
      <c r="X481" s="16" t="inlineStr">
        <is>
          <t>No</t>
        </is>
      </c>
      <c r="Y481" s="20" t="n">
        <v>186</v>
      </c>
      <c r="Z481" s="19" t="n">
        <v>-0.0466</v>
      </c>
      <c r="AA481" s="18" t="n">
        <v>64.11</v>
      </c>
      <c r="AB481" s="16" t="inlineStr">
        <is>
          <t>High</t>
        </is>
      </c>
      <c r="AC481" s="16" t="inlineStr">
        <is>
          <t>No</t>
        </is>
      </c>
      <c r="AD481" s="19" t="n">
        <v>0.1746</v>
      </c>
      <c r="AE481" s="19" t="n">
        <v>0.2042</v>
      </c>
      <c r="AF481" s="19" t="n">
        <v>0.3252</v>
      </c>
      <c r="AG481" s="19" t="n">
        <v>0.1434</v>
      </c>
      <c r="AH481" s="23" t="n">
        <v>0.19</v>
      </c>
      <c r="AI481" s="23" t="n">
        <v>2.64</v>
      </c>
      <c r="AJ481" s="19" t="n">
        <v>0.1797</v>
      </c>
    </row>
    <row r="482">
      <c r="A482" s="16" t="inlineStr">
        <is>
          <t>CIEINDIA</t>
        </is>
      </c>
      <c r="B482" s="16" t="inlineStr">
        <is>
          <t>CIE Automotive India Ltd.</t>
        </is>
      </c>
      <c r="C482" s="16" t="inlineStr">
        <is>
          <t>Auto Parts &amp; Equipment</t>
        </is>
      </c>
      <c r="D482" s="16" t="inlineStr">
        <is>
          <t>Automobiles &amp; Auto Components</t>
        </is>
      </c>
      <c r="E482" s="16" t="inlineStr">
        <is>
          <t>INE536H01010</t>
        </is>
      </c>
      <c r="F482" s="17" t="n">
        <v>14618.73</v>
      </c>
      <c r="G482" s="18" t="n">
        <v>385.35</v>
      </c>
      <c r="H482" s="19" t="n">
        <v>0.0036</v>
      </c>
      <c r="I482" s="20" t="n">
        <v>22</v>
      </c>
      <c r="J482" s="16" t="inlineStr">
        <is>
          <t>red</t>
        </is>
      </c>
      <c r="K482" s="20" t="n">
        <v>32</v>
      </c>
      <c r="L482" s="18" t="n">
        <v>10.74</v>
      </c>
      <c r="M482" s="18" t="n">
        <v>389.71</v>
      </c>
      <c r="N482" s="18" t="n">
        <v>426.8</v>
      </c>
      <c r="O482" s="18" t="n">
        <v>436.2</v>
      </c>
      <c r="P482" s="18" t="n">
        <v>490.2</v>
      </c>
      <c r="Q482" s="18" t="n">
        <v>381.86</v>
      </c>
      <c r="R482" s="21">
        <f>IF(OR(G482="",P482=""),"",G482/P482-1)</f>
        <v/>
      </c>
      <c r="S482" s="19" t="n">
        <v>0.4703</v>
      </c>
      <c r="T482" s="22" t="n">
        <v>-0.0063</v>
      </c>
      <c r="U482" s="16" t="inlineStr">
        <is>
          <t>No</t>
        </is>
      </c>
      <c r="V482" s="16" t="inlineStr">
        <is>
          <t>No</t>
        </is>
      </c>
      <c r="W482" s="16" t="inlineStr">
        <is>
          <t>No</t>
        </is>
      </c>
      <c r="X482" s="16" t="inlineStr">
        <is>
          <t>No</t>
        </is>
      </c>
      <c r="Y482" s="20" t="n">
        <v>7</v>
      </c>
      <c r="Z482" s="19" t="n">
        <v>-0.0215</v>
      </c>
      <c r="AA482" s="18" t="n">
        <v>40</v>
      </c>
      <c r="AB482" s="16" t="inlineStr">
        <is>
          <t>Weak</t>
        </is>
      </c>
      <c r="AC482" s="16" t="inlineStr">
        <is>
          <t>No</t>
        </is>
      </c>
      <c r="AD482" s="19" t="n">
        <v>0.1416</v>
      </c>
      <c r="AE482" s="19" t="n">
        <v>0.1583</v>
      </c>
      <c r="AF482" s="19" t="n">
        <v>-0.1319</v>
      </c>
      <c r="AG482" s="19" t="n">
        <v>0.0182</v>
      </c>
      <c r="AH482" s="23" t="n">
        <v>0.06</v>
      </c>
      <c r="AI482" s="23" t="n">
        <v>2.75</v>
      </c>
      <c r="AJ482" s="19" t="n">
        <v>0.0547</v>
      </c>
    </row>
    <row r="483">
      <c r="A483" s="16" t="inlineStr">
        <is>
          <t>BALRAMCHIN</t>
        </is>
      </c>
      <c r="B483" s="16" t="inlineStr">
        <is>
          <t>Balrampur Chini Mills Ltd.</t>
        </is>
      </c>
      <c r="C483" s="16" t="inlineStr">
        <is>
          <t>Sugar</t>
        </is>
      </c>
      <c r="D483" s="16" t="inlineStr">
        <is>
          <t>Food, Beverages &amp; Tobacco</t>
        </is>
      </c>
      <c r="E483" s="16" t="inlineStr">
        <is>
          <t>INE119A01028</t>
        </is>
      </c>
      <c r="F483" s="17" t="n">
        <v>14612.92</v>
      </c>
      <c r="G483" s="18" t="n">
        <v>690.6</v>
      </c>
      <c r="H483" s="19" t="n">
        <v>-0.0195</v>
      </c>
      <c r="I483" s="20" t="n">
        <v>79</v>
      </c>
      <c r="J483" s="16" t="inlineStr">
        <is>
          <t>amber</t>
        </is>
      </c>
      <c r="K483" s="20" t="n">
        <v>3</v>
      </c>
      <c r="L483" s="18" t="n">
        <v>54.73</v>
      </c>
      <c r="M483" s="18" t="n">
        <v>675.77</v>
      </c>
      <c r="N483" s="18" t="n">
        <v>624.04</v>
      </c>
      <c r="O483" s="18" t="n">
        <v>516.46</v>
      </c>
      <c r="P483" s="18" t="n">
        <v>767.1</v>
      </c>
      <c r="Q483" s="18" t="n">
        <v>397.8</v>
      </c>
      <c r="R483" s="21">
        <f>IF(OR(G483="",P483=""),"",G483/P483-1)</f>
        <v/>
      </c>
      <c r="S483" s="19" t="n">
        <v>0.4345000000000001</v>
      </c>
      <c r="T483" s="22" t="n">
        <v>0.0425</v>
      </c>
      <c r="U483" s="16" t="inlineStr">
        <is>
          <t>Yes</t>
        </is>
      </c>
      <c r="V483" s="16" t="inlineStr">
        <is>
          <t>Yes</t>
        </is>
      </c>
      <c r="W483" s="16" t="inlineStr">
        <is>
          <t>Yes</t>
        </is>
      </c>
      <c r="X483" s="16" t="inlineStr">
        <is>
          <t>Yes</t>
        </is>
      </c>
      <c r="Y483" s="20" t="n">
        <v>92</v>
      </c>
      <c r="Z483" s="19" t="n">
        <v>0.2083</v>
      </c>
      <c r="AA483" s="18" t="n">
        <v>41.32</v>
      </c>
      <c r="AB483" s="16" t="inlineStr">
        <is>
          <t>Average</t>
        </is>
      </c>
      <c r="AC483" s="16" t="inlineStr">
        <is>
          <t>No</t>
        </is>
      </c>
      <c r="AD483" s="19" t="n">
        <v>0.1213</v>
      </c>
      <c r="AE483" s="19" t="n">
        <v>0.114</v>
      </c>
      <c r="AF483" s="19" t="n">
        <v>0.1921</v>
      </c>
      <c r="AG483" s="19" t="n">
        <v>0.1083</v>
      </c>
      <c r="AH483" s="23" t="n">
        <v>0.77</v>
      </c>
      <c r="AI483" s="23" t="n">
        <v>1.44</v>
      </c>
      <c r="AJ483" s="19" t="n">
        <v>0.4016</v>
      </c>
    </row>
    <row r="484">
      <c r="A484" s="16" t="inlineStr">
        <is>
          <t>CARTRADE</t>
        </is>
      </c>
      <c r="B484" s="16" t="inlineStr">
        <is>
          <t>CarTrade Tech Ltd.</t>
        </is>
      </c>
      <c r="C484" s="16" t="inlineStr">
        <is>
          <t>Internet &amp; Catalogue Retail</t>
        </is>
      </c>
      <c r="D484" s="16" t="inlineStr">
        <is>
          <t>Retailing</t>
        </is>
      </c>
      <c r="E484" s="16" t="inlineStr">
        <is>
          <t>INE290S01011</t>
        </is>
      </c>
      <c r="F484" s="17" t="n">
        <v>14554.57</v>
      </c>
      <c r="G484" s="18" t="n">
        <v>3000.2</v>
      </c>
      <c r="H484" s="19" t="n">
        <v>0.0027</v>
      </c>
      <c r="I484" s="20" t="n">
        <v>77</v>
      </c>
      <c r="J484" s="16" t="inlineStr">
        <is>
          <t>amber</t>
        </is>
      </c>
      <c r="K484" s="20" t="n">
        <v>2</v>
      </c>
      <c r="L484" s="18" t="n">
        <v>65.25</v>
      </c>
      <c r="M484" s="18" t="n">
        <v>3015.41</v>
      </c>
      <c r="N484" s="18" t="n">
        <v>2841</v>
      </c>
      <c r="O484" s="18" t="n">
        <v>2377.36</v>
      </c>
      <c r="P484" s="18" t="n">
        <v>3268</v>
      </c>
      <c r="Q484" s="18" t="n">
        <v>1623.4</v>
      </c>
      <c r="R484" s="21">
        <f>IF(OR(G484="",P484=""),"",G484/P484-1)</f>
        <v/>
      </c>
      <c r="S484" s="19" t="n">
        <v>0.5395</v>
      </c>
      <c r="T484" s="22" t="n">
        <v>-0.001</v>
      </c>
      <c r="U484" s="16" t="inlineStr">
        <is>
          <t>No</t>
        </is>
      </c>
      <c r="V484" s="16" t="inlineStr">
        <is>
          <t>Yes</t>
        </is>
      </c>
      <c r="W484" s="16" t="inlineStr">
        <is>
          <t>No</t>
        </is>
      </c>
      <c r="X484" s="16" t="inlineStr">
        <is>
          <t>Yes</t>
        </is>
      </c>
      <c r="Y484" s="20" t="n">
        <v>32</v>
      </c>
      <c r="Z484" s="19" t="n">
        <v>0.195</v>
      </c>
      <c r="AA484" s="18" t="n">
        <v>55.92</v>
      </c>
      <c r="AB484" s="16" t="inlineStr">
        <is>
          <t>Good</t>
        </is>
      </c>
      <c r="AC484" s="16" t="inlineStr">
        <is>
          <t>No</t>
        </is>
      </c>
      <c r="AD484" s="19" t="n">
        <v>0.0524</v>
      </c>
      <c r="AE484" s="19" t="n">
        <v>0.0803</v>
      </c>
      <c r="AF484" s="19" t="n">
        <v>2.8363</v>
      </c>
      <c r="AG484" s="19" t="n">
        <v>0.2909</v>
      </c>
      <c r="AH484" s="23" t="n">
        <v>0.06</v>
      </c>
      <c r="AI484" s="23" t="n">
        <v>3.93</v>
      </c>
      <c r="AJ484" s="19" t="n">
        <v>0.0063</v>
      </c>
    </row>
    <row r="485">
      <c r="A485" s="16" t="inlineStr">
        <is>
          <t>JSWDULUX</t>
        </is>
      </c>
      <c r="B485" s="16" t="inlineStr">
        <is>
          <t>JSW Dulux Ltd.</t>
        </is>
      </c>
      <c r="C485" s="16" t="inlineStr">
        <is>
          <t>Paints</t>
        </is>
      </c>
      <c r="D485" s="16" t="inlineStr">
        <is>
          <t>Consumer Durables</t>
        </is>
      </c>
      <c r="E485" s="16" t="inlineStr">
        <is>
          <t>INE133A01011</t>
        </is>
      </c>
      <c r="F485" s="17" t="n">
        <v>14538.58</v>
      </c>
      <c r="G485" s="18" t="n">
        <v>3174.5</v>
      </c>
      <c r="H485" s="19" t="n">
        <v>0.0022</v>
      </c>
      <c r="I485" s="20" t="n">
        <v>42</v>
      </c>
      <c r="J485" s="16" t="inlineStr">
        <is>
          <t>red</t>
        </is>
      </c>
      <c r="K485" s="20" t="n">
        <v>108</v>
      </c>
      <c r="L485" s="18" t="n">
        <v>57.96</v>
      </c>
      <c r="M485" s="18" t="n">
        <v>3142.56</v>
      </c>
      <c r="N485" s="18" t="n">
        <v>3068.66</v>
      </c>
      <c r="O485" s="18" t="n">
        <v>3034.54</v>
      </c>
      <c r="P485" s="18" t="n">
        <v>3578.16</v>
      </c>
      <c r="Q485" s="18" t="n">
        <v>2672.86</v>
      </c>
      <c r="R485" s="21">
        <f>IF(OR(G485="",P485=""),"",G485/P485-1)</f>
        <v/>
      </c>
      <c r="S485" s="19" t="n">
        <v>1.4389</v>
      </c>
      <c r="T485" s="22" t="n">
        <v>-0.004099999999999999</v>
      </c>
      <c r="U485" s="16" t="inlineStr">
        <is>
          <t>No</t>
        </is>
      </c>
      <c r="V485" s="16" t="inlineStr">
        <is>
          <t>Yes</t>
        </is>
      </c>
      <c r="W485" s="16" t="inlineStr">
        <is>
          <t>Yes</t>
        </is>
      </c>
      <c r="X485" s="16" t="inlineStr">
        <is>
          <t>Yes</t>
        </is>
      </c>
      <c r="Y485" s="20" t="n">
        <v>28</v>
      </c>
      <c r="Z485" s="19" t="n">
        <v>0.0112</v>
      </c>
      <c r="AA485" s="18" t="n">
        <v>76.09999999999999</v>
      </c>
      <c r="AB485" s="16" t="inlineStr">
        <is>
          <t>High</t>
        </is>
      </c>
      <c r="AC485" s="16" t="inlineStr">
        <is>
          <t>No</t>
        </is>
      </c>
      <c r="AD485" s="19" t="n">
        <v>0.4829</v>
      </c>
      <c r="AE485" s="19" t="n">
        <v>0.5914</v>
      </c>
      <c r="AF485" s="19" t="n">
        <v>1.2919</v>
      </c>
      <c r="AG485" s="19" t="n">
        <v>-0.015</v>
      </c>
      <c r="AH485" s="23" t="n">
        <v>0.03</v>
      </c>
      <c r="AI485" s="23" t="n">
        <v>7.02</v>
      </c>
      <c r="AJ485" s="19" t="n">
        <v>0.0965</v>
      </c>
    </row>
    <row r="486">
      <c r="A486" s="16" t="inlineStr">
        <is>
          <t>SPLPETRO</t>
        </is>
      </c>
      <c r="B486" s="16" t="inlineStr">
        <is>
          <t>Supreme Petrochem Ltd.</t>
        </is>
      </c>
      <c r="C486" s="16" t="inlineStr">
        <is>
          <t>Petrochemicals</t>
        </is>
      </c>
      <c r="D486" s="16" t="inlineStr">
        <is>
          <t>Chemicals &amp; Petrochemicals</t>
        </is>
      </c>
      <c r="E486" s="16" t="inlineStr">
        <is>
          <t>INE663A01033</t>
        </is>
      </c>
      <c r="F486" s="17" t="n">
        <v>14498.92</v>
      </c>
      <c r="G486" s="18" t="n">
        <v>771.05</v>
      </c>
      <c r="H486" s="19" t="n">
        <v>0.0623</v>
      </c>
      <c r="I486" s="20" t="n">
        <v>60</v>
      </c>
      <c r="J486" s="16" t="inlineStr">
        <is>
          <t>amber</t>
        </is>
      </c>
      <c r="K486" s="20" t="n">
        <v>1</v>
      </c>
      <c r="L486" s="18" t="n">
        <v>64.39</v>
      </c>
      <c r="M486" s="18" t="n">
        <v>720.92</v>
      </c>
      <c r="N486" s="18" t="n">
        <v>716.22</v>
      </c>
      <c r="O486" s="18" t="n">
        <v>675.8</v>
      </c>
      <c r="P486" s="18" t="n">
        <v>857.77</v>
      </c>
      <c r="Q486" s="18" t="n">
        <v>495.99</v>
      </c>
      <c r="R486" s="21">
        <f>IF(OR(G486="",P486=""),"",G486/P486-1)</f>
        <v/>
      </c>
      <c r="S486" s="19" t="n">
        <v>7.1364</v>
      </c>
      <c r="T486" s="22" t="n">
        <v>0.0014</v>
      </c>
      <c r="U486" s="16" t="inlineStr">
        <is>
          <t>Yes</t>
        </is>
      </c>
      <c r="V486" s="16" t="inlineStr">
        <is>
          <t>Yes</t>
        </is>
      </c>
      <c r="W486" s="16" t="inlineStr">
        <is>
          <t>Yes</t>
        </is>
      </c>
      <c r="X486" s="16" t="inlineStr">
        <is>
          <t>Yes</t>
        </is>
      </c>
      <c r="Y486" s="20" t="n">
        <v>90</v>
      </c>
      <c r="Z486" s="19" t="n">
        <v>0.05980000000000001</v>
      </c>
      <c r="AA486" s="18" t="n">
        <v>40</v>
      </c>
      <c r="AB486" s="16" t="inlineStr">
        <is>
          <t>Weak</t>
        </is>
      </c>
      <c r="AC486" s="16" t="inlineStr">
        <is>
          <t>No</t>
        </is>
      </c>
      <c r="AD486" s="19" t="n">
        <v>0.1617</v>
      </c>
      <c r="AE486" s="19" t="n">
        <v>0.2117</v>
      </c>
      <c r="AF486" s="19" t="n">
        <v>-0.1114</v>
      </c>
      <c r="AG486" s="19" t="n">
        <v>0.0121</v>
      </c>
      <c r="AH486" s="23" t="n">
        <v>0.06</v>
      </c>
      <c r="AI486" s="23" t="n">
        <v>3.45</v>
      </c>
      <c r="AJ486" s="19" t="n">
        <v>0.0503</v>
      </c>
    </row>
    <row r="487">
      <c r="A487" s="16" t="inlineStr">
        <is>
          <t>INDGN</t>
        </is>
      </c>
      <c r="B487" s="16" t="inlineStr">
        <is>
          <t>Indegene Ltd.</t>
        </is>
      </c>
      <c r="C487" s="16" t="inlineStr">
        <is>
          <t>Healthcare Services</t>
        </is>
      </c>
      <c r="D487" s="16" t="inlineStr">
        <is>
          <t>Healthcare</t>
        </is>
      </c>
      <c r="E487" s="16" t="inlineStr">
        <is>
          <t>INE065X01017</t>
        </is>
      </c>
      <c r="F487" s="17" t="n">
        <v>14490.97</v>
      </c>
      <c r="G487" s="18" t="n">
        <v>601.5</v>
      </c>
      <c r="H487" s="19" t="n">
        <v>0.0022</v>
      </c>
      <c r="I487" s="20" t="n">
        <v>63</v>
      </c>
      <c r="J487" s="16" t="inlineStr">
        <is>
          <t>amber</t>
        </is>
      </c>
      <c r="K487" s="20" t="n">
        <v>5</v>
      </c>
      <c r="L487" s="18" t="n">
        <v>74.8</v>
      </c>
      <c r="M487" s="18" t="n">
        <v>591.86</v>
      </c>
      <c r="N487" s="18" t="n">
        <v>537.78</v>
      </c>
      <c r="O487" s="18" t="n">
        <v>508</v>
      </c>
      <c r="P487" s="18" t="n">
        <v>611.65</v>
      </c>
      <c r="Q487" s="18" t="n">
        <v>421.65</v>
      </c>
      <c r="R487" s="21">
        <f>IF(OR(G487="",P487=""),"",G487/P487-1)</f>
        <v/>
      </c>
      <c r="S487" s="19" t="n">
        <v>0.9337000000000001</v>
      </c>
      <c r="T487" s="22" t="n">
        <v>0.0097</v>
      </c>
      <c r="U487" s="16" t="inlineStr">
        <is>
          <t>Yes</t>
        </is>
      </c>
      <c r="V487" s="16" t="inlineStr">
        <is>
          <t>Yes</t>
        </is>
      </c>
      <c r="W487" s="16" t="inlineStr">
        <is>
          <t>Yes</t>
        </is>
      </c>
      <c r="X487" s="16" t="inlineStr">
        <is>
          <t>Yes</t>
        </is>
      </c>
      <c r="Y487" s="20" t="n">
        <v>54</v>
      </c>
      <c r="Z487" s="19" t="n">
        <v>0.05860000000000001</v>
      </c>
      <c r="AA487" s="18" t="n">
        <v>69.44</v>
      </c>
      <c r="AB487" s="16" t="inlineStr">
        <is>
          <t>High</t>
        </is>
      </c>
      <c r="AC487" s="16" t="inlineStr">
        <is>
          <t>No</t>
        </is>
      </c>
      <c r="AD487" s="19" t="n">
        <v>0.173</v>
      </c>
      <c r="AE487" s="19" t="n">
        <v>0.2112</v>
      </c>
      <c r="AF487" s="19" t="n">
        <v>0.1505</v>
      </c>
      <c r="AG487" s="19" t="n">
        <v>0.1519</v>
      </c>
      <c r="AH487" s="23" t="n">
        <v>0.05</v>
      </c>
      <c r="AI487" s="23" t="n">
        <v>17.06</v>
      </c>
      <c r="AJ487" s="19" t="n">
        <v>0.0573</v>
      </c>
    </row>
    <row r="488">
      <c r="A488" s="16" t="inlineStr">
        <is>
          <t>SIGMAADV</t>
        </is>
      </c>
      <c r="B488" s="16" t="inlineStr">
        <is>
          <t>Sigma Advanced Systems Ltd.</t>
        </is>
      </c>
      <c r="C488" s="16" t="inlineStr">
        <is>
          <t>Aerospace &amp; Defence</t>
        </is>
      </c>
      <c r="D488" s="16" t="inlineStr">
        <is>
          <t>General Industrials</t>
        </is>
      </c>
      <c r="E488" s="16" t="inlineStr">
        <is>
          <t>INE933B01012</t>
        </is>
      </c>
      <c r="F488" s="17" t="n">
        <v>14480.19</v>
      </c>
      <c r="G488" s="18" t="n">
        <v>762.4</v>
      </c>
      <c r="H488" s="19" t="n">
        <v>0.0101</v>
      </c>
      <c r="I488" s="20" t="n">
        <v>99</v>
      </c>
      <c r="J488" s="16" t="inlineStr">
        <is>
          <t>green</t>
        </is>
      </c>
      <c r="K488" s="20" t="n">
        <v>323</v>
      </c>
      <c r="L488" s="18" t="n">
        <v>72.53</v>
      </c>
      <c r="M488" s="18" t="n">
        <v>765.08</v>
      </c>
      <c r="N488" s="18" t="n">
        <v>633.22</v>
      </c>
      <c r="O488" s="18" t="n">
        <v>342.36</v>
      </c>
      <c r="P488" s="18" t="n">
        <v>781.95</v>
      </c>
      <c r="Q488" s="18" t="n">
        <v>138.73</v>
      </c>
      <c r="R488" s="21">
        <f>IF(OR(G488="",P488=""),"",G488/P488-1)</f>
        <v/>
      </c>
      <c r="S488" s="19" t="n">
        <v>0.3687</v>
      </c>
      <c r="T488" s="22" t="n">
        <v>0.1772</v>
      </c>
      <c r="U488" s="16" t="inlineStr">
        <is>
          <t>Yes</t>
        </is>
      </c>
      <c r="V488" s="16" t="inlineStr">
        <is>
          <t>Yes</t>
        </is>
      </c>
      <c r="W488" s="16" t="inlineStr">
        <is>
          <t>No</t>
        </is>
      </c>
      <c r="X488" s="16" t="inlineStr">
        <is>
          <t>Yes</t>
        </is>
      </c>
      <c r="Y488" s="20" t="n">
        <v>310</v>
      </c>
      <c r="Z488" s="19" t="n">
        <v>0.8495999999999999</v>
      </c>
      <c r="AA488" s="18" t="n">
        <v>62.93</v>
      </c>
      <c r="AB488" s="16" t="inlineStr">
        <is>
          <t>Good</t>
        </is>
      </c>
      <c r="AC488" s="16" t="inlineStr">
        <is>
          <t>No</t>
        </is>
      </c>
      <c r="AD488" s="19" t="n">
        <v>0.1348</v>
      </c>
      <c r="AE488" s="19" t="n">
        <v>0.2201</v>
      </c>
      <c r="AF488" s="19" t="n">
        <v>6.118300000000001</v>
      </c>
      <c r="AG488" s="19" t="n">
        <v>1.2908</v>
      </c>
      <c r="AH488" s="23" t="n">
        <v>0.71</v>
      </c>
      <c r="AI488" s="23" t="n">
        <v>1.84</v>
      </c>
      <c r="AJ488" s="19" t="n">
        <v>0.0343</v>
      </c>
    </row>
    <row r="489">
      <c r="A489" s="16" t="inlineStr">
        <is>
          <t>ATLANTAELE</t>
        </is>
      </c>
      <c r="B489" s="16" t="inlineStr">
        <is>
          <t>Atlanta Electricals Ltd.</t>
        </is>
      </c>
      <c r="C489" s="16" t="inlineStr">
        <is>
          <t>Heavy Electrical Equipment</t>
        </is>
      </c>
      <c r="D489" s="16" t="inlineStr">
        <is>
          <t>General Industrials</t>
        </is>
      </c>
      <c r="E489" s="16" t="inlineStr">
        <is>
          <t>INE0Z4F01028</t>
        </is>
      </c>
      <c r="F489" s="17" t="n">
        <v>14469.63</v>
      </c>
      <c r="G489" s="18" t="n">
        <v>1881.7</v>
      </c>
      <c r="H489" s="19" t="n">
        <v>-0.0025</v>
      </c>
      <c r="I489" s="20" t="n">
        <v>86</v>
      </c>
      <c r="J489" s="16" t="inlineStr">
        <is>
          <t>green</t>
        </is>
      </c>
      <c r="K489" s="20" t="n">
        <v>18</v>
      </c>
      <c r="L489" s="18" t="n">
        <v>56.97</v>
      </c>
      <c r="M489" s="18" t="n">
        <v>1800.76</v>
      </c>
      <c r="N489" s="18" t="n">
        <v>1694.23</v>
      </c>
      <c r="O489" s="18" t="n">
        <v>1340.19</v>
      </c>
      <c r="P489" s="18" t="n">
        <v>2151.5</v>
      </c>
      <c r="Q489" s="18" t="n">
        <v>726.3</v>
      </c>
      <c r="R489" s="21">
        <f>IF(OR(G489="",P489=""),"",G489/P489-1)</f>
        <v/>
      </c>
      <c r="S489" s="19" t="n">
        <v>0.6739000000000001</v>
      </c>
      <c r="T489" s="22" t="n">
        <v>0.0592</v>
      </c>
      <c r="U489" s="16" t="inlineStr">
        <is>
          <t>Yes</t>
        </is>
      </c>
      <c r="V489" s="16" t="inlineStr">
        <is>
          <t>Yes</t>
        </is>
      </c>
      <c r="W489" s="16" t="inlineStr">
        <is>
          <t>Yes</t>
        </is>
      </c>
      <c r="X489" s="16" t="inlineStr">
        <is>
          <t>Yes</t>
        </is>
      </c>
      <c r="Y489" s="20" t="n">
        <v>35</v>
      </c>
      <c r="Z489" s="19" t="n">
        <v>0.2642</v>
      </c>
      <c r="AA489" s="18" t="n">
        <v>79.42</v>
      </c>
      <c r="AB489" s="16" t="inlineStr">
        <is>
          <t>High</t>
        </is>
      </c>
      <c r="AC489" s="16" t="inlineStr">
        <is>
          <t>No</t>
        </is>
      </c>
      <c r="AD489" s="19" t="n">
        <v>0.2781</v>
      </c>
      <c r="AE489" s="19" t="n">
        <v>0.3554</v>
      </c>
      <c r="AF489" s="19" t="n">
        <v>0.4088000000000001</v>
      </c>
      <c r="AG489" s="19" t="n">
        <v>0.3093</v>
      </c>
      <c r="AH489" s="23" t="n">
        <v>0.05</v>
      </c>
      <c r="AI489" s="23" t="n">
        <v>3.62</v>
      </c>
      <c r="AJ489" s="19" t="n">
        <v>0.0579</v>
      </c>
    </row>
    <row r="490">
      <c r="A490" s="16" t="inlineStr">
        <is>
          <t>MANYAVAR</t>
        </is>
      </c>
      <c r="B490" s="16" t="inlineStr">
        <is>
          <t>Vedant Fashions Ltd.</t>
        </is>
      </c>
      <c r="C490" s="16" t="inlineStr">
        <is>
          <t>Specialty Retail</t>
        </is>
      </c>
      <c r="D490" s="16" t="inlineStr">
        <is>
          <t>Retailing</t>
        </is>
      </c>
      <c r="E490" s="16" t="inlineStr">
        <is>
          <t>INE825V01034</t>
        </is>
      </c>
      <c r="F490" s="17" t="n">
        <v>14437.76</v>
      </c>
      <c r="G490" s="18" t="n">
        <v>594.2</v>
      </c>
      <c r="H490" s="19" t="n">
        <v>0.0458</v>
      </c>
      <c r="I490" s="20" t="n">
        <v>72</v>
      </c>
      <c r="J490" s="16" t="inlineStr">
        <is>
          <t>amber</t>
        </is>
      </c>
      <c r="K490" s="20" t="n">
        <v>7</v>
      </c>
      <c r="L490" s="18" t="n">
        <v>75.23</v>
      </c>
      <c r="M490" s="18" t="n">
        <v>554.6900000000001</v>
      </c>
      <c r="N490" s="18" t="n">
        <v>467.2</v>
      </c>
      <c r="O490" s="18" t="n">
        <v>466.56</v>
      </c>
      <c r="P490" s="18" t="n">
        <v>750.8</v>
      </c>
      <c r="Q490" s="18" t="n">
        <v>337.1</v>
      </c>
      <c r="R490" s="21">
        <f>IF(OR(G490="",P490=""),"",G490/P490-1)</f>
        <v/>
      </c>
      <c r="S490" s="19" t="n">
        <v>0.349</v>
      </c>
      <c r="T490" s="22" t="n">
        <v>-0.0234</v>
      </c>
      <c r="U490" s="16" t="inlineStr">
        <is>
          <t>No</t>
        </is>
      </c>
      <c r="V490" s="16" t="inlineStr">
        <is>
          <t>Yes</t>
        </is>
      </c>
      <c r="W490" s="16" t="inlineStr">
        <is>
          <t>Yes</t>
        </is>
      </c>
      <c r="X490" s="16" t="inlineStr">
        <is>
          <t>Yes</t>
        </is>
      </c>
      <c r="Y490" s="20" t="n">
        <v>1</v>
      </c>
      <c r="Z490" s="19" t="n">
        <v>0.0014</v>
      </c>
      <c r="AA490" s="18" t="n">
        <v>40</v>
      </c>
      <c r="AB490" s="16" t="inlineStr">
        <is>
          <t>Weak</t>
        </is>
      </c>
      <c r="AC490" s="16" t="inlineStr">
        <is>
          <t>No</t>
        </is>
      </c>
      <c r="AD490" s="19" t="n">
        <v>0.2224</v>
      </c>
      <c r="AE490" s="19" t="n">
        <v>0.257</v>
      </c>
      <c r="AF490" s="19" t="n">
        <v>-0.04389999999999999</v>
      </c>
      <c r="AG490" s="19" t="n">
        <v>0.02</v>
      </c>
      <c r="AH490" s="23" t="n">
        <v>0.23</v>
      </c>
      <c r="AI490" s="23" t="n">
        <v>2.91</v>
      </c>
      <c r="AJ490" s="19" t="n">
        <v>0</v>
      </c>
    </row>
    <row r="491">
      <c r="A491" s="16" t="inlineStr">
        <is>
          <t>GRAPHITE</t>
        </is>
      </c>
      <c r="B491" s="16" t="inlineStr">
        <is>
          <t>Graphite India Ltd.</t>
        </is>
      </c>
      <c r="C491" s="16" t="inlineStr">
        <is>
          <t>Electrodes &amp; Refractories</t>
        </is>
      </c>
      <c r="D491" s="16" t="inlineStr">
        <is>
          <t>General Industrials</t>
        </is>
      </c>
      <c r="E491" s="16" t="inlineStr">
        <is>
          <t>INE371A01025</t>
        </is>
      </c>
      <c r="F491" s="17" t="n">
        <v>14332.75</v>
      </c>
      <c r="G491" s="18" t="n">
        <v>733.6</v>
      </c>
      <c r="H491" s="19" t="n">
        <v>0.0171</v>
      </c>
      <c r="I491" s="20" t="n">
        <v>69</v>
      </c>
      <c r="J491" s="16" t="inlineStr">
        <is>
          <t>amber</t>
        </is>
      </c>
      <c r="K491" s="20" t="n">
        <v>4</v>
      </c>
      <c r="L491" s="18" t="n">
        <v>51.35</v>
      </c>
      <c r="M491" s="18" t="n">
        <v>710.63</v>
      </c>
      <c r="N491" s="18" t="n">
        <v>671.26</v>
      </c>
      <c r="O491" s="18" t="n">
        <v>648.75</v>
      </c>
      <c r="P491" s="18" t="n">
        <v>766.04</v>
      </c>
      <c r="Q491" s="18" t="n">
        <v>509.46</v>
      </c>
      <c r="R491" s="21">
        <f>IF(OR(G491="",P491=""),"",G491/P491-1)</f>
        <v/>
      </c>
      <c r="S491" s="19" t="n">
        <v>0.7759</v>
      </c>
      <c r="T491" s="22" t="n">
        <v>0.0222</v>
      </c>
      <c r="U491" s="16" t="inlineStr">
        <is>
          <t>Yes</t>
        </is>
      </c>
      <c r="V491" s="16" t="inlineStr">
        <is>
          <t>Yes</t>
        </is>
      </c>
      <c r="W491" s="16" t="inlineStr">
        <is>
          <t>Yes</t>
        </is>
      </c>
      <c r="X491" s="16" t="inlineStr">
        <is>
          <t>Yes</t>
        </is>
      </c>
      <c r="Y491" s="20" t="n">
        <v>302</v>
      </c>
      <c r="Z491" s="19" t="n">
        <v>0.0347</v>
      </c>
      <c r="AA491" s="18" t="n">
        <v>46.8</v>
      </c>
      <c r="AB491" s="16" t="inlineStr">
        <is>
          <t>Average</t>
        </is>
      </c>
      <c r="AC491" s="16" t="inlineStr">
        <is>
          <t>No</t>
        </is>
      </c>
      <c r="AD491" s="19" t="n">
        <v>0.0842</v>
      </c>
      <c r="AE491" s="19" t="n">
        <v>0.1071</v>
      </c>
      <c r="AF491" s="19" t="n">
        <v>0.67</v>
      </c>
      <c r="AG491" s="19" t="n">
        <v>-0.0229</v>
      </c>
      <c r="AH491" s="23" t="n">
        <v>0.06</v>
      </c>
      <c r="AI491" s="23" t="n">
        <v>2.53</v>
      </c>
      <c r="AJ491" s="19" t="n">
        <v>0.0538</v>
      </c>
    </row>
    <row r="492">
      <c r="A492" s="16" t="inlineStr">
        <is>
          <t>FRACTAL</t>
        </is>
      </c>
      <c r="B492" s="16" t="inlineStr">
        <is>
          <t>Fractal Analytics Ltd.</t>
        </is>
      </c>
      <c r="C492" s="16" t="inlineStr">
        <is>
          <t>Internet Software &amp; Services</t>
        </is>
      </c>
      <c r="D492" s="16" t="inlineStr">
        <is>
          <t>Software &amp; Services</t>
        </is>
      </c>
      <c r="E492" s="16" t="inlineStr">
        <is>
          <t>INE212S01015</t>
        </is>
      </c>
      <c r="F492" s="17" t="n">
        <v>14282.13</v>
      </c>
      <c r="G492" s="18" t="n">
        <v>825.45</v>
      </c>
      <c r="H492" s="19" t="n">
        <v>0.0098</v>
      </c>
      <c r="I492" s="20" t="n">
        <v>22</v>
      </c>
      <c r="J492" s="16" t="inlineStr">
        <is>
          <t>red</t>
        </is>
      </c>
      <c r="K492" s="20" t="n">
        <v>48</v>
      </c>
      <c r="L492" s="18" t="n">
        <v>52.67</v>
      </c>
      <c r="M492" s="18" t="n">
        <v>832.29</v>
      </c>
      <c r="N492" s="18" t="n">
        <v>836.65</v>
      </c>
      <c r="O492" s="18" t="n"/>
      <c r="P492" s="18" t="n">
        <v>1101.55</v>
      </c>
      <c r="Q492" s="18" t="n">
        <v>751.5</v>
      </c>
      <c r="R492" s="21">
        <f>IF(OR(G492="",P492=""),"",G492/P492-1)</f>
        <v/>
      </c>
      <c r="S492" s="19" t="n">
        <v>0.6413</v>
      </c>
      <c r="T492" s="22" t="n"/>
      <c r="U492" s="16" t="n"/>
      <c r="V492" s="16" t="inlineStr">
        <is>
          <t>No</t>
        </is>
      </c>
      <c r="W492" s="16" t="inlineStr">
        <is>
          <t>No</t>
        </is>
      </c>
      <c r="X492" s="16" t="n"/>
      <c r="Y492" s="20" t="n"/>
      <c r="Z492" s="19" t="n"/>
      <c r="AA492" s="18" t="n">
        <v>53.41</v>
      </c>
      <c r="AB492" s="16" t="inlineStr">
        <is>
          <t>Good</t>
        </is>
      </c>
      <c r="AC492" s="16" t="inlineStr">
        <is>
          <t>No</t>
        </is>
      </c>
      <c r="AD492" s="19" t="n">
        <v>0.0617</v>
      </c>
      <c r="AE492" s="19" t="n">
        <v>0.07969999999999999</v>
      </c>
      <c r="AF492" s="19" t="n">
        <v>1.5969</v>
      </c>
      <c r="AG492" s="19" t="n">
        <v>0.1862</v>
      </c>
      <c r="AH492" s="23" t="n">
        <v>0.13</v>
      </c>
      <c r="AI492" s="23" t="n">
        <v>16.19</v>
      </c>
      <c r="AJ492" s="19" t="n">
        <v>0</v>
      </c>
    </row>
    <row r="493">
      <c r="A493" s="16" t="inlineStr">
        <is>
          <t>NAZARA</t>
        </is>
      </c>
      <c r="B493" s="16" t="inlineStr">
        <is>
          <t>Nazara Technologies Ltd.</t>
        </is>
      </c>
      <c r="C493" s="16" t="inlineStr">
        <is>
          <t>Internet Software &amp; Services</t>
        </is>
      </c>
      <c r="D493" s="16" t="inlineStr">
        <is>
          <t>Software &amp; Services</t>
        </is>
      </c>
      <c r="E493" s="16" t="inlineStr">
        <is>
          <t>INE418L01047</t>
        </is>
      </c>
      <c r="F493" s="17" t="n">
        <v>14181.82</v>
      </c>
      <c r="G493" s="18" t="n">
        <v>368.65</v>
      </c>
      <c r="H493" s="19" t="n">
        <v>0.007800000000000001</v>
      </c>
      <c r="I493" s="20" t="n">
        <v>81</v>
      </c>
      <c r="J493" s="16" t="inlineStr">
        <is>
          <t>green</t>
        </is>
      </c>
      <c r="K493" s="20" t="n">
        <v>6</v>
      </c>
      <c r="L493" s="18" t="n">
        <v>64.90000000000001</v>
      </c>
      <c r="M493" s="18" t="n">
        <v>365.78</v>
      </c>
      <c r="N493" s="18" t="n">
        <v>331.38</v>
      </c>
      <c r="O493" s="18" t="n">
        <v>281.06</v>
      </c>
      <c r="P493" s="18" t="n">
        <v>374.6</v>
      </c>
      <c r="Q493" s="18" t="n">
        <v>217.65</v>
      </c>
      <c r="R493" s="21">
        <f>IF(OR(G493="",P493=""),"",G493/P493-1)</f>
        <v/>
      </c>
      <c r="S493" s="19" t="n">
        <v>0.373</v>
      </c>
      <c r="T493" s="22" t="n">
        <v>0.0337</v>
      </c>
      <c r="U493" s="16" t="inlineStr">
        <is>
          <t>Yes</t>
        </is>
      </c>
      <c r="V493" s="16" t="inlineStr">
        <is>
          <t>Yes</t>
        </is>
      </c>
      <c r="W493" s="16" t="inlineStr">
        <is>
          <t>Yes</t>
        </is>
      </c>
      <c r="X493" s="16" t="inlineStr">
        <is>
          <t>Yes</t>
        </is>
      </c>
      <c r="Y493" s="20" t="n">
        <v>66</v>
      </c>
      <c r="Z493" s="19" t="n">
        <v>0.1791</v>
      </c>
      <c r="AA493" s="18" t="n">
        <v>53.65</v>
      </c>
      <c r="AB493" s="16" t="inlineStr">
        <is>
          <t>Good</t>
        </is>
      </c>
      <c r="AC493" s="16" t="inlineStr">
        <is>
          <t>No</t>
        </is>
      </c>
      <c r="AD493" s="19" t="n">
        <v>0.0275</v>
      </c>
      <c r="AE493" s="19" t="n">
        <v>0.0338</v>
      </c>
      <c r="AF493" s="19" t="n">
        <v>3.7283</v>
      </c>
      <c r="AG493" s="19" t="n">
        <v>0.1987</v>
      </c>
      <c r="AH493" s="23" t="n">
        <v>0.06</v>
      </c>
      <c r="AI493" s="23" t="n">
        <v>12.57</v>
      </c>
      <c r="AJ493" s="19" t="n">
        <v>0.007900000000000001</v>
      </c>
    </row>
    <row r="494">
      <c r="A494" s="16" t="inlineStr">
        <is>
          <t>KSB</t>
        </is>
      </c>
      <c r="B494" s="16" t="inlineStr">
        <is>
          <t>KSB Ltd.</t>
        </is>
      </c>
      <c r="C494" s="16" t="inlineStr">
        <is>
          <t>Compressors &amp; Pumps</t>
        </is>
      </c>
      <c r="D494" s="16" t="inlineStr">
        <is>
          <t>General Industrials</t>
        </is>
      </c>
      <c r="E494" s="16" t="inlineStr">
        <is>
          <t>INE999A01023</t>
        </is>
      </c>
      <c r="F494" s="17" t="n">
        <v>14158.96</v>
      </c>
      <c r="G494" s="18" t="n">
        <v>813.55</v>
      </c>
      <c r="H494" s="19" t="n">
        <v>0.0036</v>
      </c>
      <c r="I494" s="20" t="n">
        <v>43</v>
      </c>
      <c r="J494" s="16" t="inlineStr">
        <is>
          <t>red</t>
        </is>
      </c>
      <c r="K494" s="20" t="n">
        <v>38</v>
      </c>
      <c r="L494" s="18" t="n">
        <v>58.08</v>
      </c>
      <c r="M494" s="18" t="n">
        <v>806.1900000000001</v>
      </c>
      <c r="N494" s="18" t="n">
        <v>857.12</v>
      </c>
      <c r="O494" s="18" t="n">
        <v>810.21</v>
      </c>
      <c r="P494" s="18" t="n">
        <v>995.13</v>
      </c>
      <c r="Q494" s="18" t="n">
        <v>676.66</v>
      </c>
      <c r="R494" s="21">
        <f>IF(OR(G494="",P494=""),"",G494/P494-1)</f>
        <v/>
      </c>
      <c r="S494" s="19" t="n">
        <v>0.4613</v>
      </c>
      <c r="T494" s="22" t="n">
        <v>0.0039</v>
      </c>
      <c r="U494" s="16" t="inlineStr">
        <is>
          <t>Yes</t>
        </is>
      </c>
      <c r="V494" s="16" t="inlineStr">
        <is>
          <t>No</t>
        </is>
      </c>
      <c r="W494" s="16" t="inlineStr">
        <is>
          <t>Yes</t>
        </is>
      </c>
      <c r="X494" s="16" t="inlineStr">
        <is>
          <t>Yes</t>
        </is>
      </c>
      <c r="Y494" s="20" t="n">
        <v>98</v>
      </c>
      <c r="Z494" s="19" t="n">
        <v>0.0579</v>
      </c>
      <c r="AA494" s="18" t="n">
        <v>68.94</v>
      </c>
      <c r="AB494" s="16" t="inlineStr">
        <is>
          <t>High</t>
        </is>
      </c>
      <c r="AC494" s="16" t="inlineStr">
        <is>
          <t>No</t>
        </is>
      </c>
      <c r="AD494" s="19" t="n">
        <v>0.1627</v>
      </c>
      <c r="AE494" s="19" t="n">
        <v>0.2196</v>
      </c>
      <c r="AF494" s="19" t="n">
        <v>0.1394</v>
      </c>
      <c r="AG494" s="19" t="n">
        <v>0.09630000000000001</v>
      </c>
      <c r="AH494" s="23" t="n">
        <v>0</v>
      </c>
      <c r="AI494" s="23" t="n">
        <v>5</v>
      </c>
      <c r="AJ494" s="19" t="n">
        <v>0.174</v>
      </c>
    </row>
    <row r="495">
      <c r="A495" s="16" t="inlineStr">
        <is>
          <t>ANURAS</t>
        </is>
      </c>
      <c r="B495" s="16" t="inlineStr">
        <is>
          <t>Anupam Rasayan India Ltd.</t>
        </is>
      </c>
      <c r="C495" s="16" t="inlineStr">
        <is>
          <t>Specialty Chemicals</t>
        </is>
      </c>
      <c r="D495" s="16" t="inlineStr">
        <is>
          <t>Chemicals &amp; Petrochemicals</t>
        </is>
      </c>
      <c r="E495" s="16" t="inlineStr">
        <is>
          <t>INE930P01018</t>
        </is>
      </c>
      <c r="F495" s="17" t="n">
        <v>14102.57</v>
      </c>
      <c r="G495" s="18" t="n">
        <v>1238.7</v>
      </c>
      <c r="H495" s="19" t="n">
        <v>-0.0012</v>
      </c>
      <c r="I495" s="20" t="n">
        <v>40</v>
      </c>
      <c r="J495" s="16" t="inlineStr">
        <is>
          <t>red</t>
        </is>
      </c>
      <c r="K495" s="20" t="n">
        <v>61</v>
      </c>
      <c r="L495" s="18" t="n">
        <v>69.79000000000001</v>
      </c>
      <c r="M495" s="18" t="n">
        <v>1253.7</v>
      </c>
      <c r="N495" s="18" t="n">
        <v>1243.13</v>
      </c>
      <c r="O495" s="18" t="n">
        <v>1279.35</v>
      </c>
      <c r="P495" s="18" t="n">
        <v>1376</v>
      </c>
      <c r="Q495" s="18" t="n">
        <v>1064.7</v>
      </c>
      <c r="R495" s="21">
        <f>IF(OR(G495="",P495=""),"",G495/P495-1)</f>
        <v/>
      </c>
      <c r="S495" s="19" t="n">
        <v>0.3215</v>
      </c>
      <c r="T495" s="22" t="n">
        <v>0.0119</v>
      </c>
      <c r="U495" s="16" t="inlineStr">
        <is>
          <t>Yes</t>
        </is>
      </c>
      <c r="V495" s="16" t="inlineStr">
        <is>
          <t>No</t>
        </is>
      </c>
      <c r="W495" s="16" t="inlineStr">
        <is>
          <t>No</t>
        </is>
      </c>
      <c r="X495" s="16" t="inlineStr">
        <is>
          <t>No</t>
        </is>
      </c>
      <c r="Y495" s="20" t="n">
        <v>20</v>
      </c>
      <c r="Z495" s="19" t="n">
        <v>-0.0283</v>
      </c>
      <c r="AA495" s="18" t="n">
        <v>22.52</v>
      </c>
      <c r="AB495" s="16" t="inlineStr">
        <is>
          <t>Poor</t>
        </is>
      </c>
      <c r="AC495" s="16" t="inlineStr">
        <is>
          <t>No</t>
        </is>
      </c>
      <c r="AD495" s="19" t="n">
        <v>0.0519</v>
      </c>
      <c r="AE495" s="19" t="n">
        <v>0.0888</v>
      </c>
      <c r="AF495" s="19" t="n">
        <v>-0.3009</v>
      </c>
      <c r="AG495" s="19" t="n">
        <v>-0.0524</v>
      </c>
      <c r="AH495" s="23" t="n">
        <v>0.49</v>
      </c>
      <c r="AI495" s="23" t="n">
        <v>0.58</v>
      </c>
      <c r="AJ495" s="19" t="n">
        <v>0.1542</v>
      </c>
    </row>
    <row r="496">
      <c r="A496" s="16" t="inlineStr">
        <is>
          <t>HEG</t>
        </is>
      </c>
      <c r="B496" s="16" t="inlineStr">
        <is>
          <t>HEG Ltd.</t>
        </is>
      </c>
      <c r="C496" s="16" t="inlineStr">
        <is>
          <t>Electrodes &amp; Refractories</t>
        </is>
      </c>
      <c r="D496" s="16" t="inlineStr">
        <is>
          <t>General Industrials</t>
        </is>
      </c>
      <c r="E496" s="16" t="inlineStr">
        <is>
          <t>INE545A01024</t>
        </is>
      </c>
      <c r="F496" s="17" t="n">
        <v>14053.59</v>
      </c>
      <c r="G496" s="18" t="n">
        <v>728.25</v>
      </c>
      <c r="H496" s="19" t="n">
        <v>0.0294</v>
      </c>
      <c r="I496" s="20" t="n">
        <v>82</v>
      </c>
      <c r="J496" s="16" t="inlineStr">
        <is>
          <t>green</t>
        </is>
      </c>
      <c r="K496" s="20" t="n">
        <v>1</v>
      </c>
      <c r="L496" s="18" t="n">
        <v>58.14</v>
      </c>
      <c r="M496" s="18" t="n">
        <v>720.24</v>
      </c>
      <c r="N496" s="18" t="n">
        <v>641.64</v>
      </c>
      <c r="O496" s="18" t="n">
        <v>577.23</v>
      </c>
      <c r="P496" s="18" t="n">
        <v>739.25</v>
      </c>
      <c r="Q496" s="18" t="n">
        <v>474.57</v>
      </c>
      <c r="R496" s="21">
        <f>IF(OR(G496="",P496=""),"",G496/P496-1)</f>
        <v/>
      </c>
      <c r="S496" s="19" t="n">
        <v>1.4389</v>
      </c>
      <c r="T496" s="22" t="n">
        <v>0.031</v>
      </c>
      <c r="U496" s="16" t="inlineStr">
        <is>
          <t>Yes</t>
        </is>
      </c>
      <c r="V496" s="16" t="inlineStr">
        <is>
          <t>Yes</t>
        </is>
      </c>
      <c r="W496" s="16" t="inlineStr">
        <is>
          <t>Yes</t>
        </is>
      </c>
      <c r="X496" s="16" t="inlineStr">
        <is>
          <t>Yes</t>
        </is>
      </c>
      <c r="Y496" s="20" t="n">
        <v>330</v>
      </c>
      <c r="Z496" s="19" t="n">
        <v>0.1116</v>
      </c>
      <c r="AA496" s="18" t="n">
        <v>37.33</v>
      </c>
      <c r="AB496" s="16" t="inlineStr">
        <is>
          <t>Weak</t>
        </is>
      </c>
      <c r="AC496" s="16" t="inlineStr">
        <is>
          <t>No</t>
        </is>
      </c>
      <c r="AD496" s="19" t="n">
        <v>0.05599999999999999</v>
      </c>
      <c r="AE496" s="19" t="n">
        <v>0.0672</v>
      </c>
      <c r="AF496" s="19" t="n">
        <v>0.3075</v>
      </c>
      <c r="AG496" s="19" t="n">
        <v>0.0231</v>
      </c>
      <c r="AH496" s="23" t="n">
        <v>0.17</v>
      </c>
      <c r="AI496" s="23" t="n">
        <v>1.25</v>
      </c>
      <c r="AJ496" s="19" t="n">
        <v>0.1266</v>
      </c>
    </row>
    <row r="497">
      <c r="A497" s="16" t="inlineStr">
        <is>
          <t>IGIL</t>
        </is>
      </c>
      <c r="B497" s="16" t="inlineStr">
        <is>
          <t>International Gemological Institute Ltd.</t>
        </is>
      </c>
      <c r="C497" s="16" t="inlineStr">
        <is>
          <t>Misc. Commercial Services</t>
        </is>
      </c>
      <c r="D497" s="16" t="inlineStr">
        <is>
          <t>Commercial Services &amp; Supplies</t>
        </is>
      </c>
      <c r="E497" s="16" t="inlineStr">
        <is>
          <t>INE0Q9301021</t>
        </is>
      </c>
      <c r="F497" s="17" t="n">
        <v>13980.37</v>
      </c>
      <c r="G497" s="18" t="n">
        <v>323.5</v>
      </c>
      <c r="H497" s="19" t="n">
        <v>-0.0075</v>
      </c>
      <c r="I497" s="20" t="n">
        <v>27</v>
      </c>
      <c r="J497" s="16" t="inlineStr">
        <is>
          <t>red</t>
        </is>
      </c>
      <c r="K497" s="20" t="n">
        <v>59</v>
      </c>
      <c r="L497" s="18" t="n">
        <v>26.66</v>
      </c>
      <c r="M497" s="18" t="n">
        <v>335.96</v>
      </c>
      <c r="N497" s="18" t="n">
        <v>344.22</v>
      </c>
      <c r="O497" s="18" t="n">
        <v>334.93</v>
      </c>
      <c r="P497" s="18" t="n">
        <v>380.47</v>
      </c>
      <c r="Q497" s="18" t="n">
        <v>286.61</v>
      </c>
      <c r="R497" s="21">
        <f>IF(OR(G497="",P497=""),"",G497/P497-1)</f>
        <v/>
      </c>
      <c r="S497" s="19" t="n">
        <v>0.6024</v>
      </c>
      <c r="T497" s="22" t="n">
        <v>0.001</v>
      </c>
      <c r="U497" s="16" t="inlineStr">
        <is>
          <t>Yes</t>
        </is>
      </c>
      <c r="V497" s="16" t="inlineStr">
        <is>
          <t>No</t>
        </is>
      </c>
      <c r="W497" s="16" t="inlineStr">
        <is>
          <t>No</t>
        </is>
      </c>
      <c r="X497" s="16" t="inlineStr">
        <is>
          <t>Yes</t>
        </is>
      </c>
      <c r="Y497" s="20" t="n">
        <v>85</v>
      </c>
      <c r="Z497" s="19" t="n">
        <v>0.0277</v>
      </c>
      <c r="AA497" s="18" t="n">
        <v>39.4</v>
      </c>
      <c r="AB497" s="16" t="inlineStr">
        <is>
          <t>Weak</t>
        </is>
      </c>
      <c r="AC497" s="16" t="inlineStr">
        <is>
          <t>No</t>
        </is>
      </c>
      <c r="AD497" s="19" t="n">
        <v>0.0526</v>
      </c>
      <c r="AE497" s="19" t="n">
        <v>-0.0509</v>
      </c>
      <c r="AF497" s="19" t="n">
        <v>0.171</v>
      </c>
      <c r="AG497" s="19" t="n">
        <v>0.09210000000000002</v>
      </c>
      <c r="AH497" s="23" t="n">
        <v>0.1</v>
      </c>
      <c r="AI497" s="23" t="n">
        <v>3.01</v>
      </c>
      <c r="AJ497" s="19" t="n">
        <v>0.1681</v>
      </c>
    </row>
    <row r="498">
      <c r="A498" s="16" t="inlineStr">
        <is>
          <t>EIDPARRY</t>
        </is>
      </c>
      <c r="B498" s="16" t="inlineStr">
        <is>
          <t>EID Parry (India) Ltd.</t>
        </is>
      </c>
      <c r="C498" s="16" t="inlineStr">
        <is>
          <t>Other Food &amp; Beverages</t>
        </is>
      </c>
      <c r="D498" s="16" t="inlineStr">
        <is>
          <t>Food, Beverages &amp; Tobacco</t>
        </is>
      </c>
      <c r="E498" s="16" t="inlineStr">
        <is>
          <t>INE126A01031</t>
        </is>
      </c>
      <c r="F498" s="17" t="n">
        <v>13904.57</v>
      </c>
      <c r="G498" s="18" t="n">
        <v>781.35</v>
      </c>
      <c r="H498" s="19" t="n">
        <v>0.004</v>
      </c>
      <c r="I498" s="20" t="n">
        <v>22</v>
      </c>
      <c r="J498" s="16" t="inlineStr">
        <is>
          <t>red</t>
        </is>
      </c>
      <c r="K498" s="20" t="n">
        <v>149</v>
      </c>
      <c r="L498" s="18" t="n">
        <v>46.65</v>
      </c>
      <c r="M498" s="18" t="n">
        <v>794.02</v>
      </c>
      <c r="N498" s="18" t="n">
        <v>775.49</v>
      </c>
      <c r="O498" s="18" t="n">
        <v>851.21</v>
      </c>
      <c r="P498" s="18" t="n">
        <v>1125.8</v>
      </c>
      <c r="Q498" s="18" t="n">
        <v>704.1</v>
      </c>
      <c r="R498" s="21">
        <f>IF(OR(G498="",P498=""),"",G498/P498-1)</f>
        <v/>
      </c>
      <c r="S498" s="19" t="n">
        <v>0.3745000000000001</v>
      </c>
      <c r="T498" s="22" t="n">
        <v>-0.029</v>
      </c>
      <c r="U498" s="16" t="inlineStr">
        <is>
          <t>No</t>
        </is>
      </c>
      <c r="V498" s="16" t="inlineStr">
        <is>
          <t>Yes</t>
        </is>
      </c>
      <c r="W498" s="16" t="inlineStr">
        <is>
          <t>No</t>
        </is>
      </c>
      <c r="X498" s="16" t="inlineStr">
        <is>
          <t>No</t>
        </is>
      </c>
      <c r="Y498" s="20" t="n">
        <v>161</v>
      </c>
      <c r="Z498" s="19" t="n">
        <v>-0.08900000000000001</v>
      </c>
      <c r="AA498" s="18" t="n">
        <v>40</v>
      </c>
      <c r="AB498" s="16" t="inlineStr">
        <is>
          <t>Weak</t>
        </is>
      </c>
      <c r="AC498" s="16" t="inlineStr">
        <is>
          <t>No</t>
        </is>
      </c>
      <c r="AD498" s="19" t="n">
        <v>0.1011</v>
      </c>
      <c r="AE498" s="19" t="n">
        <v>0.2088</v>
      </c>
      <c r="AF498" s="19" t="n">
        <v>-0.1427</v>
      </c>
      <c r="AG498" s="19" t="n">
        <v>0.09759999999999999</v>
      </c>
      <c r="AH498" s="23" t="n">
        <v>0.98</v>
      </c>
      <c r="AI498" s="23" t="n">
        <v>3.54</v>
      </c>
      <c r="AJ498" s="19" t="n">
        <v>0.0517</v>
      </c>
    </row>
    <row r="499">
      <c r="A499" s="16" t="inlineStr">
        <is>
          <t>APOLLO</t>
        </is>
      </c>
      <c r="B499" s="16" t="inlineStr">
        <is>
          <t>Apollo Micro Systems Ltd.</t>
        </is>
      </c>
      <c r="C499" s="16" t="inlineStr">
        <is>
          <t>Aerospace &amp; Defence</t>
        </is>
      </c>
      <c r="D499" s="16" t="inlineStr">
        <is>
          <t>General Industrials</t>
        </is>
      </c>
      <c r="E499" s="16" t="inlineStr">
        <is>
          <t>INE713T01028</t>
        </is>
      </c>
      <c r="F499" s="17" t="n">
        <v>13895.61</v>
      </c>
      <c r="G499" s="18" t="n">
        <v>388.9</v>
      </c>
      <c r="H499" s="19" t="n">
        <v>0.0147</v>
      </c>
      <c r="I499" s="20" t="n">
        <v>74</v>
      </c>
      <c r="J499" s="16" t="inlineStr">
        <is>
          <t>amber</t>
        </is>
      </c>
      <c r="K499" s="20" t="n">
        <v>8</v>
      </c>
      <c r="L499" s="18" t="n">
        <v>52.98</v>
      </c>
      <c r="M499" s="18" t="n">
        <v>385.28</v>
      </c>
      <c r="N499" s="18" t="n">
        <v>396.18</v>
      </c>
      <c r="O499" s="18" t="n">
        <v>308.01</v>
      </c>
      <c r="P499" s="18" t="n">
        <v>450.05</v>
      </c>
      <c r="Q499" s="18" t="n">
        <v>182.16</v>
      </c>
      <c r="R499" s="21">
        <f>IF(OR(G499="",P499=""),"",G499/P499-1)</f>
        <v/>
      </c>
      <c r="S499" s="19" t="n">
        <v>0.9829000000000001</v>
      </c>
      <c r="T499" s="22" t="n">
        <v>0.036</v>
      </c>
      <c r="U499" s="16" t="inlineStr">
        <is>
          <t>Yes</t>
        </is>
      </c>
      <c r="V499" s="16" t="inlineStr">
        <is>
          <t>No</t>
        </is>
      </c>
      <c r="W499" s="16" t="inlineStr">
        <is>
          <t>Yes</t>
        </is>
      </c>
      <c r="X499" s="16" t="inlineStr">
        <is>
          <t>Yes</t>
        </is>
      </c>
      <c r="Y499" s="20" t="n">
        <v>75</v>
      </c>
      <c r="Z499" s="19" t="n">
        <v>0.2863</v>
      </c>
      <c r="AA499" s="18" t="n">
        <v>51.99</v>
      </c>
      <c r="AB499" s="16" t="inlineStr">
        <is>
          <t>Average</t>
        </is>
      </c>
      <c r="AC499" s="16" t="inlineStr">
        <is>
          <t>No</t>
        </is>
      </c>
      <c r="AD499" s="19" t="n">
        <v>0.0796</v>
      </c>
      <c r="AE499" s="19" t="n">
        <v>0.1047</v>
      </c>
      <c r="AF499" s="19" t="n">
        <v>0.7338</v>
      </c>
      <c r="AG499" s="19" t="n">
        <v>0.4568</v>
      </c>
      <c r="AH499" s="23" t="n">
        <v>0.41</v>
      </c>
      <c r="AI499" s="23" t="n">
        <v>1.73</v>
      </c>
      <c r="AJ499" s="19" t="n">
        <v>0.3754999999999999</v>
      </c>
    </row>
    <row r="500">
      <c r="A500" s="16" t="inlineStr">
        <is>
          <t>PRUDENT</t>
        </is>
      </c>
      <c r="B500" s="16" t="inlineStr">
        <is>
          <t>Prudent Corporate Advisory Services Ltd.</t>
        </is>
      </c>
      <c r="C500" s="16" t="inlineStr">
        <is>
          <t>Other Financial Services</t>
        </is>
      </c>
      <c r="D500" s="16" t="inlineStr">
        <is>
          <t>Banking and Finance</t>
        </is>
      </c>
      <c r="E500" s="16" t="inlineStr">
        <is>
          <t>INE00F201020</t>
        </is>
      </c>
      <c r="F500" s="17" t="n">
        <v>13861.31</v>
      </c>
      <c r="G500" s="18" t="n">
        <v>3347.6</v>
      </c>
      <c r="H500" s="19" t="n">
        <v>0.005699999999999999</v>
      </c>
      <c r="I500" s="20" t="n">
        <v>77</v>
      </c>
      <c r="J500" s="16" t="inlineStr">
        <is>
          <t>amber</t>
        </is>
      </c>
      <c r="K500" s="20" t="n">
        <v>4</v>
      </c>
      <c r="L500" s="18" t="n">
        <v>50.44</v>
      </c>
      <c r="M500" s="18" t="n">
        <v>3397.51</v>
      </c>
      <c r="N500" s="18" t="n">
        <v>3169.88</v>
      </c>
      <c r="O500" s="18" t="n">
        <v>2721.86</v>
      </c>
      <c r="P500" s="18" t="n">
        <v>3674.4</v>
      </c>
      <c r="Q500" s="18" t="n">
        <v>2159.56</v>
      </c>
      <c r="R500" s="21">
        <f>IF(OR(G500="",P500=""),"",G500/P500-1)</f>
        <v/>
      </c>
      <c r="S500" s="19" t="n">
        <v>1.0097</v>
      </c>
      <c r="T500" s="22" t="n">
        <v>0.0292</v>
      </c>
      <c r="U500" s="16" t="inlineStr">
        <is>
          <t>Yes</t>
        </is>
      </c>
      <c r="V500" s="16" t="inlineStr">
        <is>
          <t>Yes</t>
        </is>
      </c>
      <c r="W500" s="16" t="inlineStr">
        <is>
          <t>No</t>
        </is>
      </c>
      <c r="X500" s="16" t="inlineStr">
        <is>
          <t>Yes</t>
        </is>
      </c>
      <c r="Y500" s="20" t="n">
        <v>70</v>
      </c>
      <c r="Z500" s="19" t="n">
        <v>0.1646</v>
      </c>
      <c r="AA500" s="18" t="n">
        <v>81.15000000000001</v>
      </c>
      <c r="AB500" s="16" t="inlineStr">
        <is>
          <t>High</t>
        </is>
      </c>
      <c r="AC500" s="16" t="inlineStr">
        <is>
          <t>Yes</t>
        </is>
      </c>
      <c r="AD500" s="19" t="n">
        <v>0.2776</v>
      </c>
      <c r="AE500" s="19" t="n">
        <v>0.361</v>
      </c>
      <c r="AF500" s="19" t="n">
        <v>0.2447</v>
      </c>
      <c r="AG500" s="19" t="n">
        <v>0.2949</v>
      </c>
      <c r="AH500" s="23" t="n">
        <v>0.04</v>
      </c>
      <c r="AI500" s="23" t="n">
        <v>20.54</v>
      </c>
      <c r="AJ500" s="19" t="n">
        <v>0.0211</v>
      </c>
    </row>
    <row r="501">
      <c r="A501" s="16" t="inlineStr">
        <is>
          <t>GALLANTT</t>
        </is>
      </c>
      <c r="B501" s="16" t="inlineStr">
        <is>
          <t>Gallantt Ispat Ltd.</t>
        </is>
      </c>
      <c r="C501" s="16" t="inlineStr">
        <is>
          <t>Iron &amp; Steel/Interm.Products</t>
        </is>
      </c>
      <c r="D501" s="16" t="inlineStr">
        <is>
          <t>Metals &amp; Mining</t>
        </is>
      </c>
      <c r="E501" s="16" t="inlineStr">
        <is>
          <t>INE297H01019</t>
        </is>
      </c>
      <c r="F501" s="17" t="n">
        <v>13849.52</v>
      </c>
      <c r="G501" s="18" t="n">
        <v>574</v>
      </c>
      <c r="H501" s="19" t="n">
        <v>0.0024</v>
      </c>
      <c r="I501" s="20" t="n">
        <v>32</v>
      </c>
      <c r="J501" s="16" t="inlineStr">
        <is>
          <t>red</t>
        </is>
      </c>
      <c r="K501" s="20" t="n">
        <v>45</v>
      </c>
      <c r="L501" s="18" t="n">
        <v>44.21</v>
      </c>
      <c r="M501" s="18" t="n">
        <v>570.04</v>
      </c>
      <c r="N501" s="18" t="n">
        <v>611.36</v>
      </c>
      <c r="O501" s="18" t="n">
        <v>626.59</v>
      </c>
      <c r="P501" s="18" t="n">
        <v>927.1</v>
      </c>
      <c r="Q501" s="18" t="n">
        <v>516.6</v>
      </c>
      <c r="R501" s="21">
        <f>IF(OR(G501="",P501=""),"",G501/P501-1)</f>
        <v/>
      </c>
      <c r="S501" s="19" t="n">
        <v>2.9086</v>
      </c>
      <c r="T501" s="22" t="n">
        <v>0.001</v>
      </c>
      <c r="U501" s="16" t="inlineStr">
        <is>
          <t>Yes</t>
        </is>
      </c>
      <c r="V501" s="16" t="inlineStr">
        <is>
          <t>No</t>
        </is>
      </c>
      <c r="W501" s="16" t="inlineStr">
        <is>
          <t>Yes</t>
        </is>
      </c>
      <c r="X501" s="16" t="inlineStr">
        <is>
          <t>No</t>
        </is>
      </c>
      <c r="Y501" s="20" t="n">
        <v>6</v>
      </c>
      <c r="Z501" s="19" t="n">
        <v>-0.0243</v>
      </c>
      <c r="AA501" s="18" t="n">
        <v>53.37</v>
      </c>
      <c r="AB501" s="16" t="inlineStr">
        <is>
          <t>Good</t>
        </is>
      </c>
      <c r="AC501" s="16" t="inlineStr">
        <is>
          <t>No</t>
        </is>
      </c>
      <c r="AD501" s="19" t="n">
        <v>0.1263</v>
      </c>
      <c r="AE501" s="19" t="n">
        <v>0.1553</v>
      </c>
      <c r="AF501" s="19" t="n">
        <v>0.5286999999999999</v>
      </c>
      <c r="AG501" s="19" t="n">
        <v>0.0308</v>
      </c>
      <c r="AH501" s="23" t="n">
        <v>0.17</v>
      </c>
      <c r="AI501" s="23" t="n">
        <v>2.08</v>
      </c>
      <c r="AJ501" s="19" t="n">
        <v>0.1645</v>
      </c>
    </row>
    <row r="502">
      <c r="A502" s="16" t="inlineStr">
        <is>
          <t>VISL</t>
        </is>
      </c>
      <c r="B502" s="16" t="inlineStr">
        <is>
          <t>Vedanta Iron and Steel Ltd.</t>
        </is>
      </c>
      <c r="C502" s="16" t="inlineStr">
        <is>
          <t>Iron &amp; Steel Products</t>
        </is>
      </c>
      <c r="D502" s="16" t="inlineStr">
        <is>
          <t>Metals &amp; Mining</t>
        </is>
      </c>
      <c r="E502" s="16" t="inlineStr">
        <is>
          <t>INE1CLE01013</t>
        </is>
      </c>
      <c r="F502" s="17" t="n">
        <v>13838.86</v>
      </c>
      <c r="G502" s="18" t="n">
        <v>35.39</v>
      </c>
      <c r="H502" s="19" t="n">
        <v>-0.0189</v>
      </c>
      <c r="I502" s="20" t="n"/>
      <c r="J502" s="16" t="n"/>
      <c r="K502" s="20" t="n"/>
      <c r="L502" s="18" t="n">
        <v>38.94</v>
      </c>
      <c r="M502" s="18" t="n">
        <v>37.14</v>
      </c>
      <c r="N502" s="18" t="n">
        <v>35.51</v>
      </c>
      <c r="O502" s="18" t="n"/>
      <c r="P502" s="18" t="n">
        <v>42.65</v>
      </c>
      <c r="Q502" s="18" t="n">
        <v>21.06</v>
      </c>
      <c r="R502" s="21">
        <f>IF(OR(G502="",P502=""),"",G502/P502-1)</f>
        <v/>
      </c>
      <c r="S502" s="19" t="n">
        <v>0.7884</v>
      </c>
      <c r="T502" s="22" t="n"/>
      <c r="U502" s="16" t="n"/>
      <c r="V502" s="16" t="inlineStr">
        <is>
          <t>No</t>
        </is>
      </c>
      <c r="W502" s="16" t="inlineStr">
        <is>
          <t>No</t>
        </is>
      </c>
      <c r="X502" s="16" t="n"/>
      <c r="Y502" s="20" t="n"/>
      <c r="Z502" s="19" t="n"/>
      <c r="AA502" s="18" t="n">
        <v>40</v>
      </c>
      <c r="AB502" s="16" t="inlineStr">
        <is>
          <t>Weak</t>
        </is>
      </c>
      <c r="AC502" s="16" t="inlineStr">
        <is>
          <t>No</t>
        </is>
      </c>
      <c r="AD502" s="19" t="n">
        <v>0.3282</v>
      </c>
      <c r="AE502" s="19" t="n">
        <v>0.0284</v>
      </c>
      <c r="AF502" s="19" t="n">
        <v>-2.3773</v>
      </c>
      <c r="AG502" s="19" t="n">
        <v>-0.0274</v>
      </c>
      <c r="AH502" s="23" t="n">
        <v>-2.44</v>
      </c>
      <c r="AI502" s="23" t="n">
        <v>1.34</v>
      </c>
      <c r="AJ502" s="19" t="n">
        <v>0.3146</v>
      </c>
    </row>
    <row r="503">
      <c r="A503" s="16" t="inlineStr">
        <is>
          <t>SCI</t>
        </is>
      </c>
      <c r="B503" s="16" t="inlineStr">
        <is>
          <t>Shipping Corporation of India Ltd.</t>
        </is>
      </c>
      <c r="C503" s="16" t="inlineStr">
        <is>
          <t>Shipping</t>
        </is>
      </c>
      <c r="D503" s="16" t="inlineStr">
        <is>
          <t>Transportation</t>
        </is>
      </c>
      <c r="E503" s="16" t="inlineStr">
        <is>
          <t>INE109A01011</t>
        </is>
      </c>
      <c r="F503" s="17" t="n">
        <v>13757.37</v>
      </c>
      <c r="G503" s="18" t="n">
        <v>295.35</v>
      </c>
      <c r="H503" s="19" t="n">
        <v>0.0048</v>
      </c>
      <c r="I503" s="20" t="n">
        <v>66</v>
      </c>
      <c r="J503" s="16" t="inlineStr">
        <is>
          <t>amber</t>
        </is>
      </c>
      <c r="K503" s="20" t="n">
        <v>14</v>
      </c>
      <c r="L503" s="18" t="n">
        <v>60.29</v>
      </c>
      <c r="M503" s="18" t="n">
        <v>291.1</v>
      </c>
      <c r="N503" s="18" t="n">
        <v>289.23</v>
      </c>
      <c r="O503" s="18" t="n">
        <v>265.58</v>
      </c>
      <c r="P503" s="18" t="n">
        <v>343.53</v>
      </c>
      <c r="Q503" s="18" t="n">
        <v>198.44</v>
      </c>
      <c r="R503" s="21">
        <f>IF(OR(G503="",P503=""),"",G503/P503-1)</f>
        <v/>
      </c>
      <c r="S503" s="19" t="n">
        <v>0.6194</v>
      </c>
      <c r="T503" s="22" t="n">
        <v>0.0148</v>
      </c>
      <c r="U503" s="16" t="inlineStr">
        <is>
          <t>Yes</t>
        </is>
      </c>
      <c r="V503" s="16" t="inlineStr">
        <is>
          <t>Yes</t>
        </is>
      </c>
      <c r="W503" s="16" t="inlineStr">
        <is>
          <t>Yes</t>
        </is>
      </c>
      <c r="X503" s="16" t="inlineStr">
        <is>
          <t>Yes</t>
        </is>
      </c>
      <c r="Y503" s="20" t="n">
        <v>292</v>
      </c>
      <c r="Z503" s="19" t="n">
        <v>0.08900000000000001</v>
      </c>
      <c r="AA503" s="18" t="n">
        <v>35.74</v>
      </c>
      <c r="AB503" s="16" t="inlineStr">
        <is>
          <t>Weak</t>
        </is>
      </c>
      <c r="AC503" s="16" t="inlineStr">
        <is>
          <t>No</t>
        </is>
      </c>
      <c r="AD503" s="19" t="n">
        <v>0.1134</v>
      </c>
      <c r="AE503" s="19" t="n">
        <v>0.1035</v>
      </c>
      <c r="AF503" s="19" t="n">
        <v>0.2089</v>
      </c>
      <c r="AG503" s="19" t="n">
        <v>0.005699999999999999</v>
      </c>
      <c r="AH503" s="23" t="n">
        <v>0.29</v>
      </c>
      <c r="AI503" s="23" t="n">
        <v>0.8</v>
      </c>
      <c r="AJ503" s="19" t="n">
        <v>0.0007000000000000001</v>
      </c>
    </row>
    <row r="504">
      <c r="A504" s="16" t="inlineStr">
        <is>
          <t>VENTIVE</t>
        </is>
      </c>
      <c r="B504" s="16" t="inlineStr">
        <is>
          <t>Ventive Hospitality Ltd.</t>
        </is>
      </c>
      <c r="C504" s="16" t="inlineStr">
        <is>
          <t>Hotels</t>
        </is>
      </c>
      <c r="D504" s="16" t="inlineStr">
        <is>
          <t>Hotels Restaurants &amp; Tourism</t>
        </is>
      </c>
      <c r="E504" s="16" t="inlineStr">
        <is>
          <t>INE781S01027</t>
        </is>
      </c>
      <c r="F504" s="17" t="n">
        <v>13736.92</v>
      </c>
      <c r="G504" s="18" t="n">
        <v>588.2</v>
      </c>
      <c r="H504" s="19" t="n">
        <v>0.0043</v>
      </c>
      <c r="I504" s="20" t="n">
        <v>15</v>
      </c>
      <c r="J504" s="16" t="inlineStr">
        <is>
          <t>red</t>
        </is>
      </c>
      <c r="K504" s="20" t="n">
        <v>123</v>
      </c>
      <c r="L504" s="18" t="n">
        <v>48.1</v>
      </c>
      <c r="M504" s="18" t="n">
        <v>587.8</v>
      </c>
      <c r="N504" s="18" t="n">
        <v>607.98</v>
      </c>
      <c r="O504" s="18" t="n">
        <v>663.0599999999999</v>
      </c>
      <c r="P504" s="18" t="n">
        <v>779.25</v>
      </c>
      <c r="Q504" s="18" t="n">
        <v>548.9</v>
      </c>
      <c r="R504" s="21">
        <f>IF(OR(G504="",P504=""),"",G504/P504-1)</f>
        <v/>
      </c>
      <c r="S504" s="19" t="n">
        <v>0.6327</v>
      </c>
      <c r="T504" s="22" t="n">
        <v>-0.0224</v>
      </c>
      <c r="U504" s="16" t="inlineStr">
        <is>
          <t>No</t>
        </is>
      </c>
      <c r="V504" s="16" t="inlineStr">
        <is>
          <t>No</t>
        </is>
      </c>
      <c r="W504" s="16" t="inlineStr">
        <is>
          <t>Yes</t>
        </is>
      </c>
      <c r="X504" s="16" t="inlineStr">
        <is>
          <t>No</t>
        </is>
      </c>
      <c r="Y504" s="20" t="n">
        <v>122</v>
      </c>
      <c r="Z504" s="19" t="n">
        <v>-0.08310000000000001</v>
      </c>
      <c r="AA504" s="18" t="n">
        <v>45.68</v>
      </c>
      <c r="AB504" s="16" t="inlineStr">
        <is>
          <t>Average</t>
        </is>
      </c>
      <c r="AC504" s="16" t="inlineStr">
        <is>
          <t>No</t>
        </is>
      </c>
      <c r="AD504" s="19" t="n">
        <v>0.0526</v>
      </c>
      <c r="AE504" s="19" t="n">
        <v>0.0762</v>
      </c>
      <c r="AF504" s="19" t="n">
        <v>4.5838</v>
      </c>
      <c r="AG504" s="19" t="n">
        <v>0.7191</v>
      </c>
      <c r="AH504" s="23" t="n">
        <v>0.47</v>
      </c>
      <c r="AI504" s="23" t="n">
        <v>0.42</v>
      </c>
      <c r="AJ504" s="19" t="n">
        <v>0.0413</v>
      </c>
    </row>
    <row r="505">
      <c r="A505" s="16" t="inlineStr">
        <is>
          <t>VINATIORGA</t>
        </is>
      </c>
      <c r="B505" s="16" t="inlineStr">
        <is>
          <t>Vinati Organics Ltd.</t>
        </is>
      </c>
      <c r="C505" s="16" t="inlineStr">
        <is>
          <t>Specialty Chemicals</t>
        </is>
      </c>
      <c r="D505" s="16" t="inlineStr">
        <is>
          <t>Chemicals &amp; Petrochemicals</t>
        </is>
      </c>
      <c r="E505" s="16" t="inlineStr">
        <is>
          <t>INE410B01037</t>
        </is>
      </c>
      <c r="F505" s="17" t="n">
        <v>13587.45</v>
      </c>
      <c r="G505" s="18" t="n">
        <v>1310.7</v>
      </c>
      <c r="H505" s="19" t="n">
        <v>-0.0023</v>
      </c>
      <c r="I505" s="20" t="n">
        <v>24</v>
      </c>
      <c r="J505" s="16" t="inlineStr">
        <is>
          <t>red</t>
        </is>
      </c>
      <c r="K505" s="20" t="n">
        <v>281</v>
      </c>
      <c r="L505" s="18" t="n">
        <v>26.64</v>
      </c>
      <c r="M505" s="18" t="n">
        <v>1318.57</v>
      </c>
      <c r="N505" s="18" t="n">
        <v>1322.46</v>
      </c>
      <c r="O505" s="18" t="n">
        <v>1409.76</v>
      </c>
      <c r="P505" s="18" t="n">
        <v>1787.1</v>
      </c>
      <c r="Q505" s="18" t="n">
        <v>1209</v>
      </c>
      <c r="R505" s="21">
        <f>IF(OR(G505="",P505=""),"",G505/P505-1)</f>
        <v/>
      </c>
      <c r="S505" s="19" t="n">
        <v>1.0458</v>
      </c>
      <c r="T505" s="22" t="n">
        <v>-0.0238</v>
      </c>
      <c r="U505" s="16" t="inlineStr">
        <is>
          <t>No</t>
        </is>
      </c>
      <c r="V505" s="16" t="inlineStr">
        <is>
          <t>No</t>
        </is>
      </c>
      <c r="W505" s="16" t="inlineStr">
        <is>
          <t>No</t>
        </is>
      </c>
      <c r="X505" s="16" t="inlineStr">
        <is>
          <t>No</t>
        </is>
      </c>
      <c r="Y505" s="20" t="n">
        <v>231</v>
      </c>
      <c r="Z505" s="19" t="n">
        <v>-0.0619</v>
      </c>
      <c r="AA505" s="18" t="n">
        <v>54.6</v>
      </c>
      <c r="AB505" s="16" t="inlineStr">
        <is>
          <t>Good</t>
        </is>
      </c>
      <c r="AC505" s="16" t="inlineStr">
        <is>
          <t>No</t>
        </is>
      </c>
      <c r="AD505" s="19" t="n">
        <v>0.1389</v>
      </c>
      <c r="AE505" s="19" t="n">
        <v>0.1842</v>
      </c>
      <c r="AF505" s="19" t="n">
        <v>0.0401</v>
      </c>
      <c r="AG505" s="19" t="n">
        <v>0.0318</v>
      </c>
      <c r="AH505" s="23" t="n">
        <v>0</v>
      </c>
      <c r="AI505" s="23" t="n">
        <v>0.95</v>
      </c>
      <c r="AJ505" s="19" t="n">
        <v>0.0917</v>
      </c>
    </row>
    <row r="506">
      <c r="A506" s="16" t="inlineStr">
        <is>
          <t>SOBHA</t>
        </is>
      </c>
      <c r="B506" s="16" t="inlineStr">
        <is>
          <t>Sobha Ltd.</t>
        </is>
      </c>
      <c r="C506" s="16" t="inlineStr">
        <is>
          <t>Realty</t>
        </is>
      </c>
      <c r="D506" s="16" t="inlineStr">
        <is>
          <t>Realty</t>
        </is>
      </c>
      <c r="E506" s="16" t="inlineStr">
        <is>
          <t>INE671H01015</t>
        </is>
      </c>
      <c r="F506" s="17" t="n">
        <v>13515.51</v>
      </c>
      <c r="G506" s="18" t="n">
        <v>1263.8</v>
      </c>
      <c r="H506" s="19" t="n">
        <v>0.0037</v>
      </c>
      <c r="I506" s="20" t="n">
        <v>24</v>
      </c>
      <c r="J506" s="16" t="inlineStr">
        <is>
          <t>red</t>
        </is>
      </c>
      <c r="K506" s="20" t="n">
        <v>122</v>
      </c>
      <c r="L506" s="18" t="n">
        <v>36.29</v>
      </c>
      <c r="M506" s="18" t="n">
        <v>1261.26</v>
      </c>
      <c r="N506" s="18" t="n">
        <v>1366.19</v>
      </c>
      <c r="O506" s="18" t="n">
        <v>1398.14</v>
      </c>
      <c r="P506" s="18" t="n">
        <v>1694.26</v>
      </c>
      <c r="Q506" s="18" t="n">
        <v>1152.08</v>
      </c>
      <c r="R506" s="21">
        <f>IF(OR(G506="",P506=""),"",G506/P506-1)</f>
        <v/>
      </c>
      <c r="S506" s="19" t="n">
        <v>0.8426</v>
      </c>
      <c r="T506" s="22" t="n">
        <v>-0.0207</v>
      </c>
      <c r="U506" s="16" t="inlineStr">
        <is>
          <t>No</t>
        </is>
      </c>
      <c r="V506" s="16" t="inlineStr">
        <is>
          <t>No</t>
        </is>
      </c>
      <c r="W506" s="16" t="inlineStr">
        <is>
          <t>Yes</t>
        </is>
      </c>
      <c r="X506" s="16" t="inlineStr">
        <is>
          <t>No</t>
        </is>
      </c>
      <c r="Y506" s="20" t="n">
        <v>152</v>
      </c>
      <c r="Z506" s="19" t="n">
        <v>-0.0228</v>
      </c>
      <c r="AA506" s="18" t="n">
        <v>46.9</v>
      </c>
      <c r="AB506" s="16" t="inlineStr">
        <is>
          <t>Average</t>
        </is>
      </c>
      <c r="AC506" s="16" t="inlineStr">
        <is>
          <t>No</t>
        </is>
      </c>
      <c r="AD506" s="19" t="n">
        <v>0.0271</v>
      </c>
      <c r="AE506" s="19" t="n">
        <v>0.0634</v>
      </c>
      <c r="AF506" s="19" t="n">
        <v>0.4206</v>
      </c>
      <c r="AG506" s="19" t="n">
        <v>0.1764</v>
      </c>
      <c r="AH506" s="23" t="n">
        <v>0.22</v>
      </c>
      <c r="AI506" s="23" t="n">
        <v>3.23</v>
      </c>
      <c r="AJ506" s="19" t="n">
        <v>0.6022</v>
      </c>
    </row>
    <row r="507">
      <c r="A507" s="16" t="inlineStr">
        <is>
          <t>NSLNISP</t>
        </is>
      </c>
      <c r="B507" s="16" t="inlineStr">
        <is>
          <t>NMDC Steel Ltd.</t>
        </is>
      </c>
      <c r="C507" s="16" t="inlineStr">
        <is>
          <t>Iron &amp; Steel/Interm.Products</t>
        </is>
      </c>
      <c r="D507" s="16" t="inlineStr">
        <is>
          <t>Metals &amp; Mining</t>
        </is>
      </c>
      <c r="E507" s="16" t="inlineStr">
        <is>
          <t>INE0NNS01018</t>
        </is>
      </c>
      <c r="F507" s="17" t="n">
        <v>13486.65</v>
      </c>
      <c r="G507" s="18" t="n">
        <v>46.02</v>
      </c>
      <c r="H507" s="19" t="n">
        <v>0.0137</v>
      </c>
      <c r="I507" s="20" t="n">
        <v>47</v>
      </c>
      <c r="J507" s="16" t="inlineStr">
        <is>
          <t>red</t>
        </is>
      </c>
      <c r="K507" s="20" t="n">
        <v>50</v>
      </c>
      <c r="L507" s="18" t="n">
        <v>63.02</v>
      </c>
      <c r="M507" s="18" t="n">
        <v>45.55</v>
      </c>
      <c r="N507" s="18" t="n">
        <v>43.27</v>
      </c>
      <c r="O507" s="18" t="n">
        <v>42.28</v>
      </c>
      <c r="P507" s="18" t="n">
        <v>52.55</v>
      </c>
      <c r="Q507" s="18" t="n">
        <v>33.2</v>
      </c>
      <c r="R507" s="21">
        <f>IF(OR(G507="",P507=""),"",G507/P507-1)</f>
        <v/>
      </c>
      <c r="S507" s="19" t="n">
        <v>0.5268999999999999</v>
      </c>
      <c r="T507" s="22" t="n">
        <v>-0.0013</v>
      </c>
      <c r="U507" s="16" t="inlineStr">
        <is>
          <t>No</t>
        </is>
      </c>
      <c r="V507" s="16" t="inlineStr">
        <is>
          <t>Yes</t>
        </is>
      </c>
      <c r="W507" s="16" t="inlineStr">
        <is>
          <t>Yes</t>
        </is>
      </c>
      <c r="X507" s="16" t="inlineStr">
        <is>
          <t>Yes</t>
        </is>
      </c>
      <c r="Y507" s="20" t="n">
        <v>67</v>
      </c>
      <c r="Z507" s="19" t="n">
        <v>0.0234</v>
      </c>
      <c r="AA507" s="18" t="n">
        <v>36.06</v>
      </c>
      <c r="AB507" s="16" t="inlineStr">
        <is>
          <t>Weak</t>
        </is>
      </c>
      <c r="AC507" s="16" t="inlineStr">
        <is>
          <t>No</t>
        </is>
      </c>
      <c r="AD507" s="19" t="n">
        <v>-0.0924</v>
      </c>
      <c r="AE507" s="19" t="n">
        <v>-0.0644</v>
      </c>
      <c r="AF507" s="19" t="n">
        <v>0.2387</v>
      </c>
      <c r="AG507" s="19" t="n">
        <v>1.1966</v>
      </c>
      <c r="AH507" s="23" t="n">
        <v>0.35</v>
      </c>
      <c r="AI507" s="23" t="n">
        <v>0.68</v>
      </c>
      <c r="AJ507" s="19" t="n">
        <v>0.0285</v>
      </c>
    </row>
    <row r="508">
      <c r="A508" s="16" t="inlineStr">
        <is>
          <t>CEATLTD</t>
        </is>
      </c>
      <c r="B508" s="16" t="inlineStr">
        <is>
          <t>Ceat Ltd.</t>
        </is>
      </c>
      <c r="C508" s="16" t="inlineStr">
        <is>
          <t>Auto Tyres &amp; Rubber Products</t>
        </is>
      </c>
      <c r="D508" s="16" t="inlineStr">
        <is>
          <t>Automobiles &amp; Auto Components</t>
        </is>
      </c>
      <c r="E508" s="16" t="inlineStr">
        <is>
          <t>INE482A01020</t>
        </is>
      </c>
      <c r="F508" s="17" t="n">
        <v>13482.83</v>
      </c>
      <c r="G508" s="18" t="n">
        <v>3333.2</v>
      </c>
      <c r="H508" s="19" t="n">
        <v>0.0054</v>
      </c>
      <c r="I508" s="20" t="n">
        <v>39</v>
      </c>
      <c r="J508" s="16" t="inlineStr">
        <is>
          <t>red</t>
        </is>
      </c>
      <c r="K508" s="20" t="n">
        <v>96</v>
      </c>
      <c r="L508" s="18" t="n">
        <v>23.91</v>
      </c>
      <c r="M508" s="18" t="n">
        <v>3427.83</v>
      </c>
      <c r="N508" s="18" t="n">
        <v>3573.83</v>
      </c>
      <c r="O508" s="18" t="n">
        <v>3565.71</v>
      </c>
      <c r="P508" s="18" t="n">
        <v>4259.23</v>
      </c>
      <c r="Q508" s="18" t="n">
        <v>3074.72</v>
      </c>
      <c r="R508" s="21">
        <f>IF(OR(G508="",P508=""),"",G508/P508-1)</f>
        <v/>
      </c>
      <c r="S508" s="19" t="n">
        <v>0.9704</v>
      </c>
      <c r="T508" s="22" t="n">
        <v>-0.0128</v>
      </c>
      <c r="U508" s="16" t="inlineStr">
        <is>
          <t>No</t>
        </is>
      </c>
      <c r="V508" s="16" t="inlineStr">
        <is>
          <t>No</t>
        </is>
      </c>
      <c r="W508" s="16" t="inlineStr">
        <is>
          <t>No</t>
        </is>
      </c>
      <c r="X508" s="16" t="inlineStr">
        <is>
          <t>Yes</t>
        </is>
      </c>
      <c r="Y508" s="20" t="n">
        <v>6</v>
      </c>
      <c r="Z508" s="19" t="n">
        <v>0.0023</v>
      </c>
      <c r="AA508" s="18" t="n">
        <v>51.81</v>
      </c>
      <c r="AB508" s="16" t="inlineStr">
        <is>
          <t>Average</t>
        </is>
      </c>
      <c r="AC508" s="16" t="inlineStr">
        <is>
          <t>No</t>
        </is>
      </c>
      <c r="AD508" s="19" t="n">
        <v>0.1352</v>
      </c>
      <c r="AE508" s="19" t="n">
        <v>0.1641</v>
      </c>
      <c r="AF508" s="19" t="n">
        <v>0.8885</v>
      </c>
      <c r="AG508" s="19" t="n">
        <v>0.1169</v>
      </c>
      <c r="AH508" s="23" t="n">
        <v>0.65</v>
      </c>
      <c r="AI508" s="23" t="n">
        <v>1.77</v>
      </c>
      <c r="AJ508" s="19" t="n">
        <v>0.0885</v>
      </c>
    </row>
    <row r="509">
      <c r="A509" s="16" t="inlineStr">
        <is>
          <t>DOMS</t>
        </is>
      </c>
      <c r="B509" s="16" t="inlineStr">
        <is>
          <t>DOMS Industries Ltd.</t>
        </is>
      </c>
      <c r="C509" s="16" t="inlineStr">
        <is>
          <t>Commodity Printing/Stationery</t>
        </is>
      </c>
      <c r="D509" s="16" t="inlineStr">
        <is>
          <t>Commercial Services &amp; Supplies</t>
        </is>
      </c>
      <c r="E509" s="16" t="inlineStr">
        <is>
          <t>INE321T01012</t>
        </is>
      </c>
      <c r="F509" s="17" t="n">
        <v>13404.22</v>
      </c>
      <c r="G509" s="18" t="n">
        <v>2208.7</v>
      </c>
      <c r="H509" s="19" t="n">
        <v>0.0005</v>
      </c>
      <c r="I509" s="20" t="n">
        <v>35</v>
      </c>
      <c r="J509" s="16" t="inlineStr">
        <is>
          <t>red</t>
        </is>
      </c>
      <c r="K509" s="20" t="n">
        <v>108</v>
      </c>
      <c r="L509" s="18" t="n">
        <v>48.24</v>
      </c>
      <c r="M509" s="18" t="n">
        <v>2212.28</v>
      </c>
      <c r="N509" s="18" t="n">
        <v>2252.08</v>
      </c>
      <c r="O509" s="18" t="n">
        <v>2336.04</v>
      </c>
      <c r="P509" s="18" t="n">
        <v>2684.48</v>
      </c>
      <c r="Q509" s="18" t="n">
        <v>2052.4</v>
      </c>
      <c r="R509" s="21">
        <f>IF(OR(G509="",P509=""),"",G509/P509-1)</f>
        <v/>
      </c>
      <c r="S509" s="19" t="n">
        <v>1.6484</v>
      </c>
      <c r="T509" s="22" t="n">
        <v>-0.0134</v>
      </c>
      <c r="U509" s="16" t="inlineStr">
        <is>
          <t>No</t>
        </is>
      </c>
      <c r="V509" s="16" t="inlineStr">
        <is>
          <t>No</t>
        </is>
      </c>
      <c r="W509" s="16" t="inlineStr">
        <is>
          <t>No</t>
        </is>
      </c>
      <c r="X509" s="16" t="inlineStr">
        <is>
          <t>No</t>
        </is>
      </c>
      <c r="Y509" s="20" t="n">
        <v>139</v>
      </c>
      <c r="Z509" s="19" t="n">
        <v>-0.0359</v>
      </c>
      <c r="AA509" s="18" t="n">
        <v>72.26000000000001</v>
      </c>
      <c r="AB509" s="16" t="inlineStr">
        <is>
          <t>High</t>
        </is>
      </c>
      <c r="AC509" s="16" t="inlineStr">
        <is>
          <t>No</t>
        </is>
      </c>
      <c r="AD509" s="19" t="n">
        <v>0.1928</v>
      </c>
      <c r="AE509" s="19" t="n">
        <v>0.2424</v>
      </c>
      <c r="AF509" s="19" t="n">
        <v>0.3572</v>
      </c>
      <c r="AG509" s="19" t="n">
        <v>0.2444</v>
      </c>
      <c r="AH509" s="23" t="n">
        <v>0.12</v>
      </c>
      <c r="AI509" s="23" t="n">
        <v>2.76</v>
      </c>
      <c r="AJ509" s="19" t="n">
        <v>0.1924</v>
      </c>
    </row>
    <row r="510">
      <c r="A510" s="16" t="inlineStr">
        <is>
          <t>ACE</t>
        </is>
      </c>
      <c r="B510" s="16" t="inlineStr">
        <is>
          <t>Action Construction Equipment Ltd.</t>
        </is>
      </c>
      <c r="C510" s="16" t="inlineStr">
        <is>
          <t>Commercial Vehicles</t>
        </is>
      </c>
      <c r="D510" s="16" t="inlineStr">
        <is>
          <t>Automobiles &amp; Auto Components</t>
        </is>
      </c>
      <c r="E510" s="16" t="inlineStr">
        <is>
          <t>INE731H01025</t>
        </is>
      </c>
      <c r="F510" s="17" t="n">
        <v>13401.62</v>
      </c>
      <c r="G510" s="18" t="n">
        <v>1125.4</v>
      </c>
      <c r="H510" s="19" t="n">
        <v>-0.0175</v>
      </c>
      <c r="I510" s="20" t="n">
        <v>67</v>
      </c>
      <c r="J510" s="16" t="inlineStr">
        <is>
          <t>amber</t>
        </is>
      </c>
      <c r="K510" s="20" t="n">
        <v>31</v>
      </c>
      <c r="L510" s="18" t="n">
        <v>52.33</v>
      </c>
      <c r="M510" s="18" t="n">
        <v>1123.67</v>
      </c>
      <c r="N510" s="18" t="n">
        <v>1066.47</v>
      </c>
      <c r="O510" s="18" t="n">
        <v>939.85</v>
      </c>
      <c r="P510" s="18" t="n">
        <v>1182.63</v>
      </c>
      <c r="Q510" s="18" t="n">
        <v>747.58</v>
      </c>
      <c r="R510" s="21">
        <f>IF(OR(G510="",P510=""),"",G510/P510-1)</f>
        <v/>
      </c>
      <c r="S510" s="19" t="n">
        <v>1.3983</v>
      </c>
      <c r="T510" s="22" t="n">
        <v>0.008399999999999999</v>
      </c>
      <c r="U510" s="16" t="inlineStr">
        <is>
          <t>Yes</t>
        </is>
      </c>
      <c r="V510" s="16" t="inlineStr">
        <is>
          <t>Yes</t>
        </is>
      </c>
      <c r="W510" s="16" t="inlineStr">
        <is>
          <t>Yes</t>
        </is>
      </c>
      <c r="X510" s="16" t="inlineStr">
        <is>
          <t>Yes</t>
        </is>
      </c>
      <c r="Y510" s="20" t="n">
        <v>37</v>
      </c>
      <c r="Z510" s="19" t="n">
        <v>0.1347</v>
      </c>
      <c r="AA510" s="18" t="n">
        <v>79.16</v>
      </c>
      <c r="AB510" s="16" t="inlineStr">
        <is>
          <t>High</t>
        </is>
      </c>
      <c r="AC510" s="16" t="inlineStr">
        <is>
          <t>No</t>
        </is>
      </c>
      <c r="AD510" s="19" t="n">
        <v>0.2422</v>
      </c>
      <c r="AE510" s="19" t="n">
        <v>0.3371</v>
      </c>
      <c r="AF510" s="19" t="n">
        <v>0.3914</v>
      </c>
      <c r="AG510" s="19" t="n">
        <v>0.1594</v>
      </c>
      <c r="AH510" s="23" t="n">
        <v>0</v>
      </c>
      <c r="AI510" s="23" t="n">
        <v>4.04</v>
      </c>
      <c r="AJ510" s="19" t="n">
        <v>0.0597</v>
      </c>
    </row>
    <row r="511">
      <c r="A511" s="16" t="inlineStr">
        <is>
          <t>MOLBIO</t>
        </is>
      </c>
      <c r="B511" s="16" t="inlineStr">
        <is>
          <t>Molbio Diagnostics Ltd.</t>
        </is>
      </c>
      <c r="C511" s="16" t="inlineStr">
        <is>
          <t>Healthcare Services</t>
        </is>
      </c>
      <c r="D511" s="16" t="inlineStr">
        <is>
          <t>Healthcare</t>
        </is>
      </c>
      <c r="E511" s="16" t="inlineStr">
        <is>
          <t>INE869T01028</t>
        </is>
      </c>
      <c r="F511" s="17" t="n">
        <v>13373.6</v>
      </c>
      <c r="G511" s="18" t="n">
        <v>1160.5</v>
      </c>
      <c r="H511" s="19" t="n">
        <v>0.0223</v>
      </c>
      <c r="I511" s="20" t="n"/>
      <c r="J511" s="16" t="n"/>
      <c r="K511" s="20" t="n"/>
      <c r="L511" s="18" t="n">
        <v>59.3</v>
      </c>
      <c r="M511" s="18" t="n">
        <v>1127.61</v>
      </c>
      <c r="N511" s="18" t="n"/>
      <c r="O511" s="18" t="n"/>
      <c r="P511" s="18" t="n">
        <v>1238.85</v>
      </c>
      <c r="Q511" s="18" t="n">
        <v>1036.65</v>
      </c>
      <c r="R511" s="21">
        <f>IF(OR(G511="",P511=""),"",G511/P511-1)</f>
        <v/>
      </c>
      <c r="S511" s="19" t="n">
        <v>0.1655</v>
      </c>
      <c r="T511" s="22" t="n"/>
      <c r="U511" s="16" t="n"/>
      <c r="V511" s="16" t="n"/>
      <c r="W511" s="16" t="inlineStr">
        <is>
          <t>Yes</t>
        </is>
      </c>
      <c r="X511" s="16" t="n"/>
      <c r="Y511" s="20" t="n"/>
      <c r="Z511" s="19" t="n"/>
      <c r="AA511" s="18" t="n"/>
      <c r="AB511" s="16" t="n"/>
      <c r="AC511" s="16" t="inlineStr">
        <is>
          <t>No</t>
        </is>
      </c>
      <c r="AD511" s="19" t="n"/>
      <c r="AE511" s="19" t="n"/>
      <c r="AF511" s="19" t="n"/>
      <c r="AG511" s="19" t="n"/>
      <c r="AH511" s="23" t="n"/>
      <c r="AI511" s="23" t="n"/>
      <c r="AJ511" s="19" t="n"/>
    </row>
    <row r="512">
      <c r="A512" s="16" t="inlineStr">
        <is>
          <t>VEDPOWER</t>
        </is>
      </c>
      <c r="B512" s="16" t="inlineStr">
        <is>
          <t>Vedanta Power Ltd.</t>
        </is>
      </c>
      <c r="C512" s="16" t="inlineStr">
        <is>
          <t>Power - Electric Utilities</t>
        </is>
      </c>
      <c r="D512" s="16" t="inlineStr">
        <is>
          <t>Utilities</t>
        </is>
      </c>
      <c r="E512" s="16" t="inlineStr">
        <is>
          <t>INE694L01019</t>
        </is>
      </c>
      <c r="F512" s="17" t="n">
        <v>13373.53</v>
      </c>
      <c r="G512" s="18" t="n">
        <v>34.2</v>
      </c>
      <c r="H512" s="19" t="n">
        <v>-0.0026</v>
      </c>
      <c r="I512" s="20" t="n"/>
      <c r="J512" s="16" t="n"/>
      <c r="K512" s="20" t="n"/>
      <c r="L512" s="18" t="n">
        <v>28.85</v>
      </c>
      <c r="M512" s="18" t="n">
        <v>35.61</v>
      </c>
      <c r="N512" s="18" t="n">
        <v>37.68</v>
      </c>
      <c r="O512" s="18" t="n"/>
      <c r="P512" s="18" t="n">
        <v>48.64</v>
      </c>
      <c r="Q512" s="18" t="n">
        <v>33.82</v>
      </c>
      <c r="R512" s="21">
        <f>IF(OR(G512="",P512=""),"",G512/P512-1)</f>
        <v/>
      </c>
      <c r="S512" s="19" t="n">
        <v>0.6113000000000001</v>
      </c>
      <c r="T512" s="22" t="n"/>
      <c r="U512" s="16" t="n"/>
      <c r="V512" s="16" t="inlineStr">
        <is>
          <t>No</t>
        </is>
      </c>
      <c r="W512" s="16" t="inlineStr">
        <is>
          <t>No</t>
        </is>
      </c>
      <c r="X512" s="16" t="n"/>
      <c r="Y512" s="20" t="n"/>
      <c r="Z512" s="19" t="n"/>
      <c r="AA512" s="18" t="n">
        <v>34.97</v>
      </c>
      <c r="AB512" s="16" t="inlineStr">
        <is>
          <t>Weak</t>
        </is>
      </c>
      <c r="AC512" s="16" t="inlineStr">
        <is>
          <t>No</t>
        </is>
      </c>
      <c r="AD512" s="19" t="n">
        <v>0.0005</v>
      </c>
      <c r="AE512" s="19" t="n">
        <v>0.0232</v>
      </c>
      <c r="AF512" s="19" t="n">
        <v>1.7923</v>
      </c>
      <c r="AG512" s="19" t="n">
        <v>0.1788</v>
      </c>
      <c r="AH512" s="23" t="n">
        <v>0.71</v>
      </c>
      <c r="AI512" s="23" t="n">
        <v>0.51</v>
      </c>
      <c r="AJ512" s="19" t="n">
        <v>0.09630000000000001</v>
      </c>
    </row>
    <row r="513">
      <c r="A513" s="16" t="inlineStr">
        <is>
          <t>LUMAXTECH</t>
        </is>
      </c>
      <c r="B513" s="16" t="inlineStr">
        <is>
          <t>Lumax Auto Technologies Ltd.</t>
        </is>
      </c>
      <c r="C513" s="16" t="inlineStr">
        <is>
          <t>Auto Parts &amp; Equipment</t>
        </is>
      </c>
      <c r="D513" s="16" t="inlineStr">
        <is>
          <t>Automobiles &amp; Auto Components</t>
        </is>
      </c>
      <c r="E513" s="16" t="inlineStr">
        <is>
          <t>INE872H01027</t>
        </is>
      </c>
      <c r="F513" s="17" t="n">
        <v>13303.7</v>
      </c>
      <c r="G513" s="18" t="n">
        <v>1951.9</v>
      </c>
      <c r="H513" s="19" t="n">
        <v>-0.0169</v>
      </c>
      <c r="I513" s="20" t="n">
        <v>77</v>
      </c>
      <c r="J513" s="16" t="inlineStr">
        <is>
          <t>amber</t>
        </is>
      </c>
      <c r="K513" s="20" t="n">
        <v>3</v>
      </c>
      <c r="L513" s="18" t="n">
        <v>40.51</v>
      </c>
      <c r="M513" s="18" t="n">
        <v>1988.28</v>
      </c>
      <c r="N513" s="18" t="n">
        <v>1704.95</v>
      </c>
      <c r="O513" s="18" t="n">
        <v>1614.85</v>
      </c>
      <c r="P513" s="18" t="n">
        <v>2078.5</v>
      </c>
      <c r="Q513" s="18" t="n">
        <v>1044.61</v>
      </c>
      <c r="R513" s="21">
        <f>IF(OR(G513="",P513=""),"",G513/P513-1)</f>
        <v/>
      </c>
      <c r="S513" s="19" t="n">
        <v>0.2118</v>
      </c>
      <c r="T513" s="22" t="n">
        <v>0.0481</v>
      </c>
      <c r="U513" s="16" t="inlineStr">
        <is>
          <t>Yes</t>
        </is>
      </c>
      <c r="V513" s="16" t="inlineStr">
        <is>
          <t>Yes</t>
        </is>
      </c>
      <c r="W513" s="16" t="inlineStr">
        <is>
          <t>No</t>
        </is>
      </c>
      <c r="X513" s="16" t="inlineStr">
        <is>
          <t>Yes</t>
        </is>
      </c>
      <c r="Y513" s="20" t="n">
        <v>324</v>
      </c>
      <c r="Z513" s="19" t="n">
        <v>0.0558</v>
      </c>
      <c r="AA513" s="18" t="n">
        <v>62.75</v>
      </c>
      <c r="AB513" s="16" t="inlineStr">
        <is>
          <t>Good</t>
        </is>
      </c>
      <c r="AC513" s="16" t="inlineStr">
        <is>
          <t>No</t>
        </is>
      </c>
      <c r="AD513" s="19" t="n">
        <v>0.1952</v>
      </c>
      <c r="AE513" s="19" t="n">
        <v>0.2016</v>
      </c>
      <c r="AF513" s="19" t="n">
        <v>0.4451</v>
      </c>
      <c r="AG513" s="19" t="n">
        <v>0.3843</v>
      </c>
      <c r="AH513" s="23" t="n">
        <v>1.02</v>
      </c>
      <c r="AI513" s="23" t="n">
        <v>4.22</v>
      </c>
      <c r="AJ513" s="19" t="n">
        <v>0.0805</v>
      </c>
    </row>
    <row r="514">
      <c r="A514" s="16" t="inlineStr">
        <is>
          <t>SWANDEF</t>
        </is>
      </c>
      <c r="B514" s="16" t="inlineStr">
        <is>
          <t>Swan Defence and Heavy Industries Ltd.</t>
        </is>
      </c>
      <c r="C514" s="16" t="inlineStr">
        <is>
          <t>Shipping</t>
        </is>
      </c>
      <c r="D514" s="16" t="inlineStr">
        <is>
          <t>Transportation</t>
        </is>
      </c>
      <c r="E514" s="16" t="inlineStr">
        <is>
          <t>INE542F01020</t>
        </is>
      </c>
      <c r="F514" s="17" t="n">
        <v>13276.97</v>
      </c>
      <c r="G514" s="18" t="n">
        <v>2520.2</v>
      </c>
      <c r="H514" s="19" t="n">
        <v>0.0121</v>
      </c>
      <c r="I514" s="20" t="n">
        <v>97</v>
      </c>
      <c r="J514" s="16" t="inlineStr">
        <is>
          <t>green</t>
        </is>
      </c>
      <c r="K514" s="20" t="n">
        <v>295</v>
      </c>
      <c r="L514" s="18" t="n">
        <v>65.06</v>
      </c>
      <c r="M514" s="18" t="n">
        <v>2443.96</v>
      </c>
      <c r="N514" s="18" t="n">
        <v>2383.6</v>
      </c>
      <c r="O514" s="18" t="n">
        <v>1910.3</v>
      </c>
      <c r="P514" s="18" t="n">
        <v>2694.9</v>
      </c>
      <c r="Q514" s="18" t="n">
        <v>452.3</v>
      </c>
      <c r="R514" s="21">
        <f>IF(OR(G514="",P514=""),"",G514/P514-1)</f>
        <v/>
      </c>
      <c r="S514" s="19" t="n">
        <v>0.7554000000000001</v>
      </c>
      <c r="T514" s="22" t="n">
        <v>0.09080000000000001</v>
      </c>
      <c r="U514" s="16" t="inlineStr">
        <is>
          <t>Yes</t>
        </is>
      </c>
      <c r="V514" s="16" t="inlineStr">
        <is>
          <t>Yes</t>
        </is>
      </c>
      <c r="W514" s="16" t="inlineStr">
        <is>
          <t>Yes</t>
        </is>
      </c>
      <c r="X514" s="16" t="inlineStr">
        <is>
          <t>Yes</t>
        </is>
      </c>
      <c r="Y514" s="20" t="n">
        <v>258</v>
      </c>
      <c r="Z514" s="19" t="n">
        <v>0.2478</v>
      </c>
      <c r="AA514" s="18" t="n">
        <v>4.2</v>
      </c>
      <c r="AB514" s="16" t="inlineStr">
        <is>
          <t>Poor</t>
        </is>
      </c>
      <c r="AC514" s="16" t="inlineStr">
        <is>
          <t>No</t>
        </is>
      </c>
      <c r="AD514" s="19" t="n">
        <v>-1.3698</v>
      </c>
      <c r="AE514" s="19" t="n">
        <v>-0.0557</v>
      </c>
      <c r="AF514" s="19" t="n">
        <v>0.0154</v>
      </c>
      <c r="AG514" s="19" t="n">
        <v>19.0669</v>
      </c>
      <c r="AH514" s="23" t="n">
        <v>40.03</v>
      </c>
      <c r="AI514" s="23" t="n">
        <v>0.21</v>
      </c>
      <c r="AJ514" s="19" t="n">
        <v>0.1226</v>
      </c>
    </row>
    <row r="515">
      <c r="A515" s="16" t="inlineStr">
        <is>
          <t>TI</t>
        </is>
      </c>
      <c r="B515" s="16" t="inlineStr">
        <is>
          <t>Tilaknagar Industries Ltd.</t>
        </is>
      </c>
      <c r="C515" s="16" t="inlineStr">
        <is>
          <t>Breweries &amp; Distilleries</t>
        </is>
      </c>
      <c r="D515" s="16" t="inlineStr">
        <is>
          <t>Food, Beverages &amp; Tobacco</t>
        </is>
      </c>
      <c r="E515" s="16" t="inlineStr">
        <is>
          <t>INE133E01013</t>
        </is>
      </c>
      <c r="F515" s="17" t="n">
        <v>13242.33</v>
      </c>
      <c r="G515" s="18" t="n">
        <v>535.1</v>
      </c>
      <c r="H515" s="19" t="n">
        <v>-0.0168</v>
      </c>
      <c r="I515" s="20" t="n">
        <v>65</v>
      </c>
      <c r="J515" s="16" t="inlineStr">
        <is>
          <t>amber</t>
        </is>
      </c>
      <c r="K515" s="20" t="n">
        <v>19</v>
      </c>
      <c r="L515" s="18" t="n">
        <v>28.39</v>
      </c>
      <c r="M515" s="18" t="n">
        <v>553.04</v>
      </c>
      <c r="N515" s="18" t="n">
        <v>496.21</v>
      </c>
      <c r="O515" s="18" t="n">
        <v>456.97</v>
      </c>
      <c r="P515" s="18" t="n">
        <v>582.8</v>
      </c>
      <c r="Q515" s="18" t="n">
        <v>388.8</v>
      </c>
      <c r="R515" s="21">
        <f>IF(OR(G515="",P515=""),"",G515/P515-1)</f>
        <v/>
      </c>
      <c r="S515" s="19" t="n">
        <v>0.4325</v>
      </c>
      <c r="T515" s="22" t="n">
        <v>0.0132</v>
      </c>
      <c r="U515" s="16" t="inlineStr">
        <is>
          <t>Yes</t>
        </is>
      </c>
      <c r="V515" s="16" t="inlineStr">
        <is>
          <t>Yes</t>
        </is>
      </c>
      <c r="W515" s="16" t="inlineStr">
        <is>
          <t>No</t>
        </is>
      </c>
      <c r="X515" s="16" t="inlineStr">
        <is>
          <t>Yes</t>
        </is>
      </c>
      <c r="Y515" s="20" t="n">
        <v>17</v>
      </c>
      <c r="Z515" s="19" t="n">
        <v>0.0859</v>
      </c>
      <c r="AA515" s="18" t="n">
        <v>40</v>
      </c>
      <c r="AB515" s="16" t="inlineStr">
        <is>
          <t>Weak</t>
        </is>
      </c>
      <c r="AC515" s="16" t="inlineStr">
        <is>
          <t>No</t>
        </is>
      </c>
      <c r="AD515" s="19" t="n">
        <v>0.1594</v>
      </c>
      <c r="AE515" s="19" t="n">
        <v>0.1618</v>
      </c>
      <c r="AF515" s="19" t="n">
        <v>-0.1443</v>
      </c>
      <c r="AG515" s="19" t="n">
        <v>0.2985</v>
      </c>
      <c r="AH515" s="23" t="n">
        <v>0.77</v>
      </c>
      <c r="AI515" s="23" t="n">
        <v>4.19</v>
      </c>
      <c r="AJ515" s="19" t="n">
        <v>0.1077</v>
      </c>
    </row>
    <row r="516">
      <c r="A516" s="16" t="inlineStr">
        <is>
          <t>UTLSOLAR</t>
        </is>
      </c>
      <c r="B516" s="16" t="inlineStr">
        <is>
          <t>Fujiyama Power Systems Ltd.</t>
        </is>
      </c>
      <c r="C516" s="16" t="inlineStr">
        <is>
          <t>Other Electrical Equipment/Products</t>
        </is>
      </c>
      <c r="D516" s="16" t="inlineStr">
        <is>
          <t>Consumer Durables</t>
        </is>
      </c>
      <c r="E516" s="16" t="inlineStr">
        <is>
          <t>INE12UR01024</t>
        </is>
      </c>
      <c r="F516" s="17" t="n">
        <v>13189.1</v>
      </c>
      <c r="G516" s="18" t="n">
        <v>429.75</v>
      </c>
      <c r="H516" s="19" t="n">
        <v>0.0029</v>
      </c>
      <c r="I516" s="20" t="n">
        <v>93</v>
      </c>
      <c r="J516" s="16" t="inlineStr">
        <is>
          <t>green</t>
        </is>
      </c>
      <c r="K516" s="20" t="n">
        <v>97</v>
      </c>
      <c r="L516" s="18" t="n">
        <v>34.48</v>
      </c>
      <c r="M516" s="18" t="n">
        <v>441.24</v>
      </c>
      <c r="N516" s="18" t="n">
        <v>397.39</v>
      </c>
      <c r="O516" s="18" t="n">
        <v>276.98</v>
      </c>
      <c r="P516" s="18" t="n">
        <v>483.95</v>
      </c>
      <c r="Q516" s="18" t="n">
        <v>174.83</v>
      </c>
      <c r="R516" s="21">
        <f>IF(OR(G516="",P516=""),"",G516/P516-1)</f>
        <v/>
      </c>
      <c r="S516" s="19" t="n">
        <v>0.4127</v>
      </c>
      <c r="T516" s="22" t="n"/>
      <c r="U516" s="16" t="n"/>
      <c r="V516" s="16" t="inlineStr">
        <is>
          <t>Yes</t>
        </is>
      </c>
      <c r="W516" s="16" t="inlineStr">
        <is>
          <t>No</t>
        </is>
      </c>
      <c r="X516" s="16" t="inlineStr">
        <is>
          <t>Yes</t>
        </is>
      </c>
      <c r="Y516" s="20" t="n">
        <v>1</v>
      </c>
      <c r="Z516" s="19" t="n">
        <v>0.4347</v>
      </c>
      <c r="AA516" s="18" t="n">
        <v>73.77</v>
      </c>
      <c r="AB516" s="16" t="inlineStr">
        <is>
          <t>High</t>
        </is>
      </c>
      <c r="AC516" s="16" t="inlineStr">
        <is>
          <t>No</t>
        </is>
      </c>
      <c r="AD516" s="19" t="n">
        <v>0.274</v>
      </c>
      <c r="AE516" s="19" t="n">
        <v>0.2473</v>
      </c>
      <c r="AF516" s="19" t="n">
        <v>0.7653</v>
      </c>
      <c r="AG516" s="19" t="n">
        <v>0.5949</v>
      </c>
      <c r="AH516" s="23" t="n">
        <v>0.41</v>
      </c>
      <c r="AI516" s="23" t="n">
        <v>3.25</v>
      </c>
      <c r="AJ516" s="19" t="n">
        <v>0.2467</v>
      </c>
    </row>
    <row r="517">
      <c r="A517" s="16" t="inlineStr">
        <is>
          <t>PRIVISCL</t>
        </is>
      </c>
      <c r="B517" s="16" t="inlineStr">
        <is>
          <t>Privi Speciality Chemicals Ltd.</t>
        </is>
      </c>
      <c r="C517" s="16" t="inlineStr">
        <is>
          <t>Specialty Chemicals</t>
        </is>
      </c>
      <c r="D517" s="16" t="inlineStr">
        <is>
          <t>Chemicals &amp; Petrochemicals</t>
        </is>
      </c>
      <c r="E517" s="16" t="inlineStr">
        <is>
          <t>INE959A01019</t>
        </is>
      </c>
      <c r="F517" s="17" t="n">
        <v>13153.58</v>
      </c>
      <c r="G517" s="18" t="n">
        <v>3367.3</v>
      </c>
      <c r="H517" s="19" t="n">
        <v>-0.0018</v>
      </c>
      <c r="I517" s="20" t="n">
        <v>63</v>
      </c>
      <c r="J517" s="16" t="inlineStr">
        <is>
          <t>amber</t>
        </is>
      </c>
      <c r="K517" s="20" t="n">
        <v>32</v>
      </c>
      <c r="L517" s="18" t="n">
        <v>37.1</v>
      </c>
      <c r="M517" s="18" t="n">
        <v>3408.64</v>
      </c>
      <c r="N517" s="18" t="n">
        <v>3569.62</v>
      </c>
      <c r="O517" s="18" t="n">
        <v>3182.98</v>
      </c>
      <c r="P517" s="18" t="n">
        <v>3740.3</v>
      </c>
      <c r="Q517" s="18" t="n">
        <v>2228.74</v>
      </c>
      <c r="R517" s="21">
        <f>IF(OR(G517="",P517=""),"",G517/P517-1)</f>
        <v/>
      </c>
      <c r="S517" s="19" t="n">
        <v>0.5859000000000001</v>
      </c>
      <c r="T517" s="22" t="n">
        <v>0.0124</v>
      </c>
      <c r="U517" s="16" t="inlineStr">
        <is>
          <t>Yes</t>
        </is>
      </c>
      <c r="V517" s="16" t="inlineStr">
        <is>
          <t>No</t>
        </is>
      </c>
      <c r="W517" s="16" t="inlineStr">
        <is>
          <t>No</t>
        </is>
      </c>
      <c r="X517" s="16" t="inlineStr">
        <is>
          <t>Yes</t>
        </is>
      </c>
      <c r="Y517" s="20" t="n">
        <v>336</v>
      </c>
      <c r="Z517" s="19" t="n">
        <v>0.1215</v>
      </c>
      <c r="AA517" s="18" t="n">
        <v>57.24</v>
      </c>
      <c r="AB517" s="16" t="inlineStr">
        <is>
          <t>Good</t>
        </is>
      </c>
      <c r="AC517" s="16" t="inlineStr">
        <is>
          <t>No</t>
        </is>
      </c>
      <c r="AD517" s="19" t="n">
        <v>0.168</v>
      </c>
      <c r="AE517" s="19" t="n">
        <v>0.1615</v>
      </c>
      <c r="AF517" s="19" t="n">
        <v>1.7065</v>
      </c>
      <c r="AG517" s="19" t="n">
        <v>0.1668</v>
      </c>
      <c r="AH517" s="23" t="n">
        <v>0.72</v>
      </c>
      <c r="AI517" s="23" t="n">
        <v>1.74</v>
      </c>
      <c r="AJ517" s="19" t="n">
        <v>0.2041</v>
      </c>
    </row>
    <row r="518">
      <c r="A518" s="16" t="inlineStr">
        <is>
          <t>APTUS</t>
        </is>
      </c>
      <c r="B518" s="16" t="inlineStr">
        <is>
          <t>Aptus Value Housing Finance India Ltd.</t>
        </is>
      </c>
      <c r="C518" s="16" t="inlineStr">
        <is>
          <t>Housing Finance</t>
        </is>
      </c>
      <c r="D518" s="16" t="inlineStr">
        <is>
          <t>Banking and Finance</t>
        </is>
      </c>
      <c r="E518" s="16" t="inlineStr">
        <is>
          <t>INE852O01025</t>
        </is>
      </c>
      <c r="F518" s="17" t="n">
        <v>12963.99</v>
      </c>
      <c r="G518" s="18" t="n">
        <v>258.85</v>
      </c>
      <c r="H518" s="19" t="n">
        <v>0.006</v>
      </c>
      <c r="I518" s="20" t="n">
        <v>35</v>
      </c>
      <c r="J518" s="16" t="inlineStr">
        <is>
          <t>red</t>
        </is>
      </c>
      <c r="K518" s="20" t="n">
        <v>35</v>
      </c>
      <c r="L518" s="18" t="n">
        <v>54.85</v>
      </c>
      <c r="M518" s="18" t="n">
        <v>255.47</v>
      </c>
      <c r="N518" s="18" t="n">
        <v>271.11</v>
      </c>
      <c r="O518" s="18" t="n">
        <v>260.22</v>
      </c>
      <c r="P518" s="18" t="n">
        <v>342.88</v>
      </c>
      <c r="Q518" s="18" t="n">
        <v>192.77</v>
      </c>
      <c r="R518" s="21">
        <f>IF(OR(G518="",P518=""),"",G518/P518-1)</f>
        <v/>
      </c>
      <c r="S518" s="19" t="n">
        <v>0.9899</v>
      </c>
      <c r="T518" s="22" t="n">
        <v>-0.0157</v>
      </c>
      <c r="U518" s="16" t="inlineStr">
        <is>
          <t>No</t>
        </is>
      </c>
      <c r="V518" s="16" t="inlineStr">
        <is>
          <t>No</t>
        </is>
      </c>
      <c r="W518" s="16" t="inlineStr">
        <is>
          <t>Yes</t>
        </is>
      </c>
      <c r="X518" s="16" t="inlineStr">
        <is>
          <t>Yes</t>
        </is>
      </c>
      <c r="Y518" s="20" t="n">
        <v>42</v>
      </c>
      <c r="Z518" s="19" t="n">
        <v>0.0418</v>
      </c>
      <c r="AA518" s="18" t="n">
        <v>68.44</v>
      </c>
      <c r="AB518" s="16" t="inlineStr">
        <is>
          <t>High</t>
        </is>
      </c>
      <c r="AC518" s="16" t="inlineStr">
        <is>
          <t>Yes</t>
        </is>
      </c>
      <c r="AD518" s="19" t="n">
        <v>0.1743</v>
      </c>
      <c r="AE518" s="19" t="n"/>
      <c r="AF518" s="19" t="n">
        <v>0.2319</v>
      </c>
      <c r="AG518" s="19" t="n">
        <v>0.2307</v>
      </c>
      <c r="AH518" s="23" t="n">
        <v>1.56</v>
      </c>
      <c r="AI518" s="23" t="n">
        <v>41.52</v>
      </c>
      <c r="AJ518" s="19" t="n">
        <v>0.009599999999999999</v>
      </c>
    </row>
    <row r="519">
      <c r="A519" s="16" t="inlineStr">
        <is>
          <t>EDELWEISS</t>
        </is>
      </c>
      <c r="B519" s="16" t="inlineStr">
        <is>
          <t>Edelweiss Financial Services Ltd.</t>
        </is>
      </c>
      <c r="C519" s="16" t="inlineStr">
        <is>
          <t>Other Financial Services</t>
        </is>
      </c>
      <c r="D519" s="16" t="inlineStr">
        <is>
          <t>Banking and Finance</t>
        </is>
      </c>
      <c r="E519" s="16" t="inlineStr">
        <is>
          <t>INE532F01054</t>
        </is>
      </c>
      <c r="F519" s="17" t="n">
        <v>12880.4</v>
      </c>
      <c r="G519" s="18" t="n">
        <v>136.08</v>
      </c>
      <c r="H519" s="19" t="n">
        <v>0.0098</v>
      </c>
      <c r="I519" s="20" t="n">
        <v>71</v>
      </c>
      <c r="J519" s="16" t="inlineStr">
        <is>
          <t>amber</t>
        </is>
      </c>
      <c r="K519" s="20" t="n">
        <v>17</v>
      </c>
      <c r="L519" s="18" t="n">
        <v>69.11</v>
      </c>
      <c r="M519" s="18" t="n">
        <v>128.85</v>
      </c>
      <c r="N519" s="18" t="n">
        <v>121.81</v>
      </c>
      <c r="O519" s="18" t="n">
        <v>114.61</v>
      </c>
      <c r="P519" s="18" t="n">
        <v>136.08</v>
      </c>
      <c r="Q519" s="18" t="n">
        <v>99.67</v>
      </c>
      <c r="R519" s="21">
        <f>IF(OR(G519="",P519=""),"",G519/P519-1)</f>
        <v/>
      </c>
      <c r="S519" s="19" t="n">
        <v>2.1901</v>
      </c>
      <c r="T519" s="22" t="n">
        <v>0.009300000000000001</v>
      </c>
      <c r="U519" s="16" t="inlineStr">
        <is>
          <t>Yes</t>
        </is>
      </c>
      <c r="V519" s="16" t="inlineStr">
        <is>
          <t>Yes</t>
        </is>
      </c>
      <c r="W519" s="16" t="inlineStr">
        <is>
          <t>Yes</t>
        </is>
      </c>
      <c r="X519" s="16" t="inlineStr">
        <is>
          <t>Yes</t>
        </is>
      </c>
      <c r="Y519" s="20" t="n">
        <v>284</v>
      </c>
      <c r="Z519" s="19" t="n">
        <v>0.06280000000000001</v>
      </c>
      <c r="AA519" s="18" t="n">
        <v>52.56</v>
      </c>
      <c r="AB519" s="16" t="inlineStr">
        <is>
          <t>Good</t>
        </is>
      </c>
      <c r="AC519" s="16" t="inlineStr">
        <is>
          <t>Yes</t>
        </is>
      </c>
      <c r="AD519" s="19" t="n">
        <v>0.0989</v>
      </c>
      <c r="AE519" s="19" t="n"/>
      <c r="AF519" s="19" t="n">
        <v>0.2313</v>
      </c>
      <c r="AG519" s="19" t="n">
        <v>0.1855</v>
      </c>
      <c r="AH519" s="23" t="n">
        <v>4.02</v>
      </c>
      <c r="AI519" s="23" t="n">
        <v>8.65</v>
      </c>
      <c r="AJ519" s="19" t="n">
        <v>0.0015</v>
      </c>
    </row>
    <row r="520">
      <c r="A520" s="16" t="inlineStr">
        <is>
          <t>BLUESTONE</t>
        </is>
      </c>
      <c r="B520" s="16" t="inlineStr">
        <is>
          <t>Bluestone Jewellery and Lifestyle Ltd.</t>
        </is>
      </c>
      <c r="C520" s="16" t="inlineStr">
        <is>
          <t>Gems &amp; Jewellery</t>
        </is>
      </c>
      <c r="D520" s="16" t="inlineStr">
        <is>
          <t>Textiles Apparels &amp; Accessories</t>
        </is>
      </c>
      <c r="E520" s="16" t="inlineStr">
        <is>
          <t>INE304W01038</t>
        </is>
      </c>
      <c r="F520" s="17" t="n">
        <v>12875.42</v>
      </c>
      <c r="G520" s="18" t="n">
        <v>842.75</v>
      </c>
      <c r="H520" s="19" t="n">
        <v>0.047</v>
      </c>
      <c r="I520" s="20" t="n">
        <v>90</v>
      </c>
      <c r="J520" s="16" t="inlineStr">
        <is>
          <t>green</t>
        </is>
      </c>
      <c r="K520" s="20" t="n">
        <v>34</v>
      </c>
      <c r="L520" s="18" t="n">
        <v>52.27</v>
      </c>
      <c r="M520" s="18" t="n">
        <v>810.61</v>
      </c>
      <c r="N520" s="18" t="n">
        <v>738.92</v>
      </c>
      <c r="O520" s="18" t="n">
        <v>553.95</v>
      </c>
      <c r="P520" s="18" t="n">
        <v>894.5</v>
      </c>
      <c r="Q520" s="18" t="n">
        <v>403.45</v>
      </c>
      <c r="R520" s="21">
        <f>IF(OR(G520="",P520=""),"",G520/P520-1)</f>
        <v/>
      </c>
      <c r="S520" s="19" t="n">
        <v>0.2328</v>
      </c>
      <c r="T520" s="22" t="n">
        <v>0.0313</v>
      </c>
      <c r="U520" s="16" t="inlineStr">
        <is>
          <t>Yes</t>
        </is>
      </c>
      <c r="V520" s="16" t="inlineStr">
        <is>
          <t>Yes</t>
        </is>
      </c>
      <c r="W520" s="16" t="inlineStr">
        <is>
          <t>Yes</t>
        </is>
      </c>
      <c r="X520" s="16" t="inlineStr">
        <is>
          <t>Yes</t>
        </is>
      </c>
      <c r="Y520" s="20" t="n">
        <v>34</v>
      </c>
      <c r="Z520" s="19" t="n">
        <v>0.3339</v>
      </c>
      <c r="AA520" s="18" t="n">
        <v>31.24</v>
      </c>
      <c r="AB520" s="16" t="inlineStr">
        <is>
          <t>Poor</t>
        </is>
      </c>
      <c r="AC520" s="16" t="inlineStr">
        <is>
          <t>No</t>
        </is>
      </c>
      <c r="AD520" s="19" t="n">
        <v>-0.2058</v>
      </c>
      <c r="AE520" s="19" t="n">
        <v>0.0169</v>
      </c>
      <c r="AF520" s="19" t="n">
        <v>0.2205</v>
      </c>
      <c r="AG520" s="19" t="n">
        <v>0.4724</v>
      </c>
      <c r="AH520" s="23" t="n">
        <v>1.1</v>
      </c>
      <c r="AI520" s="23" t="n">
        <v>2.15</v>
      </c>
      <c r="AJ520" s="19" t="n">
        <v>0.0024</v>
      </c>
    </row>
    <row r="521">
      <c r="A521" s="16" t="inlineStr">
        <is>
          <t>KTKBANK</t>
        </is>
      </c>
      <c r="B521" s="16" t="inlineStr">
        <is>
          <t>Karnataka Bank Ltd.</t>
        </is>
      </c>
      <c r="C521" s="16" t="inlineStr">
        <is>
          <t>Banks</t>
        </is>
      </c>
      <c r="D521" s="16" t="inlineStr">
        <is>
          <t>Banking and Finance</t>
        </is>
      </c>
      <c r="E521" s="16" t="inlineStr">
        <is>
          <t>INE614B01018</t>
        </is>
      </c>
      <c r="F521" s="17" t="n">
        <v>12867.38</v>
      </c>
      <c r="G521" s="18" t="n">
        <v>340.1</v>
      </c>
      <c r="H521" s="19" t="n">
        <v>0.001</v>
      </c>
      <c r="I521" s="20" t="n">
        <v>87</v>
      </c>
      <c r="J521" s="16" t="inlineStr">
        <is>
          <t>green</t>
        </is>
      </c>
      <c r="K521" s="20" t="n">
        <v>41</v>
      </c>
      <c r="L521" s="18" t="n">
        <v>71.59</v>
      </c>
      <c r="M521" s="18" t="n">
        <v>333.93</v>
      </c>
      <c r="N521" s="18" t="n">
        <v>297.18</v>
      </c>
      <c r="O521" s="18" t="n">
        <v>243.84</v>
      </c>
      <c r="P521" s="18" t="n">
        <v>340.1</v>
      </c>
      <c r="Q521" s="18" t="n">
        <v>169.36</v>
      </c>
      <c r="R521" s="21">
        <f>IF(OR(G521="",P521=""),"",G521/P521-1)</f>
        <v/>
      </c>
      <c r="S521" s="19" t="n">
        <v>0.5614</v>
      </c>
      <c r="T521" s="22" t="n">
        <v>0.0633</v>
      </c>
      <c r="U521" s="16" t="inlineStr">
        <is>
          <t>Yes</t>
        </is>
      </c>
      <c r="V521" s="16" t="inlineStr">
        <is>
          <t>Yes</t>
        </is>
      </c>
      <c r="W521" s="16" t="inlineStr">
        <is>
          <t>Yes</t>
        </is>
      </c>
      <c r="X521" s="16" t="inlineStr">
        <is>
          <t>Yes</t>
        </is>
      </c>
      <c r="Y521" s="20" t="n">
        <v>192</v>
      </c>
      <c r="Z521" s="19" t="n">
        <v>0.2187</v>
      </c>
      <c r="AA521" s="18" t="n">
        <v>33.02</v>
      </c>
      <c r="AB521" s="16" t="inlineStr">
        <is>
          <t>Poor</t>
        </is>
      </c>
      <c r="AC521" s="16" t="inlineStr">
        <is>
          <t>Yes</t>
        </is>
      </c>
      <c r="AD521" s="19" t="n">
        <v>0.1083</v>
      </c>
      <c r="AE521" s="19" t="n"/>
      <c r="AF521" s="19" t="n">
        <v>-0.0231</v>
      </c>
      <c r="AG521" s="19" t="n">
        <v>0.0282</v>
      </c>
      <c r="AH521" s="23" t="n">
        <v>0.4</v>
      </c>
      <c r="AI521" s="23" t="n">
        <v>4.27</v>
      </c>
      <c r="AJ521" s="19" t="n">
        <v>0</v>
      </c>
    </row>
    <row r="522">
      <c r="A522" s="16" t="inlineStr">
        <is>
          <t>INOXWIND</t>
        </is>
      </c>
      <c r="B522" s="16" t="inlineStr">
        <is>
          <t>Inox Wind Ltd.</t>
        </is>
      </c>
      <c r="C522" s="16" t="inlineStr">
        <is>
          <t>Heavy Electrical Equipment</t>
        </is>
      </c>
      <c r="D522" s="16" t="inlineStr">
        <is>
          <t>General Industrials</t>
        </is>
      </c>
      <c r="E522" s="16" t="inlineStr">
        <is>
          <t>INE066P01011</t>
        </is>
      </c>
      <c r="F522" s="17" t="n">
        <v>12858.09</v>
      </c>
      <c r="G522" s="18" t="n">
        <v>74.40000000000001</v>
      </c>
      <c r="H522" s="19" t="n">
        <v>0.0054</v>
      </c>
      <c r="I522" s="20" t="n">
        <v>4</v>
      </c>
      <c r="J522" s="16" t="inlineStr">
        <is>
          <t>red</t>
        </is>
      </c>
      <c r="K522" s="20" t="n">
        <v>315</v>
      </c>
      <c r="L522" s="18" t="n">
        <v>36.82</v>
      </c>
      <c r="M522" s="18" t="n">
        <v>71.98</v>
      </c>
      <c r="N522" s="18" t="n">
        <v>77.92</v>
      </c>
      <c r="O522" s="18" t="n">
        <v>96.45999999999999</v>
      </c>
      <c r="P522" s="18" t="n">
        <v>157.25</v>
      </c>
      <c r="Q522" s="18" t="n">
        <v>69.5</v>
      </c>
      <c r="R522" s="21">
        <f>IF(OR(G522="",P522=""),"",G522/P522-1)</f>
        <v/>
      </c>
      <c r="S522" s="19" t="n">
        <v>1.6138</v>
      </c>
      <c r="T522" s="22" t="n">
        <v>-0.07440000000000001</v>
      </c>
      <c r="U522" s="16" t="inlineStr">
        <is>
          <t>No</t>
        </is>
      </c>
      <c r="V522" s="16" t="inlineStr">
        <is>
          <t>No</t>
        </is>
      </c>
      <c r="W522" s="16" t="inlineStr">
        <is>
          <t>Yes</t>
        </is>
      </c>
      <c r="X522" s="16" t="inlineStr">
        <is>
          <t>No</t>
        </is>
      </c>
      <c r="Y522" s="20" t="n">
        <v>403</v>
      </c>
      <c r="Z522" s="19" t="n">
        <v>-0.1922</v>
      </c>
      <c r="AA522" s="18" t="n">
        <v>52.16</v>
      </c>
      <c r="AB522" s="16" t="inlineStr">
        <is>
          <t>Average</t>
        </is>
      </c>
      <c r="AC522" s="16" t="inlineStr">
        <is>
          <t>No</t>
        </is>
      </c>
      <c r="AD522" s="19" t="n">
        <v>0.04650000000000001</v>
      </c>
      <c r="AE522" s="19" t="n">
        <v>0.0815</v>
      </c>
      <c r="AF522" s="19" t="n">
        <v>3.9313</v>
      </c>
      <c r="AG522" s="19" t="n">
        <v>0.8835</v>
      </c>
      <c r="AH522" s="23" t="n">
        <v>0.25</v>
      </c>
      <c r="AI522" s="23" t="n">
        <v>1.57</v>
      </c>
      <c r="AJ522" s="19" t="n">
        <v>0.0882</v>
      </c>
    </row>
    <row r="523">
      <c r="A523" s="16" t="inlineStr">
        <is>
          <t>CORONA</t>
        </is>
      </c>
      <c r="B523" s="16" t="inlineStr">
        <is>
          <t>Corona Remedies Ltd.</t>
        </is>
      </c>
      <c r="C523" s="16" t="inlineStr">
        <is>
          <t>Pharmaceuticals</t>
        </is>
      </c>
      <c r="D523" s="16" t="inlineStr">
        <is>
          <t>Pharmaceuticals &amp; Biotechnology</t>
        </is>
      </c>
      <c r="E523" s="16" t="inlineStr">
        <is>
          <t>INE02ZQ01018</t>
        </is>
      </c>
      <c r="F523" s="17" t="n">
        <v>12844.23</v>
      </c>
      <c r="G523" s="18" t="n">
        <v>2100.1</v>
      </c>
      <c r="H523" s="19" t="n">
        <v>-0.013</v>
      </c>
      <c r="I523" s="20" t="n">
        <v>71</v>
      </c>
      <c r="J523" s="16" t="inlineStr">
        <is>
          <t>amber</t>
        </is>
      </c>
      <c r="K523" s="20" t="n">
        <v>22</v>
      </c>
      <c r="L523" s="18" t="n">
        <v>48.04</v>
      </c>
      <c r="M523" s="18" t="n">
        <v>2078.94</v>
      </c>
      <c r="N523" s="18" t="n">
        <v>2072.62</v>
      </c>
      <c r="O523" s="18" t="n"/>
      <c r="P523" s="18" t="n">
        <v>2165.8</v>
      </c>
      <c r="Q523" s="18" t="n">
        <v>1340.36</v>
      </c>
      <c r="R523" s="21">
        <f>IF(OR(G523="",P523=""),"",G523/P523-1)</f>
        <v/>
      </c>
      <c r="S523" s="19" t="n">
        <v>0.3478</v>
      </c>
      <c r="T523" s="22" t="n"/>
      <c r="U523" s="16" t="n"/>
      <c r="V523" s="16" t="inlineStr">
        <is>
          <t>Yes</t>
        </is>
      </c>
      <c r="W523" s="16" t="inlineStr">
        <is>
          <t>Yes</t>
        </is>
      </c>
      <c r="X523" s="16" t="n"/>
      <c r="Y523" s="20" t="n"/>
      <c r="Z523" s="19" t="n"/>
      <c r="AA523" s="18" t="n">
        <v>69.88</v>
      </c>
      <c r="AB523" s="16" t="inlineStr">
        <is>
          <t>High</t>
        </is>
      </c>
      <c r="AC523" s="16" t="inlineStr">
        <is>
          <t>No</t>
        </is>
      </c>
      <c r="AD523" s="19" t="n">
        <v>0.2276</v>
      </c>
      <c r="AE523" s="19" t="n">
        <v>0.2568</v>
      </c>
      <c r="AF523" s="19" t="n">
        <v>0.3184</v>
      </c>
      <c r="AG523" s="19" t="n">
        <v>0.1663</v>
      </c>
      <c r="AH523" s="23" t="n">
        <v>0.22</v>
      </c>
      <c r="AI523" s="23" t="n">
        <v>3.2</v>
      </c>
      <c r="AJ523" s="19" t="n">
        <v>0.335</v>
      </c>
    </row>
    <row r="524">
      <c r="A524" s="16" t="inlineStr">
        <is>
          <t>JSWHL</t>
        </is>
      </c>
      <c r="B524" s="16" t="inlineStr">
        <is>
          <t>JSW Holdings Ltd.</t>
        </is>
      </c>
      <c r="C524" s="16" t="inlineStr">
        <is>
          <t>Holding Companies</t>
        </is>
      </c>
      <c r="D524" s="16" t="inlineStr">
        <is>
          <t>Diversified</t>
        </is>
      </c>
      <c r="E524" s="16" t="inlineStr">
        <is>
          <t>INE824G01012</t>
        </is>
      </c>
      <c r="F524" s="17" t="n">
        <v>12733.46</v>
      </c>
      <c r="G524" s="18" t="n">
        <v>11472</v>
      </c>
      <c r="H524" s="19" t="n">
        <v>-0.0102</v>
      </c>
      <c r="I524" s="20" t="n">
        <v>5</v>
      </c>
      <c r="J524" s="16" t="inlineStr">
        <is>
          <t>red</t>
        </is>
      </c>
      <c r="K524" s="20" t="n">
        <v>147</v>
      </c>
      <c r="L524" s="18" t="n">
        <v>44.8</v>
      </c>
      <c r="M524" s="18" t="n">
        <v>11673.87</v>
      </c>
      <c r="N524" s="18" t="n">
        <v>11548.52</v>
      </c>
      <c r="O524" s="18" t="n">
        <v>14753.08</v>
      </c>
      <c r="P524" s="18" t="n">
        <v>22165</v>
      </c>
      <c r="Q524" s="18" t="n">
        <v>10655</v>
      </c>
      <c r="R524" s="21">
        <f>IF(OR(G524="",P524=""),"",G524/P524-1)</f>
        <v/>
      </c>
      <c r="S524" s="19" t="n">
        <v>0.653</v>
      </c>
      <c r="T524" s="22" t="n">
        <v>-0.0352</v>
      </c>
      <c r="U524" s="16" t="inlineStr">
        <is>
          <t>No</t>
        </is>
      </c>
      <c r="V524" s="16" t="inlineStr">
        <is>
          <t>No</t>
        </is>
      </c>
      <c r="W524" s="16" t="inlineStr">
        <is>
          <t>No</t>
        </is>
      </c>
      <c r="X524" s="16" t="inlineStr">
        <is>
          <t>No</t>
        </is>
      </c>
      <c r="Y524" s="20" t="n">
        <v>245</v>
      </c>
      <c r="Z524" s="19" t="n">
        <v>-0.2172</v>
      </c>
      <c r="AA524" s="18" t="n">
        <v>11.31</v>
      </c>
      <c r="AB524" s="16" t="inlineStr">
        <is>
          <t>Poor</t>
        </is>
      </c>
      <c r="AC524" s="16" t="inlineStr">
        <is>
          <t>Yes</t>
        </is>
      </c>
      <c r="AD524" s="19" t="n">
        <v>0.005600000000000001</v>
      </c>
      <c r="AE524" s="19" t="n">
        <v>0.0062</v>
      </c>
      <c r="AF524" s="19" t="n">
        <v>-0.1743</v>
      </c>
      <c r="AG524" s="19" t="n">
        <v>-0.1324</v>
      </c>
      <c r="AH524" s="23" t="n">
        <v>0</v>
      </c>
      <c r="AI524" s="23" t="n">
        <v>17942</v>
      </c>
      <c r="AJ524" s="19" t="n">
        <v>0</v>
      </c>
    </row>
    <row r="525">
      <c r="A525" s="16" t="inlineStr">
        <is>
          <t>RKFORGE</t>
        </is>
      </c>
      <c r="B525" s="16" t="inlineStr">
        <is>
          <t>Ramkrishna Forgings Ltd.</t>
        </is>
      </c>
      <c r="C525" s="16" t="inlineStr">
        <is>
          <t>Castings &amp; Forgings</t>
        </is>
      </c>
      <c r="D525" s="16" t="inlineStr">
        <is>
          <t>General Industrials</t>
        </is>
      </c>
      <c r="E525" s="16" t="inlineStr">
        <is>
          <t>INE399G01023</t>
        </is>
      </c>
      <c r="F525" s="17" t="n">
        <v>12673.37</v>
      </c>
      <c r="G525" s="18" t="n">
        <v>700.85</v>
      </c>
      <c r="H525" s="19" t="n">
        <v>-0.0358</v>
      </c>
      <c r="I525" s="20" t="n">
        <v>73</v>
      </c>
      <c r="J525" s="16" t="inlineStr">
        <is>
          <t>amber</t>
        </is>
      </c>
      <c r="K525" s="20" t="n">
        <v>3</v>
      </c>
      <c r="L525" s="18" t="n">
        <v>33.75</v>
      </c>
      <c r="M525" s="18" t="n">
        <v>731.36</v>
      </c>
      <c r="N525" s="18" t="n">
        <v>656.16</v>
      </c>
      <c r="O525" s="18" t="n">
        <v>571.26</v>
      </c>
      <c r="P525" s="18" t="n">
        <v>755</v>
      </c>
      <c r="Q525" s="18" t="n">
        <v>461.96</v>
      </c>
      <c r="R525" s="21">
        <f>IF(OR(G525="",P525=""),"",G525/P525-1)</f>
        <v/>
      </c>
      <c r="S525" s="19" t="n">
        <v>0.6573</v>
      </c>
      <c r="T525" s="22" t="n">
        <v>0.0353</v>
      </c>
      <c r="U525" s="16" t="inlineStr">
        <is>
          <t>Yes</t>
        </is>
      </c>
      <c r="V525" s="16" t="inlineStr">
        <is>
          <t>Yes</t>
        </is>
      </c>
      <c r="W525" s="16" t="inlineStr">
        <is>
          <t>No</t>
        </is>
      </c>
      <c r="X525" s="16" t="inlineStr">
        <is>
          <t>Yes</t>
        </is>
      </c>
      <c r="Y525" s="20" t="n">
        <v>84</v>
      </c>
      <c r="Z525" s="19" t="n">
        <v>0.1486</v>
      </c>
      <c r="AA525" s="18" t="n">
        <v>28.24</v>
      </c>
      <c r="AB525" s="16" t="inlineStr">
        <is>
          <t>Poor</t>
        </is>
      </c>
      <c r="AC525" s="16" t="inlineStr">
        <is>
          <t>No</t>
        </is>
      </c>
      <c r="AD525" s="19" t="n">
        <v>0.0897</v>
      </c>
      <c r="AE525" s="19" t="n">
        <v>0.07290000000000001</v>
      </c>
      <c r="AF525" s="19" t="n">
        <v>-0.126</v>
      </c>
      <c r="AG525" s="19" t="n">
        <v>0.1068</v>
      </c>
      <c r="AH525" s="23" t="n">
        <v>0.74</v>
      </c>
      <c r="AI525" s="23" t="n">
        <v>0.97</v>
      </c>
      <c r="AJ525" s="19" t="n">
        <v>0.08929999999999999</v>
      </c>
    </row>
    <row r="526">
      <c r="A526" s="16" t="inlineStr">
        <is>
          <t>HOMEFIRST</t>
        </is>
      </c>
      <c r="B526" s="16" t="inlineStr">
        <is>
          <t>Home First Finance Company India Ltd.</t>
        </is>
      </c>
      <c r="C526" s="16" t="inlineStr">
        <is>
          <t>Housing Finance</t>
        </is>
      </c>
      <c r="D526" s="16" t="inlineStr">
        <is>
          <t>Banking and Finance</t>
        </is>
      </c>
      <c r="E526" s="16" t="inlineStr">
        <is>
          <t>INE481N01025</t>
        </is>
      </c>
      <c r="F526" s="17" t="n">
        <v>12652.75</v>
      </c>
      <c r="G526" s="18" t="n">
        <v>1210.1</v>
      </c>
      <c r="H526" s="19" t="n">
        <v>0.0072</v>
      </c>
      <c r="I526" s="20" t="n">
        <v>55</v>
      </c>
      <c r="J526" s="16" t="inlineStr">
        <is>
          <t>red</t>
        </is>
      </c>
      <c r="K526" s="20" t="n">
        <v>103</v>
      </c>
      <c r="L526" s="18" t="n">
        <v>61.91</v>
      </c>
      <c r="M526" s="18" t="n">
        <v>1192.24</v>
      </c>
      <c r="N526" s="18" t="n">
        <v>1197.09</v>
      </c>
      <c r="O526" s="18" t="n">
        <v>1125.44</v>
      </c>
      <c r="P526" s="18" t="n">
        <v>1296.74</v>
      </c>
      <c r="Q526" s="18" t="n">
        <v>900.59</v>
      </c>
      <c r="R526" s="21">
        <f>IF(OR(G526="",P526=""),"",G526/P526-1)</f>
        <v/>
      </c>
      <c r="S526" s="19" t="n">
        <v>0.9198000000000001</v>
      </c>
      <c r="T526" s="22" t="n">
        <v>-0.0005</v>
      </c>
      <c r="U526" s="16" t="inlineStr">
        <is>
          <t>No</t>
        </is>
      </c>
      <c r="V526" s="16" t="inlineStr">
        <is>
          <t>Yes</t>
        </is>
      </c>
      <c r="W526" s="16" t="inlineStr">
        <is>
          <t>Yes</t>
        </is>
      </c>
      <c r="X526" s="16" t="inlineStr">
        <is>
          <t>Yes</t>
        </is>
      </c>
      <c r="Y526" s="20" t="n">
        <v>41</v>
      </c>
      <c r="Z526" s="19" t="n">
        <v>0.06370000000000001</v>
      </c>
      <c r="AA526" s="18" t="n">
        <v>55.61</v>
      </c>
      <c r="AB526" s="16" t="inlineStr">
        <is>
          <t>Good</t>
        </is>
      </c>
      <c r="AC526" s="16" t="inlineStr">
        <is>
          <t>Yes</t>
        </is>
      </c>
      <c r="AD526" s="19" t="n">
        <v>0.1399</v>
      </c>
      <c r="AE526" s="19" t="n">
        <v>0.0466</v>
      </c>
      <c r="AF526" s="19" t="n">
        <v>0.2706</v>
      </c>
      <c r="AG526" s="19" t="n">
        <v>0.3388</v>
      </c>
      <c r="AH526" s="23" t="n">
        <v>2.43</v>
      </c>
      <c r="AI526" s="23" t="n">
        <v>37.83</v>
      </c>
      <c r="AJ526" s="19" t="n">
        <v>0.0043</v>
      </c>
    </row>
    <row r="527">
      <c r="A527" s="16" t="inlineStr">
        <is>
          <t>BBOX</t>
        </is>
      </c>
      <c r="B527" s="16" t="inlineStr">
        <is>
          <t>Black Box Ltd.</t>
        </is>
      </c>
      <c r="C527" s="16" t="inlineStr">
        <is>
          <t>IT Consulting &amp; Software</t>
        </is>
      </c>
      <c r="D527" s="16" t="inlineStr">
        <is>
          <t>Software &amp; Services</t>
        </is>
      </c>
      <c r="E527" s="16" t="inlineStr">
        <is>
          <t>INE676A01027</t>
        </is>
      </c>
      <c r="F527" s="17" t="n">
        <v>12649.5</v>
      </c>
      <c r="G527" s="18" t="n">
        <v>712.25</v>
      </c>
      <c r="H527" s="19" t="n">
        <v>-0.012</v>
      </c>
      <c r="I527" s="20" t="n">
        <v>61</v>
      </c>
      <c r="J527" s="16" t="inlineStr">
        <is>
          <t>amber</t>
        </is>
      </c>
      <c r="K527" s="20" t="n">
        <v>25</v>
      </c>
      <c r="L527" s="18" t="n">
        <v>31.13</v>
      </c>
      <c r="M527" s="18" t="n">
        <v>732.95</v>
      </c>
      <c r="N527" s="18" t="n">
        <v>808.61</v>
      </c>
      <c r="O527" s="18" t="n">
        <v>678.6799999999999</v>
      </c>
      <c r="P527" s="18" t="n">
        <v>1076.74</v>
      </c>
      <c r="Q527" s="18" t="n">
        <v>443.9</v>
      </c>
      <c r="R527" s="21">
        <f>IF(OR(G527="",P527=""),"",G527/P527-1)</f>
        <v/>
      </c>
      <c r="S527" s="19" t="n">
        <v>0.501</v>
      </c>
      <c r="T527" s="22" t="n">
        <v>0.0316</v>
      </c>
      <c r="U527" s="16" t="inlineStr">
        <is>
          <t>Yes</t>
        </is>
      </c>
      <c r="V527" s="16" t="inlineStr">
        <is>
          <t>No</t>
        </is>
      </c>
      <c r="W527" s="16" t="inlineStr">
        <is>
          <t>No</t>
        </is>
      </c>
      <c r="X527" s="16" t="inlineStr">
        <is>
          <t>Yes</t>
        </is>
      </c>
      <c r="Y527" s="20" t="n">
        <v>93</v>
      </c>
      <c r="Z527" s="19" t="n">
        <v>0.1914</v>
      </c>
      <c r="AA527" s="18" t="n">
        <v>54.53</v>
      </c>
      <c r="AB527" s="16" t="inlineStr">
        <is>
          <t>Good</t>
        </is>
      </c>
      <c r="AC527" s="16" t="inlineStr">
        <is>
          <t>No</t>
        </is>
      </c>
      <c r="AD527" s="19" t="n">
        <v>0.2417</v>
      </c>
      <c r="AE527" s="19" t="n">
        <v>0.1813</v>
      </c>
      <c r="AF527" s="19" t="n">
        <v>1.4273</v>
      </c>
      <c r="AG527" s="19" t="n">
        <v>0.0033</v>
      </c>
      <c r="AH527" s="23" t="n">
        <v>0.9</v>
      </c>
      <c r="AI527" s="23" t="n">
        <v>15.4</v>
      </c>
      <c r="AJ527" s="19" t="n">
        <v>0</v>
      </c>
    </row>
    <row r="528">
      <c r="A528" s="16" t="inlineStr">
        <is>
          <t>JMFINANCIL</t>
        </is>
      </c>
      <c r="B528" s="16" t="inlineStr">
        <is>
          <t>JM Financial Ltd.</t>
        </is>
      </c>
      <c r="C528" s="16" t="inlineStr">
        <is>
          <t>Holding Companies</t>
        </is>
      </c>
      <c r="D528" s="16" t="inlineStr">
        <is>
          <t>Diversified</t>
        </is>
      </c>
      <c r="E528" s="16" t="inlineStr">
        <is>
          <t>INE780C01023</t>
        </is>
      </c>
      <c r="F528" s="17" t="n">
        <v>12637.61</v>
      </c>
      <c r="G528" s="18" t="n">
        <v>132.06</v>
      </c>
      <c r="H528" s="19" t="n">
        <v>-0.0184</v>
      </c>
      <c r="I528" s="20" t="n">
        <v>39</v>
      </c>
      <c r="J528" s="16" t="inlineStr">
        <is>
          <t>red</t>
        </is>
      </c>
      <c r="K528" s="20" t="n">
        <v>81</v>
      </c>
      <c r="L528" s="18" t="n">
        <v>58.09</v>
      </c>
      <c r="M528" s="18" t="n">
        <v>130.6</v>
      </c>
      <c r="N528" s="18" t="n">
        <v>126.73</v>
      </c>
      <c r="O528" s="18" t="n">
        <v>130.18</v>
      </c>
      <c r="P528" s="18" t="n">
        <v>187.49</v>
      </c>
      <c r="Q528" s="18" t="n">
        <v>111.89</v>
      </c>
      <c r="R528" s="21">
        <f>IF(OR(G528="",P528=""),"",G528/P528-1)</f>
        <v/>
      </c>
      <c r="S528" s="19" t="n">
        <v>1.294</v>
      </c>
      <c r="T528" s="22" t="n">
        <v>-0.0207</v>
      </c>
      <c r="U528" s="16" t="inlineStr">
        <is>
          <t>No</t>
        </is>
      </c>
      <c r="V528" s="16" t="inlineStr">
        <is>
          <t>Yes</t>
        </is>
      </c>
      <c r="W528" s="16" t="inlineStr">
        <is>
          <t>Yes</t>
        </is>
      </c>
      <c r="X528" s="16" t="inlineStr">
        <is>
          <t>No</t>
        </is>
      </c>
      <c r="Y528" s="20" t="n">
        <v>163</v>
      </c>
      <c r="Z528" s="19" t="n">
        <v>-0.0265</v>
      </c>
      <c r="AA528" s="18" t="n">
        <v>54.71</v>
      </c>
      <c r="AB528" s="16" t="inlineStr">
        <is>
          <t>Good</t>
        </is>
      </c>
      <c r="AC528" s="16" t="inlineStr">
        <is>
          <t>Yes</t>
        </is>
      </c>
      <c r="AD528" s="19" t="n">
        <v>0.0818</v>
      </c>
      <c r="AE528" s="19" t="n"/>
      <c r="AF528" s="19" t="n">
        <v>0.383</v>
      </c>
      <c r="AG528" s="19" t="n">
        <v>0.1992</v>
      </c>
      <c r="AH528" s="23" t="n">
        <v>1.09</v>
      </c>
      <c r="AI528" s="23" t="n">
        <v>5</v>
      </c>
      <c r="AJ528" s="19" t="n">
        <v>0</v>
      </c>
    </row>
    <row r="529">
      <c r="A529" s="16" t="inlineStr">
        <is>
          <t>VARROC</t>
        </is>
      </c>
      <c r="B529" s="16" t="inlineStr">
        <is>
          <t>Varroc Engineering Ltd.</t>
        </is>
      </c>
      <c r="C529" s="16" t="inlineStr">
        <is>
          <t>Auto Parts &amp; Equipment</t>
        </is>
      </c>
      <c r="D529" s="16" t="inlineStr">
        <is>
          <t>Automobiles &amp; Auto Components</t>
        </is>
      </c>
      <c r="E529" s="16" t="inlineStr">
        <is>
          <t>INE665L01035</t>
        </is>
      </c>
      <c r="F529" s="17" t="n">
        <v>12625.5</v>
      </c>
      <c r="G529" s="18" t="n">
        <v>826.35</v>
      </c>
      <c r="H529" s="19" t="n">
        <v>-0.0153</v>
      </c>
      <c r="I529" s="20" t="n">
        <v>83</v>
      </c>
      <c r="J529" s="16" t="inlineStr">
        <is>
          <t>green</t>
        </is>
      </c>
      <c r="K529" s="20" t="n">
        <v>21</v>
      </c>
      <c r="L529" s="18" t="n">
        <v>44.19</v>
      </c>
      <c r="M529" s="18" t="n">
        <v>834.51</v>
      </c>
      <c r="N529" s="18" t="n">
        <v>731.85</v>
      </c>
      <c r="O529" s="18" t="n">
        <v>608.8</v>
      </c>
      <c r="P529" s="18" t="n">
        <v>877</v>
      </c>
      <c r="Q529" s="18" t="n">
        <v>466.45</v>
      </c>
      <c r="R529" s="21">
        <f>IF(OR(G529="",P529=""),"",G529/P529-1)</f>
        <v/>
      </c>
      <c r="S529" s="19" t="n">
        <v>0.313</v>
      </c>
      <c r="T529" s="22" t="n">
        <v>0.035</v>
      </c>
      <c r="U529" s="16" t="inlineStr">
        <is>
          <t>Yes</t>
        </is>
      </c>
      <c r="V529" s="16" t="inlineStr">
        <is>
          <t>Yes</t>
        </is>
      </c>
      <c r="W529" s="16" t="inlineStr">
        <is>
          <t>No</t>
        </is>
      </c>
      <c r="X529" s="16" t="inlineStr">
        <is>
          <t>Yes</t>
        </is>
      </c>
      <c r="Y529" s="20" t="n">
        <v>44</v>
      </c>
      <c r="Z529" s="19" t="n">
        <v>0.2021</v>
      </c>
      <c r="AA529" s="18" t="n">
        <v>40</v>
      </c>
      <c r="AB529" s="16" t="inlineStr">
        <is>
          <t>Weak</t>
        </is>
      </c>
      <c r="AC529" s="16" t="inlineStr">
        <is>
          <t>No</t>
        </is>
      </c>
      <c r="AD529" s="19" t="n">
        <v>0.1723</v>
      </c>
      <c r="AE529" s="19" t="n">
        <v>0.1568</v>
      </c>
      <c r="AF529" s="19" t="n">
        <v>-0.0806</v>
      </c>
      <c r="AG529" s="19" t="n">
        <v>0.0868</v>
      </c>
      <c r="AH529" s="23" t="n">
        <v>0.52</v>
      </c>
      <c r="AI529" s="23" t="n">
        <v>3.89</v>
      </c>
      <c r="AJ529" s="19" t="n">
        <v>0.0455</v>
      </c>
    </row>
    <row r="530">
      <c r="A530" s="16" t="inlineStr">
        <is>
          <t>MANORAMA</t>
        </is>
      </c>
      <c r="B530" s="16" t="inlineStr">
        <is>
          <t>Manorama Industries Ltd.</t>
        </is>
      </c>
      <c r="C530" s="16" t="inlineStr">
        <is>
          <t>Other Food &amp; Beverages</t>
        </is>
      </c>
      <c r="D530" s="16" t="inlineStr">
        <is>
          <t>Food, Beverages &amp; Tobacco</t>
        </is>
      </c>
      <c r="E530" s="16" t="inlineStr">
        <is>
          <t>INE00VM01036</t>
        </is>
      </c>
      <c r="F530" s="17" t="n">
        <v>12582.82</v>
      </c>
      <c r="G530" s="18" t="n">
        <v>1993.4</v>
      </c>
      <c r="H530" s="19" t="n">
        <v>0.0138</v>
      </c>
      <c r="I530" s="20" t="n">
        <v>82</v>
      </c>
      <c r="J530" s="16" t="inlineStr">
        <is>
          <t>green</t>
        </is>
      </c>
      <c r="K530" s="20" t="n">
        <v>2</v>
      </c>
      <c r="L530" s="18" t="n">
        <v>55.64</v>
      </c>
      <c r="M530" s="18" t="n">
        <v>1896.39</v>
      </c>
      <c r="N530" s="18" t="n">
        <v>1698.13</v>
      </c>
      <c r="O530" s="18" t="n">
        <v>1456.85</v>
      </c>
      <c r="P530" s="18" t="n">
        <v>1993.4</v>
      </c>
      <c r="Q530" s="18" t="n">
        <v>1075.8</v>
      </c>
      <c r="R530" s="21">
        <f>IF(OR(G530="",P530=""),"",G530/P530-1)</f>
        <v/>
      </c>
      <c r="S530" s="19" t="n">
        <v>0.6978</v>
      </c>
      <c r="T530" s="22" t="n">
        <v>0.0343</v>
      </c>
      <c r="U530" s="16" t="inlineStr">
        <is>
          <t>Yes</t>
        </is>
      </c>
      <c r="V530" s="16" t="inlineStr">
        <is>
          <t>Yes</t>
        </is>
      </c>
      <c r="W530" s="16" t="inlineStr">
        <is>
          <t>Yes</t>
        </is>
      </c>
      <c r="X530" s="16" t="inlineStr">
        <is>
          <t>Yes</t>
        </is>
      </c>
      <c r="Y530" s="20" t="n">
        <v>75</v>
      </c>
      <c r="Z530" s="19" t="n">
        <v>0.1656</v>
      </c>
      <c r="AA530" s="18" t="n">
        <v>71.19</v>
      </c>
      <c r="AB530" s="16" t="inlineStr">
        <is>
          <t>High</t>
        </is>
      </c>
      <c r="AC530" s="16" t="inlineStr">
        <is>
          <t>No</t>
        </is>
      </c>
      <c r="AD530" s="19" t="n">
        <v>0.2259</v>
      </c>
      <c r="AE530" s="19" t="n">
        <v>0.2096</v>
      </c>
      <c r="AF530" s="19" t="n">
        <v>1.0129</v>
      </c>
      <c r="AG530" s="19" t="n">
        <v>0.5911</v>
      </c>
      <c r="AH530" s="23" t="n">
        <v>0.53</v>
      </c>
      <c r="AI530" s="23" t="n">
        <v>6.43</v>
      </c>
      <c r="AJ530" s="19" t="n">
        <v>0.0858</v>
      </c>
    </row>
    <row r="531">
      <c r="A531" s="16" t="inlineStr">
        <is>
          <t>NUVOCO</t>
        </is>
      </c>
      <c r="B531" s="16" t="inlineStr">
        <is>
          <t>Nuvoco Vistas Corporation Ltd.</t>
        </is>
      </c>
      <c r="C531" s="16" t="inlineStr">
        <is>
          <t>Cement &amp; Cement Products</t>
        </is>
      </c>
      <c r="D531" s="16" t="inlineStr">
        <is>
          <t>Cement and Construction</t>
        </is>
      </c>
      <c r="E531" s="16" t="inlineStr">
        <is>
          <t>INE118D01016</t>
        </is>
      </c>
      <c r="F531" s="17" t="n">
        <v>12577.26</v>
      </c>
      <c r="G531" s="18" t="n">
        <v>352.15</v>
      </c>
      <c r="H531" s="19" t="n">
        <v>0.0416</v>
      </c>
      <c r="I531" s="20" t="n">
        <v>45</v>
      </c>
      <c r="J531" s="16" t="inlineStr">
        <is>
          <t>red</t>
        </is>
      </c>
      <c r="K531" s="20" t="n">
        <v>211</v>
      </c>
      <c r="L531" s="18" t="n">
        <v>66.95999999999999</v>
      </c>
      <c r="M531" s="18" t="n">
        <v>329.22</v>
      </c>
      <c r="N531" s="18" t="n">
        <v>334.36</v>
      </c>
      <c r="O531" s="18" t="n">
        <v>329.29</v>
      </c>
      <c r="P531" s="18" t="n">
        <v>470.6</v>
      </c>
      <c r="Q531" s="18" t="n">
        <v>281.1</v>
      </c>
      <c r="R531" s="21">
        <f>IF(OR(G531="",P531=""),"",G531/P531-1)</f>
        <v/>
      </c>
      <c r="S531" s="19" t="n">
        <v>4.3481</v>
      </c>
      <c r="T531" s="22" t="n">
        <v>-0.0198</v>
      </c>
      <c r="U531" s="16" t="inlineStr">
        <is>
          <t>No</t>
        </is>
      </c>
      <c r="V531" s="16" t="inlineStr">
        <is>
          <t>Yes</t>
        </is>
      </c>
      <c r="W531" s="16" t="inlineStr">
        <is>
          <t>Yes</t>
        </is>
      </c>
      <c r="X531" s="16" t="inlineStr">
        <is>
          <t>Yes</t>
        </is>
      </c>
      <c r="Y531" s="20" t="n">
        <v>10</v>
      </c>
      <c r="Z531" s="19" t="n">
        <v>0.0154</v>
      </c>
      <c r="AA531" s="18" t="n">
        <v>34.16</v>
      </c>
      <c r="AB531" s="16" t="inlineStr">
        <is>
          <t>Poor</t>
        </is>
      </c>
      <c r="AC531" s="16" t="inlineStr">
        <is>
          <t>No</t>
        </is>
      </c>
      <c r="AD531" s="19" t="n">
        <v>0.0191</v>
      </c>
      <c r="AE531" s="19" t="n">
        <v>0.053</v>
      </c>
      <c r="AF531" s="19" t="n">
        <v>7.680800000000001</v>
      </c>
      <c r="AG531" s="19" t="n">
        <v>0.0283</v>
      </c>
      <c r="AH531" s="23" t="n">
        <v>0.53</v>
      </c>
      <c r="AI531" s="23" t="n">
        <v>0.9399999999999999</v>
      </c>
      <c r="AJ531" s="19" t="n">
        <v>0.2079</v>
      </c>
    </row>
    <row r="532">
      <c r="A532" s="16" t="inlineStr">
        <is>
          <t>UJJIVANSFB</t>
        </is>
      </c>
      <c r="B532" s="16" t="inlineStr">
        <is>
          <t>Ujjivan Small Finance Bank Ltd.</t>
        </is>
      </c>
      <c r="C532" s="16" t="inlineStr">
        <is>
          <t>Microfinance Institutions</t>
        </is>
      </c>
      <c r="D532" s="16" t="inlineStr">
        <is>
          <t>Banking and Finance</t>
        </is>
      </c>
      <c r="E532" s="16" t="inlineStr">
        <is>
          <t>INE551W01018</t>
        </is>
      </c>
      <c r="F532" s="17" t="n">
        <v>12554.45</v>
      </c>
      <c r="G532" s="18" t="n">
        <v>64.43000000000001</v>
      </c>
      <c r="H532" s="19" t="n">
        <v>0.0229</v>
      </c>
      <c r="I532" s="20" t="n">
        <v>71</v>
      </c>
      <c r="J532" s="16" t="inlineStr">
        <is>
          <t>amber</t>
        </is>
      </c>
      <c r="K532" s="20" t="n">
        <v>9</v>
      </c>
      <c r="L532" s="18" t="n">
        <v>22.13</v>
      </c>
      <c r="M532" s="18" t="n">
        <v>66.37</v>
      </c>
      <c r="N532" s="18" t="n">
        <v>67.31</v>
      </c>
      <c r="O532" s="18" t="n">
        <v>59.42</v>
      </c>
      <c r="P532" s="18" t="n">
        <v>72.47</v>
      </c>
      <c r="Q532" s="18" t="n">
        <v>42.57</v>
      </c>
      <c r="R532" s="21">
        <f>IF(OR(G532="",P532=""),"",G532/P532-1)</f>
        <v/>
      </c>
      <c r="S532" s="19" t="n">
        <v>0.7262999999999999</v>
      </c>
      <c r="T532" s="22" t="n">
        <v>0.0296</v>
      </c>
      <c r="U532" s="16" t="inlineStr">
        <is>
          <t>Yes</t>
        </is>
      </c>
      <c r="V532" s="16" t="inlineStr">
        <is>
          <t>No</t>
        </is>
      </c>
      <c r="W532" s="16" t="inlineStr">
        <is>
          <t>No</t>
        </is>
      </c>
      <c r="X532" s="16" t="inlineStr">
        <is>
          <t>Yes</t>
        </is>
      </c>
      <c r="Y532" s="20" t="n">
        <v>330</v>
      </c>
      <c r="Z532" s="19" t="n">
        <v>0.1327</v>
      </c>
      <c r="AA532" s="18" t="n">
        <v>40</v>
      </c>
      <c r="AB532" s="16" t="inlineStr">
        <is>
          <t>Weak</t>
        </is>
      </c>
      <c r="AC532" s="16" t="inlineStr">
        <is>
          <t>Yes</t>
        </is>
      </c>
      <c r="AD532" s="19" t="n">
        <v>0.1498</v>
      </c>
      <c r="AE532" s="19" t="n"/>
      <c r="AF532" s="19" t="n">
        <v>-0.1203</v>
      </c>
      <c r="AG532" s="19" t="n">
        <v>0.1447</v>
      </c>
      <c r="AH532" s="23" t="n">
        <v>0.36</v>
      </c>
      <c r="AI532" s="23" t="n">
        <v>10.73</v>
      </c>
      <c r="AJ532" s="19" t="n">
        <v>0</v>
      </c>
    </row>
    <row r="533">
      <c r="A533" s="16" t="inlineStr">
        <is>
          <t>WABAG</t>
        </is>
      </c>
      <c r="B533" s="16" t="inlineStr">
        <is>
          <t>Va Tech Wabag Ltd.</t>
        </is>
      </c>
      <c r="C533" s="16" t="inlineStr">
        <is>
          <t>Utilities:Non-Electrical</t>
        </is>
      </c>
      <c r="D533" s="16" t="inlineStr">
        <is>
          <t>Utilities</t>
        </is>
      </c>
      <c r="E533" s="16" t="inlineStr">
        <is>
          <t>INE956G01038</t>
        </is>
      </c>
      <c r="F533" s="17" t="n">
        <v>12528.75</v>
      </c>
      <c r="G533" s="18" t="n">
        <v>2005.3</v>
      </c>
      <c r="H533" s="19" t="n">
        <v>-0.0029</v>
      </c>
      <c r="I533" s="20" t="n">
        <v>80</v>
      </c>
      <c r="J533" s="16" t="inlineStr">
        <is>
          <t>green</t>
        </is>
      </c>
      <c r="K533" s="20" t="n">
        <v>59</v>
      </c>
      <c r="L533" s="18" t="n">
        <v>58.36</v>
      </c>
      <c r="M533" s="18" t="n">
        <v>2046.58</v>
      </c>
      <c r="N533" s="18" t="n">
        <v>2025.73</v>
      </c>
      <c r="O533" s="18" t="n">
        <v>1527.93</v>
      </c>
      <c r="P533" s="18" t="n">
        <v>2215.79</v>
      </c>
      <c r="Q533" s="18" t="n">
        <v>1046.55</v>
      </c>
      <c r="R533" s="21">
        <f>IF(OR(G533="",P533=""),"",G533/P533-1)</f>
        <v/>
      </c>
      <c r="S533" s="19" t="n">
        <v>0.3139</v>
      </c>
      <c r="T533" s="22" t="n">
        <v>0.0407</v>
      </c>
      <c r="U533" s="16" t="inlineStr">
        <is>
          <t>Yes</t>
        </is>
      </c>
      <c r="V533" s="16" t="inlineStr">
        <is>
          <t>No</t>
        </is>
      </c>
      <c r="W533" s="16" t="inlineStr">
        <is>
          <t>No</t>
        </is>
      </c>
      <c r="X533" s="16" t="inlineStr">
        <is>
          <t>Yes</t>
        </is>
      </c>
      <c r="Y533" s="20" t="n">
        <v>75</v>
      </c>
      <c r="Z533" s="19" t="n">
        <v>0.3258</v>
      </c>
      <c r="AA533" s="18" t="n">
        <v>67.17</v>
      </c>
      <c r="AB533" s="16" t="inlineStr">
        <is>
          <t>High</t>
        </is>
      </c>
      <c r="AC533" s="16" t="inlineStr">
        <is>
          <t>No</t>
        </is>
      </c>
      <c r="AD533" s="19" t="n">
        <v>0.1391</v>
      </c>
      <c r="AE533" s="19" t="n">
        <v>0.1729</v>
      </c>
      <c r="AF533" s="19" t="n">
        <v>6.2478</v>
      </c>
      <c r="AG533" s="19" t="n">
        <v>0.1038</v>
      </c>
      <c r="AH533" s="23" t="n">
        <v>0.09</v>
      </c>
      <c r="AI533" s="23" t="n">
        <v>61.74</v>
      </c>
      <c r="AJ533" s="19" t="n">
        <v>0</v>
      </c>
    </row>
    <row r="534">
      <c r="A534" s="16" t="inlineStr">
        <is>
          <t>PCBL</t>
        </is>
      </c>
      <c r="B534" s="16" t="inlineStr">
        <is>
          <t>PCBL Chemical Ltd.</t>
        </is>
      </c>
      <c r="C534" s="16" t="inlineStr">
        <is>
          <t>Refineries/Petro-Products</t>
        </is>
      </c>
      <c r="D534" s="16" t="inlineStr">
        <is>
          <t>Oil &amp; Gas</t>
        </is>
      </c>
      <c r="E534" s="16" t="inlineStr">
        <is>
          <t>INE602A01031</t>
        </is>
      </c>
      <c r="F534" s="17" t="n">
        <v>12472.76</v>
      </c>
      <c r="G534" s="18" t="n">
        <v>317</v>
      </c>
      <c r="H534" s="19" t="n">
        <v>0.008800000000000001</v>
      </c>
      <c r="I534" s="20" t="n">
        <v>49</v>
      </c>
      <c r="J534" s="16" t="inlineStr">
        <is>
          <t>red</t>
        </is>
      </c>
      <c r="K534" s="20" t="n">
        <v>27</v>
      </c>
      <c r="L534" s="18" t="n">
        <v>51.77</v>
      </c>
      <c r="M534" s="18" t="n">
        <v>318.98</v>
      </c>
      <c r="N534" s="18" t="n">
        <v>318.47</v>
      </c>
      <c r="O534" s="18" t="n">
        <v>294.58</v>
      </c>
      <c r="P534" s="18" t="n">
        <v>401.2</v>
      </c>
      <c r="Q534" s="18" t="n">
        <v>228.95</v>
      </c>
      <c r="R534" s="21">
        <f>IF(OR(G534="",P534=""),"",G534/P534-1)</f>
        <v/>
      </c>
      <c r="S534" s="19" t="n">
        <v>0.2394</v>
      </c>
      <c r="T534" s="22" t="n">
        <v>-0.0102</v>
      </c>
      <c r="U534" s="16" t="inlineStr">
        <is>
          <t>No</t>
        </is>
      </c>
      <c r="V534" s="16" t="inlineStr">
        <is>
          <t>No</t>
        </is>
      </c>
      <c r="W534" s="16" t="inlineStr">
        <is>
          <t>No</t>
        </is>
      </c>
      <c r="X534" s="16" t="inlineStr">
        <is>
          <t>Yes</t>
        </is>
      </c>
      <c r="Y534" s="20" t="n">
        <v>31</v>
      </c>
      <c r="Z534" s="19" t="n">
        <v>0.08109999999999999</v>
      </c>
      <c r="AA534" s="18" t="n">
        <v>31.32</v>
      </c>
      <c r="AB534" s="16" t="inlineStr">
        <is>
          <t>Poor</t>
        </is>
      </c>
      <c r="AC534" s="16" t="inlineStr">
        <is>
          <t>No</t>
        </is>
      </c>
      <c r="AD534" s="19" t="n">
        <v>0.106</v>
      </c>
      <c r="AE534" s="19" t="n">
        <v>0.09720000000000001</v>
      </c>
      <c r="AF534" s="19" t="n">
        <v>-0.1863</v>
      </c>
      <c r="AG534" s="19" t="n">
        <v>0.1336</v>
      </c>
      <c r="AH534" s="23" t="n">
        <v>1.25</v>
      </c>
      <c r="AI534" s="23" t="n">
        <v>1.64</v>
      </c>
      <c r="AJ534" s="19" t="n">
        <v>0.1136</v>
      </c>
    </row>
    <row r="535">
      <c r="A535" s="16" t="inlineStr">
        <is>
          <t>SEDEMAC</t>
        </is>
      </c>
      <c r="B535" s="16" t="inlineStr">
        <is>
          <t>SEDEMAC Mechatronics Ltd.</t>
        </is>
      </c>
      <c r="C535" s="16" t="inlineStr">
        <is>
          <t>Auto Parts &amp; Equipment</t>
        </is>
      </c>
      <c r="D535" s="16" t="inlineStr">
        <is>
          <t>Automobiles &amp; Auto Components</t>
        </is>
      </c>
      <c r="E535" s="16" t="inlineStr">
        <is>
          <t>INE00XB01019</t>
        </is>
      </c>
      <c r="F535" s="17" t="n">
        <v>12431.35</v>
      </c>
      <c r="G535" s="18" t="n">
        <v>2814.4</v>
      </c>
      <c r="H535" s="19" t="n">
        <v>-0.0315</v>
      </c>
      <c r="I535" s="20" t="n">
        <v>51</v>
      </c>
      <c r="J535" s="16" t="inlineStr">
        <is>
          <t>red</t>
        </is>
      </c>
      <c r="K535" s="20" t="n">
        <v>1</v>
      </c>
      <c r="L535" s="18" t="n">
        <v>21.48</v>
      </c>
      <c r="M535" s="18" t="n">
        <v>2970.99</v>
      </c>
      <c r="N535" s="18" t="n">
        <v>2879.26</v>
      </c>
      <c r="O535" s="18" t="n"/>
      <c r="P535" s="18" t="n">
        <v>3261.4</v>
      </c>
      <c r="Q535" s="18" t="n">
        <v>1441.3</v>
      </c>
      <c r="R535" s="21">
        <f>IF(OR(G535="",P535=""),"",G535/P535-1)</f>
        <v/>
      </c>
      <c r="S535" s="19" t="n">
        <v>0.5759000000000001</v>
      </c>
      <c r="T535" s="22" t="n"/>
      <c r="U535" s="16" t="n"/>
      <c r="V535" s="16" t="inlineStr">
        <is>
          <t>No</t>
        </is>
      </c>
      <c r="W535" s="16" t="inlineStr">
        <is>
          <t>No</t>
        </is>
      </c>
      <c r="X535" s="16" t="n"/>
      <c r="Y535" s="20" t="n"/>
      <c r="Z535" s="19" t="n"/>
      <c r="AA535" s="18" t="n">
        <v>74.64</v>
      </c>
      <c r="AB535" s="16" t="inlineStr">
        <is>
          <t>High</t>
        </is>
      </c>
      <c r="AC535" s="16" t="inlineStr">
        <is>
          <t>No</t>
        </is>
      </c>
      <c r="AD535" s="19" t="n">
        <v>0.1444</v>
      </c>
      <c r="AE535" s="19" t="n">
        <v>0.2395</v>
      </c>
      <c r="AF535" s="19" t="n">
        <v>2.6338</v>
      </c>
      <c r="AG535" s="19" t="n">
        <v>0.3684000000000001</v>
      </c>
      <c r="AH535" s="23" t="n">
        <v>0.16</v>
      </c>
      <c r="AI535" s="23" t="n">
        <v>5.12</v>
      </c>
      <c r="AJ535" s="19" t="n">
        <v>0.09810000000000001</v>
      </c>
    </row>
    <row r="536">
      <c r="A536" s="16" t="inlineStr">
        <is>
          <t>GODREJAGRO</t>
        </is>
      </c>
      <c r="B536" s="16" t="inlineStr">
        <is>
          <t>Godrej Agrovet Ltd.</t>
        </is>
      </c>
      <c r="C536" s="16" t="inlineStr">
        <is>
          <t>Other Agricultural Products</t>
        </is>
      </c>
      <c r="D536" s="16" t="inlineStr">
        <is>
          <t>Food, Beverages &amp; Tobacco</t>
        </is>
      </c>
      <c r="E536" s="16" t="inlineStr">
        <is>
          <t>INE850D01014</t>
        </is>
      </c>
      <c r="F536" s="17" t="n">
        <v>12407.65</v>
      </c>
      <c r="G536" s="18" t="n">
        <v>644.85</v>
      </c>
      <c r="H536" s="19" t="n">
        <v>-0.0214</v>
      </c>
      <c r="I536" s="20" t="n">
        <v>53</v>
      </c>
      <c r="J536" s="16" t="inlineStr">
        <is>
          <t>red</t>
        </is>
      </c>
      <c r="K536" s="20" t="n">
        <v>134</v>
      </c>
      <c r="L536" s="18" t="n">
        <v>62.17</v>
      </c>
      <c r="M536" s="18" t="n">
        <v>636.6900000000001</v>
      </c>
      <c r="N536" s="18" t="n">
        <v>572.87</v>
      </c>
      <c r="O536" s="18" t="n">
        <v>569.6900000000001</v>
      </c>
      <c r="P536" s="18" t="n">
        <v>734.33</v>
      </c>
      <c r="Q536" s="18" t="n">
        <v>503.22</v>
      </c>
      <c r="R536" s="21">
        <f>IF(OR(G536="",P536=""),"",G536/P536-1)</f>
        <v/>
      </c>
      <c r="S536" s="19" t="n">
        <v>0.4051</v>
      </c>
      <c r="T536" s="22" t="n">
        <v>-0.002</v>
      </c>
      <c r="U536" s="16" t="inlineStr">
        <is>
          <t>No</t>
        </is>
      </c>
      <c r="V536" s="16" t="inlineStr">
        <is>
          <t>Yes</t>
        </is>
      </c>
      <c r="W536" s="16" t="inlineStr">
        <is>
          <t>Yes</t>
        </is>
      </c>
      <c r="X536" s="16" t="inlineStr">
        <is>
          <t>Yes</t>
        </is>
      </c>
      <c r="Y536" s="20" t="n">
        <v>3</v>
      </c>
      <c r="Z536" s="19" t="n">
        <v>0.005600000000000001</v>
      </c>
      <c r="AA536" s="18" t="n">
        <v>48.3</v>
      </c>
      <c r="AB536" s="16" t="inlineStr">
        <is>
          <t>Average</t>
        </is>
      </c>
      <c r="AC536" s="16" t="inlineStr">
        <is>
          <t>No</t>
        </is>
      </c>
      <c r="AD536" s="19" t="n">
        <v>0.1854</v>
      </c>
      <c r="AE536" s="19" t="n">
        <v>0.1789</v>
      </c>
      <c r="AF536" s="19" t="n">
        <v>0.1616</v>
      </c>
      <c r="AG536" s="19" t="n">
        <v>0.0323</v>
      </c>
      <c r="AH536" s="23" t="n">
        <v>0.77</v>
      </c>
      <c r="AI536" s="23" t="n">
        <v>3.93</v>
      </c>
      <c r="AJ536" s="19" t="n">
        <v>0.0788</v>
      </c>
    </row>
    <row r="537">
      <c r="A537" s="16" t="inlineStr">
        <is>
          <t>SOUTHBANK</t>
        </is>
      </c>
      <c r="B537" s="16" t="inlineStr">
        <is>
          <t>South Indian Bank Ltd.</t>
        </is>
      </c>
      <c r="C537" s="16" t="inlineStr">
        <is>
          <t>Banks</t>
        </is>
      </c>
      <c r="D537" s="16" t="inlineStr">
        <is>
          <t>Banking and Finance</t>
        </is>
      </c>
      <c r="E537" s="16" t="inlineStr">
        <is>
          <t>INE683A01023</t>
        </is>
      </c>
      <c r="F537" s="17" t="n">
        <v>12386.67</v>
      </c>
      <c r="G537" s="18" t="n">
        <v>47.29</v>
      </c>
      <c r="H537" s="19" t="n">
        <v>-0.0086</v>
      </c>
      <c r="I537" s="20" t="n">
        <v>69</v>
      </c>
      <c r="J537" s="16" t="inlineStr">
        <is>
          <t>amber</t>
        </is>
      </c>
      <c r="K537" s="20" t="n">
        <v>32</v>
      </c>
      <c r="L537" s="18" t="n">
        <v>67.39</v>
      </c>
      <c r="M537" s="18" t="n">
        <v>46.22</v>
      </c>
      <c r="N537" s="18" t="n">
        <v>45.8</v>
      </c>
      <c r="O537" s="18" t="n">
        <v>41.55</v>
      </c>
      <c r="P537" s="18" t="n">
        <v>48.02</v>
      </c>
      <c r="Q537" s="18" t="n">
        <v>28.31</v>
      </c>
      <c r="R537" s="21">
        <f>IF(OR(G537="",P537=""),"",G537/P537-1)</f>
        <v/>
      </c>
      <c r="S537" s="19" t="n">
        <v>1.0822</v>
      </c>
      <c r="T537" s="22" t="n">
        <v>0.0189</v>
      </c>
      <c r="U537" s="16" t="inlineStr">
        <is>
          <t>Yes</t>
        </is>
      </c>
      <c r="V537" s="16" t="inlineStr">
        <is>
          <t>Yes</t>
        </is>
      </c>
      <c r="W537" s="16" t="inlineStr">
        <is>
          <t>Yes</t>
        </is>
      </c>
      <c r="X537" s="16" t="inlineStr">
        <is>
          <t>Yes</t>
        </is>
      </c>
      <c r="Y537" s="20" t="n">
        <v>326</v>
      </c>
      <c r="Z537" s="19" t="n">
        <v>0.1021</v>
      </c>
      <c r="AA537" s="18" t="n">
        <v>51.08</v>
      </c>
      <c r="AB537" s="16" t="inlineStr">
        <is>
          <t>Average</t>
        </is>
      </c>
      <c r="AC537" s="16" t="inlineStr">
        <is>
          <t>Yes</t>
        </is>
      </c>
      <c r="AD537" s="19" t="n">
        <v>0.1259</v>
      </c>
      <c r="AE537" s="19" t="n"/>
      <c r="AF537" s="19" t="n">
        <v>0.1838</v>
      </c>
      <c r="AG537" s="19" t="n">
        <v>0.0984</v>
      </c>
      <c r="AH537" s="23" t="n">
        <v>0.3</v>
      </c>
      <c r="AI537" s="23" t="n">
        <v>4.99</v>
      </c>
      <c r="AJ537" s="19" t="n">
        <v>0</v>
      </c>
    </row>
    <row r="538">
      <c r="A538" s="16" t="inlineStr">
        <is>
          <t>E2E</t>
        </is>
      </c>
      <c r="B538" s="16" t="inlineStr">
        <is>
          <t>E2E Networks Ltd.</t>
        </is>
      </c>
      <c r="C538" s="16" t="inlineStr">
        <is>
          <t>Internet Software &amp; Services</t>
        </is>
      </c>
      <c r="D538" s="16" t="inlineStr">
        <is>
          <t>Software &amp; Services</t>
        </is>
      </c>
      <c r="E538" s="16" t="inlineStr">
        <is>
          <t>INE255Z01027</t>
        </is>
      </c>
      <c r="F538" s="17" t="n">
        <v>12365.76</v>
      </c>
      <c r="G538" s="18" t="n">
        <v>601.55</v>
      </c>
      <c r="H538" s="19" t="n">
        <v>0.0149</v>
      </c>
      <c r="I538" s="20" t="n">
        <v>96</v>
      </c>
      <c r="J538" s="16" t="inlineStr">
        <is>
          <t>green</t>
        </is>
      </c>
      <c r="K538" s="20" t="n">
        <v>79</v>
      </c>
      <c r="L538" s="18" t="n">
        <v>22.67</v>
      </c>
      <c r="M538" s="18" t="n">
        <v>611.24</v>
      </c>
      <c r="N538" s="18" t="n">
        <v>524.08</v>
      </c>
      <c r="O538" s="18" t="n">
        <v>334.67</v>
      </c>
      <c r="P538" s="18" t="n">
        <v>686.15</v>
      </c>
      <c r="Q538" s="18" t="n">
        <v>195.52</v>
      </c>
      <c r="R538" s="21">
        <f>IF(OR(G538="",P538=""),"",G538/P538-1)</f>
        <v/>
      </c>
      <c r="S538" s="19" t="n">
        <v>0.4479</v>
      </c>
      <c r="T538" s="22" t="n">
        <v>0.1083</v>
      </c>
      <c r="U538" s="16" t="inlineStr">
        <is>
          <t>Yes</t>
        </is>
      </c>
      <c r="V538" s="16" t="inlineStr">
        <is>
          <t>Yes</t>
        </is>
      </c>
      <c r="W538" s="16" t="inlineStr">
        <is>
          <t>No</t>
        </is>
      </c>
      <c r="X538" s="16" t="inlineStr">
        <is>
          <t>Yes</t>
        </is>
      </c>
      <c r="Y538" s="20" t="n">
        <v>86</v>
      </c>
      <c r="Z538" s="19" t="n">
        <v>0.5660000000000001</v>
      </c>
      <c r="AA538" s="18" t="n">
        <v>52.67</v>
      </c>
      <c r="AB538" s="16" t="inlineStr">
        <is>
          <t>Good</t>
        </is>
      </c>
      <c r="AC538" s="16" t="inlineStr">
        <is>
          <t>No</t>
        </is>
      </c>
      <c r="AD538" s="19" t="n">
        <v>0.1097</v>
      </c>
      <c r="AE538" s="19" t="n">
        <v>0.066</v>
      </c>
      <c r="AF538" s="19" t="n">
        <v>0.2418</v>
      </c>
      <c r="AG538" s="19" t="n">
        <v>0.5535</v>
      </c>
      <c r="AH538" s="23" t="n">
        <v>0.09</v>
      </c>
      <c r="AI538" s="23" t="n">
        <v>0.16</v>
      </c>
      <c r="AJ538" s="19" t="n">
        <v>0.3436</v>
      </c>
    </row>
    <row r="539">
      <c r="A539" s="16" t="inlineStr">
        <is>
          <t>PARKHOSPS</t>
        </is>
      </c>
      <c r="B539" s="16" t="inlineStr">
        <is>
          <t>Park Medi World Ltd.</t>
        </is>
      </c>
      <c r="C539" s="16" t="inlineStr">
        <is>
          <t>Healthcare Facilities</t>
        </is>
      </c>
      <c r="D539" s="16" t="inlineStr">
        <is>
          <t>Healthcare</t>
        </is>
      </c>
      <c r="E539" s="16" t="inlineStr">
        <is>
          <t>INE119201023</t>
        </is>
      </c>
      <c r="F539" s="17" t="n">
        <v>12364.02</v>
      </c>
      <c r="G539" s="18" t="n">
        <v>286.25</v>
      </c>
      <c r="H539" s="19" t="n">
        <v>-0.0016</v>
      </c>
      <c r="I539" s="20" t="n">
        <v>58</v>
      </c>
      <c r="J539" s="16" t="inlineStr">
        <is>
          <t>red</t>
        </is>
      </c>
      <c r="K539" s="20" t="n">
        <v>1</v>
      </c>
      <c r="L539" s="18" t="n">
        <v>59.5</v>
      </c>
      <c r="M539" s="18" t="n">
        <v>285.83</v>
      </c>
      <c r="N539" s="18" t="n">
        <v>284.16</v>
      </c>
      <c r="O539" s="18" t="n"/>
      <c r="P539" s="18" t="n">
        <v>299.3</v>
      </c>
      <c r="Q539" s="18" t="n">
        <v>143.92</v>
      </c>
      <c r="R539" s="21">
        <f>IF(OR(G539="",P539=""),"",G539/P539-1)</f>
        <v/>
      </c>
      <c r="S539" s="19" t="n">
        <v>0.7781</v>
      </c>
      <c r="T539" s="22" t="n"/>
      <c r="U539" s="16" t="n"/>
      <c r="V539" s="16" t="inlineStr">
        <is>
          <t>Yes</t>
        </is>
      </c>
      <c r="W539" s="16" t="inlineStr">
        <is>
          <t>Yes</t>
        </is>
      </c>
      <c r="X539" s="16" t="n"/>
      <c r="Y539" s="20" t="n"/>
      <c r="Z539" s="19" t="n"/>
      <c r="AA539" s="18" t="n">
        <v>56.24</v>
      </c>
      <c r="AB539" s="16" t="inlineStr">
        <is>
          <t>Good</t>
        </is>
      </c>
      <c r="AC539" s="16" t="inlineStr">
        <is>
          <t>No</t>
        </is>
      </c>
      <c r="AD539" s="19" t="n">
        <v>0.1634</v>
      </c>
      <c r="AE539" s="19" t="n">
        <v>0.1848</v>
      </c>
      <c r="AF539" s="19" t="n">
        <v>0.1613</v>
      </c>
      <c r="AG539" s="19" t="n">
        <v>0.1068</v>
      </c>
      <c r="AH539" s="23" t="n">
        <v>0.18</v>
      </c>
      <c r="AI539" s="23" t="n">
        <v>1.61</v>
      </c>
      <c r="AJ539" s="19" t="n">
        <v>0.1183</v>
      </c>
    </row>
    <row r="540">
      <c r="A540" s="16" t="inlineStr">
        <is>
          <t>TRIDENT</t>
        </is>
      </c>
      <c r="B540" s="16" t="inlineStr">
        <is>
          <t>Trident Ltd.</t>
        </is>
      </c>
      <c r="C540" s="16" t="inlineStr">
        <is>
          <t>Textiles</t>
        </is>
      </c>
      <c r="D540" s="16" t="inlineStr">
        <is>
          <t>Textiles Apparels &amp; Accessories</t>
        </is>
      </c>
      <c r="E540" s="16" t="inlineStr">
        <is>
          <t>INE064C01022</t>
        </is>
      </c>
      <c r="F540" s="17" t="n">
        <v>12311.83</v>
      </c>
      <c r="G540" s="18" t="n">
        <v>24.16</v>
      </c>
      <c r="H540" s="19" t="n">
        <v>0.0071</v>
      </c>
      <c r="I540" s="20" t="n">
        <v>31</v>
      </c>
      <c r="J540" s="16" t="inlineStr">
        <is>
          <t>red</t>
        </is>
      </c>
      <c r="K540" s="20" t="n">
        <v>114</v>
      </c>
      <c r="L540" s="18" t="n">
        <v>32.77</v>
      </c>
      <c r="M540" s="18" t="n">
        <v>24.21</v>
      </c>
      <c r="N540" s="18" t="n">
        <v>25.01</v>
      </c>
      <c r="O540" s="18" t="n">
        <v>25.24</v>
      </c>
      <c r="P540" s="18" t="n">
        <v>29.73</v>
      </c>
      <c r="Q540" s="18" t="n">
        <v>21.61</v>
      </c>
      <c r="R540" s="21">
        <f>IF(OR(G540="",P540=""),"",G540/P540-1)</f>
        <v/>
      </c>
      <c r="S540" s="19" t="n">
        <v>1.0636</v>
      </c>
      <c r="T540" s="22" t="n">
        <v>-0.0137</v>
      </c>
      <c r="U540" s="16" t="inlineStr">
        <is>
          <t>No</t>
        </is>
      </c>
      <c r="V540" s="16" t="inlineStr">
        <is>
          <t>No</t>
        </is>
      </c>
      <c r="W540" s="16" t="inlineStr">
        <is>
          <t>No</t>
        </is>
      </c>
      <c r="X540" s="16" t="inlineStr">
        <is>
          <t>No</t>
        </is>
      </c>
      <c r="Y540" s="20" t="n">
        <v>193</v>
      </c>
      <c r="Z540" s="19" t="n">
        <v>-0.0092</v>
      </c>
      <c r="AA540" s="18" t="n">
        <v>29.56</v>
      </c>
      <c r="AB540" s="16" t="inlineStr">
        <is>
          <t>Poor</t>
        </is>
      </c>
      <c r="AC540" s="16" t="inlineStr">
        <is>
          <t>No</t>
        </is>
      </c>
      <c r="AD540" s="19" t="n">
        <v>0.08</v>
      </c>
      <c r="AE540" s="19" t="n">
        <v>0.09669999999999999</v>
      </c>
      <c r="AF540" s="19" t="n">
        <v>-0.0481</v>
      </c>
      <c r="AG540" s="19" t="n">
        <v>0.0188</v>
      </c>
      <c r="AH540" s="23" t="n">
        <v>0.38</v>
      </c>
      <c r="AI540" s="23" t="n">
        <v>1.41</v>
      </c>
      <c r="AJ540" s="19" t="n">
        <v>0.0342</v>
      </c>
    </row>
    <row r="541">
      <c r="A541" s="16" t="inlineStr">
        <is>
          <t>GRAVITA</t>
        </is>
      </c>
      <c r="B541" s="16" t="inlineStr">
        <is>
          <t>Gravita India Ltd.</t>
        </is>
      </c>
      <c r="C541" s="16" t="inlineStr">
        <is>
          <t>Other Non-Ferrous Metals</t>
        </is>
      </c>
      <c r="D541" s="16" t="inlineStr">
        <is>
          <t>Metals &amp; Mining</t>
        </is>
      </c>
      <c r="E541" s="16" t="inlineStr">
        <is>
          <t>INE024L01027</t>
        </is>
      </c>
      <c r="F541" s="17" t="n">
        <v>12264.02</v>
      </c>
      <c r="G541" s="18" t="n">
        <v>1661.6</v>
      </c>
      <c r="H541" s="19" t="n">
        <v>-0.0138</v>
      </c>
      <c r="I541" s="20" t="n">
        <v>41</v>
      </c>
      <c r="J541" s="16" t="inlineStr">
        <is>
          <t>red</t>
        </is>
      </c>
      <c r="K541" s="20" t="n">
        <v>29</v>
      </c>
      <c r="L541" s="18" t="n">
        <v>23.34</v>
      </c>
      <c r="M541" s="18" t="n">
        <v>1771.03</v>
      </c>
      <c r="N541" s="18" t="n">
        <v>1757.72</v>
      </c>
      <c r="O541" s="18" t="n">
        <v>1674.48</v>
      </c>
      <c r="P541" s="18" t="n">
        <v>1875.4</v>
      </c>
      <c r="Q541" s="18" t="n">
        <v>1295.1</v>
      </c>
      <c r="R541" s="21">
        <f>IF(OR(G541="",P541=""),"",G541/P541-1)</f>
        <v/>
      </c>
      <c r="S541" s="19" t="n">
        <v>1.8624</v>
      </c>
      <c r="T541" s="22" t="n">
        <v>0.0054</v>
      </c>
      <c r="U541" s="16" t="inlineStr">
        <is>
          <t>Yes</t>
        </is>
      </c>
      <c r="V541" s="16" t="inlineStr">
        <is>
          <t>No</t>
        </is>
      </c>
      <c r="W541" s="16" t="inlineStr">
        <is>
          <t>No</t>
        </is>
      </c>
      <c r="X541" s="16" t="inlineStr">
        <is>
          <t>Yes</t>
        </is>
      </c>
      <c r="Y541" s="20" t="n">
        <v>56</v>
      </c>
      <c r="Z541" s="19" t="n">
        <v>0.04969999999999999</v>
      </c>
      <c r="AA541" s="18" t="n">
        <v>61.16</v>
      </c>
      <c r="AB541" s="16" t="inlineStr">
        <is>
          <t>Good</t>
        </is>
      </c>
      <c r="AC541" s="16" t="inlineStr">
        <is>
          <t>No</t>
        </is>
      </c>
      <c r="AD541" s="19" t="n">
        <v>0.197</v>
      </c>
      <c r="AE541" s="19" t="n">
        <v>0.1824</v>
      </c>
      <c r="AF541" s="19" t="n">
        <v>0.2067</v>
      </c>
      <c r="AG541" s="19" t="n">
        <v>0.1537</v>
      </c>
      <c r="AH541" s="23" t="n">
        <v>0.3</v>
      </c>
      <c r="AI541" s="23" t="n">
        <v>5.18</v>
      </c>
      <c r="AJ541" s="19" t="n">
        <v>0.05769999999999999</v>
      </c>
    </row>
    <row r="542">
      <c r="A542" s="16" t="inlineStr">
        <is>
          <t>CYIENT</t>
        </is>
      </c>
      <c r="B542" s="16" t="inlineStr">
        <is>
          <t>Cyient Ltd.</t>
        </is>
      </c>
      <c r="C542" s="16" t="inlineStr">
        <is>
          <t>IT Consulting &amp; Software</t>
        </is>
      </c>
      <c r="D542" s="16" t="inlineStr">
        <is>
          <t>Software &amp; Services</t>
        </is>
      </c>
      <c r="E542" s="16" t="inlineStr">
        <is>
          <t>INE136B01020</t>
        </is>
      </c>
      <c r="F542" s="17" t="n">
        <v>12242.55</v>
      </c>
      <c r="G542" s="18" t="n">
        <v>1101.8</v>
      </c>
      <c r="H542" s="19" t="n">
        <v>-0.008500000000000001</v>
      </c>
      <c r="I542" s="20" t="n">
        <v>59</v>
      </c>
      <c r="J542" s="16" t="inlineStr">
        <is>
          <t>red</t>
        </is>
      </c>
      <c r="K542" s="20" t="n">
        <v>2</v>
      </c>
      <c r="L542" s="18" t="n">
        <v>77.87</v>
      </c>
      <c r="M542" s="18" t="n">
        <v>1110.32</v>
      </c>
      <c r="N542" s="18" t="n">
        <v>902.09</v>
      </c>
      <c r="O542" s="18" t="n">
        <v>966.46</v>
      </c>
      <c r="P542" s="18" t="n">
        <v>1255.4</v>
      </c>
      <c r="Q542" s="18" t="n">
        <v>752.85</v>
      </c>
      <c r="R542" s="21">
        <f>IF(OR(G542="",P542=""),"",G542/P542-1)</f>
        <v/>
      </c>
      <c r="S542" s="19" t="n">
        <v>0.2442</v>
      </c>
      <c r="T542" s="22" t="n">
        <v>-0.0189</v>
      </c>
      <c r="U542" s="16" t="inlineStr">
        <is>
          <t>No</t>
        </is>
      </c>
      <c r="V542" s="16" t="inlineStr">
        <is>
          <t>Yes</t>
        </is>
      </c>
      <c r="W542" s="16" t="inlineStr">
        <is>
          <t>No</t>
        </is>
      </c>
      <c r="X542" s="16" t="inlineStr">
        <is>
          <t>No</t>
        </is>
      </c>
      <c r="Y542" s="20" t="n">
        <v>402</v>
      </c>
      <c r="Z542" s="19" t="n">
        <v>-0.06660000000000001</v>
      </c>
      <c r="AA542" s="18" t="n">
        <v>40</v>
      </c>
      <c r="AB542" s="16" t="inlineStr">
        <is>
          <t>Weak</t>
        </is>
      </c>
      <c r="AC542" s="16" t="inlineStr">
        <is>
          <t>No</t>
        </is>
      </c>
      <c r="AD542" s="19" t="n">
        <v>0.1172</v>
      </c>
      <c r="AE542" s="19" t="n">
        <v>0.1622</v>
      </c>
      <c r="AF542" s="19" t="n">
        <v>-0.0284</v>
      </c>
      <c r="AG542" s="19" t="n">
        <v>0.06849999999999999</v>
      </c>
      <c r="AH542" s="23" t="n">
        <v>0.08</v>
      </c>
      <c r="AI542" s="23" t="n">
        <v>9.59</v>
      </c>
      <c r="AJ542" s="19" t="n">
        <v>0.0508</v>
      </c>
    </row>
    <row r="543">
      <c r="A543" s="16" t="inlineStr">
        <is>
          <t>METROPOLIS</t>
        </is>
      </c>
      <c r="B543" s="16" t="inlineStr">
        <is>
          <t>Metropolis Healthcare Ltd.</t>
        </is>
      </c>
      <c r="C543" s="16" t="inlineStr">
        <is>
          <t>Healthcare Services</t>
        </is>
      </c>
      <c r="D543" s="16" t="inlineStr">
        <is>
          <t>Healthcare</t>
        </is>
      </c>
      <c r="E543" s="16" t="inlineStr">
        <is>
          <t>INE112L01020</t>
        </is>
      </c>
      <c r="F543" s="17" t="n">
        <v>12208.91</v>
      </c>
      <c r="G543" s="18" t="n">
        <v>588.7</v>
      </c>
      <c r="H543" s="19" t="n">
        <v>-0.0054</v>
      </c>
      <c r="I543" s="20" t="n">
        <v>63</v>
      </c>
      <c r="J543" s="16" t="inlineStr">
        <is>
          <t>amber</t>
        </is>
      </c>
      <c r="K543" s="20" t="n">
        <v>6</v>
      </c>
      <c r="L543" s="18" t="n">
        <v>72.26000000000001</v>
      </c>
      <c r="M543" s="18" t="n">
        <v>582.88</v>
      </c>
      <c r="N543" s="18" t="n">
        <v>566.88</v>
      </c>
      <c r="O543" s="18" t="n">
        <v>507.23</v>
      </c>
      <c r="P543" s="18" t="n">
        <v>596.45</v>
      </c>
      <c r="Q543" s="18" t="n">
        <v>420.92</v>
      </c>
      <c r="R543" s="21">
        <f>IF(OR(G543="",P543=""),"",G543/P543-1)</f>
        <v/>
      </c>
      <c r="S543" s="19" t="n">
        <v>0.8502</v>
      </c>
      <c r="T543" s="22" t="n">
        <v>0.0158</v>
      </c>
      <c r="U543" s="16" t="inlineStr">
        <is>
          <t>Yes</t>
        </is>
      </c>
      <c r="V543" s="16" t="inlineStr">
        <is>
          <t>Yes</t>
        </is>
      </c>
      <c r="W543" s="16" t="inlineStr">
        <is>
          <t>Yes</t>
        </is>
      </c>
      <c r="X543" s="16" t="inlineStr">
        <is>
          <t>Yes</t>
        </is>
      </c>
      <c r="Y543" s="20" t="n">
        <v>67</v>
      </c>
      <c r="Z543" s="19" t="n">
        <v>0.1176</v>
      </c>
      <c r="AA543" s="18" t="n">
        <v>52.3</v>
      </c>
      <c r="AB543" s="16" t="inlineStr">
        <is>
          <t>Average</t>
        </is>
      </c>
      <c r="AC543" s="16" t="inlineStr">
        <is>
          <t>No</t>
        </is>
      </c>
      <c r="AD543" s="19" t="n">
        <v>0.117</v>
      </c>
      <c r="AE543" s="19" t="n">
        <v>0.1505</v>
      </c>
      <c r="AF543" s="19" t="n">
        <v>0.1107</v>
      </c>
      <c r="AG543" s="19" t="n">
        <v>0.1301</v>
      </c>
      <c r="AH543" s="23" t="n">
        <v>0.15</v>
      </c>
      <c r="AI543" s="23" t="n">
        <v>3.97</v>
      </c>
      <c r="AJ543" s="19" t="n">
        <v>0.0121</v>
      </c>
    </row>
    <row r="544">
      <c r="A544" s="16" t="inlineStr">
        <is>
          <t>ASKAUTOLTD</t>
        </is>
      </c>
      <c r="B544" s="16" t="inlineStr">
        <is>
          <t>ASK Automotive Ltd.</t>
        </is>
      </c>
      <c r="C544" s="16" t="inlineStr">
        <is>
          <t>Auto Parts &amp; Equipment</t>
        </is>
      </c>
      <c r="D544" s="16" t="inlineStr">
        <is>
          <t>Automobiles &amp; Auto Components</t>
        </is>
      </c>
      <c r="E544" s="16" t="inlineStr">
        <is>
          <t>INE491J01022</t>
        </is>
      </c>
      <c r="F544" s="17" t="n">
        <v>12200.17</v>
      </c>
      <c r="G544" s="18" t="n">
        <v>618.85</v>
      </c>
      <c r="H544" s="19" t="n">
        <v>-0.0211</v>
      </c>
      <c r="I544" s="20" t="n">
        <v>81</v>
      </c>
      <c r="J544" s="16" t="inlineStr">
        <is>
          <t>green</t>
        </is>
      </c>
      <c r="K544" s="20" t="n">
        <v>7</v>
      </c>
      <c r="L544" s="18" t="n">
        <v>42.2</v>
      </c>
      <c r="M544" s="18" t="n">
        <v>628.3200000000001</v>
      </c>
      <c r="N544" s="18" t="n">
        <v>555.29</v>
      </c>
      <c r="O544" s="18" t="n">
        <v>473.8</v>
      </c>
      <c r="P544" s="18" t="n">
        <v>678.8</v>
      </c>
      <c r="Q544" s="18" t="n">
        <v>378.72</v>
      </c>
      <c r="R544" s="21">
        <f>IF(OR(G544="",P544=""),"",G544/P544-1)</f>
        <v/>
      </c>
      <c r="S544" s="19" t="n">
        <v>0.1267</v>
      </c>
      <c r="T544" s="22" t="n">
        <v>0.0344</v>
      </c>
      <c r="U544" s="16" t="inlineStr">
        <is>
          <t>Yes</t>
        </is>
      </c>
      <c r="V544" s="16" t="inlineStr">
        <is>
          <t>Yes</t>
        </is>
      </c>
      <c r="W544" s="16" t="inlineStr">
        <is>
          <t>No</t>
        </is>
      </c>
      <c r="X544" s="16" t="inlineStr">
        <is>
          <t>Yes</t>
        </is>
      </c>
      <c r="Y544" s="20" t="n">
        <v>33</v>
      </c>
      <c r="Z544" s="19" t="n">
        <v>0.172</v>
      </c>
      <c r="AA544" s="18" t="n">
        <v>62.87</v>
      </c>
      <c r="AB544" s="16" t="inlineStr">
        <is>
          <t>Good</t>
        </is>
      </c>
      <c r="AC544" s="16" t="inlineStr">
        <is>
          <t>No</t>
        </is>
      </c>
      <c r="AD544" s="19" t="n">
        <v>0.2257</v>
      </c>
      <c r="AE544" s="19" t="n">
        <v>0.2303</v>
      </c>
      <c r="AF544" s="19" t="n">
        <v>0.346</v>
      </c>
      <c r="AG544" s="19" t="n">
        <v>0.1731</v>
      </c>
      <c r="AH544" s="23" t="n">
        <v>0.52</v>
      </c>
      <c r="AI544" s="23" t="n">
        <v>2.62</v>
      </c>
      <c r="AJ544" s="19" t="n">
        <v>0.1145</v>
      </c>
    </row>
    <row r="545">
      <c r="A545" s="16" t="inlineStr">
        <is>
          <t>AMAGI</t>
        </is>
      </c>
      <c r="B545" s="16" t="inlineStr">
        <is>
          <t>Amagi Media Labs Ltd.</t>
        </is>
      </c>
      <c r="C545" s="16" t="inlineStr">
        <is>
          <t>Internet Software &amp; Services</t>
        </is>
      </c>
      <c r="D545" s="16" t="inlineStr">
        <is>
          <t>Software &amp; Services</t>
        </is>
      </c>
      <c r="E545" s="16" t="inlineStr">
        <is>
          <t>INE121R01077</t>
        </is>
      </c>
      <c r="F545" s="17" t="n">
        <v>12186.37</v>
      </c>
      <c r="G545" s="18" t="n">
        <v>563.3</v>
      </c>
      <c r="H545" s="19" t="n">
        <v>0.0017</v>
      </c>
      <c r="I545" s="20" t="n">
        <v>82</v>
      </c>
      <c r="J545" s="16" t="inlineStr">
        <is>
          <t>green</t>
        </is>
      </c>
      <c r="K545" s="20" t="n">
        <v>58</v>
      </c>
      <c r="L545" s="18" t="n">
        <v>43.97</v>
      </c>
      <c r="M545" s="18" t="n">
        <v>572.92</v>
      </c>
      <c r="N545" s="18" t="n">
        <v>596.47</v>
      </c>
      <c r="O545" s="18" t="n"/>
      <c r="P545" s="18" t="n">
        <v>674.7</v>
      </c>
      <c r="Q545" s="18" t="n">
        <v>316.7</v>
      </c>
      <c r="R545" s="21">
        <f>IF(OR(G545="",P545=""),"",G545/P545-1)</f>
        <v/>
      </c>
      <c r="S545" s="19" t="n">
        <v>0.1584</v>
      </c>
      <c r="T545" s="22" t="n"/>
      <c r="U545" s="16" t="n"/>
      <c r="V545" s="16" t="inlineStr">
        <is>
          <t>No</t>
        </is>
      </c>
      <c r="W545" s="16" t="inlineStr">
        <is>
          <t>No</t>
        </is>
      </c>
      <c r="X545" s="16" t="n"/>
      <c r="Y545" s="20" t="n"/>
      <c r="Z545" s="19" t="n"/>
      <c r="AA545" s="18" t="n">
        <v>51.83</v>
      </c>
      <c r="AB545" s="16" t="inlineStr">
        <is>
          <t>Average</t>
        </is>
      </c>
      <c r="AC545" s="16" t="inlineStr">
        <is>
          <t>No</t>
        </is>
      </c>
      <c r="AD545" s="19" t="n">
        <v>-0.1958</v>
      </c>
      <c r="AE545" s="19" t="n">
        <v>-0.1579</v>
      </c>
      <c r="AF545" s="19" t="n">
        <v>0.6523</v>
      </c>
      <c r="AG545" s="19" t="n">
        <v>0.3031</v>
      </c>
      <c r="AH545" s="23" t="n">
        <v>0.02</v>
      </c>
      <c r="AI545" s="23" t="n">
        <v>27.76</v>
      </c>
      <c r="AJ545" s="19" t="n">
        <v>0</v>
      </c>
    </row>
    <row r="546">
      <c r="A546" s="16" t="inlineStr">
        <is>
          <t>LLOYDSENGG</t>
        </is>
      </c>
      <c r="B546" s="16" t="inlineStr">
        <is>
          <t>Lloyds Engineering Works Ltd.</t>
        </is>
      </c>
      <c r="C546" s="16" t="inlineStr">
        <is>
          <t>Industrial Machinery</t>
        </is>
      </c>
      <c r="D546" s="16" t="inlineStr">
        <is>
          <t>General Industrials</t>
        </is>
      </c>
      <c r="E546" s="16" t="inlineStr">
        <is>
          <t>INE093R01011</t>
        </is>
      </c>
      <c r="F546" s="17" t="n">
        <v>12123.39</v>
      </c>
      <c r="G546" s="18" t="n">
        <v>84.20999999999999</v>
      </c>
      <c r="H546" s="19" t="n">
        <v>-0.008699999999999999</v>
      </c>
      <c r="I546" s="20" t="n">
        <v>83</v>
      </c>
      <c r="J546" s="16" t="inlineStr">
        <is>
          <t>green</t>
        </is>
      </c>
      <c r="K546" s="20" t="n">
        <v>83</v>
      </c>
      <c r="L546" s="18" t="n">
        <v>33.96</v>
      </c>
      <c r="M546" s="18" t="n">
        <v>85.68000000000001</v>
      </c>
      <c r="N546" s="18" t="n">
        <v>88.72</v>
      </c>
      <c r="O546" s="18" t="n">
        <v>64.33</v>
      </c>
      <c r="P546" s="18" t="n">
        <v>96.61</v>
      </c>
      <c r="Q546" s="18" t="n">
        <v>37.63</v>
      </c>
      <c r="R546" s="21">
        <f>IF(OR(G546="",P546=""),"",G546/P546-1)</f>
        <v/>
      </c>
      <c r="S546" s="19" t="n">
        <v>0.4583</v>
      </c>
      <c r="T546" s="22" t="n">
        <v>0.05019999999999999</v>
      </c>
      <c r="U546" s="16" t="inlineStr">
        <is>
          <t>Yes</t>
        </is>
      </c>
      <c r="V546" s="16" t="inlineStr">
        <is>
          <t>No</t>
        </is>
      </c>
      <c r="W546" s="16" t="inlineStr">
        <is>
          <t>No</t>
        </is>
      </c>
      <c r="X546" s="16" t="inlineStr">
        <is>
          <t>Yes</t>
        </is>
      </c>
      <c r="Y546" s="20" t="n">
        <v>71</v>
      </c>
      <c r="Z546" s="19" t="n">
        <v>0.3791</v>
      </c>
      <c r="AA546" s="18" t="n">
        <v>74.41</v>
      </c>
      <c r="AB546" s="16" t="inlineStr">
        <is>
          <t>High</t>
        </is>
      </c>
      <c r="AC546" s="16" t="inlineStr">
        <is>
          <t>No</t>
        </is>
      </c>
      <c r="AD546" s="19" t="n">
        <v>0.1557</v>
      </c>
      <c r="AE546" s="19" t="n">
        <v>0.1791</v>
      </c>
      <c r="AF546" s="19" t="n">
        <v>0.7559999999999999</v>
      </c>
      <c r="AG546" s="19" t="n">
        <v>0.6312</v>
      </c>
      <c r="AH546" s="23" t="n">
        <v>0.06</v>
      </c>
      <c r="AI546" s="23" t="n">
        <v>3.59</v>
      </c>
      <c r="AJ546" s="19" t="n">
        <v>0.2849</v>
      </c>
    </row>
    <row r="547">
      <c r="A547" s="16" t="inlineStr">
        <is>
          <t>SKYGOLD</t>
        </is>
      </c>
      <c r="B547" s="16" t="inlineStr">
        <is>
          <t>Sky Gold and Diamonds Ltd.</t>
        </is>
      </c>
      <c r="C547" s="16" t="inlineStr">
        <is>
          <t>Gems &amp; Jewellery</t>
        </is>
      </c>
      <c r="D547" s="16" t="inlineStr">
        <is>
          <t>Textiles Apparels &amp; Accessories</t>
        </is>
      </c>
      <c r="E547" s="16" t="inlineStr">
        <is>
          <t>INE01IU01018</t>
        </is>
      </c>
      <c r="F547" s="17" t="n">
        <v>12102.62</v>
      </c>
      <c r="G547" s="18" t="n">
        <v>781.45</v>
      </c>
      <c r="H547" s="19" t="n">
        <v>0.0532</v>
      </c>
      <c r="I547" s="20" t="n">
        <v>95</v>
      </c>
      <c r="J547" s="16" t="inlineStr">
        <is>
          <t>green</t>
        </is>
      </c>
      <c r="K547" s="20" t="n">
        <v>111</v>
      </c>
      <c r="L547" s="18" t="n">
        <v>50.96</v>
      </c>
      <c r="M547" s="18" t="n">
        <v>795.5599999999999</v>
      </c>
      <c r="N547" s="18" t="n">
        <v>693.73</v>
      </c>
      <c r="O547" s="18" t="n">
        <v>464.55</v>
      </c>
      <c r="P547" s="18" t="n">
        <v>848.1</v>
      </c>
      <c r="Q547" s="18" t="n">
        <v>263.25</v>
      </c>
      <c r="R547" s="21">
        <f>IF(OR(G547="",P547=""),"",G547/P547-1)</f>
        <v/>
      </c>
      <c r="S547" s="19" t="n">
        <v>0.8719</v>
      </c>
      <c r="T547" s="22" t="n">
        <v>0.1043</v>
      </c>
      <c r="U547" s="16" t="inlineStr">
        <is>
          <t>Yes</t>
        </is>
      </c>
      <c r="V547" s="16" t="inlineStr">
        <is>
          <t>Yes</t>
        </is>
      </c>
      <c r="W547" s="16" t="inlineStr">
        <is>
          <t>No</t>
        </is>
      </c>
      <c r="X547" s="16" t="inlineStr">
        <is>
          <t>Yes</t>
        </is>
      </c>
      <c r="Y547" s="20" t="n">
        <v>196</v>
      </c>
      <c r="Z547" s="19" t="n">
        <v>0.4933</v>
      </c>
      <c r="AA547" s="18" t="n">
        <v>65.3</v>
      </c>
      <c r="AB547" s="16" t="inlineStr">
        <is>
          <t>High</t>
        </is>
      </c>
      <c r="AC547" s="16" t="inlineStr">
        <is>
          <t>No</t>
        </is>
      </c>
      <c r="AD547" s="19" t="n">
        <v>0.1965</v>
      </c>
      <c r="AE547" s="19" t="n">
        <v>0.1719</v>
      </c>
      <c r="AF547" s="19" t="n">
        <v>0.5734</v>
      </c>
      <c r="AG547" s="19" t="n">
        <v>0.7731999999999999</v>
      </c>
      <c r="AH547" s="23" t="n">
        <v>0.73</v>
      </c>
      <c r="AI547" s="23" t="n">
        <v>53.65</v>
      </c>
      <c r="AJ547" s="19" t="n">
        <v>0</v>
      </c>
    </row>
    <row r="548">
      <c r="A548" s="16" t="inlineStr">
        <is>
          <t>AKUMS</t>
        </is>
      </c>
      <c r="B548" s="16" t="inlineStr">
        <is>
          <t>Akums Drugs &amp; Pharmaceuticals Ltd.</t>
        </is>
      </c>
      <c r="C548" s="16" t="inlineStr">
        <is>
          <t>Pharmaceuticals</t>
        </is>
      </c>
      <c r="D548" s="16" t="inlineStr">
        <is>
          <t>Pharmaceuticals &amp; Biotechnology</t>
        </is>
      </c>
      <c r="E548" s="16" t="inlineStr">
        <is>
          <t>INE09XN01023</t>
        </is>
      </c>
      <c r="F548" s="17" t="n">
        <v>12052.45</v>
      </c>
      <c r="G548" s="18" t="n">
        <v>765.75</v>
      </c>
      <c r="H548" s="19" t="n">
        <v>-0.019</v>
      </c>
      <c r="I548" s="20" t="n">
        <v>88</v>
      </c>
      <c r="J548" s="16" t="inlineStr">
        <is>
          <t>green</t>
        </is>
      </c>
      <c r="K548" s="20" t="n">
        <v>44</v>
      </c>
      <c r="L548" s="18" t="n">
        <v>58</v>
      </c>
      <c r="M548" s="18" t="n">
        <v>771.52</v>
      </c>
      <c r="N548" s="18" t="n">
        <v>702.45</v>
      </c>
      <c r="O548" s="18" t="n">
        <v>540.76</v>
      </c>
      <c r="P548" s="18" t="n">
        <v>780.55</v>
      </c>
      <c r="Q548" s="18" t="n">
        <v>412.1</v>
      </c>
      <c r="R548" s="21">
        <f>IF(OR(G548="",P548=""),"",G548/P548-1)</f>
        <v/>
      </c>
      <c r="S548" s="19" t="n">
        <v>0.866</v>
      </c>
      <c r="T548" s="22" t="n">
        <v>0.0594</v>
      </c>
      <c r="U548" s="16" t="inlineStr">
        <is>
          <t>Yes</t>
        </is>
      </c>
      <c r="V548" s="16" t="inlineStr">
        <is>
          <t>Yes</t>
        </is>
      </c>
      <c r="W548" s="16" t="inlineStr">
        <is>
          <t>No</t>
        </is>
      </c>
      <c r="X548" s="16" t="inlineStr">
        <is>
          <t>Yes</t>
        </is>
      </c>
      <c r="Y548" s="20" t="n">
        <v>104</v>
      </c>
      <c r="Z548" s="19" t="n">
        <v>0.299</v>
      </c>
      <c r="AA548" s="18" t="n">
        <v>51.07</v>
      </c>
      <c r="AB548" s="16" t="inlineStr">
        <is>
          <t>Average</t>
        </is>
      </c>
      <c r="AC548" s="16" t="inlineStr">
        <is>
          <t>No</t>
        </is>
      </c>
      <c r="AD548" s="19" t="n">
        <v>0.0608</v>
      </c>
      <c r="AE548" s="19" t="n">
        <v>0.08599999999999999</v>
      </c>
      <c r="AF548" s="19" t="n">
        <v>26.8018</v>
      </c>
      <c r="AG548" s="19" t="n">
        <v>0.0713</v>
      </c>
      <c r="AH548" s="23" t="n">
        <v>0.06</v>
      </c>
      <c r="AI548" s="23" t="n">
        <v>2.58</v>
      </c>
      <c r="AJ548" s="19" t="n">
        <v>0.122</v>
      </c>
    </row>
    <row r="549">
      <c r="A549" s="16" t="inlineStr">
        <is>
          <t>PVRINOX</t>
        </is>
      </c>
      <c r="B549" s="16" t="inlineStr">
        <is>
          <t>PVR INOX Ltd.</t>
        </is>
      </c>
      <c r="C549" s="16" t="inlineStr">
        <is>
          <t>Movies &amp; Entertainment</t>
        </is>
      </c>
      <c r="D549" s="16" t="inlineStr">
        <is>
          <t>Media</t>
        </is>
      </c>
      <c r="E549" s="16" t="inlineStr">
        <is>
          <t>INE191H01014</t>
        </is>
      </c>
      <c r="F549" s="17" t="n">
        <v>12051.1</v>
      </c>
      <c r="G549" s="18" t="n">
        <v>1227.2</v>
      </c>
      <c r="H549" s="19" t="n">
        <v>-0.0163</v>
      </c>
      <c r="I549" s="20" t="n">
        <v>66</v>
      </c>
      <c r="J549" s="16" t="inlineStr">
        <is>
          <t>amber</t>
        </is>
      </c>
      <c r="K549" s="20" t="n">
        <v>16</v>
      </c>
      <c r="L549" s="18" t="n">
        <v>58.21</v>
      </c>
      <c r="M549" s="18" t="n">
        <v>1229.14</v>
      </c>
      <c r="N549" s="18" t="n">
        <v>1112.16</v>
      </c>
      <c r="O549" s="18" t="n">
        <v>1035.09</v>
      </c>
      <c r="P549" s="18" t="n">
        <v>1255.3</v>
      </c>
      <c r="Q549" s="18" t="n">
        <v>918.6</v>
      </c>
      <c r="R549" s="21">
        <f>IF(OR(G549="",P549=""),"",G549/P549-1)</f>
        <v/>
      </c>
      <c r="S549" s="19" t="n">
        <v>0.4444</v>
      </c>
      <c r="T549" s="22" t="n">
        <v>0.0054</v>
      </c>
      <c r="U549" s="16" t="inlineStr">
        <is>
          <t>Yes</t>
        </is>
      </c>
      <c r="V549" s="16" t="inlineStr">
        <is>
          <t>Yes</t>
        </is>
      </c>
      <c r="W549" s="16" t="inlineStr">
        <is>
          <t>No</t>
        </is>
      </c>
      <c r="X549" s="16" t="inlineStr">
        <is>
          <t>Yes</t>
        </is>
      </c>
      <c r="Y549" s="20" t="n">
        <v>17</v>
      </c>
      <c r="Z549" s="19" t="n">
        <v>0.0745</v>
      </c>
      <c r="AA549" s="18" t="n">
        <v>21.41</v>
      </c>
      <c r="AB549" s="16" t="inlineStr">
        <is>
          <t>Poor</t>
        </is>
      </c>
      <c r="AC549" s="16" t="inlineStr">
        <is>
          <t>No</t>
        </is>
      </c>
      <c r="AD549" s="19" t="n">
        <v>0.0004</v>
      </c>
      <c r="AE549" s="19" t="n">
        <v>0.0481</v>
      </c>
      <c r="AF549" s="19" t="n">
        <v>-1.5367</v>
      </c>
      <c r="AG549" s="19" t="n">
        <v>0.2438</v>
      </c>
      <c r="AH549" s="23" t="n">
        <v>0.92</v>
      </c>
      <c r="AI549" s="23" t="n">
        <v>0.88</v>
      </c>
      <c r="AJ549" s="19" t="n">
        <v>0.0042</v>
      </c>
    </row>
    <row r="550">
      <c r="A550" s="16" t="inlineStr">
        <is>
          <t>BLUEDART</t>
        </is>
      </c>
      <c r="B550" s="16" t="inlineStr">
        <is>
          <t>Blue Dart Express Ltd.</t>
        </is>
      </c>
      <c r="C550" s="16" t="inlineStr">
        <is>
          <t>Warehousing &amp; Logistics</t>
        </is>
      </c>
      <c r="D550" s="16" t="inlineStr">
        <is>
          <t>Transportation</t>
        </is>
      </c>
      <c r="E550" s="16" t="inlineStr">
        <is>
          <t>INE233B01017</t>
        </is>
      </c>
      <c r="F550" s="17" t="n">
        <v>11844.26</v>
      </c>
      <c r="G550" s="18" t="n">
        <v>4991.7</v>
      </c>
      <c r="H550" s="19" t="n">
        <v>-0.0074</v>
      </c>
      <c r="I550" s="20" t="n">
        <v>32</v>
      </c>
      <c r="J550" s="16" t="inlineStr">
        <is>
          <t>red</t>
        </is>
      </c>
      <c r="K550" s="20" t="n">
        <v>118</v>
      </c>
      <c r="L550" s="18" t="n">
        <v>38.41</v>
      </c>
      <c r="M550" s="18" t="n">
        <v>5008.63</v>
      </c>
      <c r="N550" s="18" t="n">
        <v>5011.75</v>
      </c>
      <c r="O550" s="18" t="n">
        <v>5236.85</v>
      </c>
      <c r="P550" s="18" t="n">
        <v>6694</v>
      </c>
      <c r="Q550" s="18" t="n">
        <v>4647.4</v>
      </c>
      <c r="R550" s="21">
        <f>IF(OR(G550="",P550=""),"",G550/P550-1)</f>
        <v/>
      </c>
      <c r="S550" s="19" t="n">
        <v>0.1604</v>
      </c>
      <c r="T550" s="22" t="n">
        <v>-0.0189</v>
      </c>
      <c r="U550" s="16" t="inlineStr">
        <is>
          <t>No</t>
        </is>
      </c>
      <c r="V550" s="16" t="inlineStr">
        <is>
          <t>No</t>
        </is>
      </c>
      <c r="W550" s="16" t="inlineStr">
        <is>
          <t>No</t>
        </is>
      </c>
      <c r="X550" s="16" t="inlineStr">
        <is>
          <t>No</t>
        </is>
      </c>
      <c r="Y550" s="20" t="n">
        <v>417</v>
      </c>
      <c r="Z550" s="19" t="n">
        <v>-0.043</v>
      </c>
      <c r="AA550" s="18" t="n">
        <v>40</v>
      </c>
      <c r="AB550" s="16" t="inlineStr">
        <is>
          <t>Weak</t>
        </is>
      </c>
      <c r="AC550" s="16" t="inlineStr">
        <is>
          <t>No</t>
        </is>
      </c>
      <c r="AD550" s="19" t="n">
        <v>0.1738</v>
      </c>
      <c r="AE550" s="19" t="n">
        <v>0.1672</v>
      </c>
      <c r="AF550" s="19" t="n">
        <v>-0.123</v>
      </c>
      <c r="AG550" s="19" t="n">
        <v>0.0593</v>
      </c>
      <c r="AH550" s="23" t="n">
        <v>0.64</v>
      </c>
      <c r="AI550" s="23" t="n">
        <v>3.04</v>
      </c>
      <c r="AJ550" s="19" t="n">
        <v>0.0133</v>
      </c>
    </row>
    <row r="551">
      <c r="A551" s="16" t="inlineStr">
        <is>
          <t>TITAGARH</t>
        </is>
      </c>
      <c r="B551" s="16" t="inlineStr">
        <is>
          <t>Titagarh Rail Systems Ltd.</t>
        </is>
      </c>
      <c r="C551" s="16" t="inlineStr">
        <is>
          <t>Commercial Vehicles</t>
        </is>
      </c>
      <c r="D551" s="16" t="inlineStr">
        <is>
          <t>Automobiles &amp; Auto Components</t>
        </is>
      </c>
      <c r="E551" s="16" t="inlineStr">
        <is>
          <t>INE615H01020</t>
        </is>
      </c>
      <c r="F551" s="17" t="n">
        <v>11741.54</v>
      </c>
      <c r="G551" s="18" t="n">
        <v>871.85</v>
      </c>
      <c r="H551" s="19" t="n">
        <v>0.0328</v>
      </c>
      <c r="I551" s="20" t="n">
        <v>54</v>
      </c>
      <c r="J551" s="16" t="inlineStr">
        <is>
          <t>red</t>
        </is>
      </c>
      <c r="K551" s="20" t="n">
        <v>46</v>
      </c>
      <c r="L551" s="18" t="n">
        <v>64.93000000000001</v>
      </c>
      <c r="M551" s="18" t="n">
        <v>835.62</v>
      </c>
      <c r="N551" s="18" t="n">
        <v>844.51</v>
      </c>
      <c r="O551" s="18" t="n">
        <v>795.34</v>
      </c>
      <c r="P551" s="18" t="n">
        <v>955.35</v>
      </c>
      <c r="Q551" s="18" t="n">
        <v>574.85</v>
      </c>
      <c r="R551" s="21">
        <f>IF(OR(G551="",P551=""),"",G551/P551-1)</f>
        <v/>
      </c>
      <c r="S551" s="19" t="n">
        <v>6.560599999999999</v>
      </c>
      <c r="T551" s="22" t="n">
        <v>-0.005</v>
      </c>
      <c r="U551" s="16" t="inlineStr">
        <is>
          <t>No</t>
        </is>
      </c>
      <c r="V551" s="16" t="inlineStr">
        <is>
          <t>Yes</t>
        </is>
      </c>
      <c r="W551" s="16" t="inlineStr">
        <is>
          <t>Yes</t>
        </is>
      </c>
      <c r="X551" s="16" t="inlineStr">
        <is>
          <t>Yes</t>
        </is>
      </c>
      <c r="Y551" s="20" t="n">
        <v>54</v>
      </c>
      <c r="Z551" s="19" t="n">
        <v>0.06179999999999999</v>
      </c>
      <c r="AA551" s="18" t="n">
        <v>36.26</v>
      </c>
      <c r="AB551" s="16" t="inlineStr">
        <is>
          <t>Weak</t>
        </is>
      </c>
      <c r="AC551" s="16" t="inlineStr">
        <is>
          <t>No</t>
        </is>
      </c>
      <c r="AD551" s="19" t="n">
        <v>0.07150000000000001</v>
      </c>
      <c r="AE551" s="19" t="n">
        <v>0.1145</v>
      </c>
      <c r="AF551" s="19" t="n">
        <v>-0.2172</v>
      </c>
      <c r="AG551" s="19" t="n">
        <v>0.0737</v>
      </c>
      <c r="AH551" s="23" t="n">
        <v>0.25</v>
      </c>
      <c r="AI551" s="23" t="n">
        <v>2.53</v>
      </c>
      <c r="AJ551" s="19" t="n">
        <v>0.0568</v>
      </c>
    </row>
    <row r="552">
      <c r="A552" s="16" t="inlineStr">
        <is>
          <t>VIYASH</t>
        </is>
      </c>
      <c r="B552" s="16" t="inlineStr">
        <is>
          <t>Viyash Scientific Ltd.</t>
        </is>
      </c>
      <c r="C552" s="16" t="inlineStr">
        <is>
          <t>Pharmaceuticals</t>
        </is>
      </c>
      <c r="D552" s="16" t="inlineStr">
        <is>
          <t>Pharmaceuticals &amp; Biotechnology</t>
        </is>
      </c>
      <c r="E552" s="16" t="inlineStr">
        <is>
          <t>INE807F01027</t>
        </is>
      </c>
      <c r="F552" s="17" t="n">
        <v>11694.94</v>
      </c>
      <c r="G552" s="18" t="n">
        <v>265.85</v>
      </c>
      <c r="H552" s="19" t="n">
        <v>0.0207</v>
      </c>
      <c r="I552" s="20" t="n">
        <v>70</v>
      </c>
      <c r="J552" s="16" t="inlineStr">
        <is>
          <t>amber</t>
        </is>
      </c>
      <c r="K552" s="20" t="n">
        <v>19</v>
      </c>
      <c r="L552" s="18" t="n">
        <v>58.1</v>
      </c>
      <c r="M552" s="18" t="n">
        <v>262.7</v>
      </c>
      <c r="N552" s="18" t="n">
        <v>268.4</v>
      </c>
      <c r="O552" s="18" t="n">
        <v>229.51</v>
      </c>
      <c r="P552" s="18" t="n">
        <v>294.15</v>
      </c>
      <c r="Q552" s="18" t="n">
        <v>177.12</v>
      </c>
      <c r="R552" s="21">
        <f>IF(OR(G552="",P552=""),"",G552/P552-1)</f>
        <v/>
      </c>
      <c r="S552" s="19" t="n">
        <v>0.4639</v>
      </c>
      <c r="T552" s="22" t="n">
        <v>0.0197</v>
      </c>
      <c r="U552" s="16" t="inlineStr">
        <is>
          <t>Yes</t>
        </is>
      </c>
      <c r="V552" s="16" t="inlineStr">
        <is>
          <t>No</t>
        </is>
      </c>
      <c r="W552" s="16" t="inlineStr">
        <is>
          <t>Yes</t>
        </is>
      </c>
      <c r="X552" s="16" t="inlineStr">
        <is>
          <t>Yes</t>
        </is>
      </c>
      <c r="Y552" s="20" t="n">
        <v>300</v>
      </c>
      <c r="Z552" s="19" t="n">
        <v>0.1695</v>
      </c>
      <c r="AA552" s="18" t="n">
        <v>50.53</v>
      </c>
      <c r="AB552" s="16" t="inlineStr">
        <is>
          <t>Average</t>
        </is>
      </c>
      <c r="AC552" s="16" t="inlineStr">
        <is>
          <t>No</t>
        </is>
      </c>
      <c r="AD552" s="19" t="n">
        <v>0.0053</v>
      </c>
      <c r="AE552" s="19" t="n">
        <v>0.0481</v>
      </c>
      <c r="AF552" s="19" t="n">
        <v>2.8797</v>
      </c>
      <c r="AG552" s="19" t="n">
        <v>0.4217</v>
      </c>
      <c r="AH552" s="23" t="n">
        <v>0.17</v>
      </c>
      <c r="AI552" s="23" t="n">
        <v>2.78</v>
      </c>
      <c r="AJ552" s="19" t="n">
        <v>0.0584</v>
      </c>
    </row>
    <row r="553">
      <c r="A553" s="16" t="inlineStr">
        <is>
          <t>TEGA</t>
        </is>
      </c>
      <c r="B553" s="16" t="inlineStr">
        <is>
          <t>Tega Industries Ltd.</t>
        </is>
      </c>
      <c r="C553" s="16" t="inlineStr">
        <is>
          <t>Coal &amp; Mining</t>
        </is>
      </c>
      <c r="D553" s="16" t="inlineStr">
        <is>
          <t>Metals &amp; Mining</t>
        </is>
      </c>
      <c r="E553" s="16" t="inlineStr">
        <is>
          <t>INE011K01018</t>
        </is>
      </c>
      <c r="F553" s="17" t="n">
        <v>11629.77</v>
      </c>
      <c r="G553" s="18" t="n">
        <v>1548</v>
      </c>
      <c r="H553" s="19" t="n">
        <v>-0.0031</v>
      </c>
      <c r="I553" s="20" t="n">
        <v>12</v>
      </c>
      <c r="J553" s="16" t="inlineStr">
        <is>
          <t>red</t>
        </is>
      </c>
      <c r="K553" s="20" t="n">
        <v>69</v>
      </c>
      <c r="L553" s="18" t="n">
        <v>25.29</v>
      </c>
      <c r="M553" s="18" t="n">
        <v>1591.19</v>
      </c>
      <c r="N553" s="18" t="n">
        <v>1627.81</v>
      </c>
      <c r="O553" s="18" t="n">
        <v>1733.81</v>
      </c>
      <c r="P553" s="18" t="n">
        <v>2108.9</v>
      </c>
      <c r="Q553" s="18" t="n">
        <v>1477.4</v>
      </c>
      <c r="R553" s="21">
        <f>IF(OR(G553="",P553=""),"",G553/P553-1)</f>
        <v/>
      </c>
      <c r="S553" s="19" t="n">
        <v>0.2735</v>
      </c>
      <c r="T553" s="22" t="n">
        <v>-0.0154</v>
      </c>
      <c r="U553" s="16" t="inlineStr">
        <is>
          <t>No</t>
        </is>
      </c>
      <c r="V553" s="16" t="inlineStr">
        <is>
          <t>No</t>
        </is>
      </c>
      <c r="W553" s="16" t="inlineStr">
        <is>
          <t>No</t>
        </is>
      </c>
      <c r="X553" s="16" t="inlineStr">
        <is>
          <t>No</t>
        </is>
      </c>
      <c r="Y553" s="20" t="n">
        <v>130</v>
      </c>
      <c r="Z553" s="19" t="n">
        <v>-0.0611</v>
      </c>
      <c r="AA553" s="18" t="n">
        <v>40</v>
      </c>
      <c r="AB553" s="16" t="inlineStr">
        <is>
          <t>Weak</t>
        </is>
      </c>
      <c r="AC553" s="16" t="inlineStr">
        <is>
          <t>No</t>
        </is>
      </c>
      <c r="AD553" s="19" t="n">
        <v>0.116</v>
      </c>
      <c r="AE553" s="19" t="n">
        <v>0.1362</v>
      </c>
      <c r="AF553" s="19" t="n">
        <v>-0.3042</v>
      </c>
      <c r="AG553" s="19" t="n">
        <v>0.1259</v>
      </c>
      <c r="AH553" s="23" t="n">
        <v>0.12</v>
      </c>
      <c r="AI553" s="23" t="n">
        <v>2.47</v>
      </c>
      <c r="AJ553" s="19" t="n">
        <v>0.1565</v>
      </c>
    </row>
    <row r="554">
      <c r="A554" s="16" t="inlineStr">
        <is>
          <t>QPOWER</t>
        </is>
      </c>
      <c r="B554" s="16" t="inlineStr">
        <is>
          <t>Quality Power Electrical Equipments Ltd.</t>
        </is>
      </c>
      <c r="C554" s="16" t="inlineStr">
        <is>
          <t>Heavy Electrical Equipment</t>
        </is>
      </c>
      <c r="D554" s="16" t="inlineStr">
        <is>
          <t>General Industrials</t>
        </is>
      </c>
      <c r="E554" s="16" t="inlineStr">
        <is>
          <t>INE0SII01026</t>
        </is>
      </c>
      <c r="F554" s="17" t="n">
        <v>11580.22</v>
      </c>
      <c r="G554" s="18" t="n">
        <v>1495.3</v>
      </c>
      <c r="H554" s="19" t="n">
        <v>0.05</v>
      </c>
      <c r="I554" s="20" t="n">
        <v>90</v>
      </c>
      <c r="J554" s="16" t="inlineStr">
        <is>
          <t>green</t>
        </is>
      </c>
      <c r="K554" s="20" t="n">
        <v>19</v>
      </c>
      <c r="L554" s="18" t="n">
        <v>70.56</v>
      </c>
      <c r="M554" s="18" t="n">
        <v>1423.91</v>
      </c>
      <c r="N554" s="18" t="n">
        <v>1225.3</v>
      </c>
      <c r="O554" s="18" t="n">
        <v>1001.45</v>
      </c>
      <c r="P554" s="18" t="n">
        <v>1495.3</v>
      </c>
      <c r="Q554" s="18" t="n">
        <v>594.98</v>
      </c>
      <c r="R554" s="21">
        <f>IF(OR(G554="",P554=""),"",G554/P554-1)</f>
        <v/>
      </c>
      <c r="S554" s="19" t="n">
        <v>0.9462999999999999</v>
      </c>
      <c r="T554" s="22" t="n">
        <v>0.0433</v>
      </c>
      <c r="U554" s="16" t="inlineStr">
        <is>
          <t>Yes</t>
        </is>
      </c>
      <c r="V554" s="16" t="inlineStr">
        <is>
          <t>Yes</t>
        </is>
      </c>
      <c r="W554" s="16" t="inlineStr">
        <is>
          <t>Yes</t>
        </is>
      </c>
      <c r="X554" s="16" t="inlineStr">
        <is>
          <t>Yes</t>
        </is>
      </c>
      <c r="Y554" s="20" t="n">
        <v>104</v>
      </c>
      <c r="Z554" s="19" t="n">
        <v>0.2235</v>
      </c>
      <c r="AA554" s="18" t="n">
        <v>77</v>
      </c>
      <c r="AB554" s="16" t="inlineStr">
        <is>
          <t>High</t>
        </is>
      </c>
      <c r="AC554" s="16" t="inlineStr">
        <is>
          <t>No</t>
        </is>
      </c>
      <c r="AD554" s="19" t="n">
        <v>0.2081</v>
      </c>
      <c r="AE554" s="19" t="n">
        <v>0.3293</v>
      </c>
      <c r="AF554" s="19" t="n">
        <v>0.1894</v>
      </c>
      <c r="AG554" s="19" t="n">
        <v>0.7141</v>
      </c>
      <c r="AH554" s="23" t="n">
        <v>0.07000000000000001</v>
      </c>
      <c r="AI554" s="23" t="n">
        <v>3.13</v>
      </c>
      <c r="AJ554" s="19" t="n">
        <v>0.2415</v>
      </c>
    </row>
    <row r="555">
      <c r="A555" s="16" t="inlineStr">
        <is>
          <t>PCJEWELLER</t>
        </is>
      </c>
      <c r="B555" s="16" t="inlineStr">
        <is>
          <t>PC Jeweller Ltd.</t>
        </is>
      </c>
      <c r="C555" s="16" t="inlineStr">
        <is>
          <t>Gems &amp; Jewellery</t>
        </is>
      </c>
      <c r="D555" s="16" t="inlineStr">
        <is>
          <t>Textiles Apparels &amp; Accessories</t>
        </is>
      </c>
      <c r="E555" s="16" t="inlineStr">
        <is>
          <t>INE785M01021</t>
        </is>
      </c>
      <c r="F555" s="17" t="n">
        <v>11566.03</v>
      </c>
      <c r="G555" s="18" t="n">
        <v>11.86</v>
      </c>
      <c r="H555" s="19" t="n">
        <v>0.1274</v>
      </c>
      <c r="I555" s="20" t="n">
        <v>65</v>
      </c>
      <c r="J555" s="16" t="inlineStr">
        <is>
          <t>amber</t>
        </is>
      </c>
      <c r="K555" s="20" t="n">
        <v>1</v>
      </c>
      <c r="L555" s="18" t="n">
        <v>70.73999999999999</v>
      </c>
      <c r="M555" s="18" t="n">
        <v>10.88</v>
      </c>
      <c r="N555" s="18" t="n">
        <v>9.9</v>
      </c>
      <c r="O555" s="18" t="n">
        <v>9.609999999999999</v>
      </c>
      <c r="P555" s="18" t="n">
        <v>14.94</v>
      </c>
      <c r="Q555" s="18" t="n">
        <v>7.57</v>
      </c>
      <c r="R555" s="21">
        <f>IF(OR(G555="",P555=""),"",G555/P555-1)</f>
        <v/>
      </c>
      <c r="S555" s="19" t="n">
        <v>0.0619</v>
      </c>
      <c r="T555" s="22" t="n">
        <v>-0.015</v>
      </c>
      <c r="U555" s="16" t="inlineStr">
        <is>
          <t>No</t>
        </is>
      </c>
      <c r="V555" s="16" t="inlineStr">
        <is>
          <t>Yes</t>
        </is>
      </c>
      <c r="W555" s="16" t="inlineStr">
        <is>
          <t>Yes</t>
        </is>
      </c>
      <c r="X555" s="16" t="inlineStr">
        <is>
          <t>Yes</t>
        </is>
      </c>
      <c r="Y555" s="20" t="n">
        <v>7</v>
      </c>
      <c r="Z555" s="19" t="n">
        <v>0.0301</v>
      </c>
      <c r="AA555" s="18" t="n">
        <v>40</v>
      </c>
      <c r="AB555" s="16" t="inlineStr">
        <is>
          <t>Weak</t>
        </is>
      </c>
      <c r="AC555" s="16" t="inlineStr">
        <is>
          <t>No</t>
        </is>
      </c>
      <c r="AD555" s="19" t="n">
        <v>-0.0113</v>
      </c>
      <c r="AE555" s="19" t="n">
        <v>0.0443</v>
      </c>
      <c r="AF555" s="19" t="n">
        <v>-0.116</v>
      </c>
      <c r="AG555" s="19" t="n">
        <v>0.8154</v>
      </c>
      <c r="AH555" s="23" t="n">
        <v>0.14</v>
      </c>
      <c r="AI555" s="23" t="n">
        <v>35</v>
      </c>
      <c r="AJ555" s="19" t="n">
        <v>0</v>
      </c>
    </row>
    <row r="556">
      <c r="A556" s="16" t="inlineStr">
        <is>
          <t>VOLTAMP</t>
        </is>
      </c>
      <c r="B556" s="16" t="inlineStr">
        <is>
          <t>Voltamp Transformers Ltd.</t>
        </is>
      </c>
      <c r="C556" s="16" t="inlineStr">
        <is>
          <t>Heavy Electrical Equipment</t>
        </is>
      </c>
      <c r="D556" s="16" t="inlineStr">
        <is>
          <t>General Industrials</t>
        </is>
      </c>
      <c r="E556" s="16" t="inlineStr">
        <is>
          <t>INE540H01012</t>
        </is>
      </c>
      <c r="F556" s="17" t="n">
        <v>11551.7</v>
      </c>
      <c r="G556" s="18" t="n">
        <v>11418</v>
      </c>
      <c r="H556" s="19" t="n">
        <v>0.0211</v>
      </c>
      <c r="I556" s="20" t="n">
        <v>76</v>
      </c>
      <c r="J556" s="16" t="inlineStr">
        <is>
          <t>amber</t>
        </is>
      </c>
      <c r="K556" s="20" t="n">
        <v>9</v>
      </c>
      <c r="L556" s="18" t="n">
        <v>71.26000000000001</v>
      </c>
      <c r="M556" s="18" t="n">
        <v>11027.25</v>
      </c>
      <c r="N556" s="18" t="n">
        <v>9983.9</v>
      </c>
      <c r="O556" s="18" t="n">
        <v>8996.440000000001</v>
      </c>
      <c r="P556" s="18" t="n">
        <v>12385.43</v>
      </c>
      <c r="Q556" s="18" t="n">
        <v>6705.64</v>
      </c>
      <c r="R556" s="21">
        <f>IF(OR(G556="",P556=""),"",G556/P556-1)</f>
        <v/>
      </c>
      <c r="S556" s="19" t="n">
        <v>0.8179000000000001</v>
      </c>
      <c r="T556" s="22" t="n">
        <v>0.0347</v>
      </c>
      <c r="U556" s="16" t="inlineStr">
        <is>
          <t>Yes</t>
        </is>
      </c>
      <c r="V556" s="16" t="inlineStr">
        <is>
          <t>Yes</t>
        </is>
      </c>
      <c r="W556" s="16" t="inlineStr">
        <is>
          <t>Yes</t>
        </is>
      </c>
      <c r="X556" s="16" t="inlineStr">
        <is>
          <t>Yes</t>
        </is>
      </c>
      <c r="Y556" s="20" t="n">
        <v>112</v>
      </c>
      <c r="Z556" s="19" t="n">
        <v>0.1098</v>
      </c>
      <c r="AA556" s="18" t="n">
        <v>78.59</v>
      </c>
      <c r="AB556" s="16" t="inlineStr">
        <is>
          <t>High</t>
        </is>
      </c>
      <c r="AC556" s="16" t="inlineStr">
        <is>
          <t>No</t>
        </is>
      </c>
      <c r="AD556" s="19" t="n">
        <v>0.2008</v>
      </c>
      <c r="AE556" s="19" t="n">
        <v>0.2658</v>
      </c>
      <c r="AF556" s="19" t="n">
        <v>0.1781</v>
      </c>
      <c r="AG556" s="19" t="n">
        <v>0.1601</v>
      </c>
      <c r="AH556" s="23" t="n">
        <v>0</v>
      </c>
      <c r="AI556" s="23" t="n">
        <v>9.539999999999999</v>
      </c>
      <c r="AJ556" s="19" t="n">
        <v>0.4821</v>
      </c>
    </row>
    <row r="557">
      <c r="A557" s="16" t="inlineStr">
        <is>
          <t>RRP</t>
        </is>
      </c>
      <c r="B557" s="16" t="inlineStr">
        <is>
          <t>RRP Semiconductor Ltd.</t>
        </is>
      </c>
      <c r="C557" s="16" t="inlineStr">
        <is>
          <t>Other Financial Services</t>
        </is>
      </c>
      <c r="D557" s="16" t="inlineStr">
        <is>
          <t>Banking and Finance</t>
        </is>
      </c>
      <c r="E557" s="16" t="inlineStr">
        <is>
          <t>INE713N01013</t>
        </is>
      </c>
      <c r="F557" s="17" t="n">
        <v>11409.08</v>
      </c>
      <c r="G557" s="18" t="n">
        <v>8458.799999999999</v>
      </c>
      <c r="H557" s="19" t="n">
        <v>0</v>
      </c>
      <c r="I557" s="20" t="n">
        <v>44</v>
      </c>
      <c r="J557" s="16" t="inlineStr">
        <is>
          <t>red</t>
        </is>
      </c>
      <c r="K557" s="20" t="n">
        <v>11</v>
      </c>
      <c r="L557" s="18" t="n">
        <v>0</v>
      </c>
      <c r="M557" s="18" t="n">
        <v>8458.799999999999</v>
      </c>
      <c r="N557" s="18" t="n">
        <v>8701.969999999999</v>
      </c>
      <c r="O557" s="18" t="n">
        <v>9756.030000000001</v>
      </c>
      <c r="P557" s="18" t="n">
        <v>11784.4</v>
      </c>
      <c r="Q557" s="18" t="n">
        <v>5029.9</v>
      </c>
      <c r="R557" s="21">
        <f>IF(OR(G557="",P557=""),"",G557/P557-1)</f>
        <v/>
      </c>
      <c r="S557" s="19" t="n">
        <v>0</v>
      </c>
      <c r="T557" s="22" t="n">
        <v>-0.0247</v>
      </c>
      <c r="U557" s="16" t="inlineStr">
        <is>
          <t>No</t>
        </is>
      </c>
      <c r="V557" s="16" t="inlineStr">
        <is>
          <t>No</t>
        </is>
      </c>
      <c r="W557" s="16" t="inlineStr">
        <is>
          <t>Yes</t>
        </is>
      </c>
      <c r="X557" s="16" t="inlineStr">
        <is>
          <t>No</t>
        </is>
      </c>
      <c r="Y557" s="20" t="n">
        <v>61</v>
      </c>
      <c r="Z557" s="19" t="n">
        <v>-0.108</v>
      </c>
      <c r="AA557" s="18" t="n"/>
      <c r="AB557" s="16" t="n"/>
      <c r="AC557" s="16" t="inlineStr">
        <is>
          <t>No</t>
        </is>
      </c>
      <c r="AD557" s="19" t="n"/>
      <c r="AE557" s="19" t="n"/>
      <c r="AF557" s="19" t="n"/>
      <c r="AG557" s="19" t="n"/>
      <c r="AH557" s="23" t="n"/>
      <c r="AI557" s="23" t="n"/>
      <c r="AJ557" s="19" t="n"/>
    </row>
    <row r="558">
      <c r="A558" s="16" t="inlineStr">
        <is>
          <t>PARAS</t>
        </is>
      </c>
      <c r="B558" s="16" t="inlineStr">
        <is>
          <t>Paras Defence and Space Technologies Ltd.</t>
        </is>
      </c>
      <c r="C558" s="16" t="inlineStr">
        <is>
          <t>Aerospace &amp; Defence</t>
        </is>
      </c>
      <c r="D558" s="16" t="inlineStr">
        <is>
          <t>General Industrials</t>
        </is>
      </c>
      <c r="E558" s="16" t="inlineStr">
        <is>
          <t>INE045601023</t>
        </is>
      </c>
      <c r="F558" s="17" t="n">
        <v>11402.3</v>
      </c>
      <c r="G558" s="18" t="n">
        <v>1414.9</v>
      </c>
      <c r="H558" s="19" t="n">
        <v>0.0024</v>
      </c>
      <c r="I558" s="20" t="n">
        <v>92</v>
      </c>
      <c r="J558" s="16" t="inlineStr">
        <is>
          <t>green</t>
        </is>
      </c>
      <c r="K558" s="20" t="n">
        <v>67</v>
      </c>
      <c r="L558" s="18" t="n">
        <v>52.91</v>
      </c>
      <c r="M558" s="18" t="n">
        <v>1429.71</v>
      </c>
      <c r="N558" s="18" t="n">
        <v>1315.01</v>
      </c>
      <c r="O558" s="18" t="n">
        <v>895.46</v>
      </c>
      <c r="P558" s="18" t="n">
        <v>1526.25</v>
      </c>
      <c r="Q558" s="18" t="n">
        <v>584.2</v>
      </c>
      <c r="R558" s="21">
        <f>IF(OR(G558="",P558=""),"",G558/P558-1)</f>
        <v/>
      </c>
      <c r="S558" s="19" t="n">
        <v>0.4043</v>
      </c>
      <c r="T558" s="22" t="n">
        <v>0.0857</v>
      </c>
      <c r="U558" s="16" t="inlineStr">
        <is>
          <t>Yes</t>
        </is>
      </c>
      <c r="V558" s="16" t="inlineStr">
        <is>
          <t>Yes</t>
        </is>
      </c>
      <c r="W558" s="16" t="inlineStr">
        <is>
          <t>No</t>
        </is>
      </c>
      <c r="X558" s="16" t="inlineStr">
        <is>
          <t>Yes</t>
        </is>
      </c>
      <c r="Y558" s="20" t="n">
        <v>90</v>
      </c>
      <c r="Z558" s="19" t="n">
        <v>0.4685</v>
      </c>
      <c r="AA558" s="18" t="n">
        <v>60.09</v>
      </c>
      <c r="AB558" s="16" t="inlineStr">
        <is>
          <t>Good</t>
        </is>
      </c>
      <c r="AC558" s="16" t="inlineStr">
        <is>
          <t>No</t>
        </is>
      </c>
      <c r="AD558" s="19" t="n">
        <v>0.09759999999999999</v>
      </c>
      <c r="AE558" s="19" t="n">
        <v>0.1282</v>
      </c>
      <c r="AF558" s="19" t="n">
        <v>0.401</v>
      </c>
      <c r="AG558" s="19" t="n">
        <v>0.2979</v>
      </c>
      <c r="AH558" s="23" t="n">
        <v>0.04</v>
      </c>
      <c r="AI558" s="23" t="n">
        <v>2.47</v>
      </c>
      <c r="AJ558" s="19" t="n">
        <v>0.0442</v>
      </c>
    </row>
    <row r="559">
      <c r="A559" s="16" t="inlineStr">
        <is>
          <t>TECHNOE</t>
        </is>
      </c>
      <c r="B559" s="16" t="inlineStr">
        <is>
          <t>Techno Electric &amp; Engineering Company Ltd.</t>
        </is>
      </c>
      <c r="C559" s="16" t="inlineStr">
        <is>
          <t>Power - Electric Utilities</t>
        </is>
      </c>
      <c r="D559" s="16" t="inlineStr">
        <is>
          <t>Utilities</t>
        </is>
      </c>
      <c r="E559" s="16" t="inlineStr">
        <is>
          <t>INE285K01026</t>
        </is>
      </c>
      <c r="F559" s="17" t="n">
        <v>11391.55</v>
      </c>
      <c r="G559" s="18" t="n">
        <v>979.5</v>
      </c>
      <c r="H559" s="19" t="n">
        <v>0.006</v>
      </c>
      <c r="I559" s="20" t="n">
        <v>16</v>
      </c>
      <c r="J559" s="16" t="inlineStr">
        <is>
          <t>red</t>
        </is>
      </c>
      <c r="K559" s="20" t="n">
        <v>74</v>
      </c>
      <c r="L559" s="18" t="n">
        <v>55.45</v>
      </c>
      <c r="M559" s="18" t="n">
        <v>988.59</v>
      </c>
      <c r="N559" s="18" t="n">
        <v>1015.95</v>
      </c>
      <c r="O559" s="18" t="n">
        <v>1085.75</v>
      </c>
      <c r="P559" s="18" t="n">
        <v>1520.39</v>
      </c>
      <c r="Q559" s="18" t="n">
        <v>893.4</v>
      </c>
      <c r="R559" s="21">
        <f>IF(OR(G559="",P559=""),"",G559/P559-1)</f>
        <v/>
      </c>
      <c r="S559" s="19" t="n">
        <v>0.3901</v>
      </c>
      <c r="T559" s="22" t="n">
        <v>-0.0264</v>
      </c>
      <c r="U559" s="16" t="inlineStr">
        <is>
          <t>No</t>
        </is>
      </c>
      <c r="V559" s="16" t="inlineStr">
        <is>
          <t>No</t>
        </is>
      </c>
      <c r="W559" s="16" t="inlineStr">
        <is>
          <t>No</t>
        </is>
      </c>
      <c r="X559" s="16" t="inlineStr">
        <is>
          <t>No</t>
        </is>
      </c>
      <c r="Y559" s="20" t="n">
        <v>189</v>
      </c>
      <c r="Z559" s="19" t="n">
        <v>-0.0643</v>
      </c>
      <c r="AA559" s="18" t="n">
        <v>69.37</v>
      </c>
      <c r="AB559" s="16" t="inlineStr">
        <is>
          <t>High</t>
        </is>
      </c>
      <c r="AC559" s="16" t="inlineStr">
        <is>
          <t>No</t>
        </is>
      </c>
      <c r="AD559" s="19" t="n">
        <v>0.1171</v>
      </c>
      <c r="AE559" s="19" t="n">
        <v>0.1413</v>
      </c>
      <c r="AF559" s="19" t="n">
        <v>0.3484</v>
      </c>
      <c r="AG559" s="19" t="n">
        <v>0.5861</v>
      </c>
      <c r="AH559" s="23" t="n">
        <v>0.02</v>
      </c>
      <c r="AI559" s="23" t="n">
        <v>5.59</v>
      </c>
      <c r="AJ559" s="19" t="n">
        <v>0.1237</v>
      </c>
    </row>
    <row r="560">
      <c r="A560" s="16" t="inlineStr">
        <is>
          <t>UTIAMC</t>
        </is>
      </c>
      <c r="B560" s="16" t="inlineStr">
        <is>
          <t>UTI Asset Management Company Ltd.</t>
        </is>
      </c>
      <c r="C560" s="16" t="inlineStr">
        <is>
          <t>Asset Management Cos.</t>
        </is>
      </c>
      <c r="D560" s="16" t="inlineStr">
        <is>
          <t>Banking and Finance</t>
        </is>
      </c>
      <c r="E560" s="16" t="inlineStr">
        <is>
          <t>INE094J01016</t>
        </is>
      </c>
      <c r="F560" s="17" t="n">
        <v>11318.5</v>
      </c>
      <c r="G560" s="18" t="n">
        <v>880.55</v>
      </c>
      <c r="H560" s="19" t="n">
        <v>0.0002</v>
      </c>
      <c r="I560" s="20" t="n">
        <v>18</v>
      </c>
      <c r="J560" s="16" t="inlineStr">
        <is>
          <t>red</t>
        </is>
      </c>
      <c r="K560" s="20" t="n">
        <v>211</v>
      </c>
      <c r="L560" s="18" t="n">
        <v>33.56</v>
      </c>
      <c r="M560" s="18" t="n">
        <v>882.95</v>
      </c>
      <c r="N560" s="18" t="n">
        <v>911.52</v>
      </c>
      <c r="O560" s="18" t="n">
        <v>962.77</v>
      </c>
      <c r="P560" s="18" t="n">
        <v>1347.26</v>
      </c>
      <c r="Q560" s="18" t="n">
        <v>870.55</v>
      </c>
      <c r="R560" s="21">
        <f>IF(OR(G560="",P560=""),"",G560/P560-1)</f>
        <v/>
      </c>
      <c r="S560" s="19" t="n">
        <v>0.3919</v>
      </c>
      <c r="T560" s="22" t="n">
        <v>-0.0292</v>
      </c>
      <c r="U560" s="16" t="inlineStr">
        <is>
          <t>No</t>
        </is>
      </c>
      <c r="V560" s="16" t="inlineStr">
        <is>
          <t>No</t>
        </is>
      </c>
      <c r="W560" s="16" t="inlineStr">
        <is>
          <t>No</t>
        </is>
      </c>
      <c r="X560" s="16" t="inlineStr">
        <is>
          <t>No</t>
        </is>
      </c>
      <c r="Y560" s="20" t="n">
        <v>176</v>
      </c>
      <c r="Z560" s="19" t="n">
        <v>-0.0532</v>
      </c>
      <c r="AA560" s="18" t="n">
        <v>54.37</v>
      </c>
      <c r="AB560" s="16" t="inlineStr">
        <is>
          <t>Good</t>
        </is>
      </c>
      <c r="AC560" s="16" t="inlineStr">
        <is>
          <t>Yes</t>
        </is>
      </c>
      <c r="AD560" s="19" t="n">
        <v>0.1411</v>
      </c>
      <c r="AE560" s="19" t="n">
        <v>0.2009</v>
      </c>
      <c r="AF560" s="19" t="n">
        <v>0.0823</v>
      </c>
      <c r="AG560" s="19" t="n">
        <v>0.1108</v>
      </c>
      <c r="AH560" s="23" t="n">
        <v>0.03</v>
      </c>
      <c r="AI560" s="23" t="n">
        <v>5.48</v>
      </c>
      <c r="AJ560" s="19" t="n">
        <v>0</v>
      </c>
    </row>
    <row r="561">
      <c r="A561" s="16" t="inlineStr">
        <is>
          <t>WELENT</t>
        </is>
      </c>
      <c r="B561" s="16" t="inlineStr">
        <is>
          <t>Welspun Enterprises Ltd.</t>
        </is>
      </c>
      <c r="C561" s="16" t="inlineStr">
        <is>
          <t>Construction &amp; Engineering</t>
        </is>
      </c>
      <c r="D561" s="16" t="inlineStr">
        <is>
          <t>Cement and Construction</t>
        </is>
      </c>
      <c r="E561" s="16" t="inlineStr">
        <is>
          <t>INE625G01013</t>
        </is>
      </c>
      <c r="F561" s="17" t="n">
        <v>11261.35</v>
      </c>
      <c r="G561" s="18" t="n">
        <v>813.6</v>
      </c>
      <c r="H561" s="19" t="n">
        <v>0.0639</v>
      </c>
      <c r="I561" s="20" t="n">
        <v>89</v>
      </c>
      <c r="J561" s="16" t="inlineStr">
        <is>
          <t>green</t>
        </is>
      </c>
      <c r="K561" s="20" t="n">
        <v>8</v>
      </c>
      <c r="L561" s="18" t="n">
        <v>92.20999999999999</v>
      </c>
      <c r="M561" s="18" t="n">
        <v>718.83</v>
      </c>
      <c r="N561" s="18" t="n">
        <v>619.66</v>
      </c>
      <c r="O561" s="18" t="n">
        <v>527.35</v>
      </c>
      <c r="P561" s="18" t="n">
        <v>813.6</v>
      </c>
      <c r="Q561" s="18" t="n">
        <v>413.71</v>
      </c>
      <c r="R561" s="21">
        <f>IF(OR(G561="",P561=""),"",G561/P561-1)</f>
        <v/>
      </c>
      <c r="S561" s="19" t="n">
        <v>4.0914</v>
      </c>
      <c r="T561" s="22" t="n">
        <v>0.0175</v>
      </c>
      <c r="U561" s="16" t="inlineStr">
        <is>
          <t>Yes</t>
        </is>
      </c>
      <c r="V561" s="16" t="inlineStr">
        <is>
          <t>Yes</t>
        </is>
      </c>
      <c r="W561" s="16" t="inlineStr">
        <is>
          <t>Yes</t>
        </is>
      </c>
      <c r="X561" s="16" t="inlineStr">
        <is>
          <t>Yes</t>
        </is>
      </c>
      <c r="Y561" s="20" t="n">
        <v>60</v>
      </c>
      <c r="Z561" s="19" t="n">
        <v>0.175</v>
      </c>
      <c r="AA561" s="18" t="n">
        <v>40</v>
      </c>
      <c r="AB561" s="16" t="inlineStr">
        <is>
          <t>Weak</t>
        </is>
      </c>
      <c r="AC561" s="16" t="inlineStr">
        <is>
          <t>No</t>
        </is>
      </c>
      <c r="AD561" s="19" t="n">
        <v>0.123</v>
      </c>
      <c r="AE561" s="19" t="n">
        <v>0.1642</v>
      </c>
      <c r="AF561" s="19" t="n">
        <v>-0.1257</v>
      </c>
      <c r="AG561" s="19" t="n">
        <v>0.0872</v>
      </c>
      <c r="AH561" s="23" t="n">
        <v>0.65</v>
      </c>
      <c r="AI561" s="23" t="n">
        <v>19.25</v>
      </c>
      <c r="AJ561" s="19" t="n">
        <v>0.0818</v>
      </c>
    </row>
    <row r="562">
      <c r="A562" s="16" t="inlineStr">
        <is>
          <t>INDIACEM</t>
        </is>
      </c>
      <c r="B562" s="16" t="inlineStr">
        <is>
          <t>India Cements Ltd.</t>
        </is>
      </c>
      <c r="C562" s="16" t="inlineStr">
        <is>
          <t>Cement &amp; Cement Products</t>
        </is>
      </c>
      <c r="D562" s="16" t="inlineStr">
        <is>
          <t>Cement and Construction</t>
        </is>
      </c>
      <c r="E562" s="16" t="inlineStr">
        <is>
          <t>INE383A01012</t>
        </is>
      </c>
      <c r="F562" s="17" t="n">
        <v>11233.77</v>
      </c>
      <c r="G562" s="18" t="n">
        <v>362.5</v>
      </c>
      <c r="H562" s="19" t="n">
        <v>0.0103</v>
      </c>
      <c r="I562" s="20" t="n">
        <v>26</v>
      </c>
      <c r="J562" s="16" t="inlineStr">
        <is>
          <t>red</t>
        </is>
      </c>
      <c r="K562" s="20" t="n">
        <v>73</v>
      </c>
      <c r="L562" s="18" t="n">
        <v>34.04</v>
      </c>
      <c r="M562" s="18" t="n">
        <v>365.09</v>
      </c>
      <c r="N562" s="18" t="n">
        <v>382.9</v>
      </c>
      <c r="O562" s="18" t="n">
        <v>402.81</v>
      </c>
      <c r="P562" s="18" t="n">
        <v>478.55</v>
      </c>
      <c r="Q562" s="18" t="n">
        <v>343.8</v>
      </c>
      <c r="R562" s="21">
        <f>IF(OR(G562="",P562=""),"",G562/P562-1)</f>
        <v/>
      </c>
      <c r="S562" s="19" t="n">
        <v>0.2961</v>
      </c>
      <c r="T562" s="22" t="n">
        <v>-0.005699999999999999</v>
      </c>
      <c r="U562" s="16" t="inlineStr">
        <is>
          <t>No</t>
        </is>
      </c>
      <c r="V562" s="16" t="inlineStr">
        <is>
          <t>No</t>
        </is>
      </c>
      <c r="W562" s="16" t="inlineStr">
        <is>
          <t>No</t>
        </is>
      </c>
      <c r="X562" s="16" t="inlineStr">
        <is>
          <t>No</t>
        </is>
      </c>
      <c r="Y562" s="20" t="n">
        <v>99</v>
      </c>
      <c r="Z562" s="19" t="n">
        <v>-0.04940000000000001</v>
      </c>
      <c r="AA562" s="18" t="n">
        <v>23.27</v>
      </c>
      <c r="AB562" s="16" t="inlineStr">
        <is>
          <t>Poor</t>
        </is>
      </c>
      <c r="AC562" s="16" t="inlineStr">
        <is>
          <t>No</t>
        </is>
      </c>
      <c r="AD562" s="19" t="n">
        <v>-0.0205</v>
      </c>
      <c r="AE562" s="19" t="n">
        <v>0.0016</v>
      </c>
      <c r="AF562" s="19" t="n">
        <v>0.0289</v>
      </c>
      <c r="AG562" s="19" t="n">
        <v>-0.06759999999999999</v>
      </c>
      <c r="AH562" s="23" t="n">
        <v>0.13</v>
      </c>
      <c r="AI562" s="23" t="n">
        <v>0.38</v>
      </c>
      <c r="AJ562" s="19" t="n">
        <v>0.0346</v>
      </c>
    </row>
    <row r="563">
      <c r="A563" s="16" t="inlineStr">
        <is>
          <t>IRCON</t>
        </is>
      </c>
      <c r="B563" s="16" t="inlineStr">
        <is>
          <t>Ircon International Ltd.</t>
        </is>
      </c>
      <c r="C563" s="16" t="inlineStr">
        <is>
          <t>Construction &amp; Engineering</t>
        </is>
      </c>
      <c r="D563" s="16" t="inlineStr">
        <is>
          <t>Cement and Construction</t>
        </is>
      </c>
      <c r="E563" s="16" t="inlineStr">
        <is>
          <t>INE962Y01021</t>
        </is>
      </c>
      <c r="F563" s="17" t="n">
        <v>11215.65</v>
      </c>
      <c r="G563" s="18" t="n">
        <v>119.25</v>
      </c>
      <c r="H563" s="19" t="n">
        <v>0.004699999999999999</v>
      </c>
      <c r="I563" s="20" t="n">
        <v>8</v>
      </c>
      <c r="J563" s="16" t="inlineStr">
        <is>
          <t>red</t>
        </is>
      </c>
      <c r="K563" s="20" t="n">
        <v>152</v>
      </c>
      <c r="L563" s="18" t="n">
        <v>34.41</v>
      </c>
      <c r="M563" s="18" t="n">
        <v>120.52</v>
      </c>
      <c r="N563" s="18" t="n">
        <v>127.36</v>
      </c>
      <c r="O563" s="18" t="n">
        <v>142.74</v>
      </c>
      <c r="P563" s="18" t="n">
        <v>185.55</v>
      </c>
      <c r="Q563" s="18" t="n">
        <v>115.24</v>
      </c>
      <c r="R563" s="21">
        <f>IF(OR(G563="",P563=""),"",G563/P563-1)</f>
        <v/>
      </c>
      <c r="S563" s="19" t="n">
        <v>1.2926</v>
      </c>
      <c r="T563" s="22" t="n">
        <v>-0.0291</v>
      </c>
      <c r="U563" s="16" t="inlineStr">
        <is>
          <t>No</t>
        </is>
      </c>
      <c r="V563" s="16" t="inlineStr">
        <is>
          <t>No</t>
        </is>
      </c>
      <c r="W563" s="16" t="inlineStr">
        <is>
          <t>No</t>
        </is>
      </c>
      <c r="X563" s="16" t="inlineStr">
        <is>
          <t>No</t>
        </is>
      </c>
      <c r="Y563" s="20" t="n">
        <v>256</v>
      </c>
      <c r="Z563" s="19" t="n">
        <v>-0.1077</v>
      </c>
      <c r="AA563" s="18" t="n">
        <v>31.94</v>
      </c>
      <c r="AB563" s="16" t="inlineStr">
        <is>
          <t>Poor</t>
        </is>
      </c>
      <c r="AC563" s="16" t="inlineStr">
        <is>
          <t>No</t>
        </is>
      </c>
      <c r="AD563" s="19" t="n">
        <v>0.121</v>
      </c>
      <c r="AE563" s="19" t="n">
        <v>0.126</v>
      </c>
      <c r="AF563" s="19" t="n">
        <v>-0.3346</v>
      </c>
      <c r="AG563" s="19" t="n">
        <v>-0.0311</v>
      </c>
      <c r="AH563" s="23" t="n">
        <v>0.86</v>
      </c>
      <c r="AI563" s="23" t="n">
        <v>3.3</v>
      </c>
      <c r="AJ563" s="19" t="n">
        <v>0.2162</v>
      </c>
    </row>
    <row r="564">
      <c r="A564" s="16" t="inlineStr">
        <is>
          <t>LLOYDSENT</t>
        </is>
      </c>
      <c r="B564" s="16" t="inlineStr">
        <is>
          <t>Lloyds Enterprises Ltd.</t>
        </is>
      </c>
      <c r="C564" s="16" t="inlineStr">
        <is>
          <t>Commodity Trading  &amp; Distribution</t>
        </is>
      </c>
      <c r="D564" s="16" t="inlineStr">
        <is>
          <t>Commercial Services &amp; Supplies</t>
        </is>
      </c>
      <c r="E564" s="16" t="inlineStr">
        <is>
          <t>INE080I01025</t>
        </is>
      </c>
      <c r="F564" s="17" t="n">
        <v>11211.53</v>
      </c>
      <c r="G564" s="18" t="n">
        <v>74.23</v>
      </c>
      <c r="H564" s="19" t="n">
        <v>0.0314</v>
      </c>
      <c r="I564" s="20" t="n">
        <v>69</v>
      </c>
      <c r="J564" s="16" t="inlineStr">
        <is>
          <t>amber</t>
        </is>
      </c>
      <c r="K564" s="20" t="n">
        <v>9</v>
      </c>
      <c r="L564" s="18" t="n">
        <v>45.7</v>
      </c>
      <c r="M564" s="18" t="n">
        <v>72.70999999999999</v>
      </c>
      <c r="N564" s="18" t="n">
        <v>77.20999999999999</v>
      </c>
      <c r="O564" s="18" t="n">
        <v>64.95999999999999</v>
      </c>
      <c r="P564" s="18" t="n">
        <v>83.5</v>
      </c>
      <c r="Q564" s="18" t="n">
        <v>41.35</v>
      </c>
      <c r="R564" s="21">
        <f>IF(OR(G564="",P564=""),"",G564/P564-1)</f>
        <v/>
      </c>
      <c r="S564" s="19" t="n">
        <v>1.0264</v>
      </c>
      <c r="T564" s="22" t="n">
        <v>0.0134</v>
      </c>
      <c r="U564" s="16" t="inlineStr">
        <is>
          <t>Yes</t>
        </is>
      </c>
      <c r="V564" s="16" t="inlineStr">
        <is>
          <t>No</t>
        </is>
      </c>
      <c r="W564" s="16" t="inlineStr">
        <is>
          <t>Yes</t>
        </is>
      </c>
      <c r="X564" s="16" t="inlineStr">
        <is>
          <t>Yes</t>
        </is>
      </c>
      <c r="Y564" s="20" t="n">
        <v>69</v>
      </c>
      <c r="Z564" s="19" t="n">
        <v>0.1887</v>
      </c>
      <c r="AA564" s="18" t="n">
        <v>58.88</v>
      </c>
      <c r="AB564" s="16" t="inlineStr">
        <is>
          <t>Good</t>
        </is>
      </c>
      <c r="AC564" s="16" t="inlineStr">
        <is>
          <t>No</t>
        </is>
      </c>
      <c r="AD564" s="19" t="n">
        <v>0.0554</v>
      </c>
      <c r="AE564" s="19" t="n">
        <v>0.0977</v>
      </c>
      <c r="AF564" s="19" t="n">
        <v>1.6766</v>
      </c>
      <c r="AG564" s="19" t="n">
        <v>0.7279000000000001</v>
      </c>
      <c r="AH564" s="23" t="n">
        <v>0.19</v>
      </c>
      <c r="AI564" s="23" t="n">
        <v>5.05</v>
      </c>
      <c r="AJ564" s="19" t="n">
        <v>0.214</v>
      </c>
    </row>
    <row r="565">
      <c r="A565" s="16" t="inlineStr">
        <is>
          <t>SIGNATURE</t>
        </is>
      </c>
      <c r="B565" s="16" t="inlineStr">
        <is>
          <t>Signatureglobal (India) Ltd.</t>
        </is>
      </c>
      <c r="C565" s="16" t="inlineStr">
        <is>
          <t>Realty</t>
        </is>
      </c>
      <c r="D565" s="16" t="inlineStr">
        <is>
          <t>Realty</t>
        </is>
      </c>
      <c r="E565" s="16" t="inlineStr">
        <is>
          <t>INE903U01023</t>
        </is>
      </c>
      <c r="F565" s="17" t="n">
        <v>11206.34</v>
      </c>
      <c r="G565" s="18" t="n">
        <v>796.55</v>
      </c>
      <c r="H565" s="19" t="n">
        <v>0.003</v>
      </c>
      <c r="I565" s="20" t="n">
        <v>14</v>
      </c>
      <c r="J565" s="16" t="inlineStr">
        <is>
          <t>red</t>
        </is>
      </c>
      <c r="K565" s="20" t="n">
        <v>308</v>
      </c>
      <c r="L565" s="18" t="n">
        <v>46.91</v>
      </c>
      <c r="M565" s="18" t="n">
        <v>779.9400000000001</v>
      </c>
      <c r="N565" s="18" t="n">
        <v>795.65</v>
      </c>
      <c r="O565" s="18" t="n">
        <v>889.9</v>
      </c>
      <c r="P565" s="18" t="n">
        <v>1146.5</v>
      </c>
      <c r="Q565" s="18" t="n">
        <v>714.2</v>
      </c>
      <c r="R565" s="21">
        <f>IF(OR(G565="",P565=""),"",G565/P565-1)</f>
        <v/>
      </c>
      <c r="S565" s="19" t="n">
        <v>1.0629</v>
      </c>
      <c r="T565" s="22" t="n">
        <v>-0.0313</v>
      </c>
      <c r="U565" s="16" t="inlineStr">
        <is>
          <t>No</t>
        </is>
      </c>
      <c r="V565" s="16" t="inlineStr">
        <is>
          <t>Yes</t>
        </is>
      </c>
      <c r="W565" s="16" t="inlineStr">
        <is>
          <t>Yes</t>
        </is>
      </c>
      <c r="X565" s="16" t="inlineStr">
        <is>
          <t>No</t>
        </is>
      </c>
      <c r="Y565" s="20" t="n">
        <v>260</v>
      </c>
      <c r="Z565" s="19" t="n">
        <v>-0.1059</v>
      </c>
      <c r="AA565" s="18" t="n">
        <v>58.9</v>
      </c>
      <c r="AB565" s="16" t="inlineStr">
        <is>
          <t>Good</t>
        </is>
      </c>
      <c r="AC565" s="16" t="inlineStr">
        <is>
          <t>No</t>
        </is>
      </c>
      <c r="AD565" s="19" t="n">
        <v>0.2522</v>
      </c>
      <c r="AE565" s="19" t="n">
        <v>0.1147</v>
      </c>
      <c r="AF565" s="19" t="n">
        <v>5.3288</v>
      </c>
      <c r="AG565" s="19" t="n">
        <v>0.2917</v>
      </c>
      <c r="AH565" s="23" t="n">
        <v>1.61</v>
      </c>
      <c r="AI565" s="23" t="n">
        <v>22.94</v>
      </c>
      <c r="AJ565" s="19" t="n">
        <v>0</v>
      </c>
    </row>
    <row r="566">
      <c r="A566" s="16" t="inlineStr">
        <is>
          <t>JPPOWER</t>
        </is>
      </c>
      <c r="B566" s="16" t="inlineStr">
        <is>
          <t>Jaiprakash Power Ventures Ltd.</t>
        </is>
      </c>
      <c r="C566" s="16" t="inlineStr">
        <is>
          <t>Green &amp; Renewable Energy</t>
        </is>
      </c>
      <c r="D566" s="16" t="inlineStr">
        <is>
          <t>Utilities</t>
        </is>
      </c>
      <c r="E566" s="16" t="inlineStr">
        <is>
          <t>INE351F01018</t>
        </is>
      </c>
      <c r="F566" s="17" t="n">
        <v>11164.28</v>
      </c>
      <c r="G566" s="18" t="n">
        <v>16.29</v>
      </c>
      <c r="H566" s="19" t="n">
        <v>0.009300000000000001</v>
      </c>
      <c r="I566" s="20" t="n">
        <v>26</v>
      </c>
      <c r="J566" s="16" t="inlineStr">
        <is>
          <t>red</t>
        </is>
      </c>
      <c r="K566" s="20" t="n">
        <v>57</v>
      </c>
      <c r="L566" s="18" t="n">
        <v>19.1</v>
      </c>
      <c r="M566" s="18" t="n">
        <v>16.57</v>
      </c>
      <c r="N566" s="18" t="n">
        <v>17.29</v>
      </c>
      <c r="O566" s="18" t="n">
        <v>17.26</v>
      </c>
      <c r="P566" s="18" t="n">
        <v>22.87</v>
      </c>
      <c r="Q566" s="18" t="n">
        <v>13.37</v>
      </c>
      <c r="R566" s="21">
        <f>IF(OR(G566="",P566=""),"",G566/P566-1)</f>
        <v/>
      </c>
      <c r="S566" s="19" t="n">
        <v>0.6315</v>
      </c>
      <c r="T566" s="22" t="n">
        <v>-0.005699999999999999</v>
      </c>
      <c r="U566" s="16" t="inlineStr">
        <is>
          <t>No</t>
        </is>
      </c>
      <c r="V566" s="16" t="inlineStr">
        <is>
          <t>No</t>
        </is>
      </c>
      <c r="W566" s="16" t="inlineStr">
        <is>
          <t>No</t>
        </is>
      </c>
      <c r="X566" s="16" t="inlineStr">
        <is>
          <t>Yes</t>
        </is>
      </c>
      <c r="Y566" s="20" t="n">
        <v>74</v>
      </c>
      <c r="Z566" s="19" t="n">
        <v>0.002</v>
      </c>
      <c r="AA566" s="18" t="n">
        <v>38.14</v>
      </c>
      <c r="AB566" s="16" t="inlineStr">
        <is>
          <t>Weak</t>
        </is>
      </c>
      <c r="AC566" s="16" t="inlineStr">
        <is>
          <t>No</t>
        </is>
      </c>
      <c r="AD566" s="19" t="n">
        <v>0.0636</v>
      </c>
      <c r="AE566" s="19" t="n">
        <v>0.0922</v>
      </c>
      <c r="AF566" s="19" t="n">
        <v>6.7224</v>
      </c>
      <c r="AG566" s="19" t="n">
        <v>-0.0013</v>
      </c>
      <c r="AH566" s="23" t="n">
        <v>0.27</v>
      </c>
      <c r="AI566" s="23" t="n">
        <v>0.44</v>
      </c>
      <c r="AJ566" s="19" t="n">
        <v>0.0211</v>
      </c>
    </row>
    <row r="567">
      <c r="A567" s="16" t="inlineStr">
        <is>
          <t>SBFC</t>
        </is>
      </c>
      <c r="B567" s="16" t="inlineStr">
        <is>
          <t>SBFC Finance Ltd.</t>
        </is>
      </c>
      <c r="C567" s="16" t="inlineStr">
        <is>
          <t>Finance (including NBFCs)</t>
        </is>
      </c>
      <c r="D567" s="16" t="inlineStr">
        <is>
          <t>Banking and Finance</t>
        </is>
      </c>
      <c r="E567" s="16" t="inlineStr">
        <is>
          <t>INE423Y01016</t>
        </is>
      </c>
      <c r="F567" s="17" t="n">
        <v>11090.93</v>
      </c>
      <c r="G567" s="18" t="n">
        <v>100.08</v>
      </c>
      <c r="H567" s="19" t="n">
        <v>0.0018</v>
      </c>
      <c r="I567" s="20" t="n">
        <v>43</v>
      </c>
      <c r="J567" s="16" t="inlineStr">
        <is>
          <t>red</t>
        </is>
      </c>
      <c r="K567" s="20" t="n">
        <v>154</v>
      </c>
      <c r="L567" s="18" t="n">
        <v>66.56</v>
      </c>
      <c r="M567" s="18" t="n">
        <v>99.56</v>
      </c>
      <c r="N567" s="18" t="n">
        <v>93.61</v>
      </c>
      <c r="O567" s="18" t="n">
        <v>95.37</v>
      </c>
      <c r="P567" s="18" t="n">
        <v>118.5</v>
      </c>
      <c r="Q567" s="18" t="n">
        <v>80.95</v>
      </c>
      <c r="R567" s="21">
        <f>IF(OR(G567="",P567=""),"",G567/P567-1)</f>
        <v/>
      </c>
      <c r="S567" s="19" t="n">
        <v>0.3073</v>
      </c>
      <c r="T567" s="22" t="n">
        <v>-0.0174</v>
      </c>
      <c r="U567" s="16" t="inlineStr">
        <is>
          <t>No</t>
        </is>
      </c>
      <c r="V567" s="16" t="inlineStr">
        <is>
          <t>Yes</t>
        </is>
      </c>
      <c r="W567" s="16" t="inlineStr">
        <is>
          <t>Yes</t>
        </is>
      </c>
      <c r="X567" s="16" t="inlineStr">
        <is>
          <t>No</t>
        </is>
      </c>
      <c r="Y567" s="20" t="n">
        <v>163</v>
      </c>
      <c r="Z567" s="19" t="n">
        <v>-0.0184</v>
      </c>
      <c r="AA567" s="18" t="n">
        <v>54.04</v>
      </c>
      <c r="AB567" s="16" t="inlineStr">
        <is>
          <t>Good</t>
        </is>
      </c>
      <c r="AC567" s="16" t="inlineStr">
        <is>
          <t>Yes</t>
        </is>
      </c>
      <c r="AD567" s="19" t="n">
        <v>0.1048</v>
      </c>
      <c r="AE567" s="19" t="n">
        <v>0.0582</v>
      </c>
      <c r="AF567" s="19" t="n">
        <v>0.4341</v>
      </c>
      <c r="AG567" s="19" t="n">
        <v>0.3722</v>
      </c>
      <c r="AH567" s="23" t="n">
        <v>1.92</v>
      </c>
      <c r="AI567" s="23" t="n">
        <v>32.97</v>
      </c>
      <c r="AJ567" s="19" t="n">
        <v>0.0121</v>
      </c>
    </row>
    <row r="568">
      <c r="A568" s="16" t="inlineStr">
        <is>
          <t>SHREEJISPG</t>
        </is>
      </c>
      <c r="B568" s="16" t="inlineStr">
        <is>
          <t>Shreeji Shipping Global Ltd.</t>
        </is>
      </c>
      <c r="C568" s="16" t="inlineStr">
        <is>
          <t>Shipping</t>
        </is>
      </c>
      <c r="D568" s="16" t="inlineStr">
        <is>
          <t>Transportation</t>
        </is>
      </c>
      <c r="E568" s="16" t="inlineStr">
        <is>
          <t>INE1B6101010</t>
        </is>
      </c>
      <c r="F568" s="17" t="n">
        <v>11080.89</v>
      </c>
      <c r="G568" s="18" t="n">
        <v>680.15</v>
      </c>
      <c r="H568" s="19" t="n">
        <v>0.0239</v>
      </c>
      <c r="I568" s="20" t="n">
        <v>94</v>
      </c>
      <c r="J568" s="16" t="inlineStr">
        <is>
          <t>green</t>
        </is>
      </c>
      <c r="K568" s="20" t="n">
        <v>75</v>
      </c>
      <c r="L568" s="18" t="n">
        <v>70.16</v>
      </c>
      <c r="M568" s="18" t="n">
        <v>650.17</v>
      </c>
      <c r="N568" s="18" t="n">
        <v>609.65</v>
      </c>
      <c r="O568" s="18" t="n">
        <v>440.75</v>
      </c>
      <c r="P568" s="18" t="n">
        <v>680.15</v>
      </c>
      <c r="Q568" s="18" t="n">
        <v>222.88</v>
      </c>
      <c r="R568" s="21">
        <f>IF(OR(G568="",P568=""),"",G568/P568-1)</f>
        <v/>
      </c>
      <c r="S568" s="19" t="n">
        <v>2.2206</v>
      </c>
      <c r="T568" s="22" t="n">
        <v>0.0917</v>
      </c>
      <c r="U568" s="16" t="inlineStr">
        <is>
          <t>Yes</t>
        </is>
      </c>
      <c r="V568" s="16" t="inlineStr">
        <is>
          <t>Yes</t>
        </is>
      </c>
      <c r="W568" s="16" t="inlineStr">
        <is>
          <t>Yes</t>
        </is>
      </c>
      <c r="X568" s="16" t="inlineStr">
        <is>
          <t>Yes</t>
        </is>
      </c>
      <c r="Y568" s="20" t="n">
        <v>59</v>
      </c>
      <c r="Z568" s="19" t="n">
        <v>0.3832</v>
      </c>
      <c r="AA568" s="18" t="n">
        <v>53</v>
      </c>
      <c r="AB568" s="16" t="inlineStr">
        <is>
          <t>Good</t>
        </is>
      </c>
      <c r="AC568" s="16" t="inlineStr">
        <is>
          <t>No</t>
        </is>
      </c>
      <c r="AD568" s="19" t="n">
        <v>0.3377000000000001</v>
      </c>
      <c r="AE568" s="19" t="n">
        <v>0.3075</v>
      </c>
      <c r="AF568" s="19" t="n">
        <v>0.1022</v>
      </c>
      <c r="AG568" s="19" t="n">
        <v>-0.0342</v>
      </c>
      <c r="AH568" s="23" t="n">
        <v>0.36</v>
      </c>
      <c r="AI568" s="23" t="n">
        <v>1.55</v>
      </c>
      <c r="AJ568" s="19" t="n">
        <v>0.0317</v>
      </c>
    </row>
    <row r="569">
      <c r="A569" s="16" t="inlineStr">
        <is>
          <t>TEJASNET</t>
        </is>
      </c>
      <c r="B569" s="16" t="inlineStr">
        <is>
          <t>Tejas Networks Ltd.</t>
        </is>
      </c>
      <c r="C569" s="16" t="inlineStr">
        <is>
          <t>Telecom Equipment</t>
        </is>
      </c>
      <c r="D569" s="16" t="inlineStr">
        <is>
          <t>Telecommunications Equipment</t>
        </is>
      </c>
      <c r="E569" s="16" t="inlineStr">
        <is>
          <t>INE010J01012</t>
        </is>
      </c>
      <c r="F569" s="17" t="n">
        <v>10935.88</v>
      </c>
      <c r="G569" s="18" t="n">
        <v>614.15</v>
      </c>
      <c r="H569" s="19" t="n">
        <v>0.0823</v>
      </c>
      <c r="I569" s="20" t="n">
        <v>63</v>
      </c>
      <c r="J569" s="16" t="inlineStr">
        <is>
          <t>amber</t>
        </is>
      </c>
      <c r="K569" s="20" t="n">
        <v>1</v>
      </c>
      <c r="L569" s="18" t="n">
        <v>77.42</v>
      </c>
      <c r="M569" s="18" t="n">
        <v>549.8099999999999</v>
      </c>
      <c r="N569" s="18" t="n">
        <v>538.34</v>
      </c>
      <c r="O569" s="18" t="n">
        <v>469.54</v>
      </c>
      <c r="P569" s="18" t="n">
        <v>632.35</v>
      </c>
      <c r="Q569" s="18" t="n">
        <v>296.15</v>
      </c>
      <c r="R569" s="21">
        <f>IF(OR(G569="",P569=""),"",G569/P569-1)</f>
        <v/>
      </c>
      <c r="S569" s="19" t="n">
        <v>6.5161</v>
      </c>
      <c r="T569" s="22" t="n">
        <v>0.0004</v>
      </c>
      <c r="U569" s="16" t="inlineStr">
        <is>
          <t>Yes</t>
        </is>
      </c>
      <c r="V569" s="16" t="inlineStr">
        <is>
          <t>Yes</t>
        </is>
      </c>
      <c r="W569" s="16" t="inlineStr">
        <is>
          <t>Yes</t>
        </is>
      </c>
      <c r="X569" s="16" t="inlineStr">
        <is>
          <t>Yes</t>
        </is>
      </c>
      <c r="Y569" s="20" t="n">
        <v>59</v>
      </c>
      <c r="Z569" s="19" t="n">
        <v>0.1465</v>
      </c>
      <c r="AA569" s="18" t="n">
        <v>36.08</v>
      </c>
      <c r="AB569" s="16" t="inlineStr">
        <is>
          <t>Weak</t>
        </is>
      </c>
      <c r="AC569" s="16" t="inlineStr">
        <is>
          <t>No</t>
        </is>
      </c>
      <c r="AD569" s="19" t="n">
        <v>-0.058</v>
      </c>
      <c r="AE569" s="19" t="n">
        <v>0.0019</v>
      </c>
      <c r="AF569" s="19" t="n">
        <v>1.8046</v>
      </c>
      <c r="AG569" s="19" t="n">
        <v>1.1</v>
      </c>
      <c r="AH569" s="23" t="n">
        <v>1.43</v>
      </c>
      <c r="AI569" s="23" t="n">
        <v>2.06</v>
      </c>
      <c r="AJ569" s="19" t="n">
        <v>0.0024</v>
      </c>
    </row>
    <row r="570">
      <c r="A570" s="16" t="inlineStr">
        <is>
          <t>AVANTIFEED</t>
        </is>
      </c>
      <c r="B570" s="16" t="inlineStr">
        <is>
          <t>Avanti Feeds Ltd.</t>
        </is>
      </c>
      <c r="C570" s="16" t="inlineStr">
        <is>
          <t>Other Food &amp; Beverages</t>
        </is>
      </c>
      <c r="D570" s="16" t="inlineStr">
        <is>
          <t>Food, Beverages &amp; Tobacco</t>
        </is>
      </c>
      <c r="E570" s="16" t="inlineStr">
        <is>
          <t>INE871C01038</t>
        </is>
      </c>
      <c r="F570" s="17" t="n">
        <v>10880.57</v>
      </c>
      <c r="G570" s="18" t="n">
        <v>798.6</v>
      </c>
      <c r="H570" s="19" t="n">
        <v>0.0035</v>
      </c>
      <c r="I570" s="20" t="n">
        <v>19</v>
      </c>
      <c r="J570" s="16" t="inlineStr">
        <is>
          <t>red</t>
        </is>
      </c>
      <c r="K570" s="20" t="n">
        <v>29</v>
      </c>
      <c r="L570" s="18" t="n">
        <v>18.49</v>
      </c>
      <c r="M570" s="18" t="n">
        <v>820.61</v>
      </c>
      <c r="N570" s="18" t="n">
        <v>901.87</v>
      </c>
      <c r="O570" s="18" t="n">
        <v>1040</v>
      </c>
      <c r="P570" s="18" t="n">
        <v>1486.54</v>
      </c>
      <c r="Q570" s="18" t="n">
        <v>626.45</v>
      </c>
      <c r="R570" s="21">
        <f>IF(OR(G570="",P570=""),"",G570/P570-1)</f>
        <v/>
      </c>
      <c r="S570" s="19" t="n">
        <v>0.5282</v>
      </c>
      <c r="T570" s="22" t="n">
        <v>0.013</v>
      </c>
      <c r="U570" s="16" t="inlineStr">
        <is>
          <t>Yes</t>
        </is>
      </c>
      <c r="V570" s="16" t="inlineStr">
        <is>
          <t>No</t>
        </is>
      </c>
      <c r="W570" s="16" t="inlineStr">
        <is>
          <t>No</t>
        </is>
      </c>
      <c r="X570" s="16" t="inlineStr">
        <is>
          <t>No</t>
        </is>
      </c>
      <c r="Y570" s="20" t="n">
        <v>26</v>
      </c>
      <c r="Z570" s="19" t="n">
        <v>-0.1328</v>
      </c>
      <c r="AA570" s="18" t="n">
        <v>40</v>
      </c>
      <c r="AB570" s="16" t="inlineStr">
        <is>
          <t>Weak</t>
        </is>
      </c>
      <c r="AC570" s="16" t="inlineStr">
        <is>
          <t>No</t>
        </is>
      </c>
      <c r="AD570" s="19" t="n">
        <v>0.1747</v>
      </c>
      <c r="AE570" s="19" t="n">
        <v>0.2517</v>
      </c>
      <c r="AF570" s="19" t="n">
        <v>-0.07919999999999999</v>
      </c>
      <c r="AG570" s="19" t="n">
        <v>0.0587</v>
      </c>
      <c r="AH570" s="23" t="n">
        <v>0</v>
      </c>
      <c r="AI570" s="23" t="n">
        <v>9.69</v>
      </c>
      <c r="AJ570" s="19" t="n">
        <v>0.0413</v>
      </c>
    </row>
    <row r="571">
      <c r="A571" s="16" t="inlineStr">
        <is>
          <t>KEC</t>
        </is>
      </c>
      <c r="B571" s="16" t="inlineStr">
        <is>
          <t>KEC International Ltd.</t>
        </is>
      </c>
      <c r="C571" s="16" t="inlineStr">
        <is>
          <t>Heavy Electrical Equipment</t>
        </is>
      </c>
      <c r="D571" s="16" t="inlineStr">
        <is>
          <t>General Industrials</t>
        </is>
      </c>
      <c r="E571" s="16" t="inlineStr">
        <is>
          <t>INE389H01022</t>
        </is>
      </c>
      <c r="F571" s="17" t="n">
        <v>10875.6</v>
      </c>
      <c r="G571" s="18" t="n">
        <v>408.55</v>
      </c>
      <c r="H571" s="19" t="n">
        <v>0.0059</v>
      </c>
      <c r="I571" s="20" t="n">
        <v>3</v>
      </c>
      <c r="J571" s="16" t="inlineStr">
        <is>
          <t>red</t>
        </is>
      </c>
      <c r="K571" s="20" t="n">
        <v>274</v>
      </c>
      <c r="L571" s="18" t="n">
        <v>31.44</v>
      </c>
      <c r="M571" s="18" t="n">
        <v>416.67</v>
      </c>
      <c r="N571" s="18" t="n">
        <v>462.46</v>
      </c>
      <c r="O571" s="18" t="n">
        <v>561.08</v>
      </c>
      <c r="P571" s="18" t="n">
        <v>873.72</v>
      </c>
      <c r="Q571" s="18" t="n">
        <v>406.15</v>
      </c>
      <c r="R571" s="21">
        <f>IF(OR(G571="",P571=""),"",G571/P571-1)</f>
        <v/>
      </c>
      <c r="S571" s="19" t="n">
        <v>0.7534000000000001</v>
      </c>
      <c r="T571" s="22" t="n">
        <v>-0.0605</v>
      </c>
      <c r="U571" s="16" t="inlineStr">
        <is>
          <t>No</t>
        </is>
      </c>
      <c r="V571" s="16" t="inlineStr">
        <is>
          <t>No</t>
        </is>
      </c>
      <c r="W571" s="16" t="inlineStr">
        <is>
          <t>No</t>
        </is>
      </c>
      <c r="X571" s="16" t="inlineStr">
        <is>
          <t>No</t>
        </is>
      </c>
      <c r="Y571" s="20" t="n">
        <v>191</v>
      </c>
      <c r="Z571" s="19" t="n">
        <v>-0.1758</v>
      </c>
      <c r="AA571" s="18" t="n">
        <v>49.39</v>
      </c>
      <c r="AB571" s="16" t="inlineStr">
        <is>
          <t>Average</t>
        </is>
      </c>
      <c r="AC571" s="16" t="inlineStr">
        <is>
          <t>No</t>
        </is>
      </c>
      <c r="AD571" s="19" t="n">
        <v>0.09660000000000001</v>
      </c>
      <c r="AE571" s="19" t="n">
        <v>0.1357</v>
      </c>
      <c r="AF571" s="19" t="n">
        <v>0.5429999999999999</v>
      </c>
      <c r="AG571" s="19" t="n">
        <v>0.1113</v>
      </c>
      <c r="AH571" s="23" t="n">
        <v>0.87</v>
      </c>
      <c r="AI571" s="23" t="n">
        <v>14.72</v>
      </c>
      <c r="AJ571" s="19" t="n">
        <v>0.0747</v>
      </c>
    </row>
    <row r="572">
      <c r="A572" s="16" t="inlineStr">
        <is>
          <t>JUBLINGREA</t>
        </is>
      </c>
      <c r="B572" s="16" t="inlineStr">
        <is>
          <t>Jubilant Ingrevia Ltd.</t>
        </is>
      </c>
      <c r="C572" s="16" t="inlineStr">
        <is>
          <t>Specialty Chemicals</t>
        </is>
      </c>
      <c r="D572" s="16" t="inlineStr">
        <is>
          <t>Chemicals &amp; Petrochemicals</t>
        </is>
      </c>
      <c r="E572" s="16" t="inlineStr">
        <is>
          <t>INE0BY001018</t>
        </is>
      </c>
      <c r="F572" s="17" t="n">
        <v>10835.89</v>
      </c>
      <c r="G572" s="18" t="n">
        <v>680.3</v>
      </c>
      <c r="H572" s="19" t="n">
        <v>-0.0148</v>
      </c>
      <c r="I572" s="20" t="n">
        <v>50</v>
      </c>
      <c r="J572" s="16" t="inlineStr">
        <is>
          <t>red</t>
        </is>
      </c>
      <c r="K572" s="20" t="n">
        <v>73</v>
      </c>
      <c r="L572" s="18" t="n">
        <v>29.78</v>
      </c>
      <c r="M572" s="18" t="n">
        <v>688.17</v>
      </c>
      <c r="N572" s="18" t="n">
        <v>713.59</v>
      </c>
      <c r="O572" s="18" t="n">
        <v>670.96</v>
      </c>
      <c r="P572" s="18" t="n">
        <v>761.24</v>
      </c>
      <c r="Q572" s="18" t="n">
        <v>539.48</v>
      </c>
      <c r="R572" s="21">
        <f>IF(OR(G572="",P572=""),"",G572/P572-1)</f>
        <v/>
      </c>
      <c r="S572" s="19" t="n">
        <v>0.3191</v>
      </c>
      <c r="T572" s="22" t="n">
        <v>0.0044</v>
      </c>
      <c r="U572" s="16" t="inlineStr">
        <is>
          <t>Yes</t>
        </is>
      </c>
      <c r="V572" s="16" t="inlineStr">
        <is>
          <t>No</t>
        </is>
      </c>
      <c r="W572" s="16" t="inlineStr">
        <is>
          <t>No</t>
        </is>
      </c>
      <c r="X572" s="16" t="inlineStr">
        <is>
          <t>Yes</t>
        </is>
      </c>
      <c r="Y572" s="20" t="n">
        <v>69</v>
      </c>
      <c r="Z572" s="19" t="n">
        <v>0.0635</v>
      </c>
      <c r="AA572" s="18" t="n">
        <v>32.22</v>
      </c>
      <c r="AB572" s="16" t="inlineStr">
        <is>
          <t>Poor</t>
        </is>
      </c>
      <c r="AC572" s="16" t="inlineStr">
        <is>
          <t>No</t>
        </is>
      </c>
      <c r="AD572" s="19" t="n">
        <v>0.0805</v>
      </c>
      <c r="AE572" s="19" t="n">
        <v>0.1022</v>
      </c>
      <c r="AF572" s="19" t="n">
        <v>0.0248</v>
      </c>
      <c r="AG572" s="19" t="n">
        <v>-0.0252</v>
      </c>
      <c r="AH572" s="23" t="n">
        <v>0.25</v>
      </c>
      <c r="AI572" s="23" t="n">
        <v>1.31</v>
      </c>
      <c r="AJ572" s="19" t="n">
        <v>0.0495</v>
      </c>
    </row>
    <row r="573">
      <c r="A573" s="16" t="inlineStr">
        <is>
          <t>MGL</t>
        </is>
      </c>
      <c r="B573" s="16" t="inlineStr">
        <is>
          <t>Mahanagar Gas Ltd.</t>
        </is>
      </c>
      <c r="C573" s="16" t="inlineStr">
        <is>
          <t>Utilities:Non-Electrical</t>
        </is>
      </c>
      <c r="D573" s="16" t="inlineStr">
        <is>
          <t>Utilities</t>
        </is>
      </c>
      <c r="E573" s="16" t="inlineStr">
        <is>
          <t>INE002S01010</t>
        </is>
      </c>
      <c r="F573" s="17" t="n">
        <v>10831.97</v>
      </c>
      <c r="G573" s="18" t="n">
        <v>1096.6</v>
      </c>
      <c r="H573" s="19" t="n">
        <v>0.0283</v>
      </c>
      <c r="I573" s="20" t="n">
        <v>37</v>
      </c>
      <c r="J573" s="16" t="inlineStr">
        <is>
          <t>red</t>
        </is>
      </c>
      <c r="K573" s="20" t="n">
        <v>128</v>
      </c>
      <c r="L573" s="18" t="n">
        <v>46.42</v>
      </c>
      <c r="M573" s="18" t="n">
        <v>1084.49</v>
      </c>
      <c r="N573" s="18" t="n">
        <v>1099.22</v>
      </c>
      <c r="O573" s="18" t="n">
        <v>1086.64</v>
      </c>
      <c r="P573" s="18" t="n">
        <v>1327.51</v>
      </c>
      <c r="Q573" s="18" t="n">
        <v>893.92</v>
      </c>
      <c r="R573" s="21">
        <f>IF(OR(G573="",P573=""),"",G573/P573-1)</f>
        <v/>
      </c>
      <c r="S573" s="19" t="n">
        <v>0.8053</v>
      </c>
      <c r="T573" s="22" t="n">
        <v>-0.0114</v>
      </c>
      <c r="U573" s="16" t="inlineStr">
        <is>
          <t>No</t>
        </is>
      </c>
      <c r="V573" s="16" t="inlineStr">
        <is>
          <t>No</t>
        </is>
      </c>
      <c r="W573" s="16" t="inlineStr">
        <is>
          <t>Yes</t>
        </is>
      </c>
      <c r="X573" s="16" t="inlineStr">
        <is>
          <t>Yes</t>
        </is>
      </c>
      <c r="Y573" s="20" t="n">
        <v>25</v>
      </c>
      <c r="Z573" s="19" t="n">
        <v>0.0116</v>
      </c>
      <c r="AA573" s="18" t="n">
        <v>63.24</v>
      </c>
      <c r="AB573" s="16" t="inlineStr">
        <is>
          <t>Good</t>
        </is>
      </c>
      <c r="AC573" s="16" t="inlineStr">
        <is>
          <t>No</t>
        </is>
      </c>
      <c r="AD573" s="19" t="n">
        <v>0.1861</v>
      </c>
      <c r="AE573" s="19" t="n">
        <v>0.2439</v>
      </c>
      <c r="AF573" s="19" t="n">
        <v>0.0815</v>
      </c>
      <c r="AG573" s="19" t="n">
        <v>0.09570000000000001</v>
      </c>
      <c r="AH573" s="23" t="n">
        <v>0.03</v>
      </c>
      <c r="AI573" s="23" t="n">
        <v>1.29</v>
      </c>
      <c r="AJ573" s="19" t="n">
        <v>0.2175</v>
      </c>
    </row>
    <row r="574">
      <c r="A574" s="16" t="inlineStr">
        <is>
          <t>AFCONS</t>
        </is>
      </c>
      <c r="B574" s="16" t="inlineStr">
        <is>
          <t>Afcons Infrastructure Ltd.</t>
        </is>
      </c>
      <c r="C574" s="16" t="inlineStr">
        <is>
          <t>Construction &amp; Engineering</t>
        </is>
      </c>
      <c r="D574" s="16" t="inlineStr">
        <is>
          <t>Cement and Construction</t>
        </is>
      </c>
      <c r="E574" s="16" t="inlineStr">
        <is>
          <t>INE101I01011</t>
        </is>
      </c>
      <c r="F574" s="17" t="n">
        <v>10768.73</v>
      </c>
      <c r="G574" s="18" t="n">
        <v>292.8</v>
      </c>
      <c r="H574" s="19" t="n">
        <v>-0.0064</v>
      </c>
      <c r="I574" s="20" t="n">
        <v>15</v>
      </c>
      <c r="J574" s="16" t="inlineStr">
        <is>
          <t>red</t>
        </is>
      </c>
      <c r="K574" s="20" t="n">
        <v>211</v>
      </c>
      <c r="L574" s="18" t="n">
        <v>78.51000000000001</v>
      </c>
      <c r="M574" s="18" t="n">
        <v>287.53</v>
      </c>
      <c r="N574" s="18" t="n">
        <v>286.79</v>
      </c>
      <c r="O574" s="18" t="n">
        <v>322.16</v>
      </c>
      <c r="P574" s="18" t="n">
        <v>462.49</v>
      </c>
      <c r="Q574" s="18" t="n">
        <v>262.85</v>
      </c>
      <c r="R574" s="21">
        <f>IF(OR(G574="",P574=""),"",G574/P574-1)</f>
        <v/>
      </c>
      <c r="S574" s="19" t="n">
        <v>0.4114</v>
      </c>
      <c r="T574" s="22" t="n">
        <v>-0.0444</v>
      </c>
      <c r="U574" s="16" t="inlineStr">
        <is>
          <t>No</t>
        </is>
      </c>
      <c r="V574" s="16" t="inlineStr">
        <is>
          <t>Yes</t>
        </is>
      </c>
      <c r="W574" s="16" t="inlineStr">
        <is>
          <t>Yes</t>
        </is>
      </c>
      <c r="X574" s="16" t="inlineStr">
        <is>
          <t>No</t>
        </is>
      </c>
      <c r="Y574" s="20" t="n">
        <v>190</v>
      </c>
      <c r="Z574" s="19" t="n">
        <v>-0.1098</v>
      </c>
      <c r="AA574" s="18" t="n">
        <v>35.4</v>
      </c>
      <c r="AB574" s="16" t="inlineStr">
        <is>
          <t>Weak</t>
        </is>
      </c>
      <c r="AC574" s="16" t="inlineStr">
        <is>
          <t>No</t>
        </is>
      </c>
      <c r="AD574" s="19" t="n">
        <v>0.08789999999999999</v>
      </c>
      <c r="AE574" s="19" t="n">
        <v>0.144</v>
      </c>
      <c r="AF574" s="19" t="n">
        <v>-0.1025</v>
      </c>
      <c r="AG574" s="19" t="n">
        <v>-0.0164</v>
      </c>
      <c r="AH574" s="23" t="n">
        <v>0.67</v>
      </c>
      <c r="AI574" s="23" t="n">
        <v>3.49</v>
      </c>
      <c r="AJ574" s="19" t="n">
        <v>0.2675</v>
      </c>
    </row>
    <row r="575">
      <c r="A575" s="16" t="inlineStr">
        <is>
          <t>IIFLCAPS</t>
        </is>
      </c>
      <c r="B575" s="16" t="inlineStr">
        <is>
          <t>IIFL Capital Services Ltd.</t>
        </is>
      </c>
      <c r="C575" s="16" t="inlineStr">
        <is>
          <t>Capital Markets</t>
        </is>
      </c>
      <c r="D575" s="16" t="inlineStr">
        <is>
          <t>Banking and Finance</t>
        </is>
      </c>
      <c r="E575" s="16" t="inlineStr">
        <is>
          <t>INE489L01022</t>
        </is>
      </c>
      <c r="F575" s="17" t="n">
        <v>10753.9</v>
      </c>
      <c r="G575" s="18" t="n">
        <v>341.2</v>
      </c>
      <c r="H575" s="19" t="n">
        <v>0.009300000000000001</v>
      </c>
      <c r="I575" s="20" t="n">
        <v>49</v>
      </c>
      <c r="J575" s="16" t="inlineStr">
        <is>
          <t>red</t>
        </is>
      </c>
      <c r="K575" s="20" t="n">
        <v>42</v>
      </c>
      <c r="L575" s="18" t="n">
        <v>63.38</v>
      </c>
      <c r="M575" s="18" t="n">
        <v>337.33</v>
      </c>
      <c r="N575" s="18" t="n">
        <v>336.96</v>
      </c>
      <c r="O575" s="18" t="n">
        <v>326.35</v>
      </c>
      <c r="P575" s="18" t="n">
        <v>391.85</v>
      </c>
      <c r="Q575" s="18" t="n">
        <v>244.15</v>
      </c>
      <c r="R575" s="21">
        <f>IF(OR(G575="",P575=""),"",G575/P575-1)</f>
        <v/>
      </c>
      <c r="S575" s="19" t="n">
        <v>1.1391</v>
      </c>
      <c r="T575" s="22" t="n">
        <v>0.001</v>
      </c>
      <c r="U575" s="16" t="inlineStr">
        <is>
          <t>Yes</t>
        </is>
      </c>
      <c r="V575" s="16" t="inlineStr">
        <is>
          <t>Yes</t>
        </is>
      </c>
      <c r="W575" s="16" t="inlineStr">
        <is>
          <t>Yes</t>
        </is>
      </c>
      <c r="X575" s="16" t="inlineStr">
        <is>
          <t>Yes</t>
        </is>
      </c>
      <c r="Y575" s="20" t="n">
        <v>65</v>
      </c>
      <c r="Z575" s="19" t="n">
        <v>0.0325</v>
      </c>
      <c r="AA575" s="18" t="n">
        <v>80.83</v>
      </c>
      <c r="AB575" s="16" t="inlineStr">
        <is>
          <t>High</t>
        </is>
      </c>
      <c r="AC575" s="16" t="inlineStr">
        <is>
          <t>Yes</t>
        </is>
      </c>
      <c r="AD575" s="19" t="n">
        <v>0.2513</v>
      </c>
      <c r="AE575" s="19" t="n">
        <v>0.2576</v>
      </c>
      <c r="AF575" s="19" t="n">
        <v>0.3748</v>
      </c>
      <c r="AG575" s="19" t="n">
        <v>0.2253</v>
      </c>
      <c r="AH575" s="23" t="n">
        <v>0.59</v>
      </c>
      <c r="AI575" s="23" t="n">
        <v>9.4</v>
      </c>
      <c r="AJ575" s="19" t="n">
        <v>0.0058</v>
      </c>
    </row>
    <row r="576">
      <c r="A576" s="16" t="inlineStr">
        <is>
          <t>CANFINHOME</t>
        </is>
      </c>
      <c r="B576" s="16" t="inlineStr">
        <is>
          <t>Can Fin Homes Ltd.</t>
        </is>
      </c>
      <c r="C576" s="16" t="inlineStr">
        <is>
          <t>Housing Finance</t>
        </is>
      </c>
      <c r="D576" s="16" t="inlineStr">
        <is>
          <t>Banking and Finance</t>
        </is>
      </c>
      <c r="E576" s="16" t="inlineStr">
        <is>
          <t>INE477A01020</t>
        </is>
      </c>
      <c r="F576" s="17" t="n">
        <v>10750.9</v>
      </c>
      <c r="G576" s="18" t="n">
        <v>807.4</v>
      </c>
      <c r="H576" s="19" t="n">
        <v>0.003</v>
      </c>
      <c r="I576" s="20" t="n">
        <v>37</v>
      </c>
      <c r="J576" s="16" t="inlineStr">
        <is>
          <t>red</t>
        </is>
      </c>
      <c r="K576" s="20" t="n">
        <v>37</v>
      </c>
      <c r="L576" s="18" t="n">
        <v>47.34</v>
      </c>
      <c r="M576" s="18" t="n">
        <v>802.3</v>
      </c>
      <c r="N576" s="18" t="n">
        <v>839.8</v>
      </c>
      <c r="O576" s="18" t="n">
        <v>861.65</v>
      </c>
      <c r="P576" s="18" t="n">
        <v>941.59</v>
      </c>
      <c r="Q576" s="18" t="n">
        <v>728.47</v>
      </c>
      <c r="R576" s="21">
        <f>IF(OR(G576="",P576=""),"",G576/P576-1)</f>
        <v/>
      </c>
      <c r="S576" s="19" t="n">
        <v>1.093</v>
      </c>
      <c r="T576" s="22" t="n">
        <v>-0.0052</v>
      </c>
      <c r="U576" s="16" t="inlineStr">
        <is>
          <t>No</t>
        </is>
      </c>
      <c r="V576" s="16" t="inlineStr">
        <is>
          <t>No</t>
        </is>
      </c>
      <c r="W576" s="16" t="inlineStr">
        <is>
          <t>Yes</t>
        </is>
      </c>
      <c r="X576" s="16" t="inlineStr">
        <is>
          <t>No</t>
        </is>
      </c>
      <c r="Y576" s="20" t="n">
        <v>50</v>
      </c>
      <c r="Z576" s="19" t="n">
        <v>-0.0254</v>
      </c>
      <c r="AA576" s="18" t="n">
        <v>65.38</v>
      </c>
      <c r="AB576" s="16" t="inlineStr">
        <is>
          <t>High</t>
        </is>
      </c>
      <c r="AC576" s="16" t="inlineStr">
        <is>
          <t>Yes</t>
        </is>
      </c>
      <c r="AD576" s="19" t="n">
        <v>0.1745</v>
      </c>
      <c r="AE576" s="19" t="n"/>
      <c r="AF576" s="19" t="n">
        <v>0.2057</v>
      </c>
      <c r="AG576" s="19" t="n">
        <v>0.1785</v>
      </c>
      <c r="AH576" s="23" t="n">
        <v>6.37</v>
      </c>
      <c r="AI576" s="23" t="n">
        <v>33.01</v>
      </c>
      <c r="AJ576" s="19" t="n">
        <v>0</v>
      </c>
    </row>
    <row r="577">
      <c r="A577" s="16" t="inlineStr">
        <is>
          <t>SUVEN</t>
        </is>
      </c>
      <c r="B577" s="16" t="inlineStr">
        <is>
          <t>Suven Life Sciences Ltd.</t>
        </is>
      </c>
      <c r="C577" s="16" t="inlineStr">
        <is>
          <t>Healthcare Services</t>
        </is>
      </c>
      <c r="D577" s="16" t="inlineStr">
        <is>
          <t>Healthcare</t>
        </is>
      </c>
      <c r="E577" s="16" t="inlineStr">
        <is>
          <t>INE495B01038</t>
        </is>
      </c>
      <c r="F577" s="17" t="n">
        <v>10680.87</v>
      </c>
      <c r="G577" s="18" t="n">
        <v>378</v>
      </c>
      <c r="H577" s="19" t="n">
        <v>-0.0009</v>
      </c>
      <c r="I577" s="20" t="n">
        <v>94</v>
      </c>
      <c r="J577" s="16" t="inlineStr">
        <is>
          <t>green</t>
        </is>
      </c>
      <c r="K577" s="20" t="n">
        <v>81</v>
      </c>
      <c r="L577" s="18" t="n">
        <v>66.01000000000001</v>
      </c>
      <c r="M577" s="18" t="n">
        <v>376.01</v>
      </c>
      <c r="N577" s="18" t="n">
        <v>334.85</v>
      </c>
      <c r="O577" s="18" t="n">
        <v>223.21</v>
      </c>
      <c r="P577" s="18" t="n">
        <v>392.05</v>
      </c>
      <c r="Q577" s="18" t="n">
        <v>126.65</v>
      </c>
      <c r="R577" s="21">
        <f>IF(OR(G577="",P577=""),"",G577/P577-1)</f>
        <v/>
      </c>
      <c r="S577" s="19" t="n">
        <v>0.5788</v>
      </c>
      <c r="T577" s="22" t="n">
        <v>0.081</v>
      </c>
      <c r="U577" s="16" t="inlineStr">
        <is>
          <t>Yes</t>
        </is>
      </c>
      <c r="V577" s="16" t="inlineStr">
        <is>
          <t>Yes</t>
        </is>
      </c>
      <c r="W577" s="16" t="inlineStr">
        <is>
          <t>Yes</t>
        </is>
      </c>
      <c r="X577" s="16" t="inlineStr">
        <is>
          <t>Yes</t>
        </is>
      </c>
      <c r="Y577" s="20" t="n">
        <v>76</v>
      </c>
      <c r="Z577" s="19" t="n">
        <v>0.5002</v>
      </c>
      <c r="AA577" s="18" t="n">
        <v>21.37</v>
      </c>
      <c r="AB577" s="16" t="inlineStr">
        <is>
          <t>Poor</t>
        </is>
      </c>
      <c r="AC577" s="16" t="inlineStr">
        <is>
          <t>No</t>
        </is>
      </c>
      <c r="AD577" s="19" t="n">
        <v>-0.7726000000000001</v>
      </c>
      <c r="AE577" s="19" t="n">
        <v>-0.7687999999999999</v>
      </c>
      <c r="AF577" s="19" t="n">
        <v>-0.3006</v>
      </c>
      <c r="AG577" s="19" t="n">
        <v>-0.1664</v>
      </c>
      <c r="AH577" s="23" t="n">
        <v>0.03</v>
      </c>
      <c r="AI577" s="23" t="n">
        <v>0.09</v>
      </c>
      <c r="AJ577" s="19" t="n">
        <v>0.0475</v>
      </c>
    </row>
    <row r="578">
      <c r="A578" s="16" t="inlineStr">
        <is>
          <t>BLACKBUCK</t>
        </is>
      </c>
      <c r="B578" s="16" t="inlineStr">
        <is>
          <t>BlackBuck Ltd.</t>
        </is>
      </c>
      <c r="C578" s="16" t="inlineStr">
        <is>
          <t>Transport Related Services</t>
        </is>
      </c>
      <c r="D578" s="16" t="inlineStr">
        <is>
          <t>Transportation</t>
        </is>
      </c>
      <c r="E578" s="16" t="inlineStr">
        <is>
          <t>INE0UIZ01018</t>
        </is>
      </c>
      <c r="F578" s="17" t="n">
        <v>10676.82</v>
      </c>
      <c r="G578" s="18" t="n">
        <v>586.1</v>
      </c>
      <c r="H578" s="19" t="n">
        <v>0.0064</v>
      </c>
      <c r="I578" s="20" t="n">
        <v>46</v>
      </c>
      <c r="J578" s="16" t="inlineStr">
        <is>
          <t>red</t>
        </is>
      </c>
      <c r="K578" s="20" t="n">
        <v>88</v>
      </c>
      <c r="L578" s="18" t="n">
        <v>55.76</v>
      </c>
      <c r="M578" s="18" t="n">
        <v>588.24</v>
      </c>
      <c r="N578" s="18" t="n">
        <v>571.1</v>
      </c>
      <c r="O578" s="18" t="n">
        <v>587.85</v>
      </c>
      <c r="P578" s="18" t="n">
        <v>733.5</v>
      </c>
      <c r="Q578" s="18" t="n">
        <v>500.2</v>
      </c>
      <c r="R578" s="21">
        <f>IF(OR(G578="",P578=""),"",G578/P578-1)</f>
        <v/>
      </c>
      <c r="S578" s="19" t="n">
        <v>0.2905</v>
      </c>
      <c r="T578" s="22" t="n">
        <v>-0.0145</v>
      </c>
      <c r="U578" s="16" t="inlineStr">
        <is>
          <t>No</t>
        </is>
      </c>
      <c r="V578" s="16" t="inlineStr">
        <is>
          <t>Yes</t>
        </is>
      </c>
      <c r="W578" s="16" t="inlineStr">
        <is>
          <t>No</t>
        </is>
      </c>
      <c r="X578" s="16" t="inlineStr">
        <is>
          <t>No</t>
        </is>
      </c>
      <c r="Y578" s="20" t="n">
        <v>110</v>
      </c>
      <c r="Z578" s="19" t="n">
        <v>-0.0285</v>
      </c>
      <c r="AA578" s="18" t="n">
        <v>53.1</v>
      </c>
      <c r="AB578" s="16" t="inlineStr">
        <is>
          <t>Good</t>
        </is>
      </c>
      <c r="AC578" s="16" t="inlineStr">
        <is>
          <t>No</t>
        </is>
      </c>
      <c r="AD578" s="19" t="n">
        <v>-0.1724</v>
      </c>
      <c r="AE578" s="19" t="n">
        <v>-0.1443</v>
      </c>
      <c r="AF578" s="19" t="n">
        <v>6.2708</v>
      </c>
      <c r="AG578" s="19" t="n">
        <v>0.5515</v>
      </c>
      <c r="AH578" s="23" t="n">
        <v>0.04</v>
      </c>
      <c r="AI578" s="23" t="n">
        <v>5.49</v>
      </c>
      <c r="AJ578" s="19" t="n">
        <v>0.0194</v>
      </c>
    </row>
    <row r="579">
      <c r="A579" s="16" t="inlineStr">
        <is>
          <t>IEX</t>
        </is>
      </c>
      <c r="B579" s="16" t="inlineStr">
        <is>
          <t>Indian Energy Exchange Ltd.</t>
        </is>
      </c>
      <c r="C579" s="16" t="inlineStr">
        <is>
          <t>Capital Markets</t>
        </is>
      </c>
      <c r="D579" s="16" t="inlineStr">
        <is>
          <t>Banking and Finance</t>
        </is>
      </c>
      <c r="E579" s="16" t="inlineStr">
        <is>
          <t>INE022Q01020</t>
        </is>
      </c>
      <c r="F579" s="17" t="n">
        <v>10603.12</v>
      </c>
      <c r="G579" s="18" t="n">
        <v>118.91</v>
      </c>
      <c r="H579" s="19" t="n">
        <v>-0.002</v>
      </c>
      <c r="I579" s="20" t="n">
        <v>26</v>
      </c>
      <c r="J579" s="16" t="inlineStr">
        <is>
          <t>red</t>
        </is>
      </c>
      <c r="K579" s="20" t="n">
        <v>283</v>
      </c>
      <c r="L579" s="18" t="n">
        <v>20.28</v>
      </c>
      <c r="M579" s="18" t="n">
        <v>120.3</v>
      </c>
      <c r="N579" s="18" t="n">
        <v>124.02</v>
      </c>
      <c r="O579" s="18" t="n">
        <v>126.52</v>
      </c>
      <c r="P579" s="18" t="n">
        <v>150.56</v>
      </c>
      <c r="Q579" s="18" t="n">
        <v>112.96</v>
      </c>
      <c r="R579" s="21">
        <f>IF(OR(G579="",P579=""),"",G579/P579-1)</f>
        <v/>
      </c>
      <c r="S579" s="19" t="n">
        <v>2.5893</v>
      </c>
      <c r="T579" s="22" t="n">
        <v>-0.011</v>
      </c>
      <c r="U579" s="16" t="inlineStr">
        <is>
          <t>No</t>
        </is>
      </c>
      <c r="V579" s="16" t="inlineStr">
        <is>
          <t>No</t>
        </is>
      </c>
      <c r="W579" s="16" t="inlineStr">
        <is>
          <t>No</t>
        </is>
      </c>
      <c r="X579" s="16" t="inlineStr">
        <is>
          <t>No</t>
        </is>
      </c>
      <c r="Y579" s="20" t="n">
        <v>264</v>
      </c>
      <c r="Z579" s="19" t="n">
        <v>-0.0198</v>
      </c>
      <c r="AA579" s="18" t="n">
        <v>76.52</v>
      </c>
      <c r="AB579" s="16" t="inlineStr">
        <is>
          <t>High</t>
        </is>
      </c>
      <c r="AC579" s="16" t="inlineStr">
        <is>
          <t>Yes</t>
        </is>
      </c>
      <c r="AD579" s="19" t="n">
        <v>0.3666</v>
      </c>
      <c r="AE579" s="19" t="n">
        <v>0.4815</v>
      </c>
      <c r="AF579" s="19" t="n">
        <v>0.175</v>
      </c>
      <c r="AG579" s="19" t="n">
        <v>0.1544</v>
      </c>
      <c r="AH579" s="23" t="n">
        <v>0.01</v>
      </c>
      <c r="AI579" s="23" t="n">
        <v>21.22</v>
      </c>
      <c r="AJ579" s="19" t="n">
        <v>0</v>
      </c>
    </row>
    <row r="580">
      <c r="A580" s="16" t="inlineStr">
        <is>
          <t>JKTYRE</t>
        </is>
      </c>
      <c r="B580" s="16" t="inlineStr">
        <is>
          <t>JK Tyre &amp; Industries Ltd.</t>
        </is>
      </c>
      <c r="C580" s="16" t="inlineStr">
        <is>
          <t>Auto Tyres &amp; Rubber Products</t>
        </is>
      </c>
      <c r="D580" s="16" t="inlineStr">
        <is>
          <t>Automobiles &amp; Auto Components</t>
        </is>
      </c>
      <c r="E580" s="16" t="inlineStr">
        <is>
          <t>INE573A01042</t>
        </is>
      </c>
      <c r="F580" s="17" t="n">
        <v>10590.31</v>
      </c>
      <c r="G580" s="18" t="n">
        <v>367.35</v>
      </c>
      <c r="H580" s="19" t="n">
        <v>-0.005699999999999999</v>
      </c>
      <c r="I580" s="20" t="n">
        <v>27</v>
      </c>
      <c r="J580" s="16" t="inlineStr">
        <is>
          <t>red</t>
        </is>
      </c>
      <c r="K580" s="20" t="n">
        <v>96</v>
      </c>
      <c r="L580" s="18" t="n">
        <v>33.41</v>
      </c>
      <c r="M580" s="18" t="n">
        <v>375.29</v>
      </c>
      <c r="N580" s="18" t="n">
        <v>391.89</v>
      </c>
      <c r="O580" s="18" t="n">
        <v>432.14</v>
      </c>
      <c r="P580" s="18" t="n">
        <v>598.87</v>
      </c>
      <c r="Q580" s="18" t="n">
        <v>341.12</v>
      </c>
      <c r="R580" s="21">
        <f>IF(OR(G580="",P580=""),"",G580/P580-1)</f>
        <v/>
      </c>
      <c r="S580" s="19" t="n">
        <v>0.5209</v>
      </c>
      <c r="T580" s="22" t="n">
        <v>-0.0135</v>
      </c>
      <c r="U580" s="16" t="inlineStr">
        <is>
          <t>No</t>
        </is>
      </c>
      <c r="V580" s="16" t="inlineStr">
        <is>
          <t>No</t>
        </is>
      </c>
      <c r="W580" s="16" t="inlineStr">
        <is>
          <t>No</t>
        </is>
      </c>
      <c r="X580" s="16" t="inlineStr">
        <is>
          <t>No</t>
        </is>
      </c>
      <c r="Y580" s="20" t="n">
        <v>86</v>
      </c>
      <c r="Z580" s="19" t="n">
        <v>-0.0931</v>
      </c>
      <c r="AA580" s="18" t="n">
        <v>45.65</v>
      </c>
      <c r="AB580" s="16" t="inlineStr">
        <is>
          <t>Average</t>
        </is>
      </c>
      <c r="AC580" s="16" t="inlineStr">
        <is>
          <t>No</t>
        </is>
      </c>
      <c r="AD580" s="19" t="n">
        <v>0.1352</v>
      </c>
      <c r="AE580" s="19" t="n">
        <v>0.1451</v>
      </c>
      <c r="AF580" s="19" t="n">
        <v>0.6403</v>
      </c>
      <c r="AG580" s="19" t="n">
        <v>0.0384</v>
      </c>
      <c r="AH580" s="23" t="n">
        <v>0.8100000000000001</v>
      </c>
      <c r="AI580" s="23" t="n">
        <v>2.02</v>
      </c>
      <c r="AJ580" s="19" t="n">
        <v>0.1361</v>
      </c>
    </row>
    <row r="581">
      <c r="A581" s="16" t="inlineStr">
        <is>
          <t>PGIL</t>
        </is>
      </c>
      <c r="B581" s="16" t="inlineStr">
        <is>
          <t>Pearl Global Industries Ltd.</t>
        </is>
      </c>
      <c r="C581" s="16" t="inlineStr">
        <is>
          <t>Other Apparels &amp; Accessories</t>
        </is>
      </c>
      <c r="D581" s="16" t="inlineStr">
        <is>
          <t>Textiles Apparels &amp; Accessories</t>
        </is>
      </c>
      <c r="E581" s="16" t="inlineStr">
        <is>
          <t>INE940H01022</t>
        </is>
      </c>
      <c r="F581" s="17" t="n">
        <v>10523.58</v>
      </c>
      <c r="G581" s="18" t="n">
        <v>2278.3</v>
      </c>
      <c r="H581" s="19" t="n">
        <v>-0.0218</v>
      </c>
      <c r="I581" s="20" t="n">
        <v>85</v>
      </c>
      <c r="J581" s="16" t="inlineStr">
        <is>
          <t>green</t>
        </is>
      </c>
      <c r="K581" s="20" t="n">
        <v>53</v>
      </c>
      <c r="L581" s="18" t="n">
        <v>41.67</v>
      </c>
      <c r="M581" s="18" t="n">
        <v>2334.93</v>
      </c>
      <c r="N581" s="18" t="n">
        <v>2181.57</v>
      </c>
      <c r="O581" s="18" t="n">
        <v>1737.9</v>
      </c>
      <c r="P581" s="18" t="n">
        <v>2480.4</v>
      </c>
      <c r="Q581" s="18" t="n">
        <v>1193.21</v>
      </c>
      <c r="R581" s="21">
        <f>IF(OR(G581="",P581=""),"",G581/P581-1)</f>
        <v/>
      </c>
      <c r="S581" s="19" t="n">
        <v>0.4922</v>
      </c>
      <c r="T581" s="22" t="n">
        <v>0.05860000000000001</v>
      </c>
      <c r="U581" s="16" t="inlineStr">
        <is>
          <t>Yes</t>
        </is>
      </c>
      <c r="V581" s="16" t="inlineStr">
        <is>
          <t>Yes</t>
        </is>
      </c>
      <c r="W581" s="16" t="inlineStr">
        <is>
          <t>No</t>
        </is>
      </c>
      <c r="X581" s="16" t="inlineStr">
        <is>
          <t>Yes</t>
        </is>
      </c>
      <c r="Y581" s="20" t="n">
        <v>203</v>
      </c>
      <c r="Z581" s="19" t="n">
        <v>0.2553</v>
      </c>
      <c r="AA581" s="18" t="n">
        <v>58.71</v>
      </c>
      <c r="AB581" s="16" t="inlineStr">
        <is>
          <t>Good</t>
        </is>
      </c>
      <c r="AC581" s="16" t="inlineStr">
        <is>
          <t>No</t>
        </is>
      </c>
      <c r="AD581" s="19" t="n">
        <v>0.2077</v>
      </c>
      <c r="AE581" s="19" t="n">
        <v>0.1678</v>
      </c>
      <c r="AF581" s="19" t="n">
        <v>0.2074</v>
      </c>
      <c r="AG581" s="19" t="n">
        <v>0.178</v>
      </c>
      <c r="AH581" s="23" t="n">
        <v>0.65</v>
      </c>
      <c r="AI581" s="23" t="n">
        <v>5.8</v>
      </c>
      <c r="AJ581" s="19" t="n">
        <v>0.1349</v>
      </c>
    </row>
    <row r="582">
      <c r="A582" s="16" t="inlineStr">
        <is>
          <t>ABLBL</t>
        </is>
      </c>
      <c r="B582" s="16" t="inlineStr">
        <is>
          <t>Aditya Birla Lifestyle Brands Ltd.</t>
        </is>
      </c>
      <c r="C582" s="16" t="inlineStr">
        <is>
          <t>Specialty Retail</t>
        </is>
      </c>
      <c r="D582" s="16" t="inlineStr">
        <is>
          <t>Retailing</t>
        </is>
      </c>
      <c r="E582" s="16" t="inlineStr">
        <is>
          <t>INE14LE01019</t>
        </is>
      </c>
      <c r="F582" s="17" t="n">
        <v>10505.03</v>
      </c>
      <c r="G582" s="18" t="n">
        <v>86.06999999999999</v>
      </c>
      <c r="H582" s="19" t="n">
        <v>0.0309</v>
      </c>
      <c r="I582" s="20" t="n">
        <v>6</v>
      </c>
      <c r="J582" s="16" t="inlineStr">
        <is>
          <t>red</t>
        </is>
      </c>
      <c r="K582" s="20" t="n">
        <v>201</v>
      </c>
      <c r="L582" s="18" t="n">
        <v>38.31</v>
      </c>
      <c r="M582" s="18" t="n">
        <v>85.03</v>
      </c>
      <c r="N582" s="18" t="n">
        <v>91.79000000000001</v>
      </c>
      <c r="O582" s="18" t="n">
        <v>104.3</v>
      </c>
      <c r="P582" s="18" t="n">
        <v>148.36</v>
      </c>
      <c r="Q582" s="18" t="n">
        <v>82.78</v>
      </c>
      <c r="R582" s="21">
        <f>IF(OR(G582="",P582=""),"",G582/P582-1)</f>
        <v/>
      </c>
      <c r="S582" s="19" t="n">
        <v>0.8898999999999999</v>
      </c>
      <c r="T582" s="22" t="n">
        <v>-0.0435</v>
      </c>
      <c r="U582" s="16" t="inlineStr">
        <is>
          <t>No</t>
        </is>
      </c>
      <c r="V582" s="16" t="inlineStr">
        <is>
          <t>No</t>
        </is>
      </c>
      <c r="W582" s="16" t="inlineStr">
        <is>
          <t>Yes</t>
        </is>
      </c>
      <c r="X582" s="16" t="inlineStr">
        <is>
          <t>No</t>
        </is>
      </c>
      <c r="Y582" s="20" t="n">
        <v>103</v>
      </c>
      <c r="Z582" s="19" t="n">
        <v>-0.12</v>
      </c>
      <c r="AA582" s="18" t="n">
        <v>19.37</v>
      </c>
      <c r="AB582" s="16" t="inlineStr">
        <is>
          <t>Poor</t>
        </is>
      </c>
      <c r="AC582" s="16" t="inlineStr">
        <is>
          <t>No</t>
        </is>
      </c>
      <c r="AD582" s="19" t="n">
        <v>0.0839</v>
      </c>
      <c r="AE582" s="19" t="n">
        <v>0.1213</v>
      </c>
      <c r="AF582" s="19" t="n">
        <v>1.8776</v>
      </c>
      <c r="AG582" s="19" t="n">
        <v>0.06809999999999999</v>
      </c>
      <c r="AH582" s="23" t="n">
        <v>2.14</v>
      </c>
      <c r="AI582" s="23" t="n">
        <v>3.22</v>
      </c>
      <c r="AJ582" s="19" t="n">
        <v>0.0193</v>
      </c>
    </row>
    <row r="583">
      <c r="A583" s="16" t="inlineStr">
        <is>
          <t>ZENSARTECH</t>
        </is>
      </c>
      <c r="B583" s="16" t="inlineStr">
        <is>
          <t>Zensar Technologies Ltd.</t>
        </is>
      </c>
      <c r="C583" s="16" t="inlineStr">
        <is>
          <t>IT Consulting &amp; Software</t>
        </is>
      </c>
      <c r="D583" s="16" t="inlineStr">
        <is>
          <t>Software &amp; Services</t>
        </is>
      </c>
      <c r="E583" s="16" t="inlineStr">
        <is>
          <t>INE520A01027</t>
        </is>
      </c>
      <c r="F583" s="17" t="n">
        <v>10503.99</v>
      </c>
      <c r="G583" s="18" t="n">
        <v>461.55</v>
      </c>
      <c r="H583" s="19" t="n">
        <v>-0.008399999999999999</v>
      </c>
      <c r="I583" s="20" t="n">
        <v>11</v>
      </c>
      <c r="J583" s="16" t="inlineStr">
        <is>
          <t>red</t>
        </is>
      </c>
      <c r="K583" s="20" t="n">
        <v>155</v>
      </c>
      <c r="L583" s="18" t="n">
        <v>34.15</v>
      </c>
      <c r="M583" s="18" t="n">
        <v>465.88</v>
      </c>
      <c r="N583" s="18" t="n">
        <v>486.75</v>
      </c>
      <c r="O583" s="18" t="n">
        <v>557.08</v>
      </c>
      <c r="P583" s="18" t="n">
        <v>834.49</v>
      </c>
      <c r="Q583" s="18" t="n">
        <v>415.22</v>
      </c>
      <c r="R583" s="21">
        <f>IF(OR(G583="",P583=""),"",G583/P583-1)</f>
        <v/>
      </c>
      <c r="S583" s="19" t="n">
        <v>0.4228</v>
      </c>
      <c r="T583" s="22" t="n">
        <v>-0.0436</v>
      </c>
      <c r="U583" s="16" t="inlineStr">
        <is>
          <t>No</t>
        </is>
      </c>
      <c r="V583" s="16" t="inlineStr">
        <is>
          <t>No</t>
        </is>
      </c>
      <c r="W583" s="16" t="inlineStr">
        <is>
          <t>No</t>
        </is>
      </c>
      <c r="X583" s="16" t="inlineStr">
        <is>
          <t>No</t>
        </is>
      </c>
      <c r="Y583" s="20" t="n">
        <v>203</v>
      </c>
      <c r="Z583" s="19" t="n">
        <v>-0.1262</v>
      </c>
      <c r="AA583" s="18" t="n">
        <v>69.94</v>
      </c>
      <c r="AB583" s="16" t="inlineStr">
        <is>
          <t>High</t>
        </is>
      </c>
      <c r="AC583" s="16" t="inlineStr">
        <is>
          <t>No</t>
        </is>
      </c>
      <c r="AD583" s="19" t="n">
        <v>0.1702</v>
      </c>
      <c r="AE583" s="19" t="n">
        <v>0.2207</v>
      </c>
      <c r="AF583" s="19" t="n">
        <v>0.3946</v>
      </c>
      <c r="AG583" s="19" t="n">
        <v>0.0551</v>
      </c>
      <c r="AH583" s="23" t="n">
        <v>0.02</v>
      </c>
      <c r="AI583" s="23" t="n">
        <v>32.57</v>
      </c>
      <c r="AJ583" s="19" t="n">
        <v>0.016</v>
      </c>
    </row>
    <row r="584">
      <c r="A584" s="16" t="inlineStr">
        <is>
          <t>HCG</t>
        </is>
      </c>
      <c r="B584" s="16" t="inlineStr">
        <is>
          <t>Healthcare Global Enterprises Ltd.</t>
        </is>
      </c>
      <c r="C584" s="16" t="inlineStr">
        <is>
          <t>Healthcare Facilities</t>
        </is>
      </c>
      <c r="D584" s="16" t="inlineStr">
        <is>
          <t>Healthcare</t>
        </is>
      </c>
      <c r="E584" s="16" t="inlineStr">
        <is>
          <t>INE075I01017</t>
        </is>
      </c>
      <c r="F584" s="17" t="n">
        <v>10454.14</v>
      </c>
      <c r="G584" s="18" t="n">
        <v>700.2</v>
      </c>
      <c r="H584" s="19" t="n">
        <v>-0.0046</v>
      </c>
      <c r="I584" s="20" t="n">
        <v>54</v>
      </c>
      <c r="J584" s="16" t="inlineStr">
        <is>
          <t>red</t>
        </is>
      </c>
      <c r="K584" s="20" t="n">
        <v>4</v>
      </c>
      <c r="L584" s="18" t="n">
        <v>46.48</v>
      </c>
      <c r="M584" s="18" t="n">
        <v>705.38</v>
      </c>
      <c r="N584" s="18" t="n">
        <v>682.9</v>
      </c>
      <c r="O584" s="18" t="n">
        <v>635.38</v>
      </c>
      <c r="P584" s="18" t="n">
        <v>776.3</v>
      </c>
      <c r="Q584" s="18" t="n">
        <v>521.75</v>
      </c>
      <c r="R584" s="21">
        <f>IF(OR(G584="",P584=""),"",G584/P584-1)</f>
        <v/>
      </c>
      <c r="S584" s="19" t="n">
        <v>0.3855</v>
      </c>
      <c r="T584" s="22" t="n">
        <v>-0.004699999999999999</v>
      </c>
      <c r="U584" s="16" t="inlineStr">
        <is>
          <t>No</t>
        </is>
      </c>
      <c r="V584" s="16" t="inlineStr">
        <is>
          <t>Yes</t>
        </is>
      </c>
      <c r="W584" s="16" t="inlineStr">
        <is>
          <t>No</t>
        </is>
      </c>
      <c r="X584" s="16" t="inlineStr">
        <is>
          <t>Yes</t>
        </is>
      </c>
      <c r="Y584" s="20" t="n">
        <v>32</v>
      </c>
      <c r="Z584" s="19" t="n">
        <v>0.07480000000000001</v>
      </c>
      <c r="AA584" s="18" t="n">
        <v>24.6</v>
      </c>
      <c r="AB584" s="16" t="inlineStr">
        <is>
          <t>Poor</t>
        </is>
      </c>
      <c r="AC584" s="16" t="inlineStr">
        <is>
          <t>No</t>
        </is>
      </c>
      <c r="AD584" s="19" t="n">
        <v>0.0389</v>
      </c>
      <c r="AE584" s="19" t="n">
        <v>0.07440000000000001</v>
      </c>
      <c r="AF584" s="19" t="n">
        <v>-0.0486</v>
      </c>
      <c r="AG584" s="19" t="n">
        <v>0.1486</v>
      </c>
      <c r="AH584" s="23" t="n">
        <v>1.3</v>
      </c>
      <c r="AI584" s="23" t="n">
        <v>1.23</v>
      </c>
      <c r="AJ584" s="19" t="n">
        <v>0.009000000000000001</v>
      </c>
    </row>
    <row r="585">
      <c r="A585" s="16" t="inlineStr">
        <is>
          <t>BBTC</t>
        </is>
      </c>
      <c r="B585" s="16" t="inlineStr">
        <is>
          <t>The Bombay Burmah Trading Corporation Ltd.</t>
        </is>
      </c>
      <c r="C585" s="16" t="inlineStr">
        <is>
          <t>Packaged Foods</t>
        </is>
      </c>
      <c r="D585" s="16" t="inlineStr">
        <is>
          <t>FMCG</t>
        </is>
      </c>
      <c r="E585" s="16" t="inlineStr">
        <is>
          <t>INE050A01025</t>
        </is>
      </c>
      <c r="F585" s="17" t="n">
        <v>10443.46</v>
      </c>
      <c r="G585" s="18" t="n">
        <v>1496.8</v>
      </c>
      <c r="H585" s="19" t="n">
        <v>-0.0032</v>
      </c>
      <c r="I585" s="20" t="n">
        <v>22</v>
      </c>
      <c r="J585" s="16" t="inlineStr">
        <is>
          <t>red</t>
        </is>
      </c>
      <c r="K585" s="20" t="n">
        <v>171</v>
      </c>
      <c r="L585" s="18" t="n">
        <v>53.62</v>
      </c>
      <c r="M585" s="18" t="n">
        <v>1517</v>
      </c>
      <c r="N585" s="18" t="n">
        <v>1498.6</v>
      </c>
      <c r="O585" s="18" t="n">
        <v>1611.1</v>
      </c>
      <c r="P585" s="18" t="n">
        <v>2083.07</v>
      </c>
      <c r="Q585" s="18" t="n">
        <v>1322</v>
      </c>
      <c r="R585" s="21">
        <f>IF(OR(G585="",P585=""),"",G585/P585-1)</f>
        <v/>
      </c>
      <c r="S585" s="19" t="n">
        <v>0.0799</v>
      </c>
      <c r="T585" s="22" t="n">
        <v>-0.0279</v>
      </c>
      <c r="U585" s="16" t="inlineStr">
        <is>
          <t>No</t>
        </is>
      </c>
      <c r="V585" s="16" t="inlineStr">
        <is>
          <t>No</t>
        </is>
      </c>
      <c r="W585" s="16" t="inlineStr">
        <is>
          <t>No</t>
        </is>
      </c>
      <c r="X585" s="16" t="inlineStr">
        <is>
          <t>No</t>
        </is>
      </c>
      <c r="Y585" s="20" t="n">
        <v>168</v>
      </c>
      <c r="Z585" s="19" t="n">
        <v>-0.0698</v>
      </c>
      <c r="AA585" s="18" t="n">
        <v>64.75</v>
      </c>
      <c r="AB585" s="16" t="inlineStr">
        <is>
          <t>High</t>
        </is>
      </c>
      <c r="AC585" s="16" t="inlineStr">
        <is>
          <t>No</t>
        </is>
      </c>
      <c r="AD585" s="19" t="n">
        <v>0.1711</v>
      </c>
      <c r="AE585" s="19" t="n">
        <v>0.4231</v>
      </c>
      <c r="AF585" s="19" t="n">
        <v>0.3814</v>
      </c>
      <c r="AG585" s="19" t="n">
        <v>0.05690000000000001</v>
      </c>
      <c r="AH585" s="23" t="n">
        <v>0.23</v>
      </c>
      <c r="AI585" s="23" t="n">
        <v>6.85</v>
      </c>
      <c r="AJ585" s="19" t="n">
        <v>0.0184</v>
      </c>
    </row>
    <row r="586">
      <c r="A586" s="16" t="inlineStr">
        <is>
          <t>JWL</t>
        </is>
      </c>
      <c r="B586" s="16" t="inlineStr">
        <is>
          <t>Jupiter Wagons Ltd.</t>
        </is>
      </c>
      <c r="C586" s="16" t="inlineStr">
        <is>
          <t>Commercial Vehicles</t>
        </is>
      </c>
      <c r="D586" s="16" t="inlineStr">
        <is>
          <t>Automobiles &amp; Auto Components</t>
        </is>
      </c>
      <c r="E586" s="16" t="inlineStr">
        <is>
          <t>INE209L01016</t>
        </is>
      </c>
      <c r="F586" s="17" t="n">
        <v>10395.36</v>
      </c>
      <c r="G586" s="18" t="n">
        <v>243.24</v>
      </c>
      <c r="H586" s="19" t="n">
        <v>0.0089</v>
      </c>
      <c r="I586" s="20" t="n">
        <v>12</v>
      </c>
      <c r="J586" s="16" t="inlineStr">
        <is>
          <t>red</t>
        </is>
      </c>
      <c r="K586" s="20" t="n">
        <v>124</v>
      </c>
      <c r="L586" s="18" t="n">
        <v>29.34</v>
      </c>
      <c r="M586" s="18" t="n">
        <v>243.2</v>
      </c>
      <c r="N586" s="18" t="n">
        <v>253.58</v>
      </c>
      <c r="O586" s="18" t="n">
        <v>278.34</v>
      </c>
      <c r="P586" s="18" t="n">
        <v>347.55</v>
      </c>
      <c r="Q586" s="18" t="n">
        <v>238.1</v>
      </c>
      <c r="R586" s="21">
        <f>IF(OR(G586="",P586=""),"",G586/P586-1)</f>
        <v/>
      </c>
      <c r="S586" s="19" t="n">
        <v>0.9397</v>
      </c>
      <c r="T586" s="22" t="n">
        <v>-0.0236</v>
      </c>
      <c r="U586" s="16" t="inlineStr">
        <is>
          <t>No</t>
        </is>
      </c>
      <c r="V586" s="16" t="inlineStr">
        <is>
          <t>No</t>
        </is>
      </c>
      <c r="W586" s="16" t="inlineStr">
        <is>
          <t>Yes</t>
        </is>
      </c>
      <c r="X586" s="16" t="inlineStr">
        <is>
          <t>No</t>
        </is>
      </c>
      <c r="Y586" s="20" t="n">
        <v>448</v>
      </c>
      <c r="Z586" s="19" t="n">
        <v>-0.08890000000000001</v>
      </c>
      <c r="AA586" s="18" t="n">
        <v>57.41</v>
      </c>
      <c r="AB586" s="16" t="inlineStr">
        <is>
          <t>Good</t>
        </is>
      </c>
      <c r="AC586" s="16" t="inlineStr">
        <is>
          <t>No</t>
        </is>
      </c>
      <c r="AD586" s="19" t="n">
        <v>0.1338</v>
      </c>
      <c r="AE586" s="19" t="n">
        <v>0.1652</v>
      </c>
      <c r="AF586" s="19" t="n">
        <v>0.2477</v>
      </c>
      <c r="AG586" s="19" t="n">
        <v>0.1988</v>
      </c>
      <c r="AH586" s="23" t="n">
        <v>0.33</v>
      </c>
      <c r="AI586" s="23" t="n">
        <v>2.46</v>
      </c>
      <c r="AJ586" s="19" t="n">
        <v>0.2246</v>
      </c>
    </row>
    <row r="587">
      <c r="A587" s="16" t="inlineStr">
        <is>
          <t>SGMART</t>
        </is>
      </c>
      <c r="B587" s="16" t="inlineStr">
        <is>
          <t>SG Mart Ltd.</t>
        </is>
      </c>
      <c r="C587" s="16" t="inlineStr">
        <is>
          <t>Power - Electric Utilities</t>
        </is>
      </c>
      <c r="D587" s="16" t="inlineStr">
        <is>
          <t>Utilities</t>
        </is>
      </c>
      <c r="E587" s="16" t="inlineStr">
        <is>
          <t>INE385F01024</t>
        </is>
      </c>
      <c r="F587" s="17" t="n">
        <v>10394.75</v>
      </c>
      <c r="G587" s="18" t="n">
        <v>824.75</v>
      </c>
      <c r="H587" s="19" t="n">
        <v>0.0109</v>
      </c>
      <c r="I587" s="20" t="n">
        <v>92</v>
      </c>
      <c r="J587" s="16" t="inlineStr">
        <is>
          <t>green</t>
        </is>
      </c>
      <c r="K587" s="20" t="n">
        <v>145</v>
      </c>
      <c r="L587" s="18" t="n">
        <v>65.22</v>
      </c>
      <c r="M587" s="18" t="n">
        <v>818.5</v>
      </c>
      <c r="N587" s="18" t="n">
        <v>713.29</v>
      </c>
      <c r="O587" s="18" t="n">
        <v>525.21</v>
      </c>
      <c r="P587" s="18" t="n">
        <v>842.3</v>
      </c>
      <c r="Q587" s="18" t="n">
        <v>319.35</v>
      </c>
      <c r="R587" s="21">
        <f>IF(OR(G587="",P587=""),"",G587/P587-1)</f>
        <v/>
      </c>
      <c r="S587" s="19" t="n">
        <v>0.3305</v>
      </c>
      <c r="T587" s="22" t="n">
        <v>0.09130000000000001</v>
      </c>
      <c r="U587" s="16" t="inlineStr">
        <is>
          <t>Yes</t>
        </is>
      </c>
      <c r="V587" s="16" t="inlineStr">
        <is>
          <t>Yes</t>
        </is>
      </c>
      <c r="W587" s="16" t="inlineStr">
        <is>
          <t>Yes</t>
        </is>
      </c>
      <c r="X587" s="16" t="inlineStr">
        <is>
          <t>Yes</t>
        </is>
      </c>
      <c r="Y587" s="20" t="n">
        <v>46</v>
      </c>
      <c r="Z587" s="19" t="n">
        <v>0.3581</v>
      </c>
      <c r="AA587" s="18" t="n">
        <v>40</v>
      </c>
      <c r="AB587" s="16" t="inlineStr">
        <is>
          <t>Weak</t>
        </is>
      </c>
      <c r="AC587" s="16" t="inlineStr">
        <is>
          <t>No</t>
        </is>
      </c>
      <c r="AD587" s="19" t="n">
        <v>0.0704</v>
      </c>
      <c r="AE587" s="19" t="n">
        <v>0.0877</v>
      </c>
      <c r="AF587" s="19" t="n">
        <v>-1</v>
      </c>
      <c r="AG587" s="19" t="n">
        <v>573.3562999999999</v>
      </c>
      <c r="AH587" s="23" t="n">
        <v>0.17</v>
      </c>
      <c r="AI587" s="23" t="n">
        <v>15.6</v>
      </c>
      <c r="AJ587" s="19" t="n">
        <v>0.0493</v>
      </c>
    </row>
    <row r="588">
      <c r="A588" s="16" t="inlineStr">
        <is>
          <t>INDIAMART</t>
        </is>
      </c>
      <c r="B588" s="16" t="inlineStr">
        <is>
          <t>IndiaMART InterMESH Ltd.</t>
        </is>
      </c>
      <c r="C588" s="16" t="inlineStr">
        <is>
          <t>Internet &amp; Catalogue Retail</t>
        </is>
      </c>
      <c r="D588" s="16" t="inlineStr">
        <is>
          <t>Retailing</t>
        </is>
      </c>
      <c r="E588" s="16" t="inlineStr">
        <is>
          <t>INE933S01016</t>
        </is>
      </c>
      <c r="F588" s="17" t="n">
        <v>10383.1</v>
      </c>
      <c r="G588" s="18" t="n">
        <v>1726.4</v>
      </c>
      <c r="H588" s="19" t="n">
        <v>-0.0018</v>
      </c>
      <c r="I588" s="20" t="n">
        <v>9</v>
      </c>
      <c r="J588" s="16" t="inlineStr">
        <is>
          <t>red</t>
        </is>
      </c>
      <c r="K588" s="20" t="n">
        <v>108</v>
      </c>
      <c r="L588" s="18" t="n">
        <v>31.95</v>
      </c>
      <c r="M588" s="18" t="n">
        <v>1747.59</v>
      </c>
      <c r="N588" s="18" t="n">
        <v>1815.45</v>
      </c>
      <c r="O588" s="18" t="n">
        <v>2013.53</v>
      </c>
      <c r="P588" s="18" t="n">
        <v>2539.08</v>
      </c>
      <c r="Q588" s="18" t="n">
        <v>1726.4</v>
      </c>
      <c r="R588" s="21">
        <f>IF(OR(G588="",P588=""),"",G588/P588-1)</f>
        <v/>
      </c>
      <c r="S588" s="19" t="n">
        <v>0.4222</v>
      </c>
      <c r="T588" s="22" t="n">
        <v>-0.0299</v>
      </c>
      <c r="U588" s="16" t="inlineStr">
        <is>
          <t>No</t>
        </is>
      </c>
      <c r="V588" s="16" t="inlineStr">
        <is>
          <t>No</t>
        </is>
      </c>
      <c r="W588" s="16" t="inlineStr">
        <is>
          <t>No</t>
        </is>
      </c>
      <c r="X588" s="16" t="inlineStr">
        <is>
          <t>No</t>
        </is>
      </c>
      <c r="Y588" s="20" t="n">
        <v>179</v>
      </c>
      <c r="Z588" s="19" t="n">
        <v>-0.0984</v>
      </c>
      <c r="AA588" s="18" t="n">
        <v>77.95</v>
      </c>
      <c r="AB588" s="16" t="inlineStr">
        <is>
          <t>High</t>
        </is>
      </c>
      <c r="AC588" s="16" t="inlineStr">
        <is>
          <t>No</t>
        </is>
      </c>
      <c r="AD588" s="19" t="n">
        <v>0.2141</v>
      </c>
      <c r="AE588" s="19" t="n">
        <v>0.2836</v>
      </c>
      <c r="AF588" s="19" t="n">
        <v>0.2374</v>
      </c>
      <c r="AG588" s="19" t="n">
        <v>0.1682</v>
      </c>
      <c r="AH588" s="23" t="n">
        <v>0.01</v>
      </c>
      <c r="AI588" s="23" t="n">
        <v>72.70999999999999</v>
      </c>
      <c r="AJ588" s="19" t="n">
        <v>0.006500000000000001</v>
      </c>
    </row>
    <row r="589">
      <c r="A589" s="16" t="inlineStr">
        <is>
          <t>RITES</t>
        </is>
      </c>
      <c r="B589" s="16" t="inlineStr">
        <is>
          <t>Rites Ltd.</t>
        </is>
      </c>
      <c r="C589" s="16" t="inlineStr">
        <is>
          <t>Construction &amp; Engineering</t>
        </is>
      </c>
      <c r="D589" s="16" t="inlineStr">
        <is>
          <t>Cement and Construction</t>
        </is>
      </c>
      <c r="E589" s="16" t="inlineStr">
        <is>
          <t>INE320J01015</t>
        </is>
      </c>
      <c r="F589" s="17" t="n">
        <v>10371.43</v>
      </c>
      <c r="G589" s="18" t="n">
        <v>215.8</v>
      </c>
      <c r="H589" s="19" t="n">
        <v>0.009399999999999999</v>
      </c>
      <c r="I589" s="20" t="n">
        <v>38</v>
      </c>
      <c r="J589" s="16" t="inlineStr">
        <is>
          <t>red</t>
        </is>
      </c>
      <c r="K589" s="20" t="n">
        <v>308</v>
      </c>
      <c r="L589" s="18" t="n">
        <v>37.11</v>
      </c>
      <c r="M589" s="18" t="n">
        <v>216.15</v>
      </c>
      <c r="N589" s="18" t="n">
        <v>219.27</v>
      </c>
      <c r="O589" s="18" t="n">
        <v>216.21</v>
      </c>
      <c r="P589" s="18" t="n">
        <v>266.85</v>
      </c>
      <c r="Q589" s="18" t="n">
        <v>174.58</v>
      </c>
      <c r="R589" s="21">
        <f>IF(OR(G589="",P589=""),"",G589/P589-1)</f>
        <v/>
      </c>
      <c r="S589" s="19" t="n">
        <v>0.4762</v>
      </c>
      <c r="T589" s="22" t="n">
        <v>-0.0103</v>
      </c>
      <c r="U589" s="16" t="inlineStr">
        <is>
          <t>No</t>
        </is>
      </c>
      <c r="V589" s="16" t="inlineStr">
        <is>
          <t>No</t>
        </is>
      </c>
      <c r="W589" s="16" t="inlineStr">
        <is>
          <t>No</t>
        </is>
      </c>
      <c r="X589" s="16" t="inlineStr">
        <is>
          <t>Yes</t>
        </is>
      </c>
      <c r="Y589" s="20" t="n">
        <v>11</v>
      </c>
      <c r="Z589" s="19" t="n">
        <v>0.0141</v>
      </c>
      <c r="AA589" s="18" t="n">
        <v>40</v>
      </c>
      <c r="AB589" s="16" t="inlineStr">
        <is>
          <t>Weak</t>
        </is>
      </c>
      <c r="AC589" s="16" t="inlineStr">
        <is>
          <t>No</t>
        </is>
      </c>
      <c r="AD589" s="19" t="n">
        <v>0.1577</v>
      </c>
      <c r="AE589" s="19" t="n">
        <v>0.2333</v>
      </c>
      <c r="AF589" s="19" t="n">
        <v>-0.0828</v>
      </c>
      <c r="AG589" s="19" t="n">
        <v>-0.0204</v>
      </c>
      <c r="AH589" s="23" t="n">
        <v>0</v>
      </c>
      <c r="AI589" s="23" t="n">
        <v>3.64</v>
      </c>
      <c r="AJ589" s="19" t="n">
        <v>0.1323</v>
      </c>
    </row>
    <row r="590">
      <c r="A590" s="16" t="inlineStr">
        <is>
          <t>WHIRLPOOL</t>
        </is>
      </c>
      <c r="B590" s="16" t="inlineStr">
        <is>
          <t>Whirlpool of India Ltd.</t>
        </is>
      </c>
      <c r="C590" s="16" t="inlineStr">
        <is>
          <t>Consumer Electronics</t>
        </is>
      </c>
      <c r="D590" s="16" t="inlineStr">
        <is>
          <t>Consumer Durables</t>
        </is>
      </c>
      <c r="E590" s="16" t="inlineStr">
        <is>
          <t>INE716A01013</t>
        </is>
      </c>
      <c r="F590" s="17" t="n">
        <v>10352.1</v>
      </c>
      <c r="G590" s="18" t="n">
        <v>815.95</v>
      </c>
      <c r="H590" s="19" t="n">
        <v>0.0144</v>
      </c>
      <c r="I590" s="20" t="n">
        <v>20</v>
      </c>
      <c r="J590" s="16" t="inlineStr">
        <is>
          <t>red</t>
        </is>
      </c>
      <c r="K590" s="20" t="n">
        <v>426</v>
      </c>
      <c r="L590" s="18" t="n">
        <v>61.97</v>
      </c>
      <c r="M590" s="18" t="n">
        <v>805.17</v>
      </c>
      <c r="N590" s="18" t="n">
        <v>787.95</v>
      </c>
      <c r="O590" s="18" t="n">
        <v>854.47</v>
      </c>
      <c r="P590" s="18" t="n">
        <v>1412.45</v>
      </c>
      <c r="Q590" s="18" t="n">
        <v>748.97</v>
      </c>
      <c r="R590" s="21">
        <f>IF(OR(G590="",P590=""),"",G590/P590-1)</f>
        <v/>
      </c>
      <c r="S590" s="19" t="n">
        <v>0.3788</v>
      </c>
      <c r="T590" s="22" t="n">
        <v>-0.0584</v>
      </c>
      <c r="U590" s="16" t="inlineStr">
        <is>
          <t>No</t>
        </is>
      </c>
      <c r="V590" s="16" t="inlineStr">
        <is>
          <t>Yes</t>
        </is>
      </c>
      <c r="W590" s="16" t="inlineStr">
        <is>
          <t>Yes</t>
        </is>
      </c>
      <c r="X590" s="16" t="inlineStr">
        <is>
          <t>No</t>
        </is>
      </c>
      <c r="Y590" s="20" t="n">
        <v>188</v>
      </c>
      <c r="Z590" s="19" t="n">
        <v>-0.07780000000000001</v>
      </c>
      <c r="AA590" s="18" t="n">
        <v>47.98</v>
      </c>
      <c r="AB590" s="16" t="inlineStr">
        <is>
          <t>Average</t>
        </is>
      </c>
      <c r="AC590" s="16" t="inlineStr">
        <is>
          <t>No</t>
        </is>
      </c>
      <c r="AD590" s="19" t="n">
        <v>0.07339999999999999</v>
      </c>
      <c r="AE590" s="19" t="n">
        <v>0.1034</v>
      </c>
      <c r="AF590" s="19" t="n">
        <v>0.1544</v>
      </c>
      <c r="AG590" s="19" t="n">
        <v>0.0663</v>
      </c>
      <c r="AH590" s="23" t="n">
        <v>0.09</v>
      </c>
      <c r="AI590" s="23" t="n">
        <v>6.6</v>
      </c>
      <c r="AJ590" s="19" t="n">
        <v>0.1669</v>
      </c>
    </row>
    <row r="591">
      <c r="A591" s="16" t="inlineStr">
        <is>
          <t>AAVAS</t>
        </is>
      </c>
      <c r="B591" s="16" t="inlineStr">
        <is>
          <t>Aavas Financiers Ltd.</t>
        </is>
      </c>
      <c r="C591" s="16" t="inlineStr">
        <is>
          <t>Housing Finance</t>
        </is>
      </c>
      <c r="D591" s="16" t="inlineStr">
        <is>
          <t>Banking and Finance</t>
        </is>
      </c>
      <c r="E591" s="16" t="inlineStr">
        <is>
          <t>INE216P01012</t>
        </is>
      </c>
      <c r="F591" s="17" t="n">
        <v>10341.56</v>
      </c>
      <c r="G591" s="18" t="n">
        <v>1304.2</v>
      </c>
      <c r="H591" s="19" t="n">
        <v>0.0049</v>
      </c>
      <c r="I591" s="20" t="n">
        <v>33</v>
      </c>
      <c r="J591" s="16" t="inlineStr">
        <is>
          <t>red</t>
        </is>
      </c>
      <c r="K591" s="20" t="n">
        <v>297</v>
      </c>
      <c r="L591" s="18" t="n">
        <v>29.56</v>
      </c>
      <c r="M591" s="18" t="n">
        <v>1275.12</v>
      </c>
      <c r="N591" s="18" t="n">
        <v>1406.81</v>
      </c>
      <c r="O591" s="18" t="n">
        <v>1380.85</v>
      </c>
      <c r="P591" s="18" t="n">
        <v>1736.4</v>
      </c>
      <c r="Q591" s="18" t="n">
        <v>1073.9</v>
      </c>
      <c r="R591" s="21">
        <f>IF(OR(G591="",P591=""),"",G591/P591-1)</f>
        <v/>
      </c>
      <c r="S591" s="19" t="n">
        <v>0.5489999999999999</v>
      </c>
      <c r="T591" s="22" t="n">
        <v>-0.0227</v>
      </c>
      <c r="U591" s="16" t="inlineStr">
        <is>
          <t>No</t>
        </is>
      </c>
      <c r="V591" s="16" t="inlineStr">
        <is>
          <t>No</t>
        </is>
      </c>
      <c r="W591" s="16" t="inlineStr">
        <is>
          <t>Yes</t>
        </is>
      </c>
      <c r="X591" s="16" t="inlineStr">
        <is>
          <t>Yes</t>
        </is>
      </c>
      <c r="Y591" s="20" t="n">
        <v>29</v>
      </c>
      <c r="Z591" s="19" t="n">
        <v>0.0188</v>
      </c>
      <c r="AA591" s="18" t="n">
        <v>46.54</v>
      </c>
      <c r="AB591" s="16" t="inlineStr">
        <is>
          <t>Average</t>
        </is>
      </c>
      <c r="AC591" s="16" t="inlineStr">
        <is>
          <t>Yes</t>
        </is>
      </c>
      <c r="AD591" s="19" t="n">
        <v>0.1305</v>
      </c>
      <c r="AE591" s="19" t="n">
        <v>0.0319</v>
      </c>
      <c r="AF591" s="19" t="n">
        <v>0.1483</v>
      </c>
      <c r="AG591" s="19" t="n">
        <v>0.2101</v>
      </c>
      <c r="AH591" s="23" t="n">
        <v>3.11</v>
      </c>
      <c r="AI591" s="23" t="n">
        <v>19.34</v>
      </c>
      <c r="AJ591" s="19" t="n">
        <v>0</v>
      </c>
    </row>
    <row r="592">
      <c r="A592" s="16" t="inlineStr">
        <is>
          <t>ALKYLAMINE</t>
        </is>
      </c>
      <c r="B592" s="16" t="inlineStr">
        <is>
          <t>Alkyl Amines Chemicals Ltd.</t>
        </is>
      </c>
      <c r="C592" s="16" t="inlineStr">
        <is>
          <t>Specialty Chemicals</t>
        </is>
      </c>
      <c r="D592" s="16" t="inlineStr">
        <is>
          <t>Chemicals &amp; Petrochemicals</t>
        </is>
      </c>
      <c r="E592" s="16" t="inlineStr">
        <is>
          <t>INE150B01039</t>
        </is>
      </c>
      <c r="F592" s="17" t="n">
        <v>10336.14</v>
      </c>
      <c r="G592" s="18" t="n">
        <v>2020.9</v>
      </c>
      <c r="H592" s="19" t="n">
        <v>0.008800000000000001</v>
      </c>
      <c r="I592" s="20" t="n">
        <v>63</v>
      </c>
      <c r="J592" s="16" t="inlineStr">
        <is>
          <t>amber</t>
        </is>
      </c>
      <c r="K592" s="20" t="n">
        <v>11</v>
      </c>
      <c r="L592" s="18" t="n">
        <v>59.89</v>
      </c>
      <c r="M592" s="18" t="n">
        <v>2024.61</v>
      </c>
      <c r="N592" s="18" t="n">
        <v>1897.17</v>
      </c>
      <c r="O592" s="18" t="n">
        <v>1650.79</v>
      </c>
      <c r="P592" s="18" t="n">
        <v>2089.6</v>
      </c>
      <c r="Q592" s="18" t="n">
        <v>1224.69</v>
      </c>
      <c r="R592" s="21">
        <f>IF(OR(G592="",P592=""),"",G592/P592-1)</f>
        <v/>
      </c>
      <c r="S592" s="19" t="n">
        <v>0.6748000000000001</v>
      </c>
      <c r="T592" s="22" t="n">
        <v>0.01</v>
      </c>
      <c r="U592" s="16" t="inlineStr">
        <is>
          <t>Yes</t>
        </is>
      </c>
      <c r="V592" s="16" t="inlineStr">
        <is>
          <t>Yes</t>
        </is>
      </c>
      <c r="W592" s="16" t="inlineStr">
        <is>
          <t>No</t>
        </is>
      </c>
      <c r="X592" s="16" t="inlineStr">
        <is>
          <t>Yes</t>
        </is>
      </c>
      <c r="Y592" s="20" t="n">
        <v>54</v>
      </c>
      <c r="Z592" s="19" t="n">
        <v>0.1492</v>
      </c>
      <c r="AA592" s="18" t="n">
        <v>40</v>
      </c>
      <c r="AB592" s="16" t="inlineStr">
        <is>
          <t>Weak</t>
        </is>
      </c>
      <c r="AC592" s="16" t="inlineStr">
        <is>
          <t>No</t>
        </is>
      </c>
      <c r="AD592" s="19" t="n">
        <v>0.1225</v>
      </c>
      <c r="AE592" s="19" t="n">
        <v>0.1662</v>
      </c>
      <c r="AF592" s="19" t="n">
        <v>-0.0441</v>
      </c>
      <c r="AG592" s="19" t="n">
        <v>-0.0253</v>
      </c>
      <c r="AH592" s="23" t="n">
        <v>0</v>
      </c>
      <c r="AI592" s="23" t="n">
        <v>1.32</v>
      </c>
      <c r="AJ592" s="19" t="n">
        <v>0.1142</v>
      </c>
    </row>
    <row r="593">
      <c r="A593" s="16" t="inlineStr">
        <is>
          <t>KENNAMET</t>
        </is>
      </c>
      <c r="B593" s="16" t="inlineStr">
        <is>
          <t>Kennametal India Ltd.</t>
        </is>
      </c>
      <c r="C593" s="16" t="inlineStr">
        <is>
          <t>Other Industrial Products</t>
        </is>
      </c>
      <c r="D593" s="16" t="inlineStr">
        <is>
          <t>General Industrials</t>
        </is>
      </c>
      <c r="E593" s="16" t="inlineStr">
        <is>
          <t>INE717A01029</t>
        </is>
      </c>
      <c r="F593" s="17" t="n">
        <v>10293.49</v>
      </c>
      <c r="G593" s="18" t="n">
        <v>4688.5</v>
      </c>
      <c r="H593" s="19" t="n">
        <v>0.0345</v>
      </c>
      <c r="I593" s="20" t="n">
        <v>93</v>
      </c>
      <c r="J593" s="16" t="inlineStr">
        <is>
          <t>green</t>
        </is>
      </c>
      <c r="K593" s="20" t="n">
        <v>18</v>
      </c>
      <c r="L593" s="18" t="n">
        <v>78.06</v>
      </c>
      <c r="M593" s="18" t="n">
        <v>4529.88</v>
      </c>
      <c r="N593" s="18" t="n">
        <v>3340.96</v>
      </c>
      <c r="O593" s="18" t="n">
        <v>2848.08</v>
      </c>
      <c r="P593" s="18" t="n">
        <v>4688.5</v>
      </c>
      <c r="Q593" s="18" t="n">
        <v>2206.8</v>
      </c>
      <c r="R593" s="21">
        <f>IF(OR(G593="",P593=""),"",G593/P593-1)</f>
        <v/>
      </c>
      <c r="S593" s="19" t="n">
        <v>0.3906</v>
      </c>
      <c r="T593" s="22" t="n">
        <v>0.05110000000000001</v>
      </c>
      <c r="U593" s="16" t="inlineStr">
        <is>
          <t>Yes</t>
        </is>
      </c>
      <c r="V593" s="16" t="inlineStr">
        <is>
          <t>Yes</t>
        </is>
      </c>
      <c r="W593" s="16" t="inlineStr">
        <is>
          <t>Yes</t>
        </is>
      </c>
      <c r="X593" s="16" t="inlineStr">
        <is>
          <t>Yes</t>
        </is>
      </c>
      <c r="Y593" s="20" t="n">
        <v>214</v>
      </c>
      <c r="Z593" s="19" t="n">
        <v>0.1731</v>
      </c>
      <c r="AA593" s="18" t="n"/>
      <c r="AB593" s="16" t="n"/>
      <c r="AC593" s="16" t="inlineStr">
        <is>
          <t>No</t>
        </is>
      </c>
      <c r="AD593" s="19" t="n"/>
      <c r="AE593" s="19" t="n"/>
      <c r="AF593" s="19" t="n"/>
      <c r="AG593" s="19" t="n"/>
      <c r="AH593" s="23" t="n"/>
      <c r="AI593" s="23" t="n"/>
      <c r="AJ593" s="19" t="n"/>
    </row>
    <row r="594">
      <c r="A594" s="16" t="inlineStr">
        <is>
          <t>GENUSPOWER</t>
        </is>
      </c>
      <c r="B594" s="16" t="inlineStr">
        <is>
          <t>Genus Power Infrastructures Ltd.</t>
        </is>
      </c>
      <c r="C594" s="16" t="inlineStr">
        <is>
          <t>Other Electrical Equipment/Products</t>
        </is>
      </c>
      <c r="D594" s="16" t="inlineStr">
        <is>
          <t>Consumer Durables</t>
        </is>
      </c>
      <c r="E594" s="16" t="inlineStr">
        <is>
          <t>INE955D01029</t>
        </is>
      </c>
      <c r="F594" s="17" t="n">
        <v>10277.32</v>
      </c>
      <c r="G594" s="18" t="n">
        <v>337.8</v>
      </c>
      <c r="H594" s="19" t="n">
        <v>-0.005600000000000001</v>
      </c>
      <c r="I594" s="20" t="n">
        <v>58</v>
      </c>
      <c r="J594" s="16" t="inlineStr">
        <is>
          <t>red</t>
        </is>
      </c>
      <c r="K594" s="20" t="n">
        <v>1</v>
      </c>
      <c r="L594" s="18" t="n">
        <v>58.75</v>
      </c>
      <c r="M594" s="18" t="n">
        <v>337.47</v>
      </c>
      <c r="N594" s="18" t="n">
        <v>318.44</v>
      </c>
      <c r="O594" s="18" t="n">
        <v>296.35</v>
      </c>
      <c r="P594" s="18" t="n">
        <v>354.45</v>
      </c>
      <c r="Q594" s="18" t="n">
        <v>214.9</v>
      </c>
      <c r="R594" s="21">
        <f>IF(OR(G594="",P594=""),"",G594/P594-1)</f>
        <v/>
      </c>
      <c r="S594" s="19" t="n">
        <v>0.9133</v>
      </c>
      <c r="T594" s="22" t="n">
        <v>-0.0015</v>
      </c>
      <c r="U594" s="16" t="inlineStr">
        <is>
          <t>No</t>
        </is>
      </c>
      <c r="V594" s="16" t="inlineStr">
        <is>
          <t>Yes</t>
        </is>
      </c>
      <c r="W594" s="16" t="inlineStr">
        <is>
          <t>Yes</t>
        </is>
      </c>
      <c r="X594" s="16" t="inlineStr">
        <is>
          <t>Yes</t>
        </is>
      </c>
      <c r="Y594" s="20" t="n">
        <v>63</v>
      </c>
      <c r="Z594" s="19" t="n">
        <v>0.0745</v>
      </c>
      <c r="AA594" s="18" t="n">
        <v>63.68</v>
      </c>
      <c r="AB594" s="16" t="inlineStr">
        <is>
          <t>High</t>
        </is>
      </c>
      <c r="AC594" s="16" t="inlineStr">
        <is>
          <t>No</t>
        </is>
      </c>
      <c r="AD594" s="19" t="n">
        <v>0.163</v>
      </c>
      <c r="AE594" s="19" t="n">
        <v>0.1488</v>
      </c>
      <c r="AF594" s="19" t="n">
        <v>1.6309</v>
      </c>
      <c r="AG594" s="19" t="n">
        <v>0.8258</v>
      </c>
      <c r="AH594" s="23" t="n">
        <v>1.04</v>
      </c>
      <c r="AI594" s="23" t="n">
        <v>8.949999999999999</v>
      </c>
      <c r="AJ594" s="19" t="n">
        <v>0.1211</v>
      </c>
    </row>
    <row r="595">
      <c r="A595" s="16" t="inlineStr">
        <is>
          <t>OLECTRA</t>
        </is>
      </c>
      <c r="B595" s="16" t="inlineStr">
        <is>
          <t>Olectra Greentech Ltd.</t>
        </is>
      </c>
      <c r="C595" s="16" t="inlineStr">
        <is>
          <t>Commercial Vehicles</t>
        </is>
      </c>
      <c r="D595" s="16" t="inlineStr">
        <is>
          <t>Automobiles &amp; Auto Components</t>
        </is>
      </c>
      <c r="E595" s="16" t="inlineStr">
        <is>
          <t>INE260D01016</t>
        </is>
      </c>
      <c r="F595" s="17" t="n">
        <v>10087.72</v>
      </c>
      <c r="G595" s="18" t="n">
        <v>1229</v>
      </c>
      <c r="H595" s="19" t="n">
        <v>-0.0127</v>
      </c>
      <c r="I595" s="20" t="n">
        <v>39</v>
      </c>
      <c r="J595" s="16" t="inlineStr">
        <is>
          <t>red</t>
        </is>
      </c>
      <c r="K595" s="20" t="n">
        <v>16</v>
      </c>
      <c r="L595" s="18" t="n">
        <v>30.58</v>
      </c>
      <c r="M595" s="18" t="n">
        <v>1275.21</v>
      </c>
      <c r="N595" s="18" t="n">
        <v>1358.44</v>
      </c>
      <c r="O595" s="18" t="n">
        <v>1213.55</v>
      </c>
      <c r="P595" s="18" t="n">
        <v>1671</v>
      </c>
      <c r="Q595" s="18" t="n">
        <v>880.45</v>
      </c>
      <c r="R595" s="21">
        <f>IF(OR(G595="",P595=""),"",G595/P595-1)</f>
        <v/>
      </c>
      <c r="S595" s="19" t="n">
        <v>0.6829999999999999</v>
      </c>
      <c r="T595" s="22" t="n">
        <v>-0.0122</v>
      </c>
      <c r="U595" s="16" t="inlineStr">
        <is>
          <t>No</t>
        </is>
      </c>
      <c r="V595" s="16" t="inlineStr">
        <is>
          <t>No</t>
        </is>
      </c>
      <c r="W595" s="16" t="inlineStr">
        <is>
          <t>No</t>
        </is>
      </c>
      <c r="X595" s="16" t="inlineStr">
        <is>
          <t>Yes</t>
        </is>
      </c>
      <c r="Y595" s="20" t="n">
        <v>56</v>
      </c>
      <c r="Z595" s="19" t="n">
        <v>0.1194</v>
      </c>
      <c r="AA595" s="18" t="n">
        <v>40</v>
      </c>
      <c r="AB595" s="16" t="inlineStr">
        <is>
          <t>Weak</t>
        </is>
      </c>
      <c r="AC595" s="16" t="inlineStr">
        <is>
          <t>No</t>
        </is>
      </c>
      <c r="AD595" s="19" t="n">
        <v>0.1204</v>
      </c>
      <c r="AE595" s="19" t="n">
        <v>0.1728</v>
      </c>
      <c r="AF595" s="19" t="n">
        <v>-0.0069</v>
      </c>
      <c r="AG595" s="19" t="n">
        <v>0.3012</v>
      </c>
      <c r="AH595" s="23" t="n">
        <v>0.31</v>
      </c>
      <c r="AI595" s="23" t="n">
        <v>3.58</v>
      </c>
      <c r="AJ595" s="19" t="n">
        <v>0.1275</v>
      </c>
    </row>
    <row r="596">
      <c r="A596" s="16" t="inlineStr">
        <is>
          <t>RATEGAIN</t>
        </is>
      </c>
      <c r="B596" s="16" t="inlineStr">
        <is>
          <t>RateGain Travel Technologies Ltd.</t>
        </is>
      </c>
      <c r="C596" s="16" t="inlineStr">
        <is>
          <t>IT Software Products</t>
        </is>
      </c>
      <c r="D596" s="16" t="inlineStr">
        <is>
          <t>Software &amp; Services</t>
        </is>
      </c>
      <c r="E596" s="16" t="inlineStr">
        <is>
          <t>INE0CLI01024</t>
        </is>
      </c>
      <c r="F596" s="17" t="n">
        <v>10082.98</v>
      </c>
      <c r="G596" s="18" t="n">
        <v>851.15</v>
      </c>
      <c r="H596" s="19" t="n">
        <v>-0.0214</v>
      </c>
      <c r="I596" s="20" t="n">
        <v>79</v>
      </c>
      <c r="J596" s="16" t="inlineStr">
        <is>
          <t>amber</t>
        </is>
      </c>
      <c r="K596" s="20" t="n">
        <v>1</v>
      </c>
      <c r="L596" s="18" t="n">
        <v>30.8</v>
      </c>
      <c r="M596" s="18" t="n">
        <v>903.9299999999999</v>
      </c>
      <c r="N596" s="18" t="n">
        <v>928.96</v>
      </c>
      <c r="O596" s="18" t="n">
        <v>708.55</v>
      </c>
      <c r="P596" s="18" t="n">
        <v>990.05</v>
      </c>
      <c r="Q596" s="18" t="n">
        <v>438.15</v>
      </c>
      <c r="R596" s="21">
        <f>IF(OR(G596="",P596=""),"",G596/P596-1)</f>
        <v/>
      </c>
      <c r="S596" s="19" t="n">
        <v>0.9503</v>
      </c>
      <c r="T596" s="22" t="n">
        <v>0.03759999999999999</v>
      </c>
      <c r="U596" s="16" t="inlineStr">
        <is>
          <t>Yes</t>
        </is>
      </c>
      <c r="V596" s="16" t="inlineStr">
        <is>
          <t>No</t>
        </is>
      </c>
      <c r="W596" s="16" t="inlineStr">
        <is>
          <t>No</t>
        </is>
      </c>
      <c r="X596" s="16" t="inlineStr">
        <is>
          <t>Yes</t>
        </is>
      </c>
      <c r="Y596" s="20" t="n">
        <v>65</v>
      </c>
      <c r="Z596" s="19" t="n">
        <v>0.3111</v>
      </c>
      <c r="AA596" s="18" t="n">
        <v>57.19</v>
      </c>
      <c r="AB596" s="16" t="inlineStr">
        <is>
          <t>Good</t>
        </is>
      </c>
      <c r="AC596" s="16" t="inlineStr">
        <is>
          <t>No</t>
        </is>
      </c>
      <c r="AD596" s="19" t="n">
        <v>0.1071</v>
      </c>
      <c r="AE596" s="19" t="n">
        <v>0.1289</v>
      </c>
      <c r="AF596" s="19" t="n">
        <v>0.4495</v>
      </c>
      <c r="AG596" s="19" t="n">
        <v>0.5041</v>
      </c>
      <c r="AH596" s="23" t="n">
        <v>0.47</v>
      </c>
      <c r="AI596" s="23" t="n">
        <v>49.61</v>
      </c>
      <c r="AJ596" s="19" t="n">
        <v>0</v>
      </c>
    </row>
    <row r="597">
      <c r="A597" s="16" t="inlineStr">
        <is>
          <t>KWIL</t>
        </is>
      </c>
      <c r="B597" s="16" t="inlineStr">
        <is>
          <t>Kwality Wall's (India) Ltd.</t>
        </is>
      </c>
      <c r="C597" s="16" t="inlineStr">
        <is>
          <t>Packaged Foods</t>
        </is>
      </c>
      <c r="D597" s="16" t="inlineStr">
        <is>
          <t>FMCG</t>
        </is>
      </c>
      <c r="E597" s="16" t="inlineStr">
        <is>
          <t>INE2KCE01013</t>
        </is>
      </c>
      <c r="F597" s="17" t="n">
        <v>9896.48</v>
      </c>
      <c r="G597" s="18" t="n">
        <v>42.12</v>
      </c>
      <c r="H597" s="19" t="n">
        <v>-0.004500000000000001</v>
      </c>
      <c r="I597" s="20" t="n">
        <v>81</v>
      </c>
      <c r="J597" s="16" t="inlineStr">
        <is>
          <t>green</t>
        </is>
      </c>
      <c r="K597" s="20" t="n">
        <v>18</v>
      </c>
      <c r="L597" s="18" t="n">
        <v>59</v>
      </c>
      <c r="M597" s="18" t="n">
        <v>44.49</v>
      </c>
      <c r="N597" s="18" t="n">
        <v>36.41</v>
      </c>
      <c r="O597" s="18" t="n"/>
      <c r="P597" s="18" t="n">
        <v>48.63</v>
      </c>
      <c r="Q597" s="18" t="n">
        <v>22.47</v>
      </c>
      <c r="R597" s="21">
        <f>IF(OR(G597="",P597=""),"",G597/P597-1)</f>
        <v/>
      </c>
      <c r="S597" s="19" t="n">
        <v>0.3446</v>
      </c>
      <c r="T597" s="22" t="n"/>
      <c r="U597" s="16" t="n"/>
      <c r="V597" s="16" t="inlineStr">
        <is>
          <t>Yes</t>
        </is>
      </c>
      <c r="W597" s="16" t="inlineStr">
        <is>
          <t>No</t>
        </is>
      </c>
      <c r="X597" s="16" t="n"/>
      <c r="Y597" s="20" t="n"/>
      <c r="Z597" s="19" t="n"/>
      <c r="AA597" s="18" t="n"/>
      <c r="AB597" s="16" t="n"/>
      <c r="AC597" s="16" t="inlineStr">
        <is>
          <t>No</t>
        </is>
      </c>
      <c r="AD597" s="19" t="n"/>
      <c r="AE597" s="19" t="n"/>
      <c r="AF597" s="19" t="n"/>
      <c r="AG597" s="19" t="n"/>
      <c r="AH597" s="23" t="n"/>
      <c r="AI597" s="23" t="n"/>
      <c r="AJ597" s="19" t="n"/>
    </row>
    <row r="598">
      <c r="A598" s="16" t="inlineStr">
        <is>
          <t>SHIPROCKET</t>
        </is>
      </c>
      <c r="B598" s="16" t="inlineStr">
        <is>
          <t>Shiprocket Ltd.</t>
        </is>
      </c>
      <c r="C598" s="16" t="inlineStr">
        <is>
          <t>IT Software Products</t>
        </is>
      </c>
      <c r="D598" s="16" t="inlineStr">
        <is>
          <t>Software &amp; Services</t>
        </is>
      </c>
      <c r="E598" s="16" t="inlineStr">
        <is>
          <t>INE0FOO01011</t>
        </is>
      </c>
      <c r="F598" s="17" t="n">
        <v>9889.23</v>
      </c>
      <c r="G598" s="18" t="n">
        <v>135.92</v>
      </c>
      <c r="H598" s="19" t="n">
        <v>0.0002</v>
      </c>
      <c r="I598" s="20" t="n"/>
      <c r="J598" s="16" t="n"/>
      <c r="K598" s="20" t="n"/>
      <c r="L598" s="18" t="n"/>
      <c r="M598" s="18" t="n">
        <v>133.6</v>
      </c>
      <c r="N598" s="18" t="n"/>
      <c r="O598" s="18" t="n"/>
      <c r="P598" s="18" t="n">
        <v>143.45</v>
      </c>
      <c r="Q598" s="18" t="n">
        <v>125.4</v>
      </c>
      <c r="R598" s="21">
        <f>IF(OR(G598="",P598=""),"",G598/P598-1)</f>
        <v/>
      </c>
      <c r="S598" s="19" t="n">
        <v>0.1152</v>
      </c>
      <c r="T598" s="22" t="n"/>
      <c r="U598" s="16" t="n"/>
      <c r="V598" s="16" t="n"/>
      <c r="W598" s="16" t="inlineStr">
        <is>
          <t>Yes</t>
        </is>
      </c>
      <c r="X598" s="16" t="n"/>
      <c r="Y598" s="20" t="n"/>
      <c r="Z598" s="19" t="n"/>
      <c r="AA598" s="18" t="n"/>
      <c r="AB598" s="16" t="n"/>
      <c r="AC598" s="16" t="inlineStr">
        <is>
          <t>No</t>
        </is>
      </c>
      <c r="AD598" s="19" t="n"/>
      <c r="AE598" s="19" t="n"/>
      <c r="AF598" s="19" t="n"/>
      <c r="AG598" s="19" t="n"/>
      <c r="AH598" s="23" t="n"/>
      <c r="AI598" s="23" t="n"/>
      <c r="AJ598" s="19" t="n"/>
    </row>
    <row r="599">
      <c r="A599" s="16" t="inlineStr">
        <is>
          <t>BLUEJET</t>
        </is>
      </c>
      <c r="B599" s="16" t="inlineStr">
        <is>
          <t>Blue Jet Healthcare Ltd</t>
        </is>
      </c>
      <c r="C599" s="16" t="inlineStr">
        <is>
          <t>Pharmaceuticals</t>
        </is>
      </c>
      <c r="D599" s="16" t="inlineStr">
        <is>
          <t>Pharmaceuticals &amp; Biotechnology</t>
        </is>
      </c>
      <c r="E599" s="16" t="inlineStr">
        <is>
          <t>INE0KBH01020</t>
        </is>
      </c>
      <c r="F599" s="17" t="n">
        <v>9884.059999999999</v>
      </c>
      <c r="G599" s="18" t="n">
        <v>569.8</v>
      </c>
      <c r="H599" s="19" t="n">
        <v>-0.0159</v>
      </c>
      <c r="I599" s="20" t="n">
        <v>61</v>
      </c>
      <c r="J599" s="16" t="inlineStr">
        <is>
          <t>amber</t>
        </is>
      </c>
      <c r="K599" s="20" t="n">
        <v>22</v>
      </c>
      <c r="L599" s="18" t="n">
        <v>35.23</v>
      </c>
      <c r="M599" s="18" t="n">
        <v>580.95</v>
      </c>
      <c r="N599" s="18" t="n">
        <v>584.02</v>
      </c>
      <c r="O599" s="18" t="n">
        <v>488.62</v>
      </c>
      <c r="P599" s="18" t="n">
        <v>742.4400000000001</v>
      </c>
      <c r="Q599" s="18" t="n">
        <v>327.25</v>
      </c>
      <c r="R599" s="21">
        <f>IF(OR(G599="",P599=""),"",G599/P599-1)</f>
        <v/>
      </c>
      <c r="S599" s="19" t="n">
        <v>0.4795</v>
      </c>
      <c r="T599" s="22" t="n">
        <v>-0.0051</v>
      </c>
      <c r="U599" s="16" t="inlineStr">
        <is>
          <t>No</t>
        </is>
      </c>
      <c r="V599" s="16" t="inlineStr">
        <is>
          <t>No</t>
        </is>
      </c>
      <c r="W599" s="16" t="inlineStr">
        <is>
          <t>No</t>
        </is>
      </c>
      <c r="X599" s="16" t="inlineStr">
        <is>
          <t>Yes</t>
        </is>
      </c>
      <c r="Y599" s="20" t="n">
        <v>39</v>
      </c>
      <c r="Z599" s="19" t="n">
        <v>0.1952</v>
      </c>
      <c r="AA599" s="18" t="n">
        <v>70.40000000000001</v>
      </c>
      <c r="AB599" s="16" t="inlineStr">
        <is>
          <t>High</t>
        </is>
      </c>
      <c r="AC599" s="16" t="inlineStr">
        <is>
          <t>No</t>
        </is>
      </c>
      <c r="AD599" s="19" t="n">
        <v>0.2151</v>
      </c>
      <c r="AE599" s="19" t="n">
        <v>0.2847</v>
      </c>
      <c r="AF599" s="19" t="n">
        <v>0.2328</v>
      </c>
      <c r="AG599" s="19" t="n">
        <v>0.1185</v>
      </c>
      <c r="AH599" s="23" t="n">
        <v>0.03</v>
      </c>
      <c r="AI599" s="23" t="n">
        <v>1.54</v>
      </c>
      <c r="AJ599" s="19" t="n">
        <v>0.4895</v>
      </c>
    </row>
    <row r="600">
      <c r="A600" s="16" t="inlineStr">
        <is>
          <t>KIRLPNU</t>
        </is>
      </c>
      <c r="B600" s="16" t="inlineStr">
        <is>
          <t>Kirloskar Pneumatic Company Ltd.</t>
        </is>
      </c>
      <c r="C600" s="16" t="inlineStr">
        <is>
          <t>Compressors &amp; Pumps</t>
        </is>
      </c>
      <c r="D600" s="16" t="inlineStr">
        <is>
          <t>General Industrials</t>
        </is>
      </c>
      <c r="E600" s="16" t="inlineStr">
        <is>
          <t>INE811A01038</t>
        </is>
      </c>
      <c r="F600" s="17" t="n">
        <v>9880.25</v>
      </c>
      <c r="G600" s="18" t="n">
        <v>760.45</v>
      </c>
      <c r="H600" s="19" t="n">
        <v>0.0009</v>
      </c>
      <c r="I600" s="20" t="n">
        <v>63</v>
      </c>
      <c r="J600" s="16" t="inlineStr">
        <is>
          <t>amber</t>
        </is>
      </c>
      <c r="K600" s="20" t="n">
        <v>4</v>
      </c>
      <c r="L600" s="18" t="n">
        <v>47.64</v>
      </c>
      <c r="M600" s="18" t="n">
        <v>738.01</v>
      </c>
      <c r="N600" s="18" t="n">
        <v>794.72</v>
      </c>
      <c r="O600" s="18" t="n">
        <v>671.5599999999999</v>
      </c>
      <c r="P600" s="18" t="n">
        <v>1040.98</v>
      </c>
      <c r="Q600" s="18" t="n">
        <v>495.95</v>
      </c>
      <c r="R600" s="21">
        <f>IF(OR(G600="",P600=""),"",G600/P600-1)</f>
        <v/>
      </c>
      <c r="S600" s="19" t="n">
        <v>0.636</v>
      </c>
      <c r="T600" s="22" t="n">
        <v>0.0285</v>
      </c>
      <c r="U600" s="16" t="inlineStr">
        <is>
          <t>Yes</t>
        </is>
      </c>
      <c r="V600" s="16" t="inlineStr">
        <is>
          <t>No</t>
        </is>
      </c>
      <c r="W600" s="16" t="inlineStr">
        <is>
          <t>Yes</t>
        </is>
      </c>
      <c r="X600" s="16" t="inlineStr">
        <is>
          <t>Yes</t>
        </is>
      </c>
      <c r="Y600" s="20" t="n">
        <v>92</v>
      </c>
      <c r="Z600" s="19" t="n">
        <v>0.1834</v>
      </c>
      <c r="AA600" s="18" t="n"/>
      <c r="AB600" s="16" t="n"/>
      <c r="AC600" s="16" t="inlineStr">
        <is>
          <t>No</t>
        </is>
      </c>
      <c r="AD600" s="19" t="n"/>
      <c r="AE600" s="19" t="n"/>
      <c r="AF600" s="19" t="n"/>
      <c r="AG600" s="19" t="n"/>
      <c r="AH600" s="23" t="n"/>
      <c r="AI600" s="23" t="n"/>
      <c r="AJ600" s="19" t="n"/>
    </row>
    <row r="601">
      <c r="A601" s="16" t="inlineStr">
        <is>
          <t>FINPIPE</t>
        </is>
      </c>
      <c r="B601" s="16" t="inlineStr">
        <is>
          <t>Finolex Industries Ltd.</t>
        </is>
      </c>
      <c r="C601" s="16" t="inlineStr">
        <is>
          <t>Plastic Products</t>
        </is>
      </c>
      <c r="D601" s="16" t="inlineStr">
        <is>
          <t>General Industrials</t>
        </is>
      </c>
      <c r="E601" s="16" t="inlineStr">
        <is>
          <t>INE183A01024</t>
        </is>
      </c>
      <c r="F601" s="17" t="n">
        <v>9842.629999999999</v>
      </c>
      <c r="G601" s="18" t="n">
        <v>158.63</v>
      </c>
      <c r="H601" s="19" t="n">
        <v>-0.0017</v>
      </c>
      <c r="I601" s="20" t="n">
        <v>16</v>
      </c>
      <c r="J601" s="16" t="inlineStr">
        <is>
          <t>red</t>
        </is>
      </c>
      <c r="K601" s="20" t="n">
        <v>114</v>
      </c>
      <c r="L601" s="18" t="n">
        <v>48.37</v>
      </c>
      <c r="M601" s="18" t="n">
        <v>158.86</v>
      </c>
      <c r="N601" s="18" t="n">
        <v>164.52</v>
      </c>
      <c r="O601" s="18" t="n">
        <v>172.36</v>
      </c>
      <c r="P601" s="18" t="n">
        <v>220.76</v>
      </c>
      <c r="Q601" s="18" t="n">
        <v>149.95</v>
      </c>
      <c r="R601" s="21">
        <f>IF(OR(G601="",P601=""),"",G601/P601-1)</f>
        <v/>
      </c>
      <c r="S601" s="19" t="n">
        <v>0.9865999999999999</v>
      </c>
      <c r="T601" s="22" t="n">
        <v>-0.0163</v>
      </c>
      <c r="U601" s="16" t="inlineStr">
        <is>
          <t>No</t>
        </is>
      </c>
      <c r="V601" s="16" t="inlineStr">
        <is>
          <t>No</t>
        </is>
      </c>
      <c r="W601" s="16" t="inlineStr">
        <is>
          <t>No</t>
        </is>
      </c>
      <c r="X601" s="16" t="inlineStr">
        <is>
          <t>No</t>
        </is>
      </c>
      <c r="Y601" s="20" t="n">
        <v>192</v>
      </c>
      <c r="Z601" s="19" t="n">
        <v>-0.0454</v>
      </c>
      <c r="AA601" s="18" t="n">
        <v>50.81</v>
      </c>
      <c r="AB601" s="16" t="inlineStr">
        <is>
          <t>Average</t>
        </is>
      </c>
      <c r="AC601" s="16" t="inlineStr">
        <is>
          <t>No</t>
        </is>
      </c>
      <c r="AD601" s="19" t="n">
        <v>0.1039</v>
      </c>
      <c r="AE601" s="19" t="n">
        <v>0.1352</v>
      </c>
      <c r="AF601" s="19" t="n">
        <v>0.4447</v>
      </c>
      <c r="AG601" s="19" t="n">
        <v>-0.0193</v>
      </c>
      <c r="AH601" s="23" t="n">
        <v>0.07000000000000001</v>
      </c>
      <c r="AI601" s="23" t="n">
        <v>3.95</v>
      </c>
      <c r="AJ601" s="19" t="n">
        <v>0.0267</v>
      </c>
    </row>
    <row r="602">
      <c r="A602" s="16" t="inlineStr">
        <is>
          <t>BLS</t>
        </is>
      </c>
      <c r="B602" s="16" t="inlineStr">
        <is>
          <t>BLS International Services Ltd.</t>
        </is>
      </c>
      <c r="C602" s="16" t="inlineStr">
        <is>
          <t>Travel Support Services</t>
        </is>
      </c>
      <c r="D602" s="16" t="inlineStr">
        <is>
          <t>Diversified Consumer Services</t>
        </is>
      </c>
      <c r="E602" s="16" t="inlineStr">
        <is>
          <t>INE153T01027</t>
        </is>
      </c>
      <c r="F602" s="17" t="n">
        <v>9831.959999999999</v>
      </c>
      <c r="G602" s="18" t="n">
        <v>238.79</v>
      </c>
      <c r="H602" s="19" t="n">
        <v>-0.005699999999999999</v>
      </c>
      <c r="I602" s="20" t="n">
        <v>10</v>
      </c>
      <c r="J602" s="16" t="inlineStr">
        <is>
          <t>red</t>
        </is>
      </c>
      <c r="K602" s="20" t="n">
        <v>270</v>
      </c>
      <c r="L602" s="18" t="n">
        <v>24.11</v>
      </c>
      <c r="M602" s="18" t="n">
        <v>238.47</v>
      </c>
      <c r="N602" s="18" t="n">
        <v>247.16</v>
      </c>
      <c r="O602" s="18" t="n">
        <v>273.29</v>
      </c>
      <c r="P602" s="18" t="n">
        <v>367.31</v>
      </c>
      <c r="Q602" s="18" t="n">
        <v>221.75</v>
      </c>
      <c r="R602" s="21">
        <f>IF(OR(G602="",P602=""),"",G602/P602-1)</f>
        <v/>
      </c>
      <c r="S602" s="19" t="n">
        <v>0.2259</v>
      </c>
      <c r="T602" s="22" t="n">
        <v>-0.0225</v>
      </c>
      <c r="U602" s="16" t="inlineStr">
        <is>
          <t>No</t>
        </is>
      </c>
      <c r="V602" s="16" t="inlineStr">
        <is>
          <t>No</t>
        </is>
      </c>
      <c r="W602" s="16" t="inlineStr">
        <is>
          <t>Yes</t>
        </is>
      </c>
      <c r="X602" s="16" t="inlineStr">
        <is>
          <t>No</t>
        </is>
      </c>
      <c r="Y602" s="20" t="n">
        <v>364</v>
      </c>
      <c r="Z602" s="19" t="n">
        <v>-0.0956</v>
      </c>
      <c r="AA602" s="18" t="n">
        <v>74.95</v>
      </c>
      <c r="AB602" s="16" t="inlineStr">
        <is>
          <t>High</t>
        </is>
      </c>
      <c r="AC602" s="16" t="inlineStr">
        <is>
          <t>No</t>
        </is>
      </c>
      <c r="AD602" s="19" t="n">
        <v>0.2772</v>
      </c>
      <c r="AE602" s="19" t="n">
        <v>0.291</v>
      </c>
      <c r="AF602" s="19" t="n">
        <v>0.5086999999999999</v>
      </c>
      <c r="AG602" s="19" t="n">
        <v>0.2603</v>
      </c>
      <c r="AH602" s="23" t="n">
        <v>0.17</v>
      </c>
      <c r="AI602" s="23" t="n">
        <v>6.6</v>
      </c>
      <c r="AJ602" s="19" t="n">
        <v>0.0043</v>
      </c>
    </row>
    <row r="603">
      <c r="A603" s="16" t="inlineStr">
        <is>
          <t>KRN</t>
        </is>
      </c>
      <c r="B603" s="16" t="inlineStr">
        <is>
          <t>KRN Heat Exchanger and Refrigeration Ltd.</t>
        </is>
      </c>
      <c r="C603" s="16" t="inlineStr">
        <is>
          <t>Electronic Components</t>
        </is>
      </c>
      <c r="D603" s="16" t="inlineStr">
        <is>
          <t>Commercial Services &amp; Supplies</t>
        </is>
      </c>
      <c r="E603" s="16" t="inlineStr">
        <is>
          <t>INE0Q3J01015</t>
        </is>
      </c>
      <c r="F603" s="17" t="n">
        <v>9812.66</v>
      </c>
      <c r="G603" s="18" t="n">
        <v>1578.7</v>
      </c>
      <c r="H603" s="19" t="n">
        <v>0.0483</v>
      </c>
      <c r="I603" s="20" t="n">
        <v>89</v>
      </c>
      <c r="J603" s="16" t="inlineStr">
        <is>
          <t>green</t>
        </is>
      </c>
      <c r="K603" s="20" t="n">
        <v>69</v>
      </c>
      <c r="L603" s="18" t="n">
        <v>54.25</v>
      </c>
      <c r="M603" s="18" t="n">
        <v>1544.61</v>
      </c>
      <c r="N603" s="18" t="n">
        <v>1329.45</v>
      </c>
      <c r="O603" s="18" t="n">
        <v>1035.75</v>
      </c>
      <c r="P603" s="18" t="n">
        <v>1609.7</v>
      </c>
      <c r="Q603" s="18" t="n">
        <v>598.1</v>
      </c>
      <c r="R603" s="21">
        <f>IF(OR(G603="",P603=""),"",G603/P603-1)</f>
        <v/>
      </c>
      <c r="S603" s="19" t="n">
        <v>1.9563</v>
      </c>
      <c r="T603" s="22" t="n">
        <v>0.0693</v>
      </c>
      <c r="U603" s="16" t="inlineStr">
        <is>
          <t>Yes</t>
        </is>
      </c>
      <c r="V603" s="16" t="inlineStr">
        <is>
          <t>Yes</t>
        </is>
      </c>
      <c r="W603" s="16" t="inlineStr">
        <is>
          <t>Yes</t>
        </is>
      </c>
      <c r="X603" s="16" t="inlineStr">
        <is>
          <t>Yes</t>
        </is>
      </c>
      <c r="Y603" s="20" t="n">
        <v>106</v>
      </c>
      <c r="Z603" s="19" t="n">
        <v>0.2836</v>
      </c>
      <c r="AA603" s="18" t="n">
        <v>61.39</v>
      </c>
      <c r="AB603" s="16" t="inlineStr">
        <is>
          <t>Good</t>
        </is>
      </c>
      <c r="AC603" s="16" t="inlineStr">
        <is>
          <t>No</t>
        </is>
      </c>
      <c r="AD603" s="19" t="n">
        <v>0.1805</v>
      </c>
      <c r="AE603" s="19" t="n">
        <v>0.184</v>
      </c>
      <c r="AF603" s="19" t="n">
        <v>0.2116</v>
      </c>
      <c r="AG603" s="19" t="n">
        <v>0.3457</v>
      </c>
      <c r="AH603" s="23" t="n">
        <v>0.33</v>
      </c>
      <c r="AI603" s="23" t="n">
        <v>1.73</v>
      </c>
      <c r="AJ603" s="19" t="n">
        <v>0.096</v>
      </c>
    </row>
    <row r="604">
      <c r="A604" s="16" t="inlineStr">
        <is>
          <t>STAR</t>
        </is>
      </c>
      <c r="B604" s="16" t="inlineStr">
        <is>
          <t>Strides Pharma Science Ltd.</t>
        </is>
      </c>
      <c r="C604" s="16" t="inlineStr">
        <is>
          <t>Pharmaceuticals</t>
        </is>
      </c>
      <c r="D604" s="16" t="inlineStr">
        <is>
          <t>Pharmaceuticals &amp; Biotechnology</t>
        </is>
      </c>
      <c r="E604" s="16" t="inlineStr">
        <is>
          <t>INE939A01011</t>
        </is>
      </c>
      <c r="F604" s="17" t="n">
        <v>9766.620000000001</v>
      </c>
      <c r="G604" s="18" t="n">
        <v>1059.6</v>
      </c>
      <c r="H604" s="19" t="n">
        <v>0.005699999999999999</v>
      </c>
      <c r="I604" s="20" t="n">
        <v>60</v>
      </c>
      <c r="J604" s="16" t="inlineStr">
        <is>
          <t>amber</t>
        </is>
      </c>
      <c r="K604" s="20" t="n">
        <v>1</v>
      </c>
      <c r="L604" s="18" t="n">
        <v>69.58</v>
      </c>
      <c r="M604" s="18" t="n">
        <v>1024.5</v>
      </c>
      <c r="N604" s="18" t="n">
        <v>1033.66</v>
      </c>
      <c r="O604" s="18" t="n">
        <v>977.9400000000001</v>
      </c>
      <c r="P604" s="18" t="n">
        <v>1182.56</v>
      </c>
      <c r="Q604" s="18" t="n">
        <v>789.85</v>
      </c>
      <c r="R604" s="21">
        <f>IF(OR(G604="",P604=""),"",G604/P604-1)</f>
        <v/>
      </c>
      <c r="S604" s="19" t="n">
        <v>0.4888</v>
      </c>
      <c r="T604" s="22" t="n">
        <v>0.0101</v>
      </c>
      <c r="U604" s="16" t="inlineStr">
        <is>
          <t>Yes</t>
        </is>
      </c>
      <c r="V604" s="16" t="inlineStr">
        <is>
          <t>Yes</t>
        </is>
      </c>
      <c r="W604" s="16" t="inlineStr">
        <is>
          <t>Yes</t>
        </is>
      </c>
      <c r="X604" s="16" t="inlineStr">
        <is>
          <t>Yes</t>
        </is>
      </c>
      <c r="Y604" s="20" t="n">
        <v>107</v>
      </c>
      <c r="Z604" s="19" t="n">
        <v>0.057</v>
      </c>
      <c r="AA604" s="18" t="n">
        <v>58.48</v>
      </c>
      <c r="AB604" s="16" t="inlineStr">
        <is>
          <t>Good</t>
        </is>
      </c>
      <c r="AC604" s="16" t="inlineStr">
        <is>
          <t>No</t>
        </is>
      </c>
      <c r="AD604" s="19" t="n">
        <v>0.518</v>
      </c>
      <c r="AE604" s="19" t="n">
        <v>0.1172</v>
      </c>
      <c r="AF604" s="19" t="n">
        <v>17.0439</v>
      </c>
      <c r="AG604" s="19" t="n">
        <v>0.08839999999999999</v>
      </c>
      <c r="AH604" s="23" t="n">
        <v>0.57</v>
      </c>
      <c r="AI604" s="23" t="n">
        <v>3.91</v>
      </c>
      <c r="AJ604" s="19" t="n">
        <v>0.1611</v>
      </c>
    </row>
    <row r="605">
      <c r="A605" s="16" t="inlineStr">
        <is>
          <t>SUDARSCHEM</t>
        </is>
      </c>
      <c r="B605" s="16" t="inlineStr">
        <is>
          <t>Sudarshan Chemical Industries Ltd.</t>
        </is>
      </c>
      <c r="C605" s="16" t="inlineStr">
        <is>
          <t>Dyes &amp; Pigments</t>
        </is>
      </c>
      <c r="D605" s="16" t="inlineStr">
        <is>
          <t>Chemicals &amp; Petrochemicals</t>
        </is>
      </c>
      <c r="E605" s="16" t="inlineStr">
        <is>
          <t>INE659A01023</t>
        </is>
      </c>
      <c r="F605" s="17" t="n">
        <v>9735.49</v>
      </c>
      <c r="G605" s="18" t="n">
        <v>1222.8</v>
      </c>
      <c r="H605" s="19" t="n">
        <v>-0.0212</v>
      </c>
      <c r="I605" s="20" t="n">
        <v>73</v>
      </c>
      <c r="J605" s="16" t="inlineStr">
        <is>
          <t>amber</t>
        </is>
      </c>
      <c r="K605" s="20" t="n">
        <v>11</v>
      </c>
      <c r="L605" s="18" t="n">
        <v>76.54000000000001</v>
      </c>
      <c r="M605" s="18" t="n">
        <v>1246.18</v>
      </c>
      <c r="N605" s="18" t="n">
        <v>1074.67</v>
      </c>
      <c r="O605" s="18" t="n">
        <v>945.36</v>
      </c>
      <c r="P605" s="18" t="n">
        <v>1517.02</v>
      </c>
      <c r="Q605" s="18" t="n">
        <v>744.28</v>
      </c>
      <c r="R605" s="21">
        <f>IF(OR(G605="",P605=""),"",G605/P605-1)</f>
        <v/>
      </c>
      <c r="S605" s="19" t="n">
        <v>0.3301</v>
      </c>
      <c r="T605" s="22" t="n">
        <v>0.0064</v>
      </c>
      <c r="U605" s="16" t="inlineStr">
        <is>
          <t>Yes</t>
        </is>
      </c>
      <c r="V605" s="16" t="inlineStr">
        <is>
          <t>Yes</t>
        </is>
      </c>
      <c r="W605" s="16" t="inlineStr">
        <is>
          <t>No</t>
        </is>
      </c>
      <c r="X605" s="16" t="inlineStr">
        <is>
          <t>Yes</t>
        </is>
      </c>
      <c r="Y605" s="20" t="n">
        <v>27</v>
      </c>
      <c r="Z605" s="19" t="n">
        <v>0.1368</v>
      </c>
      <c r="AA605" s="18" t="n">
        <v>55.73</v>
      </c>
      <c r="AB605" s="16" t="inlineStr">
        <is>
          <t>Good</t>
        </is>
      </c>
      <c r="AC605" s="16" t="inlineStr">
        <is>
          <t>No</t>
        </is>
      </c>
      <c r="AD605" s="19" t="n">
        <v>0.1114</v>
      </c>
      <c r="AE605" s="19" t="n">
        <v>0.13</v>
      </c>
      <c r="AF605" s="19" t="n">
        <v>1.8153</v>
      </c>
      <c r="AG605" s="19" t="n">
        <v>0.7865000000000001</v>
      </c>
      <c r="AH605" s="23" t="n">
        <v>0.72</v>
      </c>
      <c r="AI605" s="23" t="n">
        <v>3.28</v>
      </c>
      <c r="AJ605" s="19" t="n">
        <v>0.04019999999999999</v>
      </c>
    </row>
    <row r="606">
      <c r="A606" s="16" t="inlineStr">
        <is>
          <t>ELECON</t>
        </is>
      </c>
      <c r="B606" s="16" t="inlineStr">
        <is>
          <t>Elecon Engineering Company Ltd.</t>
        </is>
      </c>
      <c r="C606" s="16" t="inlineStr">
        <is>
          <t>Industrial Machinery</t>
        </is>
      </c>
      <c r="D606" s="16" t="inlineStr">
        <is>
          <t>General Industrials</t>
        </is>
      </c>
      <c r="E606" s="16" t="inlineStr">
        <is>
          <t>INE205B01031</t>
        </is>
      </c>
      <c r="F606" s="17" t="n">
        <v>9733.35</v>
      </c>
      <c r="G606" s="18" t="n">
        <v>433.75</v>
      </c>
      <c r="H606" s="19" t="n">
        <v>-0.005</v>
      </c>
      <c r="I606" s="20" t="n">
        <v>17</v>
      </c>
      <c r="J606" s="16" t="inlineStr">
        <is>
          <t>red</t>
        </is>
      </c>
      <c r="K606" s="20" t="n">
        <v>46</v>
      </c>
      <c r="L606" s="18" t="n">
        <v>47.8</v>
      </c>
      <c r="M606" s="18" t="n">
        <v>423.03</v>
      </c>
      <c r="N606" s="18" t="n">
        <v>454.96</v>
      </c>
      <c r="O606" s="18" t="n">
        <v>460.26</v>
      </c>
      <c r="P606" s="18" t="n">
        <v>625.9400000000001</v>
      </c>
      <c r="Q606" s="18" t="n">
        <v>353.74</v>
      </c>
      <c r="R606" s="21">
        <f>IF(OR(G606="",P606=""),"",G606/P606-1)</f>
        <v/>
      </c>
      <c r="S606" s="19" t="n">
        <v>0.8165</v>
      </c>
      <c r="T606" s="22" t="n">
        <v>-0.0242</v>
      </c>
      <c r="U606" s="16" t="inlineStr">
        <is>
          <t>No</t>
        </is>
      </c>
      <c r="V606" s="16" t="inlineStr">
        <is>
          <t>No</t>
        </is>
      </c>
      <c r="W606" s="16" t="inlineStr">
        <is>
          <t>Yes</t>
        </is>
      </c>
      <c r="X606" s="16" t="inlineStr">
        <is>
          <t>No</t>
        </is>
      </c>
      <c r="Y606" s="20" t="n">
        <v>4</v>
      </c>
      <c r="Z606" s="19" t="n">
        <v>-0.0115</v>
      </c>
      <c r="AA606" s="18" t="n">
        <v>66.62</v>
      </c>
      <c r="AB606" s="16" t="inlineStr">
        <is>
          <t>High</t>
        </is>
      </c>
      <c r="AC606" s="16" t="inlineStr">
        <is>
          <t>No</t>
        </is>
      </c>
      <c r="AD606" s="19" t="n">
        <v>0.1925</v>
      </c>
      <c r="AE606" s="19" t="n">
        <v>0.2394</v>
      </c>
      <c r="AF606" s="19" t="n">
        <v>0.302</v>
      </c>
      <c r="AG606" s="19" t="n">
        <v>0.162</v>
      </c>
      <c r="AH606" s="23" t="n">
        <v>0.12</v>
      </c>
      <c r="AI606" s="23" t="n">
        <v>2.59</v>
      </c>
      <c r="AJ606" s="19" t="n">
        <v>0.0257</v>
      </c>
    </row>
    <row r="607">
      <c r="A607" s="16" t="inlineStr">
        <is>
          <t>ELANTAS</t>
        </is>
      </c>
      <c r="B607" s="16" t="inlineStr">
        <is>
          <t>Elantas Beck India Ltd.</t>
        </is>
      </c>
      <c r="C607" s="16" t="inlineStr">
        <is>
          <t>Specialty Chemicals</t>
        </is>
      </c>
      <c r="D607" s="16" t="inlineStr">
        <is>
          <t>Chemicals &amp; Petrochemicals</t>
        </is>
      </c>
      <c r="E607" s="16" t="inlineStr">
        <is>
          <t>INE280B01018</t>
        </is>
      </c>
      <c r="F607" s="17" t="n">
        <v>9719.76</v>
      </c>
      <c r="G607" s="18" t="n">
        <v>12260.5</v>
      </c>
      <c r="H607" s="19" t="n">
        <v>0.008</v>
      </c>
      <c r="I607" s="20" t="n">
        <v>74</v>
      </c>
      <c r="J607" s="16" t="inlineStr">
        <is>
          <t>amber</t>
        </is>
      </c>
      <c r="K607" s="20" t="n">
        <v>23</v>
      </c>
      <c r="L607" s="18" t="n">
        <v>63.41</v>
      </c>
      <c r="M607" s="18" t="n">
        <v>11734.68</v>
      </c>
      <c r="N607" s="18" t="n">
        <v>10603.63</v>
      </c>
      <c r="O607" s="18" t="n">
        <v>9500.42</v>
      </c>
      <c r="P607" s="18" t="n">
        <v>12385.05</v>
      </c>
      <c r="Q607" s="18" t="n">
        <v>7408.46</v>
      </c>
      <c r="R607" s="21">
        <f>IF(OR(G607="",P607=""),"",G607/P607-1)</f>
        <v/>
      </c>
      <c r="S607" s="19" t="n">
        <v>0.0892</v>
      </c>
      <c r="T607" s="22" t="n">
        <v>0.0208</v>
      </c>
      <c r="U607" s="16" t="inlineStr">
        <is>
          <t>Yes</t>
        </is>
      </c>
      <c r="V607" s="16" t="inlineStr">
        <is>
          <t>Yes</t>
        </is>
      </c>
      <c r="W607" s="16" t="inlineStr">
        <is>
          <t>Yes</t>
        </is>
      </c>
      <c r="X607" s="16" t="inlineStr">
        <is>
          <t>Yes</t>
        </is>
      </c>
      <c r="Y607" s="20" t="n">
        <v>58</v>
      </c>
      <c r="Z607" s="19" t="n">
        <v>0.1161</v>
      </c>
      <c r="AA607" s="18" t="n"/>
      <c r="AB607" s="16" t="n"/>
      <c r="AC607" s="16" t="inlineStr">
        <is>
          <t>No</t>
        </is>
      </c>
      <c r="AD607" s="19" t="n"/>
      <c r="AE607" s="19" t="n"/>
      <c r="AF607" s="19" t="n"/>
      <c r="AG607" s="19" t="n"/>
      <c r="AH607" s="23" t="n"/>
      <c r="AI607" s="23" t="n"/>
      <c r="AJ607" s="19" t="n"/>
    </row>
    <row r="608">
      <c r="A608" s="16" t="inlineStr">
        <is>
          <t>SANOFICONR</t>
        </is>
      </c>
      <c r="B608" s="16" t="inlineStr">
        <is>
          <t>Sanofi Consumer Healthcare India Ltd.</t>
        </is>
      </c>
      <c r="C608" s="16" t="inlineStr">
        <is>
          <t>Pharmaceuticals</t>
        </is>
      </c>
      <c r="D608" s="16" t="inlineStr">
        <is>
          <t>Pharmaceuticals &amp; Biotechnology</t>
        </is>
      </c>
      <c r="E608" s="16" t="inlineStr">
        <is>
          <t>INE0UOS01011</t>
        </is>
      </c>
      <c r="F608" s="17" t="n">
        <v>9676.77</v>
      </c>
      <c r="G608" s="18" t="n">
        <v>4201.7</v>
      </c>
      <c r="H608" s="19" t="n">
        <v>-0.0009</v>
      </c>
      <c r="I608" s="20" t="n">
        <v>22</v>
      </c>
      <c r="J608" s="16" t="inlineStr">
        <is>
          <t>red</t>
        </is>
      </c>
      <c r="K608" s="20" t="n">
        <v>77</v>
      </c>
      <c r="L608" s="18" t="n">
        <v>31.75</v>
      </c>
      <c r="M608" s="18" t="n">
        <v>4173.71</v>
      </c>
      <c r="N608" s="18" t="n">
        <v>4466.98</v>
      </c>
      <c r="O608" s="18" t="n">
        <v>4441.35</v>
      </c>
      <c r="P608" s="18" t="n">
        <v>5212.29</v>
      </c>
      <c r="Q608" s="18" t="n">
        <v>3938.88</v>
      </c>
      <c r="R608" s="21">
        <f>IF(OR(G608="",P608=""),"",G608/P608-1)</f>
        <v/>
      </c>
      <c r="S608" s="19" t="n">
        <v>0.6651</v>
      </c>
      <c r="T608" s="22" t="n">
        <v>-0.008199999999999999</v>
      </c>
      <c r="U608" s="16" t="inlineStr">
        <is>
          <t>No</t>
        </is>
      </c>
      <c r="V608" s="16" t="inlineStr">
        <is>
          <t>No</t>
        </is>
      </c>
      <c r="W608" s="16" t="inlineStr">
        <is>
          <t>Yes</t>
        </is>
      </c>
      <c r="X608" s="16" t="inlineStr">
        <is>
          <t>Yes</t>
        </is>
      </c>
      <c r="Y608" s="20" t="n">
        <v>67</v>
      </c>
      <c r="Z608" s="19" t="n">
        <v>0.0058</v>
      </c>
      <c r="AA608" s="18" t="n">
        <v>79.73</v>
      </c>
      <c r="AB608" s="16" t="inlineStr">
        <is>
          <t>High</t>
        </is>
      </c>
      <c r="AC608" s="16" t="inlineStr">
        <is>
          <t>No</t>
        </is>
      </c>
      <c r="AD608" s="19" t="n">
        <v>0.6942</v>
      </c>
      <c r="AE608" s="19" t="n">
        <v>0.9003</v>
      </c>
      <c r="AF608" s="19" t="n">
        <v>0.2122</v>
      </c>
      <c r="AG608" s="19" t="n">
        <v>0.2709</v>
      </c>
      <c r="AH608" s="23" t="n">
        <v>0.06</v>
      </c>
      <c r="AI608" s="23" t="n">
        <v>25.01</v>
      </c>
      <c r="AJ608" s="19" t="n">
        <v>0</v>
      </c>
    </row>
    <row r="609">
      <c r="A609" s="16" t="inlineStr">
        <is>
          <t>KRBL</t>
        </is>
      </c>
      <c r="B609" s="16" t="inlineStr">
        <is>
          <t>KRBL Ltd.</t>
        </is>
      </c>
      <c r="C609" s="16" t="inlineStr">
        <is>
          <t>Other Agricultural Products</t>
        </is>
      </c>
      <c r="D609" s="16" t="inlineStr">
        <is>
          <t>Food, Beverages &amp; Tobacco</t>
        </is>
      </c>
      <c r="E609" s="16" t="inlineStr">
        <is>
          <t>INE001B01026</t>
        </is>
      </c>
      <c r="F609" s="17" t="n">
        <v>9658.01</v>
      </c>
      <c r="G609" s="18" t="n">
        <v>421.95</v>
      </c>
      <c r="H609" s="19" t="n">
        <v>-0.0069</v>
      </c>
      <c r="I609" s="20" t="n">
        <v>59</v>
      </c>
      <c r="J609" s="16" t="inlineStr">
        <is>
          <t>red</t>
        </is>
      </c>
      <c r="K609" s="20" t="n">
        <v>1</v>
      </c>
      <c r="L609" s="18" t="n">
        <v>60.16</v>
      </c>
      <c r="M609" s="18" t="n">
        <v>429.52</v>
      </c>
      <c r="N609" s="18" t="n">
        <v>381.23</v>
      </c>
      <c r="O609" s="18" t="n">
        <v>364.09</v>
      </c>
      <c r="P609" s="18" t="n">
        <v>463.5</v>
      </c>
      <c r="Q609" s="18" t="n">
        <v>278.95</v>
      </c>
      <c r="R609" s="21">
        <f>IF(OR(G609="",P609=""),"",G609/P609-1)</f>
        <v/>
      </c>
      <c r="S609" s="19" t="n">
        <v>0.3632</v>
      </c>
      <c r="T609" s="22" t="n">
        <v>0.0059</v>
      </c>
      <c r="U609" s="16" t="inlineStr">
        <is>
          <t>Yes</t>
        </is>
      </c>
      <c r="V609" s="16" t="inlineStr">
        <is>
          <t>Yes</t>
        </is>
      </c>
      <c r="W609" s="16" t="inlineStr">
        <is>
          <t>No</t>
        </is>
      </c>
      <c r="X609" s="16" t="inlineStr">
        <is>
          <t>Yes</t>
        </is>
      </c>
      <c r="Y609" s="20" t="n">
        <v>29</v>
      </c>
      <c r="Z609" s="19" t="n">
        <v>0.0471</v>
      </c>
      <c r="AA609" s="18" t="n">
        <v>50.43</v>
      </c>
      <c r="AB609" s="16" t="inlineStr">
        <is>
          <t>Average</t>
        </is>
      </c>
      <c r="AC609" s="16" t="inlineStr">
        <is>
          <t>No</t>
        </is>
      </c>
      <c r="AD609" s="19" t="n">
        <v>0.1084</v>
      </c>
      <c r="AE609" s="19" t="n">
        <v>0.1383</v>
      </c>
      <c r="AF609" s="19" t="n">
        <v>0.0111</v>
      </c>
      <c r="AG609" s="19" t="n">
        <v>0.0458</v>
      </c>
      <c r="AH609" s="23" t="n">
        <v>0.03</v>
      </c>
      <c r="AI609" s="23" t="n">
        <v>6.62</v>
      </c>
      <c r="AJ609" s="19" t="n">
        <v>0.0148</v>
      </c>
    </row>
    <row r="610">
      <c r="A610" s="16" t="inlineStr">
        <is>
          <t>INTELLECT</t>
        </is>
      </c>
      <c r="B610" s="16" t="inlineStr">
        <is>
          <t>Intellect Design Arena Ltd.</t>
        </is>
      </c>
      <c r="C610" s="16" t="inlineStr">
        <is>
          <t>IT Software Products</t>
        </is>
      </c>
      <c r="D610" s="16" t="inlineStr">
        <is>
          <t>Software &amp; Services</t>
        </is>
      </c>
      <c r="E610" s="16" t="inlineStr">
        <is>
          <t>INE306R01017</t>
        </is>
      </c>
      <c r="F610" s="17" t="n">
        <v>9637.59</v>
      </c>
      <c r="G610" s="18" t="n">
        <v>686.65</v>
      </c>
      <c r="H610" s="19" t="n">
        <v>0.0123</v>
      </c>
      <c r="I610" s="20" t="n">
        <v>13</v>
      </c>
      <c r="J610" s="16" t="inlineStr">
        <is>
          <t>red</t>
        </is>
      </c>
      <c r="K610" s="20" t="n">
        <v>150</v>
      </c>
      <c r="L610" s="18" t="n">
        <v>44.96</v>
      </c>
      <c r="M610" s="18" t="n">
        <v>682.73</v>
      </c>
      <c r="N610" s="18" t="n">
        <v>720.27</v>
      </c>
      <c r="O610" s="18" t="n">
        <v>778.49</v>
      </c>
      <c r="P610" s="18" t="n">
        <v>1186.57</v>
      </c>
      <c r="Q610" s="18" t="n">
        <v>592.84</v>
      </c>
      <c r="R610" s="21">
        <f>IF(OR(G610="",P610=""),"",G610/P610-1)</f>
        <v/>
      </c>
      <c r="S610" s="19" t="n">
        <v>1.0443</v>
      </c>
      <c r="T610" s="22" t="n">
        <v>-0.0472</v>
      </c>
      <c r="U610" s="16" t="inlineStr">
        <is>
          <t>No</t>
        </is>
      </c>
      <c r="V610" s="16" t="inlineStr">
        <is>
          <t>No</t>
        </is>
      </c>
      <c r="W610" s="16" t="inlineStr">
        <is>
          <t>Yes</t>
        </is>
      </c>
      <c r="X610" s="16" t="inlineStr">
        <is>
          <t>No</t>
        </is>
      </c>
      <c r="Y610" s="20" t="n">
        <v>155</v>
      </c>
      <c r="Z610" s="19" t="n">
        <v>-0.07480000000000001</v>
      </c>
      <c r="AA610" s="18" t="n">
        <v>58.25</v>
      </c>
      <c r="AB610" s="16" t="inlineStr">
        <is>
          <t>Good</t>
        </is>
      </c>
      <c r="AC610" s="16" t="inlineStr">
        <is>
          <t>No</t>
        </is>
      </c>
      <c r="AD610" s="19" t="n">
        <v>0.1201</v>
      </c>
      <c r="AE610" s="19" t="n">
        <v>0.1612</v>
      </c>
      <c r="AF610" s="19" t="n">
        <v>0.0837</v>
      </c>
      <c r="AG610" s="19" t="n">
        <v>0.112</v>
      </c>
      <c r="AH610" s="23" t="n">
        <v>0.05</v>
      </c>
      <c r="AI610" s="23" t="n">
        <v>8.84</v>
      </c>
      <c r="AJ610" s="19" t="n">
        <v>0.0436</v>
      </c>
    </row>
    <row r="611">
      <c r="A611" s="16" t="inlineStr">
        <is>
          <t>MMTC</t>
        </is>
      </c>
      <c r="B611" s="16" t="inlineStr">
        <is>
          <t>MMTC Ltd.</t>
        </is>
      </c>
      <c r="C611" s="16" t="inlineStr">
        <is>
          <t>Commodity Trading  &amp; Distribution</t>
        </is>
      </c>
      <c r="D611" s="16" t="inlineStr">
        <is>
          <t>Commercial Services &amp; Supplies</t>
        </is>
      </c>
      <c r="E611" s="16" t="inlineStr">
        <is>
          <t>INE123F01029</t>
        </is>
      </c>
      <c r="F611" s="17" t="n">
        <v>9627</v>
      </c>
      <c r="G611" s="18" t="n">
        <v>64.18000000000001</v>
      </c>
      <c r="H611" s="19" t="n">
        <v>0.0298</v>
      </c>
      <c r="I611" s="20" t="n">
        <v>44</v>
      </c>
      <c r="J611" s="16" t="inlineStr">
        <is>
          <t>red</t>
        </is>
      </c>
      <c r="K611" s="20" t="n">
        <v>51</v>
      </c>
      <c r="L611" s="18" t="n">
        <v>51.51</v>
      </c>
      <c r="M611" s="18" t="n">
        <v>62.98</v>
      </c>
      <c r="N611" s="18" t="n">
        <v>63.92</v>
      </c>
      <c r="O611" s="18" t="n">
        <v>63.2</v>
      </c>
      <c r="P611" s="18" t="n">
        <v>76.03</v>
      </c>
      <c r="Q611" s="18" t="n">
        <v>52.1</v>
      </c>
      <c r="R611" s="21">
        <f>IF(OR(G611="",P611=""),"",G611/P611-1)</f>
        <v/>
      </c>
      <c r="S611" s="19" t="n">
        <v>2.8197</v>
      </c>
      <c r="T611" s="22" t="n">
        <v>-0.0049</v>
      </c>
      <c r="U611" s="16" t="inlineStr">
        <is>
          <t>No</t>
        </is>
      </c>
      <c r="V611" s="16" t="inlineStr">
        <is>
          <t>Yes</t>
        </is>
      </c>
      <c r="W611" s="16" t="inlineStr">
        <is>
          <t>Yes</t>
        </is>
      </c>
      <c r="X611" s="16" t="inlineStr">
        <is>
          <t>Yes</t>
        </is>
      </c>
      <c r="Y611" s="20" t="n">
        <v>64</v>
      </c>
      <c r="Z611" s="19" t="n">
        <v>0.0115</v>
      </c>
      <c r="AA611" s="18" t="n">
        <v>39.97</v>
      </c>
      <c r="AB611" s="16" t="inlineStr">
        <is>
          <t>Weak</t>
        </is>
      </c>
      <c r="AC611" s="16" t="inlineStr">
        <is>
          <t>No</t>
        </is>
      </c>
      <c r="AD611" s="19" t="n">
        <v>0.1183</v>
      </c>
      <c r="AE611" s="19" t="n">
        <v>0.1652</v>
      </c>
      <c r="AF611" s="19" t="n">
        <v>-0.8079999999999999</v>
      </c>
      <c r="AG611" s="19" t="n">
        <v>-0.4022</v>
      </c>
      <c r="AH611" s="23" t="n">
        <v>0</v>
      </c>
      <c r="AI611" s="23" t="n">
        <v>0.21</v>
      </c>
      <c r="AJ611" s="19" t="n">
        <v>0</v>
      </c>
    </row>
    <row r="612">
      <c r="A612" s="16" t="inlineStr">
        <is>
          <t>SANDUMA</t>
        </is>
      </c>
      <c r="B612" s="16" t="inlineStr">
        <is>
          <t>Sandur Manganese &amp; Iron Ores Ltd.</t>
        </is>
      </c>
      <c r="C612" s="16" t="inlineStr">
        <is>
          <t>Coal &amp; Mining</t>
        </is>
      </c>
      <c r="D612" s="16" t="inlineStr">
        <is>
          <t>Metals &amp; Mining</t>
        </is>
      </c>
      <c r="E612" s="16" t="inlineStr">
        <is>
          <t>INE149K01016</t>
        </is>
      </c>
      <c r="F612" s="17" t="n">
        <v>9616.610000000001</v>
      </c>
      <c r="G612" s="18" t="n">
        <v>197.83</v>
      </c>
      <c r="H612" s="19" t="n">
        <v>-0.0003</v>
      </c>
      <c r="I612" s="20" t="n">
        <v>40</v>
      </c>
      <c r="J612" s="16" t="inlineStr">
        <is>
          <t>red</t>
        </is>
      </c>
      <c r="K612" s="20" t="n">
        <v>26</v>
      </c>
      <c r="L612" s="18" t="n">
        <v>45.14</v>
      </c>
      <c r="M612" s="18" t="n">
        <v>202.2</v>
      </c>
      <c r="N612" s="18" t="n">
        <v>202.78</v>
      </c>
      <c r="O612" s="18" t="n">
        <v>210.3</v>
      </c>
      <c r="P612" s="18" t="n">
        <v>264.06</v>
      </c>
      <c r="Q612" s="18" t="n">
        <v>151.69</v>
      </c>
      <c r="R612" s="21">
        <f>IF(OR(G612="",P612=""),"",G612/P612-1)</f>
        <v/>
      </c>
      <c r="S612" s="19" t="n">
        <v>0.5372</v>
      </c>
      <c r="T612" s="22" t="n">
        <v>-0.0062</v>
      </c>
      <c r="U612" s="16" t="inlineStr">
        <is>
          <t>No</t>
        </is>
      </c>
      <c r="V612" s="16" t="inlineStr">
        <is>
          <t>No</t>
        </is>
      </c>
      <c r="W612" s="16" t="inlineStr">
        <is>
          <t>No</t>
        </is>
      </c>
      <c r="X612" s="16" t="inlineStr">
        <is>
          <t>No</t>
        </is>
      </c>
      <c r="Y612" s="20" t="n">
        <v>29</v>
      </c>
      <c r="Z612" s="19" t="n">
        <v>-0.0357</v>
      </c>
      <c r="AA612" s="18" t="n">
        <v>40</v>
      </c>
      <c r="AB612" s="16" t="inlineStr">
        <is>
          <t>Weak</t>
        </is>
      </c>
      <c r="AC612" s="16" t="inlineStr">
        <is>
          <t>No</t>
        </is>
      </c>
      <c r="AD612" s="19" t="n">
        <v>0.1642</v>
      </c>
      <c r="AE612" s="19" t="n">
        <v>0.1823</v>
      </c>
      <c r="AF612" s="19" t="n">
        <v>-0.0538</v>
      </c>
      <c r="AG612" s="19" t="n">
        <v>0.5713</v>
      </c>
      <c r="AH612" s="23" t="n">
        <v>0.31</v>
      </c>
      <c r="AI612" s="23" t="n">
        <v>1.66</v>
      </c>
      <c r="AJ612" s="19" t="n">
        <v>0.04940000000000001</v>
      </c>
    </row>
    <row r="613">
      <c r="A613" s="16" t="inlineStr">
        <is>
          <t>JAINREC</t>
        </is>
      </c>
      <c r="B613" s="16" t="inlineStr">
        <is>
          <t>Jain Resource Recycling Ltd.</t>
        </is>
      </c>
      <c r="C613" s="16" t="inlineStr">
        <is>
          <t>Other Non-Ferrous Metals</t>
        </is>
      </c>
      <c r="D613" s="16" t="inlineStr">
        <is>
          <t>Metals &amp; Mining</t>
        </is>
      </c>
      <c r="E613" s="16" t="inlineStr">
        <is>
          <t>INE0YD401026</t>
        </is>
      </c>
      <c r="F613" s="17" t="n">
        <v>9591.66</v>
      </c>
      <c r="G613" s="18" t="n">
        <v>277.95</v>
      </c>
      <c r="H613" s="19" t="n">
        <v>-0.0066</v>
      </c>
      <c r="I613" s="20" t="n">
        <v>4</v>
      </c>
      <c r="J613" s="16" t="inlineStr">
        <is>
          <t>red</t>
        </is>
      </c>
      <c r="K613" s="20" t="n">
        <v>79</v>
      </c>
      <c r="L613" s="18" t="n">
        <v>31.19</v>
      </c>
      <c r="M613" s="18" t="n">
        <v>282.44</v>
      </c>
      <c r="N613" s="18" t="n">
        <v>319.79</v>
      </c>
      <c r="O613" s="18" t="n">
        <v>387.25</v>
      </c>
      <c r="P613" s="18" t="n">
        <v>571.5</v>
      </c>
      <c r="Q613" s="18" t="n">
        <v>276.8</v>
      </c>
      <c r="R613" s="21">
        <f>IF(OR(G613="",P613=""),"",G613/P613-1)</f>
        <v/>
      </c>
      <c r="S613" s="19" t="n">
        <v>0.6986</v>
      </c>
      <c r="T613" s="22" t="n">
        <v>-0.0286</v>
      </c>
      <c r="U613" s="16" t="inlineStr">
        <is>
          <t>No</t>
        </is>
      </c>
      <c r="V613" s="16" t="inlineStr">
        <is>
          <t>No</t>
        </is>
      </c>
      <c r="W613" s="16" t="inlineStr">
        <is>
          <t>No</t>
        </is>
      </c>
      <c r="X613" s="16" t="inlineStr">
        <is>
          <t>No</t>
        </is>
      </c>
      <c r="Y613" s="20" t="n">
        <v>32</v>
      </c>
      <c r="Z613" s="19" t="n">
        <v>-0.1742</v>
      </c>
      <c r="AA613" s="18" t="n">
        <v>73.43000000000001</v>
      </c>
      <c r="AB613" s="16" t="inlineStr">
        <is>
          <t>High</t>
        </is>
      </c>
      <c r="AC613" s="16" t="inlineStr">
        <is>
          <t>No</t>
        </is>
      </c>
      <c r="AD613" s="19" t="n">
        <v>0.325</v>
      </c>
      <c r="AE613" s="19" t="n">
        <v>0.2127</v>
      </c>
      <c r="AF613" s="19" t="n">
        <v>0.6159</v>
      </c>
      <c r="AG613" s="19" t="n">
        <v>0.4543</v>
      </c>
      <c r="AH613" s="23" t="n">
        <v>0.82</v>
      </c>
      <c r="AI613" s="23" t="n">
        <v>50.56</v>
      </c>
      <c r="AJ613" s="19" t="n">
        <v>0.3879</v>
      </c>
    </row>
    <row r="614">
      <c r="A614" s="16" t="inlineStr">
        <is>
          <t>YATHARTH</t>
        </is>
      </c>
      <c r="B614" s="16" t="inlineStr">
        <is>
          <t>Yatharth Hospital &amp; Trauma Care Services Ltd.</t>
        </is>
      </c>
      <c r="C614" s="16" t="inlineStr">
        <is>
          <t>Healthcare Facilities</t>
        </is>
      </c>
      <c r="D614" s="16" t="inlineStr">
        <is>
          <t>Healthcare</t>
        </is>
      </c>
      <c r="E614" s="16" t="inlineStr">
        <is>
          <t>INE0JO301016</t>
        </is>
      </c>
      <c r="F614" s="17" t="n">
        <v>9549.68</v>
      </c>
      <c r="G614" s="18" t="n">
        <v>991.1</v>
      </c>
      <c r="H614" s="19" t="n">
        <v>0.0299</v>
      </c>
      <c r="I614" s="20" t="n">
        <v>78</v>
      </c>
      <c r="J614" s="16" t="inlineStr">
        <is>
          <t>amber</t>
        </is>
      </c>
      <c r="K614" s="20" t="n">
        <v>12</v>
      </c>
      <c r="L614" s="18" t="n">
        <v>79.53</v>
      </c>
      <c r="M614" s="18" t="n">
        <v>975.29</v>
      </c>
      <c r="N614" s="18" t="n">
        <v>870.01</v>
      </c>
      <c r="O614" s="18" t="n">
        <v>759.02</v>
      </c>
      <c r="P614" s="18" t="n">
        <v>1001.9</v>
      </c>
      <c r="Q614" s="18" t="n">
        <v>550.47</v>
      </c>
      <c r="R614" s="21">
        <f>IF(OR(G614="",P614=""),"",G614/P614-1)</f>
        <v/>
      </c>
      <c r="S614" s="19" t="n">
        <v>0.7479</v>
      </c>
      <c r="T614" s="22" t="n">
        <v>0.0162</v>
      </c>
      <c r="U614" s="16" t="inlineStr">
        <is>
          <t>Yes</t>
        </is>
      </c>
      <c r="V614" s="16" t="inlineStr">
        <is>
          <t>Yes</t>
        </is>
      </c>
      <c r="W614" s="16" t="inlineStr">
        <is>
          <t>Yes</t>
        </is>
      </c>
      <c r="X614" s="16" t="inlineStr">
        <is>
          <t>Yes</t>
        </is>
      </c>
      <c r="Y614" s="20" t="n">
        <v>86</v>
      </c>
      <c r="Z614" s="19" t="n">
        <v>0.1462</v>
      </c>
      <c r="AA614" s="18" t="n">
        <v>40</v>
      </c>
      <c r="AB614" s="16" t="inlineStr">
        <is>
          <t>Weak</t>
        </is>
      </c>
      <c r="AC614" s="16" t="inlineStr">
        <is>
          <t>No</t>
        </is>
      </c>
      <c r="AD614" s="19" t="n">
        <v>0.1036</v>
      </c>
      <c r="AE614" s="19" t="n">
        <v>0.1323</v>
      </c>
      <c r="AF614" s="19" t="n">
        <v>-0.0314</v>
      </c>
      <c r="AG614" s="19" t="n">
        <v>0.3242</v>
      </c>
      <c r="AH614" s="23" t="n">
        <v>0.15</v>
      </c>
      <c r="AI614" s="23" t="n">
        <v>1.15</v>
      </c>
      <c r="AJ614" s="19" t="n">
        <v>0.0977</v>
      </c>
    </row>
    <row r="615">
      <c r="A615" s="16" t="inlineStr">
        <is>
          <t>SAREGAMA</t>
        </is>
      </c>
      <c r="B615" s="16" t="inlineStr">
        <is>
          <t>Saregama India Ltd.</t>
        </is>
      </c>
      <c r="C615" s="16" t="inlineStr">
        <is>
          <t>Movies &amp; Entertainment</t>
        </is>
      </c>
      <c r="D615" s="16" t="inlineStr">
        <is>
          <t>Media</t>
        </is>
      </c>
      <c r="E615" s="16" t="inlineStr">
        <is>
          <t>INE979A01025</t>
        </is>
      </c>
      <c r="F615" s="17" t="n">
        <v>9500.690000000001</v>
      </c>
      <c r="G615" s="18" t="n">
        <v>492.75</v>
      </c>
      <c r="H615" s="19" t="n">
        <v>-0.0018</v>
      </c>
      <c r="I615" s="20" t="n">
        <v>68</v>
      </c>
      <c r="J615" s="16" t="inlineStr">
        <is>
          <t>amber</t>
        </is>
      </c>
      <c r="K615" s="20" t="n">
        <v>18</v>
      </c>
      <c r="L615" s="18" t="n">
        <v>38.39</v>
      </c>
      <c r="M615" s="18" t="n">
        <v>489.4</v>
      </c>
      <c r="N615" s="18" t="n">
        <v>503.77</v>
      </c>
      <c r="O615" s="18" t="n">
        <v>401.27</v>
      </c>
      <c r="P615" s="18" t="n">
        <v>557.25</v>
      </c>
      <c r="Q615" s="18" t="n">
        <v>311.1</v>
      </c>
      <c r="R615" s="21">
        <f>IF(OR(G615="",P615=""),"",G615/P615-1)</f>
        <v/>
      </c>
      <c r="S615" s="19" t="n">
        <v>0.4626</v>
      </c>
      <c r="T615" s="22" t="n">
        <v>0.0195</v>
      </c>
      <c r="U615" s="16" t="inlineStr">
        <is>
          <t>Yes</t>
        </is>
      </c>
      <c r="V615" s="16" t="inlineStr">
        <is>
          <t>No</t>
        </is>
      </c>
      <c r="W615" s="16" t="inlineStr">
        <is>
          <t>Yes</t>
        </is>
      </c>
      <c r="X615" s="16" t="inlineStr">
        <is>
          <t>Yes</t>
        </is>
      </c>
      <c r="Y615" s="20" t="n">
        <v>57</v>
      </c>
      <c r="Z615" s="19" t="n">
        <v>0.2554</v>
      </c>
      <c r="AA615" s="18" t="n">
        <v>56.9</v>
      </c>
      <c r="AB615" s="16" t="inlineStr">
        <is>
          <t>Good</t>
        </is>
      </c>
      <c r="AC615" s="16" t="inlineStr">
        <is>
          <t>No</t>
        </is>
      </c>
      <c r="AD615" s="19" t="n">
        <v>0.1286</v>
      </c>
      <c r="AE615" s="19" t="n">
        <v>0.1757</v>
      </c>
      <c r="AF615" s="19" t="n">
        <v>0.03700000000000001</v>
      </c>
      <c r="AG615" s="19" t="n">
        <v>0.1531</v>
      </c>
      <c r="AH615" s="23" t="n">
        <v>0.04</v>
      </c>
      <c r="AI615" s="23" t="n">
        <v>4.4</v>
      </c>
      <c r="AJ615" s="19" t="n">
        <v>0</v>
      </c>
    </row>
    <row r="616">
      <c r="A616" s="16" t="inlineStr">
        <is>
          <t>LOTUSDEV</t>
        </is>
      </c>
      <c r="B616" s="16" t="inlineStr">
        <is>
          <t>Sri Lotus Developers and Realty Ltd.</t>
        </is>
      </c>
      <c r="C616" s="16" t="inlineStr">
        <is>
          <t>Realty</t>
        </is>
      </c>
      <c r="D616" s="16" t="inlineStr">
        <is>
          <t>Realty</t>
        </is>
      </c>
      <c r="E616" s="16" t="inlineStr">
        <is>
          <t>INE0V9Q01010</t>
        </is>
      </c>
      <c r="F616" s="17" t="n">
        <v>9444.59</v>
      </c>
      <c r="G616" s="18" t="n">
        <v>193.25</v>
      </c>
      <c r="H616" s="19" t="n">
        <v>0.0466</v>
      </c>
      <c r="I616" s="20" t="n">
        <v>78</v>
      </c>
      <c r="J616" s="16" t="inlineStr">
        <is>
          <t>amber</t>
        </is>
      </c>
      <c r="K616" s="20" t="n">
        <v>10</v>
      </c>
      <c r="L616" s="18" t="n">
        <v>69.66</v>
      </c>
      <c r="M616" s="18" t="n">
        <v>184.21</v>
      </c>
      <c r="N616" s="18" t="n">
        <v>168.77</v>
      </c>
      <c r="O616" s="18" t="n">
        <v>150.15</v>
      </c>
      <c r="P616" s="18" t="n">
        <v>200.12</v>
      </c>
      <c r="Q616" s="18" t="n">
        <v>102.84</v>
      </c>
      <c r="R616" s="21">
        <f>IF(OR(G616="",P616=""),"",G616/P616-1)</f>
        <v/>
      </c>
      <c r="S616" s="19" t="n">
        <v>0.6272</v>
      </c>
      <c r="T616" s="22" t="n">
        <v>-0.001</v>
      </c>
      <c r="U616" s="16" t="inlineStr">
        <is>
          <t>No</t>
        </is>
      </c>
      <c r="V616" s="16" t="inlineStr">
        <is>
          <t>Yes</t>
        </is>
      </c>
      <c r="W616" s="16" t="inlineStr">
        <is>
          <t>Yes</t>
        </is>
      </c>
      <c r="X616" s="16" t="inlineStr">
        <is>
          <t>Yes</t>
        </is>
      </c>
      <c r="Y616" s="20" t="n">
        <v>24</v>
      </c>
      <c r="Z616" s="19" t="n">
        <v>0.124</v>
      </c>
      <c r="AA616" s="18" t="n">
        <v>84.2</v>
      </c>
      <c r="AB616" s="16" t="inlineStr">
        <is>
          <t>High</t>
        </is>
      </c>
      <c r="AC616" s="16" t="inlineStr">
        <is>
          <t>No</t>
        </is>
      </c>
      <c r="AD616" s="19" t="n">
        <v>0.3583</v>
      </c>
      <c r="AE616" s="19" t="n">
        <v>0.2407</v>
      </c>
      <c r="AF616" s="19" t="n">
        <v>2.0346</v>
      </c>
      <c r="AG616" s="19" t="n">
        <v>0.7853</v>
      </c>
      <c r="AH616" s="23" t="n">
        <v>0.07000000000000001</v>
      </c>
      <c r="AI616" s="23" t="n">
        <v>400.49</v>
      </c>
      <c r="AJ616" s="19" t="n">
        <v>0</v>
      </c>
    </row>
    <row r="617">
      <c r="A617" s="16" t="inlineStr">
        <is>
          <t>FIRSTCRY</t>
        </is>
      </c>
      <c r="B617" s="16" t="inlineStr">
        <is>
          <t>Brainbees Solutions Ltd.</t>
        </is>
      </c>
      <c r="C617" s="16" t="inlineStr">
        <is>
          <t>Internet &amp; Catalogue Retail</t>
        </is>
      </c>
      <c r="D617" s="16" t="inlineStr">
        <is>
          <t>Retailing</t>
        </is>
      </c>
      <c r="E617" s="16" t="inlineStr">
        <is>
          <t>INE02RE01045</t>
        </is>
      </c>
      <c r="F617" s="17" t="n">
        <v>9405.940000000001</v>
      </c>
      <c r="G617" s="18" t="n">
        <v>180.16</v>
      </c>
      <c r="H617" s="19" t="n">
        <v>0.0083</v>
      </c>
      <c r="I617" s="20" t="n">
        <v>4</v>
      </c>
      <c r="J617" s="16" t="inlineStr">
        <is>
          <t>red</t>
        </is>
      </c>
      <c r="K617" s="20" t="n">
        <v>453</v>
      </c>
      <c r="L617" s="18" t="n">
        <v>20.12</v>
      </c>
      <c r="M617" s="18" t="n">
        <v>181.93</v>
      </c>
      <c r="N617" s="18" t="n">
        <v>206.49</v>
      </c>
      <c r="O617" s="18" t="n">
        <v>239.7</v>
      </c>
      <c r="P617" s="18" t="n">
        <v>409.35</v>
      </c>
      <c r="Q617" s="18" t="n">
        <v>170.82</v>
      </c>
      <c r="R617" s="21">
        <f>IF(OR(G617="",P617=""),"",G617/P617-1)</f>
        <v/>
      </c>
      <c r="S617" s="19" t="n">
        <v>1.0082</v>
      </c>
      <c r="T617" s="22" t="n">
        <v>-0.05860000000000001</v>
      </c>
      <c r="U617" s="16" t="inlineStr">
        <is>
          <t>No</t>
        </is>
      </c>
      <c r="V617" s="16" t="inlineStr">
        <is>
          <t>No</t>
        </is>
      </c>
      <c r="W617" s="16" t="inlineStr">
        <is>
          <t>No</t>
        </is>
      </c>
      <c r="X617" s="16" t="inlineStr">
        <is>
          <t>No</t>
        </is>
      </c>
      <c r="Y617" s="20" t="n">
        <v>317</v>
      </c>
      <c r="Z617" s="19" t="n">
        <v>-0.1385</v>
      </c>
      <c r="AA617" s="18" t="n">
        <v>37.4</v>
      </c>
      <c r="AB617" s="16" t="inlineStr">
        <is>
          <t>Weak</t>
        </is>
      </c>
      <c r="AC617" s="16" t="inlineStr">
        <is>
          <t>No</t>
        </is>
      </c>
      <c r="AD617" s="19" t="n">
        <v>-0.052</v>
      </c>
      <c r="AE617" s="19" t="n">
        <v>-0.0198</v>
      </c>
      <c r="AF617" s="19" t="n">
        <v>0.3007</v>
      </c>
      <c r="AG617" s="19" t="n">
        <v>0.1763</v>
      </c>
      <c r="AH617" s="23" t="n">
        <v>0.33</v>
      </c>
      <c r="AI617" s="23" t="n">
        <v>4.92</v>
      </c>
      <c r="AJ617" s="19" t="n">
        <v>0.0117</v>
      </c>
    </row>
    <row r="618">
      <c r="A618" s="16" t="inlineStr">
        <is>
          <t>NCC</t>
        </is>
      </c>
      <c r="B618" s="16" t="inlineStr">
        <is>
          <t>NCC Ltd.</t>
        </is>
      </c>
      <c r="C618" s="16" t="inlineStr">
        <is>
          <t>Construction &amp; Engineering</t>
        </is>
      </c>
      <c r="D618" s="16" t="inlineStr">
        <is>
          <t>Cement and Construction</t>
        </is>
      </c>
      <c r="E618" s="16" t="inlineStr">
        <is>
          <t>INE868B01028</t>
        </is>
      </c>
      <c r="F618" s="17" t="n">
        <v>9398.860000000001</v>
      </c>
      <c r="G618" s="18" t="n">
        <v>149.7</v>
      </c>
      <c r="H618" s="19" t="n">
        <v>0.0167</v>
      </c>
      <c r="I618" s="20" t="n">
        <v>32</v>
      </c>
      <c r="J618" s="16" t="inlineStr">
        <is>
          <t>red</t>
        </is>
      </c>
      <c r="K618" s="20" t="n">
        <v>427</v>
      </c>
      <c r="L618" s="18" t="n">
        <v>65.11</v>
      </c>
      <c r="M618" s="18" t="n">
        <v>147.52</v>
      </c>
      <c r="N618" s="18" t="n">
        <v>142.67</v>
      </c>
      <c r="O618" s="18" t="n">
        <v>149.51</v>
      </c>
      <c r="P618" s="18" t="n">
        <v>213.69</v>
      </c>
      <c r="Q618" s="18" t="n">
        <v>128.95</v>
      </c>
      <c r="R618" s="21">
        <f>IF(OR(G618="",P618=""),"",G618/P618-1)</f>
        <v/>
      </c>
      <c r="S618" s="19" t="n">
        <v>0.8769</v>
      </c>
      <c r="T618" s="22" t="n">
        <v>-0.0331</v>
      </c>
      <c r="U618" s="16" t="inlineStr">
        <is>
          <t>No</t>
        </is>
      </c>
      <c r="V618" s="16" t="inlineStr">
        <is>
          <t>Yes</t>
        </is>
      </c>
      <c r="W618" s="16" t="inlineStr">
        <is>
          <t>Yes</t>
        </is>
      </c>
      <c r="X618" s="16" t="inlineStr">
        <is>
          <t>No</t>
        </is>
      </c>
      <c r="Y618" s="20" t="n">
        <v>417</v>
      </c>
      <c r="Z618" s="19" t="n">
        <v>-0.0457</v>
      </c>
      <c r="AA618" s="18" t="n">
        <v>51.49</v>
      </c>
      <c r="AB618" s="16" t="inlineStr">
        <is>
          <t>Average</t>
        </is>
      </c>
      <c r="AC618" s="16" t="inlineStr">
        <is>
          <t>No</t>
        </is>
      </c>
      <c r="AD618" s="19" t="n">
        <v>0.1016</v>
      </c>
      <c r="AE618" s="19" t="n">
        <v>0.1677</v>
      </c>
      <c r="AF618" s="19" t="n">
        <v>0.0454</v>
      </c>
      <c r="AG618" s="19" t="n">
        <v>0.1173</v>
      </c>
      <c r="AH618" s="23" t="n">
        <v>0.43</v>
      </c>
      <c r="AI618" s="23" t="n">
        <v>9.84</v>
      </c>
      <c r="AJ618" s="19" t="n">
        <v>0.8908</v>
      </c>
    </row>
    <row r="619">
      <c r="A619" s="16" t="inlineStr">
        <is>
          <t>PGHL</t>
        </is>
      </c>
      <c r="B619" s="16" t="inlineStr">
        <is>
          <t>Procter &amp; Gamble Health Ltd.</t>
        </is>
      </c>
      <c r="C619" s="16" t="inlineStr">
        <is>
          <t>Pharmaceuticals</t>
        </is>
      </c>
      <c r="D619" s="16" t="inlineStr">
        <is>
          <t>Pharmaceuticals &amp; Biotechnology</t>
        </is>
      </c>
      <c r="E619" s="16" t="inlineStr">
        <is>
          <t>INE199A01012</t>
        </is>
      </c>
      <c r="F619" s="17" t="n">
        <v>9395.26</v>
      </c>
      <c r="G619" s="18" t="n">
        <v>5660</v>
      </c>
      <c r="H619" s="19" t="n">
        <v>-0.0169</v>
      </c>
      <c r="I619" s="20" t="n">
        <v>37</v>
      </c>
      <c r="J619" s="16" t="inlineStr">
        <is>
          <t>red</t>
        </is>
      </c>
      <c r="K619" s="20" t="n">
        <v>20</v>
      </c>
      <c r="L619" s="18" t="n">
        <v>40.85</v>
      </c>
      <c r="M619" s="18" t="n">
        <v>5718.13</v>
      </c>
      <c r="N619" s="18" t="n">
        <v>6224.76</v>
      </c>
      <c r="O619" s="18" t="n">
        <v>5563.84</v>
      </c>
      <c r="P619" s="18" t="n">
        <v>6864.51</v>
      </c>
      <c r="Q619" s="18" t="n">
        <v>4741.31</v>
      </c>
      <c r="R619" s="21">
        <f>IF(OR(G619="",P619=""),"",G619/P619-1)</f>
        <v/>
      </c>
      <c r="S619" s="19" t="n">
        <v>0.4539</v>
      </c>
      <c r="T619" s="22" t="n">
        <v>-0.0007000000000000001</v>
      </c>
      <c r="U619" s="16" t="inlineStr">
        <is>
          <t>No</t>
        </is>
      </c>
      <c r="V619" s="16" t="inlineStr">
        <is>
          <t>No</t>
        </is>
      </c>
      <c r="W619" s="16" t="inlineStr">
        <is>
          <t>No</t>
        </is>
      </c>
      <c r="X619" s="16" t="inlineStr">
        <is>
          <t>Yes</t>
        </is>
      </c>
      <c r="Y619" s="20" t="n">
        <v>56</v>
      </c>
      <c r="Z619" s="19" t="n">
        <v>0.1188</v>
      </c>
      <c r="AA619" s="18" t="n">
        <v>40</v>
      </c>
      <c r="AB619" s="16" t="inlineStr">
        <is>
          <t>Weak</t>
        </is>
      </c>
      <c r="AC619" s="16" t="inlineStr">
        <is>
          <t>No</t>
        </is>
      </c>
      <c r="AD619" s="19" t="n">
        <v>0.4341</v>
      </c>
      <c r="AE619" s="19" t="n">
        <v>0.5856</v>
      </c>
      <c r="AF619" s="19" t="n">
        <v>-0.5616</v>
      </c>
      <c r="AG619" s="19" t="n">
        <v>0.0916</v>
      </c>
      <c r="AH619" s="23" t="n">
        <v>0.02</v>
      </c>
      <c r="AI619" s="23" t="n">
        <v>12.48</v>
      </c>
      <c r="AJ619" s="19" t="n">
        <v>0.1204</v>
      </c>
    </row>
    <row r="620">
      <c r="A620" s="16" t="inlineStr">
        <is>
          <t>JLHL</t>
        </is>
      </c>
      <c r="B620" s="16" t="inlineStr">
        <is>
          <t>Jupiter Life Line Hospitals Ltd.</t>
        </is>
      </c>
      <c r="C620" s="16" t="inlineStr">
        <is>
          <t>Healthcare Facilities</t>
        </is>
      </c>
      <c r="D620" s="16" t="inlineStr">
        <is>
          <t>Healthcare</t>
        </is>
      </c>
      <c r="E620" s="16" t="inlineStr">
        <is>
          <t>INE682M01020</t>
        </is>
      </c>
      <c r="F620" s="17" t="n">
        <v>9390.690000000001</v>
      </c>
      <c r="G620" s="18" t="n">
        <v>286.45</v>
      </c>
      <c r="H620" s="19" t="n">
        <v>-0.0133</v>
      </c>
      <c r="I620" s="20" t="n">
        <v>48</v>
      </c>
      <c r="J620" s="16" t="inlineStr">
        <is>
          <t>red</t>
        </is>
      </c>
      <c r="K620" s="20" t="n">
        <v>6</v>
      </c>
      <c r="L620" s="18" t="n">
        <v>26.97</v>
      </c>
      <c r="M620" s="18" t="n">
        <v>295.09</v>
      </c>
      <c r="N620" s="18" t="n">
        <v>306.89</v>
      </c>
      <c r="O620" s="18" t="n">
        <v>274.23</v>
      </c>
      <c r="P620" s="18" t="n">
        <v>332.4</v>
      </c>
      <c r="Q620" s="18" t="n">
        <v>239.8</v>
      </c>
      <c r="R620" s="21">
        <f>IF(OR(G620="",P620=""),"",G620/P620-1)</f>
        <v/>
      </c>
      <c r="S620" s="19" t="n">
        <v>0.4993</v>
      </c>
      <c r="T620" s="22" t="n">
        <v>0.0007000000000000001</v>
      </c>
      <c r="U620" s="16" t="inlineStr">
        <is>
          <t>Yes</t>
        </is>
      </c>
      <c r="V620" s="16" t="inlineStr">
        <is>
          <t>No</t>
        </is>
      </c>
      <c r="W620" s="16" t="inlineStr">
        <is>
          <t>No</t>
        </is>
      </c>
      <c r="X620" s="16" t="inlineStr">
        <is>
          <t>Yes</t>
        </is>
      </c>
      <c r="Y620" s="20" t="n">
        <v>36</v>
      </c>
      <c r="Z620" s="19" t="n">
        <v>0.1191</v>
      </c>
      <c r="AA620" s="18" t="n">
        <v>55.49</v>
      </c>
      <c r="AB620" s="16" t="inlineStr">
        <is>
          <t>Good</t>
        </is>
      </c>
      <c r="AC620" s="16" t="inlineStr">
        <is>
          <t>No</t>
        </is>
      </c>
      <c r="AD620" s="19" t="n">
        <v>0.1397</v>
      </c>
      <c r="AE620" s="19" t="n">
        <v>0.1576</v>
      </c>
      <c r="AF620" s="19" t="n">
        <v>0.5344</v>
      </c>
      <c r="AG620" s="19" t="n">
        <v>0.1888</v>
      </c>
      <c r="AH620" s="23" t="n">
        <v>0.38</v>
      </c>
      <c r="AI620" s="23" t="n">
        <v>0.92</v>
      </c>
      <c r="AJ620" s="19" t="n">
        <v>0.1531</v>
      </c>
    </row>
    <row r="621">
      <c r="A621" s="16" t="inlineStr">
        <is>
          <t>ESABINDIA</t>
        </is>
      </c>
      <c r="B621" s="16" t="inlineStr">
        <is>
          <t>Esab India Ltd.</t>
        </is>
      </c>
      <c r="C621" s="16" t="inlineStr">
        <is>
          <t>Other Industrial Goods</t>
        </is>
      </c>
      <c r="D621" s="16" t="inlineStr">
        <is>
          <t>General Industrials</t>
        </is>
      </c>
      <c r="E621" s="16" t="inlineStr">
        <is>
          <t>INE284A01012</t>
        </is>
      </c>
      <c r="F621" s="17" t="n">
        <v>9339.700000000001</v>
      </c>
      <c r="G621" s="18" t="n">
        <v>6067.5</v>
      </c>
      <c r="H621" s="19" t="n">
        <v>-0.0016</v>
      </c>
      <c r="I621" s="20" t="n">
        <v>56</v>
      </c>
      <c r="J621" s="16" t="inlineStr">
        <is>
          <t>red</t>
        </is>
      </c>
      <c r="K621" s="20" t="n">
        <v>34</v>
      </c>
      <c r="L621" s="18" t="n">
        <v>36.34</v>
      </c>
      <c r="M621" s="18" t="n">
        <v>6108.13</v>
      </c>
      <c r="N621" s="18" t="n">
        <v>5849.02</v>
      </c>
      <c r="O621" s="18" t="n">
        <v>5820.42</v>
      </c>
      <c r="P621" s="18" t="n">
        <v>7119.61</v>
      </c>
      <c r="Q621" s="18" t="n">
        <v>4697.86</v>
      </c>
      <c r="R621" s="21">
        <f>IF(OR(G621="",P621=""),"",G621/P621-1)</f>
        <v/>
      </c>
      <c r="S621" s="19" t="n">
        <v>0.3704</v>
      </c>
      <c r="T621" s="22" t="n">
        <v>0.0202</v>
      </c>
      <c r="U621" s="16" t="inlineStr">
        <is>
          <t>Yes</t>
        </is>
      </c>
      <c r="V621" s="16" t="inlineStr">
        <is>
          <t>Yes</t>
        </is>
      </c>
      <c r="W621" s="16" t="inlineStr">
        <is>
          <t>No</t>
        </is>
      </c>
      <c r="X621" s="16" t="inlineStr">
        <is>
          <t>Yes</t>
        </is>
      </c>
      <c r="Y621" s="20" t="n">
        <v>12</v>
      </c>
      <c r="Z621" s="19" t="n">
        <v>0.0049</v>
      </c>
      <c r="AA621" s="18" t="n">
        <v>40</v>
      </c>
      <c r="AB621" s="16" t="inlineStr">
        <is>
          <t>Weak</t>
        </is>
      </c>
      <c r="AC621" s="16" t="inlineStr">
        <is>
          <t>No</t>
        </is>
      </c>
      <c r="AD621" s="19" t="n">
        <v>0.4998</v>
      </c>
      <c r="AE621" s="19" t="n">
        <v>0.6677</v>
      </c>
      <c r="AF621" s="19" t="n">
        <v>-0.2408</v>
      </c>
      <c r="AG621" s="19" t="n">
        <v>0.1145</v>
      </c>
      <c r="AH621" s="23" t="n">
        <v>0.01</v>
      </c>
      <c r="AI621" s="23" t="n">
        <v>9.869999999999999</v>
      </c>
      <c r="AJ621" s="19" t="n">
        <v>0.0371</v>
      </c>
    </row>
    <row r="622">
      <c r="A622" s="16" t="inlineStr">
        <is>
          <t>PRICOLLTD</t>
        </is>
      </c>
      <c r="B622" s="16" t="inlineStr">
        <is>
          <t>Pricol Ltd.</t>
        </is>
      </c>
      <c r="C622" s="16" t="inlineStr">
        <is>
          <t>Auto Parts &amp; Equipment</t>
        </is>
      </c>
      <c r="D622" s="16" t="inlineStr">
        <is>
          <t>Automobiles &amp; Auto Components</t>
        </is>
      </c>
      <c r="E622" s="16" t="inlineStr">
        <is>
          <t>INE726V01018</t>
        </is>
      </c>
      <c r="F622" s="17" t="n">
        <v>9323.33</v>
      </c>
      <c r="G622" s="18" t="n">
        <v>764.95</v>
      </c>
      <c r="H622" s="19" t="n">
        <v>-0.004500000000000001</v>
      </c>
      <c r="I622" s="20" t="n">
        <v>81</v>
      </c>
      <c r="J622" s="16" t="inlineStr">
        <is>
          <t>green</t>
        </is>
      </c>
      <c r="K622" s="20" t="n">
        <v>26</v>
      </c>
      <c r="L622" s="18" t="n">
        <v>32.25</v>
      </c>
      <c r="M622" s="18" t="n">
        <v>778.6799999999999</v>
      </c>
      <c r="N622" s="18" t="n">
        <v>701.87</v>
      </c>
      <c r="O622" s="18" t="n">
        <v>617.97</v>
      </c>
      <c r="P622" s="18" t="n">
        <v>806.55</v>
      </c>
      <c r="Q622" s="18" t="n">
        <v>488.09</v>
      </c>
      <c r="R622" s="21">
        <f>IF(OR(G622="",P622=""),"",G622/P622-1)</f>
        <v/>
      </c>
      <c r="S622" s="19" t="n">
        <v>0.387</v>
      </c>
      <c r="T622" s="22" t="n">
        <v>0.0378</v>
      </c>
      <c r="U622" s="16" t="inlineStr">
        <is>
          <t>Yes</t>
        </is>
      </c>
      <c r="V622" s="16" t="inlineStr">
        <is>
          <t>Yes</t>
        </is>
      </c>
      <c r="W622" s="16" t="inlineStr">
        <is>
          <t>No</t>
        </is>
      </c>
      <c r="X622" s="16" t="inlineStr">
        <is>
          <t>Yes</t>
        </is>
      </c>
      <c r="Y622" s="20" t="n">
        <v>29</v>
      </c>
      <c r="Z622" s="19" t="n">
        <v>0.1358</v>
      </c>
      <c r="AA622" s="18" t="n">
        <v>66.44</v>
      </c>
      <c r="AB622" s="16" t="inlineStr">
        <is>
          <t>High</t>
        </is>
      </c>
      <c r="AC622" s="16" t="inlineStr">
        <is>
          <t>No</t>
        </is>
      </c>
      <c r="AD622" s="19" t="n">
        <v>0.1769</v>
      </c>
      <c r="AE622" s="19" t="n">
        <v>0.2104</v>
      </c>
      <c r="AF622" s="19" t="n">
        <v>0.2722</v>
      </c>
      <c r="AG622" s="19" t="n">
        <v>0.2866</v>
      </c>
      <c r="AH622" s="23" t="n">
        <v>0.3</v>
      </c>
      <c r="AI622" s="23" t="n">
        <v>3.77</v>
      </c>
      <c r="AJ622" s="19" t="n">
        <v>0.1125</v>
      </c>
    </row>
    <row r="623">
      <c r="A623" s="16" t="inlineStr">
        <is>
          <t>TIMETECHNO</t>
        </is>
      </c>
      <c r="B623" s="16" t="inlineStr">
        <is>
          <t>Time Technoplast Ltd.</t>
        </is>
      </c>
      <c r="C623" s="16" t="inlineStr">
        <is>
          <t>Plastic Products</t>
        </is>
      </c>
      <c r="D623" s="16" t="inlineStr">
        <is>
          <t>General Industrials</t>
        </is>
      </c>
      <c r="E623" s="16" t="inlineStr">
        <is>
          <t>INE508G01029</t>
        </is>
      </c>
      <c r="F623" s="17" t="n">
        <v>9304.530000000001</v>
      </c>
      <c r="G623" s="18" t="n">
        <v>188.49</v>
      </c>
      <c r="H623" s="19" t="n">
        <v>-0.0046</v>
      </c>
      <c r="I623" s="20" t="n">
        <v>41</v>
      </c>
      <c r="J623" s="16" t="inlineStr">
        <is>
          <t>red</t>
        </is>
      </c>
      <c r="K623" s="20" t="n">
        <v>99</v>
      </c>
      <c r="L623" s="18" t="n">
        <v>47.93</v>
      </c>
      <c r="M623" s="18" t="n">
        <v>187.61</v>
      </c>
      <c r="N623" s="18" t="n">
        <v>194.17</v>
      </c>
      <c r="O623" s="18" t="n">
        <v>184.97</v>
      </c>
      <c r="P623" s="18" t="n">
        <v>242.95</v>
      </c>
      <c r="Q623" s="18" t="n">
        <v>155.27</v>
      </c>
      <c r="R623" s="21">
        <f>IF(OR(G623="",P623=""),"",G623/P623-1)</f>
        <v/>
      </c>
      <c r="S623" s="19" t="n">
        <v>0.4042</v>
      </c>
      <c r="T623" s="22" t="n">
        <v>-0.01</v>
      </c>
      <c r="U623" s="16" t="inlineStr">
        <is>
          <t>No</t>
        </is>
      </c>
      <c r="V623" s="16" t="inlineStr">
        <is>
          <t>No</t>
        </is>
      </c>
      <c r="W623" s="16" t="inlineStr">
        <is>
          <t>Yes</t>
        </is>
      </c>
      <c r="X623" s="16" t="inlineStr">
        <is>
          <t>Yes</t>
        </is>
      </c>
      <c r="Y623" s="20" t="n">
        <v>21</v>
      </c>
      <c r="Z623" s="19" t="n">
        <v>0.04969999999999999</v>
      </c>
      <c r="AA623" s="18" t="n">
        <v>57.5</v>
      </c>
      <c r="AB623" s="16" t="inlineStr">
        <is>
          <t>Good</t>
        </is>
      </c>
      <c r="AC623" s="16" t="inlineStr">
        <is>
          <t>No</t>
        </is>
      </c>
      <c r="AD623" s="19" t="n">
        <v>0.1234</v>
      </c>
      <c r="AE623" s="19" t="n">
        <v>0.1577</v>
      </c>
      <c r="AF623" s="19" t="n">
        <v>0.2792</v>
      </c>
      <c r="AG623" s="19" t="n">
        <v>0.1252</v>
      </c>
      <c r="AH623" s="23" t="n">
        <v>0.18</v>
      </c>
      <c r="AI623" s="23" t="n">
        <v>3.67</v>
      </c>
      <c r="AJ623" s="19" t="n">
        <v>0.138</v>
      </c>
    </row>
    <row r="624">
      <c r="A624" s="16" t="inlineStr">
        <is>
          <t>WEWORK</t>
        </is>
      </c>
      <c r="B624" s="16" t="inlineStr">
        <is>
          <t>WeWork India Management Ltd.</t>
        </is>
      </c>
      <c r="C624" s="16" t="inlineStr">
        <is>
          <t>Special Consumer Services</t>
        </is>
      </c>
      <c r="D624" s="16" t="inlineStr">
        <is>
          <t>Diversified Consumer Services</t>
        </is>
      </c>
      <c r="E624" s="16" t="inlineStr">
        <is>
          <t>INE085001019</t>
        </is>
      </c>
      <c r="F624" s="17" t="n">
        <v>9243.280000000001</v>
      </c>
      <c r="G624" s="18" t="n">
        <v>666.95</v>
      </c>
      <c r="H624" s="19" t="n">
        <v>0.0187</v>
      </c>
      <c r="I624" s="20" t="n">
        <v>62</v>
      </c>
      <c r="J624" s="16" t="inlineStr">
        <is>
          <t>amber</t>
        </is>
      </c>
      <c r="K624" s="20" t="n">
        <v>1</v>
      </c>
      <c r="L624" s="18" t="n">
        <v>31.47</v>
      </c>
      <c r="M624" s="18" t="n">
        <v>673.54</v>
      </c>
      <c r="N624" s="18" t="n">
        <v>708.02</v>
      </c>
      <c r="O624" s="18" t="n">
        <v>597.1799999999999</v>
      </c>
      <c r="P624" s="18" t="n">
        <v>755.4</v>
      </c>
      <c r="Q624" s="18" t="n">
        <v>426.5</v>
      </c>
      <c r="R624" s="21">
        <f>IF(OR(G624="",P624=""),"",G624/P624-1)</f>
        <v/>
      </c>
      <c r="S624" s="19" t="n">
        <v>1.0811</v>
      </c>
      <c r="T624" s="22" t="n">
        <v>0.009300000000000001</v>
      </c>
      <c r="U624" s="16" t="inlineStr">
        <is>
          <t>Yes</t>
        </is>
      </c>
      <c r="V624" s="16" t="inlineStr">
        <is>
          <t>No</t>
        </is>
      </c>
      <c r="W624" s="16" t="inlineStr">
        <is>
          <t>No</t>
        </is>
      </c>
      <c r="X624" s="16" t="inlineStr">
        <is>
          <t>Yes</t>
        </is>
      </c>
      <c r="Y624" s="20" t="n">
        <v>26</v>
      </c>
      <c r="Z624" s="19" t="n">
        <v>0.1856</v>
      </c>
      <c r="AA624" s="18" t="n">
        <v>12.5</v>
      </c>
      <c r="AB624" s="16" t="inlineStr">
        <is>
          <t>Poor</t>
        </is>
      </c>
      <c r="AC624" s="16" t="inlineStr">
        <is>
          <t>No</t>
        </is>
      </c>
      <c r="AD624" s="19" t="n">
        <v>0.2498</v>
      </c>
      <c r="AE624" s="19" t="n">
        <v>0.1116</v>
      </c>
      <c r="AF624" s="19" t="n"/>
      <c r="AG624" s="19" t="n"/>
      <c r="AH624" s="23" t="n">
        <v>18.63</v>
      </c>
      <c r="AI624" s="23" t="n">
        <v>0.42</v>
      </c>
      <c r="AJ624" s="19" t="n">
        <v>0.011</v>
      </c>
    </row>
    <row r="625">
      <c r="A625" s="16" t="inlineStr">
        <is>
          <t>MAHSEAMLES</t>
        </is>
      </c>
      <c r="B625" s="16" t="inlineStr">
        <is>
          <t>Maharashtra Seamless Ltd.</t>
        </is>
      </c>
      <c r="C625" s="16" t="inlineStr">
        <is>
          <t>Iron &amp; Steel/Interm.Products</t>
        </is>
      </c>
      <c r="D625" s="16" t="inlineStr">
        <is>
          <t>Metals &amp; Mining</t>
        </is>
      </c>
      <c r="E625" s="16" t="inlineStr">
        <is>
          <t>INE271B01025</t>
        </is>
      </c>
      <c r="F625" s="17" t="n">
        <v>9220.49</v>
      </c>
      <c r="G625" s="18" t="n">
        <v>688.1</v>
      </c>
      <c r="H625" s="19" t="n">
        <v>0.0529</v>
      </c>
      <c r="I625" s="20" t="n">
        <v>63</v>
      </c>
      <c r="J625" s="16" t="inlineStr">
        <is>
          <t>amber</t>
        </is>
      </c>
      <c r="K625" s="20" t="n">
        <v>1</v>
      </c>
      <c r="L625" s="18" t="n">
        <v>79.43000000000001</v>
      </c>
      <c r="M625" s="18" t="n">
        <v>652.5599999999999</v>
      </c>
      <c r="N625" s="18" t="n">
        <v>596.92</v>
      </c>
      <c r="O625" s="18" t="n">
        <v>578.9</v>
      </c>
      <c r="P625" s="18" t="n">
        <v>688.1</v>
      </c>
      <c r="Q625" s="18" t="n">
        <v>498.81</v>
      </c>
      <c r="R625" s="21">
        <f>IF(OR(G625="",P625=""),"",G625/P625-1)</f>
        <v/>
      </c>
      <c r="S625" s="19" t="n">
        <v>4.5791</v>
      </c>
      <c r="T625" s="22" t="n">
        <v>0.0118</v>
      </c>
      <c r="U625" s="16" t="inlineStr">
        <is>
          <t>Yes</t>
        </is>
      </c>
      <c r="V625" s="16" t="inlineStr">
        <is>
          <t>Yes</t>
        </is>
      </c>
      <c r="W625" s="16" t="inlineStr">
        <is>
          <t>Yes</t>
        </is>
      </c>
      <c r="X625" s="16" t="inlineStr">
        <is>
          <t>Yes</t>
        </is>
      </c>
      <c r="Y625" s="20" t="n">
        <v>87</v>
      </c>
      <c r="Z625" s="19" t="n">
        <v>0.0311</v>
      </c>
      <c r="AA625" s="18" t="n">
        <v>40</v>
      </c>
      <c r="AB625" s="16" t="inlineStr">
        <is>
          <t>Weak</t>
        </is>
      </c>
      <c r="AC625" s="16" t="inlineStr">
        <is>
          <t>No</t>
        </is>
      </c>
      <c r="AD625" s="19" t="n">
        <v>0.1302</v>
      </c>
      <c r="AE625" s="19" t="n">
        <v>0.1696</v>
      </c>
      <c r="AF625" s="19" t="n">
        <v>-0.0123</v>
      </c>
      <c r="AG625" s="19" t="n">
        <v>-0.0559</v>
      </c>
      <c r="AH625" s="23" t="n">
        <v>0</v>
      </c>
      <c r="AI625" s="23" t="n">
        <v>2.42</v>
      </c>
      <c r="AJ625" s="19" t="n">
        <v>0.0374</v>
      </c>
    </row>
    <row r="626">
      <c r="A626" s="16" t="inlineStr">
        <is>
          <t>THYROCARE</t>
        </is>
      </c>
      <c r="B626" s="16" t="inlineStr">
        <is>
          <t>Thyrocare Technologies Ltd.</t>
        </is>
      </c>
      <c r="C626" s="16" t="inlineStr">
        <is>
          <t>Healthcare Services</t>
        </is>
      </c>
      <c r="D626" s="16" t="inlineStr">
        <is>
          <t>Healthcare</t>
        </is>
      </c>
      <c r="E626" s="16" t="inlineStr">
        <is>
          <t>INE594H01019</t>
        </is>
      </c>
      <c r="F626" s="17" t="n">
        <v>9170.309999999999</v>
      </c>
      <c r="G626" s="18" t="n">
        <v>576.15</v>
      </c>
      <c r="H626" s="19" t="n">
        <v>-0.0043</v>
      </c>
      <c r="I626" s="20" t="n">
        <v>74</v>
      </c>
      <c r="J626" s="16" t="inlineStr">
        <is>
          <t>amber</t>
        </is>
      </c>
      <c r="K626" s="20" t="n">
        <v>13</v>
      </c>
      <c r="L626" s="18" t="n">
        <v>37.63</v>
      </c>
      <c r="M626" s="18" t="n">
        <v>587.2</v>
      </c>
      <c r="N626" s="18" t="n">
        <v>573.42</v>
      </c>
      <c r="O626" s="18" t="n">
        <v>470.45</v>
      </c>
      <c r="P626" s="18" t="n">
        <v>649.35</v>
      </c>
      <c r="Q626" s="18" t="n">
        <v>345.06</v>
      </c>
      <c r="R626" s="21">
        <f>IF(OR(G626="",P626=""),"",G626/P626-1)</f>
        <v/>
      </c>
      <c r="S626" s="19" t="n">
        <v>0.1734</v>
      </c>
      <c r="T626" s="22" t="n">
        <v>0.0307</v>
      </c>
      <c r="U626" s="16" t="inlineStr">
        <is>
          <t>Yes</t>
        </is>
      </c>
      <c r="V626" s="16" t="inlineStr">
        <is>
          <t>Yes</t>
        </is>
      </c>
      <c r="W626" s="16" t="inlineStr">
        <is>
          <t>No</t>
        </is>
      </c>
      <c r="X626" s="16" t="inlineStr">
        <is>
          <t>Yes</t>
        </is>
      </c>
      <c r="Y626" s="20" t="n">
        <v>67</v>
      </c>
      <c r="Z626" s="19" t="n">
        <v>0.2189</v>
      </c>
      <c r="AA626" s="18" t="n">
        <v>70.66</v>
      </c>
      <c r="AB626" s="16" t="inlineStr">
        <is>
          <t>High</t>
        </is>
      </c>
      <c r="AC626" s="16" t="inlineStr">
        <is>
          <t>No</t>
        </is>
      </c>
      <c r="AD626" s="19" t="n">
        <v>0.1934</v>
      </c>
      <c r="AE626" s="19" t="n">
        <v>0.2583</v>
      </c>
      <c r="AF626" s="19" t="n">
        <v>0.3890999999999999</v>
      </c>
      <c r="AG626" s="19" t="n">
        <v>0.168</v>
      </c>
      <c r="AH626" s="23" t="n">
        <v>0.09</v>
      </c>
      <c r="AI626" s="23" t="n">
        <v>3.94</v>
      </c>
      <c r="AJ626" s="19" t="n">
        <v>0.0147</v>
      </c>
    </row>
    <row r="627">
      <c r="A627" s="16" t="inlineStr">
        <is>
          <t>ESDS</t>
        </is>
      </c>
      <c r="B627" s="16" t="inlineStr">
        <is>
          <t>ESDS Software Solution Ltd.</t>
        </is>
      </c>
      <c r="C627" s="16" t="inlineStr">
        <is>
          <t>Data Processing Services</t>
        </is>
      </c>
      <c r="D627" s="16" t="inlineStr">
        <is>
          <t>Software &amp; Services</t>
        </is>
      </c>
      <c r="E627" s="16" t="inlineStr">
        <is>
          <t>INE0DRI01029</t>
        </is>
      </c>
      <c r="F627" s="17" t="n">
        <v>9161.74</v>
      </c>
      <c r="G627" s="18" t="n">
        <v>908.4</v>
      </c>
      <c r="H627" s="19" t="n"/>
      <c r="I627" s="20" t="n"/>
      <c r="J627" s="16" t="n"/>
      <c r="K627" s="20" t="n"/>
      <c r="L627" s="18" t="n"/>
      <c r="M627" s="18" t="n"/>
      <c r="N627" s="18" t="n"/>
      <c r="O627" s="18" t="n"/>
      <c r="P627" s="18" t="n">
        <v>908.4</v>
      </c>
      <c r="Q627" s="18" t="n">
        <v>908.4</v>
      </c>
      <c r="R627" s="21">
        <f>IF(OR(G627="",P627=""),"",G627/P627-1)</f>
        <v/>
      </c>
      <c r="S627" s="19" t="n">
        <v>1</v>
      </c>
      <c r="T627" s="22" t="n"/>
      <c r="U627" s="16" t="n"/>
      <c r="V627" s="16" t="n"/>
      <c r="W627" s="16" t="n"/>
      <c r="X627" s="16" t="n"/>
      <c r="Y627" s="20" t="n"/>
      <c r="Z627" s="19" t="n"/>
      <c r="AA627" s="18" t="n"/>
      <c r="AB627" s="16" t="n"/>
      <c r="AC627" s="16" t="inlineStr">
        <is>
          <t>No</t>
        </is>
      </c>
      <c r="AD627" s="19" t="n"/>
      <c r="AE627" s="19" t="n"/>
      <c r="AF627" s="19" t="n"/>
      <c r="AG627" s="19" t="n"/>
      <c r="AH627" s="23" t="n"/>
      <c r="AI627" s="23" t="n"/>
      <c r="AJ627" s="19" t="n"/>
    </row>
    <row r="628">
      <c r="A628" s="16" t="inlineStr">
        <is>
          <t>RPOWER</t>
        </is>
      </c>
      <c r="B628" s="16" t="inlineStr">
        <is>
          <t>Reliance Power Ltd.</t>
        </is>
      </c>
      <c r="C628" s="16" t="inlineStr">
        <is>
          <t>Power - Electric Utilities</t>
        </is>
      </c>
      <c r="D628" s="16" t="inlineStr">
        <is>
          <t>Utilities</t>
        </is>
      </c>
      <c r="E628" s="16" t="inlineStr">
        <is>
          <t>INE614G01033</t>
        </is>
      </c>
      <c r="F628" s="17" t="n">
        <v>9131.780000000001</v>
      </c>
      <c r="G628" s="18" t="n">
        <v>22.08</v>
      </c>
      <c r="H628" s="19" t="n">
        <v>0.0023</v>
      </c>
      <c r="I628" s="20" t="n">
        <v>4</v>
      </c>
      <c r="J628" s="16" t="inlineStr">
        <is>
          <t>red</t>
        </is>
      </c>
      <c r="K628" s="20" t="n">
        <v>239</v>
      </c>
      <c r="L628" s="18" t="n">
        <v>43.04</v>
      </c>
      <c r="M628" s="18" t="n">
        <v>22.3</v>
      </c>
      <c r="N628" s="18" t="n">
        <v>23.76</v>
      </c>
      <c r="O628" s="18" t="n">
        <v>27.72</v>
      </c>
      <c r="P628" s="18" t="n">
        <v>48.83</v>
      </c>
      <c r="Q628" s="18" t="n">
        <v>20.36</v>
      </c>
      <c r="R628" s="21">
        <f>IF(OR(G628="",P628=""),"",G628/P628-1)</f>
        <v/>
      </c>
      <c r="S628" s="19" t="n">
        <v>0.7351000000000001</v>
      </c>
      <c r="T628" s="22" t="n">
        <v>-0.0674</v>
      </c>
      <c r="U628" s="16" t="inlineStr">
        <is>
          <t>No</t>
        </is>
      </c>
      <c r="V628" s="16" t="inlineStr">
        <is>
          <t>No</t>
        </is>
      </c>
      <c r="W628" s="16" t="inlineStr">
        <is>
          <t>No</t>
        </is>
      </c>
      <c r="X628" s="16" t="inlineStr">
        <is>
          <t>No</t>
        </is>
      </c>
      <c r="Y628" s="20" t="n">
        <v>230</v>
      </c>
      <c r="Z628" s="19" t="n">
        <v>-0.1428</v>
      </c>
      <c r="AA628" s="18" t="n">
        <v>14.42</v>
      </c>
      <c r="AB628" s="16" t="inlineStr">
        <is>
          <t>Poor</t>
        </is>
      </c>
      <c r="AC628" s="16" t="inlineStr">
        <is>
          <t>No</t>
        </is>
      </c>
      <c r="AD628" s="19" t="n">
        <v>-0.0062</v>
      </c>
      <c r="AE628" s="19" t="n">
        <v>0.0653</v>
      </c>
      <c r="AF628" s="19" t="n">
        <v>-0.6132</v>
      </c>
      <c r="AG628" s="19" t="n">
        <v>0.008800000000000001</v>
      </c>
      <c r="AH628" s="23" t="n">
        <v>0.92</v>
      </c>
      <c r="AI628" s="23" t="n">
        <v>0.22</v>
      </c>
      <c r="AJ628" s="19" t="n">
        <v>0.0539</v>
      </c>
    </row>
    <row r="629">
      <c r="A629" s="16" t="inlineStr">
        <is>
          <t>SMLMAH</t>
        </is>
      </c>
      <c r="B629" s="16" t="inlineStr">
        <is>
          <t>SML Mahindra Ltd.</t>
        </is>
      </c>
      <c r="C629" s="16" t="inlineStr">
        <is>
          <t>Commercial Vehicles</t>
        </is>
      </c>
      <c r="D629" s="16" t="inlineStr">
        <is>
          <t>Automobiles &amp; Auto Components</t>
        </is>
      </c>
      <c r="E629" s="16" t="inlineStr">
        <is>
          <t>INE294B01019</t>
        </is>
      </c>
      <c r="F629" s="17" t="n">
        <v>9114.940000000001</v>
      </c>
      <c r="G629" s="18" t="n">
        <v>6298.5</v>
      </c>
      <c r="H629" s="19" t="n">
        <v>0.1</v>
      </c>
      <c r="I629" s="20" t="n">
        <v>90</v>
      </c>
      <c r="J629" s="16" t="inlineStr">
        <is>
          <t>green</t>
        </is>
      </c>
      <c r="K629" s="20" t="n">
        <v>4</v>
      </c>
      <c r="L629" s="18" t="n">
        <v>75.36</v>
      </c>
      <c r="M629" s="18" t="n">
        <v>5429.31</v>
      </c>
      <c r="N629" s="18" t="n">
        <v>4754.83</v>
      </c>
      <c r="O629" s="18" t="n">
        <v>4125.08</v>
      </c>
      <c r="P629" s="18" t="n">
        <v>6298.5</v>
      </c>
      <c r="Q629" s="18" t="n">
        <v>2749.08</v>
      </c>
      <c r="R629" s="21">
        <f>IF(OR(G629="",P629=""),"",G629/P629-1)</f>
        <v/>
      </c>
      <c r="S629" s="19" t="n">
        <v>1.6552</v>
      </c>
      <c r="T629" s="22" t="n">
        <v>0.0596</v>
      </c>
      <c r="U629" s="16" t="inlineStr">
        <is>
          <t>Yes</t>
        </is>
      </c>
      <c r="V629" s="16" t="inlineStr">
        <is>
          <t>Yes</t>
        </is>
      </c>
      <c r="W629" s="16" t="inlineStr">
        <is>
          <t>Yes</t>
        </is>
      </c>
      <c r="X629" s="16" t="inlineStr">
        <is>
          <t>Yes</t>
        </is>
      </c>
      <c r="Y629" s="20" t="n">
        <v>320</v>
      </c>
      <c r="Z629" s="19" t="n">
        <v>0.1527</v>
      </c>
      <c r="AA629" s="18" t="n">
        <v>70.42</v>
      </c>
      <c r="AB629" s="16" t="inlineStr">
        <is>
          <t>High</t>
        </is>
      </c>
      <c r="AC629" s="16" t="inlineStr">
        <is>
          <t>No</t>
        </is>
      </c>
      <c r="AD629" s="19" t="n">
        <v>0.3344</v>
      </c>
      <c r="AE629" s="19" t="n">
        <v>0.2506</v>
      </c>
      <c r="AF629" s="19" t="n">
        <v>1.1883</v>
      </c>
      <c r="AG629" s="19" t="n">
        <v>0.1604</v>
      </c>
      <c r="AH629" s="23" t="n">
        <v>0.5600000000000001</v>
      </c>
      <c r="AI629" s="23" t="n">
        <v>8.380000000000001</v>
      </c>
      <c r="AJ629" s="19" t="n">
        <v>0.1117</v>
      </c>
    </row>
    <row r="630">
      <c r="A630" s="16" t="inlineStr">
        <is>
          <t>TARIL</t>
        </is>
      </c>
      <c r="B630" s="16" t="inlineStr">
        <is>
          <t>Transformers &amp; Rectifiers (India) Ltd.</t>
        </is>
      </c>
      <c r="C630" s="16" t="inlineStr">
        <is>
          <t>Heavy Electrical Equipment</t>
        </is>
      </c>
      <c r="D630" s="16" t="inlineStr">
        <is>
          <t>General Industrials</t>
        </is>
      </c>
      <c r="E630" s="16" t="inlineStr">
        <is>
          <t>INE763I01026</t>
        </is>
      </c>
      <c r="F630" s="17" t="n">
        <v>9033.49</v>
      </c>
      <c r="G630" s="18" t="n">
        <v>300.95</v>
      </c>
      <c r="H630" s="19" t="n">
        <v>0.0012</v>
      </c>
      <c r="I630" s="20" t="n">
        <v>29</v>
      </c>
      <c r="J630" s="16" t="inlineStr">
        <is>
          <t>red</t>
        </is>
      </c>
      <c r="K630" s="20" t="n">
        <v>226</v>
      </c>
      <c r="L630" s="18" t="n">
        <v>53.59</v>
      </c>
      <c r="M630" s="18" t="n">
        <v>304.73</v>
      </c>
      <c r="N630" s="18" t="n">
        <v>312.16</v>
      </c>
      <c r="O630" s="18" t="n">
        <v>297.47</v>
      </c>
      <c r="P630" s="18" t="n">
        <v>536.25</v>
      </c>
      <c r="Q630" s="18" t="n">
        <v>229.58</v>
      </c>
      <c r="R630" s="21">
        <f>IF(OR(G630="",P630=""),"",G630/P630-1)</f>
        <v/>
      </c>
      <c r="S630" s="19" t="n">
        <v>0.4677</v>
      </c>
      <c r="T630" s="22" t="n">
        <v>-0.03</v>
      </c>
      <c r="U630" s="16" t="inlineStr">
        <is>
          <t>No</t>
        </is>
      </c>
      <c r="V630" s="16" t="inlineStr">
        <is>
          <t>No</t>
        </is>
      </c>
      <c r="W630" s="16" t="inlineStr">
        <is>
          <t>No</t>
        </is>
      </c>
      <c r="X630" s="16" t="inlineStr">
        <is>
          <t>Yes</t>
        </is>
      </c>
      <c r="Y630" s="20" t="n">
        <v>39</v>
      </c>
      <c r="Z630" s="19" t="n">
        <v>0.04940000000000001</v>
      </c>
      <c r="AA630" s="18" t="n">
        <v>69.67</v>
      </c>
      <c r="AB630" s="16" t="inlineStr">
        <is>
          <t>High</t>
        </is>
      </c>
      <c r="AC630" s="16" t="inlineStr">
        <is>
          <t>No</t>
        </is>
      </c>
      <c r="AD630" s="19" t="n">
        <v>0.142</v>
      </c>
      <c r="AE630" s="19" t="n">
        <v>0.1851</v>
      </c>
      <c r="AF630" s="19" t="n">
        <v>2.4912</v>
      </c>
      <c r="AG630" s="19" t="n">
        <v>0.253</v>
      </c>
      <c r="AH630" s="23" t="n">
        <v>0.3</v>
      </c>
      <c r="AI630" s="23" t="n">
        <v>6.8</v>
      </c>
      <c r="AJ630" s="19" t="n">
        <v>0.375</v>
      </c>
    </row>
    <row r="631">
      <c r="A631" s="16" t="inlineStr">
        <is>
          <t>TSFINV</t>
        </is>
      </c>
      <c r="B631" s="16" t="inlineStr">
        <is>
          <t>TSF Investments Ltd.</t>
        </is>
      </c>
      <c r="C631" s="16" t="inlineStr">
        <is>
          <t>Investment Companies</t>
        </is>
      </c>
      <c r="D631" s="16" t="inlineStr">
        <is>
          <t>Others</t>
        </is>
      </c>
      <c r="E631" s="16" t="inlineStr">
        <is>
          <t>INE202Z01029</t>
        </is>
      </c>
      <c r="F631" s="17" t="n">
        <v>8988.540000000001</v>
      </c>
      <c r="G631" s="18" t="n">
        <v>404.7</v>
      </c>
      <c r="H631" s="19" t="n">
        <v>-0.0033</v>
      </c>
      <c r="I631" s="20" t="n">
        <v>32</v>
      </c>
      <c r="J631" s="16" t="inlineStr">
        <is>
          <t>red</t>
        </is>
      </c>
      <c r="K631" s="20" t="n">
        <v>123</v>
      </c>
      <c r="L631" s="18" t="n">
        <v>34.73</v>
      </c>
      <c r="M631" s="18" t="n">
        <v>405.03</v>
      </c>
      <c r="N631" s="18" t="n">
        <v>438.67</v>
      </c>
      <c r="O631" s="18" t="n">
        <v>419.28</v>
      </c>
      <c r="P631" s="18" t="n">
        <v>673.74</v>
      </c>
      <c r="Q631" s="18" t="n">
        <v>334.39</v>
      </c>
      <c r="R631" s="21">
        <f>IF(OR(G631="",P631=""),"",G631/P631-1)</f>
        <v/>
      </c>
      <c r="S631" s="19" t="n">
        <v>1.0317</v>
      </c>
      <c r="T631" s="22" t="n">
        <v>-0.0405</v>
      </c>
      <c r="U631" s="16" t="inlineStr">
        <is>
          <t>No</t>
        </is>
      </c>
      <c r="V631" s="16" t="inlineStr">
        <is>
          <t>No</t>
        </is>
      </c>
      <c r="W631" s="16" t="inlineStr">
        <is>
          <t>No</t>
        </is>
      </c>
      <c r="X631" s="16" t="inlineStr">
        <is>
          <t>Yes</t>
        </is>
      </c>
      <c r="Y631" s="20" t="n">
        <v>17</v>
      </c>
      <c r="Z631" s="19" t="n">
        <v>0.0462</v>
      </c>
      <c r="AA631" s="18" t="n">
        <v>52.2</v>
      </c>
      <c r="AB631" s="16" t="inlineStr">
        <is>
          <t>Average</t>
        </is>
      </c>
      <c r="AC631" s="16" t="inlineStr">
        <is>
          <t>Yes</t>
        </is>
      </c>
      <c r="AD631" s="19" t="n">
        <v>0.09039999999999999</v>
      </c>
      <c r="AE631" s="19" t="n">
        <v>0.035</v>
      </c>
      <c r="AF631" s="19" t="n">
        <v>0.4274</v>
      </c>
      <c r="AG631" s="19" t="n">
        <v>2.8866</v>
      </c>
      <c r="AH631" s="23" t="n">
        <v>0.04</v>
      </c>
      <c r="AI631" s="23" t="n">
        <v>3.64</v>
      </c>
      <c r="AJ631" s="19" t="n">
        <v>0.0032</v>
      </c>
    </row>
    <row r="632">
      <c r="A632" s="16" t="inlineStr">
        <is>
          <t>WAAREERTL</t>
        </is>
      </c>
      <c r="B632" s="16" t="inlineStr">
        <is>
          <t>Waaree Renewable Technologies Ltd.</t>
        </is>
      </c>
      <c r="C632" s="16" t="inlineStr">
        <is>
          <t>Power - Electric Utilities</t>
        </is>
      </c>
      <c r="D632" s="16" t="inlineStr">
        <is>
          <t>Utilities</t>
        </is>
      </c>
      <c r="E632" s="16" t="inlineStr">
        <is>
          <t>INE299N01021</t>
        </is>
      </c>
      <c r="F632" s="17" t="n">
        <v>8965.65</v>
      </c>
      <c r="G632" s="18" t="n">
        <v>858.95</v>
      </c>
      <c r="H632" s="19" t="n">
        <v>0.013</v>
      </c>
      <c r="I632" s="20" t="n">
        <v>21</v>
      </c>
      <c r="J632" s="16" t="inlineStr">
        <is>
          <t>red</t>
        </is>
      </c>
      <c r="K632" s="20" t="n">
        <v>97</v>
      </c>
      <c r="L632" s="18" t="n">
        <v>30.33</v>
      </c>
      <c r="M632" s="18" t="n">
        <v>866.98</v>
      </c>
      <c r="N632" s="18" t="n">
        <v>935.8099999999999</v>
      </c>
      <c r="O632" s="18" t="n">
        <v>942.7</v>
      </c>
      <c r="P632" s="18" t="n">
        <v>1330.5</v>
      </c>
      <c r="Q632" s="18" t="n">
        <v>782.3</v>
      </c>
      <c r="R632" s="21">
        <f>IF(OR(G632="",P632=""),"",G632/P632-1)</f>
        <v/>
      </c>
      <c r="S632" s="19" t="n">
        <v>0.7089</v>
      </c>
      <c r="T632" s="22" t="n">
        <v>-0.0337</v>
      </c>
      <c r="U632" s="16" t="inlineStr">
        <is>
          <t>No</t>
        </is>
      </c>
      <c r="V632" s="16" t="inlineStr">
        <is>
          <t>No</t>
        </is>
      </c>
      <c r="W632" s="16" t="inlineStr">
        <is>
          <t>No</t>
        </is>
      </c>
      <c r="X632" s="16" t="inlineStr">
        <is>
          <t>No</t>
        </is>
      </c>
      <c r="Y632" s="20" t="n">
        <v>5</v>
      </c>
      <c r="Z632" s="19" t="n">
        <v>-0.0073</v>
      </c>
      <c r="AA632" s="18" t="n">
        <v>86.25</v>
      </c>
      <c r="AB632" s="16" t="inlineStr">
        <is>
          <t>High</t>
        </is>
      </c>
      <c r="AC632" s="16" t="inlineStr">
        <is>
          <t>No</t>
        </is>
      </c>
      <c r="AD632" s="19" t="n">
        <v>0.535</v>
      </c>
      <c r="AE632" s="19" t="n">
        <v>0.6562</v>
      </c>
      <c r="AF632" s="19" t="n">
        <v>1.0962</v>
      </c>
      <c r="AG632" s="19" t="n">
        <v>1.1355</v>
      </c>
      <c r="AH632" s="23" t="n">
        <v>0.16</v>
      </c>
      <c r="AI632" s="23" t="n">
        <v>7.45</v>
      </c>
      <c r="AJ632" s="19" t="n">
        <v>0.3978</v>
      </c>
    </row>
    <row r="633">
      <c r="A633" s="16" t="inlineStr">
        <is>
          <t>PNGJL</t>
        </is>
      </c>
      <c r="B633" s="16" t="inlineStr">
        <is>
          <t>P N Gadgil Jewellers Ltd.</t>
        </is>
      </c>
      <c r="C633" s="16" t="inlineStr">
        <is>
          <t>Gems &amp; Jewellery</t>
        </is>
      </c>
      <c r="D633" s="16" t="inlineStr">
        <is>
          <t>Textiles Apparels &amp; Accessories</t>
        </is>
      </c>
      <c r="E633" s="16" t="inlineStr">
        <is>
          <t>INE953R01016</t>
        </is>
      </c>
      <c r="F633" s="17" t="n">
        <v>8965.370000000001</v>
      </c>
      <c r="G633" s="18" t="n">
        <v>609.05</v>
      </c>
      <c r="H633" s="19" t="n">
        <v>0.0301</v>
      </c>
      <c r="I633" s="20" t="n">
        <v>52</v>
      </c>
      <c r="J633" s="16" t="inlineStr">
        <is>
          <t>red</t>
        </is>
      </c>
      <c r="K633" s="20" t="n">
        <v>28</v>
      </c>
      <c r="L633" s="18" t="n">
        <v>49.28</v>
      </c>
      <c r="M633" s="18" t="n">
        <v>593.9</v>
      </c>
      <c r="N633" s="18" t="n">
        <v>609.5599999999999</v>
      </c>
      <c r="O633" s="18" t="n">
        <v>593.42</v>
      </c>
      <c r="P633" s="18" t="n">
        <v>727.9</v>
      </c>
      <c r="Q633" s="18" t="n">
        <v>509.95</v>
      </c>
      <c r="R633" s="21">
        <f>IF(OR(G633="",P633=""),"",G633/P633-1)</f>
        <v/>
      </c>
      <c r="S633" s="19" t="n">
        <v>0.6251</v>
      </c>
      <c r="T633" s="22" t="n">
        <v>-0.008500000000000001</v>
      </c>
      <c r="U633" s="16" t="inlineStr">
        <is>
          <t>No</t>
        </is>
      </c>
      <c r="V633" s="16" t="inlineStr">
        <is>
          <t>No</t>
        </is>
      </c>
      <c r="W633" s="16" t="inlineStr">
        <is>
          <t>Yes</t>
        </is>
      </c>
      <c r="X633" s="16" t="inlineStr">
        <is>
          <t>Yes</t>
        </is>
      </c>
      <c r="Y633" s="20" t="n">
        <v>13</v>
      </c>
      <c r="Z633" s="19" t="n">
        <v>0.0272</v>
      </c>
      <c r="AA633" s="18" t="n">
        <v>64.84</v>
      </c>
      <c r="AB633" s="16" t="inlineStr">
        <is>
          <t>High</t>
        </is>
      </c>
      <c r="AC633" s="16" t="inlineStr">
        <is>
          <t>No</t>
        </is>
      </c>
      <c r="AD633" s="19" t="n">
        <v>0.2132</v>
      </c>
      <c r="AE633" s="19" t="n">
        <v>0.1871</v>
      </c>
      <c r="AF633" s="19" t="n">
        <v>0.7839</v>
      </c>
      <c r="AG633" s="19" t="n">
        <v>0.3369</v>
      </c>
      <c r="AH633" s="23" t="n">
        <v>0.89</v>
      </c>
      <c r="AI633" s="23" t="n">
        <v>28.61</v>
      </c>
      <c r="AJ633" s="19" t="n">
        <v>0</v>
      </c>
    </row>
    <row r="634">
      <c r="A634" s="16" t="inlineStr">
        <is>
          <t>BANCOINDIA</t>
        </is>
      </c>
      <c r="B634" s="16" t="inlineStr">
        <is>
          <t>Banco Products (India) Ltd.</t>
        </is>
      </c>
      <c r="C634" s="16" t="inlineStr">
        <is>
          <t>Auto Parts &amp; Equipment</t>
        </is>
      </c>
      <c r="D634" s="16" t="inlineStr">
        <is>
          <t>Automobiles &amp; Auto Components</t>
        </is>
      </c>
      <c r="E634" s="16" t="inlineStr">
        <is>
          <t>INE213C01025</t>
        </is>
      </c>
      <c r="F634" s="17" t="n">
        <v>8918.379999999999</v>
      </c>
      <c r="G634" s="18" t="n">
        <v>623.5</v>
      </c>
      <c r="H634" s="19" t="n">
        <v>0.0107</v>
      </c>
      <c r="I634" s="20" t="n">
        <v>36</v>
      </c>
      <c r="J634" s="16" t="inlineStr">
        <is>
          <t>red</t>
        </is>
      </c>
      <c r="K634" s="20" t="n">
        <v>22</v>
      </c>
      <c r="L634" s="18" t="n">
        <v>58.4</v>
      </c>
      <c r="M634" s="18" t="n">
        <v>621.9299999999999</v>
      </c>
      <c r="N634" s="18" t="n">
        <v>644.11</v>
      </c>
      <c r="O634" s="18" t="n">
        <v>634.09</v>
      </c>
      <c r="P634" s="18" t="n">
        <v>855.15</v>
      </c>
      <c r="Q634" s="18" t="n">
        <v>504.35</v>
      </c>
      <c r="R634" s="21">
        <f>IF(OR(G634="",P634=""),"",G634/P634-1)</f>
        <v/>
      </c>
      <c r="S634" s="19" t="n">
        <v>0.5884</v>
      </c>
      <c r="T634" s="22" t="n">
        <v>-0.0187</v>
      </c>
      <c r="U634" s="16" t="inlineStr">
        <is>
          <t>No</t>
        </is>
      </c>
      <c r="V634" s="16" t="inlineStr">
        <is>
          <t>No</t>
        </is>
      </c>
      <c r="W634" s="16" t="inlineStr">
        <is>
          <t>Yes</t>
        </is>
      </c>
      <c r="X634" s="16" t="inlineStr">
        <is>
          <t>Yes</t>
        </is>
      </c>
      <c r="Y634" s="20" t="n">
        <v>31</v>
      </c>
      <c r="Z634" s="19" t="n">
        <v>0.0158</v>
      </c>
      <c r="AA634" s="18" t="n">
        <v>68.95</v>
      </c>
      <c r="AB634" s="16" t="inlineStr">
        <is>
          <t>High</t>
        </is>
      </c>
      <c r="AC634" s="16" t="inlineStr">
        <is>
          <t>No</t>
        </is>
      </c>
      <c r="AD634" s="19" t="n">
        <v>0.2816</v>
      </c>
      <c r="AE634" s="19" t="n">
        <v>0.2827</v>
      </c>
      <c r="AF634" s="19" t="n">
        <v>0.2567</v>
      </c>
      <c r="AG634" s="19" t="n">
        <v>0.1892</v>
      </c>
      <c r="AH634" s="23" t="n">
        <v>0.36</v>
      </c>
      <c r="AI634" s="23" t="n">
        <v>8.109999999999999</v>
      </c>
      <c r="AJ634" s="19" t="n">
        <v>0.0236</v>
      </c>
    </row>
    <row r="635">
      <c r="A635" s="16" t="inlineStr">
        <is>
          <t>ICIL</t>
        </is>
      </c>
      <c r="B635" s="16" t="inlineStr">
        <is>
          <t>Indo Count Industries Ltd.</t>
        </is>
      </c>
      <c r="C635" s="16" t="inlineStr">
        <is>
          <t>Textiles</t>
        </is>
      </c>
      <c r="D635" s="16" t="inlineStr">
        <is>
          <t>Textiles Apparels &amp; Accessories</t>
        </is>
      </c>
      <c r="E635" s="16" t="inlineStr">
        <is>
          <t>INE483B01026</t>
        </is>
      </c>
      <c r="F635" s="17" t="n">
        <v>8908.48</v>
      </c>
      <c r="G635" s="18" t="n">
        <v>449.8</v>
      </c>
      <c r="H635" s="19" t="n">
        <v>0.0285</v>
      </c>
      <c r="I635" s="20" t="n">
        <v>87</v>
      </c>
      <c r="J635" s="16" t="inlineStr">
        <is>
          <t>green</t>
        </is>
      </c>
      <c r="K635" s="20" t="n">
        <v>15</v>
      </c>
      <c r="L635" s="18" t="n">
        <v>64.09999999999999</v>
      </c>
      <c r="M635" s="18" t="n">
        <v>440.14</v>
      </c>
      <c r="N635" s="18" t="n">
        <v>417.51</v>
      </c>
      <c r="O635" s="18" t="n">
        <v>318.59</v>
      </c>
      <c r="P635" s="18" t="n">
        <v>469.45</v>
      </c>
      <c r="Q635" s="18" t="n">
        <v>223.61</v>
      </c>
      <c r="R635" s="21">
        <f>IF(OR(G635="",P635=""),"",G635/P635-1)</f>
        <v/>
      </c>
      <c r="S635" s="19" t="n">
        <v>0.4</v>
      </c>
      <c r="T635" s="22" t="n">
        <v>0.0453</v>
      </c>
      <c r="U635" s="16" t="inlineStr">
        <is>
          <t>Yes</t>
        </is>
      </c>
      <c r="V635" s="16" t="inlineStr">
        <is>
          <t>Yes</t>
        </is>
      </c>
      <c r="W635" s="16" t="inlineStr">
        <is>
          <t>Yes</t>
        </is>
      </c>
      <c r="X635" s="16" t="inlineStr">
        <is>
          <t>Yes</t>
        </is>
      </c>
      <c r="Y635" s="20" t="n">
        <v>71</v>
      </c>
      <c r="Z635" s="19" t="n">
        <v>0.3105</v>
      </c>
      <c r="AA635" s="18" t="n">
        <v>34.33</v>
      </c>
      <c r="AB635" s="16" t="inlineStr">
        <is>
          <t>Poor</t>
        </is>
      </c>
      <c r="AC635" s="16" t="inlineStr">
        <is>
          <t>No</t>
        </is>
      </c>
      <c r="AD635" s="19" t="n">
        <v>0.1085</v>
      </c>
      <c r="AE635" s="19" t="n">
        <v>0.1236</v>
      </c>
      <c r="AF635" s="19" t="n">
        <v>-0.3464</v>
      </c>
      <c r="AG635" s="19" t="n">
        <v>0.119</v>
      </c>
      <c r="AH635" s="23" t="n">
        <v>0.57</v>
      </c>
      <c r="AI635" s="23" t="n">
        <v>2.19</v>
      </c>
      <c r="AJ635" s="19" t="n">
        <v>0.0025</v>
      </c>
    </row>
    <row r="636">
      <c r="A636" s="16" t="inlineStr">
        <is>
          <t>CLEAN</t>
        </is>
      </c>
      <c r="B636" s="16" t="inlineStr">
        <is>
          <t>Clean Science &amp; Technology Ltd.</t>
        </is>
      </c>
      <c r="C636" s="16" t="inlineStr">
        <is>
          <t>Specialty Chemicals</t>
        </is>
      </c>
      <c r="D636" s="16" t="inlineStr">
        <is>
          <t>Chemicals &amp; Petrochemicals</t>
        </is>
      </c>
      <c r="E636" s="16" t="inlineStr">
        <is>
          <t>INE227W01023</t>
        </is>
      </c>
      <c r="F636" s="17" t="n">
        <v>8886.950000000001</v>
      </c>
      <c r="G636" s="18" t="n">
        <v>836.15</v>
      </c>
      <c r="H636" s="19" t="n">
        <v>-0.0151</v>
      </c>
      <c r="I636" s="20" t="n">
        <v>38</v>
      </c>
      <c r="J636" s="16" t="inlineStr">
        <is>
          <t>red</t>
        </is>
      </c>
      <c r="K636" s="20" t="n">
        <v>294</v>
      </c>
      <c r="L636" s="18" t="n">
        <v>50.03</v>
      </c>
      <c r="M636" s="18" t="n">
        <v>833.83</v>
      </c>
      <c r="N636" s="18" t="n">
        <v>783.0599999999999</v>
      </c>
      <c r="O636" s="18" t="n">
        <v>795.03</v>
      </c>
      <c r="P636" s="18" t="n">
        <v>1187.15</v>
      </c>
      <c r="Q636" s="18" t="n">
        <v>653.3200000000001</v>
      </c>
      <c r="R636" s="21">
        <f>IF(OR(G636="",P636=""),"",G636/P636-1)</f>
        <v/>
      </c>
      <c r="S636" s="19" t="n">
        <v>0.5997</v>
      </c>
      <c r="T636" s="22" t="n">
        <v>-0.019</v>
      </c>
      <c r="U636" s="16" t="inlineStr">
        <is>
          <t>No</t>
        </is>
      </c>
      <c r="V636" s="16" t="inlineStr">
        <is>
          <t>Yes</t>
        </is>
      </c>
      <c r="W636" s="16" t="inlineStr">
        <is>
          <t>Yes</t>
        </is>
      </c>
      <c r="X636" s="16" t="inlineStr">
        <is>
          <t>No</t>
        </is>
      </c>
      <c r="Y636" s="20" t="n">
        <v>259</v>
      </c>
      <c r="Z636" s="19" t="n">
        <v>-0.0151</v>
      </c>
      <c r="AA636" s="18" t="n">
        <v>40</v>
      </c>
      <c r="AB636" s="16" t="inlineStr">
        <is>
          <t>Weak</t>
        </is>
      </c>
      <c r="AC636" s="16" t="inlineStr">
        <is>
          <t>No</t>
        </is>
      </c>
      <c r="AD636" s="19" t="n">
        <v>0.1782</v>
      </c>
      <c r="AE636" s="19" t="n">
        <v>0.2397</v>
      </c>
      <c r="AF636" s="19" t="n">
        <v>-0.07389999999999999</v>
      </c>
      <c r="AG636" s="19" t="n">
        <v>0.0236</v>
      </c>
      <c r="AH636" s="23" t="n">
        <v>0</v>
      </c>
      <c r="AI636" s="23" t="n">
        <v>1.1</v>
      </c>
      <c r="AJ636" s="19" t="n">
        <v>0.1351</v>
      </c>
    </row>
    <row r="637">
      <c r="A637" s="16" t="inlineStr">
        <is>
          <t>MAXESTATES</t>
        </is>
      </c>
      <c r="B637" s="16" t="inlineStr">
        <is>
          <t>Max Estates Ltd.</t>
        </is>
      </c>
      <c r="C637" s="16" t="inlineStr">
        <is>
          <t>Realty</t>
        </is>
      </c>
      <c r="D637" s="16" t="inlineStr">
        <is>
          <t>Realty</t>
        </is>
      </c>
      <c r="E637" s="16" t="inlineStr">
        <is>
          <t>INE03EI01018</t>
        </is>
      </c>
      <c r="F637" s="17" t="n">
        <v>8866.85</v>
      </c>
      <c r="G637" s="18" t="n">
        <v>542.1</v>
      </c>
      <c r="H637" s="19" t="n">
        <v>0.0215</v>
      </c>
      <c r="I637" s="20" t="n">
        <v>70</v>
      </c>
      <c r="J637" s="16" t="inlineStr">
        <is>
          <t>amber</t>
        </is>
      </c>
      <c r="K637" s="20" t="n">
        <v>10</v>
      </c>
      <c r="L637" s="18" t="n">
        <v>67.95999999999999</v>
      </c>
      <c r="M637" s="18" t="n">
        <v>533.0599999999999</v>
      </c>
      <c r="N637" s="18" t="n">
        <v>447.63</v>
      </c>
      <c r="O637" s="18" t="n">
        <v>423.42</v>
      </c>
      <c r="P637" s="18" t="n">
        <v>558.45</v>
      </c>
      <c r="Q637" s="18" t="n">
        <v>308.75</v>
      </c>
      <c r="R637" s="21">
        <f>IF(OR(G637="",P637=""),"",G637/P637-1)</f>
        <v/>
      </c>
      <c r="S637" s="19" t="n">
        <v>0.4316</v>
      </c>
      <c r="T637" s="22" t="n">
        <v>0.0059</v>
      </c>
      <c r="U637" s="16" t="inlineStr">
        <is>
          <t>Yes</t>
        </is>
      </c>
      <c r="V637" s="16" t="inlineStr">
        <is>
          <t>Yes</t>
        </is>
      </c>
      <c r="W637" s="16" t="inlineStr">
        <is>
          <t>Yes</t>
        </is>
      </c>
      <c r="X637" s="16" t="inlineStr">
        <is>
          <t>Yes</t>
        </is>
      </c>
      <c r="Y637" s="20" t="n">
        <v>45</v>
      </c>
      <c r="Z637" s="19" t="n">
        <v>0.0572</v>
      </c>
      <c r="AA637" s="18" t="n">
        <v>29.71</v>
      </c>
      <c r="AB637" s="16" t="inlineStr">
        <is>
          <t>Poor</t>
        </is>
      </c>
      <c r="AC637" s="16" t="inlineStr">
        <is>
          <t>No</t>
        </is>
      </c>
      <c r="AD637" s="19" t="n">
        <v>-0.0043</v>
      </c>
      <c r="AE637" s="19" t="n">
        <v>0.0104</v>
      </c>
      <c r="AF637" s="19" t="n">
        <v>-0.8774999999999999</v>
      </c>
      <c r="AG637" s="19" t="n">
        <v>0.2785</v>
      </c>
      <c r="AH637" s="23" t="n">
        <v>1</v>
      </c>
      <c r="AI637" s="23" t="n">
        <v>5.73</v>
      </c>
      <c r="AJ637" s="19" t="n">
        <v>0.5813</v>
      </c>
    </row>
    <row r="638">
      <c r="A638" s="16" t="inlineStr">
        <is>
          <t>RELIGARE</t>
        </is>
      </c>
      <c r="B638" s="16" t="inlineStr">
        <is>
          <t>Religare Enterprises Ltd.</t>
        </is>
      </c>
      <c r="C638" s="16" t="inlineStr">
        <is>
          <t>Other Financial Services</t>
        </is>
      </c>
      <c r="D638" s="16" t="inlineStr">
        <is>
          <t>Banking and Finance</t>
        </is>
      </c>
      <c r="E638" s="16" t="inlineStr">
        <is>
          <t>INE621H01010</t>
        </is>
      </c>
      <c r="F638" s="17" t="n">
        <v>8862.41</v>
      </c>
      <c r="G638" s="18" t="n">
        <v>257.08</v>
      </c>
      <c r="H638" s="19" t="n">
        <v>0.0206</v>
      </c>
      <c r="I638" s="20" t="n">
        <v>59</v>
      </c>
      <c r="J638" s="16" t="inlineStr">
        <is>
          <t>red</t>
        </is>
      </c>
      <c r="K638" s="20" t="n">
        <v>32</v>
      </c>
      <c r="L638" s="18" t="n">
        <v>79.51000000000001</v>
      </c>
      <c r="M638" s="18" t="n">
        <v>243.09</v>
      </c>
      <c r="N638" s="18" t="n">
        <v>250.5</v>
      </c>
      <c r="O638" s="18" t="n">
        <v>237.56</v>
      </c>
      <c r="P638" s="18" t="n">
        <v>278.36</v>
      </c>
      <c r="Q638" s="18" t="n">
        <v>201.11</v>
      </c>
      <c r="R638" s="21">
        <f>IF(OR(G638="",P638=""),"",G638/P638-1)</f>
        <v/>
      </c>
      <c r="S638" s="19" t="n">
        <v>1.3441</v>
      </c>
      <c r="T638" s="22" t="n">
        <v>-0.0104</v>
      </c>
      <c r="U638" s="16" t="inlineStr">
        <is>
          <t>No</t>
        </is>
      </c>
      <c r="V638" s="16" t="inlineStr">
        <is>
          <t>Yes</t>
        </is>
      </c>
      <c r="W638" s="16" t="inlineStr">
        <is>
          <t>Yes</t>
        </is>
      </c>
      <c r="X638" s="16" t="inlineStr">
        <is>
          <t>Yes</t>
        </is>
      </c>
      <c r="Y638" s="20" t="n">
        <v>44</v>
      </c>
      <c r="Z638" s="19" t="n">
        <v>0.0545</v>
      </c>
      <c r="AA638" s="18" t="n">
        <v>31.38</v>
      </c>
      <c r="AB638" s="16" t="inlineStr">
        <is>
          <t>Poor</t>
        </is>
      </c>
      <c r="AC638" s="16" t="inlineStr">
        <is>
          <t>Yes</t>
        </is>
      </c>
      <c r="AD638" s="19" t="n">
        <v>0.0595</v>
      </c>
      <c r="AE638" s="19" t="n">
        <v>0.1105</v>
      </c>
      <c r="AF638" s="19" t="n">
        <v>-0.5685</v>
      </c>
      <c r="AG638" s="19" t="n">
        <v>2.3743</v>
      </c>
      <c r="AH638" s="23" t="n">
        <v>0.17</v>
      </c>
      <c r="AI638" s="23" t="n">
        <v>78.81</v>
      </c>
      <c r="AJ638" s="19" t="n">
        <v>0</v>
      </c>
    </row>
    <row r="639">
      <c r="A639" s="16" t="inlineStr">
        <is>
          <t>SWANCORP</t>
        </is>
      </c>
      <c r="B639" s="16" t="inlineStr">
        <is>
          <t>Swan Corp Ltd.</t>
        </is>
      </c>
      <c r="C639" s="16" t="inlineStr">
        <is>
          <t>Commodity Trading  &amp; Distribution</t>
        </is>
      </c>
      <c r="D639" s="16" t="inlineStr">
        <is>
          <t>Commercial Services &amp; Supplies</t>
        </is>
      </c>
      <c r="E639" s="16" t="inlineStr">
        <is>
          <t>INE665A01038</t>
        </is>
      </c>
      <c r="F639" s="17" t="n">
        <v>8823.809999999999</v>
      </c>
      <c r="G639" s="18" t="n">
        <v>281.5</v>
      </c>
      <c r="H639" s="19" t="n">
        <v>-0.0092</v>
      </c>
      <c r="I639" s="20" t="n">
        <v>6</v>
      </c>
      <c r="J639" s="16" t="inlineStr">
        <is>
          <t>red</t>
        </is>
      </c>
      <c r="K639" s="20" t="n">
        <v>179</v>
      </c>
      <c r="L639" s="18" t="n">
        <v>18.21</v>
      </c>
      <c r="M639" s="18" t="n">
        <v>291.94</v>
      </c>
      <c r="N639" s="18" t="n">
        <v>307.96</v>
      </c>
      <c r="O639" s="18" t="n">
        <v>360.98</v>
      </c>
      <c r="P639" s="18" t="n">
        <v>488.86</v>
      </c>
      <c r="Q639" s="18" t="n">
        <v>281.5</v>
      </c>
      <c r="R639" s="21">
        <f>IF(OR(G639="",P639=""),"",G639/P639-1)</f>
        <v/>
      </c>
      <c r="S639" s="19" t="n">
        <v>0.9704</v>
      </c>
      <c r="T639" s="22" t="n">
        <v>-0.0424</v>
      </c>
      <c r="U639" s="16" t="inlineStr">
        <is>
          <t>No</t>
        </is>
      </c>
      <c r="V639" s="16" t="inlineStr">
        <is>
          <t>No</t>
        </is>
      </c>
      <c r="W639" s="16" t="inlineStr">
        <is>
          <t>No</t>
        </is>
      </c>
      <c r="X639" s="16" t="inlineStr">
        <is>
          <t>No</t>
        </is>
      </c>
      <c r="Y639" s="20" t="n">
        <v>152</v>
      </c>
      <c r="Z639" s="19" t="n">
        <v>-0.1469</v>
      </c>
      <c r="AA639" s="18" t="n">
        <v>53.11</v>
      </c>
      <c r="AB639" s="16" t="inlineStr">
        <is>
          <t>Good</t>
        </is>
      </c>
      <c r="AC639" s="16" t="inlineStr">
        <is>
          <t>No</t>
        </is>
      </c>
      <c r="AD639" s="19" t="n">
        <v>0.0624</v>
      </c>
      <c r="AE639" s="19" t="n">
        <v>0.09720000000000001</v>
      </c>
      <c r="AF639" s="19" t="n">
        <v>1.9803</v>
      </c>
      <c r="AG639" s="19" t="n">
        <v>0.8081999999999999</v>
      </c>
      <c r="AH639" s="23" t="n">
        <v>0.28</v>
      </c>
      <c r="AI639" s="23" t="n">
        <v>0.59</v>
      </c>
      <c r="AJ639" s="19" t="n">
        <v>0.5395</v>
      </c>
    </row>
    <row r="640">
      <c r="A640" s="16" t="inlineStr">
        <is>
          <t>ZEEL</t>
        </is>
      </c>
      <c r="B640" s="16" t="inlineStr">
        <is>
          <t>Zee Entertainment Enterprises Ltd.</t>
        </is>
      </c>
      <c r="C640" s="16" t="inlineStr">
        <is>
          <t>Broadcasting &amp; Cable TV</t>
        </is>
      </c>
      <c r="D640" s="16" t="inlineStr">
        <is>
          <t>Media</t>
        </is>
      </c>
      <c r="E640" s="16" t="inlineStr">
        <is>
          <t>INE256A01028</t>
        </is>
      </c>
      <c r="F640" s="17" t="n">
        <v>8799.32</v>
      </c>
      <c r="G640" s="18" t="n">
        <v>91.61</v>
      </c>
      <c r="H640" s="19" t="n">
        <v>-0.0003</v>
      </c>
      <c r="I640" s="20" t="n">
        <v>23</v>
      </c>
      <c r="J640" s="16" t="inlineStr">
        <is>
          <t>red</t>
        </is>
      </c>
      <c r="K640" s="20" t="n">
        <v>10</v>
      </c>
      <c r="L640" s="18" t="n">
        <v>26.67</v>
      </c>
      <c r="M640" s="18" t="n">
        <v>96.34</v>
      </c>
      <c r="N640" s="18" t="n">
        <v>102.04</v>
      </c>
      <c r="O640" s="18" t="n">
        <v>93.28</v>
      </c>
      <c r="P640" s="18" t="n">
        <v>119.91</v>
      </c>
      <c r="Q640" s="18" t="n">
        <v>68.39</v>
      </c>
      <c r="R640" s="21">
        <f>IF(OR(G640="",P640=""),"",G640/P640-1)</f>
        <v/>
      </c>
      <c r="S640" s="19" t="n">
        <v>0.3766</v>
      </c>
      <c r="T640" s="22" t="n">
        <v>-0.002</v>
      </c>
      <c r="U640" s="16" t="inlineStr">
        <is>
          <t>No</t>
        </is>
      </c>
      <c r="V640" s="16" t="inlineStr">
        <is>
          <t>No</t>
        </is>
      </c>
      <c r="W640" s="16" t="inlineStr">
        <is>
          <t>No</t>
        </is>
      </c>
      <c r="X640" s="16" t="inlineStr">
        <is>
          <t>Yes</t>
        </is>
      </c>
      <c r="Y640" s="20" t="n">
        <v>53</v>
      </c>
      <c r="Z640" s="19" t="n">
        <v>0.09390000000000001</v>
      </c>
      <c r="AA640" s="18" t="n">
        <v>47.94</v>
      </c>
      <c r="AB640" s="16" t="inlineStr">
        <is>
          <t>Average</t>
        </is>
      </c>
      <c r="AC640" s="16" t="inlineStr">
        <is>
          <t>No</t>
        </is>
      </c>
      <c r="AD640" s="19" t="n">
        <v>0.0317</v>
      </c>
      <c r="AE640" s="19" t="n">
        <v>0.04940000000000001</v>
      </c>
      <c r="AF640" s="19" t="n">
        <v>1.7182</v>
      </c>
      <c r="AG640" s="19" t="n">
        <v>0.0016</v>
      </c>
      <c r="AH640" s="23" t="n">
        <v>0.02</v>
      </c>
      <c r="AI640" s="23" t="n">
        <v>16.18</v>
      </c>
      <c r="AJ640" s="19" t="n">
        <v>0.006999999999999999</v>
      </c>
    </row>
    <row r="641">
      <c r="A641" s="16" t="inlineStr">
        <is>
          <t>GNFC</t>
        </is>
      </c>
      <c r="B641" s="16" t="inlineStr">
        <is>
          <t>Gujarat Narmada Valley Fertilizers &amp; Chemicals Ltd.</t>
        </is>
      </c>
      <c r="C641" s="16" t="inlineStr">
        <is>
          <t>Fertilizers</t>
        </is>
      </c>
      <c r="D641" s="16" t="inlineStr">
        <is>
          <t>Fertilizers</t>
        </is>
      </c>
      <c r="E641" s="16" t="inlineStr">
        <is>
          <t>INE113A01013</t>
        </is>
      </c>
      <c r="F641" s="17" t="n">
        <v>8767.950000000001</v>
      </c>
      <c r="G641" s="18" t="n">
        <v>596.7</v>
      </c>
      <c r="H641" s="19" t="n">
        <v>0.0159</v>
      </c>
      <c r="I641" s="20" t="n">
        <v>69</v>
      </c>
      <c r="J641" s="16" t="inlineStr">
        <is>
          <t>amber</t>
        </is>
      </c>
      <c r="K641" s="20" t="n">
        <v>16</v>
      </c>
      <c r="L641" s="18" t="n">
        <v>47.87</v>
      </c>
      <c r="M641" s="18" t="n">
        <v>581.63</v>
      </c>
      <c r="N641" s="18" t="n">
        <v>541.5599999999999</v>
      </c>
      <c r="O641" s="18" t="n">
        <v>493.23</v>
      </c>
      <c r="P641" s="18" t="n">
        <v>609.75</v>
      </c>
      <c r="Q641" s="18" t="n">
        <v>366.45</v>
      </c>
      <c r="R641" s="21">
        <f>IF(OR(G641="",P641=""),"",G641/P641-1)</f>
        <v/>
      </c>
      <c r="S641" s="19" t="n">
        <v>1.2729</v>
      </c>
      <c r="T641" s="22" t="n">
        <v>0.016</v>
      </c>
      <c r="U641" s="16" t="inlineStr">
        <is>
          <t>Yes</t>
        </is>
      </c>
      <c r="V641" s="16" t="inlineStr">
        <is>
          <t>Yes</t>
        </is>
      </c>
      <c r="W641" s="16" t="inlineStr">
        <is>
          <t>Yes</t>
        </is>
      </c>
      <c r="X641" s="16" t="inlineStr">
        <is>
          <t>Yes</t>
        </is>
      </c>
      <c r="Y641" s="20" t="n">
        <v>62</v>
      </c>
      <c r="Z641" s="19" t="n">
        <v>0.098</v>
      </c>
      <c r="AA641" s="18" t="n">
        <v>40</v>
      </c>
      <c r="AB641" s="16" t="inlineStr">
        <is>
          <t>Weak</t>
        </is>
      </c>
      <c r="AC641" s="16" t="inlineStr">
        <is>
          <t>No</t>
        </is>
      </c>
      <c r="AD641" s="19" t="n">
        <v>0.0727</v>
      </c>
      <c r="AE641" s="19" t="n">
        <v>0.0969</v>
      </c>
      <c r="AF641" s="19" t="n">
        <v>-0.0176</v>
      </c>
      <c r="AG641" s="19" t="n">
        <v>-0.08070000000000001</v>
      </c>
      <c r="AH641" s="23" t="n">
        <v>0</v>
      </c>
      <c r="AI641" s="23" t="n">
        <v>2.1</v>
      </c>
      <c r="AJ641" s="19" t="n">
        <v>0.2427</v>
      </c>
    </row>
    <row r="642">
      <c r="A642" s="16" t="inlineStr">
        <is>
          <t>RAILTEL</t>
        </is>
      </c>
      <c r="B642" s="16" t="inlineStr">
        <is>
          <t>RailTel Corporation of India Ltd.</t>
        </is>
      </c>
      <c r="C642" s="16" t="inlineStr">
        <is>
          <t>Telecom Services</t>
        </is>
      </c>
      <c r="D642" s="16" t="inlineStr">
        <is>
          <t>Telecom Services</t>
        </is>
      </c>
      <c r="E642" s="16" t="inlineStr">
        <is>
          <t>INE0DD101019</t>
        </is>
      </c>
      <c r="F642" s="17" t="n">
        <v>8699.040000000001</v>
      </c>
      <c r="G642" s="18" t="n">
        <v>271.05</v>
      </c>
      <c r="H642" s="19" t="n">
        <v>0.0005999999999999999</v>
      </c>
      <c r="I642" s="20" t="n">
        <v>14</v>
      </c>
      <c r="J642" s="16" t="inlineStr">
        <is>
          <t>red</t>
        </is>
      </c>
      <c r="K642" s="20" t="n">
        <v>149</v>
      </c>
      <c r="L642" s="18" t="n">
        <v>40.45</v>
      </c>
      <c r="M642" s="18" t="n">
        <v>275.77</v>
      </c>
      <c r="N642" s="18" t="n">
        <v>290.48</v>
      </c>
      <c r="O642" s="18" t="n">
        <v>312.81</v>
      </c>
      <c r="P642" s="18" t="n">
        <v>396.68</v>
      </c>
      <c r="Q642" s="18" t="n">
        <v>245.02</v>
      </c>
      <c r="R642" s="21">
        <f>IF(OR(G642="",P642=""),"",G642/P642-1)</f>
        <v/>
      </c>
      <c r="S642" s="19" t="n">
        <v>0.4232</v>
      </c>
      <c r="T642" s="22" t="n">
        <v>-0.0244</v>
      </c>
      <c r="U642" s="16" t="inlineStr">
        <is>
          <t>No</t>
        </is>
      </c>
      <c r="V642" s="16" t="inlineStr">
        <is>
          <t>No</t>
        </is>
      </c>
      <c r="W642" s="16" t="inlineStr">
        <is>
          <t>No</t>
        </is>
      </c>
      <c r="X642" s="16" t="inlineStr">
        <is>
          <t>No</t>
        </is>
      </c>
      <c r="Y642" s="20" t="n">
        <v>184</v>
      </c>
      <c r="Z642" s="19" t="n">
        <v>-0.07139999999999999</v>
      </c>
      <c r="AA642" s="18" t="n">
        <v>69.12</v>
      </c>
      <c r="AB642" s="16" t="inlineStr">
        <is>
          <t>High</t>
        </is>
      </c>
      <c r="AC642" s="16" t="inlineStr">
        <is>
          <t>No</t>
        </is>
      </c>
      <c r="AD642" s="19" t="n">
        <v>0.1459</v>
      </c>
      <c r="AE642" s="19" t="n">
        <v>0.1951</v>
      </c>
      <c r="AF642" s="19" t="n">
        <v>0.2265</v>
      </c>
      <c r="AG642" s="19" t="n">
        <v>0.2991</v>
      </c>
      <c r="AH642" s="23" t="n">
        <v>0.03</v>
      </c>
      <c r="AI642" s="23" t="n">
        <v>3.12</v>
      </c>
      <c r="AJ642" s="19" t="n">
        <v>0.0989</v>
      </c>
    </row>
    <row r="643">
      <c r="A643" s="16" t="inlineStr">
        <is>
          <t>BATAINDIA</t>
        </is>
      </c>
      <c r="B643" s="16" t="inlineStr">
        <is>
          <t>Bata India Ltd.</t>
        </is>
      </c>
      <c r="C643" s="16" t="inlineStr">
        <is>
          <t>Footwear</t>
        </is>
      </c>
      <c r="D643" s="16" t="inlineStr">
        <is>
          <t>Retailing</t>
        </is>
      </c>
      <c r="E643" s="16" t="inlineStr">
        <is>
          <t>INE176A01028</t>
        </is>
      </c>
      <c r="F643" s="17" t="n">
        <v>8646.690000000001</v>
      </c>
      <c r="G643" s="18" t="n">
        <v>672.75</v>
      </c>
      <c r="H643" s="19" t="n">
        <v>-0.0069</v>
      </c>
      <c r="I643" s="20" t="n">
        <v>18</v>
      </c>
      <c r="J643" s="16" t="inlineStr">
        <is>
          <t>red</t>
        </is>
      </c>
      <c r="K643" s="20" t="n">
        <v>365</v>
      </c>
      <c r="L643" s="18" t="n">
        <v>11.41</v>
      </c>
      <c r="M643" s="18" t="n">
        <v>678.6</v>
      </c>
      <c r="N643" s="18" t="n">
        <v>676.6</v>
      </c>
      <c r="O643" s="18" t="n">
        <v>741.13</v>
      </c>
      <c r="P643" s="18" t="n">
        <v>1215.87</v>
      </c>
      <c r="Q643" s="18" t="n">
        <v>579.78</v>
      </c>
      <c r="R643" s="21">
        <f>IF(OR(G643="",P643=""),"",G643/P643-1)</f>
        <v/>
      </c>
      <c r="S643" s="19" t="n">
        <v>0.1671</v>
      </c>
      <c r="T643" s="22" t="n">
        <v>-0.0429</v>
      </c>
      <c r="U643" s="16" t="inlineStr">
        <is>
          <t>No</t>
        </is>
      </c>
      <c r="V643" s="16" t="inlineStr">
        <is>
          <t>No</t>
        </is>
      </c>
      <c r="W643" s="16" t="inlineStr">
        <is>
          <t>No</t>
        </is>
      </c>
      <c r="X643" s="16" t="inlineStr">
        <is>
          <t>No</t>
        </is>
      </c>
      <c r="Y643" s="20" t="n">
        <v>458</v>
      </c>
      <c r="Z643" s="19" t="n">
        <v>-0.08710000000000001</v>
      </c>
      <c r="AA643" s="18" t="n">
        <v>34.85</v>
      </c>
      <c r="AB643" s="16" t="inlineStr">
        <is>
          <t>Weak</t>
        </is>
      </c>
      <c r="AC643" s="16" t="inlineStr">
        <is>
          <t>No</t>
        </is>
      </c>
      <c r="AD643" s="19" t="n">
        <v>0.1553</v>
      </c>
      <c r="AE643" s="19" t="n">
        <v>0.1506</v>
      </c>
      <c r="AF643" s="19" t="n">
        <v>-0.1739</v>
      </c>
      <c r="AG643" s="19" t="n">
        <v>0.0061</v>
      </c>
      <c r="AH643" s="23" t="n">
        <v>0.87</v>
      </c>
      <c r="AI643" s="23" t="n">
        <v>2.43</v>
      </c>
      <c r="AJ643" s="19" t="n">
        <v>0.0048</v>
      </c>
    </row>
    <row r="644">
      <c r="A644" s="16" t="inlineStr">
        <is>
          <t>JAYNECOIND</t>
        </is>
      </c>
      <c r="B644" s="16" t="inlineStr">
        <is>
          <t>Jayaswal Neco Industries Ltd.</t>
        </is>
      </c>
      <c r="C644" s="16" t="inlineStr">
        <is>
          <t>Iron &amp; Steel/Interm.Products</t>
        </is>
      </c>
      <c r="D644" s="16" t="inlineStr">
        <is>
          <t>Metals &amp; Mining</t>
        </is>
      </c>
      <c r="E644" s="16" t="inlineStr">
        <is>
          <t>INE854B01010</t>
        </is>
      </c>
      <c r="F644" s="17" t="n">
        <v>8645.77</v>
      </c>
      <c r="G644" s="18" t="n">
        <v>89.04000000000001</v>
      </c>
      <c r="H644" s="19" t="n">
        <v>-0.0977</v>
      </c>
      <c r="I644" s="20" t="n">
        <v>66</v>
      </c>
      <c r="J644" s="16" t="inlineStr">
        <is>
          <t>amber</t>
        </is>
      </c>
      <c r="K644" s="20" t="n">
        <v>14</v>
      </c>
      <c r="L644" s="18" t="n">
        <v>50.98</v>
      </c>
      <c r="M644" s="18" t="n">
        <v>97.95</v>
      </c>
      <c r="N644" s="18" t="n">
        <v>91.26000000000001</v>
      </c>
      <c r="O644" s="18" t="n">
        <v>86.5</v>
      </c>
      <c r="P644" s="18" t="n">
        <v>115.24</v>
      </c>
      <c r="Q644" s="18" t="n">
        <v>59.27</v>
      </c>
      <c r="R644" s="21">
        <f>IF(OR(G644="",P644=""),"",G644/P644-1)</f>
        <v/>
      </c>
      <c r="S644" s="19" t="n">
        <v>8.599</v>
      </c>
      <c r="T644" s="22" t="n">
        <v>0.0232</v>
      </c>
      <c r="U644" s="16" t="inlineStr">
        <is>
          <t>Yes</t>
        </is>
      </c>
      <c r="V644" s="16" t="inlineStr">
        <is>
          <t>No</t>
        </is>
      </c>
      <c r="W644" s="16" t="inlineStr">
        <is>
          <t>No</t>
        </is>
      </c>
      <c r="X644" s="16" t="inlineStr">
        <is>
          <t>Yes</t>
        </is>
      </c>
      <c r="Y644" s="20" t="n">
        <v>298</v>
      </c>
      <c r="Z644" s="19" t="n">
        <v>0.0551</v>
      </c>
      <c r="AA644" s="18" t="n">
        <v>44.06</v>
      </c>
      <c r="AB644" s="16" t="inlineStr">
        <is>
          <t>Average</t>
        </is>
      </c>
      <c r="AC644" s="16" t="inlineStr">
        <is>
          <t>No</t>
        </is>
      </c>
      <c r="AD644" s="19" t="n">
        <v>0.1011</v>
      </c>
      <c r="AE644" s="19" t="n">
        <v>0.1585</v>
      </c>
      <c r="AF644" s="19" t="n">
        <v>0.8573999999999999</v>
      </c>
      <c r="AG644" s="19" t="n">
        <v>0.0457</v>
      </c>
      <c r="AH644" s="23" t="n">
        <v>0.74</v>
      </c>
      <c r="AI644" s="23" t="n">
        <v>2.19</v>
      </c>
      <c r="AJ644" s="19" t="n">
        <v>0.0288</v>
      </c>
    </row>
    <row r="645">
      <c r="A645" s="16" t="inlineStr">
        <is>
          <t>PRECWIRE</t>
        </is>
      </c>
      <c r="B645" s="16" t="inlineStr">
        <is>
          <t>Precision Wires India Ltd.</t>
        </is>
      </c>
      <c r="C645" s="16" t="inlineStr">
        <is>
          <t>Other Industrial Products</t>
        </is>
      </c>
      <c r="D645" s="16" t="inlineStr">
        <is>
          <t>General Industrials</t>
        </is>
      </c>
      <c r="E645" s="16" t="inlineStr">
        <is>
          <t>INE372C01037</t>
        </is>
      </c>
      <c r="F645" s="17" t="n">
        <v>8643.16</v>
      </c>
      <c r="G645" s="18" t="n">
        <v>472.8</v>
      </c>
      <c r="H645" s="19" t="n">
        <v>-0.0308</v>
      </c>
      <c r="I645" s="20" t="n">
        <v>91</v>
      </c>
      <c r="J645" s="16" t="inlineStr">
        <is>
          <t>green</t>
        </is>
      </c>
      <c r="K645" s="20" t="n">
        <v>217</v>
      </c>
      <c r="L645" s="18" t="n">
        <v>53.37</v>
      </c>
      <c r="M645" s="18" t="n">
        <v>476.13</v>
      </c>
      <c r="N645" s="18" t="n">
        <v>410.6</v>
      </c>
      <c r="O645" s="18" t="n">
        <v>340.07</v>
      </c>
      <c r="P645" s="18" t="n">
        <v>507.35</v>
      </c>
      <c r="Q645" s="18" t="n">
        <v>174.41</v>
      </c>
      <c r="R645" s="21">
        <f>IF(OR(G645="",P645=""),"",G645/P645-1)</f>
        <v/>
      </c>
      <c r="S645" s="19" t="n">
        <v>0.755</v>
      </c>
      <c r="T645" s="22" t="n">
        <v>0.0699</v>
      </c>
      <c r="U645" s="16" t="inlineStr">
        <is>
          <t>Yes</t>
        </is>
      </c>
      <c r="V645" s="16" t="inlineStr">
        <is>
          <t>Yes</t>
        </is>
      </c>
      <c r="W645" s="16" t="inlineStr">
        <is>
          <t>No</t>
        </is>
      </c>
      <c r="X645" s="16" t="inlineStr">
        <is>
          <t>Yes</t>
        </is>
      </c>
      <c r="Y645" s="20" t="n">
        <v>296</v>
      </c>
      <c r="Z645" s="19" t="n">
        <v>0.2074</v>
      </c>
      <c r="AA645" s="18" t="n">
        <v>40</v>
      </c>
      <c r="AB645" s="16" t="inlineStr">
        <is>
          <t>Weak</t>
        </is>
      </c>
      <c r="AC645" s="16" t="inlineStr">
        <is>
          <t>No</t>
        </is>
      </c>
      <c r="AD645" s="19" t="n">
        <v>0.1671</v>
      </c>
      <c r="AE645" s="19" t="n">
        <v>0.2362</v>
      </c>
      <c r="AF645" s="19" t="n">
        <v>-0.1798</v>
      </c>
      <c r="AG645" s="19" t="n">
        <v>0.2324</v>
      </c>
      <c r="AH645" s="23" t="n">
        <v>0.38</v>
      </c>
      <c r="AI645" s="23" t="n">
        <v>10.67</v>
      </c>
      <c r="AJ645" s="19" t="n">
        <v>0.3668</v>
      </c>
    </row>
    <row r="646">
      <c r="A646" s="16" t="inlineStr">
        <is>
          <t>RELAXO</t>
        </is>
      </c>
      <c r="B646" s="16" t="inlineStr">
        <is>
          <t>Relaxo Footwears Ltd.</t>
        </is>
      </c>
      <c r="C646" s="16" t="inlineStr">
        <is>
          <t>Footwear</t>
        </is>
      </c>
      <c r="D646" s="16" t="inlineStr">
        <is>
          <t>Retailing</t>
        </is>
      </c>
      <c r="E646" s="16" t="inlineStr">
        <is>
          <t>INE131B01039</t>
        </is>
      </c>
      <c r="F646" s="17" t="n">
        <v>8582.16</v>
      </c>
      <c r="G646" s="18" t="n">
        <v>344.75</v>
      </c>
      <c r="H646" s="19" t="n">
        <v>0.0023</v>
      </c>
      <c r="I646" s="20" t="n">
        <v>25</v>
      </c>
      <c r="J646" s="16" t="inlineStr">
        <is>
          <t>red</t>
        </is>
      </c>
      <c r="K646" s="20" t="n">
        <v>15</v>
      </c>
      <c r="L646" s="18" t="n">
        <v>13.28</v>
      </c>
      <c r="M646" s="18" t="n">
        <v>354.07</v>
      </c>
      <c r="N646" s="18" t="n">
        <v>393.36</v>
      </c>
      <c r="O646" s="18" t="n">
        <v>358.39</v>
      </c>
      <c r="P646" s="18" t="n">
        <v>499.4</v>
      </c>
      <c r="Q646" s="18" t="n">
        <v>237.9</v>
      </c>
      <c r="R646" s="21">
        <f>IF(OR(G646="",P646=""),"",G646/P646-1)</f>
        <v/>
      </c>
      <c r="S646" s="19" t="n">
        <v>0.1729</v>
      </c>
      <c r="T646" s="22" t="n">
        <v>-0.0155</v>
      </c>
      <c r="U646" s="16" t="inlineStr">
        <is>
          <t>No</t>
        </is>
      </c>
      <c r="V646" s="16" t="inlineStr">
        <is>
          <t>No</t>
        </is>
      </c>
      <c r="W646" s="16" t="inlineStr">
        <is>
          <t>No</t>
        </is>
      </c>
      <c r="X646" s="16" t="inlineStr">
        <is>
          <t>Yes</t>
        </is>
      </c>
      <c r="Y646" s="20" t="n">
        <v>29</v>
      </c>
      <c r="Z646" s="19" t="n">
        <v>0.09759999999999999</v>
      </c>
      <c r="AA646" s="18" t="n">
        <v>35.7</v>
      </c>
      <c r="AB646" s="16" t="inlineStr">
        <is>
          <t>Weak</t>
        </is>
      </c>
      <c r="AC646" s="16" t="inlineStr">
        <is>
          <t>No</t>
        </is>
      </c>
      <c r="AD646" s="19" t="n">
        <v>0.0876</v>
      </c>
      <c r="AE646" s="19" t="n">
        <v>0.1156</v>
      </c>
      <c r="AF646" s="19" t="n">
        <v>-0.2847</v>
      </c>
      <c r="AG646" s="19" t="n">
        <v>-0.0068</v>
      </c>
      <c r="AH646" s="23" t="n">
        <v>0.11</v>
      </c>
      <c r="AI646" s="23" t="n">
        <v>1.86</v>
      </c>
      <c r="AJ646" s="19" t="n">
        <v>0.0665</v>
      </c>
    </row>
    <row r="647">
      <c r="A647" s="16" t="inlineStr">
        <is>
          <t>VESUVIUS</t>
        </is>
      </c>
      <c r="B647" s="16" t="inlineStr">
        <is>
          <t>Vesuvius India Ltd.</t>
        </is>
      </c>
      <c r="C647" s="16" t="inlineStr">
        <is>
          <t>Electrodes &amp; Refractories</t>
        </is>
      </c>
      <c r="D647" s="16" t="inlineStr">
        <is>
          <t>General Industrials</t>
        </is>
      </c>
      <c r="E647" s="16" t="inlineStr">
        <is>
          <t>INE386A01023</t>
        </is>
      </c>
      <c r="F647" s="17" t="n">
        <v>8507.1</v>
      </c>
      <c r="G647" s="18" t="n">
        <v>419.15</v>
      </c>
      <c r="H647" s="19" t="n">
        <v>-0.002</v>
      </c>
      <c r="I647" s="20" t="n">
        <v>15</v>
      </c>
      <c r="J647" s="16" t="inlineStr">
        <is>
          <t>red</t>
        </is>
      </c>
      <c r="K647" s="20" t="n">
        <v>86</v>
      </c>
      <c r="L647" s="18" t="n">
        <v>35.17</v>
      </c>
      <c r="M647" s="18" t="n">
        <v>417.84</v>
      </c>
      <c r="N647" s="18" t="n">
        <v>448.25</v>
      </c>
      <c r="O647" s="18" t="n">
        <v>472.31</v>
      </c>
      <c r="P647" s="18" t="n">
        <v>554.9299999999999</v>
      </c>
      <c r="Q647" s="18" t="n">
        <v>407.75</v>
      </c>
      <c r="R647" s="21">
        <f>IF(OR(G647="",P647=""),"",G647/P647-1)</f>
        <v/>
      </c>
      <c r="S647" s="19" t="n">
        <v>0.6085</v>
      </c>
      <c r="T647" s="22" t="n">
        <v>-0.0119</v>
      </c>
      <c r="U647" s="16" t="inlineStr">
        <is>
          <t>No</t>
        </is>
      </c>
      <c r="V647" s="16" t="inlineStr">
        <is>
          <t>No</t>
        </is>
      </c>
      <c r="W647" s="16" t="inlineStr">
        <is>
          <t>Yes</t>
        </is>
      </c>
      <c r="X647" s="16" t="inlineStr">
        <is>
          <t>No</t>
        </is>
      </c>
      <c r="Y647" s="20" t="n">
        <v>193</v>
      </c>
      <c r="Z647" s="19" t="n">
        <v>-0.0509</v>
      </c>
      <c r="AA647" s="18" t="n">
        <v>68.06999999999999</v>
      </c>
      <c r="AB647" s="16" t="inlineStr">
        <is>
          <t>High</t>
        </is>
      </c>
      <c r="AC647" s="16" t="inlineStr">
        <is>
          <t>No</t>
        </is>
      </c>
      <c r="AD647" s="19" t="n">
        <v>0.174</v>
      </c>
      <c r="AE647" s="19" t="n">
        <v>0.2308</v>
      </c>
      <c r="AF647" s="19" t="n">
        <v>0.1203</v>
      </c>
      <c r="AG647" s="19" t="n">
        <v>0.149</v>
      </c>
      <c r="AH647" s="23" t="n">
        <v>0.01</v>
      </c>
      <c r="AI647" s="23" t="n">
        <v>3.1</v>
      </c>
      <c r="AJ647" s="19" t="n">
        <v>0.08169999999999999</v>
      </c>
    </row>
    <row r="648">
      <c r="A648" s="16" t="inlineStr">
        <is>
          <t>GRINFRA</t>
        </is>
      </c>
      <c r="B648" s="16" t="inlineStr">
        <is>
          <t>G R Infraprojects Ltd.</t>
        </is>
      </c>
      <c r="C648" s="16" t="inlineStr">
        <is>
          <t>Roads &amp; Highways</t>
        </is>
      </c>
      <c r="D648" s="16" t="inlineStr">
        <is>
          <t>Cement and Construction</t>
        </is>
      </c>
      <c r="E648" s="16" t="inlineStr">
        <is>
          <t>INE201P01022</t>
        </is>
      </c>
      <c r="F648" s="17" t="n">
        <v>8409.459999999999</v>
      </c>
      <c r="G648" s="18" t="n">
        <v>869.1</v>
      </c>
      <c r="H648" s="19" t="n">
        <v>-0.0023</v>
      </c>
      <c r="I648" s="20" t="n">
        <v>19</v>
      </c>
      <c r="J648" s="16" t="inlineStr">
        <is>
          <t>red</t>
        </is>
      </c>
      <c r="K648" s="20" t="n">
        <v>440</v>
      </c>
      <c r="L648" s="18" t="n">
        <v>48.92</v>
      </c>
      <c r="M648" s="18" t="n">
        <v>882.39</v>
      </c>
      <c r="N648" s="18" t="n">
        <v>890.22</v>
      </c>
      <c r="O648" s="18" t="n">
        <v>930.8200000000001</v>
      </c>
      <c r="P648" s="18" t="n">
        <v>1320.12</v>
      </c>
      <c r="Q648" s="18" t="n">
        <v>795.95</v>
      </c>
      <c r="R648" s="21">
        <f>IF(OR(G648="",P648=""),"",G648/P648-1)</f>
        <v/>
      </c>
      <c r="S648" s="19" t="n">
        <v>0.2172</v>
      </c>
      <c r="T648" s="22" t="n">
        <v>-0.0279</v>
      </c>
      <c r="U648" s="16" t="inlineStr">
        <is>
          <t>No</t>
        </is>
      </c>
      <c r="V648" s="16" t="inlineStr">
        <is>
          <t>No</t>
        </is>
      </c>
      <c r="W648" s="16" t="inlineStr">
        <is>
          <t>No</t>
        </is>
      </c>
      <c r="X648" s="16" t="inlineStr">
        <is>
          <t>No</t>
        </is>
      </c>
      <c r="Y648" s="20" t="n">
        <v>192</v>
      </c>
      <c r="Z648" s="19" t="n">
        <v>-0.0436</v>
      </c>
      <c r="AA648" s="18" t="n">
        <v>40</v>
      </c>
      <c r="AB648" s="16" t="inlineStr">
        <is>
          <t>Weak</t>
        </is>
      </c>
      <c r="AC648" s="16" t="inlineStr">
        <is>
          <t>No</t>
        </is>
      </c>
      <c r="AD648" s="19" t="n">
        <v>0.1301</v>
      </c>
      <c r="AE648" s="19" t="n">
        <v>0.1508</v>
      </c>
      <c r="AF648" s="19" t="n">
        <v>-0.1447</v>
      </c>
      <c r="AG648" s="19" t="n">
        <v>-0.0212</v>
      </c>
      <c r="AH648" s="23" t="n">
        <v>0.52</v>
      </c>
      <c r="AI648" s="23" t="n">
        <v>6.57</v>
      </c>
      <c r="AJ648" s="19" t="n">
        <v>0.1003</v>
      </c>
    </row>
    <row r="649">
      <c r="A649" s="16" t="inlineStr">
        <is>
          <t>EQUITASBNK</t>
        </is>
      </c>
      <c r="B649" s="16" t="inlineStr">
        <is>
          <t>Equitas Small Finance Bank Ltd.</t>
        </is>
      </c>
      <c r="C649" s="16" t="inlineStr">
        <is>
          <t>Microfinance Institutions</t>
        </is>
      </c>
      <c r="D649" s="16" t="inlineStr">
        <is>
          <t>Banking and Finance</t>
        </is>
      </c>
      <c r="E649" s="16" t="inlineStr">
        <is>
          <t>INE063P01018</t>
        </is>
      </c>
      <c r="F649" s="17" t="n">
        <v>8344.98</v>
      </c>
      <c r="G649" s="18" t="n">
        <v>72.95</v>
      </c>
      <c r="H649" s="19" t="n">
        <v>-0.0012</v>
      </c>
      <c r="I649" s="20" t="n">
        <v>61</v>
      </c>
      <c r="J649" s="16" t="inlineStr">
        <is>
          <t>amber</t>
        </is>
      </c>
      <c r="K649" s="20" t="n">
        <v>39</v>
      </c>
      <c r="L649" s="18" t="n">
        <v>39.77</v>
      </c>
      <c r="M649" s="18" t="n">
        <v>73.77</v>
      </c>
      <c r="N649" s="18" t="n">
        <v>76.37</v>
      </c>
      <c r="O649" s="18" t="n">
        <v>68.34</v>
      </c>
      <c r="P649" s="18" t="n">
        <v>83.06999999999999</v>
      </c>
      <c r="Q649" s="18" t="n">
        <v>51.73</v>
      </c>
      <c r="R649" s="21">
        <f>IF(OR(G649="",P649=""),"",G649/P649-1)</f>
        <v/>
      </c>
      <c r="S649" s="19" t="n">
        <v>0.206</v>
      </c>
      <c r="T649" s="22" t="n">
        <v>0.0218</v>
      </c>
      <c r="U649" s="16" t="inlineStr">
        <is>
          <t>Yes</t>
        </is>
      </c>
      <c r="V649" s="16" t="inlineStr">
        <is>
          <t>No</t>
        </is>
      </c>
      <c r="W649" s="16" t="inlineStr">
        <is>
          <t>No</t>
        </is>
      </c>
      <c r="X649" s="16" t="inlineStr">
        <is>
          <t>Yes</t>
        </is>
      </c>
      <c r="Y649" s="20" t="n">
        <v>176</v>
      </c>
      <c r="Z649" s="19" t="n">
        <v>0.1175</v>
      </c>
      <c r="AA649" s="18" t="n">
        <v>26.46</v>
      </c>
      <c r="AB649" s="16" t="inlineStr">
        <is>
          <t>Poor</t>
        </is>
      </c>
      <c r="AC649" s="16" t="inlineStr">
        <is>
          <t>Yes</t>
        </is>
      </c>
      <c r="AD649" s="19" t="n">
        <v>0.0583</v>
      </c>
      <c r="AE649" s="19" t="n"/>
      <c r="AF649" s="19" t="n">
        <v>-0.2057</v>
      </c>
      <c r="AG649" s="19" t="n">
        <v>0.1376</v>
      </c>
      <c r="AH649" s="23" t="n">
        <v>0.9399999999999999</v>
      </c>
      <c r="AI649" s="23" t="n">
        <v>6.24</v>
      </c>
      <c r="AJ649" s="19" t="n">
        <v>0</v>
      </c>
    </row>
    <row r="650">
      <c r="A650" s="16" t="inlineStr">
        <is>
          <t>LEMONTREE</t>
        </is>
      </c>
      <c r="B650" s="16" t="inlineStr">
        <is>
          <t>Lemon Tree Hotels Ltd.</t>
        </is>
      </c>
      <c r="C650" s="16" t="inlineStr">
        <is>
          <t>Hotels</t>
        </is>
      </c>
      <c r="D650" s="16" t="inlineStr">
        <is>
          <t>Hotels Restaurants &amp; Tourism</t>
        </is>
      </c>
      <c r="E650" s="16" t="inlineStr">
        <is>
          <t>INE970X01018</t>
        </is>
      </c>
      <c r="F650" s="17" t="n">
        <v>8314.629999999999</v>
      </c>
      <c r="G650" s="18" t="n">
        <v>104.95</v>
      </c>
      <c r="H650" s="19" t="n">
        <v>0.0005999999999999999</v>
      </c>
      <c r="I650" s="20" t="n">
        <v>11</v>
      </c>
      <c r="J650" s="16" t="inlineStr">
        <is>
          <t>red</t>
        </is>
      </c>
      <c r="K650" s="20" t="n">
        <v>160</v>
      </c>
      <c r="L650" s="18" t="n">
        <v>24.33</v>
      </c>
      <c r="M650" s="18" t="n">
        <v>106.67</v>
      </c>
      <c r="N650" s="18" t="n">
        <v>111.58</v>
      </c>
      <c r="O650" s="18" t="n">
        <v>123.31</v>
      </c>
      <c r="P650" s="18" t="n">
        <v>177.93</v>
      </c>
      <c r="Q650" s="18" t="n">
        <v>100.42</v>
      </c>
      <c r="R650" s="21">
        <f>IF(OR(G650="",P650=""),"",G650/P650-1)</f>
        <v/>
      </c>
      <c r="S650" s="19" t="n">
        <v>1.1409</v>
      </c>
      <c r="T650" s="22" t="n">
        <v>-0.0426</v>
      </c>
      <c r="U650" s="16" t="inlineStr">
        <is>
          <t>No</t>
        </is>
      </c>
      <c r="V650" s="16" t="inlineStr">
        <is>
          <t>No</t>
        </is>
      </c>
      <c r="W650" s="16" t="inlineStr">
        <is>
          <t>No</t>
        </is>
      </c>
      <c r="X650" s="16" t="inlineStr">
        <is>
          <t>No</t>
        </is>
      </c>
      <c r="Y650" s="20" t="n">
        <v>152</v>
      </c>
      <c r="Z650" s="19" t="n">
        <v>-0.0951</v>
      </c>
      <c r="AA650" s="18" t="n">
        <v>45.74</v>
      </c>
      <c r="AB650" s="16" t="inlineStr">
        <is>
          <t>Average</t>
        </is>
      </c>
      <c r="AC650" s="16" t="inlineStr">
        <is>
          <t>No</t>
        </is>
      </c>
      <c r="AD650" s="19" t="n">
        <v>0.1619</v>
      </c>
      <c r="AE650" s="19" t="n">
        <v>0.1462</v>
      </c>
      <c r="AF650" s="19" t="n">
        <v>0.2577</v>
      </c>
      <c r="AG650" s="19" t="n">
        <v>0.2</v>
      </c>
      <c r="AH650" s="23" t="n">
        <v>1.44</v>
      </c>
      <c r="AI650" s="23" t="n">
        <v>0.41</v>
      </c>
      <c r="AJ650" s="19" t="n">
        <v>0.0306</v>
      </c>
    </row>
    <row r="651">
      <c r="A651" s="16" t="inlineStr">
        <is>
          <t>TIPSMUSIC</t>
        </is>
      </c>
      <c r="B651" s="16" t="inlineStr">
        <is>
          <t>Tips Music Ltd.</t>
        </is>
      </c>
      <c r="C651" s="16" t="inlineStr">
        <is>
          <t>Movies &amp; Entertainment</t>
        </is>
      </c>
      <c r="D651" s="16" t="inlineStr">
        <is>
          <t>Media</t>
        </is>
      </c>
      <c r="E651" s="16" t="inlineStr">
        <is>
          <t>INE716B01029</t>
        </is>
      </c>
      <c r="F651" s="17" t="n">
        <v>8305.860000000001</v>
      </c>
      <c r="G651" s="18" t="n">
        <v>649.75</v>
      </c>
      <c r="H651" s="19" t="n">
        <v>-0.0035</v>
      </c>
      <c r="I651" s="20" t="n">
        <v>56</v>
      </c>
      <c r="J651" s="16" t="inlineStr">
        <is>
          <t>red</t>
        </is>
      </c>
      <c r="K651" s="20" t="n">
        <v>10</v>
      </c>
      <c r="L651" s="18" t="n">
        <v>45.95</v>
      </c>
      <c r="M651" s="18" t="n">
        <v>647.36</v>
      </c>
      <c r="N651" s="18" t="n">
        <v>668.37</v>
      </c>
      <c r="O651" s="18" t="n">
        <v>595.92</v>
      </c>
      <c r="P651" s="18" t="n">
        <v>713.75</v>
      </c>
      <c r="Q651" s="18" t="n">
        <v>479.96</v>
      </c>
      <c r="R651" s="21">
        <f>IF(OR(G651="",P651=""),"",G651/P651-1)</f>
        <v/>
      </c>
      <c r="S651" s="19" t="n">
        <v>0.6334000000000001</v>
      </c>
      <c r="T651" s="22" t="n">
        <v>0.0257</v>
      </c>
      <c r="U651" s="16" t="inlineStr">
        <is>
          <t>Yes</t>
        </is>
      </c>
      <c r="V651" s="16" t="inlineStr">
        <is>
          <t>No</t>
        </is>
      </c>
      <c r="W651" s="16" t="inlineStr">
        <is>
          <t>Yes</t>
        </is>
      </c>
      <c r="X651" s="16" t="inlineStr">
        <is>
          <t>Yes</t>
        </is>
      </c>
      <c r="Y651" s="20" t="n">
        <v>91</v>
      </c>
      <c r="Z651" s="19" t="n">
        <v>0.1216</v>
      </c>
      <c r="AA651" s="18" t="n">
        <v>84.19</v>
      </c>
      <c r="AB651" s="16" t="inlineStr">
        <is>
          <t>High</t>
        </is>
      </c>
      <c r="AC651" s="16" t="inlineStr">
        <is>
          <t>No</t>
        </is>
      </c>
      <c r="AD651" s="19" t="n">
        <v>0.7791</v>
      </c>
      <c r="AE651" s="19" t="n">
        <v>1.0258</v>
      </c>
      <c r="AF651" s="19" t="n">
        <v>0.431</v>
      </c>
      <c r="AG651" s="19" t="n">
        <v>0.2627</v>
      </c>
      <c r="AH651" s="23" t="n">
        <v>0.02</v>
      </c>
      <c r="AI651" s="23" t="n">
        <v>26.63</v>
      </c>
      <c r="AJ651" s="19" t="n">
        <v>0</v>
      </c>
    </row>
    <row r="652">
      <c r="A652" s="16" t="inlineStr">
        <is>
          <t>RPEL</t>
        </is>
      </c>
      <c r="B652" s="16" t="inlineStr">
        <is>
          <t>Raghav Productivity Enhancers Ltd.</t>
        </is>
      </c>
      <c r="C652" s="16" t="inlineStr">
        <is>
          <t>Electrodes &amp; Refractories</t>
        </is>
      </c>
      <c r="D652" s="16" t="inlineStr">
        <is>
          <t>General Industrials</t>
        </is>
      </c>
      <c r="E652" s="16" t="inlineStr">
        <is>
          <t>INE912T01018</t>
        </is>
      </c>
      <c r="F652" s="17" t="n">
        <v>8299.02</v>
      </c>
      <c r="G652" s="18" t="n">
        <v>1807.2</v>
      </c>
      <c r="H652" s="19" t="n">
        <v>-0.0414</v>
      </c>
      <c r="I652" s="20" t="n">
        <v>96</v>
      </c>
      <c r="J652" s="16" t="inlineStr">
        <is>
          <t>green</t>
        </is>
      </c>
      <c r="K652" s="20" t="n">
        <v>79</v>
      </c>
      <c r="L652" s="18" t="n">
        <v>72.44</v>
      </c>
      <c r="M652" s="18" t="n">
        <v>1774.47</v>
      </c>
      <c r="N652" s="18" t="n">
        <v>1404.43</v>
      </c>
      <c r="O652" s="18" t="n">
        <v>987.99</v>
      </c>
      <c r="P652" s="18" t="n">
        <v>1885.2</v>
      </c>
      <c r="Q652" s="18" t="n">
        <v>565.92</v>
      </c>
      <c r="R652" s="21">
        <f>IF(OR(G652="",P652=""),"",G652/P652-1)</f>
        <v/>
      </c>
      <c r="S652" s="19" t="n">
        <v>2.1092</v>
      </c>
      <c r="T652" s="22" t="n">
        <v>0.0824</v>
      </c>
      <c r="U652" s="16" t="inlineStr">
        <is>
          <t>Yes</t>
        </is>
      </c>
      <c r="V652" s="16" t="inlineStr">
        <is>
          <t>Yes</t>
        </is>
      </c>
      <c r="W652" s="16" t="inlineStr">
        <is>
          <t>Yes</t>
        </is>
      </c>
      <c r="X652" s="16" t="inlineStr">
        <is>
          <t>Yes</t>
        </is>
      </c>
      <c r="Y652" s="20" t="n">
        <v>65</v>
      </c>
      <c r="Z652" s="19" t="n">
        <v>0.4215</v>
      </c>
      <c r="AA652" s="18" t="n">
        <v>75.66</v>
      </c>
      <c r="AB652" s="16" t="inlineStr">
        <is>
          <t>High</t>
        </is>
      </c>
      <c r="AC652" s="16" t="inlineStr">
        <is>
          <t>No</t>
        </is>
      </c>
      <c r="AD652" s="19" t="n">
        <v>0.1931</v>
      </c>
      <c r="AE652" s="19" t="n">
        <v>0.2446</v>
      </c>
      <c r="AF652" s="19" t="n">
        <v>0.6141</v>
      </c>
      <c r="AG652" s="19" t="n">
        <v>0.2531</v>
      </c>
      <c r="AH652" s="23" t="n">
        <v>0.02</v>
      </c>
      <c r="AI652" s="23" t="n">
        <v>2.5</v>
      </c>
      <c r="AJ652" s="19" t="n">
        <v>0.0417</v>
      </c>
    </row>
    <row r="653">
      <c r="A653" s="16" t="inlineStr">
        <is>
          <t>WESTLIFE</t>
        </is>
      </c>
      <c r="B653" s="16" t="inlineStr">
        <is>
          <t>Westlife Foodworld Ltd.</t>
        </is>
      </c>
      <c r="C653" s="16" t="inlineStr">
        <is>
          <t>Restaurants</t>
        </is>
      </c>
      <c r="D653" s="16" t="inlineStr">
        <is>
          <t>Hotels Restaurants &amp; Tourism</t>
        </is>
      </c>
      <c r="E653" s="16" t="inlineStr">
        <is>
          <t>INE274F01020</t>
        </is>
      </c>
      <c r="F653" s="17" t="n">
        <v>8273.969999999999</v>
      </c>
      <c r="G653" s="18" t="n">
        <v>530.6</v>
      </c>
      <c r="H653" s="19" t="n">
        <v>-0.0184</v>
      </c>
      <c r="I653" s="20" t="n">
        <v>43</v>
      </c>
      <c r="J653" s="16" t="inlineStr">
        <is>
          <t>red</t>
        </is>
      </c>
      <c r="K653" s="20" t="n">
        <v>4</v>
      </c>
      <c r="L653" s="18" t="n">
        <v>32.02</v>
      </c>
      <c r="M653" s="18" t="n">
        <v>553.63</v>
      </c>
      <c r="N653" s="18" t="n">
        <v>529.55</v>
      </c>
      <c r="O653" s="18" t="n">
        <v>502.39</v>
      </c>
      <c r="P653" s="18" t="n">
        <v>755.13</v>
      </c>
      <c r="Q653" s="18" t="n">
        <v>416.56</v>
      </c>
      <c r="R653" s="21">
        <f>IF(OR(G653="",P653=""),"",G653/P653-1)</f>
        <v/>
      </c>
      <c r="S653" s="19" t="n">
        <v>0.2234</v>
      </c>
      <c r="T653" s="22" t="n">
        <v>-0.0008</v>
      </c>
      <c r="U653" s="16" t="inlineStr">
        <is>
          <t>No</t>
        </is>
      </c>
      <c r="V653" s="16" t="inlineStr">
        <is>
          <t>Yes</t>
        </is>
      </c>
      <c r="W653" s="16" t="inlineStr">
        <is>
          <t>No</t>
        </is>
      </c>
      <c r="X653" s="16" t="inlineStr">
        <is>
          <t>Yes</t>
        </is>
      </c>
      <c r="Y653" s="20" t="n">
        <v>14</v>
      </c>
      <c r="Z653" s="19" t="n">
        <v>0.0541</v>
      </c>
      <c r="AA653" s="18" t="n">
        <v>4.3</v>
      </c>
      <c r="AB653" s="16" t="inlineStr">
        <is>
          <t>Poor</t>
        </is>
      </c>
      <c r="AC653" s="16" t="inlineStr">
        <is>
          <t>No</t>
        </is>
      </c>
      <c r="AD653" s="19" t="n">
        <v>0.0633</v>
      </c>
      <c r="AE653" s="19" t="n">
        <v>0.081</v>
      </c>
      <c r="AF653" s="19" t="n">
        <v>0.1499</v>
      </c>
      <c r="AG653" s="19" t="n">
        <v>0.048</v>
      </c>
      <c r="AH653" s="23" t="n">
        <v>2.92</v>
      </c>
      <c r="AI653" s="23" t="n">
        <v>1.15</v>
      </c>
      <c r="AJ653" s="19" t="n">
        <v>0.0431</v>
      </c>
    </row>
    <row r="654">
      <c r="A654" s="16" t="inlineStr">
        <is>
          <t>AUGMONT</t>
        </is>
      </c>
      <c r="B654" s="16" t="inlineStr">
        <is>
          <t>Augmont Enterprises Ltd.</t>
        </is>
      </c>
      <c r="C654" s="16" t="inlineStr">
        <is>
          <t>Commodity Trading  &amp; Distribution</t>
        </is>
      </c>
      <c r="D654" s="16" t="inlineStr">
        <is>
          <t>Commercial Services &amp; Supplies</t>
        </is>
      </c>
      <c r="E654" s="16" t="inlineStr">
        <is>
          <t>INE16W401027</t>
        </is>
      </c>
      <c r="F654" s="17" t="n">
        <v>8237.32</v>
      </c>
      <c r="G654" s="18" t="n">
        <v>901.5</v>
      </c>
      <c r="H654" s="19" t="n">
        <v>-0.023</v>
      </c>
      <c r="I654" s="20" t="n"/>
      <c r="J654" s="16" t="n"/>
      <c r="K654" s="20" t="n"/>
      <c r="L654" s="18" t="n"/>
      <c r="M654" s="18" t="n"/>
      <c r="N654" s="18" t="n"/>
      <c r="O654" s="18" t="n"/>
      <c r="P654" s="18" t="n">
        <v>952.85</v>
      </c>
      <c r="Q654" s="18" t="n">
        <v>866.25</v>
      </c>
      <c r="R654" s="21">
        <f>IF(OR(G654="",P654=""),"",G654/P654-1)</f>
        <v/>
      </c>
      <c r="S654" s="19" t="n">
        <v>0.1533</v>
      </c>
      <c r="T654" s="22" t="n"/>
      <c r="U654" s="16" t="n"/>
      <c r="V654" s="16" t="n"/>
      <c r="W654" s="16" t="n"/>
      <c r="X654" s="16" t="n"/>
      <c r="Y654" s="20" t="n"/>
      <c r="Z654" s="19" t="n"/>
      <c r="AA654" s="18" t="n"/>
      <c r="AB654" s="16" t="n"/>
      <c r="AC654" s="16" t="inlineStr">
        <is>
          <t>No</t>
        </is>
      </c>
      <c r="AD654" s="19" t="n"/>
      <c r="AE654" s="19" t="n"/>
      <c r="AF654" s="19" t="n"/>
      <c r="AG654" s="19" t="n"/>
      <c r="AH654" s="23" t="n"/>
      <c r="AI654" s="23" t="n"/>
      <c r="AJ654" s="19" t="n"/>
    </row>
    <row r="655">
      <c r="A655" s="16" t="inlineStr">
        <is>
          <t>EUREKAFORB</t>
        </is>
      </c>
      <c r="B655" s="16" t="inlineStr">
        <is>
          <t>Eureka Forbes Ltd.</t>
        </is>
      </c>
      <c r="C655" s="16" t="inlineStr">
        <is>
          <t>Consumer Electronics</t>
        </is>
      </c>
      <c r="D655" s="16" t="inlineStr">
        <is>
          <t>Consumer Durables</t>
        </is>
      </c>
      <c r="E655" s="16" t="inlineStr">
        <is>
          <t>INE0KCE01017</t>
        </is>
      </c>
      <c r="F655" s="17" t="n">
        <v>8201.969999999999</v>
      </c>
      <c r="G655" s="18" t="n">
        <v>423.75</v>
      </c>
      <c r="H655" s="19" t="n">
        <v>-0.0128</v>
      </c>
      <c r="I655" s="20" t="n">
        <v>15</v>
      </c>
      <c r="J655" s="16" t="inlineStr">
        <is>
          <t>red</t>
        </is>
      </c>
      <c r="K655" s="20" t="n">
        <v>148</v>
      </c>
      <c r="L655" s="18" t="n">
        <v>44.6</v>
      </c>
      <c r="M655" s="18" t="n">
        <v>427.44</v>
      </c>
      <c r="N655" s="18" t="n">
        <v>446.24</v>
      </c>
      <c r="O655" s="18" t="n">
        <v>501.28</v>
      </c>
      <c r="P655" s="18" t="n">
        <v>652.8</v>
      </c>
      <c r="Q655" s="18" t="n">
        <v>410.35</v>
      </c>
      <c r="R655" s="21">
        <f>IF(OR(G655="",P655=""),"",G655/P655-1)</f>
        <v/>
      </c>
      <c r="S655" s="19" t="n">
        <v>0.5692</v>
      </c>
      <c r="T655" s="22" t="n">
        <v>-0.0261</v>
      </c>
      <c r="U655" s="16" t="inlineStr">
        <is>
          <t>No</t>
        </is>
      </c>
      <c r="V655" s="16" t="inlineStr">
        <is>
          <t>No</t>
        </is>
      </c>
      <c r="W655" s="16" t="inlineStr">
        <is>
          <t>No</t>
        </is>
      </c>
      <c r="X655" s="16" t="inlineStr">
        <is>
          <t>No</t>
        </is>
      </c>
      <c r="Y655" s="20" t="n">
        <v>137</v>
      </c>
      <c r="Z655" s="19" t="n">
        <v>-0.1098</v>
      </c>
      <c r="AA655" s="18" t="n">
        <v>50.5</v>
      </c>
      <c r="AB655" s="16" t="inlineStr">
        <is>
          <t>Average</t>
        </is>
      </c>
      <c r="AC655" s="16" t="inlineStr">
        <is>
          <t>No</t>
        </is>
      </c>
      <c r="AD655" s="19" t="n">
        <v>0.0318</v>
      </c>
      <c r="AE655" s="19" t="n">
        <v>0.0442</v>
      </c>
      <c r="AF655" s="19" t="n">
        <v>1.1009</v>
      </c>
      <c r="AG655" s="19" t="n">
        <v>0.09029999999999999</v>
      </c>
      <c r="AH655" s="23" t="n">
        <v>0.01</v>
      </c>
      <c r="AI655" s="23" t="n">
        <v>7.51</v>
      </c>
      <c r="AJ655" s="19" t="n">
        <v>0.0172</v>
      </c>
    </row>
    <row r="656">
      <c r="A656" s="16" t="inlineStr">
        <is>
          <t>BALAMINES</t>
        </is>
      </c>
      <c r="B656" s="16" t="inlineStr">
        <is>
          <t>Balaji Amines Ltd.</t>
        </is>
      </c>
      <c r="C656" s="16" t="inlineStr">
        <is>
          <t>Specialty Chemicals</t>
        </is>
      </c>
      <c r="D656" s="16" t="inlineStr">
        <is>
          <t>Chemicals &amp; Petrochemicals</t>
        </is>
      </c>
      <c r="E656" s="16" t="inlineStr">
        <is>
          <t>INE050E01027</t>
        </is>
      </c>
      <c r="F656" s="17" t="n">
        <v>8181.9</v>
      </c>
      <c r="G656" s="18" t="n">
        <v>2525.2</v>
      </c>
      <c r="H656" s="19" t="n">
        <v>0.0444</v>
      </c>
      <c r="I656" s="20" t="n">
        <v>92</v>
      </c>
      <c r="J656" s="16" t="inlineStr">
        <is>
          <t>green</t>
        </is>
      </c>
      <c r="K656" s="20" t="n">
        <v>82</v>
      </c>
      <c r="L656" s="18" t="n">
        <v>76.3</v>
      </c>
      <c r="M656" s="18" t="n">
        <v>2414.99</v>
      </c>
      <c r="N656" s="18" t="n">
        <v>2218.71</v>
      </c>
      <c r="O656" s="18" t="n">
        <v>1541.77</v>
      </c>
      <c r="P656" s="18" t="n">
        <v>2525.2</v>
      </c>
      <c r="Q656" s="18" t="n">
        <v>972.38</v>
      </c>
      <c r="R656" s="21">
        <f>IF(OR(G656="",P656=""),"",G656/P656-1)</f>
        <v/>
      </c>
      <c r="S656" s="19" t="n">
        <v>2.3598</v>
      </c>
      <c r="T656" s="22" t="n">
        <v>0.0623</v>
      </c>
      <c r="U656" s="16" t="inlineStr">
        <is>
          <t>Yes</t>
        </is>
      </c>
      <c r="V656" s="16" t="inlineStr">
        <is>
          <t>Yes</t>
        </is>
      </c>
      <c r="W656" s="16" t="inlineStr">
        <is>
          <t>Yes</t>
        </is>
      </c>
      <c r="X656" s="16" t="inlineStr">
        <is>
          <t>Yes</t>
        </is>
      </c>
      <c r="Y656" s="20" t="n">
        <v>74</v>
      </c>
      <c r="Z656" s="19" t="n">
        <v>0.4391</v>
      </c>
      <c r="AA656" s="18" t="n">
        <v>38.93</v>
      </c>
      <c r="AB656" s="16" t="inlineStr">
        <is>
          <t>Weak</t>
        </is>
      </c>
      <c r="AC656" s="16" t="inlineStr">
        <is>
          <t>No</t>
        </is>
      </c>
      <c r="AD656" s="19" t="n">
        <v>0.09630000000000001</v>
      </c>
      <c r="AE656" s="19" t="n">
        <v>0.1343</v>
      </c>
      <c r="AF656" s="19" t="n">
        <v>-0.1801</v>
      </c>
      <c r="AG656" s="19" t="n">
        <v>-0.1461</v>
      </c>
      <c r="AH656" s="23" t="n">
        <v>0.07000000000000001</v>
      </c>
      <c r="AI656" s="23" t="n">
        <v>0.79</v>
      </c>
      <c r="AJ656" s="19" t="n">
        <v>0.4157</v>
      </c>
    </row>
    <row r="657">
      <c r="A657" s="16" t="inlineStr">
        <is>
          <t>SETL</t>
        </is>
      </c>
      <c r="B657" s="16" t="inlineStr">
        <is>
          <t>Standard Engineering Technology Ltd.</t>
        </is>
      </c>
      <c r="C657" s="16" t="inlineStr">
        <is>
          <t>Other Industrial Products</t>
        </is>
      </c>
      <c r="D657" s="16" t="inlineStr">
        <is>
          <t>General Industrials</t>
        </is>
      </c>
      <c r="E657" s="16" t="inlineStr">
        <is>
          <t>INE0M4D01010</t>
        </is>
      </c>
      <c r="F657" s="17" t="n">
        <v>8158.21</v>
      </c>
      <c r="G657" s="18" t="n">
        <v>408.95</v>
      </c>
      <c r="H657" s="19" t="n">
        <v>0.0455</v>
      </c>
      <c r="I657" s="20" t="n">
        <v>98</v>
      </c>
      <c r="J657" s="16" t="inlineStr">
        <is>
          <t>green</t>
        </is>
      </c>
      <c r="K657" s="20" t="n">
        <v>55</v>
      </c>
      <c r="L657" s="18" t="n">
        <v>83.83</v>
      </c>
      <c r="M657" s="18" t="n">
        <v>371.64</v>
      </c>
      <c r="N657" s="18" t="n">
        <v>298</v>
      </c>
      <c r="O657" s="18" t="n">
        <v>179.76</v>
      </c>
      <c r="P657" s="18" t="n">
        <v>408.95</v>
      </c>
      <c r="Q657" s="18" t="n">
        <v>105.65</v>
      </c>
      <c r="R657" s="21">
        <f>IF(OR(G657="",P657=""),"",G657/P657-1)</f>
        <v/>
      </c>
      <c r="S657" s="19" t="n">
        <v>1.3823</v>
      </c>
      <c r="T657" s="22" t="n">
        <v>0.09480000000000001</v>
      </c>
      <c r="U657" s="16" t="inlineStr">
        <is>
          <t>Yes</t>
        </is>
      </c>
      <c r="V657" s="16" t="inlineStr">
        <is>
          <t>Yes</t>
        </is>
      </c>
      <c r="W657" s="16" t="inlineStr">
        <is>
          <t>Yes</t>
        </is>
      </c>
      <c r="X657" s="16" t="inlineStr">
        <is>
          <t>Yes</t>
        </is>
      </c>
      <c r="Y657" s="20" t="n">
        <v>51</v>
      </c>
      <c r="Z657" s="19" t="n">
        <v>0.6577</v>
      </c>
      <c r="AA657" s="18" t="n">
        <v>40</v>
      </c>
      <c r="AB657" s="16" t="inlineStr">
        <is>
          <t>Weak</t>
        </is>
      </c>
      <c r="AC657" s="16" t="inlineStr">
        <is>
          <t>No</t>
        </is>
      </c>
      <c r="AD657" s="19" t="n">
        <v>0.1119</v>
      </c>
      <c r="AE657" s="19" t="n">
        <v>0.1498</v>
      </c>
      <c r="AF657" s="19" t="n">
        <v>-0.2408</v>
      </c>
      <c r="AG657" s="19" t="n">
        <v>0.1619</v>
      </c>
      <c r="AH657" s="23" t="n">
        <v>0.1</v>
      </c>
      <c r="AI657" s="23" t="n">
        <v>4.36</v>
      </c>
      <c r="AJ657" s="19" t="n">
        <v>0.1499</v>
      </c>
    </row>
    <row r="658">
      <c r="A658" s="16" t="inlineStr">
        <is>
          <t>ORKLAINDIA</t>
        </is>
      </c>
      <c r="B658" s="16" t="inlineStr">
        <is>
          <t>Orkla India Ltd.</t>
        </is>
      </c>
      <c r="C658" s="16" t="inlineStr">
        <is>
          <t>Packaged Foods</t>
        </is>
      </c>
      <c r="D658" s="16" t="inlineStr">
        <is>
          <t>FMCG</t>
        </is>
      </c>
      <c r="E658" s="16" t="inlineStr">
        <is>
          <t>INE16NZ01023</t>
        </is>
      </c>
      <c r="F658" s="17" t="n">
        <v>8139.21</v>
      </c>
      <c r="G658" s="18" t="n">
        <v>594.15</v>
      </c>
      <c r="H658" s="19" t="n">
        <v>0.009599999999999999</v>
      </c>
      <c r="I658" s="20" t="n">
        <v>35</v>
      </c>
      <c r="J658" s="16" t="inlineStr">
        <is>
          <t>red</t>
        </is>
      </c>
      <c r="K658" s="20" t="n">
        <v>58</v>
      </c>
      <c r="L658" s="18" t="n">
        <v>73.05</v>
      </c>
      <c r="M658" s="18" t="n">
        <v>591.73</v>
      </c>
      <c r="N658" s="18" t="n">
        <v>577.6900000000001</v>
      </c>
      <c r="O658" s="18" t="n">
        <v>600.74</v>
      </c>
      <c r="P658" s="18" t="n">
        <v>713.65</v>
      </c>
      <c r="Q658" s="18" t="n">
        <v>537.45</v>
      </c>
      <c r="R658" s="21">
        <f>IF(OR(G658="",P658=""),"",G658/P658-1)</f>
        <v/>
      </c>
      <c r="S658" s="19" t="n">
        <v>0.6772</v>
      </c>
      <c r="T658" s="22" t="n"/>
      <c r="U658" s="16" t="n"/>
      <c r="V658" s="16" t="inlineStr">
        <is>
          <t>Yes</t>
        </is>
      </c>
      <c r="W658" s="16" t="inlineStr">
        <is>
          <t>Yes</t>
        </is>
      </c>
      <c r="X658" s="16" t="inlineStr">
        <is>
          <t>No</t>
        </is>
      </c>
      <c r="Y658" s="20" t="n">
        <v>11</v>
      </c>
      <c r="Z658" s="19" t="n">
        <v>-0.0384</v>
      </c>
      <c r="AA658" s="18" t="n">
        <v>59.75</v>
      </c>
      <c r="AB658" s="16" t="inlineStr">
        <is>
          <t>Good</t>
        </is>
      </c>
      <c r="AC658" s="16" t="inlineStr">
        <is>
          <t>No</t>
        </is>
      </c>
      <c r="AD658" s="19" t="n">
        <v>0.1039</v>
      </c>
      <c r="AE658" s="19" t="n">
        <v>0.138</v>
      </c>
      <c r="AF658" s="19" t="n"/>
      <c r="AG658" s="19" t="n"/>
      <c r="AH658" s="23" t="n">
        <v>0.02</v>
      </c>
      <c r="AI658" s="23" t="n">
        <v>6.54</v>
      </c>
      <c r="AJ658" s="19" t="n">
        <v>0.0098</v>
      </c>
    </row>
    <row r="659">
      <c r="A659" s="16" t="inlineStr">
        <is>
          <t>MEDPLUS</t>
        </is>
      </c>
      <c r="B659" s="16" t="inlineStr">
        <is>
          <t>Medplus Health Services Ltd.</t>
        </is>
      </c>
      <c r="C659" s="16" t="inlineStr">
        <is>
          <t>Healthcare Supplies</t>
        </is>
      </c>
      <c r="D659" s="16" t="inlineStr">
        <is>
          <t>Healthcare</t>
        </is>
      </c>
      <c r="E659" s="16" t="inlineStr">
        <is>
          <t>INE804L01022</t>
        </is>
      </c>
      <c r="F659" s="17" t="n">
        <v>8125.47</v>
      </c>
      <c r="G659" s="18" t="n">
        <v>676.35</v>
      </c>
      <c r="H659" s="19" t="n">
        <v>0.0238</v>
      </c>
      <c r="I659" s="20" t="n">
        <v>8</v>
      </c>
      <c r="J659" s="16" t="inlineStr">
        <is>
          <t>red</t>
        </is>
      </c>
      <c r="K659" s="20" t="n">
        <v>67</v>
      </c>
      <c r="L659" s="18" t="n">
        <v>56.95</v>
      </c>
      <c r="M659" s="18" t="n">
        <v>674.88</v>
      </c>
      <c r="N659" s="18" t="n">
        <v>728.13</v>
      </c>
      <c r="O659" s="18" t="n">
        <v>814.4299999999999</v>
      </c>
      <c r="P659" s="18" t="n">
        <v>953.9</v>
      </c>
      <c r="Q659" s="18" t="n">
        <v>649.3</v>
      </c>
      <c r="R659" s="21">
        <f>IF(OR(G659="",P659=""),"",G659/P659-1)</f>
        <v/>
      </c>
      <c r="S659" s="19" t="n">
        <v>1.4601</v>
      </c>
      <c r="T659" s="22" t="n">
        <v>-0.0121</v>
      </c>
      <c r="U659" s="16" t="inlineStr">
        <is>
          <t>No</t>
        </is>
      </c>
      <c r="V659" s="16" t="inlineStr">
        <is>
          <t>No</t>
        </is>
      </c>
      <c r="W659" s="16" t="inlineStr">
        <is>
          <t>Yes</t>
        </is>
      </c>
      <c r="X659" s="16" t="inlineStr">
        <is>
          <t>No</t>
        </is>
      </c>
      <c r="Y659" s="20" t="n">
        <v>27</v>
      </c>
      <c r="Z659" s="19" t="n">
        <v>-0.106</v>
      </c>
      <c r="AA659" s="18" t="n">
        <v>43.09</v>
      </c>
      <c r="AB659" s="16" t="inlineStr">
        <is>
          <t>Average</t>
        </is>
      </c>
      <c r="AC659" s="16" t="inlineStr">
        <is>
          <t>No</t>
        </is>
      </c>
      <c r="AD659" s="19" t="n">
        <v>0.07969999999999999</v>
      </c>
      <c r="AE659" s="19" t="n">
        <v>0.094</v>
      </c>
      <c r="AF659" s="19" t="n">
        <v>0.6884</v>
      </c>
      <c r="AG659" s="19" t="n">
        <v>0.1486</v>
      </c>
      <c r="AH659" s="23" t="n">
        <v>0.72</v>
      </c>
      <c r="AI659" s="23" t="n">
        <v>4.33</v>
      </c>
      <c r="AJ659" s="19" t="n">
        <v>0.021</v>
      </c>
    </row>
    <row r="660">
      <c r="A660" s="16" t="inlineStr">
        <is>
          <t>BSOFT</t>
        </is>
      </c>
      <c r="B660" s="16" t="inlineStr">
        <is>
          <t>Birlasoft Ltd.</t>
        </is>
      </c>
      <c r="C660" s="16" t="inlineStr">
        <is>
          <t>IT Consulting &amp; Software</t>
        </is>
      </c>
      <c r="D660" s="16" t="inlineStr">
        <is>
          <t>Software &amp; Services</t>
        </is>
      </c>
      <c r="E660" s="16" t="inlineStr">
        <is>
          <t>INE836A01035</t>
        </is>
      </c>
      <c r="F660" s="17" t="n">
        <v>8092.17</v>
      </c>
      <c r="G660" s="18" t="n">
        <v>289.35</v>
      </c>
      <c r="H660" s="19" t="n">
        <v>-0.0133</v>
      </c>
      <c r="I660" s="20" t="n">
        <v>9</v>
      </c>
      <c r="J660" s="16" t="inlineStr">
        <is>
          <t>red</t>
        </is>
      </c>
      <c r="K660" s="20" t="n">
        <v>109</v>
      </c>
      <c r="L660" s="18" t="n">
        <v>34.33</v>
      </c>
      <c r="M660" s="18" t="n">
        <v>293.31</v>
      </c>
      <c r="N660" s="18" t="n">
        <v>296.54</v>
      </c>
      <c r="O660" s="18" t="n">
        <v>355.14</v>
      </c>
      <c r="P660" s="18" t="n">
        <v>458.73</v>
      </c>
      <c r="Q660" s="18" t="n">
        <v>268.24</v>
      </c>
      <c r="R660" s="21">
        <f>IF(OR(G660="",P660=""),"",G660/P660-1)</f>
        <v/>
      </c>
      <c r="S660" s="19" t="n">
        <v>0.649</v>
      </c>
      <c r="T660" s="22" t="n">
        <v>-0.0193</v>
      </c>
      <c r="U660" s="16" t="inlineStr">
        <is>
          <t>No</t>
        </is>
      </c>
      <c r="V660" s="16" t="inlineStr">
        <is>
          <t>No</t>
        </is>
      </c>
      <c r="W660" s="16" t="inlineStr">
        <is>
          <t>No</t>
        </is>
      </c>
      <c r="X660" s="16" t="inlineStr">
        <is>
          <t>No</t>
        </is>
      </c>
      <c r="Y660" s="20" t="n">
        <v>112</v>
      </c>
      <c r="Z660" s="19" t="n">
        <v>-0.165</v>
      </c>
      <c r="AA660" s="18" t="n">
        <v>65.16</v>
      </c>
      <c r="AB660" s="16" t="inlineStr">
        <is>
          <t>High</t>
        </is>
      </c>
      <c r="AC660" s="16" t="inlineStr">
        <is>
          <t>No</t>
        </is>
      </c>
      <c r="AD660" s="19" t="n">
        <v>0.1598</v>
      </c>
      <c r="AE660" s="19" t="n">
        <v>0.2204</v>
      </c>
      <c r="AF660" s="19" t="n">
        <v>0.2328</v>
      </c>
      <c r="AG660" s="19" t="n">
        <v>0.0357</v>
      </c>
      <c r="AH660" s="23" t="n">
        <v>0.03</v>
      </c>
      <c r="AI660" s="23" t="n">
        <v>22.58</v>
      </c>
      <c r="AJ660" s="19" t="n">
        <v>0.007800000000000001</v>
      </c>
    </row>
    <row r="661">
      <c r="A661" s="16" t="inlineStr">
        <is>
          <t>HMT</t>
        </is>
      </c>
      <c r="B661" s="16" t="inlineStr">
        <is>
          <t>HMT Ltd.</t>
        </is>
      </c>
      <c r="C661" s="16" t="inlineStr">
        <is>
          <t>Heavy Electrical Equipment</t>
        </is>
      </c>
      <c r="D661" s="16" t="inlineStr">
        <is>
          <t>General Industrials</t>
        </is>
      </c>
      <c r="E661" s="16" t="inlineStr">
        <is>
          <t>INE262A01018</t>
        </is>
      </c>
      <c r="F661" s="17" t="n">
        <v>8056.58</v>
      </c>
      <c r="G661" s="18" t="n">
        <v>66.91</v>
      </c>
      <c r="H661" s="19" t="n">
        <v>-0.0313</v>
      </c>
      <c r="I661" s="20" t="n">
        <v>66</v>
      </c>
      <c r="J661" s="16" t="inlineStr">
        <is>
          <t>amber</t>
        </is>
      </c>
      <c r="K661" s="20" t="n">
        <v>4</v>
      </c>
      <c r="L661" s="18" t="n">
        <v>63.44</v>
      </c>
      <c r="M661" s="18" t="n">
        <v>65.31</v>
      </c>
      <c r="N661" s="18" t="n">
        <v>62.87</v>
      </c>
      <c r="O661" s="18" t="n">
        <v>56.41</v>
      </c>
      <c r="P661" s="18" t="n">
        <v>71.36</v>
      </c>
      <c r="Q661" s="18" t="n">
        <v>41.44</v>
      </c>
      <c r="R661" s="21">
        <f>IF(OR(G661="",P661=""),"",G661/P661-1)</f>
        <v/>
      </c>
      <c r="S661" s="19" t="n">
        <v>1.7994</v>
      </c>
      <c r="T661" s="22" t="n">
        <v>0.0111</v>
      </c>
      <c r="U661" s="16" t="inlineStr">
        <is>
          <t>Yes</t>
        </is>
      </c>
      <c r="V661" s="16" t="inlineStr">
        <is>
          <t>Yes</t>
        </is>
      </c>
      <c r="W661" s="16" t="inlineStr">
        <is>
          <t>Yes</t>
        </is>
      </c>
      <c r="X661" s="16" t="inlineStr">
        <is>
          <t>Yes</t>
        </is>
      </c>
      <c r="Y661" s="20" t="n">
        <v>101</v>
      </c>
      <c r="Z661" s="19" t="n">
        <v>0.1146</v>
      </c>
      <c r="AA661" s="18" t="n">
        <v>49.55</v>
      </c>
      <c r="AB661" s="16" t="inlineStr">
        <is>
          <t>Average</t>
        </is>
      </c>
      <c r="AC661" s="16" t="inlineStr">
        <is>
          <t>No</t>
        </is>
      </c>
      <c r="AD661" s="19" t="n">
        <v>-0.4385</v>
      </c>
      <c r="AE661" s="19" t="n">
        <v>0.07719999999999999</v>
      </c>
      <c r="AF661" s="19" t="n">
        <v>6.9183</v>
      </c>
      <c r="AG661" s="19" t="n">
        <v>-0.1083</v>
      </c>
      <c r="AH661" s="23" t="n">
        <v>-0.51</v>
      </c>
      <c r="AI661" s="23" t="n">
        <v>6.35</v>
      </c>
      <c r="AJ661" s="19" t="n">
        <v>0.0934</v>
      </c>
    </row>
    <row r="662">
      <c r="A662" s="16" t="inlineStr">
        <is>
          <t>KINGFA</t>
        </is>
      </c>
      <c r="B662" s="16" t="inlineStr">
        <is>
          <t>Kingfa Science &amp; Technology (India) Ltd.</t>
        </is>
      </c>
      <c r="C662" s="16" t="inlineStr">
        <is>
          <t>Plastic Products</t>
        </is>
      </c>
      <c r="D662" s="16" t="inlineStr">
        <is>
          <t>General Industrials</t>
        </is>
      </c>
      <c r="E662" s="16" t="inlineStr">
        <is>
          <t>INE473D01015</t>
        </is>
      </c>
      <c r="F662" s="17" t="n">
        <v>8039.37</v>
      </c>
      <c r="G662" s="18" t="n">
        <v>5932.5</v>
      </c>
      <c r="H662" s="19" t="n">
        <v>0.0076</v>
      </c>
      <c r="I662" s="20" t="n">
        <v>75</v>
      </c>
      <c r="J662" s="16" t="inlineStr">
        <is>
          <t>amber</t>
        </is>
      </c>
      <c r="K662" s="20" t="n">
        <v>13</v>
      </c>
      <c r="L662" s="18" t="n">
        <v>43.74</v>
      </c>
      <c r="M662" s="18" t="n">
        <v>5975.13</v>
      </c>
      <c r="N662" s="18" t="n">
        <v>5433.92</v>
      </c>
      <c r="O662" s="18" t="n">
        <v>4735.53</v>
      </c>
      <c r="P662" s="18" t="n">
        <v>6087.5</v>
      </c>
      <c r="Q662" s="18" t="n">
        <v>3758.7</v>
      </c>
      <c r="R662" s="21">
        <f>IF(OR(G662="",P662=""),"",G662/P662-1)</f>
        <v/>
      </c>
      <c r="S662" s="19" t="n">
        <v>0.4252</v>
      </c>
      <c r="T662" s="22" t="n">
        <v>0.0301</v>
      </c>
      <c r="U662" s="16" t="inlineStr">
        <is>
          <t>Yes</t>
        </is>
      </c>
      <c r="V662" s="16" t="inlineStr">
        <is>
          <t>Yes</t>
        </is>
      </c>
      <c r="W662" s="16" t="inlineStr">
        <is>
          <t>No</t>
        </is>
      </c>
      <c r="X662" s="16" t="inlineStr">
        <is>
          <t>Yes</t>
        </is>
      </c>
      <c r="Y662" s="20" t="n">
        <v>309</v>
      </c>
      <c r="Z662" s="19" t="n">
        <v>0.1475</v>
      </c>
      <c r="AA662" s="18" t="n">
        <v>74.20999999999999</v>
      </c>
      <c r="AB662" s="16" t="inlineStr">
        <is>
          <t>High</t>
        </is>
      </c>
      <c r="AC662" s="16" t="inlineStr">
        <is>
          <t>No</t>
        </is>
      </c>
      <c r="AD662" s="19" t="n">
        <v>0.1835</v>
      </c>
      <c r="AE662" s="19" t="n">
        <v>0.2423</v>
      </c>
      <c r="AF662" s="19" t="n">
        <v>0.2981</v>
      </c>
      <c r="AG662" s="19" t="n">
        <v>0.126</v>
      </c>
      <c r="AH662" s="23" t="n">
        <v>0.01</v>
      </c>
      <c r="AI662" s="23" t="n">
        <v>5.53</v>
      </c>
      <c r="AJ662" s="19" t="n">
        <v>0.1685</v>
      </c>
    </row>
    <row r="663">
      <c r="A663" s="16" t="inlineStr">
        <is>
          <t>EMBDL</t>
        </is>
      </c>
      <c r="B663" s="16" t="inlineStr">
        <is>
          <t>Embassy Developments Ltd.</t>
        </is>
      </c>
      <c r="C663" s="16" t="inlineStr">
        <is>
          <t>Realty</t>
        </is>
      </c>
      <c r="D663" s="16" t="inlineStr">
        <is>
          <t>Realty</t>
        </is>
      </c>
      <c r="E663" s="16" t="inlineStr">
        <is>
          <t>INE069I01010</t>
        </is>
      </c>
      <c r="F663" s="17" t="n">
        <v>8000.31</v>
      </c>
      <c r="G663" s="18" t="n">
        <v>57.53</v>
      </c>
      <c r="H663" s="19" t="n">
        <v>-0.0181</v>
      </c>
      <c r="I663" s="20" t="n">
        <v>13</v>
      </c>
      <c r="J663" s="16" t="inlineStr">
        <is>
          <t>red</t>
        </is>
      </c>
      <c r="K663" s="20" t="n">
        <v>357</v>
      </c>
      <c r="L663" s="18" t="n">
        <v>26.71</v>
      </c>
      <c r="M663" s="18" t="n">
        <v>60.51</v>
      </c>
      <c r="N663" s="18" t="n">
        <v>62.5</v>
      </c>
      <c r="O663" s="18" t="n">
        <v>61.22</v>
      </c>
      <c r="P663" s="18" t="n">
        <v>104.21</v>
      </c>
      <c r="Q663" s="18" t="n">
        <v>39.46</v>
      </c>
      <c r="R663" s="21">
        <f>IF(OR(G663="",P663=""),"",G663/P663-1)</f>
        <v/>
      </c>
      <c r="S663" s="19" t="n">
        <v>0.9509000000000001</v>
      </c>
      <c r="T663" s="22" t="n">
        <v>-0.0426</v>
      </c>
      <c r="U663" s="16" t="inlineStr">
        <is>
          <t>No</t>
        </is>
      </c>
      <c r="V663" s="16" t="inlineStr">
        <is>
          <t>No</t>
        </is>
      </c>
      <c r="W663" s="16" t="inlineStr">
        <is>
          <t>No</t>
        </is>
      </c>
      <c r="X663" s="16" t="inlineStr">
        <is>
          <t>Yes</t>
        </is>
      </c>
      <c r="Y663" s="20" t="n">
        <v>12</v>
      </c>
      <c r="Z663" s="19" t="n">
        <v>0.0208</v>
      </c>
      <c r="AA663" s="18" t="n">
        <v>37.06</v>
      </c>
      <c r="AB663" s="16" t="inlineStr">
        <is>
          <t>Weak</t>
        </is>
      </c>
      <c r="AC663" s="16" t="inlineStr">
        <is>
          <t>No</t>
        </is>
      </c>
      <c r="AD663" s="19" t="n">
        <v>0.09230000000000001</v>
      </c>
      <c r="AE663" s="19" t="n">
        <v>0.0052</v>
      </c>
      <c r="AF663" s="19" t="n">
        <v>-0.6511</v>
      </c>
      <c r="AG663" s="19" t="n">
        <v>0.9560999999999999</v>
      </c>
      <c r="AH663" s="23" t="n">
        <v>0.54</v>
      </c>
      <c r="AI663" s="23" t="n">
        <v>11.71</v>
      </c>
      <c r="AJ663" s="19" t="n">
        <v>0.004699999999999999</v>
      </c>
    </row>
    <row r="664">
      <c r="A664" s="16" t="inlineStr">
        <is>
          <t>SONATSOFTW</t>
        </is>
      </c>
      <c r="B664" s="16" t="inlineStr">
        <is>
          <t>Sonata Software Ltd.</t>
        </is>
      </c>
      <c r="C664" s="16" t="inlineStr">
        <is>
          <t>IT Consulting &amp; Software</t>
        </is>
      </c>
      <c r="D664" s="16" t="inlineStr">
        <is>
          <t>Software &amp; Services</t>
        </is>
      </c>
      <c r="E664" s="16" t="inlineStr">
        <is>
          <t>INE269A01021</t>
        </is>
      </c>
      <c r="F664" s="17" t="n">
        <v>7999.12</v>
      </c>
      <c r="G664" s="18" t="n">
        <v>285.25</v>
      </c>
      <c r="H664" s="19" t="n">
        <v>0.0044</v>
      </c>
      <c r="I664" s="20" t="n">
        <v>39</v>
      </c>
      <c r="J664" s="16" t="inlineStr">
        <is>
          <t>red</t>
        </is>
      </c>
      <c r="K664" s="20" t="n">
        <v>23</v>
      </c>
      <c r="L664" s="18" t="n">
        <v>26.86</v>
      </c>
      <c r="M664" s="18" t="n">
        <v>291.64</v>
      </c>
      <c r="N664" s="18" t="n">
        <v>300.43</v>
      </c>
      <c r="O664" s="18" t="n">
        <v>291.23</v>
      </c>
      <c r="P664" s="18" t="n">
        <v>390.55</v>
      </c>
      <c r="Q664" s="18" t="n">
        <v>205.99</v>
      </c>
      <c r="R664" s="21">
        <f>IF(OR(G664="",P664=""),"",G664/P664-1)</f>
        <v/>
      </c>
      <c r="S664" s="19" t="n">
        <v>0.5004</v>
      </c>
      <c r="T664" s="22" t="n">
        <v>-0.0196</v>
      </c>
      <c r="U664" s="16" t="inlineStr">
        <is>
          <t>No</t>
        </is>
      </c>
      <c r="V664" s="16" t="inlineStr">
        <is>
          <t>No</t>
        </is>
      </c>
      <c r="W664" s="16" t="inlineStr">
        <is>
          <t>No</t>
        </is>
      </c>
      <c r="X664" s="16" t="inlineStr">
        <is>
          <t>Yes</t>
        </is>
      </c>
      <c r="Y664" s="20" t="n">
        <v>14</v>
      </c>
      <c r="Z664" s="19" t="n">
        <v>0.0316</v>
      </c>
      <c r="AA664" s="18" t="n">
        <v>61.88</v>
      </c>
      <c r="AB664" s="16" t="inlineStr">
        <is>
          <t>Good</t>
        </is>
      </c>
      <c r="AC664" s="16" t="inlineStr">
        <is>
          <t>No</t>
        </is>
      </c>
      <c r="AD664" s="19" t="n">
        <v>0.2374</v>
      </c>
      <c r="AE664" s="19" t="n">
        <v>0.2656</v>
      </c>
      <c r="AF664" s="19" t="n">
        <v>0.0512</v>
      </c>
      <c r="AG664" s="19" t="n">
        <v>0.1289</v>
      </c>
      <c r="AH664" s="23" t="n">
        <v>0.38</v>
      </c>
      <c r="AI664" s="23" t="n">
        <v>52.1</v>
      </c>
      <c r="AJ664" s="19" t="n">
        <v>0</v>
      </c>
    </row>
    <row r="665">
      <c r="A665" s="16" t="inlineStr">
        <is>
          <t>ENTERO</t>
        </is>
      </c>
      <c r="B665" s="16" t="inlineStr">
        <is>
          <t>Entero Healthcare Solutions Ltd.</t>
        </is>
      </c>
      <c r="C665" s="16" t="inlineStr">
        <is>
          <t>Healthcare Services</t>
        </is>
      </c>
      <c r="D665" s="16" t="inlineStr">
        <is>
          <t>Healthcare</t>
        </is>
      </c>
      <c r="E665" s="16" t="inlineStr">
        <is>
          <t>INE010601016</t>
        </is>
      </c>
      <c r="F665" s="17" t="n">
        <v>7954.28</v>
      </c>
      <c r="G665" s="18" t="n">
        <v>1827.6</v>
      </c>
      <c r="H665" s="19" t="n">
        <v>-0.011</v>
      </c>
      <c r="I665" s="20" t="n">
        <v>90</v>
      </c>
      <c r="J665" s="16" t="inlineStr">
        <is>
          <t>green</t>
        </is>
      </c>
      <c r="K665" s="20" t="n">
        <v>10</v>
      </c>
      <c r="L665" s="18" t="n">
        <v>89.84</v>
      </c>
      <c r="M665" s="18" t="n">
        <v>1787.25</v>
      </c>
      <c r="N665" s="18" t="n">
        <v>1362.2</v>
      </c>
      <c r="O665" s="18" t="n">
        <v>1188.72</v>
      </c>
      <c r="P665" s="18" t="n">
        <v>1848</v>
      </c>
      <c r="Q665" s="18" t="n">
        <v>949.2</v>
      </c>
      <c r="R665" s="21">
        <f>IF(OR(G665="",P665=""),"",G665/P665-1)</f>
        <v/>
      </c>
      <c r="S665" s="19" t="n">
        <v>0.264</v>
      </c>
      <c r="T665" s="22" t="n">
        <v>0.0408</v>
      </c>
      <c r="U665" s="16" t="inlineStr">
        <is>
          <t>Yes</t>
        </is>
      </c>
      <c r="V665" s="16" t="inlineStr">
        <is>
          <t>Yes</t>
        </is>
      </c>
      <c r="W665" s="16" t="inlineStr">
        <is>
          <t>Yes</t>
        </is>
      </c>
      <c r="X665" s="16" t="inlineStr">
        <is>
          <t>Yes</t>
        </is>
      </c>
      <c r="Y665" s="20" t="n">
        <v>95</v>
      </c>
      <c r="Z665" s="19" t="n">
        <v>0.1459</v>
      </c>
      <c r="AA665" s="18" t="n">
        <v>51</v>
      </c>
      <c r="AB665" s="16" t="inlineStr">
        <is>
          <t>Average</t>
        </is>
      </c>
      <c r="AC665" s="16" t="inlineStr">
        <is>
          <t>No</t>
        </is>
      </c>
      <c r="AD665" s="19" t="n">
        <v>0.049</v>
      </c>
      <c r="AE665" s="19" t="n">
        <v>0.0762</v>
      </c>
      <c r="AF665" s="19" t="n">
        <v>1.6923</v>
      </c>
      <c r="AG665" s="19" t="n">
        <v>0.2582</v>
      </c>
      <c r="AH665" s="23" t="n">
        <v>0.4</v>
      </c>
      <c r="AI665" s="23" t="n">
        <v>32.46</v>
      </c>
      <c r="AJ665" s="19" t="n">
        <v>0.0052</v>
      </c>
    </row>
    <row r="666">
      <c r="A666" s="16" t="inlineStr">
        <is>
          <t>GARFIBRES</t>
        </is>
      </c>
      <c r="B666" s="16" t="inlineStr">
        <is>
          <t>Garware Technical Fibres Ltd.</t>
        </is>
      </c>
      <c r="C666" s="16" t="inlineStr">
        <is>
          <t>Textiles</t>
        </is>
      </c>
      <c r="D666" s="16" t="inlineStr">
        <is>
          <t>Textiles Apparels &amp; Accessories</t>
        </is>
      </c>
      <c r="E666" s="16" t="inlineStr">
        <is>
          <t>INE276A01018</t>
        </is>
      </c>
      <c r="F666" s="17" t="n">
        <v>7946.72</v>
      </c>
      <c r="G666" s="18" t="n">
        <v>800.55</v>
      </c>
      <c r="H666" s="19" t="n">
        <v>0.0005999999999999999</v>
      </c>
      <c r="I666" s="20" t="n">
        <v>64</v>
      </c>
      <c r="J666" s="16" t="inlineStr">
        <is>
          <t>amber</t>
        </is>
      </c>
      <c r="K666" s="20" t="n">
        <v>11</v>
      </c>
      <c r="L666" s="18" t="n">
        <v>63.02</v>
      </c>
      <c r="M666" s="18" t="n">
        <v>806.53</v>
      </c>
      <c r="N666" s="18" t="n">
        <v>765.95</v>
      </c>
      <c r="O666" s="18" t="n">
        <v>684.72</v>
      </c>
      <c r="P666" s="18" t="n">
        <v>842.7</v>
      </c>
      <c r="Q666" s="18" t="n">
        <v>591.72</v>
      </c>
      <c r="R666" s="21">
        <f>IF(OR(G666="",P666=""),"",G666/P666-1)</f>
        <v/>
      </c>
      <c r="S666" s="19" t="n">
        <v>0.2212</v>
      </c>
      <c r="T666" s="22" t="n">
        <v>0.006500000000000001</v>
      </c>
      <c r="U666" s="16" t="inlineStr">
        <is>
          <t>Yes</t>
        </is>
      </c>
      <c r="V666" s="16" t="inlineStr">
        <is>
          <t>Yes</t>
        </is>
      </c>
      <c r="W666" s="16" t="inlineStr">
        <is>
          <t>No</t>
        </is>
      </c>
      <c r="X666" s="16" t="inlineStr">
        <is>
          <t>Yes</t>
        </is>
      </c>
      <c r="Y666" s="20" t="n">
        <v>41</v>
      </c>
      <c r="Z666" s="19" t="n">
        <v>0.1186</v>
      </c>
      <c r="AA666" s="18" t="n">
        <v>60.02</v>
      </c>
      <c r="AB666" s="16" t="inlineStr">
        <is>
          <t>Good</t>
        </is>
      </c>
      <c r="AC666" s="16" t="inlineStr">
        <is>
          <t>No</t>
        </is>
      </c>
      <c r="AD666" s="19" t="n">
        <v>0.1679</v>
      </c>
      <c r="AE666" s="19" t="n">
        <v>0.221</v>
      </c>
      <c r="AF666" s="19" t="n">
        <v>0.07429999999999999</v>
      </c>
      <c r="AG666" s="19" t="n">
        <v>0.06</v>
      </c>
      <c r="AH666" s="23" t="n">
        <v>0.03</v>
      </c>
      <c r="AI666" s="23" t="n">
        <v>4.42</v>
      </c>
      <c r="AJ666" s="19" t="n">
        <v>0.0028</v>
      </c>
    </row>
    <row r="667">
      <c r="A667" s="16" t="inlineStr">
        <is>
          <t>EPL</t>
        </is>
      </c>
      <c r="B667" s="16" t="inlineStr">
        <is>
          <t>EPL Ltd.</t>
        </is>
      </c>
      <c r="C667" s="16" t="inlineStr">
        <is>
          <t>Containers &amp; Packaging</t>
        </is>
      </c>
      <c r="D667" s="16" t="inlineStr">
        <is>
          <t>Commercial Services &amp; Supplies</t>
        </is>
      </c>
      <c r="E667" s="16" t="inlineStr">
        <is>
          <t>INE255A01020</t>
        </is>
      </c>
      <c r="F667" s="17" t="n">
        <v>7914.96</v>
      </c>
      <c r="G667" s="18" t="n">
        <v>247.1</v>
      </c>
      <c r="H667" s="19" t="n">
        <v>0.0022</v>
      </c>
      <c r="I667" s="20" t="n">
        <v>64</v>
      </c>
      <c r="J667" s="16" t="inlineStr">
        <is>
          <t>amber</t>
        </is>
      </c>
      <c r="K667" s="20" t="n">
        <v>2</v>
      </c>
      <c r="L667" s="18" t="n">
        <v>52.23</v>
      </c>
      <c r="M667" s="18" t="n">
        <v>248.92</v>
      </c>
      <c r="N667" s="18" t="n">
        <v>239.84</v>
      </c>
      <c r="O667" s="18" t="n">
        <v>219.88</v>
      </c>
      <c r="P667" s="18" t="n">
        <v>270.1</v>
      </c>
      <c r="Q667" s="18" t="n">
        <v>180.12</v>
      </c>
      <c r="R667" s="21">
        <f>IF(OR(G667="",P667=""),"",G667/P667-1)</f>
        <v/>
      </c>
      <c r="S667" s="19" t="n">
        <v>0.5175999999999999</v>
      </c>
      <c r="T667" s="22" t="n">
        <v>0.0236</v>
      </c>
      <c r="U667" s="16" t="inlineStr">
        <is>
          <t>Yes</t>
        </is>
      </c>
      <c r="V667" s="16" t="inlineStr">
        <is>
          <t>Yes</t>
        </is>
      </c>
      <c r="W667" s="16" t="inlineStr">
        <is>
          <t>No</t>
        </is>
      </c>
      <c r="X667" s="16" t="inlineStr">
        <is>
          <t>Yes</t>
        </is>
      </c>
      <c r="Y667" s="20" t="n">
        <v>92</v>
      </c>
      <c r="Z667" s="19" t="n">
        <v>0.09080000000000001</v>
      </c>
      <c r="AA667" s="18" t="n">
        <v>40</v>
      </c>
      <c r="AB667" s="16" t="inlineStr">
        <is>
          <t>Weak</t>
        </is>
      </c>
      <c r="AC667" s="16" t="inlineStr">
        <is>
          <t>No</t>
        </is>
      </c>
      <c r="AD667" s="19" t="n">
        <v>0.1302</v>
      </c>
      <c r="AE667" s="19" t="n">
        <v>0.1505</v>
      </c>
      <c r="AF667" s="19" t="n">
        <v>-0.1282</v>
      </c>
      <c r="AG667" s="19" t="n">
        <v>0.0917</v>
      </c>
      <c r="AH667" s="23" t="n">
        <v>0.34</v>
      </c>
      <c r="AI667" s="23" t="n">
        <v>1.98</v>
      </c>
      <c r="AJ667" s="19" t="n">
        <v>0.0616</v>
      </c>
    </row>
    <row r="668">
      <c r="A668" s="16" t="inlineStr">
        <is>
          <t>DYNAMATECH</t>
        </is>
      </c>
      <c r="B668" s="16" t="inlineStr">
        <is>
          <t>Dynamatic Technologies Ltd.</t>
        </is>
      </c>
      <c r="C668" s="16" t="inlineStr">
        <is>
          <t>Industrial Machinery</t>
        </is>
      </c>
      <c r="D668" s="16" t="inlineStr">
        <is>
          <t>General Industrials</t>
        </is>
      </c>
      <c r="E668" s="16" t="inlineStr">
        <is>
          <t>INE221B01012</t>
        </is>
      </c>
      <c r="F668" s="17" t="n">
        <v>7914.7</v>
      </c>
      <c r="G668" s="18" t="n">
        <v>11654</v>
      </c>
      <c r="H668" s="19" t="n">
        <v>0.0106</v>
      </c>
      <c r="I668" s="20" t="n">
        <v>75</v>
      </c>
      <c r="J668" s="16" t="inlineStr">
        <is>
          <t>amber</t>
        </is>
      </c>
      <c r="K668" s="20" t="n">
        <v>55</v>
      </c>
      <c r="L668" s="18" t="n">
        <v>60.93</v>
      </c>
      <c r="M668" s="18" t="n">
        <v>11586</v>
      </c>
      <c r="N668" s="18" t="n">
        <v>10869.39</v>
      </c>
      <c r="O668" s="18" t="n">
        <v>10131.41</v>
      </c>
      <c r="P668" s="18" t="n">
        <v>12521.08</v>
      </c>
      <c r="Q668" s="18" t="n">
        <v>6530.98</v>
      </c>
      <c r="R668" s="21">
        <f>IF(OR(G668="",P668=""),"",G668/P668-1)</f>
        <v/>
      </c>
      <c r="S668" s="19" t="n">
        <v>0.4831</v>
      </c>
      <c r="T668" s="22" t="n">
        <v>0.0297</v>
      </c>
      <c r="U668" s="16" t="inlineStr">
        <is>
          <t>Yes</t>
        </is>
      </c>
      <c r="V668" s="16" t="inlineStr">
        <is>
          <t>Yes</t>
        </is>
      </c>
      <c r="W668" s="16" t="inlineStr">
        <is>
          <t>Yes</t>
        </is>
      </c>
      <c r="X668" s="16" t="inlineStr">
        <is>
          <t>Yes</t>
        </is>
      </c>
      <c r="Y668" s="20" t="n">
        <v>222</v>
      </c>
      <c r="Z668" s="19" t="n">
        <v>0.0728</v>
      </c>
      <c r="AA668" s="18" t="n">
        <v>31.08</v>
      </c>
      <c r="AB668" s="16" t="inlineStr">
        <is>
          <t>Poor</t>
        </is>
      </c>
      <c r="AC668" s="16" t="inlineStr">
        <is>
          <t>No</t>
        </is>
      </c>
      <c r="AD668" s="19" t="n">
        <v>0.0944</v>
      </c>
      <c r="AE668" s="19" t="n">
        <v>0.1048</v>
      </c>
      <c r="AF668" s="19" t="n">
        <v>0.0061</v>
      </c>
      <c r="AG668" s="19" t="n">
        <v>0.0785</v>
      </c>
      <c r="AH668" s="23" t="n">
        <v>0.8</v>
      </c>
      <c r="AI668" s="23" t="n">
        <v>2.24</v>
      </c>
      <c r="AJ668" s="19" t="n">
        <v>0.009899999999999999</v>
      </c>
    </row>
    <row r="669">
      <c r="A669" s="16" t="inlineStr">
        <is>
          <t>V2RETAIL</t>
        </is>
      </c>
      <c r="B669" s="16" t="inlineStr">
        <is>
          <t>V2 Retail Ltd.</t>
        </is>
      </c>
      <c r="C669" s="16" t="inlineStr">
        <is>
          <t>Department Stores</t>
        </is>
      </c>
      <c r="D669" s="16" t="inlineStr">
        <is>
          <t>Retailing</t>
        </is>
      </c>
      <c r="E669" s="16" t="inlineStr">
        <is>
          <t>INE945H01021</t>
        </is>
      </c>
      <c r="F669" s="17" t="n">
        <v>7894.4</v>
      </c>
      <c r="G669" s="18" t="n">
        <v>216.5</v>
      </c>
      <c r="H669" s="19" t="n">
        <v>-0.0114</v>
      </c>
      <c r="I669" s="20" t="n">
        <v>45</v>
      </c>
      <c r="J669" s="16" t="inlineStr">
        <is>
          <t>red</t>
        </is>
      </c>
      <c r="K669" s="20" t="n">
        <v>25</v>
      </c>
      <c r="L669" s="18" t="n">
        <v>45.28</v>
      </c>
      <c r="M669" s="18" t="n">
        <v>220.14</v>
      </c>
      <c r="N669" s="18" t="n">
        <v>221.87</v>
      </c>
      <c r="O669" s="18" t="n">
        <v>216.12</v>
      </c>
      <c r="P669" s="18" t="n">
        <v>256.4</v>
      </c>
      <c r="Q669" s="18" t="n">
        <v>159.68</v>
      </c>
      <c r="R669" s="21">
        <f>IF(OR(G669="",P669=""),"",G669/P669-1)</f>
        <v/>
      </c>
      <c r="S669" s="19" t="n">
        <v>1.6711</v>
      </c>
      <c r="T669" s="22" t="n">
        <v>-0.0052</v>
      </c>
      <c r="U669" s="16" t="inlineStr">
        <is>
          <t>No</t>
        </is>
      </c>
      <c r="V669" s="16" t="inlineStr">
        <is>
          <t>No</t>
        </is>
      </c>
      <c r="W669" s="16" t="inlineStr">
        <is>
          <t>No</t>
        </is>
      </c>
      <c r="X669" s="16" t="inlineStr">
        <is>
          <t>Yes</t>
        </is>
      </c>
      <c r="Y669" s="20" t="n">
        <v>69</v>
      </c>
      <c r="Z669" s="19" t="n">
        <v>0.0266</v>
      </c>
      <c r="AA669" s="18" t="n">
        <v>56.57</v>
      </c>
      <c r="AB669" s="16" t="inlineStr">
        <is>
          <t>Good</t>
        </is>
      </c>
      <c r="AC669" s="16" t="inlineStr">
        <is>
          <t>No</t>
        </is>
      </c>
      <c r="AD669" s="19" t="n">
        <v>0.1629</v>
      </c>
      <c r="AE669" s="19" t="n">
        <v>0.1328</v>
      </c>
      <c r="AF669" s="19" t="n">
        <v>1.2541</v>
      </c>
      <c r="AG669" s="19" t="n">
        <v>0.545</v>
      </c>
      <c r="AH669" s="23" t="n">
        <v>1.1</v>
      </c>
      <c r="AI669" s="23" t="n">
        <v>3.02</v>
      </c>
      <c r="AJ669" s="19" t="n">
        <v>0.0449</v>
      </c>
    </row>
    <row r="670">
      <c r="A670" s="16" t="inlineStr">
        <is>
          <t>MIDHANI</t>
        </is>
      </c>
      <c r="B670" s="16" t="inlineStr">
        <is>
          <t>Mishra Dhatu Nigam Ltd.</t>
        </is>
      </c>
      <c r="C670" s="16" t="inlineStr">
        <is>
          <t>Aerospace &amp; Defence</t>
        </is>
      </c>
      <c r="D670" s="16" t="inlineStr">
        <is>
          <t>General Industrials</t>
        </is>
      </c>
      <c r="E670" s="16" t="inlineStr">
        <is>
          <t>INE099Z01011</t>
        </is>
      </c>
      <c r="F670" s="17" t="n">
        <v>7845.8</v>
      </c>
      <c r="G670" s="18" t="n">
        <v>418.8</v>
      </c>
      <c r="H670" s="19" t="n">
        <v>0.0046</v>
      </c>
      <c r="I670" s="20" t="n">
        <v>53</v>
      </c>
      <c r="J670" s="16" t="inlineStr">
        <is>
          <t>red</t>
        </is>
      </c>
      <c r="K670" s="20" t="n">
        <v>7</v>
      </c>
      <c r="L670" s="18" t="n">
        <v>43</v>
      </c>
      <c r="M670" s="18" t="n">
        <v>417.77</v>
      </c>
      <c r="N670" s="18" t="n">
        <v>415.8</v>
      </c>
      <c r="O670" s="18" t="n">
        <v>373.76</v>
      </c>
      <c r="P670" s="18" t="n">
        <v>450.35</v>
      </c>
      <c r="Q670" s="18" t="n">
        <v>270.45</v>
      </c>
      <c r="R670" s="21">
        <f>IF(OR(G670="",P670=""),"",G670/P670-1)</f>
        <v/>
      </c>
      <c r="S670" s="19" t="n">
        <v>0.4097</v>
      </c>
      <c r="T670" s="22" t="n">
        <v>0.0125</v>
      </c>
      <c r="U670" s="16" t="inlineStr">
        <is>
          <t>Yes</t>
        </is>
      </c>
      <c r="V670" s="16" t="inlineStr">
        <is>
          <t>Yes</t>
        </is>
      </c>
      <c r="W670" s="16" t="inlineStr">
        <is>
          <t>Yes</t>
        </is>
      </c>
      <c r="X670" s="16" t="inlineStr">
        <is>
          <t>Yes</t>
        </is>
      </c>
      <c r="Y670" s="20" t="n">
        <v>73</v>
      </c>
      <c r="Z670" s="19" t="n">
        <v>0.1125</v>
      </c>
      <c r="AA670" s="18" t="n">
        <v>32.77</v>
      </c>
      <c r="AB670" s="16" t="inlineStr">
        <is>
          <t>Poor</t>
        </is>
      </c>
      <c r="AC670" s="16" t="inlineStr">
        <is>
          <t>No</t>
        </is>
      </c>
      <c r="AD670" s="19" t="n">
        <v>0.0779</v>
      </c>
      <c r="AE670" s="19" t="n">
        <v>0.1029</v>
      </c>
      <c r="AF670" s="19" t="n">
        <v>-0.4014</v>
      </c>
      <c r="AG670" s="19" t="n">
        <v>0.119</v>
      </c>
      <c r="AH670" s="23" t="n">
        <v>0.27</v>
      </c>
      <c r="AI670" s="23" t="n">
        <v>1.1</v>
      </c>
      <c r="AJ670" s="19" t="n">
        <v>0.0146</v>
      </c>
    </row>
    <row r="671">
      <c r="A671" s="16" t="inlineStr">
        <is>
          <t>MRUTR</t>
        </is>
      </c>
      <c r="B671" s="16" t="inlineStr">
        <is>
          <t>Mrugesh Trading Ltd.</t>
        </is>
      </c>
      <c r="C671" s="16" t="inlineStr">
        <is>
          <t>Finance (including NBFCs)</t>
        </is>
      </c>
      <c r="D671" s="16" t="inlineStr">
        <is>
          <t>Banking and Finance</t>
        </is>
      </c>
      <c r="E671" s="16" t="inlineStr">
        <is>
          <t>INE738D01029</t>
        </is>
      </c>
      <c r="F671" s="17" t="n">
        <v>7842.19</v>
      </c>
      <c r="G671" s="18" t="n">
        <v>108.55</v>
      </c>
      <c r="H671" s="19" t="n">
        <v>-0.0199</v>
      </c>
      <c r="I671" s="20" t="n">
        <v>99</v>
      </c>
      <c r="J671" s="16" t="inlineStr">
        <is>
          <t>green</t>
        </is>
      </c>
      <c r="K671" s="20" t="n">
        <v>235</v>
      </c>
      <c r="L671" s="18" t="n">
        <v>70.95</v>
      </c>
      <c r="M671" s="18" t="n">
        <v>107.07</v>
      </c>
      <c r="N671" s="18" t="n">
        <v>82.75</v>
      </c>
      <c r="O671" s="18" t="n">
        <v>34.26</v>
      </c>
      <c r="P671" s="18" t="n">
        <v>115.3</v>
      </c>
      <c r="Q671" s="18" t="n">
        <v>0.58</v>
      </c>
      <c r="R671" s="21">
        <f>IF(OR(G671="",P671=""),"",G671/P671-1)</f>
        <v/>
      </c>
      <c r="S671" s="19" t="n">
        <v>0.2821</v>
      </c>
      <c r="T671" s="22" t="n">
        <v>0.3809</v>
      </c>
      <c r="U671" s="16" t="inlineStr">
        <is>
          <t>Yes</t>
        </is>
      </c>
      <c r="V671" s="16" t="inlineStr">
        <is>
          <t>Yes</t>
        </is>
      </c>
      <c r="W671" s="16" t="inlineStr">
        <is>
          <t>Yes</t>
        </is>
      </c>
      <c r="X671" s="16" t="inlineStr">
        <is>
          <t>Yes</t>
        </is>
      </c>
      <c r="Y671" s="20" t="n">
        <v>190</v>
      </c>
      <c r="Z671" s="19" t="n">
        <v>1.4155</v>
      </c>
      <c r="AA671" s="18" t="n"/>
      <c r="AB671" s="16" t="n"/>
      <c r="AC671" s="16" t="inlineStr">
        <is>
          <t>No</t>
        </is>
      </c>
      <c r="AD671" s="19" t="n"/>
      <c r="AE671" s="19" t="n"/>
      <c r="AF671" s="19" t="n"/>
      <c r="AG671" s="19" t="n"/>
      <c r="AH671" s="23" t="n"/>
      <c r="AI671" s="23" t="n"/>
      <c r="AJ671" s="19" t="n"/>
    </row>
    <row r="672">
      <c r="A672" s="16" t="inlineStr">
        <is>
          <t>ASMTEC</t>
        </is>
      </c>
      <c r="B672" s="16" t="inlineStr">
        <is>
          <t>ASM Technologies Ltd.</t>
        </is>
      </c>
      <c r="C672" s="16" t="inlineStr">
        <is>
          <t>IT Consulting &amp; Software</t>
        </is>
      </c>
      <c r="D672" s="16" t="inlineStr">
        <is>
          <t>Software &amp; Services</t>
        </is>
      </c>
      <c r="E672" s="16" t="inlineStr">
        <is>
          <t>INE867C01010</t>
        </is>
      </c>
      <c r="F672" s="17" t="n">
        <v>7834.73</v>
      </c>
      <c r="G672" s="18" t="n">
        <v>5370.45</v>
      </c>
      <c r="H672" s="19" t="n">
        <v>0.076</v>
      </c>
      <c r="I672" s="20" t="n">
        <v>92</v>
      </c>
      <c r="J672" s="16" t="inlineStr">
        <is>
          <t>green</t>
        </is>
      </c>
      <c r="K672" s="20" t="n">
        <v>62</v>
      </c>
      <c r="L672" s="18" t="n">
        <v>77.87</v>
      </c>
      <c r="M672" s="18" t="n">
        <v>4930.51</v>
      </c>
      <c r="N672" s="18" t="n">
        <v>4522.09</v>
      </c>
      <c r="O672" s="18" t="n">
        <v>3385.3</v>
      </c>
      <c r="P672" s="18" t="n">
        <v>5370.45</v>
      </c>
      <c r="Q672" s="18" t="n">
        <v>2131.45</v>
      </c>
      <c r="R672" s="21">
        <f>IF(OR(G672="",P672=""),"",G672/P672-1)</f>
        <v/>
      </c>
      <c r="S672" s="19" t="n">
        <v>2.1165</v>
      </c>
      <c r="T672" s="22" t="n">
        <v>0.0325</v>
      </c>
      <c r="U672" s="16" t="inlineStr">
        <is>
          <t>Yes</t>
        </is>
      </c>
      <c r="V672" s="16" t="inlineStr">
        <is>
          <t>Yes</t>
        </is>
      </c>
      <c r="W672" s="16" t="inlineStr">
        <is>
          <t>Yes</t>
        </is>
      </c>
      <c r="X672" s="16" t="inlineStr">
        <is>
          <t>Yes</t>
        </is>
      </c>
      <c r="Y672" s="20" t="n">
        <v>56</v>
      </c>
      <c r="Z672" s="19" t="n">
        <v>0.3358</v>
      </c>
      <c r="AA672" s="18" t="n"/>
      <c r="AB672" s="16" t="n"/>
      <c r="AC672" s="16" t="inlineStr">
        <is>
          <t>No</t>
        </is>
      </c>
      <c r="AD672" s="19" t="n"/>
      <c r="AE672" s="19" t="n"/>
      <c r="AF672" s="19" t="n"/>
      <c r="AG672" s="19" t="n"/>
      <c r="AH672" s="23" t="n"/>
      <c r="AI672" s="23" t="n"/>
      <c r="AJ672" s="19" t="n"/>
    </row>
    <row r="673">
      <c r="A673" s="16" t="inlineStr">
        <is>
          <t>GPPL</t>
        </is>
      </c>
      <c r="B673" s="16" t="inlineStr">
        <is>
          <t>Gujarat Pipavav Port Ltd.</t>
        </is>
      </c>
      <c r="C673" s="16" t="inlineStr">
        <is>
          <t>Marine Port &amp; Services</t>
        </is>
      </c>
      <c r="D673" s="16" t="inlineStr">
        <is>
          <t>Transportation</t>
        </is>
      </c>
      <c r="E673" s="16" t="inlineStr">
        <is>
          <t>INE517F01014</t>
        </is>
      </c>
      <c r="F673" s="17" t="n">
        <v>7813.36</v>
      </c>
      <c r="G673" s="18" t="n">
        <v>161.62</v>
      </c>
      <c r="H673" s="19" t="n">
        <v>-0.023</v>
      </c>
      <c r="I673" s="20" t="n">
        <v>45</v>
      </c>
      <c r="J673" s="16" t="inlineStr">
        <is>
          <t>red</t>
        </is>
      </c>
      <c r="K673" s="20" t="n">
        <v>100</v>
      </c>
      <c r="L673" s="18" t="n">
        <v>65.84</v>
      </c>
      <c r="M673" s="18" t="n">
        <v>163.8</v>
      </c>
      <c r="N673" s="18" t="n">
        <v>151.25</v>
      </c>
      <c r="O673" s="18" t="n">
        <v>159.1</v>
      </c>
      <c r="P673" s="18" t="n">
        <v>187.88</v>
      </c>
      <c r="Q673" s="18" t="n">
        <v>138.18</v>
      </c>
      <c r="R673" s="21">
        <f>IF(OR(G673="",P673=""),"",G673/P673-1)</f>
        <v/>
      </c>
      <c r="S673" s="19" t="n">
        <v>0.5815</v>
      </c>
      <c r="T673" s="22" t="n">
        <v>-0.002</v>
      </c>
      <c r="U673" s="16" t="inlineStr">
        <is>
          <t>No</t>
        </is>
      </c>
      <c r="V673" s="16" t="inlineStr">
        <is>
          <t>Yes</t>
        </is>
      </c>
      <c r="W673" s="16" t="inlineStr">
        <is>
          <t>No</t>
        </is>
      </c>
      <c r="X673" s="16" t="inlineStr">
        <is>
          <t>No</t>
        </is>
      </c>
      <c r="Y673" s="20" t="n">
        <v>103</v>
      </c>
      <c r="Z673" s="19" t="n">
        <v>-0.0493</v>
      </c>
      <c r="AA673" s="18" t="n">
        <v>40</v>
      </c>
      <c r="AB673" s="16" t="inlineStr">
        <is>
          <t>Weak</t>
        </is>
      </c>
      <c r="AC673" s="16" t="inlineStr">
        <is>
          <t>No</t>
        </is>
      </c>
      <c r="AD673" s="19" t="n">
        <v>0.1778</v>
      </c>
      <c r="AE673" s="19" t="n">
        <v>0.2413</v>
      </c>
      <c r="AF673" s="19" t="n">
        <v>-0.2492</v>
      </c>
      <c r="AG673" s="19" t="n">
        <v>0.1112</v>
      </c>
      <c r="AH673" s="23" t="n">
        <v>0.02</v>
      </c>
      <c r="AI673" s="23" t="n">
        <v>0.73</v>
      </c>
      <c r="AJ673" s="19" t="n">
        <v>0.1812</v>
      </c>
    </row>
    <row r="674">
      <c r="A674" s="16" t="inlineStr">
        <is>
          <t>AARTIPHARM</t>
        </is>
      </c>
      <c r="B674" s="16" t="inlineStr">
        <is>
          <t>Aarti Pharmalabs Ltd.</t>
        </is>
      </c>
      <c r="C674" s="16" t="inlineStr">
        <is>
          <t>Pharmaceuticals</t>
        </is>
      </c>
      <c r="D674" s="16" t="inlineStr">
        <is>
          <t>Pharmaceuticals &amp; Biotechnology</t>
        </is>
      </c>
      <c r="E674" s="16" t="inlineStr">
        <is>
          <t>INE0LRU01027</t>
        </is>
      </c>
      <c r="F674" s="17" t="n">
        <v>7787.58</v>
      </c>
      <c r="G674" s="18" t="n">
        <v>858.8</v>
      </c>
      <c r="H674" s="19" t="n">
        <v>-0.0107</v>
      </c>
      <c r="I674" s="20" t="n">
        <v>70</v>
      </c>
      <c r="J674" s="16" t="inlineStr">
        <is>
          <t>amber</t>
        </is>
      </c>
      <c r="K674" s="20" t="n">
        <v>19</v>
      </c>
      <c r="L674" s="18" t="n">
        <v>49.19</v>
      </c>
      <c r="M674" s="18" t="n">
        <v>849.45</v>
      </c>
      <c r="N674" s="18" t="n">
        <v>755.28</v>
      </c>
      <c r="O674" s="18" t="n">
        <v>719.26</v>
      </c>
      <c r="P674" s="18" t="n">
        <v>937.51</v>
      </c>
      <c r="Q674" s="18" t="n">
        <v>591.95</v>
      </c>
      <c r="R674" s="21">
        <f>IF(OR(G674="",P674=""),"",G674/P674-1)</f>
        <v/>
      </c>
      <c r="S674" s="19" t="n">
        <v>0.4589</v>
      </c>
      <c r="T674" s="22" t="n">
        <v>0.0071</v>
      </c>
      <c r="U674" s="16" t="inlineStr">
        <is>
          <t>Yes</t>
        </is>
      </c>
      <c r="V674" s="16" t="inlineStr">
        <is>
          <t>Yes</t>
        </is>
      </c>
      <c r="W674" s="16" t="inlineStr">
        <is>
          <t>Yes</t>
        </is>
      </c>
      <c r="X674" s="16" t="inlineStr">
        <is>
          <t>Yes</t>
        </is>
      </c>
      <c r="Y674" s="20" t="n">
        <v>12</v>
      </c>
      <c r="Z674" s="19" t="n">
        <v>0.0501</v>
      </c>
      <c r="AA674" s="18" t="n">
        <v>37.43</v>
      </c>
      <c r="AB674" s="16" t="inlineStr">
        <is>
          <t>Weak</t>
        </is>
      </c>
      <c r="AC674" s="16" t="inlineStr">
        <is>
          <t>No</t>
        </is>
      </c>
      <c r="AD674" s="19" t="n">
        <v>0.1142</v>
      </c>
      <c r="AE674" s="19" t="n">
        <v>0.1379</v>
      </c>
      <c r="AF674" s="19" t="n">
        <v>0.005699999999999999</v>
      </c>
      <c r="AG674" s="19" t="n">
        <v>-0.0123</v>
      </c>
      <c r="AH674" s="23" t="n">
        <v>0.36</v>
      </c>
      <c r="AI674" s="23" t="n">
        <v>1.07</v>
      </c>
      <c r="AJ674" s="19" t="n">
        <v>0.1788</v>
      </c>
    </row>
    <row r="675">
      <c r="A675" s="16" t="inlineStr">
        <is>
          <t>AVL</t>
        </is>
      </c>
      <c r="B675" s="16" t="inlineStr">
        <is>
          <t>Aditya Vision Ltd.</t>
        </is>
      </c>
      <c r="C675" s="16" t="inlineStr">
        <is>
          <t>Specialty Retail</t>
        </is>
      </c>
      <c r="D675" s="16" t="inlineStr">
        <is>
          <t>Retailing</t>
        </is>
      </c>
      <c r="E675" s="16" t="inlineStr">
        <is>
          <t>INE679V01027</t>
        </is>
      </c>
      <c r="F675" s="17" t="n">
        <v>7748.93</v>
      </c>
      <c r="G675" s="18" t="n">
        <v>600.05</v>
      </c>
      <c r="H675" s="19" t="n">
        <v>-0.0005999999999999999</v>
      </c>
      <c r="I675" s="20" t="n">
        <v>66</v>
      </c>
      <c r="J675" s="16" t="inlineStr">
        <is>
          <t>amber</t>
        </is>
      </c>
      <c r="K675" s="20" t="n">
        <v>7</v>
      </c>
      <c r="L675" s="18" t="n">
        <v>46.02</v>
      </c>
      <c r="M675" s="18" t="n">
        <v>596.7</v>
      </c>
      <c r="N675" s="18" t="n">
        <v>621.4400000000001</v>
      </c>
      <c r="O675" s="18" t="n">
        <v>538.5700000000001</v>
      </c>
      <c r="P675" s="18" t="n">
        <v>667.13</v>
      </c>
      <c r="Q675" s="18" t="n">
        <v>443.26</v>
      </c>
      <c r="R675" s="21">
        <f>IF(OR(G675="",P675=""),"",G675/P675-1)</f>
        <v/>
      </c>
      <c r="S675" s="19" t="n">
        <v>1.2757</v>
      </c>
      <c r="T675" s="22" t="n">
        <v>0.009599999999999999</v>
      </c>
      <c r="U675" s="16" t="inlineStr">
        <is>
          <t>Yes</t>
        </is>
      </c>
      <c r="V675" s="16" t="inlineStr">
        <is>
          <t>No</t>
        </is>
      </c>
      <c r="W675" s="16" t="inlineStr">
        <is>
          <t>Yes</t>
        </is>
      </c>
      <c r="X675" s="16" t="inlineStr">
        <is>
          <t>Yes</t>
        </is>
      </c>
      <c r="Y675" s="20" t="n">
        <v>72</v>
      </c>
      <c r="Z675" s="19" t="n">
        <v>0.1539</v>
      </c>
      <c r="AA675" s="18" t="n">
        <v>56.57</v>
      </c>
      <c r="AB675" s="16" t="inlineStr">
        <is>
          <t>Good</t>
        </is>
      </c>
      <c r="AC675" s="16" t="inlineStr">
        <is>
          <t>No</t>
        </is>
      </c>
      <c r="AD675" s="19" t="n">
        <v>0.1696</v>
      </c>
      <c r="AE675" s="19" t="n">
        <v>0.1667</v>
      </c>
      <c r="AF675" s="19" t="n">
        <v>0.1953</v>
      </c>
      <c r="AG675" s="19" t="n">
        <v>0.2657</v>
      </c>
      <c r="AH675" s="23" t="n">
        <v>0.83</v>
      </c>
      <c r="AI675" s="23" t="n">
        <v>8.06</v>
      </c>
      <c r="AJ675" s="19" t="n">
        <v>0.0179</v>
      </c>
    </row>
    <row r="676">
      <c r="A676" s="16" t="inlineStr">
        <is>
          <t>MAHLIFE</t>
        </is>
      </c>
      <c r="B676" s="16" t="inlineStr">
        <is>
          <t>Mahindra Lifespace Developers Ltd.</t>
        </is>
      </c>
      <c r="C676" s="16" t="inlineStr">
        <is>
          <t>Realty</t>
        </is>
      </c>
      <c r="D676" s="16" t="inlineStr">
        <is>
          <t>Realty</t>
        </is>
      </c>
      <c r="E676" s="16" t="inlineStr">
        <is>
          <t>INE813A01018</t>
        </is>
      </c>
      <c r="F676" s="17" t="n">
        <v>7732.66</v>
      </c>
      <c r="G676" s="18" t="n">
        <v>362.4</v>
      </c>
      <c r="H676" s="19" t="n">
        <v>-0.0019</v>
      </c>
      <c r="I676" s="20" t="n">
        <v>43</v>
      </c>
      <c r="J676" s="16" t="inlineStr">
        <is>
          <t>red</t>
        </is>
      </c>
      <c r="K676" s="20" t="n">
        <v>14</v>
      </c>
      <c r="L676" s="18" t="n">
        <v>25.13</v>
      </c>
      <c r="M676" s="18" t="n">
        <v>364.32</v>
      </c>
      <c r="N676" s="18" t="n">
        <v>375.92</v>
      </c>
      <c r="O676" s="18" t="n">
        <v>360.57</v>
      </c>
      <c r="P676" s="18" t="n">
        <v>417.73</v>
      </c>
      <c r="Q676" s="18" t="n">
        <v>291.48</v>
      </c>
      <c r="R676" s="21">
        <f>IF(OR(G676="",P676=""),"",G676/P676-1)</f>
        <v/>
      </c>
      <c r="S676" s="19" t="n">
        <v>0.2816</v>
      </c>
      <c r="T676" s="22" t="n">
        <v>-0.0038</v>
      </c>
      <c r="U676" s="16" t="inlineStr">
        <is>
          <t>No</t>
        </is>
      </c>
      <c r="V676" s="16" t="inlineStr">
        <is>
          <t>No</t>
        </is>
      </c>
      <c r="W676" s="16" t="inlineStr">
        <is>
          <t>No</t>
        </is>
      </c>
      <c r="X676" s="16" t="inlineStr">
        <is>
          <t>Yes</t>
        </is>
      </c>
      <c r="Y676" s="20" t="n">
        <v>20</v>
      </c>
      <c r="Z676" s="19" t="n">
        <v>0.0426</v>
      </c>
      <c r="AA676" s="18" t="n">
        <v>58.01</v>
      </c>
      <c r="AB676" s="16" t="inlineStr">
        <is>
          <t>Good</t>
        </is>
      </c>
      <c r="AC676" s="16" t="inlineStr">
        <is>
          <t>No</t>
        </is>
      </c>
      <c r="AD676" s="19" t="n">
        <v>0.0557</v>
      </c>
      <c r="AE676" s="19" t="n">
        <v>0.0411</v>
      </c>
      <c r="AF676" s="19" t="n">
        <v>0.8721</v>
      </c>
      <c r="AG676" s="19" t="n">
        <v>0.7567</v>
      </c>
      <c r="AH676" s="23" t="n">
        <v>0.18</v>
      </c>
      <c r="AI676" s="23" t="n">
        <v>32.2</v>
      </c>
      <c r="AJ676" s="19" t="n">
        <v>0.2763</v>
      </c>
    </row>
    <row r="677">
      <c r="A677" s="16" t="inlineStr">
        <is>
          <t>TTKPRESTIG</t>
        </is>
      </c>
      <c r="B677" s="16" t="inlineStr">
        <is>
          <t>TTK Prestige Ltd.</t>
        </is>
      </c>
      <c r="C677" s="16" t="inlineStr">
        <is>
          <t>Household Appliances</t>
        </is>
      </c>
      <c r="D677" s="16" t="inlineStr">
        <is>
          <t>Consumer Durables</t>
        </is>
      </c>
      <c r="E677" s="16" t="inlineStr">
        <is>
          <t>INE690A01028</t>
        </is>
      </c>
      <c r="F677" s="17" t="n">
        <v>7706.86</v>
      </c>
      <c r="G677" s="18" t="n">
        <v>562.75</v>
      </c>
      <c r="H677" s="19" t="n">
        <v>-0.0363</v>
      </c>
      <c r="I677" s="20" t="n">
        <v>39</v>
      </c>
      <c r="J677" s="16" t="inlineStr">
        <is>
          <t>red</t>
        </is>
      </c>
      <c r="K677" s="20" t="n">
        <v>21</v>
      </c>
      <c r="L677" s="18" t="n">
        <v>36.28</v>
      </c>
      <c r="M677" s="18" t="n">
        <v>588.41</v>
      </c>
      <c r="N677" s="18" t="n">
        <v>620.52</v>
      </c>
      <c r="O677" s="18" t="n">
        <v>565.6900000000001</v>
      </c>
      <c r="P677" s="18" t="n">
        <v>708.5</v>
      </c>
      <c r="Q677" s="18" t="n">
        <v>424.12</v>
      </c>
      <c r="R677" s="21">
        <f>IF(OR(G677="",P677=""),"",G677/P677-1)</f>
        <v/>
      </c>
      <c r="S677" s="19" t="n">
        <v>0.1702</v>
      </c>
      <c r="T677" s="22" t="n">
        <v>-0.0118</v>
      </c>
      <c r="U677" s="16" t="inlineStr">
        <is>
          <t>No</t>
        </is>
      </c>
      <c r="V677" s="16" t="inlineStr">
        <is>
          <t>No</t>
        </is>
      </c>
      <c r="W677" s="16" t="inlineStr">
        <is>
          <t>No</t>
        </is>
      </c>
      <c r="X677" s="16" t="inlineStr">
        <is>
          <t>Yes</t>
        </is>
      </c>
      <c r="Y677" s="20" t="n">
        <v>32</v>
      </c>
      <c r="Z677" s="19" t="n">
        <v>0.0969</v>
      </c>
      <c r="AA677" s="18" t="n">
        <v>40</v>
      </c>
      <c r="AB677" s="16" t="inlineStr">
        <is>
          <t>Weak</t>
        </is>
      </c>
      <c r="AC677" s="16" t="inlineStr">
        <is>
          <t>No</t>
        </is>
      </c>
      <c r="AD677" s="19" t="n">
        <v>0.0834</v>
      </c>
      <c r="AE677" s="19" t="n">
        <v>0.1133</v>
      </c>
      <c r="AF677" s="19" t="n">
        <v>-0.0567</v>
      </c>
      <c r="AG677" s="19" t="n">
        <v>0.0245</v>
      </c>
      <c r="AH677" s="23" t="n">
        <v>0.09</v>
      </c>
      <c r="AI677" s="23" t="n">
        <v>4.93</v>
      </c>
      <c r="AJ677" s="19" t="n">
        <v>0.0601</v>
      </c>
    </row>
    <row r="678">
      <c r="A678" s="16" t="inlineStr">
        <is>
          <t>GAEL</t>
        </is>
      </c>
      <c r="B678" s="16" t="inlineStr">
        <is>
          <t>Gujarat Ambuja Exports Ltd.</t>
        </is>
      </c>
      <c r="C678" s="16" t="inlineStr">
        <is>
          <t>Other Agricultural Products</t>
        </is>
      </c>
      <c r="D678" s="16" t="inlineStr">
        <is>
          <t>Food, Beverages &amp; Tobacco</t>
        </is>
      </c>
      <c r="E678" s="16" t="inlineStr">
        <is>
          <t>INE036B01030</t>
        </is>
      </c>
      <c r="F678" s="17" t="n">
        <v>7696.95</v>
      </c>
      <c r="G678" s="18" t="n">
        <v>167.81</v>
      </c>
      <c r="H678" s="19" t="n">
        <v>-0.018</v>
      </c>
      <c r="I678" s="20" t="n">
        <v>73</v>
      </c>
      <c r="J678" s="16" t="inlineStr">
        <is>
          <t>amber</t>
        </is>
      </c>
      <c r="K678" s="20" t="n">
        <v>4</v>
      </c>
      <c r="L678" s="18" t="n">
        <v>46.14</v>
      </c>
      <c r="M678" s="18" t="n">
        <v>170.81</v>
      </c>
      <c r="N678" s="18" t="n">
        <v>164.6</v>
      </c>
      <c r="O678" s="18" t="n">
        <v>146.73</v>
      </c>
      <c r="P678" s="18" t="n">
        <v>183.03</v>
      </c>
      <c r="Q678" s="18" t="n">
        <v>101.56</v>
      </c>
      <c r="R678" s="21">
        <f>IF(OR(G678="",P678=""),"",G678/P678-1)</f>
        <v/>
      </c>
      <c r="S678" s="19" t="n">
        <v>0.2577</v>
      </c>
      <c r="T678" s="22" t="n">
        <v>0.0471</v>
      </c>
      <c r="U678" s="16" t="inlineStr">
        <is>
          <t>Yes</t>
        </is>
      </c>
      <c r="V678" s="16" t="inlineStr">
        <is>
          <t>Yes</t>
        </is>
      </c>
      <c r="W678" s="16" t="inlineStr">
        <is>
          <t>No</t>
        </is>
      </c>
      <c r="X678" s="16" t="inlineStr">
        <is>
          <t>Yes</t>
        </is>
      </c>
      <c r="Y678" s="20" t="n">
        <v>177</v>
      </c>
      <c r="Z678" s="19" t="n">
        <v>0.1217</v>
      </c>
      <c r="AA678" s="18" t="n">
        <v>40</v>
      </c>
      <c r="AB678" s="16" t="inlineStr">
        <is>
          <t>Weak</t>
        </is>
      </c>
      <c r="AC678" s="16" t="inlineStr">
        <is>
          <t>No</t>
        </is>
      </c>
      <c r="AD678" s="19" t="n">
        <v>0.1001</v>
      </c>
      <c r="AE678" s="19" t="n">
        <v>0.1273</v>
      </c>
      <c r="AF678" s="19" t="n">
        <v>-0.0042</v>
      </c>
      <c r="AG678" s="19" t="n">
        <v>0.0629</v>
      </c>
      <c r="AH678" s="23" t="n">
        <v>0.13</v>
      </c>
      <c r="AI678" s="23" t="n">
        <v>3.52</v>
      </c>
      <c r="AJ678" s="19" t="n">
        <v>0.2721</v>
      </c>
    </row>
    <row r="679">
      <c r="A679" s="16" t="inlineStr">
        <is>
          <t>KMEW</t>
        </is>
      </c>
      <c r="B679" s="16" t="inlineStr">
        <is>
          <t>Knowledge Marine &amp; Engineering Works Ltd.</t>
        </is>
      </c>
      <c r="C679" s="16" t="inlineStr">
        <is>
          <t>Marine Port &amp; Services</t>
        </is>
      </c>
      <c r="D679" s="16" t="inlineStr">
        <is>
          <t>Transportation</t>
        </is>
      </c>
      <c r="E679" s="16" t="inlineStr">
        <is>
          <t>INE0CJD01029</t>
        </is>
      </c>
      <c r="F679" s="17" t="n">
        <v>7694.01</v>
      </c>
      <c r="G679" s="18" t="n">
        <v>3033.4</v>
      </c>
      <c r="H679" s="19" t="n">
        <v>-0.0371</v>
      </c>
      <c r="I679" s="20" t="n">
        <v>96</v>
      </c>
      <c r="J679" s="16" t="inlineStr">
        <is>
          <t>green</t>
        </is>
      </c>
      <c r="K679" s="20" t="n">
        <v>246</v>
      </c>
      <c r="L679" s="18" t="n">
        <v>63.05</v>
      </c>
      <c r="M679" s="18" t="n">
        <v>2974.31</v>
      </c>
      <c r="N679" s="18" t="n">
        <v>2563.3</v>
      </c>
      <c r="O679" s="18" t="n">
        <v>1967.38</v>
      </c>
      <c r="P679" s="18" t="n">
        <v>3150.4</v>
      </c>
      <c r="Q679" s="18" t="n">
        <v>866.9</v>
      </c>
      <c r="R679" s="21">
        <f>IF(OR(G679="",P679=""),"",G679/P679-1)</f>
        <v/>
      </c>
      <c r="S679" s="19" t="n">
        <v>0.8144</v>
      </c>
      <c r="T679" s="22" t="n">
        <v>0.0837</v>
      </c>
      <c r="U679" s="16" t="inlineStr">
        <is>
          <t>Yes</t>
        </is>
      </c>
      <c r="V679" s="16" t="inlineStr">
        <is>
          <t>Yes</t>
        </is>
      </c>
      <c r="W679" s="16" t="inlineStr">
        <is>
          <t>Yes</t>
        </is>
      </c>
      <c r="X679" s="16" t="inlineStr">
        <is>
          <t>Yes</t>
        </is>
      </c>
      <c r="Y679" s="20" t="n">
        <v>238</v>
      </c>
      <c r="Z679" s="19" t="n">
        <v>0.3029</v>
      </c>
      <c r="AA679" s="18" t="n">
        <v>40</v>
      </c>
      <c r="AB679" s="16" t="inlineStr">
        <is>
          <t>Weak</t>
        </is>
      </c>
      <c r="AC679" s="16" t="inlineStr">
        <is>
          <t>No</t>
        </is>
      </c>
      <c r="AD679" s="19" t="n">
        <v>0.1834</v>
      </c>
      <c r="AE679" s="19" t="n">
        <v>0.1716</v>
      </c>
      <c r="AF679" s="19" t="n">
        <v>-0.3145</v>
      </c>
      <c r="AG679" s="19" t="n">
        <v>0.1052</v>
      </c>
      <c r="AH679" s="23" t="n">
        <v>0.39</v>
      </c>
      <c r="AI679" s="23" t="n">
        <v>0.83</v>
      </c>
      <c r="AJ679" s="19" t="n">
        <v>0.3201</v>
      </c>
    </row>
    <row r="680">
      <c r="A680" s="16" t="inlineStr">
        <is>
          <t>STARCEMENT</t>
        </is>
      </c>
      <c r="B680" s="16" t="inlineStr">
        <is>
          <t>Star Cement Ltd.</t>
        </is>
      </c>
      <c r="C680" s="16" t="inlineStr">
        <is>
          <t>Cement &amp; Cement Products</t>
        </is>
      </c>
      <c r="D680" s="16" t="inlineStr">
        <is>
          <t>Cement and Construction</t>
        </is>
      </c>
      <c r="E680" s="16" t="inlineStr">
        <is>
          <t>INE460H01021</t>
        </is>
      </c>
      <c r="F680" s="17" t="n">
        <v>7687.11</v>
      </c>
      <c r="G680" s="18" t="n">
        <v>190.19</v>
      </c>
      <c r="H680" s="19" t="n">
        <v>0.031</v>
      </c>
      <c r="I680" s="20" t="n">
        <v>14</v>
      </c>
      <c r="J680" s="16" t="inlineStr">
        <is>
          <t>red</t>
        </is>
      </c>
      <c r="K680" s="20" t="n">
        <v>94</v>
      </c>
      <c r="L680" s="18" t="n">
        <v>31.98</v>
      </c>
      <c r="M680" s="18" t="n">
        <v>187.1</v>
      </c>
      <c r="N680" s="18" t="n">
        <v>200.5</v>
      </c>
      <c r="O680" s="18" t="n">
        <v>212.94</v>
      </c>
      <c r="P680" s="18" t="n">
        <v>297.39</v>
      </c>
      <c r="Q680" s="18" t="n">
        <v>184.1</v>
      </c>
      <c r="R680" s="21">
        <f>IF(OR(G680="",P680=""),"",G680/P680-1)</f>
        <v/>
      </c>
      <c r="S680" s="19" t="n">
        <v>0.655</v>
      </c>
      <c r="T680" s="22" t="n">
        <v>-0.0248</v>
      </c>
      <c r="U680" s="16" t="inlineStr">
        <is>
          <t>No</t>
        </is>
      </c>
      <c r="V680" s="16" t="inlineStr">
        <is>
          <t>No</t>
        </is>
      </c>
      <c r="W680" s="16" t="inlineStr">
        <is>
          <t>Yes</t>
        </is>
      </c>
      <c r="X680" s="16" t="inlineStr">
        <is>
          <t>No</t>
        </is>
      </c>
      <c r="Y680" s="20" t="n">
        <v>174</v>
      </c>
      <c r="Z680" s="19" t="n">
        <v>-0.0584</v>
      </c>
      <c r="AA680" s="18" t="n">
        <v>48.98</v>
      </c>
      <c r="AB680" s="16" t="inlineStr">
        <is>
          <t>Average</t>
        </is>
      </c>
      <c r="AC680" s="16" t="inlineStr">
        <is>
          <t>No</t>
        </is>
      </c>
      <c r="AD680" s="19" t="n">
        <v>0.09699999999999999</v>
      </c>
      <c r="AE680" s="19" t="n">
        <v>0.1276</v>
      </c>
      <c r="AF680" s="19" t="n">
        <v>0.3637</v>
      </c>
      <c r="AG680" s="19" t="n">
        <v>0.1368</v>
      </c>
      <c r="AH680" s="23" t="n">
        <v>0.19</v>
      </c>
      <c r="AI680" s="23" t="n">
        <v>1.4</v>
      </c>
      <c r="AJ680" s="19" t="n">
        <v>0.0351</v>
      </c>
    </row>
    <row r="681">
      <c r="A681" s="16" t="inlineStr">
        <is>
          <t>SKFINDIA</t>
        </is>
      </c>
      <c r="B681" s="16" t="inlineStr">
        <is>
          <t>SKF India Ltd.</t>
        </is>
      </c>
      <c r="C681" s="16" t="inlineStr">
        <is>
          <t>Abrasives &amp; Bearings</t>
        </is>
      </c>
      <c r="D681" s="16" t="inlineStr">
        <is>
          <t>General Industrials</t>
        </is>
      </c>
      <c r="E681" s="16" t="inlineStr">
        <is>
          <t>INE640A01023</t>
        </is>
      </c>
      <c r="F681" s="17" t="n">
        <v>7678.71</v>
      </c>
      <c r="G681" s="18" t="n">
        <v>1553.2</v>
      </c>
      <c r="H681" s="19" t="n">
        <v>0.008199999999999999</v>
      </c>
      <c r="I681" s="20" t="n">
        <v>11</v>
      </c>
      <c r="J681" s="16" t="inlineStr">
        <is>
          <t>red</t>
        </is>
      </c>
      <c r="K681" s="20" t="n">
        <v>224</v>
      </c>
      <c r="L681" s="18" t="n">
        <v>26.01</v>
      </c>
      <c r="M681" s="18" t="n">
        <v>1554.47</v>
      </c>
      <c r="N681" s="18" t="n">
        <v>1549.73</v>
      </c>
      <c r="O681" s="18" t="n">
        <v>1644.8</v>
      </c>
      <c r="P681" s="18" t="n">
        <v>4889</v>
      </c>
      <c r="Q681" s="18" t="n">
        <v>1380</v>
      </c>
      <c r="R681" s="21">
        <f>IF(OR(G681="",P681=""),"",G681/P681-1)</f>
        <v/>
      </c>
      <c r="S681" s="19" t="n">
        <v>0.8651000000000001</v>
      </c>
      <c r="T681" s="22" t="n">
        <v>-0.0285</v>
      </c>
      <c r="U681" s="16" t="inlineStr">
        <is>
          <t>No</t>
        </is>
      </c>
      <c r="V681" s="16" t="inlineStr">
        <is>
          <t>Yes</t>
        </is>
      </c>
      <c r="W681" s="16" t="inlineStr">
        <is>
          <t>No</t>
        </is>
      </c>
      <c r="X681" s="16" t="inlineStr">
        <is>
          <t>No</t>
        </is>
      </c>
      <c r="Y681" s="20" t="n">
        <v>215</v>
      </c>
      <c r="Z681" s="19" t="n">
        <v>-0.0578</v>
      </c>
      <c r="AA681" s="18" t="n">
        <v>40</v>
      </c>
      <c r="AB681" s="16" t="inlineStr">
        <is>
          <t>Weak</t>
        </is>
      </c>
      <c r="AC681" s="16" t="inlineStr">
        <is>
          <t>No</t>
        </is>
      </c>
      <c r="AD681" s="19" t="n">
        <v>0.2078</v>
      </c>
      <c r="AE681" s="19" t="n">
        <v>0.2975</v>
      </c>
      <c r="AF681" s="19" t="n">
        <v>-0.1511</v>
      </c>
      <c r="AG681" s="19" t="n">
        <v>-0.0368</v>
      </c>
      <c r="AH681" s="23" t="n">
        <v>0</v>
      </c>
      <c r="AI681" s="23" t="n">
        <v>7.66</v>
      </c>
      <c r="AJ681" s="19" t="n">
        <v>0.07580000000000001</v>
      </c>
    </row>
    <row r="682">
      <c r="A682" s="16" t="inlineStr">
        <is>
          <t>GALAXYSURF</t>
        </is>
      </c>
      <c r="B682" s="16" t="inlineStr">
        <is>
          <t>Galaxy Surfactants Ltd.</t>
        </is>
      </c>
      <c r="C682" s="16" t="inlineStr">
        <is>
          <t>Specialty Chemicals</t>
        </is>
      </c>
      <c r="D682" s="16" t="inlineStr">
        <is>
          <t>Chemicals &amp; Petrochemicals</t>
        </is>
      </c>
      <c r="E682" s="16" t="inlineStr">
        <is>
          <t>INE600K01018</t>
        </is>
      </c>
      <c r="F682" s="17" t="n">
        <v>7678.17</v>
      </c>
      <c r="G682" s="18" t="n">
        <v>2165</v>
      </c>
      <c r="H682" s="19" t="n">
        <v>-0.0385</v>
      </c>
      <c r="I682" s="20" t="n">
        <v>60</v>
      </c>
      <c r="J682" s="16" t="inlineStr">
        <is>
          <t>amber</t>
        </is>
      </c>
      <c r="K682" s="20" t="n">
        <v>16</v>
      </c>
      <c r="L682" s="18" t="n">
        <v>26.31</v>
      </c>
      <c r="M682" s="18" t="n">
        <v>2256.69</v>
      </c>
      <c r="N682" s="18" t="n">
        <v>2080.58</v>
      </c>
      <c r="O682" s="18" t="n">
        <v>1912.67</v>
      </c>
      <c r="P682" s="18" t="n">
        <v>2508.4</v>
      </c>
      <c r="Q682" s="18" t="n">
        <v>1497.51</v>
      </c>
      <c r="R682" s="21">
        <f>IF(OR(G682="",P682=""),"",G682/P682-1)</f>
        <v/>
      </c>
      <c r="S682" s="19" t="n">
        <v>0.6147</v>
      </c>
      <c r="T682" s="22" t="n">
        <v>0.003</v>
      </c>
      <c r="U682" s="16" t="inlineStr">
        <is>
          <t>Yes</t>
        </is>
      </c>
      <c r="V682" s="16" t="inlineStr">
        <is>
          <t>Yes</t>
        </is>
      </c>
      <c r="W682" s="16" t="inlineStr">
        <is>
          <t>No</t>
        </is>
      </c>
      <c r="X682" s="16" t="inlineStr">
        <is>
          <t>Yes</t>
        </is>
      </c>
      <c r="Y682" s="20" t="n">
        <v>19</v>
      </c>
      <c r="Z682" s="19" t="n">
        <v>0.08779999999999999</v>
      </c>
      <c r="AA682" s="18" t="n">
        <v>40</v>
      </c>
      <c r="AB682" s="16" t="inlineStr">
        <is>
          <t>Weak</t>
        </is>
      </c>
      <c r="AC682" s="16" t="inlineStr">
        <is>
          <t>No</t>
        </is>
      </c>
      <c r="AD682" s="19" t="n">
        <v>0.1216</v>
      </c>
      <c r="AE682" s="19" t="n">
        <v>0.1452</v>
      </c>
      <c r="AF682" s="19" t="n">
        <v>-0.3991</v>
      </c>
      <c r="AG682" s="19" t="n">
        <v>0.07000000000000001</v>
      </c>
      <c r="AH682" s="23" t="n">
        <v>0.09</v>
      </c>
      <c r="AI682" s="23" t="n">
        <v>3.87</v>
      </c>
      <c r="AJ682" s="19" t="n">
        <v>0.1375</v>
      </c>
    </row>
    <row r="683">
      <c r="A683" s="16" t="inlineStr">
        <is>
          <t>RHIM</t>
        </is>
      </c>
      <c r="B683" s="16" t="inlineStr">
        <is>
          <t>RHI Magnesita India Ltd.</t>
        </is>
      </c>
      <c r="C683" s="16" t="inlineStr">
        <is>
          <t>Electrodes &amp; Refractories</t>
        </is>
      </c>
      <c r="D683" s="16" t="inlineStr">
        <is>
          <t>General Industrials</t>
        </is>
      </c>
      <c r="E683" s="16" t="inlineStr">
        <is>
          <t>INE743M01012</t>
        </is>
      </c>
      <c r="F683" s="17" t="n">
        <v>7668.43</v>
      </c>
      <c r="G683" s="18" t="n">
        <v>371.35</v>
      </c>
      <c r="H683" s="19" t="n">
        <v>0.0043</v>
      </c>
      <c r="I683" s="20" t="n">
        <v>20</v>
      </c>
      <c r="J683" s="16" t="inlineStr">
        <is>
          <t>red</t>
        </is>
      </c>
      <c r="K683" s="20" t="n">
        <v>129</v>
      </c>
      <c r="L683" s="18" t="n">
        <v>44.91</v>
      </c>
      <c r="M683" s="18" t="n">
        <v>370.21</v>
      </c>
      <c r="N683" s="18" t="n">
        <v>391.01</v>
      </c>
      <c r="O683" s="18" t="n">
        <v>410</v>
      </c>
      <c r="P683" s="18" t="n">
        <v>492.05</v>
      </c>
      <c r="Q683" s="18" t="n">
        <v>334.1</v>
      </c>
      <c r="R683" s="21">
        <f>IF(OR(G683="",P683=""),"",G683/P683-1)</f>
        <v/>
      </c>
      <c r="S683" s="19" t="n">
        <v>0.1689</v>
      </c>
      <c r="T683" s="22" t="n">
        <v>-0.0213</v>
      </c>
      <c r="U683" s="16" t="inlineStr">
        <is>
          <t>No</t>
        </is>
      </c>
      <c r="V683" s="16" t="inlineStr">
        <is>
          <t>No</t>
        </is>
      </c>
      <c r="W683" s="16" t="inlineStr">
        <is>
          <t>Yes</t>
        </is>
      </c>
      <c r="X683" s="16" t="inlineStr">
        <is>
          <t>No</t>
        </is>
      </c>
      <c r="Y683" s="20" t="n">
        <v>191</v>
      </c>
      <c r="Z683" s="19" t="n">
        <v>-0.0463</v>
      </c>
      <c r="AA683" s="18" t="n">
        <v>44.74</v>
      </c>
      <c r="AB683" s="16" t="inlineStr">
        <is>
          <t>Average</t>
        </is>
      </c>
      <c r="AC683" s="16" t="inlineStr">
        <is>
          <t>No</t>
        </is>
      </c>
      <c r="AD683" s="19" t="n">
        <v>-0.0277</v>
      </c>
      <c r="AE683" s="19" t="n">
        <v>0.0035</v>
      </c>
      <c r="AF683" s="19" t="n">
        <v>0.945</v>
      </c>
      <c r="AG683" s="19" t="n">
        <v>0.1572</v>
      </c>
      <c r="AH683" s="23" t="n">
        <v>0.13</v>
      </c>
      <c r="AI683" s="23" t="n">
        <v>4.37</v>
      </c>
      <c r="AJ683" s="19" t="n">
        <v>0.0519</v>
      </c>
    </row>
    <row r="684">
      <c r="A684" s="16" t="inlineStr">
        <is>
          <t>UNIMECH</t>
        </is>
      </c>
      <c r="B684" s="16" t="inlineStr">
        <is>
          <t>Unimech Aerospace and Manufacturing Ltd.</t>
        </is>
      </c>
      <c r="C684" s="16" t="inlineStr">
        <is>
          <t>Industrial Machinery</t>
        </is>
      </c>
      <c r="D684" s="16" t="inlineStr">
        <is>
          <t>General Industrials</t>
        </is>
      </c>
      <c r="E684" s="16" t="inlineStr">
        <is>
          <t>INE0U3I01011</t>
        </is>
      </c>
      <c r="F684" s="17" t="n">
        <v>7649.04</v>
      </c>
      <c r="G684" s="18" t="n">
        <v>1502.7</v>
      </c>
      <c r="H684" s="19" t="n">
        <v>0.0255</v>
      </c>
      <c r="I684" s="20" t="n">
        <v>84</v>
      </c>
      <c r="J684" s="16" t="inlineStr">
        <is>
          <t>green</t>
        </is>
      </c>
      <c r="K684" s="20" t="n">
        <v>24</v>
      </c>
      <c r="L684" s="18" t="n">
        <v>48.26</v>
      </c>
      <c r="M684" s="18" t="n">
        <v>1484.21</v>
      </c>
      <c r="N684" s="18" t="n">
        <v>1327.61</v>
      </c>
      <c r="O684" s="18" t="n">
        <v>1036.97</v>
      </c>
      <c r="P684" s="18" t="n">
        <v>1522.6</v>
      </c>
      <c r="Q684" s="18" t="n">
        <v>706.3</v>
      </c>
      <c r="R684" s="21">
        <f>IF(OR(G684="",P684=""),"",G684/P684-1)</f>
        <v/>
      </c>
      <c r="S684" s="19" t="n">
        <v>0.7817000000000001</v>
      </c>
      <c r="T684" s="22" t="n">
        <v>0.0482</v>
      </c>
      <c r="U684" s="16" t="inlineStr">
        <is>
          <t>Yes</t>
        </is>
      </c>
      <c r="V684" s="16" t="inlineStr">
        <is>
          <t>Yes</t>
        </is>
      </c>
      <c r="W684" s="16" t="inlineStr">
        <is>
          <t>Yes</t>
        </is>
      </c>
      <c r="X684" s="16" t="inlineStr">
        <is>
          <t>Yes</t>
        </is>
      </c>
      <c r="Y684" s="20" t="n">
        <v>62</v>
      </c>
      <c r="Z684" s="19" t="n">
        <v>0.2803</v>
      </c>
      <c r="AA684" s="18" t="n">
        <v>71.94</v>
      </c>
      <c r="AB684" s="16" t="inlineStr">
        <is>
          <t>High</t>
        </is>
      </c>
      <c r="AC684" s="16" t="inlineStr">
        <is>
          <t>No</t>
        </is>
      </c>
      <c r="AD684" s="19" t="n">
        <v>0.2486</v>
      </c>
      <c r="AE684" s="19" t="n">
        <v>0.2694</v>
      </c>
      <c r="AF684" s="19" t="n">
        <v>0.5969</v>
      </c>
      <c r="AG684" s="19" t="n">
        <v>0.4638</v>
      </c>
      <c r="AH684" s="23" t="n">
        <v>0.17</v>
      </c>
      <c r="AI684" s="23" t="n">
        <v>1.19</v>
      </c>
      <c r="AJ684" s="19" t="n">
        <v>0.028</v>
      </c>
    </row>
    <row r="685">
      <c r="A685" s="16" t="inlineStr">
        <is>
          <t>KIRLFER</t>
        </is>
      </c>
      <c r="B685" s="16" t="inlineStr">
        <is>
          <t>Kirloskar Ferrous Industries Ltd.</t>
        </is>
      </c>
      <c r="C685" s="16" t="inlineStr">
        <is>
          <t>Iron &amp; Steel/Interm.Products</t>
        </is>
      </c>
      <c r="D685" s="16" t="inlineStr">
        <is>
          <t>Metals &amp; Mining</t>
        </is>
      </c>
      <c r="E685" s="16" t="inlineStr">
        <is>
          <t>INE884B01025</t>
        </is>
      </c>
      <c r="F685" s="17" t="n">
        <v>7592.13</v>
      </c>
      <c r="G685" s="18" t="n">
        <v>459.6</v>
      </c>
      <c r="H685" s="19" t="n">
        <v>0.0111</v>
      </c>
      <c r="I685" s="20" t="n">
        <v>46</v>
      </c>
      <c r="J685" s="16" t="inlineStr">
        <is>
          <t>red</t>
        </is>
      </c>
      <c r="K685" s="20" t="n">
        <v>50</v>
      </c>
      <c r="L685" s="18" t="n">
        <v>70.69</v>
      </c>
      <c r="M685" s="18" t="n">
        <v>452.74</v>
      </c>
      <c r="N685" s="18" t="n">
        <v>456.25</v>
      </c>
      <c r="O685" s="18" t="n">
        <v>458.28</v>
      </c>
      <c r="P685" s="18" t="n">
        <v>526.17</v>
      </c>
      <c r="Q685" s="18" t="n">
        <v>411.21</v>
      </c>
      <c r="R685" s="21">
        <f>IF(OR(G685="",P685=""),"",G685/P685-1)</f>
        <v/>
      </c>
      <c r="S685" s="19" t="n">
        <v>1.82</v>
      </c>
      <c r="T685" s="22" t="n">
        <v>-0.0064</v>
      </c>
      <c r="U685" s="16" t="inlineStr">
        <is>
          <t>No</t>
        </is>
      </c>
      <c r="V685" s="16" t="inlineStr">
        <is>
          <t>Yes</t>
        </is>
      </c>
      <c r="W685" s="16" t="inlineStr">
        <is>
          <t>Yes</t>
        </is>
      </c>
      <c r="X685" s="16" t="inlineStr">
        <is>
          <t>No</t>
        </is>
      </c>
      <c r="Y685" s="20" t="n">
        <v>5</v>
      </c>
      <c r="Z685" s="19" t="n">
        <v>-0.0044</v>
      </c>
      <c r="AA685" s="18" t="n"/>
      <c r="AB685" s="16" t="n"/>
      <c r="AC685" s="16" t="inlineStr">
        <is>
          <t>No</t>
        </is>
      </c>
      <c r="AD685" s="19" t="n"/>
      <c r="AE685" s="19" t="n"/>
      <c r="AF685" s="19" t="n"/>
      <c r="AG685" s="19" t="n"/>
      <c r="AH685" s="23" t="n"/>
      <c r="AI685" s="23" t="n"/>
      <c r="AJ685" s="19" t="n"/>
    </row>
    <row r="686">
      <c r="A686" s="16" t="inlineStr">
        <is>
          <t>CELLO</t>
        </is>
      </c>
      <c r="B686" s="16" t="inlineStr">
        <is>
          <t>Cello World Ltd.</t>
        </is>
      </c>
      <c r="C686" s="16" t="inlineStr">
        <is>
          <t>Houseware</t>
        </is>
      </c>
      <c r="D686" s="16" t="inlineStr">
        <is>
          <t>Consumer Durables</t>
        </is>
      </c>
      <c r="E686" s="16" t="inlineStr">
        <is>
          <t>INE0LMW01024</t>
        </is>
      </c>
      <c r="F686" s="17" t="n">
        <v>7554.27</v>
      </c>
      <c r="G686" s="18" t="n">
        <v>342</v>
      </c>
      <c r="H686" s="19" t="n">
        <v>-0.0042</v>
      </c>
      <c r="I686" s="20" t="n">
        <v>6</v>
      </c>
      <c r="J686" s="16" t="inlineStr">
        <is>
          <t>red</t>
        </is>
      </c>
      <c r="K686" s="20" t="n">
        <v>501</v>
      </c>
      <c r="L686" s="18" t="n">
        <v>16.34</v>
      </c>
      <c r="M686" s="18" t="n">
        <v>348.8</v>
      </c>
      <c r="N686" s="18" t="n">
        <v>359.18</v>
      </c>
      <c r="O686" s="18" t="n">
        <v>433.5</v>
      </c>
      <c r="P686" s="18" t="n">
        <v>657.6900000000001</v>
      </c>
      <c r="Q686" s="18" t="n">
        <v>338.75</v>
      </c>
      <c r="R686" s="21">
        <f>IF(OR(G686="",P686=""),"",G686/P686-1)</f>
        <v/>
      </c>
      <c r="S686" s="19" t="n">
        <v>0.1193</v>
      </c>
      <c r="T686" s="22" t="n">
        <v>-0.0585</v>
      </c>
      <c r="U686" s="16" t="inlineStr">
        <is>
          <t>No</t>
        </is>
      </c>
      <c r="V686" s="16" t="inlineStr">
        <is>
          <t>No</t>
        </is>
      </c>
      <c r="W686" s="16" t="inlineStr">
        <is>
          <t>No</t>
        </is>
      </c>
      <c r="X686" s="16" t="inlineStr">
        <is>
          <t>No</t>
        </is>
      </c>
      <c r="Y686" s="20" t="n">
        <v>166</v>
      </c>
      <c r="Z686" s="19" t="n">
        <v>-0.1714</v>
      </c>
      <c r="AA686" s="18" t="n">
        <v>65.01000000000001</v>
      </c>
      <c r="AB686" s="16" t="inlineStr">
        <is>
          <t>High</t>
        </is>
      </c>
      <c r="AC686" s="16" t="inlineStr">
        <is>
          <t>No</t>
        </is>
      </c>
      <c r="AD686" s="19" t="n">
        <v>0.1874</v>
      </c>
      <c r="AE686" s="19" t="n">
        <v>0.2265</v>
      </c>
      <c r="AF686" s="19" t="n">
        <v>0.06320000000000001</v>
      </c>
      <c r="AG686" s="19" t="n">
        <v>0.09179999999999999</v>
      </c>
      <c r="AH686" s="23" t="n">
        <v>0.01</v>
      </c>
      <c r="AI686" s="23" t="n">
        <v>2.94</v>
      </c>
      <c r="AJ686" s="19" t="n">
        <v>0.1017</v>
      </c>
    </row>
    <row r="687">
      <c r="A687" s="16" t="inlineStr">
        <is>
          <t>KAMAHOLD</t>
        </is>
      </c>
      <c r="B687" s="16" t="inlineStr">
        <is>
          <t>Kama Holdings Ltd.</t>
        </is>
      </c>
      <c r="C687" s="16" t="inlineStr">
        <is>
          <t>Holding Companies</t>
        </is>
      </c>
      <c r="D687" s="16" t="inlineStr">
        <is>
          <t>Diversified</t>
        </is>
      </c>
      <c r="E687" s="16" t="inlineStr">
        <is>
          <t>INE411F01010</t>
        </is>
      </c>
      <c r="F687" s="17" t="n">
        <v>7538.08</v>
      </c>
      <c r="G687" s="18" t="n">
        <v>2349</v>
      </c>
      <c r="H687" s="19" t="n">
        <v>0.0021</v>
      </c>
      <c r="I687" s="20" t="n">
        <v>19</v>
      </c>
      <c r="J687" s="16" t="inlineStr">
        <is>
          <t>red</t>
        </is>
      </c>
      <c r="K687" s="20" t="n">
        <v>111</v>
      </c>
      <c r="L687" s="18" t="n">
        <v>21.28</v>
      </c>
      <c r="M687" s="18" t="n">
        <v>2364.27</v>
      </c>
      <c r="N687" s="18" t="n">
        <v>2486.03</v>
      </c>
      <c r="O687" s="18" t="n">
        <v>2586.17</v>
      </c>
      <c r="P687" s="18" t="n">
        <v>3071.95</v>
      </c>
      <c r="Q687" s="18" t="n">
        <v>2341.45</v>
      </c>
      <c r="R687" s="21">
        <f>IF(OR(G687="",P687=""),"",G687/P687-1)</f>
        <v/>
      </c>
      <c r="S687" s="19" t="n">
        <v>0.7211</v>
      </c>
      <c r="T687" s="22" t="n">
        <v>-0.0208</v>
      </c>
      <c r="U687" s="16" t="inlineStr">
        <is>
          <t>No</t>
        </is>
      </c>
      <c r="V687" s="16" t="inlineStr">
        <is>
          <t>No</t>
        </is>
      </c>
      <c r="W687" s="16" t="inlineStr">
        <is>
          <t>No</t>
        </is>
      </c>
      <c r="X687" s="16" t="inlineStr">
        <is>
          <t>No</t>
        </is>
      </c>
      <c r="Y687" s="20" t="n">
        <v>162</v>
      </c>
      <c r="Z687" s="19" t="n">
        <v>-0.0387</v>
      </c>
      <c r="AA687" s="18" t="n"/>
      <c r="AB687" s="16" t="n"/>
      <c r="AC687" s="16" t="inlineStr">
        <is>
          <t>No</t>
        </is>
      </c>
      <c r="AD687" s="19" t="n"/>
      <c r="AE687" s="19" t="n"/>
      <c r="AF687" s="19" t="n"/>
      <c r="AG687" s="19" t="n"/>
      <c r="AH687" s="23" t="n"/>
      <c r="AI687" s="23" t="n"/>
      <c r="AJ687" s="19" t="n"/>
    </row>
    <row r="688">
      <c r="A688" s="16" t="inlineStr">
        <is>
          <t>SAFARI</t>
        </is>
      </c>
      <c r="B688" s="16" t="inlineStr">
        <is>
          <t>Safari Industries (India) Ltd.</t>
        </is>
      </c>
      <c r="C688" s="16" t="inlineStr">
        <is>
          <t>Other Apparels &amp; Accessories</t>
        </is>
      </c>
      <c r="D688" s="16" t="inlineStr">
        <is>
          <t>Textiles Apparels &amp; Accessories</t>
        </is>
      </c>
      <c r="E688" s="16" t="inlineStr">
        <is>
          <t>INE429E01023</t>
        </is>
      </c>
      <c r="F688" s="17" t="n">
        <v>7530.4</v>
      </c>
      <c r="G688" s="18" t="n">
        <v>1540.4</v>
      </c>
      <c r="H688" s="19" t="n">
        <v>0.0205</v>
      </c>
      <c r="I688" s="20" t="n">
        <v>14</v>
      </c>
      <c r="J688" s="16" t="inlineStr">
        <is>
          <t>red</t>
        </is>
      </c>
      <c r="K688" s="20" t="n">
        <v>143</v>
      </c>
      <c r="L688" s="18" t="n">
        <v>62.02</v>
      </c>
      <c r="M688" s="18" t="n">
        <v>1514.62</v>
      </c>
      <c r="N688" s="18" t="n">
        <v>1555.18</v>
      </c>
      <c r="O688" s="18" t="n">
        <v>1755.07</v>
      </c>
      <c r="P688" s="18" t="n">
        <v>2489.54</v>
      </c>
      <c r="Q688" s="18" t="n">
        <v>1365.92</v>
      </c>
      <c r="R688" s="21">
        <f>IF(OR(G688="",P688=""),"",G688/P688-1)</f>
        <v/>
      </c>
      <c r="S688" s="19" t="n">
        <v>0.6228</v>
      </c>
      <c r="T688" s="22" t="n">
        <v>-0.0354</v>
      </c>
      <c r="U688" s="16" t="inlineStr">
        <is>
          <t>No</t>
        </is>
      </c>
      <c r="V688" s="16" t="inlineStr">
        <is>
          <t>No</t>
        </is>
      </c>
      <c r="W688" s="16" t="inlineStr">
        <is>
          <t>Yes</t>
        </is>
      </c>
      <c r="X688" s="16" t="inlineStr">
        <is>
          <t>No</t>
        </is>
      </c>
      <c r="Y688" s="20" t="n">
        <v>142</v>
      </c>
      <c r="Z688" s="19" t="n">
        <v>-0.1139</v>
      </c>
      <c r="AA688" s="18" t="n">
        <v>63.41</v>
      </c>
      <c r="AB688" s="16" t="inlineStr">
        <is>
          <t>Good</t>
        </is>
      </c>
      <c r="AC688" s="16" t="inlineStr">
        <is>
          <t>No</t>
        </is>
      </c>
      <c r="AD688" s="19" t="n">
        <v>0.1713</v>
      </c>
      <c r="AE688" s="19" t="n">
        <v>0.2031</v>
      </c>
      <c r="AF688" s="19" t="n">
        <v>0.1232</v>
      </c>
      <c r="AG688" s="19" t="n">
        <v>0.1923</v>
      </c>
      <c r="AH688" s="23" t="n">
        <v>0.1</v>
      </c>
      <c r="AI688" s="23" t="n">
        <v>4.48</v>
      </c>
      <c r="AJ688" s="19" t="n">
        <v>0.0007000000000000001</v>
      </c>
    </row>
    <row r="689">
      <c r="A689" s="16" t="inlineStr">
        <is>
          <t>CORDELIA</t>
        </is>
      </c>
      <c r="B689" s="16" t="inlineStr">
        <is>
          <t>Waterways Leisure Tourism Ltd.</t>
        </is>
      </c>
      <c r="C689" s="16" t="inlineStr">
        <is>
          <t>Other Leisure Facilities</t>
        </is>
      </c>
      <c r="D689" s="16" t="inlineStr">
        <is>
          <t>Diversified Consumer Services</t>
        </is>
      </c>
      <c r="E689" s="16" t="inlineStr">
        <is>
          <t>INE0LZF01039</t>
        </is>
      </c>
      <c r="F689" s="17" t="n">
        <v>7521.79</v>
      </c>
      <c r="G689" s="18" t="n">
        <v>103.9</v>
      </c>
      <c r="H689" s="19" t="n">
        <v>0.0199</v>
      </c>
      <c r="I689" s="20" t="n"/>
      <c r="J689" s="16" t="n"/>
      <c r="K689" s="20" t="n"/>
      <c r="L689" s="18" t="n">
        <v>78.08</v>
      </c>
      <c r="M689" s="18" t="n">
        <v>104.35</v>
      </c>
      <c r="N689" s="18" t="n"/>
      <c r="O689" s="18" t="n"/>
      <c r="P689" s="18" t="n">
        <v>109.5</v>
      </c>
      <c r="Q689" s="18" t="n">
        <v>66.81</v>
      </c>
      <c r="R689" s="21">
        <f>IF(OR(G689="",P689=""),"",G689/P689-1)</f>
        <v/>
      </c>
      <c r="S689" s="19" t="n">
        <v>0.6940000000000001</v>
      </c>
      <c r="T689" s="22" t="n"/>
      <c r="U689" s="16" t="n"/>
      <c r="V689" s="16" t="n"/>
      <c r="W689" s="16" t="inlineStr">
        <is>
          <t>No</t>
        </is>
      </c>
      <c r="X689" s="16" t="n"/>
      <c r="Y689" s="20" t="n"/>
      <c r="Z689" s="19" t="n"/>
      <c r="AA689" s="18" t="n"/>
      <c r="AB689" s="16" t="n"/>
      <c r="AC689" s="16" t="inlineStr">
        <is>
          <t>No</t>
        </is>
      </c>
      <c r="AD689" s="19" t="n"/>
      <c r="AE689" s="19" t="n"/>
      <c r="AF689" s="19" t="n"/>
      <c r="AG689" s="19" t="n"/>
      <c r="AH689" s="23" t="n"/>
      <c r="AI689" s="23" t="n"/>
      <c r="AJ689" s="19" t="n"/>
    </row>
    <row r="690">
      <c r="A690" s="16" t="inlineStr">
        <is>
          <t>NEWGEN</t>
        </is>
      </c>
      <c r="B690" s="16" t="inlineStr">
        <is>
          <t>Newgen Software Technologies Ltd.</t>
        </is>
      </c>
      <c r="C690" s="16" t="inlineStr">
        <is>
          <t>IT Consulting &amp; Software</t>
        </is>
      </c>
      <c r="D690" s="16" t="inlineStr">
        <is>
          <t>Software &amp; Services</t>
        </is>
      </c>
      <c r="E690" s="16" t="inlineStr">
        <is>
          <t>INE619B01017</t>
        </is>
      </c>
      <c r="F690" s="17" t="n">
        <v>7478.92</v>
      </c>
      <c r="G690" s="18" t="n">
        <v>524.8</v>
      </c>
      <c r="H690" s="19" t="n">
        <v>0.0138</v>
      </c>
      <c r="I690" s="20" t="n">
        <v>21</v>
      </c>
      <c r="J690" s="16" t="inlineStr">
        <is>
          <t>red</t>
        </is>
      </c>
      <c r="K690" s="20" t="n">
        <v>302</v>
      </c>
      <c r="L690" s="18" t="n">
        <v>46.54</v>
      </c>
      <c r="M690" s="18" t="n">
        <v>529.64</v>
      </c>
      <c r="N690" s="18" t="n">
        <v>525.8099999999999</v>
      </c>
      <c r="O690" s="18" t="n">
        <v>567.6</v>
      </c>
      <c r="P690" s="18" t="n">
        <v>985.52</v>
      </c>
      <c r="Q690" s="18" t="n">
        <v>397.85</v>
      </c>
      <c r="R690" s="21">
        <f>IF(OR(G690="",P690=""),"",G690/P690-1)</f>
        <v/>
      </c>
      <c r="S690" s="19" t="n">
        <v>1.2057</v>
      </c>
      <c r="T690" s="22" t="n">
        <v>-0.0663</v>
      </c>
      <c r="U690" s="16" t="inlineStr">
        <is>
          <t>No</t>
        </is>
      </c>
      <c r="V690" s="16" t="inlineStr">
        <is>
          <t>No</t>
        </is>
      </c>
      <c r="W690" s="16" t="inlineStr">
        <is>
          <t>No</t>
        </is>
      </c>
      <c r="X690" s="16" t="inlineStr">
        <is>
          <t>No</t>
        </is>
      </c>
      <c r="Y690" s="20" t="n">
        <v>368</v>
      </c>
      <c r="Z690" s="19" t="n">
        <v>-0.0736</v>
      </c>
      <c r="AA690" s="18" t="n">
        <v>75.56</v>
      </c>
      <c r="AB690" s="16" t="inlineStr">
        <is>
          <t>High</t>
        </is>
      </c>
      <c r="AC690" s="16" t="inlineStr">
        <is>
          <t>No</t>
        </is>
      </c>
      <c r="AD690" s="19" t="n">
        <v>0.1942</v>
      </c>
      <c r="AE690" s="19" t="n">
        <v>0.2388</v>
      </c>
      <c r="AF690" s="19" t="n">
        <v>0.6693000000000001</v>
      </c>
      <c r="AG690" s="19" t="n">
        <v>0.1771</v>
      </c>
      <c r="AH690" s="23" t="n">
        <v>0.02</v>
      </c>
      <c r="AI690" s="23" t="n">
        <v>6.77</v>
      </c>
      <c r="AJ690" s="19" t="n">
        <v>0.004699999999999999</v>
      </c>
    </row>
    <row r="691">
      <c r="A691" s="16" t="inlineStr">
        <is>
          <t>ETHOSLTD</t>
        </is>
      </c>
      <c r="B691" s="16" t="inlineStr">
        <is>
          <t>Ethos Ltd.</t>
        </is>
      </c>
      <c r="C691" s="16" t="inlineStr">
        <is>
          <t>Specialty Retail</t>
        </is>
      </c>
      <c r="D691" s="16" t="inlineStr">
        <is>
          <t>Retailing</t>
        </is>
      </c>
      <c r="E691" s="16" t="inlineStr">
        <is>
          <t>INE04TZ01018</t>
        </is>
      </c>
      <c r="F691" s="17" t="n">
        <v>7472.89</v>
      </c>
      <c r="G691" s="18" t="n">
        <v>2792.8</v>
      </c>
      <c r="H691" s="19" t="n">
        <v>-0.0001</v>
      </c>
      <c r="I691" s="20" t="n">
        <v>58</v>
      </c>
      <c r="J691" s="16" t="inlineStr">
        <is>
          <t>red</t>
        </is>
      </c>
      <c r="K691" s="20" t="n">
        <v>1</v>
      </c>
      <c r="L691" s="18" t="n">
        <v>50.53</v>
      </c>
      <c r="M691" s="18" t="n">
        <v>2856.11</v>
      </c>
      <c r="N691" s="18" t="n">
        <v>2702.38</v>
      </c>
      <c r="O691" s="18" t="n">
        <v>2589</v>
      </c>
      <c r="P691" s="18" t="n">
        <v>3196.4</v>
      </c>
      <c r="Q691" s="18" t="n">
        <v>2020.4</v>
      </c>
      <c r="R691" s="21">
        <f>IF(OR(G691="",P691=""),"",G691/P691-1)</f>
        <v/>
      </c>
      <c r="S691" s="19" t="n">
        <v>0.6211</v>
      </c>
      <c r="T691" s="22" t="n">
        <v>-0.0016</v>
      </c>
      <c r="U691" s="16" t="inlineStr">
        <is>
          <t>No</t>
        </is>
      </c>
      <c r="V691" s="16" t="inlineStr">
        <is>
          <t>Yes</t>
        </is>
      </c>
      <c r="W691" s="16" t="inlineStr">
        <is>
          <t>No</t>
        </is>
      </c>
      <c r="X691" s="16" t="inlineStr">
        <is>
          <t>Yes</t>
        </is>
      </c>
      <c r="Y691" s="20" t="n">
        <v>13</v>
      </c>
      <c r="Z691" s="19" t="n">
        <v>0.0438</v>
      </c>
      <c r="AA691" s="18" t="n">
        <v>48.85</v>
      </c>
      <c r="AB691" s="16" t="inlineStr">
        <is>
          <t>Average</t>
        </is>
      </c>
      <c r="AC691" s="16" t="inlineStr">
        <is>
          <t>No</t>
        </is>
      </c>
      <c r="AD691" s="19" t="n">
        <v>0.08529999999999999</v>
      </c>
      <c r="AE691" s="19" t="n">
        <v>0.1095</v>
      </c>
      <c r="AF691" s="19" t="n">
        <v>0.1338</v>
      </c>
      <c r="AG691" s="19" t="n">
        <v>0.2693</v>
      </c>
      <c r="AH691" s="23" t="n">
        <v>0.22</v>
      </c>
      <c r="AI691" s="23" t="n">
        <v>3.49</v>
      </c>
      <c r="AJ691" s="19" t="n">
        <v>0.0241</v>
      </c>
    </row>
    <row r="692">
      <c r="A692" s="16" t="inlineStr">
        <is>
          <t>CERA</t>
        </is>
      </c>
      <c r="B692" s="16" t="inlineStr">
        <is>
          <t>Cera Sanitaryware Ltd.</t>
        </is>
      </c>
      <c r="C692" s="16" t="inlineStr">
        <is>
          <t>Household Appliances</t>
        </is>
      </c>
      <c r="D692" s="16" t="inlineStr">
        <is>
          <t>Consumer Durables</t>
        </is>
      </c>
      <c r="E692" s="16" t="inlineStr">
        <is>
          <t>INE739E01017</t>
        </is>
      </c>
      <c r="F692" s="17" t="n">
        <v>7464.43</v>
      </c>
      <c r="G692" s="18" t="n">
        <v>5787.5</v>
      </c>
      <c r="H692" s="19" t="n">
        <v>0.0183</v>
      </c>
      <c r="I692" s="20" t="n">
        <v>47</v>
      </c>
      <c r="J692" s="16" t="inlineStr">
        <is>
          <t>red</t>
        </is>
      </c>
      <c r="K692" s="20" t="n">
        <v>23</v>
      </c>
      <c r="L692" s="18" t="n">
        <v>50.03</v>
      </c>
      <c r="M692" s="18" t="n">
        <v>5701.88</v>
      </c>
      <c r="N692" s="18" t="n">
        <v>6057.53</v>
      </c>
      <c r="O692" s="18" t="n">
        <v>5451.95</v>
      </c>
      <c r="P692" s="18" t="n">
        <v>6585.47</v>
      </c>
      <c r="Q692" s="18" t="n">
        <v>4472.66</v>
      </c>
      <c r="R692" s="21">
        <f>IF(OR(G692="",P692=""),"",G692/P692-1)</f>
        <v/>
      </c>
      <c r="S692" s="19" t="n">
        <v>1.7709</v>
      </c>
      <c r="T692" s="22" t="n">
        <v>-0.0021</v>
      </c>
      <c r="U692" s="16" t="inlineStr">
        <is>
          <t>No</t>
        </is>
      </c>
      <c r="V692" s="16" t="inlineStr">
        <is>
          <t>No</t>
        </is>
      </c>
      <c r="W692" s="16" t="inlineStr">
        <is>
          <t>Yes</t>
        </is>
      </c>
      <c r="X692" s="16" t="inlineStr">
        <is>
          <t>Yes</t>
        </is>
      </c>
      <c r="Y692" s="20" t="n">
        <v>60</v>
      </c>
      <c r="Z692" s="19" t="n">
        <v>0.1111</v>
      </c>
      <c r="AA692" s="18" t="n">
        <v>40</v>
      </c>
      <c r="AB692" s="16" t="inlineStr">
        <is>
          <t>Weak</t>
        </is>
      </c>
      <c r="AC692" s="16" t="inlineStr">
        <is>
          <t>No</t>
        </is>
      </c>
      <c r="AD692" s="19" t="n">
        <v>0.1663</v>
      </c>
      <c r="AE692" s="19" t="n">
        <v>0.212</v>
      </c>
      <c r="AF692" s="19" t="n">
        <v>-0.2742</v>
      </c>
      <c r="AG692" s="19" t="n">
        <v>0.0418</v>
      </c>
      <c r="AH692" s="23" t="n">
        <v>0.03</v>
      </c>
      <c r="AI692" s="23" t="n">
        <v>5.37</v>
      </c>
      <c r="AJ692" s="19" t="n">
        <v>0.0219</v>
      </c>
    </row>
    <row r="693">
      <c r="A693" s="16" t="inlineStr">
        <is>
          <t>HNDFDS</t>
        </is>
      </c>
      <c r="B693" s="16" t="inlineStr">
        <is>
          <t>Hindustan Foods Ltd.</t>
        </is>
      </c>
      <c r="C693" s="16" t="inlineStr">
        <is>
          <t>Packaged Foods</t>
        </is>
      </c>
      <c r="D693" s="16" t="inlineStr">
        <is>
          <t>FMCG</t>
        </is>
      </c>
      <c r="E693" s="16" t="inlineStr">
        <is>
          <t>INE254N01026</t>
        </is>
      </c>
      <c r="F693" s="17" t="n">
        <v>7452.11</v>
      </c>
      <c r="G693" s="18" t="n">
        <v>615.05</v>
      </c>
      <c r="H693" s="19" t="n">
        <v>-0.0189</v>
      </c>
      <c r="I693" s="20" t="n">
        <v>65</v>
      </c>
      <c r="J693" s="16" t="inlineStr">
        <is>
          <t>amber</t>
        </is>
      </c>
      <c r="K693" s="20" t="n">
        <v>18</v>
      </c>
      <c r="L693" s="18" t="n">
        <v>52.14</v>
      </c>
      <c r="M693" s="18" t="n">
        <v>634.1900000000001</v>
      </c>
      <c r="N693" s="18" t="n">
        <v>588.45</v>
      </c>
      <c r="O693" s="18" t="n">
        <v>529.24</v>
      </c>
      <c r="P693" s="18" t="n">
        <v>658.2</v>
      </c>
      <c r="Q693" s="18" t="n">
        <v>446.1</v>
      </c>
      <c r="R693" s="21">
        <f>IF(OR(G693="",P693=""),"",G693/P693-1)</f>
        <v/>
      </c>
      <c r="S693" s="19" t="n">
        <v>1.2073</v>
      </c>
      <c r="T693" s="22" t="n">
        <v>0.0172</v>
      </c>
      <c r="U693" s="16" t="inlineStr">
        <is>
          <t>Yes</t>
        </is>
      </c>
      <c r="V693" s="16" t="inlineStr">
        <is>
          <t>Yes</t>
        </is>
      </c>
      <c r="W693" s="16" t="inlineStr">
        <is>
          <t>No</t>
        </is>
      </c>
      <c r="X693" s="16" t="inlineStr">
        <is>
          <t>Yes</t>
        </is>
      </c>
      <c r="Y693" s="20" t="n">
        <v>62</v>
      </c>
      <c r="Z693" s="19" t="n">
        <v>0.1119</v>
      </c>
      <c r="AA693" s="18" t="n">
        <v>47.71</v>
      </c>
      <c r="AB693" s="16" t="inlineStr">
        <is>
          <t>Average</t>
        </is>
      </c>
      <c r="AC693" s="16" t="inlineStr">
        <is>
          <t>No</t>
        </is>
      </c>
      <c r="AD693" s="19" t="n">
        <v>0.1338</v>
      </c>
      <c r="AE693" s="19" t="n">
        <v>0.127</v>
      </c>
      <c r="AF693" s="19" t="n">
        <v>0.2513</v>
      </c>
      <c r="AG693" s="19" t="n">
        <v>0.1843</v>
      </c>
      <c r="AH693" s="23" t="n">
        <v>0.93</v>
      </c>
      <c r="AI693" s="23" t="n">
        <v>3</v>
      </c>
      <c r="AJ693" s="19" t="n">
        <v>0.106</v>
      </c>
    </row>
    <row r="694">
      <c r="A694" s="16" t="inlineStr">
        <is>
          <t>GMRP&amp;UI</t>
        </is>
      </c>
      <c r="B694" s="16" t="inlineStr">
        <is>
          <t>GMR Power and Urban Infra Ltd.</t>
        </is>
      </c>
      <c r="C694" s="16" t="inlineStr">
        <is>
          <t>Power - Electric Utilities</t>
        </is>
      </c>
      <c r="D694" s="16" t="inlineStr">
        <is>
          <t>Utilities</t>
        </is>
      </c>
      <c r="E694" s="16" t="inlineStr">
        <is>
          <t>INE0CU601026</t>
        </is>
      </c>
      <c r="F694" s="17" t="n">
        <v>7443.1</v>
      </c>
      <c r="G694" s="18" t="n">
        <v>95.3</v>
      </c>
      <c r="H694" s="19" t="n">
        <v>0.0394</v>
      </c>
      <c r="I694" s="20" t="n">
        <v>17</v>
      </c>
      <c r="J694" s="16" t="inlineStr">
        <is>
          <t>red</t>
        </is>
      </c>
      <c r="K694" s="20" t="n">
        <v>78</v>
      </c>
      <c r="L694" s="18" t="n">
        <v>45.87</v>
      </c>
      <c r="M694" s="18" t="n">
        <v>92.66</v>
      </c>
      <c r="N694" s="18" t="n">
        <v>97.23999999999999</v>
      </c>
      <c r="O694" s="18" t="n">
        <v>105.47</v>
      </c>
      <c r="P694" s="18" t="n">
        <v>132.19</v>
      </c>
      <c r="Q694" s="18" t="n">
        <v>89.73999999999999</v>
      </c>
      <c r="R694" s="21">
        <f>IF(OR(G694="",P694=""),"",G694/P694-1)</f>
        <v/>
      </c>
      <c r="S694" s="19" t="n">
        <v>1.5638</v>
      </c>
      <c r="T694" s="22" t="n">
        <v>-0.0239</v>
      </c>
      <c r="U694" s="16" t="inlineStr">
        <is>
          <t>No</t>
        </is>
      </c>
      <c r="V694" s="16" t="inlineStr">
        <is>
          <t>No</t>
        </is>
      </c>
      <c r="W694" s="16" t="inlineStr">
        <is>
          <t>Yes</t>
        </is>
      </c>
      <c r="X694" s="16" t="inlineStr">
        <is>
          <t>No</t>
        </is>
      </c>
      <c r="Y694" s="20" t="n">
        <v>163</v>
      </c>
      <c r="Z694" s="19" t="n">
        <v>-0.0781</v>
      </c>
      <c r="AA694" s="18" t="n">
        <v>36.99</v>
      </c>
      <c r="AB694" s="16" t="inlineStr">
        <is>
          <t>Weak</t>
        </is>
      </c>
      <c r="AC694" s="16" t="inlineStr">
        <is>
          <t>No</t>
        </is>
      </c>
      <c r="AD694" s="19" t="n">
        <v>0.9218999999999999</v>
      </c>
      <c r="AE694" s="19" t="n">
        <v>0.2032</v>
      </c>
      <c r="AF694" s="19" t="n">
        <v>3.6766</v>
      </c>
      <c r="AG694" s="19" t="n">
        <v>0.1541</v>
      </c>
      <c r="AH694" s="23" t="n">
        <v>6.09</v>
      </c>
      <c r="AI694" s="23" t="n">
        <v>0.98</v>
      </c>
      <c r="AJ694" s="19" t="n">
        <v>0.0607</v>
      </c>
    </row>
    <row r="695">
      <c r="A695" s="16" t="inlineStr">
        <is>
          <t>JYOTHYLAB</t>
        </is>
      </c>
      <c r="B695" s="16" t="inlineStr">
        <is>
          <t>Jyothy Labs Ltd.</t>
        </is>
      </c>
      <c r="C695" s="16" t="inlineStr">
        <is>
          <t>Personal Products</t>
        </is>
      </c>
      <c r="D695" s="16" t="inlineStr">
        <is>
          <t>FMCG</t>
        </is>
      </c>
      <c r="E695" s="16" t="inlineStr">
        <is>
          <t>INE668F01031</t>
        </is>
      </c>
      <c r="F695" s="17" t="n">
        <v>7400.84</v>
      </c>
      <c r="G695" s="18" t="n">
        <v>201.54</v>
      </c>
      <c r="H695" s="19" t="n">
        <v>0.0052</v>
      </c>
      <c r="I695" s="20" t="n">
        <v>12</v>
      </c>
      <c r="J695" s="16" t="inlineStr">
        <is>
          <t>red</t>
        </is>
      </c>
      <c r="K695" s="20" t="n">
        <v>494</v>
      </c>
      <c r="L695" s="18" t="n">
        <v>31.61</v>
      </c>
      <c r="M695" s="18" t="n">
        <v>205.15</v>
      </c>
      <c r="N695" s="18" t="n">
        <v>201.9</v>
      </c>
      <c r="O695" s="18" t="n">
        <v>230.32</v>
      </c>
      <c r="P695" s="18" t="n">
        <v>331.07</v>
      </c>
      <c r="Q695" s="18" t="n">
        <v>189.12</v>
      </c>
      <c r="R695" s="21">
        <f>IF(OR(G695="",P695=""),"",G695/P695-1)</f>
        <v/>
      </c>
      <c r="S695" s="19" t="n">
        <v>0.3717</v>
      </c>
      <c r="T695" s="22" t="n">
        <v>-0.0428</v>
      </c>
      <c r="U695" s="16" t="inlineStr">
        <is>
          <t>No</t>
        </is>
      </c>
      <c r="V695" s="16" t="inlineStr">
        <is>
          <t>No</t>
        </is>
      </c>
      <c r="W695" s="16" t="inlineStr">
        <is>
          <t>No</t>
        </is>
      </c>
      <c r="X695" s="16" t="inlineStr">
        <is>
          <t>No</t>
        </is>
      </c>
      <c r="Y695" s="20" t="n">
        <v>433</v>
      </c>
      <c r="Z695" s="19" t="n">
        <v>-0.1234</v>
      </c>
      <c r="AA695" s="18" t="n">
        <v>40</v>
      </c>
      <c r="AB695" s="16" t="inlineStr">
        <is>
          <t>Weak</t>
        </is>
      </c>
      <c r="AC695" s="16" t="inlineStr">
        <is>
          <t>No</t>
        </is>
      </c>
      <c r="AD695" s="19" t="n">
        <v>0.2275</v>
      </c>
      <c r="AE695" s="19" t="n">
        <v>0.2938</v>
      </c>
      <c r="AF695" s="19" t="n">
        <v>-0.1515</v>
      </c>
      <c r="AG695" s="19" t="n">
        <v>0.05860000000000001</v>
      </c>
      <c r="AH695" s="23" t="n">
        <v>0.03</v>
      </c>
      <c r="AI695" s="23" t="n">
        <v>7.23</v>
      </c>
      <c r="AJ695" s="19" t="n">
        <v>0.0325</v>
      </c>
    </row>
    <row r="696">
      <c r="A696" s="16" t="inlineStr">
        <is>
          <t>SJS</t>
        </is>
      </c>
      <c r="B696" s="16" t="inlineStr">
        <is>
          <t>SJS Enterprises Ltd.</t>
        </is>
      </c>
      <c r="C696" s="16" t="inlineStr">
        <is>
          <t>Auto Parts &amp; Equipment</t>
        </is>
      </c>
      <c r="D696" s="16" t="inlineStr">
        <is>
          <t>Automobiles &amp; Auto Components</t>
        </is>
      </c>
      <c r="E696" s="16" t="inlineStr">
        <is>
          <t>INE284S01014</t>
        </is>
      </c>
      <c r="F696" s="17" t="n">
        <v>7385.68</v>
      </c>
      <c r="G696" s="18" t="n">
        <v>2306.1</v>
      </c>
      <c r="H696" s="19" t="n">
        <v>-0.0435</v>
      </c>
      <c r="I696" s="20" t="n">
        <v>78</v>
      </c>
      <c r="J696" s="16" t="inlineStr">
        <is>
          <t>amber</t>
        </is>
      </c>
      <c r="K696" s="20" t="n">
        <v>1</v>
      </c>
      <c r="L696" s="18" t="n">
        <v>23.71</v>
      </c>
      <c r="M696" s="18" t="n">
        <v>2446.09</v>
      </c>
      <c r="N696" s="18" t="n">
        <v>2353.46</v>
      </c>
      <c r="O696" s="18" t="n">
        <v>1930.45</v>
      </c>
      <c r="P696" s="18" t="n">
        <v>2561.7</v>
      </c>
      <c r="Q696" s="18" t="n">
        <v>1367.48</v>
      </c>
      <c r="R696" s="21">
        <f>IF(OR(G696="",P696=""),"",G696/P696-1)</f>
        <v/>
      </c>
      <c r="S696" s="19" t="n">
        <v>1.33</v>
      </c>
      <c r="T696" s="22" t="n">
        <v>0.04480000000000001</v>
      </c>
      <c r="U696" s="16" t="inlineStr">
        <is>
          <t>Yes</t>
        </is>
      </c>
      <c r="V696" s="16" t="inlineStr">
        <is>
          <t>No</t>
        </is>
      </c>
      <c r="W696" s="16" t="inlineStr">
        <is>
          <t>No</t>
        </is>
      </c>
      <c r="X696" s="16" t="inlineStr">
        <is>
          <t>Yes</t>
        </is>
      </c>
      <c r="Y696" s="20" t="n">
        <v>305</v>
      </c>
      <c r="Z696" s="19" t="n">
        <v>0.2191</v>
      </c>
      <c r="AA696" s="18" t="n">
        <v>76.47</v>
      </c>
      <c r="AB696" s="16" t="inlineStr">
        <is>
          <t>High</t>
        </is>
      </c>
      <c r="AC696" s="16" t="inlineStr">
        <is>
          <t>No</t>
        </is>
      </c>
      <c r="AD696" s="19" t="n">
        <v>0.1749</v>
      </c>
      <c r="AE696" s="19" t="n">
        <v>0.2251</v>
      </c>
      <c r="AF696" s="19" t="n">
        <v>0.3478</v>
      </c>
      <c r="AG696" s="19" t="n">
        <v>0.3035</v>
      </c>
      <c r="AH696" s="23" t="n">
        <v>0.03</v>
      </c>
      <c r="AI696" s="23" t="n">
        <v>4.14</v>
      </c>
      <c r="AJ696" s="19" t="n">
        <v>0.2594</v>
      </c>
    </row>
    <row r="697">
      <c r="A697" s="16" t="inlineStr">
        <is>
          <t>NESCO</t>
        </is>
      </c>
      <c r="B697" s="16" t="inlineStr">
        <is>
          <t>Nesco Ltd.</t>
        </is>
      </c>
      <c r="C697" s="16" t="inlineStr">
        <is>
          <t>Realty</t>
        </is>
      </c>
      <c r="D697" s="16" t="inlineStr">
        <is>
          <t>Realty</t>
        </is>
      </c>
      <c r="E697" s="16" t="inlineStr">
        <is>
          <t>INE317F01035</t>
        </is>
      </c>
      <c r="F697" s="17" t="n">
        <v>7381.39</v>
      </c>
      <c r="G697" s="18" t="n">
        <v>1047.6</v>
      </c>
      <c r="H697" s="19" t="n">
        <v>0.0027</v>
      </c>
      <c r="I697" s="20" t="n">
        <v>20</v>
      </c>
      <c r="J697" s="16" t="inlineStr">
        <is>
          <t>red</t>
        </is>
      </c>
      <c r="K697" s="20" t="n">
        <v>72</v>
      </c>
      <c r="L697" s="18" t="n">
        <v>50.7</v>
      </c>
      <c r="M697" s="18" t="n">
        <v>1037.51</v>
      </c>
      <c r="N697" s="18" t="n">
        <v>1061.13</v>
      </c>
      <c r="O697" s="18" t="n">
        <v>1138.22</v>
      </c>
      <c r="P697" s="18" t="n">
        <v>1568</v>
      </c>
      <c r="Q697" s="18" t="n">
        <v>1007.51</v>
      </c>
      <c r="R697" s="21">
        <f>IF(OR(G697="",P697=""),"",G697/P697-1)</f>
        <v/>
      </c>
      <c r="S697" s="19" t="n">
        <v>1.0902</v>
      </c>
      <c r="T697" s="22" t="n">
        <v>-0.0243</v>
      </c>
      <c r="U697" s="16" t="inlineStr">
        <is>
          <t>No</t>
        </is>
      </c>
      <c r="V697" s="16" t="inlineStr">
        <is>
          <t>No</t>
        </is>
      </c>
      <c r="W697" s="16" t="inlineStr">
        <is>
          <t>Yes</t>
        </is>
      </c>
      <c r="X697" s="16" t="inlineStr">
        <is>
          <t>No</t>
        </is>
      </c>
      <c r="Y697" s="20" t="n">
        <v>150</v>
      </c>
      <c r="Z697" s="19" t="n">
        <v>-0.0677</v>
      </c>
      <c r="AA697" s="18" t="n">
        <v>60.62</v>
      </c>
      <c r="AB697" s="16" t="inlineStr">
        <is>
          <t>Good</t>
        </is>
      </c>
      <c r="AC697" s="16" t="inlineStr">
        <is>
          <t>No</t>
        </is>
      </c>
      <c r="AD697" s="19" t="n">
        <v>0.1461</v>
      </c>
      <c r="AE697" s="19" t="n">
        <v>0.1874</v>
      </c>
      <c r="AF697" s="19" t="n">
        <v>0.1275</v>
      </c>
      <c r="AG697" s="19" t="n">
        <v>0.1983</v>
      </c>
      <c r="AH697" s="23" t="n">
        <v>0.09</v>
      </c>
      <c r="AI697" s="23" t="n">
        <v>0.6899999999999999</v>
      </c>
      <c r="AJ697" s="19" t="n">
        <v>0.5700999999999999</v>
      </c>
    </row>
    <row r="698">
      <c r="A698" s="16" t="inlineStr">
        <is>
          <t>INDIASHLTR</t>
        </is>
      </c>
      <c r="B698" s="16" t="inlineStr">
        <is>
          <t>India Shelter Finance Corporation Ltd.</t>
        </is>
      </c>
      <c r="C698" s="16" t="inlineStr">
        <is>
          <t>Housing Finance</t>
        </is>
      </c>
      <c r="D698" s="16" t="inlineStr">
        <is>
          <t>Banking and Finance</t>
        </is>
      </c>
      <c r="E698" s="16" t="inlineStr">
        <is>
          <t>INE922K01024</t>
        </is>
      </c>
      <c r="F698" s="17" t="n">
        <v>7378.14</v>
      </c>
      <c r="G698" s="18" t="n">
        <v>677.1</v>
      </c>
      <c r="H698" s="19" t="n">
        <v>0.0059</v>
      </c>
      <c r="I698" s="20" t="n">
        <v>17</v>
      </c>
      <c r="J698" s="16" t="inlineStr">
        <is>
          <t>red</t>
        </is>
      </c>
      <c r="K698" s="20" t="n">
        <v>107</v>
      </c>
      <c r="L698" s="18" t="n">
        <v>50.83</v>
      </c>
      <c r="M698" s="18" t="n">
        <v>654.9299999999999</v>
      </c>
      <c r="N698" s="18" t="n">
        <v>724.24</v>
      </c>
      <c r="O698" s="18" t="n">
        <v>763.76</v>
      </c>
      <c r="P698" s="18" t="n">
        <v>906.99</v>
      </c>
      <c r="Q698" s="18" t="n">
        <v>628.9</v>
      </c>
      <c r="R698" s="21">
        <f>IF(OR(G698="",P698=""),"",G698/P698-1)</f>
        <v/>
      </c>
      <c r="S698" s="19" t="n">
        <v>0.4978</v>
      </c>
      <c r="T698" s="22" t="n">
        <v>-0.0256</v>
      </c>
      <c r="U698" s="16" t="inlineStr">
        <is>
          <t>No</t>
        </is>
      </c>
      <c r="V698" s="16" t="inlineStr">
        <is>
          <t>No</t>
        </is>
      </c>
      <c r="W698" s="16" t="inlineStr">
        <is>
          <t>Yes</t>
        </is>
      </c>
      <c r="X698" s="16" t="inlineStr">
        <is>
          <t>No</t>
        </is>
      </c>
      <c r="Y698" s="20" t="n">
        <v>178</v>
      </c>
      <c r="Z698" s="19" t="n">
        <v>-0.0517</v>
      </c>
      <c r="AA698" s="18" t="n">
        <v>59.89</v>
      </c>
      <c r="AB698" s="16" t="inlineStr">
        <is>
          <t>Good</t>
        </is>
      </c>
      <c r="AC698" s="16" t="inlineStr">
        <is>
          <t>Yes</t>
        </is>
      </c>
      <c r="AD698" s="19" t="n">
        <v>0.1348</v>
      </c>
      <c r="AE698" s="19" t="n">
        <v>0.0633</v>
      </c>
      <c r="AF698" s="19" t="n">
        <v>0.4693</v>
      </c>
      <c r="AG698" s="19" t="n">
        <v>0.3799</v>
      </c>
      <c r="AH698" s="23" t="n">
        <v>1.95</v>
      </c>
      <c r="AI698" s="23" t="n">
        <v>48.16</v>
      </c>
      <c r="AJ698" s="19" t="n">
        <v>0</v>
      </c>
    </row>
    <row r="699">
      <c r="A699" s="16" t="inlineStr">
        <is>
          <t>TTML</t>
        </is>
      </c>
      <c r="B699" s="16" t="inlineStr">
        <is>
          <t>Tata Teleservices (Maharashtra) Ltd.</t>
        </is>
      </c>
      <c r="C699" s="16" t="inlineStr">
        <is>
          <t>Telecom Services</t>
        </is>
      </c>
      <c r="D699" s="16" t="inlineStr">
        <is>
          <t>Telecom Services</t>
        </is>
      </c>
      <c r="E699" s="16" t="inlineStr">
        <is>
          <t>INE517B01013</t>
        </is>
      </c>
      <c r="F699" s="17" t="n">
        <v>7377.9</v>
      </c>
      <c r="G699" s="18" t="n">
        <v>37.74</v>
      </c>
      <c r="H699" s="19" t="n">
        <v>-0.0071</v>
      </c>
      <c r="I699" s="20" t="n">
        <v>9</v>
      </c>
      <c r="J699" s="16" t="inlineStr">
        <is>
          <t>red</t>
        </is>
      </c>
      <c r="K699" s="20" t="n">
        <v>501</v>
      </c>
      <c r="L699" s="18" t="n">
        <v>47.02</v>
      </c>
      <c r="M699" s="18" t="n">
        <v>37.99</v>
      </c>
      <c r="N699" s="18" t="n">
        <v>39.61</v>
      </c>
      <c r="O699" s="18" t="n">
        <v>43.04</v>
      </c>
      <c r="P699" s="18" t="n">
        <v>58.79</v>
      </c>
      <c r="Q699" s="18" t="n">
        <v>31.36</v>
      </c>
      <c r="R699" s="21">
        <f>IF(OR(G699="",P699=""),"",G699/P699-1)</f>
        <v/>
      </c>
      <c r="S699" s="19" t="n">
        <v>0.4239</v>
      </c>
      <c r="T699" s="22" t="n">
        <v>-0.0368</v>
      </c>
      <c r="U699" s="16" t="inlineStr">
        <is>
          <t>No</t>
        </is>
      </c>
      <c r="V699" s="16" t="inlineStr">
        <is>
          <t>No</t>
        </is>
      </c>
      <c r="W699" s="16" t="inlineStr">
        <is>
          <t>No</t>
        </is>
      </c>
      <c r="X699" s="16" t="inlineStr">
        <is>
          <t>No</t>
        </is>
      </c>
      <c r="Y699" s="20" t="n">
        <v>458</v>
      </c>
      <c r="Z699" s="19" t="n">
        <v>-0.0796</v>
      </c>
      <c r="AA699" s="18" t="n">
        <v>38.18</v>
      </c>
      <c r="AB699" s="16" t="inlineStr">
        <is>
          <t>Weak</t>
        </is>
      </c>
      <c r="AC699" s="16" t="inlineStr">
        <is>
          <t>No</t>
        </is>
      </c>
      <c r="AD699" s="19" t="n">
        <v>0.0466</v>
      </c>
      <c r="AE699" s="19" t="n">
        <v>-0.3464</v>
      </c>
      <c r="AF699" s="19" t="n">
        <v>0.2405</v>
      </c>
      <c r="AG699" s="19" t="n">
        <v>0.0193</v>
      </c>
      <c r="AH699" s="23" t="n">
        <v>-0.95</v>
      </c>
      <c r="AI699" s="23" t="n">
        <v>1.19</v>
      </c>
      <c r="AJ699" s="19" t="n">
        <v>0.0337</v>
      </c>
    </row>
    <row r="700">
      <c r="A700" s="16" t="inlineStr">
        <is>
          <t>KSHINTL</t>
        </is>
      </c>
      <c r="B700" s="16" t="inlineStr">
        <is>
          <t>KSH International Ltd.</t>
        </is>
      </c>
      <c r="C700" s="16" t="inlineStr">
        <is>
          <t>Other Industrial Products</t>
        </is>
      </c>
      <c r="D700" s="16" t="inlineStr">
        <is>
          <t>General Industrials</t>
        </is>
      </c>
      <c r="E700" s="16" t="inlineStr">
        <is>
          <t>INE987S01020</t>
        </is>
      </c>
      <c r="F700" s="17" t="n">
        <v>7370.47</v>
      </c>
      <c r="G700" s="18" t="n">
        <v>1087.8</v>
      </c>
      <c r="H700" s="19" t="n">
        <v>0.06370000000000001</v>
      </c>
      <c r="I700" s="20" t="n">
        <v>93</v>
      </c>
      <c r="J700" s="16" t="inlineStr">
        <is>
          <t>green</t>
        </is>
      </c>
      <c r="K700" s="20" t="n">
        <v>114</v>
      </c>
      <c r="L700" s="18" t="n">
        <v>61.46</v>
      </c>
      <c r="M700" s="18" t="n">
        <v>978.84</v>
      </c>
      <c r="N700" s="18" t="n">
        <v>914.14</v>
      </c>
      <c r="O700" s="18" t="n"/>
      <c r="P700" s="18" t="n">
        <v>1087.8</v>
      </c>
      <c r="Q700" s="18" t="n">
        <v>331.9</v>
      </c>
      <c r="R700" s="21">
        <f>IF(OR(G700="",P700=""),"",G700/P700-1)</f>
        <v/>
      </c>
      <c r="S700" s="19" t="n">
        <v>1.4595</v>
      </c>
      <c r="T700" s="22" t="n"/>
      <c r="U700" s="16" t="n"/>
      <c r="V700" s="16" t="inlineStr">
        <is>
          <t>Yes</t>
        </is>
      </c>
      <c r="W700" s="16" t="inlineStr">
        <is>
          <t>Yes</t>
        </is>
      </c>
      <c r="X700" s="16" t="n"/>
      <c r="Y700" s="20" t="n"/>
      <c r="Z700" s="19" t="n"/>
      <c r="AA700" s="18" t="n">
        <v>68.56</v>
      </c>
      <c r="AB700" s="16" t="inlineStr">
        <is>
          <t>High</t>
        </is>
      </c>
      <c r="AC700" s="16" t="inlineStr">
        <is>
          <t>No</t>
        </is>
      </c>
      <c r="AD700" s="19" t="n">
        <v>0.1752</v>
      </c>
      <c r="AE700" s="19" t="n">
        <v>0.166</v>
      </c>
      <c r="AF700" s="19" t="n">
        <v>0.6846</v>
      </c>
      <c r="AG700" s="19" t="n">
        <v>0.4801</v>
      </c>
      <c r="AH700" s="23" t="n">
        <v>0.4</v>
      </c>
      <c r="AI700" s="23" t="n">
        <v>8.539999999999999</v>
      </c>
      <c r="AJ700" s="19" t="n">
        <v>0.1431</v>
      </c>
    </row>
    <row r="701">
      <c r="A701" s="16" t="inlineStr">
        <is>
          <t>JKPAPER</t>
        </is>
      </c>
      <c r="B701" s="16" t="inlineStr">
        <is>
          <t>JK Paper Ltd.</t>
        </is>
      </c>
      <c r="C701" s="16" t="inlineStr">
        <is>
          <t>Paper &amp; Paper Products</t>
        </is>
      </c>
      <c r="D701" s="16" t="inlineStr">
        <is>
          <t>Commercial Services &amp; Supplies</t>
        </is>
      </c>
      <c r="E701" s="16" t="inlineStr">
        <is>
          <t>INE789E01012</t>
        </is>
      </c>
      <c r="F701" s="17" t="n">
        <v>7357.92</v>
      </c>
      <c r="G701" s="18" t="n">
        <v>405.8</v>
      </c>
      <c r="H701" s="19" t="n">
        <v>-0.0106</v>
      </c>
      <c r="I701" s="20" t="n">
        <v>59</v>
      </c>
      <c r="J701" s="16" t="inlineStr">
        <is>
          <t>red</t>
        </is>
      </c>
      <c r="K701" s="20" t="n">
        <v>1</v>
      </c>
      <c r="L701" s="18" t="n">
        <v>69.23</v>
      </c>
      <c r="M701" s="18" t="n">
        <v>398.37</v>
      </c>
      <c r="N701" s="18" t="n">
        <v>377.92</v>
      </c>
      <c r="O701" s="18" t="n">
        <v>356.77</v>
      </c>
      <c r="P701" s="18" t="n">
        <v>421.83</v>
      </c>
      <c r="Q701" s="18" t="n">
        <v>303.22</v>
      </c>
      <c r="R701" s="21">
        <f>IF(OR(G701="",P701=""),"",G701/P701-1)</f>
        <v/>
      </c>
      <c r="S701" s="19" t="n">
        <v>0.7313</v>
      </c>
      <c r="T701" s="22" t="n">
        <v>0.0013</v>
      </c>
      <c r="U701" s="16" t="inlineStr">
        <is>
          <t>Yes</t>
        </is>
      </c>
      <c r="V701" s="16" t="inlineStr">
        <is>
          <t>Yes</t>
        </is>
      </c>
      <c r="W701" s="16" t="inlineStr">
        <is>
          <t>Yes</t>
        </is>
      </c>
      <c r="X701" s="16" t="inlineStr">
        <is>
          <t>Yes</t>
        </is>
      </c>
      <c r="Y701" s="20" t="n">
        <v>64</v>
      </c>
      <c r="Z701" s="19" t="n">
        <v>0.0593</v>
      </c>
      <c r="AA701" s="18" t="n">
        <v>31.44</v>
      </c>
      <c r="AB701" s="16" t="inlineStr">
        <is>
          <t>Poor</t>
        </is>
      </c>
      <c r="AC701" s="16" t="inlineStr">
        <is>
          <t>No</t>
        </is>
      </c>
      <c r="AD701" s="19" t="n">
        <v>0.1152</v>
      </c>
      <c r="AE701" s="19" t="n">
        <v>0.1217</v>
      </c>
      <c r="AF701" s="19" t="n">
        <v>-0.3769</v>
      </c>
      <c r="AG701" s="19" t="n">
        <v>0.0286</v>
      </c>
      <c r="AH701" s="23" t="n">
        <v>0.47</v>
      </c>
      <c r="AI701" s="23" t="n">
        <v>1.16</v>
      </c>
      <c r="AJ701" s="19" t="n">
        <v>0.0737</v>
      </c>
    </row>
    <row r="702">
      <c r="A702" s="16" t="inlineStr">
        <is>
          <t>IXIGO</t>
        </is>
      </c>
      <c r="B702" s="16" t="inlineStr">
        <is>
          <t>LE Travenues Technology Ltd.</t>
        </is>
      </c>
      <c r="C702" s="16" t="inlineStr">
        <is>
          <t>Travel Support Services</t>
        </is>
      </c>
      <c r="D702" s="16" t="inlineStr">
        <is>
          <t>Diversified Consumer Services</t>
        </is>
      </c>
      <c r="E702" s="16" t="inlineStr">
        <is>
          <t>INE0HV901016</t>
        </is>
      </c>
      <c r="F702" s="17" t="n">
        <v>7354.41</v>
      </c>
      <c r="G702" s="18" t="n">
        <v>166.75</v>
      </c>
      <c r="H702" s="19" t="n">
        <v>0.0284</v>
      </c>
      <c r="I702" s="20" t="n">
        <v>17</v>
      </c>
      <c r="J702" s="16" t="inlineStr">
        <is>
          <t>red</t>
        </is>
      </c>
      <c r="K702" s="20" t="n">
        <v>141</v>
      </c>
      <c r="L702" s="18" t="n">
        <v>41.05</v>
      </c>
      <c r="M702" s="18" t="n">
        <v>162.67</v>
      </c>
      <c r="N702" s="18" t="n">
        <v>187.94</v>
      </c>
      <c r="O702" s="18" t="n">
        <v>195.9</v>
      </c>
      <c r="P702" s="18" t="n">
        <v>335.55</v>
      </c>
      <c r="Q702" s="18" t="n">
        <v>151.68</v>
      </c>
      <c r="R702" s="21">
        <f>IF(OR(G702="",P702=""),"",G702/P702-1)</f>
        <v/>
      </c>
      <c r="S702" s="19" t="n">
        <v>3.0075</v>
      </c>
      <c r="T702" s="22" t="n">
        <v>-0.05690000000000001</v>
      </c>
      <c r="U702" s="16" t="inlineStr">
        <is>
          <t>No</t>
        </is>
      </c>
      <c r="V702" s="16" t="inlineStr">
        <is>
          <t>No</t>
        </is>
      </c>
      <c r="W702" s="16" t="inlineStr">
        <is>
          <t>Yes</t>
        </is>
      </c>
      <c r="X702" s="16" t="inlineStr">
        <is>
          <t>No</t>
        </is>
      </c>
      <c r="Y702" s="20" t="n">
        <v>143</v>
      </c>
      <c r="Z702" s="19" t="n">
        <v>-0.0406</v>
      </c>
      <c r="AA702" s="18" t="n">
        <v>64.58</v>
      </c>
      <c r="AB702" s="16" t="inlineStr">
        <is>
          <t>High</t>
        </is>
      </c>
      <c r="AC702" s="16" t="inlineStr">
        <is>
          <t>No</t>
        </is>
      </c>
      <c r="AD702" s="19" t="n">
        <v>0.1</v>
      </c>
      <c r="AE702" s="19" t="n">
        <v>0.09949999999999999</v>
      </c>
      <c r="AF702" s="19" t="n">
        <v>0.8001999999999999</v>
      </c>
      <c r="AG702" s="19" t="n">
        <v>0.3485</v>
      </c>
      <c r="AH702" s="23" t="n">
        <v>0.02</v>
      </c>
      <c r="AI702" s="23" t="n">
        <v>61.59</v>
      </c>
      <c r="AJ702" s="19" t="n">
        <v>0</v>
      </c>
    </row>
    <row r="703">
      <c r="A703" s="16" t="inlineStr">
        <is>
          <t>BORORENEW</t>
        </is>
      </c>
      <c r="B703" s="16" t="inlineStr">
        <is>
          <t>Borosil Renewables Ltd.</t>
        </is>
      </c>
      <c r="C703" s="16" t="inlineStr">
        <is>
          <t>Houseware</t>
        </is>
      </c>
      <c r="D703" s="16" t="inlineStr">
        <is>
          <t>Consumer Durables</t>
        </is>
      </c>
      <c r="E703" s="16" t="inlineStr">
        <is>
          <t>INE666D01022</t>
        </is>
      </c>
      <c r="F703" s="17" t="n">
        <v>7346.67</v>
      </c>
      <c r="G703" s="18" t="n">
        <v>499.15</v>
      </c>
      <c r="H703" s="19" t="n">
        <v>0.0033</v>
      </c>
      <c r="I703" s="20" t="n">
        <v>32</v>
      </c>
      <c r="J703" s="16" t="inlineStr">
        <is>
          <t>red</t>
        </is>
      </c>
      <c r="K703" s="20" t="n">
        <v>32</v>
      </c>
      <c r="L703" s="18" t="n">
        <v>11.15</v>
      </c>
      <c r="M703" s="18" t="n">
        <v>504.87</v>
      </c>
      <c r="N703" s="18" t="n">
        <v>571.87</v>
      </c>
      <c r="O703" s="18" t="n">
        <v>524.6900000000001</v>
      </c>
      <c r="P703" s="18" t="n">
        <v>699.3</v>
      </c>
      <c r="Q703" s="18" t="n">
        <v>377</v>
      </c>
      <c r="R703" s="21">
        <f>IF(OR(G703="",P703=""),"",G703/P703-1)</f>
        <v/>
      </c>
      <c r="S703" s="19" t="n">
        <v>0.6593000000000001</v>
      </c>
      <c r="T703" s="22" t="n">
        <v>-0.023</v>
      </c>
      <c r="U703" s="16" t="inlineStr">
        <is>
          <t>No</t>
        </is>
      </c>
      <c r="V703" s="16" t="inlineStr">
        <is>
          <t>No</t>
        </is>
      </c>
      <c r="W703" s="16" t="inlineStr">
        <is>
          <t>No</t>
        </is>
      </c>
      <c r="X703" s="16" t="inlineStr">
        <is>
          <t>Yes</t>
        </is>
      </c>
      <c r="Y703" s="20" t="n">
        <v>49</v>
      </c>
      <c r="Z703" s="19" t="n">
        <v>0.08990000000000001</v>
      </c>
      <c r="AA703" s="18" t="n">
        <v>42.9</v>
      </c>
      <c r="AB703" s="16" t="inlineStr">
        <is>
          <t>Average</t>
        </is>
      </c>
      <c r="AC703" s="16" t="inlineStr">
        <is>
          <t>No</t>
        </is>
      </c>
      <c r="AD703" s="19" t="n">
        <v>-0.0127</v>
      </c>
      <c r="AE703" s="19" t="n">
        <v>0.0139</v>
      </c>
      <c r="AF703" s="19" t="n">
        <v>0.208</v>
      </c>
      <c r="AG703" s="19" t="n">
        <v>0.2207</v>
      </c>
      <c r="AH703" s="23" t="n">
        <v>0.11</v>
      </c>
      <c r="AI703" s="23" t="n">
        <v>1.91</v>
      </c>
      <c r="AJ703" s="19" t="n">
        <v>0.2479</v>
      </c>
    </row>
    <row r="704">
      <c r="A704" s="16" t="inlineStr">
        <is>
          <t>SAPPHIRE</t>
        </is>
      </c>
      <c r="B704" s="16" t="inlineStr">
        <is>
          <t>Sapphire Foods India Ltd.</t>
        </is>
      </c>
      <c r="C704" s="16" t="inlineStr">
        <is>
          <t>Restaurants</t>
        </is>
      </c>
      <c r="D704" s="16" t="inlineStr">
        <is>
          <t>Hotels Restaurants &amp; Tourism</t>
        </is>
      </c>
      <c r="E704" s="16" t="inlineStr">
        <is>
          <t>INE806T01020</t>
        </is>
      </c>
      <c r="F704" s="17" t="n">
        <v>7341.35</v>
      </c>
      <c r="G704" s="18" t="n">
        <v>228.43</v>
      </c>
      <c r="H704" s="19" t="n">
        <v>-0.0014</v>
      </c>
      <c r="I704" s="20" t="n">
        <v>51</v>
      </c>
      <c r="J704" s="16" t="inlineStr">
        <is>
          <t>red</t>
        </is>
      </c>
      <c r="K704" s="20" t="n">
        <v>7</v>
      </c>
      <c r="L704" s="18" t="n">
        <v>43.6</v>
      </c>
      <c r="M704" s="18" t="n">
        <v>233.84</v>
      </c>
      <c r="N704" s="18" t="n">
        <v>206.35</v>
      </c>
      <c r="O704" s="18" t="n">
        <v>201.62</v>
      </c>
      <c r="P704" s="18" t="n">
        <v>332.2</v>
      </c>
      <c r="Q704" s="18" t="n">
        <v>150.42</v>
      </c>
      <c r="R704" s="21">
        <f>IF(OR(G704="",P704=""),"",G704/P704-1)</f>
        <v/>
      </c>
      <c r="S704" s="19" t="n">
        <v>0.2442</v>
      </c>
      <c r="T704" s="22" t="n">
        <v>-0.0187</v>
      </c>
      <c r="U704" s="16" t="inlineStr">
        <is>
          <t>No</t>
        </is>
      </c>
      <c r="V704" s="16" t="inlineStr">
        <is>
          <t>Yes</t>
        </is>
      </c>
      <c r="W704" s="16" t="inlineStr">
        <is>
          <t>No</t>
        </is>
      </c>
      <c r="X704" s="16" t="inlineStr">
        <is>
          <t>Yes</t>
        </is>
      </c>
      <c r="Y704" s="20" t="n">
        <v>5</v>
      </c>
      <c r="Z704" s="19" t="n">
        <v>0.0235</v>
      </c>
      <c r="AA704" s="18" t="n">
        <v>18.82</v>
      </c>
      <c r="AB704" s="16" t="inlineStr">
        <is>
          <t>Poor</t>
        </is>
      </c>
      <c r="AC704" s="16" t="inlineStr">
        <is>
          <t>No</t>
        </is>
      </c>
      <c r="AD704" s="19" t="n">
        <v>0.0101</v>
      </c>
      <c r="AE704" s="19" t="n">
        <v>0.04940000000000001</v>
      </c>
      <c r="AF704" s="19" t="n">
        <v>-1.3528</v>
      </c>
      <c r="AG704" s="19" t="n">
        <v>0.1138</v>
      </c>
      <c r="AH704" s="23" t="n">
        <v>1.02</v>
      </c>
      <c r="AI704" s="23" t="n">
        <v>1.32</v>
      </c>
      <c r="AJ704" s="19" t="n">
        <v>0.0292</v>
      </c>
    </row>
    <row r="705">
      <c r="A705" s="16" t="inlineStr">
        <is>
          <t>POWERMECH</t>
        </is>
      </c>
      <c r="B705" s="16" t="inlineStr">
        <is>
          <t>Power Mech Projects Ltd.</t>
        </is>
      </c>
      <c r="C705" s="16" t="inlineStr">
        <is>
          <t>Construction &amp; Engineering</t>
        </is>
      </c>
      <c r="D705" s="16" t="inlineStr">
        <is>
          <t>Cement and Construction</t>
        </is>
      </c>
      <c r="E705" s="16" t="inlineStr">
        <is>
          <t>INE211R01019</t>
        </is>
      </c>
      <c r="F705" s="17" t="n">
        <v>7291.03</v>
      </c>
      <c r="G705" s="18" t="n">
        <v>2306.1</v>
      </c>
      <c r="H705" s="19" t="n">
        <v>-0.039</v>
      </c>
      <c r="I705" s="20" t="n">
        <v>27</v>
      </c>
      <c r="J705" s="16" t="inlineStr">
        <is>
          <t>red</t>
        </is>
      </c>
      <c r="K705" s="20" t="n">
        <v>44</v>
      </c>
      <c r="L705" s="18" t="n">
        <v>34.55</v>
      </c>
      <c r="M705" s="18" t="n">
        <v>2473.68</v>
      </c>
      <c r="N705" s="18" t="n">
        <v>2560</v>
      </c>
      <c r="O705" s="18" t="n">
        <v>2363.9</v>
      </c>
      <c r="P705" s="18" t="n">
        <v>3167.11</v>
      </c>
      <c r="Q705" s="18" t="n">
        <v>1732.8</v>
      </c>
      <c r="R705" s="21">
        <f>IF(OR(G705="",P705=""),"",G705/P705-1)</f>
        <v/>
      </c>
      <c r="S705" s="19" t="n">
        <v>1.9715</v>
      </c>
      <c r="T705" s="22" t="n">
        <v>-0.0007000000000000001</v>
      </c>
      <c r="U705" s="16" t="inlineStr">
        <is>
          <t>No</t>
        </is>
      </c>
      <c r="V705" s="16" t="inlineStr">
        <is>
          <t>No</t>
        </is>
      </c>
      <c r="W705" s="16" t="inlineStr">
        <is>
          <t>No</t>
        </is>
      </c>
      <c r="X705" s="16" t="inlineStr">
        <is>
          <t>Yes</t>
        </is>
      </c>
      <c r="Y705" s="20" t="n">
        <v>61</v>
      </c>
      <c r="Z705" s="19" t="n">
        <v>0.083</v>
      </c>
      <c r="AA705" s="18" t="n">
        <v>65.05</v>
      </c>
      <c r="AB705" s="16" t="inlineStr">
        <is>
          <t>High</t>
        </is>
      </c>
      <c r="AC705" s="16" t="inlineStr">
        <is>
          <t>No</t>
        </is>
      </c>
      <c r="AD705" s="19" t="n">
        <v>0.1436</v>
      </c>
      <c r="AE705" s="19" t="n">
        <v>0.2067</v>
      </c>
      <c r="AF705" s="19" t="n">
        <v>0.1788</v>
      </c>
      <c r="AG705" s="19" t="n">
        <v>0.1902</v>
      </c>
      <c r="AH705" s="23" t="n">
        <v>0.26</v>
      </c>
      <c r="AI705" s="23" t="n">
        <v>10.11</v>
      </c>
      <c r="AJ705" s="19" t="n">
        <v>0.3029</v>
      </c>
    </row>
    <row r="706">
      <c r="A706" s="16" t="inlineStr">
        <is>
          <t>AXISCADES</t>
        </is>
      </c>
      <c r="B706" s="16" t="inlineStr">
        <is>
          <t>AXISCADES Technologies Ltd.</t>
        </is>
      </c>
      <c r="C706" s="16" t="inlineStr">
        <is>
          <t>Aerospace &amp; Defence</t>
        </is>
      </c>
      <c r="D706" s="16" t="inlineStr">
        <is>
          <t>General Industrials</t>
        </is>
      </c>
      <c r="E706" s="16" t="inlineStr">
        <is>
          <t>INE555B01013</t>
        </is>
      </c>
      <c r="F706" s="17" t="n">
        <v>7280.03</v>
      </c>
      <c r="G706" s="18" t="n">
        <v>1711.6</v>
      </c>
      <c r="H706" s="19" t="n">
        <v>-0.0109</v>
      </c>
      <c r="I706" s="20" t="n">
        <v>53</v>
      </c>
      <c r="J706" s="16" t="inlineStr">
        <is>
          <t>red</t>
        </is>
      </c>
      <c r="K706" s="20" t="n">
        <v>4</v>
      </c>
      <c r="L706" s="18" t="n">
        <v>69.67</v>
      </c>
      <c r="M706" s="18" t="n">
        <v>1657.67</v>
      </c>
      <c r="N706" s="18" t="n">
        <v>1595.85</v>
      </c>
      <c r="O706" s="18" t="n">
        <v>1577.57</v>
      </c>
      <c r="P706" s="18" t="n">
        <v>2173.6</v>
      </c>
      <c r="Q706" s="18" t="n">
        <v>1101.2</v>
      </c>
      <c r="R706" s="21">
        <f>IF(OR(G706="",P706=""),"",G706/P706-1)</f>
        <v/>
      </c>
      <c r="S706" s="19" t="n">
        <v>1.0456</v>
      </c>
      <c r="T706" s="22" t="n">
        <v>0.0068</v>
      </c>
      <c r="U706" s="16" t="inlineStr">
        <is>
          <t>Yes</t>
        </is>
      </c>
      <c r="V706" s="16" t="inlineStr">
        <is>
          <t>Yes</t>
        </is>
      </c>
      <c r="W706" s="16" t="inlineStr">
        <is>
          <t>Yes</t>
        </is>
      </c>
      <c r="X706" s="16" t="inlineStr">
        <is>
          <t>Yes</t>
        </is>
      </c>
      <c r="Y706" s="20" t="n">
        <v>103</v>
      </c>
      <c r="Z706" s="19" t="n">
        <v>0.0116</v>
      </c>
      <c r="AA706" s="18" t="n">
        <v>50.88</v>
      </c>
      <c r="AB706" s="16" t="inlineStr">
        <is>
          <t>Average</t>
        </is>
      </c>
      <c r="AC706" s="16" t="inlineStr">
        <is>
          <t>No</t>
        </is>
      </c>
      <c r="AD706" s="19" t="n">
        <v>0.0901</v>
      </c>
      <c r="AE706" s="19" t="n">
        <v>0.1261</v>
      </c>
      <c r="AF706" s="19" t="n">
        <v>2.6173</v>
      </c>
      <c r="AG706" s="19" t="n">
        <v>0.1257</v>
      </c>
      <c r="AH706" s="23" t="n">
        <v>0.53</v>
      </c>
      <c r="AI706" s="23" t="n">
        <v>3.69</v>
      </c>
      <c r="AJ706" s="19" t="n">
        <v>0.1409</v>
      </c>
    </row>
    <row r="707">
      <c r="A707" s="16" t="inlineStr">
        <is>
          <t>MBAPL</t>
        </is>
      </c>
      <c r="B707" s="16" t="inlineStr">
        <is>
          <t>Madhya Bharat Agro Products Ltd.</t>
        </is>
      </c>
      <c r="C707" s="16" t="inlineStr">
        <is>
          <t>Fertilizers</t>
        </is>
      </c>
      <c r="D707" s="16" t="inlineStr">
        <is>
          <t>Fertilizers</t>
        </is>
      </c>
      <c r="E707" s="16" t="inlineStr">
        <is>
          <t>INE900L01028</t>
        </is>
      </c>
      <c r="F707" s="17" t="n">
        <v>7278.29</v>
      </c>
      <c r="G707" s="18" t="n">
        <v>166.12</v>
      </c>
      <c r="H707" s="19" t="n">
        <v>0.0249</v>
      </c>
      <c r="I707" s="20" t="n">
        <v>92</v>
      </c>
      <c r="J707" s="16" t="inlineStr">
        <is>
          <t>green</t>
        </is>
      </c>
      <c r="K707" s="20" t="n">
        <v>43</v>
      </c>
      <c r="L707" s="18" t="n">
        <v>52.52</v>
      </c>
      <c r="M707" s="18" t="n">
        <v>162.79</v>
      </c>
      <c r="N707" s="18" t="n">
        <v>149.61</v>
      </c>
      <c r="O707" s="18" t="n">
        <v>108.61</v>
      </c>
      <c r="P707" s="18" t="n">
        <v>169.52</v>
      </c>
      <c r="Q707" s="18" t="n">
        <v>75.67</v>
      </c>
      <c r="R707" s="21">
        <f>IF(OR(G707="",P707=""),"",G707/P707-1)</f>
        <v/>
      </c>
      <c r="S707" s="19" t="n">
        <v>0.9615</v>
      </c>
      <c r="T707" s="22" t="n">
        <v>0.08199999999999999</v>
      </c>
      <c r="U707" s="16" t="inlineStr">
        <is>
          <t>Yes</t>
        </is>
      </c>
      <c r="V707" s="16" t="inlineStr">
        <is>
          <t>Yes</t>
        </is>
      </c>
      <c r="W707" s="16" t="inlineStr">
        <is>
          <t>Yes</t>
        </is>
      </c>
      <c r="X707" s="16" t="inlineStr">
        <is>
          <t>Yes</t>
        </is>
      </c>
      <c r="Y707" s="20" t="n">
        <v>410</v>
      </c>
      <c r="Z707" s="19" t="n">
        <v>0.3775</v>
      </c>
      <c r="AA707" s="18" t="n">
        <v>40</v>
      </c>
      <c r="AB707" s="16" t="inlineStr">
        <is>
          <t>Weak</t>
        </is>
      </c>
      <c r="AC707" s="16" t="inlineStr">
        <is>
          <t>No</t>
        </is>
      </c>
      <c r="AD707" s="19" t="n">
        <v>0.1621</v>
      </c>
      <c r="AE707" s="19" t="n">
        <v>0.1459</v>
      </c>
      <c r="AF707" s="19" t="n">
        <v>-0.1001</v>
      </c>
      <c r="AG707" s="19" t="n">
        <v>0.6273</v>
      </c>
      <c r="AH707" s="23" t="n">
        <v>1.56</v>
      </c>
      <c r="AI707" s="23" t="n">
        <v>2.62</v>
      </c>
      <c r="AJ707" s="19" t="n">
        <v>0.3888</v>
      </c>
    </row>
    <row r="708">
      <c r="A708" s="16" t="inlineStr">
        <is>
          <t>SANOFI</t>
        </is>
      </c>
      <c r="B708" s="16" t="inlineStr">
        <is>
          <t>Sanofi India Ltd.</t>
        </is>
      </c>
      <c r="C708" s="16" t="inlineStr">
        <is>
          <t>Pharmaceuticals</t>
        </is>
      </c>
      <c r="D708" s="16" t="inlineStr">
        <is>
          <t>Pharmaceuticals &amp; Biotechnology</t>
        </is>
      </c>
      <c r="E708" s="16" t="inlineStr">
        <is>
          <t>INE058A01010</t>
        </is>
      </c>
      <c r="F708" s="17" t="n">
        <v>7273.52</v>
      </c>
      <c r="G708" s="18" t="n">
        <v>3158.2</v>
      </c>
      <c r="H708" s="19" t="n">
        <v>-0.0102</v>
      </c>
      <c r="I708" s="20" t="n">
        <v>12</v>
      </c>
      <c r="J708" s="16" t="inlineStr">
        <is>
          <t>red</t>
        </is>
      </c>
      <c r="K708" s="20" t="n">
        <v>336</v>
      </c>
      <c r="L708" s="18" t="n">
        <v>45.96</v>
      </c>
      <c r="M708" s="18" t="n">
        <v>3167.4</v>
      </c>
      <c r="N708" s="18" t="n">
        <v>3325.18</v>
      </c>
      <c r="O708" s="18" t="n">
        <v>3604.27</v>
      </c>
      <c r="P708" s="18" t="n">
        <v>4981.32</v>
      </c>
      <c r="Q708" s="18" t="n">
        <v>3097.1</v>
      </c>
      <c r="R708" s="21">
        <f>IF(OR(G708="",P708=""),"",G708/P708-1)</f>
        <v/>
      </c>
      <c r="S708" s="19" t="n">
        <v>0.4</v>
      </c>
      <c r="T708" s="22" t="n">
        <v>-0.0361</v>
      </c>
      <c r="U708" s="16" t="inlineStr">
        <is>
          <t>No</t>
        </is>
      </c>
      <c r="V708" s="16" t="inlineStr">
        <is>
          <t>No</t>
        </is>
      </c>
      <c r="W708" s="16" t="inlineStr">
        <is>
          <t>No</t>
        </is>
      </c>
      <c r="X708" s="16" t="inlineStr">
        <is>
          <t>No</t>
        </is>
      </c>
      <c r="Y708" s="20" t="n">
        <v>262</v>
      </c>
      <c r="Z708" s="19" t="n">
        <v>-0.0774</v>
      </c>
      <c r="AA708" s="18" t="n">
        <v>40</v>
      </c>
      <c r="AB708" s="16" t="inlineStr">
        <is>
          <t>Weak</t>
        </is>
      </c>
      <c r="AC708" s="16" t="inlineStr">
        <is>
          <t>No</t>
        </is>
      </c>
      <c r="AD708" s="19" t="n">
        <v>0.5035000000000001</v>
      </c>
      <c r="AE708" s="19" t="n">
        <v>0.5289</v>
      </c>
      <c r="AF708" s="19" t="n">
        <v>-0.262</v>
      </c>
      <c r="AG708" s="19" t="n">
        <v>-0.0398</v>
      </c>
      <c r="AH708" s="23" t="n">
        <v>0.02</v>
      </c>
      <c r="AI708" s="23" t="n">
        <v>5.74</v>
      </c>
      <c r="AJ708" s="19" t="n">
        <v>0.045</v>
      </c>
    </row>
    <row r="709">
      <c r="A709" s="16" t="inlineStr">
        <is>
          <t>RAIN</t>
        </is>
      </c>
      <c r="B709" s="16" t="inlineStr">
        <is>
          <t>Rain Industries Ltd.</t>
        </is>
      </c>
      <c r="C709" s="16" t="inlineStr">
        <is>
          <t>Petrochemicals</t>
        </is>
      </c>
      <c r="D709" s="16" t="inlineStr">
        <is>
          <t>Chemicals &amp; Petrochemicals</t>
        </is>
      </c>
      <c r="E709" s="16" t="inlineStr">
        <is>
          <t>INE855B01025</t>
        </is>
      </c>
      <c r="F709" s="17" t="n">
        <v>7255.65</v>
      </c>
      <c r="G709" s="18" t="n">
        <v>215.72</v>
      </c>
      <c r="H709" s="19" t="n">
        <v>0.0189</v>
      </c>
      <c r="I709" s="20" t="n">
        <v>84</v>
      </c>
      <c r="J709" s="16" t="inlineStr">
        <is>
          <t>green</t>
        </is>
      </c>
      <c r="K709" s="20" t="n">
        <v>4</v>
      </c>
      <c r="L709" s="18" t="n">
        <v>57.7</v>
      </c>
      <c r="M709" s="18" t="n">
        <v>203.06</v>
      </c>
      <c r="N709" s="18" t="n">
        <v>208.91</v>
      </c>
      <c r="O709" s="18" t="n">
        <v>158.48</v>
      </c>
      <c r="P709" s="18" t="n">
        <v>241.86</v>
      </c>
      <c r="Q709" s="18" t="n">
        <v>101.01</v>
      </c>
      <c r="R709" s="21">
        <f>IF(OR(G709="",P709=""),"",G709/P709-1)</f>
        <v/>
      </c>
      <c r="S709" s="19" t="n">
        <v>0.7565000000000001</v>
      </c>
      <c r="T709" s="22" t="n">
        <v>0.0519</v>
      </c>
      <c r="U709" s="16" t="inlineStr">
        <is>
          <t>Yes</t>
        </is>
      </c>
      <c r="V709" s="16" t="inlineStr">
        <is>
          <t>Yes</t>
        </is>
      </c>
      <c r="W709" s="16" t="inlineStr">
        <is>
          <t>Yes</t>
        </is>
      </c>
      <c r="X709" s="16" t="inlineStr">
        <is>
          <t>Yes</t>
        </is>
      </c>
      <c r="Y709" s="20" t="n">
        <v>70</v>
      </c>
      <c r="Z709" s="19" t="n">
        <v>0.3182</v>
      </c>
      <c r="AA709" s="18" t="n">
        <v>26.08</v>
      </c>
      <c r="AB709" s="16" t="inlineStr">
        <is>
          <t>Poor</t>
        </is>
      </c>
      <c r="AC709" s="16" t="inlineStr">
        <is>
          <t>No</t>
        </is>
      </c>
      <c r="AD709" s="19" t="n">
        <v>-0.06900000000000001</v>
      </c>
      <c r="AE709" s="19" t="n">
        <v>0.0469</v>
      </c>
      <c r="AF709" s="19" t="n">
        <v>0.7367</v>
      </c>
      <c r="AG709" s="19" t="n">
        <v>-0.0272</v>
      </c>
      <c r="AH709" s="23" t="n">
        <v>1.32</v>
      </c>
      <c r="AI709" s="23" t="n">
        <v>2.83</v>
      </c>
      <c r="AJ709" s="19" t="n">
        <v>0.061</v>
      </c>
    </row>
    <row r="710">
      <c r="A710" s="16" t="inlineStr">
        <is>
          <t>TIIL</t>
        </is>
      </c>
      <c r="B710" s="16" t="inlineStr">
        <is>
          <t>Technocraft Industries (India) Ltd.</t>
        </is>
      </c>
      <c r="C710" s="16" t="inlineStr">
        <is>
          <t>Iron &amp; Steel Products</t>
        </is>
      </c>
      <c r="D710" s="16" t="inlineStr">
        <is>
          <t>Metals &amp; Mining</t>
        </is>
      </c>
      <c r="E710" s="16" t="inlineStr">
        <is>
          <t>INE545H01011</t>
        </is>
      </c>
      <c r="F710" s="17" t="n">
        <v>7243.05</v>
      </c>
      <c r="G710" s="18" t="n">
        <v>3194.6</v>
      </c>
      <c r="H710" s="19" t="n">
        <v>-0.0223</v>
      </c>
      <c r="I710" s="20" t="n">
        <v>78</v>
      </c>
      <c r="J710" s="16" t="inlineStr">
        <is>
          <t>amber</t>
        </is>
      </c>
      <c r="K710" s="20" t="n">
        <v>1</v>
      </c>
      <c r="L710" s="18" t="n">
        <v>55.21</v>
      </c>
      <c r="M710" s="18" t="n">
        <v>3285.04</v>
      </c>
      <c r="N710" s="18" t="n">
        <v>2799.29</v>
      </c>
      <c r="O710" s="18" t="n">
        <v>2437.43</v>
      </c>
      <c r="P710" s="18" t="n">
        <v>3454.9</v>
      </c>
      <c r="Q710" s="18" t="n">
        <v>1891.45</v>
      </c>
      <c r="R710" s="21">
        <f>IF(OR(G710="",P710=""),"",G710/P710-1)</f>
        <v/>
      </c>
      <c r="S710" s="19" t="n">
        <v>0.3798</v>
      </c>
      <c r="T710" s="22" t="n">
        <v>0.0317</v>
      </c>
      <c r="U710" s="16" t="inlineStr">
        <is>
          <t>Yes</t>
        </is>
      </c>
      <c r="V710" s="16" t="inlineStr">
        <is>
          <t>Yes</t>
        </is>
      </c>
      <c r="W710" s="16" t="inlineStr">
        <is>
          <t>No</t>
        </is>
      </c>
      <c r="X710" s="16" t="inlineStr">
        <is>
          <t>Yes</t>
        </is>
      </c>
      <c r="Y710" s="20" t="n">
        <v>74</v>
      </c>
      <c r="Z710" s="19" t="n">
        <v>0.1485</v>
      </c>
      <c r="AA710" s="18" t="n">
        <v>49.67</v>
      </c>
      <c r="AB710" s="16" t="inlineStr">
        <is>
          <t>Average</t>
        </is>
      </c>
      <c r="AC710" s="16" t="inlineStr">
        <is>
          <t>No</t>
        </is>
      </c>
      <c r="AD710" s="19" t="n">
        <v>0.1478</v>
      </c>
      <c r="AE710" s="19" t="n">
        <v>0.162</v>
      </c>
      <c r="AF710" s="19" t="n">
        <v>0.0444</v>
      </c>
      <c r="AG710" s="19" t="n">
        <v>0.1441</v>
      </c>
      <c r="AH710" s="23" t="n">
        <v>0.41</v>
      </c>
      <c r="AI710" s="23" t="n">
        <v>3.44</v>
      </c>
      <c r="AJ710" s="19" t="n">
        <v>0.0178</v>
      </c>
    </row>
    <row r="711">
      <c r="A711" s="16" t="inlineStr">
        <is>
          <t>BLISSGVS</t>
        </is>
      </c>
      <c r="B711" s="16" t="inlineStr">
        <is>
          <t>Bliss GVS Pharma Ltd.</t>
        </is>
      </c>
      <c r="C711" s="16" t="inlineStr">
        <is>
          <t>Pharmaceuticals</t>
        </is>
      </c>
      <c r="D711" s="16" t="inlineStr">
        <is>
          <t>Pharmaceuticals &amp; Biotechnology</t>
        </is>
      </c>
      <c r="E711" s="16" t="inlineStr">
        <is>
          <t>INE416D01022</t>
        </is>
      </c>
      <c r="F711" s="17" t="n">
        <v>7131.07</v>
      </c>
      <c r="G711" s="18" t="n">
        <v>671</v>
      </c>
      <c r="H711" s="19" t="n">
        <v>0.0495</v>
      </c>
      <c r="I711" s="20" t="n">
        <v>98</v>
      </c>
      <c r="J711" s="16" t="inlineStr">
        <is>
          <t>green</t>
        </is>
      </c>
      <c r="K711" s="20" t="n">
        <v>155</v>
      </c>
      <c r="L711" s="18" t="n">
        <v>83.12</v>
      </c>
      <c r="M711" s="18" t="n">
        <v>615.61</v>
      </c>
      <c r="N711" s="18" t="n">
        <v>522.29</v>
      </c>
      <c r="O711" s="18" t="n">
        <v>315.06</v>
      </c>
      <c r="P711" s="18" t="n">
        <v>671</v>
      </c>
      <c r="Q711" s="18" t="n">
        <v>127.37</v>
      </c>
      <c r="R711" s="21">
        <f>IF(OR(G711="",P711=""),"",G711/P711-1)</f>
        <v/>
      </c>
      <c r="S711" s="19" t="n">
        <v>0.8822</v>
      </c>
      <c r="T711" s="22" t="n">
        <v>0.1508</v>
      </c>
      <c r="U711" s="16" t="inlineStr">
        <is>
          <t>Yes</t>
        </is>
      </c>
      <c r="V711" s="16" t="inlineStr">
        <is>
          <t>Yes</t>
        </is>
      </c>
      <c r="W711" s="16" t="inlineStr">
        <is>
          <t>Yes</t>
        </is>
      </c>
      <c r="X711" s="16" t="inlineStr">
        <is>
          <t>Yes</t>
        </is>
      </c>
      <c r="Y711" s="20" t="n">
        <v>287</v>
      </c>
      <c r="Z711" s="19" t="n">
        <v>0.6577</v>
      </c>
      <c r="AA711" s="18" t="n">
        <v>50.34</v>
      </c>
      <c r="AB711" s="16" t="inlineStr">
        <is>
          <t>Average</t>
        </is>
      </c>
      <c r="AC711" s="16" t="inlineStr">
        <is>
          <t>No</t>
        </is>
      </c>
      <c r="AD711" s="19" t="n">
        <v>0.0888</v>
      </c>
      <c r="AE711" s="19" t="n">
        <v>0.1299</v>
      </c>
      <c r="AF711" s="19" t="n">
        <v>0.2285</v>
      </c>
      <c r="AG711" s="19" t="n">
        <v>0.0733</v>
      </c>
      <c r="AH711" s="23" t="n">
        <v>0.02</v>
      </c>
      <c r="AI711" s="23" t="n">
        <v>2</v>
      </c>
      <c r="AJ711" s="19" t="n">
        <v>0.0205</v>
      </c>
    </row>
    <row r="712">
      <c r="A712" s="16" t="inlineStr">
        <is>
          <t>BENGALASM</t>
        </is>
      </c>
      <c r="B712" s="16" t="inlineStr">
        <is>
          <t>Bengal &amp; Assam Company Ltd.</t>
        </is>
      </c>
      <c r="C712" s="16" t="inlineStr">
        <is>
          <t>Finance (including NBFCs)</t>
        </is>
      </c>
      <c r="D712" s="16" t="inlineStr">
        <is>
          <t>Banking and Finance</t>
        </is>
      </c>
      <c r="E712" s="16" t="inlineStr">
        <is>
          <t>INE083K01017</t>
        </is>
      </c>
      <c r="F712" s="17" t="n">
        <v>7129.04</v>
      </c>
      <c r="G712" s="18" t="n">
        <v>6310.95</v>
      </c>
      <c r="H712" s="19" t="n">
        <v>-0.0177</v>
      </c>
      <c r="I712" s="20" t="n">
        <v>24</v>
      </c>
      <c r="J712" s="16" t="inlineStr">
        <is>
          <t>red</t>
        </is>
      </c>
      <c r="K712" s="20" t="n">
        <v>223</v>
      </c>
      <c r="L712" s="18" t="n">
        <v>55.72</v>
      </c>
      <c r="M712" s="18" t="n">
        <v>6337.52</v>
      </c>
      <c r="N712" s="18" t="n">
        <v>6232.48</v>
      </c>
      <c r="O712" s="18" t="n">
        <v>6360.99</v>
      </c>
      <c r="P712" s="18" t="n">
        <v>8910.209999999999</v>
      </c>
      <c r="Q712" s="18" t="n">
        <v>5398.17</v>
      </c>
      <c r="R712" s="21">
        <f>IF(OR(G712="",P712=""),"",G712/P712-1)</f>
        <v/>
      </c>
      <c r="S712" s="19" t="n">
        <v>2.7525</v>
      </c>
      <c r="T712" s="22" t="n">
        <v>-0.0216</v>
      </c>
      <c r="U712" s="16" t="inlineStr">
        <is>
          <t>No</t>
        </is>
      </c>
      <c r="V712" s="16" t="inlineStr">
        <is>
          <t>Yes</t>
        </is>
      </c>
      <c r="W712" s="16" t="inlineStr">
        <is>
          <t>No</t>
        </is>
      </c>
      <c r="X712" s="16" t="inlineStr">
        <is>
          <t>No</t>
        </is>
      </c>
      <c r="Y712" s="20" t="n">
        <v>189</v>
      </c>
      <c r="Z712" s="19" t="n">
        <v>-0.0202</v>
      </c>
      <c r="AA712" s="18" t="n"/>
      <c r="AB712" s="16" t="n"/>
      <c r="AC712" s="16" t="inlineStr">
        <is>
          <t>No</t>
        </is>
      </c>
      <c r="AD712" s="19" t="n"/>
      <c r="AE712" s="19" t="n"/>
      <c r="AF712" s="19" t="n"/>
      <c r="AG712" s="19" t="n"/>
      <c r="AH712" s="23" t="n"/>
      <c r="AI712" s="23" t="n"/>
      <c r="AJ712" s="19" t="n"/>
    </row>
    <row r="713">
      <c r="A713" s="16" t="inlineStr">
        <is>
          <t>AEROFLEX</t>
        </is>
      </c>
      <c r="B713" s="16" t="inlineStr">
        <is>
          <t>Aeroflex Industries Ltd.</t>
        </is>
      </c>
      <c r="C713" s="16" t="inlineStr">
        <is>
          <t>Iron &amp; Steel Products</t>
        </is>
      </c>
      <c r="D713" s="16" t="inlineStr">
        <is>
          <t>Metals &amp; Mining</t>
        </is>
      </c>
      <c r="E713" s="16" t="inlineStr">
        <is>
          <t>INE024001021</t>
        </is>
      </c>
      <c r="F713" s="17" t="n">
        <v>7112.12</v>
      </c>
      <c r="G713" s="18" t="n">
        <v>537.45</v>
      </c>
      <c r="H713" s="19" t="n">
        <v>-0.008699999999999999</v>
      </c>
      <c r="I713" s="20" t="n">
        <v>96</v>
      </c>
      <c r="J713" s="16" t="inlineStr">
        <is>
          <t>green</t>
        </is>
      </c>
      <c r="K713" s="20" t="n">
        <v>138</v>
      </c>
      <c r="L713" s="18" t="n">
        <v>68.90000000000001</v>
      </c>
      <c r="M713" s="18" t="n">
        <v>537.29</v>
      </c>
      <c r="N713" s="18" t="n">
        <v>457.55</v>
      </c>
      <c r="O713" s="18" t="n">
        <v>315.98</v>
      </c>
      <c r="P713" s="18" t="n">
        <v>552.05</v>
      </c>
      <c r="Q713" s="18" t="n">
        <v>158.65</v>
      </c>
      <c r="R713" s="21">
        <f>IF(OR(G713="",P713=""),"",G713/P713-1)</f>
        <v/>
      </c>
      <c r="S713" s="19" t="n">
        <v>0.6393</v>
      </c>
      <c r="T713" s="22" t="n">
        <v>0.1098</v>
      </c>
      <c r="U713" s="16" t="inlineStr">
        <is>
          <t>Yes</t>
        </is>
      </c>
      <c r="V713" s="16" t="inlineStr">
        <is>
          <t>Yes</t>
        </is>
      </c>
      <c r="W713" s="16" t="inlineStr">
        <is>
          <t>Yes</t>
        </is>
      </c>
      <c r="X713" s="16" t="inlineStr">
        <is>
          <t>Yes</t>
        </is>
      </c>
      <c r="Y713" s="20" t="n">
        <v>177</v>
      </c>
      <c r="Z713" s="19" t="n">
        <v>0.448</v>
      </c>
      <c r="AA713" s="18" t="n">
        <v>64.51000000000001</v>
      </c>
      <c r="AB713" s="16" t="inlineStr">
        <is>
          <t>High</t>
        </is>
      </c>
      <c r="AC713" s="16" t="inlineStr">
        <is>
          <t>No</t>
        </is>
      </c>
      <c r="AD713" s="19" t="n">
        <v>0.1399</v>
      </c>
      <c r="AE713" s="19" t="n">
        <v>0.1904</v>
      </c>
      <c r="AF713" s="19" t="n">
        <v>0.2325</v>
      </c>
      <c r="AG713" s="19" t="n">
        <v>0.1724</v>
      </c>
      <c r="AH713" s="23" t="n">
        <v>0.02</v>
      </c>
      <c r="AI713" s="23" t="n">
        <v>1.81</v>
      </c>
      <c r="AJ713" s="19" t="n">
        <v>0.09859999999999999</v>
      </c>
    </row>
    <row r="714">
      <c r="A714" s="16" t="inlineStr">
        <is>
          <t>DCBBANK</t>
        </is>
      </c>
      <c r="B714" s="16" t="inlineStr">
        <is>
          <t>DCB Bank Ltd.</t>
        </is>
      </c>
      <c r="C714" s="16" t="inlineStr">
        <is>
          <t>Banks</t>
        </is>
      </c>
      <c r="D714" s="16" t="inlineStr">
        <is>
          <t>Banking and Finance</t>
        </is>
      </c>
      <c r="E714" s="16" t="inlineStr">
        <is>
          <t>INE503A01015</t>
        </is>
      </c>
      <c r="F714" s="17" t="n">
        <v>7111.78</v>
      </c>
      <c r="G714" s="18" t="n">
        <v>220.74</v>
      </c>
      <c r="H714" s="19" t="n">
        <v>-0.0066</v>
      </c>
      <c r="I714" s="20" t="n">
        <v>80</v>
      </c>
      <c r="J714" s="16" t="inlineStr">
        <is>
          <t>green</t>
        </is>
      </c>
      <c r="K714" s="20" t="n">
        <v>4</v>
      </c>
      <c r="L714" s="18" t="n">
        <v>78.06999999999999</v>
      </c>
      <c r="M714" s="18" t="n">
        <v>219.02</v>
      </c>
      <c r="N714" s="18" t="n">
        <v>194</v>
      </c>
      <c r="O714" s="18" t="n">
        <v>183.42</v>
      </c>
      <c r="P714" s="18" t="n">
        <v>224.39</v>
      </c>
      <c r="Q714" s="18" t="n">
        <v>122.13</v>
      </c>
      <c r="R714" s="21">
        <f>IF(OR(G714="",P714=""),"",G714/P714-1)</f>
        <v/>
      </c>
      <c r="S714" s="19" t="n">
        <v>0.1902</v>
      </c>
      <c r="T714" s="22" t="n">
        <v>0.0201</v>
      </c>
      <c r="U714" s="16" t="inlineStr">
        <is>
          <t>Yes</t>
        </is>
      </c>
      <c r="V714" s="16" t="inlineStr">
        <is>
          <t>Yes</t>
        </is>
      </c>
      <c r="W714" s="16" t="inlineStr">
        <is>
          <t>Yes</t>
        </is>
      </c>
      <c r="X714" s="16" t="inlineStr">
        <is>
          <t>Yes</t>
        </is>
      </c>
      <c r="Y714" s="20" t="n">
        <v>221</v>
      </c>
      <c r="Z714" s="19" t="n">
        <v>0.05769999999999999</v>
      </c>
      <c r="AA714" s="18" t="n">
        <v>49.03</v>
      </c>
      <c r="AB714" s="16" t="inlineStr">
        <is>
          <t>Average</t>
        </is>
      </c>
      <c r="AC714" s="16" t="inlineStr">
        <is>
          <t>Yes</t>
        </is>
      </c>
      <c r="AD714" s="19" t="n">
        <v>0.1086</v>
      </c>
      <c r="AE714" s="19" t="n"/>
      <c r="AF714" s="19" t="n">
        <v>0.1556</v>
      </c>
      <c r="AG714" s="19" t="n">
        <v>0.1592</v>
      </c>
      <c r="AH714" s="23" t="n">
        <v>0.85</v>
      </c>
      <c r="AI714" s="23" t="n">
        <v>3.35</v>
      </c>
      <c r="AJ714" s="19" t="n">
        <v>0.0411</v>
      </c>
    </row>
    <row r="715">
      <c r="A715" s="16" t="inlineStr">
        <is>
          <t>SFL</t>
        </is>
      </c>
      <c r="B715" s="16" t="inlineStr">
        <is>
          <t>Sheela Foam Ltd.</t>
        </is>
      </c>
      <c r="C715" s="16" t="inlineStr">
        <is>
          <t>Furniture-Furnishing</t>
        </is>
      </c>
      <c r="D715" s="16" t="inlineStr">
        <is>
          <t>Diversified Consumer Services</t>
        </is>
      </c>
      <c r="E715" s="16" t="inlineStr">
        <is>
          <t>INE916U01025</t>
        </is>
      </c>
      <c r="F715" s="17" t="n">
        <v>7063.27</v>
      </c>
      <c r="G715" s="18" t="n">
        <v>646.8</v>
      </c>
      <c r="H715" s="19" t="n">
        <v>0.0029</v>
      </c>
      <c r="I715" s="20" t="n">
        <v>42</v>
      </c>
      <c r="J715" s="16" t="inlineStr">
        <is>
          <t>red</t>
        </is>
      </c>
      <c r="K715" s="20" t="n">
        <v>15</v>
      </c>
      <c r="L715" s="18" t="n">
        <v>31.26</v>
      </c>
      <c r="M715" s="18" t="n">
        <v>643.3</v>
      </c>
      <c r="N715" s="18" t="n">
        <v>720.45</v>
      </c>
      <c r="O715" s="18" t="n">
        <v>611.8</v>
      </c>
      <c r="P715" s="18" t="n">
        <v>808.95</v>
      </c>
      <c r="Q715" s="18" t="n">
        <v>464.42</v>
      </c>
      <c r="R715" s="21">
        <f>IF(OR(G715="",P715=""),"",G715/P715-1)</f>
        <v/>
      </c>
      <c r="S715" s="19" t="n">
        <v>0.2373</v>
      </c>
      <c r="T715" s="22" t="n">
        <v>-0.0015</v>
      </c>
      <c r="U715" s="16" t="inlineStr">
        <is>
          <t>No</t>
        </is>
      </c>
      <c r="V715" s="16" t="inlineStr">
        <is>
          <t>No</t>
        </is>
      </c>
      <c r="W715" s="16" t="inlineStr">
        <is>
          <t>Yes</t>
        </is>
      </c>
      <c r="X715" s="16" t="inlineStr">
        <is>
          <t>Yes</t>
        </is>
      </c>
      <c r="Y715" s="20" t="n">
        <v>54</v>
      </c>
      <c r="Z715" s="19" t="n">
        <v>0.1776</v>
      </c>
      <c r="AA715" s="18" t="n">
        <v>33.57</v>
      </c>
      <c r="AB715" s="16" t="inlineStr">
        <is>
          <t>Poor</t>
        </is>
      </c>
      <c r="AC715" s="16" t="inlineStr">
        <is>
          <t>No</t>
        </is>
      </c>
      <c r="AD715" s="19" t="n">
        <v>0.0471</v>
      </c>
      <c r="AE715" s="19" t="n">
        <v>0.06309999999999999</v>
      </c>
      <c r="AF715" s="19" t="n">
        <v>0.0382</v>
      </c>
      <c r="AG715" s="19" t="n">
        <v>0.1005</v>
      </c>
      <c r="AH715" s="23" t="n">
        <v>0.28</v>
      </c>
      <c r="AI715" s="23" t="n">
        <v>2.69</v>
      </c>
      <c r="AJ715" s="19" t="n">
        <v>0.023</v>
      </c>
    </row>
    <row r="716">
      <c r="A716" s="16" t="inlineStr">
        <is>
          <t>INOXGREEN</t>
        </is>
      </c>
      <c r="B716" s="16" t="inlineStr">
        <is>
          <t>Inox Green Energy Services Ltd.</t>
        </is>
      </c>
      <c r="C716" s="16" t="inlineStr">
        <is>
          <t>Green &amp; Renewable Energy</t>
        </is>
      </c>
      <c r="D716" s="16" t="inlineStr">
        <is>
          <t>Utilities</t>
        </is>
      </c>
      <c r="E716" s="16" t="inlineStr">
        <is>
          <t>INE510W01014</t>
        </is>
      </c>
      <c r="F716" s="17" t="n">
        <v>7030.12</v>
      </c>
      <c r="G716" s="18" t="n">
        <v>175.1</v>
      </c>
      <c r="H716" s="19" t="n">
        <v>0.0239</v>
      </c>
      <c r="I716" s="20" t="n">
        <v>43</v>
      </c>
      <c r="J716" s="16" t="inlineStr">
        <is>
          <t>red</t>
        </is>
      </c>
      <c r="K716" s="20" t="n">
        <v>37</v>
      </c>
      <c r="L716" s="18" t="n">
        <v>43.39</v>
      </c>
      <c r="M716" s="18" t="n">
        <v>169.8</v>
      </c>
      <c r="N716" s="18" t="n">
        <v>184.55</v>
      </c>
      <c r="O716" s="18" t="n">
        <v>181.48</v>
      </c>
      <c r="P716" s="18" t="n">
        <v>272.2</v>
      </c>
      <c r="Q716" s="18" t="n">
        <v>135.01</v>
      </c>
      <c r="R716" s="21">
        <f>IF(OR(G716="",P716=""),"",G716/P716-1)</f>
        <v/>
      </c>
      <c r="S716" s="19" t="n">
        <v>1.0934</v>
      </c>
      <c r="T716" s="22" t="n">
        <v>-0.04269999999999999</v>
      </c>
      <c r="U716" s="16" t="inlineStr">
        <is>
          <t>No</t>
        </is>
      </c>
      <c r="V716" s="16" t="inlineStr">
        <is>
          <t>No</t>
        </is>
      </c>
      <c r="W716" s="16" t="inlineStr">
        <is>
          <t>Yes</t>
        </is>
      </c>
      <c r="X716" s="16" t="inlineStr">
        <is>
          <t>Yes</t>
        </is>
      </c>
      <c r="Y716" s="20" t="n">
        <v>20</v>
      </c>
      <c r="Z716" s="19" t="n">
        <v>0.0169</v>
      </c>
      <c r="AA716" s="18" t="n">
        <v>56.32</v>
      </c>
      <c r="AB716" s="16" t="inlineStr">
        <is>
          <t>Good</t>
        </is>
      </c>
      <c r="AC716" s="16" t="inlineStr">
        <is>
          <t>No</t>
        </is>
      </c>
      <c r="AD716" s="19" t="n">
        <v>0.0303</v>
      </c>
      <c r="AE716" s="19" t="n">
        <v>0.053</v>
      </c>
      <c r="AF716" s="19" t="n">
        <v>1.5982</v>
      </c>
      <c r="AG716" s="19" t="n">
        <v>0.1315</v>
      </c>
      <c r="AH716" s="23" t="n">
        <v>0.05</v>
      </c>
      <c r="AI716" s="23" t="n">
        <v>25.85</v>
      </c>
      <c r="AJ716" s="19" t="n">
        <v>0.5390999999999999</v>
      </c>
    </row>
    <row r="717">
      <c r="A717" s="16" t="inlineStr">
        <is>
          <t>NEPHROPLUS</t>
        </is>
      </c>
      <c r="B717" s="16" t="inlineStr">
        <is>
          <t>Nephrocare Health Services Ltd.</t>
        </is>
      </c>
      <c r="C717" s="16" t="inlineStr">
        <is>
          <t>Healthcare Services</t>
        </is>
      </c>
      <c r="D717" s="16" t="inlineStr">
        <is>
          <t>Healthcare</t>
        </is>
      </c>
      <c r="E717" s="16" t="inlineStr">
        <is>
          <t>INE428V01029</t>
        </is>
      </c>
      <c r="F717" s="17" t="n">
        <v>6994.25</v>
      </c>
      <c r="G717" s="18" t="n">
        <v>697.05</v>
      </c>
      <c r="H717" s="19" t="n">
        <v>-0.0137</v>
      </c>
      <c r="I717" s="20" t="n">
        <v>52</v>
      </c>
      <c r="J717" s="16" t="inlineStr">
        <is>
          <t>red</t>
        </is>
      </c>
      <c r="K717" s="20" t="n">
        <v>7</v>
      </c>
      <c r="L717" s="18" t="n">
        <v>50.94</v>
      </c>
      <c r="M717" s="18" t="n">
        <v>692.5599999999999</v>
      </c>
      <c r="N717" s="18" t="n">
        <v>677.45</v>
      </c>
      <c r="O717" s="18" t="n"/>
      <c r="P717" s="18" t="n">
        <v>751.3</v>
      </c>
      <c r="Q717" s="18" t="n">
        <v>449.15</v>
      </c>
      <c r="R717" s="21">
        <f>IF(OR(G717="",P717=""),"",G717/P717-1)</f>
        <v/>
      </c>
      <c r="S717" s="19" t="n">
        <v>1.1627</v>
      </c>
      <c r="T717" s="22" t="n"/>
      <c r="U717" s="16" t="n"/>
      <c r="V717" s="16" t="inlineStr">
        <is>
          <t>Yes</t>
        </is>
      </c>
      <c r="W717" s="16" t="inlineStr">
        <is>
          <t>Yes</t>
        </is>
      </c>
      <c r="X717" s="16" t="n"/>
      <c r="Y717" s="20" t="n"/>
      <c r="Z717" s="19" t="n"/>
      <c r="AA717" s="18" t="n">
        <v>59.43</v>
      </c>
      <c r="AB717" s="16" t="inlineStr">
        <is>
          <t>Good</t>
        </is>
      </c>
      <c r="AC717" s="16" t="inlineStr">
        <is>
          <t>No</t>
        </is>
      </c>
      <c r="AD717" s="19" t="n">
        <v>0.0895</v>
      </c>
      <c r="AE717" s="19" t="n">
        <v>0.1109</v>
      </c>
      <c r="AF717" s="19" t="n">
        <v>1.7045</v>
      </c>
      <c r="AG717" s="19" t="n">
        <v>0.3392</v>
      </c>
      <c r="AH717" s="23" t="n">
        <v>0.07000000000000001</v>
      </c>
      <c r="AI717" s="23" t="n">
        <v>2.4</v>
      </c>
      <c r="AJ717" s="19" t="n">
        <v>0.0445</v>
      </c>
    </row>
    <row r="718">
      <c r="A718" s="16" t="inlineStr">
        <is>
          <t>BALUFORGE</t>
        </is>
      </c>
      <c r="B718" s="16" t="inlineStr">
        <is>
          <t>Balu Forge Industries Ltd.</t>
        </is>
      </c>
      <c r="C718" s="16" t="inlineStr">
        <is>
          <t>Castings &amp; Forgings</t>
        </is>
      </c>
      <c r="D718" s="16" t="inlineStr">
        <is>
          <t>General Industrials</t>
        </is>
      </c>
      <c r="E718" s="16" t="inlineStr">
        <is>
          <t>INE011E01029</t>
        </is>
      </c>
      <c r="F718" s="17" t="n">
        <v>6969.11</v>
      </c>
      <c r="G718" s="18" t="n">
        <v>574.1</v>
      </c>
      <c r="H718" s="19" t="n">
        <v>0.0066</v>
      </c>
      <c r="I718" s="20" t="n">
        <v>57</v>
      </c>
      <c r="J718" s="16" t="inlineStr">
        <is>
          <t>red</t>
        </is>
      </c>
      <c r="K718" s="20" t="n">
        <v>3</v>
      </c>
      <c r="L718" s="18" t="n">
        <v>61.46</v>
      </c>
      <c r="M718" s="18" t="n">
        <v>610.74</v>
      </c>
      <c r="N718" s="18" t="n">
        <v>492.85</v>
      </c>
      <c r="O718" s="18" t="n">
        <v>498.17</v>
      </c>
      <c r="P718" s="18" t="n">
        <v>684.4</v>
      </c>
      <c r="Q718" s="18" t="n">
        <v>356.3</v>
      </c>
      <c r="R718" s="21">
        <f>IF(OR(G718="",P718=""),"",G718/P718-1)</f>
        <v/>
      </c>
      <c r="S718" s="19" t="n">
        <v>0.5679999999999999</v>
      </c>
      <c r="T718" s="22" t="n">
        <v>-0.0124</v>
      </c>
      <c r="U718" s="16" t="inlineStr">
        <is>
          <t>No</t>
        </is>
      </c>
      <c r="V718" s="16" t="inlineStr">
        <is>
          <t>Yes</t>
        </is>
      </c>
      <c r="W718" s="16" t="inlineStr">
        <is>
          <t>No</t>
        </is>
      </c>
      <c r="X718" s="16" t="inlineStr">
        <is>
          <t>No</t>
        </is>
      </c>
      <c r="Y718" s="20" t="n">
        <v>176</v>
      </c>
      <c r="Z718" s="19" t="n">
        <v>-0.0107</v>
      </c>
      <c r="AA718" s="18" t="n">
        <v>73.12</v>
      </c>
      <c r="AB718" s="16" t="inlineStr">
        <is>
          <t>High</t>
        </is>
      </c>
      <c r="AC718" s="16" t="inlineStr">
        <is>
          <t>No</t>
        </is>
      </c>
      <c r="AD718" s="19" t="n">
        <v>0.175</v>
      </c>
      <c r="AE718" s="19" t="n">
        <v>0.2102</v>
      </c>
      <c r="AF718" s="19" t="n">
        <v>0.7575</v>
      </c>
      <c r="AG718" s="19" t="n">
        <v>0.5273</v>
      </c>
      <c r="AH718" s="23" t="n">
        <v>0.1</v>
      </c>
      <c r="AI718" s="23" t="n">
        <v>1.4</v>
      </c>
      <c r="AJ718" s="19" t="n">
        <v>0.3504</v>
      </c>
    </row>
    <row r="719">
      <c r="A719" s="16" t="inlineStr">
        <is>
          <t>IMFA</t>
        </is>
      </c>
      <c r="B719" s="16" t="inlineStr">
        <is>
          <t>Indian Metals &amp; Ferro Alloys Ltd.</t>
        </is>
      </c>
      <c r="C719" s="16" t="inlineStr">
        <is>
          <t>Iron &amp; Steel/Interm.Products</t>
        </is>
      </c>
      <c r="D719" s="16" t="inlineStr">
        <is>
          <t>Metals &amp; Mining</t>
        </is>
      </c>
      <c r="E719" s="16" t="inlineStr">
        <is>
          <t>INE919H01018</t>
        </is>
      </c>
      <c r="F719" s="17" t="n">
        <v>6951.45</v>
      </c>
      <c r="G719" s="18" t="n">
        <v>1288.4</v>
      </c>
      <c r="H719" s="19" t="n">
        <v>0.0052</v>
      </c>
      <c r="I719" s="20" t="n">
        <v>48</v>
      </c>
      <c r="J719" s="16" t="inlineStr">
        <is>
          <t>red</t>
        </is>
      </c>
      <c r="K719" s="20" t="n">
        <v>5</v>
      </c>
      <c r="L719" s="18" t="n">
        <v>29.34</v>
      </c>
      <c r="M719" s="18" t="n">
        <v>1324.62</v>
      </c>
      <c r="N719" s="18" t="n">
        <v>1380.18</v>
      </c>
      <c r="O719" s="18" t="n">
        <v>1357.37</v>
      </c>
      <c r="P719" s="18" t="n">
        <v>1644.93</v>
      </c>
      <c r="Q719" s="18" t="n">
        <v>895.05</v>
      </c>
      <c r="R719" s="21">
        <f>IF(OR(G719="",P719=""),"",G719/P719-1)</f>
        <v/>
      </c>
      <c r="S719" s="19" t="n">
        <v>0.8634999999999999</v>
      </c>
      <c r="T719" s="22" t="n">
        <v>0.0127</v>
      </c>
      <c r="U719" s="16" t="inlineStr">
        <is>
          <t>Yes</t>
        </is>
      </c>
      <c r="V719" s="16" t="inlineStr">
        <is>
          <t>No</t>
        </is>
      </c>
      <c r="W719" s="16" t="inlineStr">
        <is>
          <t>No</t>
        </is>
      </c>
      <c r="X719" s="16" t="inlineStr">
        <is>
          <t>Yes</t>
        </is>
      </c>
      <c r="Y719" s="20" t="n">
        <v>278</v>
      </c>
      <c r="Z719" s="19" t="n">
        <v>0.0168</v>
      </c>
      <c r="AA719" s="18" t="n">
        <v>51.57</v>
      </c>
      <c r="AB719" s="16" t="inlineStr">
        <is>
          <t>Average</t>
        </is>
      </c>
      <c r="AC719" s="16" t="inlineStr">
        <is>
          <t>No</t>
        </is>
      </c>
      <c r="AD719" s="19" t="n">
        <v>0.1602</v>
      </c>
      <c r="AE719" s="19" t="n">
        <v>0.1957</v>
      </c>
      <c r="AF719" s="19" t="n">
        <v>0.2493</v>
      </c>
      <c r="AG719" s="19" t="n">
        <v>0.0219</v>
      </c>
      <c r="AH719" s="23" t="n">
        <v>0.35</v>
      </c>
      <c r="AI719" s="23" t="n">
        <v>1.16</v>
      </c>
      <c r="AJ719" s="19" t="n">
        <v>0.3604</v>
      </c>
    </row>
    <row r="720">
      <c r="A720" s="16" t="inlineStr">
        <is>
          <t>BECTORFOOD</t>
        </is>
      </c>
      <c r="B720" s="16" t="inlineStr">
        <is>
          <t>Mrs. Bectors Food Specialities Ltd.</t>
        </is>
      </c>
      <c r="C720" s="16" t="inlineStr">
        <is>
          <t>Packaged Foods</t>
        </is>
      </c>
      <c r="D720" s="16" t="inlineStr">
        <is>
          <t>FMCG</t>
        </is>
      </c>
      <c r="E720" s="16" t="inlineStr">
        <is>
          <t>INE495P01020</t>
        </is>
      </c>
      <c r="F720" s="17" t="n">
        <v>6936.76</v>
      </c>
      <c r="G720" s="18" t="n">
        <v>225.96</v>
      </c>
      <c r="H720" s="19" t="n">
        <v>-0.015</v>
      </c>
      <c r="I720" s="20" t="n">
        <v>56</v>
      </c>
      <c r="J720" s="16" t="inlineStr">
        <is>
          <t>red</t>
        </is>
      </c>
      <c r="K720" s="20" t="n">
        <v>6</v>
      </c>
      <c r="L720" s="18" t="n">
        <v>23.47</v>
      </c>
      <c r="M720" s="18" t="n">
        <v>231.57</v>
      </c>
      <c r="N720" s="18" t="n">
        <v>213.04</v>
      </c>
      <c r="O720" s="18" t="n">
        <v>210.25</v>
      </c>
      <c r="P720" s="18" t="n">
        <v>292.97</v>
      </c>
      <c r="Q720" s="18" t="n">
        <v>167.16</v>
      </c>
      <c r="R720" s="21">
        <f>IF(OR(G720="",P720=""),"",G720/P720-1)</f>
        <v/>
      </c>
      <c r="S720" s="19" t="n">
        <v>0.2015</v>
      </c>
      <c r="T720" s="22" t="n">
        <v>-0.0101</v>
      </c>
      <c r="U720" s="16" t="inlineStr">
        <is>
          <t>No</t>
        </is>
      </c>
      <c r="V720" s="16" t="inlineStr">
        <is>
          <t>Yes</t>
        </is>
      </c>
      <c r="W720" s="16" t="inlineStr">
        <is>
          <t>No</t>
        </is>
      </c>
      <c r="X720" s="16" t="inlineStr">
        <is>
          <t>Yes</t>
        </is>
      </c>
      <c r="Y720" s="20" t="n">
        <v>3</v>
      </c>
      <c r="Z720" s="19" t="n">
        <v>0.0133</v>
      </c>
      <c r="AA720" s="18" t="n">
        <v>57.62</v>
      </c>
      <c r="AB720" s="16" t="inlineStr">
        <is>
          <t>Good</t>
        </is>
      </c>
      <c r="AC720" s="16" t="inlineStr">
        <is>
          <t>No</t>
        </is>
      </c>
      <c r="AD720" s="19" t="n">
        <v>0.1485</v>
      </c>
      <c r="AE720" s="19" t="n">
        <v>0.1694</v>
      </c>
      <c r="AF720" s="19" t="n">
        <v>0.1737</v>
      </c>
      <c r="AG720" s="19" t="n">
        <v>0.1561</v>
      </c>
      <c r="AH720" s="23" t="n">
        <v>0.15</v>
      </c>
      <c r="AI720" s="23" t="n">
        <v>2.02</v>
      </c>
      <c r="AJ720" s="19" t="n">
        <v>0.08869999999999999</v>
      </c>
    </row>
    <row r="721">
      <c r="A721" s="16" t="inlineStr">
        <is>
          <t>SHARDACROP</t>
        </is>
      </c>
      <c r="B721" s="16" t="inlineStr">
        <is>
          <t>Sharda Cropchem Ltd.</t>
        </is>
      </c>
      <c r="C721" s="16" t="inlineStr">
        <is>
          <t>Agrochemicals</t>
        </is>
      </c>
      <c r="D721" s="16" t="inlineStr">
        <is>
          <t>Chemicals &amp; Petrochemicals</t>
        </is>
      </c>
      <c r="E721" s="16" t="inlineStr">
        <is>
          <t>INE221J01015</t>
        </is>
      </c>
      <c r="F721" s="17" t="n">
        <v>6932.09</v>
      </c>
      <c r="G721" s="18" t="n">
        <v>768.35</v>
      </c>
      <c r="H721" s="19" t="n">
        <v>-0.005699999999999999</v>
      </c>
      <c r="I721" s="20" t="n">
        <v>11</v>
      </c>
      <c r="J721" s="16" t="inlineStr">
        <is>
          <t>red</t>
        </is>
      </c>
      <c r="K721" s="20" t="n">
        <v>72</v>
      </c>
      <c r="L721" s="18" t="n">
        <v>43.96</v>
      </c>
      <c r="M721" s="18" t="n">
        <v>780.9</v>
      </c>
      <c r="N721" s="18" t="n">
        <v>832.12</v>
      </c>
      <c r="O721" s="18" t="n">
        <v>926.84</v>
      </c>
      <c r="P721" s="18" t="n">
        <v>1242.26</v>
      </c>
      <c r="Q721" s="18" t="n">
        <v>749.38</v>
      </c>
      <c r="R721" s="21">
        <f>IF(OR(G721="",P721=""),"",G721/P721-1)</f>
        <v/>
      </c>
      <c r="S721" s="19" t="n">
        <v>0.5257999999999999</v>
      </c>
      <c r="T721" s="22" t="n">
        <v>-0.0036</v>
      </c>
      <c r="U721" s="16" t="inlineStr">
        <is>
          <t>No</t>
        </is>
      </c>
      <c r="V721" s="16" t="inlineStr">
        <is>
          <t>No</t>
        </is>
      </c>
      <c r="W721" s="16" t="inlineStr">
        <is>
          <t>No</t>
        </is>
      </c>
      <c r="X721" s="16" t="inlineStr">
        <is>
          <t>No</t>
        </is>
      </c>
      <c r="Y721" s="20" t="n">
        <v>39</v>
      </c>
      <c r="Z721" s="19" t="n">
        <v>-0.1022</v>
      </c>
      <c r="AA721" s="18" t="n">
        <v>69.98</v>
      </c>
      <c r="AB721" s="16" t="inlineStr">
        <is>
          <t>High</t>
        </is>
      </c>
      <c r="AC721" s="16" t="inlineStr">
        <is>
          <t>No</t>
        </is>
      </c>
      <c r="AD721" s="19" t="n">
        <v>0.1177</v>
      </c>
      <c r="AE721" s="19" t="n">
        <v>0.1528</v>
      </c>
      <c r="AF721" s="19" t="n">
        <v>2.9627</v>
      </c>
      <c r="AG721" s="19" t="n">
        <v>0.1225</v>
      </c>
      <c r="AH721" s="23" t="n">
        <v>0</v>
      </c>
      <c r="AI721" s="23" t="n">
        <v>2080.68</v>
      </c>
      <c r="AJ721" s="19" t="n">
        <v>0</v>
      </c>
    </row>
    <row r="722">
      <c r="A722" s="16" t="inlineStr">
        <is>
          <t>SYMBIOTEC</t>
        </is>
      </c>
      <c r="B722" s="16" t="inlineStr">
        <is>
          <t>Symbiotec Pharmalab Ltd.</t>
        </is>
      </c>
      <c r="C722" s="16" t="inlineStr">
        <is>
          <t>Pharmaceuticals</t>
        </is>
      </c>
      <c r="D722" s="16" t="inlineStr">
        <is>
          <t>Pharmaceuticals &amp; Biotechnology</t>
        </is>
      </c>
      <c r="E722" s="16" t="inlineStr">
        <is>
          <t>INE899I01028</t>
        </is>
      </c>
      <c r="F722" s="17" t="n">
        <v>6928.41</v>
      </c>
      <c r="G722" s="18" t="n">
        <v>1078.25</v>
      </c>
      <c r="H722" s="19" t="n">
        <v>0.0013</v>
      </c>
      <c r="I722" s="20" t="n"/>
      <c r="J722" s="16" t="n"/>
      <c r="K722" s="20" t="n"/>
      <c r="L722" s="18" t="n"/>
      <c r="M722" s="18" t="n"/>
      <c r="N722" s="18" t="n"/>
      <c r="O722" s="18" t="n"/>
      <c r="P722" s="18" t="n">
        <v>1097.7</v>
      </c>
      <c r="Q722" s="18" t="n">
        <v>1076.85</v>
      </c>
      <c r="R722" s="21">
        <f>IF(OR(G722="",P722=""),"",G722/P722-1)</f>
        <v/>
      </c>
      <c r="S722" s="19" t="n">
        <v>0.1454</v>
      </c>
      <c r="T722" s="22" t="n"/>
      <c r="U722" s="16" t="n"/>
      <c r="V722" s="16" t="n"/>
      <c r="W722" s="16" t="n"/>
      <c r="X722" s="16" t="n"/>
      <c r="Y722" s="20" t="n"/>
      <c r="Z722" s="19" t="n"/>
      <c r="AA722" s="18" t="n"/>
      <c r="AB722" s="16" t="n"/>
      <c r="AC722" s="16" t="inlineStr">
        <is>
          <t>No</t>
        </is>
      </c>
      <c r="AD722" s="19" t="n"/>
      <c r="AE722" s="19" t="n"/>
      <c r="AF722" s="19" t="n"/>
      <c r="AG722" s="19" t="n"/>
      <c r="AH722" s="23" t="n"/>
      <c r="AI722" s="23" t="n"/>
      <c r="AJ722" s="19" t="n"/>
    </row>
    <row r="723">
      <c r="A723" s="16" t="inlineStr">
        <is>
          <t>RBA</t>
        </is>
      </c>
      <c r="B723" s="16" t="inlineStr">
        <is>
          <t>Restaurant Brands Asia Ltd.</t>
        </is>
      </c>
      <c r="C723" s="16" t="inlineStr">
        <is>
          <t>Restaurants</t>
        </is>
      </c>
      <c r="D723" s="16" t="inlineStr">
        <is>
          <t>Hotels Restaurants &amp; Tourism</t>
        </is>
      </c>
      <c r="E723" s="16" t="inlineStr">
        <is>
          <t>INE07T201019</t>
        </is>
      </c>
      <c r="F723" s="17" t="n">
        <v>6917.84</v>
      </c>
      <c r="G723" s="18" t="n">
        <v>97.15000000000001</v>
      </c>
      <c r="H723" s="19" t="n">
        <v>-0.0076</v>
      </c>
      <c r="I723" s="20" t="n">
        <v>82</v>
      </c>
      <c r="J723" s="16" t="inlineStr">
        <is>
          <t>green</t>
        </is>
      </c>
      <c r="K723" s="20" t="n">
        <v>19</v>
      </c>
      <c r="L723" s="18" t="n">
        <v>46.34</v>
      </c>
      <c r="M723" s="18" t="n">
        <v>99.34999999999999</v>
      </c>
      <c r="N723" s="18" t="n">
        <v>83.92</v>
      </c>
      <c r="O723" s="18" t="n">
        <v>69.81</v>
      </c>
      <c r="P723" s="18" t="n">
        <v>106.45</v>
      </c>
      <c r="Q723" s="18" t="n">
        <v>57.26</v>
      </c>
      <c r="R723" s="21">
        <f>IF(OR(G723="",P723=""),"",G723/P723-1)</f>
        <v/>
      </c>
      <c r="S723" s="19" t="n">
        <v>0.1547</v>
      </c>
      <c r="T723" s="22" t="n">
        <v>0.0484</v>
      </c>
      <c r="U723" s="16" t="inlineStr">
        <is>
          <t>Yes</t>
        </is>
      </c>
      <c r="V723" s="16" t="inlineStr">
        <is>
          <t>Yes</t>
        </is>
      </c>
      <c r="W723" s="16" t="inlineStr">
        <is>
          <t>No</t>
        </is>
      </c>
      <c r="X723" s="16" t="inlineStr">
        <is>
          <t>Yes</t>
        </is>
      </c>
      <c r="Y723" s="20" t="n">
        <v>54</v>
      </c>
      <c r="Z723" s="19" t="n">
        <v>0.2022</v>
      </c>
      <c r="AA723" s="18" t="n">
        <v>0</v>
      </c>
      <c r="AB723" s="16" t="inlineStr">
        <is>
          <t>Poor</t>
        </is>
      </c>
      <c r="AC723" s="16" t="inlineStr">
        <is>
          <t>No</t>
        </is>
      </c>
      <c r="AD723" s="19" t="n">
        <v>-0.2817</v>
      </c>
      <c r="AE723" s="19" t="n">
        <v>-0.026</v>
      </c>
      <c r="AF723" s="19" t="n">
        <v>0.099</v>
      </c>
      <c r="AG723" s="19" t="n">
        <v>0.111</v>
      </c>
      <c r="AH723" s="23" t="n">
        <v>2.73</v>
      </c>
      <c r="AI723" s="23" t="n">
        <v>0.99</v>
      </c>
      <c r="AJ723" s="19" t="n">
        <v>0.04</v>
      </c>
    </row>
    <row r="724">
      <c r="A724" s="16" t="inlineStr">
        <is>
          <t>TANLA</t>
        </is>
      </c>
      <c r="B724" s="16" t="inlineStr">
        <is>
          <t>Tanla Platforms Ltd.</t>
        </is>
      </c>
      <c r="C724" s="16" t="inlineStr">
        <is>
          <t>Internet Software &amp; Services</t>
        </is>
      </c>
      <c r="D724" s="16" t="inlineStr">
        <is>
          <t>Software &amp; Services</t>
        </is>
      </c>
      <c r="E724" s="16" t="inlineStr">
        <is>
          <t>INE483C01032</t>
        </is>
      </c>
      <c r="F724" s="17" t="n">
        <v>6912.22</v>
      </c>
      <c r="G724" s="18" t="n">
        <v>521.15</v>
      </c>
      <c r="H724" s="19" t="n">
        <v>0.0123</v>
      </c>
      <c r="I724" s="20" t="n">
        <v>38</v>
      </c>
      <c r="J724" s="16" t="inlineStr">
        <is>
          <t>red</t>
        </is>
      </c>
      <c r="K724" s="20" t="n">
        <v>18</v>
      </c>
      <c r="L724" s="18" t="n">
        <v>30.92</v>
      </c>
      <c r="M724" s="18" t="n">
        <v>529.86</v>
      </c>
      <c r="N724" s="18" t="n">
        <v>567.84</v>
      </c>
      <c r="O724" s="18" t="n">
        <v>514.15</v>
      </c>
      <c r="P724" s="18" t="n">
        <v>738.04</v>
      </c>
      <c r="Q724" s="18" t="n">
        <v>373.26</v>
      </c>
      <c r="R724" s="21">
        <f>IF(OR(G724="",P724=""),"",G724/P724-1)</f>
        <v/>
      </c>
      <c r="S724" s="19" t="n">
        <v>0.4877</v>
      </c>
      <c r="T724" s="22" t="n">
        <v>-0.008800000000000001</v>
      </c>
      <c r="U724" s="16" t="inlineStr">
        <is>
          <t>No</t>
        </is>
      </c>
      <c r="V724" s="16" t="inlineStr">
        <is>
          <t>No</t>
        </is>
      </c>
      <c r="W724" s="16" t="inlineStr">
        <is>
          <t>No</t>
        </is>
      </c>
      <c r="X724" s="16" t="inlineStr">
        <is>
          <t>Yes</t>
        </is>
      </c>
      <c r="Y724" s="20" t="n">
        <v>39</v>
      </c>
      <c r="Z724" s="19" t="n">
        <v>0.1044</v>
      </c>
      <c r="AA724" s="18" t="n">
        <v>69.02</v>
      </c>
      <c r="AB724" s="16" t="inlineStr">
        <is>
          <t>High</t>
        </is>
      </c>
      <c r="AC724" s="16" t="inlineStr">
        <is>
          <t>No</t>
        </is>
      </c>
      <c r="AD724" s="19" t="n">
        <v>0.2369</v>
      </c>
      <c r="AE724" s="19" t="n">
        <v>0.2882</v>
      </c>
      <c r="AF724" s="19" t="n">
        <v>0.0575</v>
      </c>
      <c r="AG724" s="19" t="n">
        <v>0.0977</v>
      </c>
      <c r="AH724" s="23" t="n">
        <v>0.02</v>
      </c>
      <c r="AI724" s="23" t="n">
        <v>17.94</v>
      </c>
      <c r="AJ724" s="19" t="n">
        <v>0</v>
      </c>
    </row>
    <row r="725">
      <c r="A725" s="16" t="inlineStr">
        <is>
          <t>SUPRIYA</t>
        </is>
      </c>
      <c r="B725" s="16" t="inlineStr">
        <is>
          <t>Supriya Lifescience Ltd.</t>
        </is>
      </c>
      <c r="C725" s="16" t="inlineStr">
        <is>
          <t>Pharmaceuticals</t>
        </is>
      </c>
      <c r="D725" s="16" t="inlineStr">
        <is>
          <t>Pharmaceuticals &amp; Biotechnology</t>
        </is>
      </c>
      <c r="E725" s="16" t="inlineStr">
        <is>
          <t>INE07RO01027</t>
        </is>
      </c>
      <c r="F725" s="17" t="n">
        <v>6863.98</v>
      </c>
      <c r="G725" s="18" t="n">
        <v>852.85</v>
      </c>
      <c r="H725" s="19" t="n">
        <v>0.0132</v>
      </c>
      <c r="I725" s="20" t="n">
        <v>57</v>
      </c>
      <c r="J725" s="16" t="inlineStr">
        <is>
          <t>red</t>
        </is>
      </c>
      <c r="K725" s="20" t="n">
        <v>11</v>
      </c>
      <c r="L725" s="18" t="n">
        <v>69.41</v>
      </c>
      <c r="M725" s="18" t="n">
        <v>811.72</v>
      </c>
      <c r="N725" s="18" t="n">
        <v>854.59</v>
      </c>
      <c r="O725" s="18" t="n">
        <v>757.3099999999999</v>
      </c>
      <c r="P725" s="18" t="n">
        <v>1051.25</v>
      </c>
      <c r="Q725" s="18" t="n">
        <v>552.6900000000001</v>
      </c>
      <c r="R725" s="21">
        <f>IF(OR(G725="",P725=""),"",G725/P725-1)</f>
        <v/>
      </c>
      <c r="S725" s="19" t="n">
        <v>1.0056</v>
      </c>
      <c r="T725" s="22" t="n">
        <v>0.0064</v>
      </c>
      <c r="U725" s="16" t="inlineStr">
        <is>
          <t>Yes</t>
        </is>
      </c>
      <c r="V725" s="16" t="inlineStr">
        <is>
          <t>No</t>
        </is>
      </c>
      <c r="W725" s="16" t="inlineStr">
        <is>
          <t>Yes</t>
        </is>
      </c>
      <c r="X725" s="16" t="inlineStr">
        <is>
          <t>Yes</t>
        </is>
      </c>
      <c r="Y725" s="20" t="n">
        <v>66</v>
      </c>
      <c r="Z725" s="19" t="n">
        <v>0.1285</v>
      </c>
      <c r="AA725" s="18" t="n">
        <v>71.73999999999999</v>
      </c>
      <c r="AB725" s="16" t="inlineStr">
        <is>
          <t>High</t>
        </is>
      </c>
      <c r="AC725" s="16" t="inlineStr">
        <is>
          <t>No</t>
        </is>
      </c>
      <c r="AD725" s="19" t="n">
        <v>0.1698</v>
      </c>
      <c r="AE725" s="19" t="n">
        <v>0.2286</v>
      </c>
      <c r="AF725" s="19" t="n">
        <v>0.3388</v>
      </c>
      <c r="AG725" s="19" t="n">
        <v>0.2247</v>
      </c>
      <c r="AH725" s="23" t="n">
        <v>0</v>
      </c>
      <c r="AI725" s="23" t="n">
        <v>1.14</v>
      </c>
      <c r="AJ725" s="19" t="n">
        <v>0.0491</v>
      </c>
    </row>
    <row r="726">
      <c r="A726" s="16" t="inlineStr">
        <is>
          <t>EBGNG</t>
        </is>
      </c>
      <c r="B726" s="16" t="inlineStr">
        <is>
          <t>GNG Electronics Ltd.</t>
        </is>
      </c>
      <c r="C726" s="16" t="inlineStr">
        <is>
          <t>Computer Hardware</t>
        </is>
      </c>
      <c r="D726" s="16" t="inlineStr">
        <is>
          <t>Hardware Technology &amp; Equipment</t>
        </is>
      </c>
      <c r="E726" s="16" t="inlineStr">
        <is>
          <t>INE18JU01028</t>
        </is>
      </c>
      <c r="F726" s="17" t="n">
        <v>6854.94</v>
      </c>
      <c r="G726" s="18" t="n">
        <v>601.25</v>
      </c>
      <c r="H726" s="19" t="n">
        <v>-0.0335</v>
      </c>
      <c r="I726" s="20" t="n">
        <v>90</v>
      </c>
      <c r="J726" s="16" t="inlineStr">
        <is>
          <t>green</t>
        </is>
      </c>
      <c r="K726" s="20" t="n">
        <v>58</v>
      </c>
      <c r="L726" s="18" t="n">
        <v>51.41</v>
      </c>
      <c r="M726" s="18" t="n">
        <v>615.09</v>
      </c>
      <c r="N726" s="18" t="n">
        <v>586.9299999999999</v>
      </c>
      <c r="O726" s="18" t="n">
        <v>421.52</v>
      </c>
      <c r="P726" s="18" t="n">
        <v>674.85</v>
      </c>
      <c r="Q726" s="18" t="n">
        <v>242.55</v>
      </c>
      <c r="R726" s="21">
        <f>IF(OR(G726="",P726=""),"",G726/P726-1)</f>
        <v/>
      </c>
      <c r="S726" s="19" t="n">
        <v>1.3724</v>
      </c>
      <c r="T726" s="22" t="n">
        <v>0.0669</v>
      </c>
      <c r="U726" s="16" t="inlineStr">
        <is>
          <t>Yes</t>
        </is>
      </c>
      <c r="V726" s="16" t="inlineStr">
        <is>
          <t>Yes</t>
        </is>
      </c>
      <c r="W726" s="16" t="inlineStr">
        <is>
          <t>No</t>
        </is>
      </c>
      <c r="X726" s="16" t="inlineStr">
        <is>
          <t>Yes</t>
        </is>
      </c>
      <c r="Y726" s="20" t="n">
        <v>76</v>
      </c>
      <c r="Z726" s="19" t="n">
        <v>0.3924</v>
      </c>
      <c r="AA726" s="18" t="n">
        <v>60.29</v>
      </c>
      <c r="AB726" s="16" t="inlineStr">
        <is>
          <t>Good</t>
        </is>
      </c>
      <c r="AC726" s="16" t="inlineStr">
        <is>
          <t>No</t>
        </is>
      </c>
      <c r="AD726" s="19" t="n">
        <v>0.2662</v>
      </c>
      <c r="AE726" s="19" t="n">
        <v>0.1617</v>
      </c>
      <c r="AF726" s="19" t="n">
        <v>0.0614</v>
      </c>
      <c r="AG726" s="19" t="n">
        <v>0.4464</v>
      </c>
      <c r="AH726" s="23" t="n">
        <v>0.57</v>
      </c>
      <c r="AI726" s="23" t="n">
        <v>25.67</v>
      </c>
      <c r="AJ726" s="19" t="n">
        <v>0</v>
      </c>
    </row>
    <row r="727">
      <c r="A727" s="16" t="inlineStr">
        <is>
          <t>BIRLACORPN</t>
        </is>
      </c>
      <c r="B727" s="16" t="inlineStr">
        <is>
          <t>Birla Corporation Ltd.</t>
        </is>
      </c>
      <c r="C727" s="16" t="inlineStr">
        <is>
          <t>Cement &amp; Cement Products</t>
        </is>
      </c>
      <c r="D727" s="16" t="inlineStr">
        <is>
          <t>Cement and Construction</t>
        </is>
      </c>
      <c r="E727" s="16" t="inlineStr">
        <is>
          <t>INE340A01012</t>
        </is>
      </c>
      <c r="F727" s="17" t="n">
        <v>6833.07</v>
      </c>
      <c r="G727" s="18" t="n">
        <v>887.35</v>
      </c>
      <c r="H727" s="19" t="n">
        <v>0.0073</v>
      </c>
      <c r="I727" s="20" t="n">
        <v>19</v>
      </c>
      <c r="J727" s="16" t="inlineStr">
        <is>
          <t>red</t>
        </is>
      </c>
      <c r="K727" s="20" t="n">
        <v>235</v>
      </c>
      <c r="L727" s="18" t="n">
        <v>43.55</v>
      </c>
      <c r="M727" s="18" t="n">
        <v>880.9299999999999</v>
      </c>
      <c r="N727" s="18" t="n">
        <v>924.02</v>
      </c>
      <c r="O727" s="18" t="n">
        <v>972.37</v>
      </c>
      <c r="P727" s="18" t="n">
        <v>1285.19</v>
      </c>
      <c r="Q727" s="18" t="n">
        <v>772.36</v>
      </c>
      <c r="R727" s="21">
        <f>IF(OR(G727="",P727=""),"",G727/P727-1)</f>
        <v/>
      </c>
      <c r="S727" s="19" t="n">
        <v>0.6411</v>
      </c>
      <c r="T727" s="22" t="n">
        <v>-0.0279</v>
      </c>
      <c r="U727" s="16" t="inlineStr">
        <is>
          <t>No</t>
        </is>
      </c>
      <c r="V727" s="16" t="inlineStr">
        <is>
          <t>No</t>
        </is>
      </c>
      <c r="W727" s="16" t="inlineStr">
        <is>
          <t>Yes</t>
        </is>
      </c>
      <c r="X727" s="16" t="inlineStr">
        <is>
          <t>No</t>
        </is>
      </c>
      <c r="Y727" s="20" t="n">
        <v>198</v>
      </c>
      <c r="Z727" s="19" t="n">
        <v>-0.04969999999999999</v>
      </c>
      <c r="AA727" s="18" t="n">
        <v>37.13</v>
      </c>
      <c r="AB727" s="16" t="inlineStr">
        <is>
          <t>Weak</t>
        </is>
      </c>
      <c r="AC727" s="16" t="inlineStr">
        <is>
          <t>No</t>
        </is>
      </c>
      <c r="AD727" s="19" t="n">
        <v>0.0603</v>
      </c>
      <c r="AE727" s="19" t="n">
        <v>0.0837</v>
      </c>
      <c r="AF727" s="19" t="n">
        <v>3.3243</v>
      </c>
      <c r="AG727" s="19" t="n">
        <v>0.04</v>
      </c>
      <c r="AH727" s="23" t="n">
        <v>0.46</v>
      </c>
      <c r="AI727" s="23" t="n">
        <v>1.05</v>
      </c>
      <c r="AJ727" s="19" t="n">
        <v>0.052</v>
      </c>
    </row>
    <row r="728">
      <c r="A728" s="16" t="inlineStr">
        <is>
          <t>CAMPUS</t>
        </is>
      </c>
      <c r="B728" s="16" t="inlineStr">
        <is>
          <t>Campus Activewear Ltd.</t>
        </is>
      </c>
      <c r="C728" s="16" t="inlineStr">
        <is>
          <t>Footwear</t>
        </is>
      </c>
      <c r="D728" s="16" t="inlineStr">
        <is>
          <t>Retailing</t>
        </is>
      </c>
      <c r="E728" s="16" t="inlineStr">
        <is>
          <t>INE278Y01022</t>
        </is>
      </c>
      <c r="F728" s="17" t="n">
        <v>6823.99</v>
      </c>
      <c r="G728" s="18" t="n">
        <v>223.24</v>
      </c>
      <c r="H728" s="19" t="n">
        <v>-0.0033</v>
      </c>
      <c r="I728" s="20" t="n">
        <v>20</v>
      </c>
      <c r="J728" s="16" t="inlineStr">
        <is>
          <t>red</t>
        </is>
      </c>
      <c r="K728" s="20" t="n">
        <v>106</v>
      </c>
      <c r="L728" s="18" t="n">
        <v>59.81</v>
      </c>
      <c r="M728" s="18" t="n">
        <v>224.31</v>
      </c>
      <c r="N728" s="18" t="n">
        <v>224.25</v>
      </c>
      <c r="O728" s="18" t="n">
        <v>243.11</v>
      </c>
      <c r="P728" s="18" t="n">
        <v>283.46</v>
      </c>
      <c r="Q728" s="18" t="n">
        <v>214.89</v>
      </c>
      <c r="R728" s="21">
        <f>IF(OR(G728="",P728=""),"",G728/P728-1)</f>
        <v/>
      </c>
      <c r="S728" s="19" t="n">
        <v>0.5428000000000001</v>
      </c>
      <c r="T728" s="22" t="n">
        <v>-0.0209</v>
      </c>
      <c r="U728" s="16" t="inlineStr">
        <is>
          <t>No</t>
        </is>
      </c>
      <c r="V728" s="16" t="inlineStr">
        <is>
          <t>No</t>
        </is>
      </c>
      <c r="W728" s="16" t="inlineStr">
        <is>
          <t>No</t>
        </is>
      </c>
      <c r="X728" s="16" t="inlineStr">
        <is>
          <t>No</t>
        </is>
      </c>
      <c r="Y728" s="20" t="n">
        <v>165</v>
      </c>
      <c r="Z728" s="19" t="n">
        <v>-0.0776</v>
      </c>
      <c r="AA728" s="18" t="n">
        <v>40</v>
      </c>
      <c r="AB728" s="16" t="inlineStr">
        <is>
          <t>Weak</t>
        </is>
      </c>
      <c r="AC728" s="16" t="inlineStr">
        <is>
          <t>No</t>
        </is>
      </c>
      <c r="AD728" s="19" t="n">
        <v>0.1543</v>
      </c>
      <c r="AE728" s="19" t="n">
        <v>0.1852</v>
      </c>
      <c r="AF728" s="19" t="n">
        <v>-0.294</v>
      </c>
      <c r="AG728" s="19" t="n">
        <v>0.06309999999999999</v>
      </c>
      <c r="AH728" s="23" t="n">
        <v>0.26</v>
      </c>
      <c r="AI728" s="23" t="n">
        <v>3.44</v>
      </c>
      <c r="AJ728" s="19" t="n">
        <v>0.0214</v>
      </c>
    </row>
    <row r="729">
      <c r="A729" s="16" t="inlineStr">
        <is>
          <t>GOKULAGRO</t>
        </is>
      </c>
      <c r="B729" s="16" t="inlineStr">
        <is>
          <t>Gokul Agro Resources Ltd.</t>
        </is>
      </c>
      <c r="C729" s="16" t="inlineStr">
        <is>
          <t>Edible Oils</t>
        </is>
      </c>
      <c r="D729" s="16" t="inlineStr">
        <is>
          <t>FMCG</t>
        </is>
      </c>
      <c r="E729" s="16" t="inlineStr">
        <is>
          <t>INE314T01033</t>
        </is>
      </c>
      <c r="F729" s="17" t="n">
        <v>6821.52</v>
      </c>
      <c r="G729" s="18" t="n">
        <v>231.17</v>
      </c>
      <c r="H729" s="19" t="n">
        <v>-0.0159</v>
      </c>
      <c r="I729" s="20" t="n">
        <v>64</v>
      </c>
      <c r="J729" s="16" t="inlineStr">
        <is>
          <t>amber</t>
        </is>
      </c>
      <c r="K729" s="20" t="n">
        <v>47</v>
      </c>
      <c r="L729" s="18" t="n">
        <v>49.47</v>
      </c>
      <c r="M729" s="18" t="n">
        <v>239.4</v>
      </c>
      <c r="N729" s="18" t="n">
        <v>224.54</v>
      </c>
      <c r="O729" s="18" t="n">
        <v>203.06</v>
      </c>
      <c r="P729" s="18" t="n">
        <v>252.85</v>
      </c>
      <c r="Q729" s="18" t="n">
        <v>152.82</v>
      </c>
      <c r="R729" s="21">
        <f>IF(OR(G729="",P729=""),"",G729/P729-1)</f>
        <v/>
      </c>
      <c r="S729" s="19" t="n">
        <v>0.3634000000000001</v>
      </c>
      <c r="T729" s="22" t="n">
        <v>0.0296</v>
      </c>
      <c r="U729" s="16" t="inlineStr">
        <is>
          <t>Yes</t>
        </is>
      </c>
      <c r="V729" s="16" t="inlineStr">
        <is>
          <t>Yes</t>
        </is>
      </c>
      <c r="W729" s="16" t="inlineStr">
        <is>
          <t>No</t>
        </is>
      </c>
      <c r="X729" s="16" t="inlineStr">
        <is>
          <t>Yes</t>
        </is>
      </c>
      <c r="Y729" s="20" t="n">
        <v>102</v>
      </c>
      <c r="Z729" s="19" t="n">
        <v>0.1058</v>
      </c>
      <c r="AA729" s="18" t="n">
        <v>70.83</v>
      </c>
      <c r="AB729" s="16" t="inlineStr">
        <is>
          <t>High</t>
        </is>
      </c>
      <c r="AC729" s="16" t="inlineStr">
        <is>
          <t>No</t>
        </is>
      </c>
      <c r="AD729" s="19" t="n">
        <v>0.2233</v>
      </c>
      <c r="AE729" s="19" t="n">
        <v>0.2828</v>
      </c>
      <c r="AF729" s="19" t="n">
        <v>0.1878</v>
      </c>
      <c r="AG729" s="19" t="n">
        <v>0.3129</v>
      </c>
      <c r="AH729" s="23" t="n">
        <v>0.41</v>
      </c>
      <c r="AI729" s="23" t="n">
        <v>24.62</v>
      </c>
      <c r="AJ729" s="19" t="n">
        <v>0.05019999999999999</v>
      </c>
    </row>
    <row r="730">
      <c r="A730" s="16" t="inlineStr">
        <is>
          <t>CYIENTDLM</t>
        </is>
      </c>
      <c r="B730" s="16" t="inlineStr">
        <is>
          <t>Cyient DLM Ltd.</t>
        </is>
      </c>
      <c r="C730" s="16" t="inlineStr">
        <is>
          <t>Electronic Components</t>
        </is>
      </c>
      <c r="D730" s="16" t="inlineStr">
        <is>
          <t>Commercial Services &amp; Supplies</t>
        </is>
      </c>
      <c r="E730" s="16" t="inlineStr">
        <is>
          <t>INE055S01018</t>
        </is>
      </c>
      <c r="F730" s="17" t="n">
        <v>6802.76</v>
      </c>
      <c r="G730" s="18" t="n">
        <v>856.95</v>
      </c>
      <c r="H730" s="19" t="n">
        <v>0.0244</v>
      </c>
      <c r="I730" s="20" t="n">
        <v>96</v>
      </c>
      <c r="J730" s="16" t="inlineStr">
        <is>
          <t>green</t>
        </is>
      </c>
      <c r="K730" s="20" t="n">
        <v>46</v>
      </c>
      <c r="L730" s="18" t="n">
        <v>76.83</v>
      </c>
      <c r="M730" s="18" t="n">
        <v>834.48</v>
      </c>
      <c r="N730" s="18" t="n">
        <v>661.8200000000001</v>
      </c>
      <c r="O730" s="18" t="n">
        <v>454.85</v>
      </c>
      <c r="P730" s="18" t="n">
        <v>857.2</v>
      </c>
      <c r="Q730" s="18" t="n">
        <v>272.3</v>
      </c>
      <c r="R730" s="21">
        <f>IF(OR(G730="",P730=""),"",G730/P730-1)</f>
        <v/>
      </c>
      <c r="S730" s="19" t="n">
        <v>1.8811</v>
      </c>
      <c r="T730" s="22" t="n">
        <v>0.075</v>
      </c>
      <c r="U730" s="16" t="inlineStr">
        <is>
          <t>Yes</t>
        </is>
      </c>
      <c r="V730" s="16" t="inlineStr">
        <is>
          <t>Yes</t>
        </is>
      </c>
      <c r="W730" s="16" t="inlineStr">
        <is>
          <t>Yes</t>
        </is>
      </c>
      <c r="X730" s="16" t="inlineStr">
        <is>
          <t>Yes</t>
        </is>
      </c>
      <c r="Y730" s="20" t="n">
        <v>59</v>
      </c>
      <c r="Z730" s="19" t="n">
        <v>0.455</v>
      </c>
      <c r="AA730" s="18" t="n">
        <v>52.62</v>
      </c>
      <c r="AB730" s="16" t="inlineStr">
        <is>
          <t>Good</t>
        </is>
      </c>
      <c r="AC730" s="16" t="inlineStr">
        <is>
          <t>No</t>
        </is>
      </c>
      <c r="AD730" s="19" t="n">
        <v>0.07049999999999999</v>
      </c>
      <c r="AE730" s="19" t="n">
        <v>0.1027</v>
      </c>
      <c r="AF730" s="19" t="n">
        <v>0.3987</v>
      </c>
      <c r="AG730" s="19" t="n">
        <v>0.1792</v>
      </c>
      <c r="AH730" s="23" t="n">
        <v>0.17</v>
      </c>
      <c r="AI730" s="23" t="n">
        <v>4.78</v>
      </c>
      <c r="AJ730" s="19" t="n">
        <v>0.1317</v>
      </c>
    </row>
    <row r="731">
      <c r="A731" s="16" t="inlineStr">
        <is>
          <t>TIMEX</t>
        </is>
      </c>
      <c r="B731" s="16" t="inlineStr">
        <is>
          <t>Timex Group India Ltd.</t>
        </is>
      </c>
      <c r="C731" s="16" t="inlineStr">
        <is>
          <t>Other Apparels &amp; Accessories</t>
        </is>
      </c>
      <c r="D731" s="16" t="inlineStr">
        <is>
          <t>Textiles Apparels &amp; Accessories</t>
        </is>
      </c>
      <c r="E731" s="16" t="inlineStr">
        <is>
          <t>INE064A01026</t>
        </is>
      </c>
      <c r="F731" s="17" t="n">
        <v>6767.69</v>
      </c>
      <c r="G731" s="18" t="n">
        <v>670.4</v>
      </c>
      <c r="H731" s="19" t="n">
        <v>0.0315</v>
      </c>
      <c r="I731" s="20" t="n">
        <v>94</v>
      </c>
      <c r="J731" s="16" t="inlineStr">
        <is>
          <t>green</t>
        </is>
      </c>
      <c r="K731" s="20" t="n">
        <v>77</v>
      </c>
      <c r="L731" s="18" t="n">
        <v>79.65000000000001</v>
      </c>
      <c r="M731" s="18" t="n">
        <v>650.0599999999999</v>
      </c>
      <c r="N731" s="18" t="n">
        <v>568.77</v>
      </c>
      <c r="O731" s="18" t="n">
        <v>397.71</v>
      </c>
      <c r="P731" s="18" t="n">
        <v>680.65</v>
      </c>
      <c r="Q731" s="18" t="n">
        <v>245</v>
      </c>
      <c r="R731" s="21">
        <f>IF(OR(G731="",P731=""),"",G731/P731-1)</f>
        <v/>
      </c>
      <c r="S731" s="19" t="n">
        <v>0.8098000000000001</v>
      </c>
      <c r="T731" s="22" t="n">
        <v>0.0595</v>
      </c>
      <c r="U731" s="16" t="inlineStr">
        <is>
          <t>Yes</t>
        </is>
      </c>
      <c r="V731" s="16" t="inlineStr">
        <is>
          <t>Yes</t>
        </is>
      </c>
      <c r="W731" s="16" t="inlineStr">
        <is>
          <t>Yes</t>
        </is>
      </c>
      <c r="X731" s="16" t="inlineStr">
        <is>
          <t>Yes</t>
        </is>
      </c>
      <c r="Y731" s="20" t="n">
        <v>69</v>
      </c>
      <c r="Z731" s="19" t="n">
        <v>0.4301</v>
      </c>
      <c r="AA731" s="18" t="n"/>
      <c r="AB731" s="16" t="n"/>
      <c r="AC731" s="16" t="inlineStr">
        <is>
          <t>No</t>
        </is>
      </c>
      <c r="AD731" s="19" t="n"/>
      <c r="AE731" s="19" t="n"/>
      <c r="AF731" s="19" t="n"/>
      <c r="AG731" s="19" t="n"/>
      <c r="AH731" s="23" t="n"/>
      <c r="AI731" s="23" t="n"/>
      <c r="AJ731" s="19" t="n"/>
    </row>
    <row r="732">
      <c r="A732" s="16" t="inlineStr">
        <is>
          <t>BAJAJCON</t>
        </is>
      </c>
      <c r="B732" s="16" t="inlineStr">
        <is>
          <t>Bajaj Consumer Care Ltd.</t>
        </is>
      </c>
      <c r="C732" s="16" t="inlineStr">
        <is>
          <t>Personal Products</t>
        </is>
      </c>
      <c r="D732" s="16" t="inlineStr">
        <is>
          <t>FMCG</t>
        </is>
      </c>
      <c r="E732" s="16" t="inlineStr">
        <is>
          <t>INE933K01021</t>
        </is>
      </c>
      <c r="F732" s="17" t="n">
        <v>6760.13</v>
      </c>
      <c r="G732" s="18" t="n">
        <v>517.55</v>
      </c>
      <c r="H732" s="19" t="n">
        <v>0.0169</v>
      </c>
      <c r="I732" s="20" t="n">
        <v>83</v>
      </c>
      <c r="J732" s="16" t="inlineStr">
        <is>
          <t>green</t>
        </is>
      </c>
      <c r="K732" s="20" t="n">
        <v>4</v>
      </c>
      <c r="L732" s="18" t="n">
        <v>61</v>
      </c>
      <c r="M732" s="18" t="n">
        <v>481.08</v>
      </c>
      <c r="N732" s="18" t="n">
        <v>539.9299999999999</v>
      </c>
      <c r="O732" s="18" t="n">
        <v>431.87</v>
      </c>
      <c r="P732" s="18" t="n">
        <v>670.25</v>
      </c>
      <c r="Q732" s="18" t="n">
        <v>222.01</v>
      </c>
      <c r="R732" s="21">
        <f>IF(OR(G732="",P732=""),"",G732/P732-1)</f>
        <v/>
      </c>
      <c r="S732" s="19" t="n">
        <v>1.641</v>
      </c>
      <c r="T732" s="22" t="n">
        <v>0.0521</v>
      </c>
      <c r="U732" s="16" t="inlineStr">
        <is>
          <t>Yes</t>
        </is>
      </c>
      <c r="V732" s="16" t="inlineStr">
        <is>
          <t>No</t>
        </is>
      </c>
      <c r="W732" s="16" t="inlineStr">
        <is>
          <t>Yes</t>
        </is>
      </c>
      <c r="X732" s="16" t="inlineStr">
        <is>
          <t>Yes</t>
        </is>
      </c>
      <c r="Y732" s="20" t="n">
        <v>284</v>
      </c>
      <c r="Z732" s="19" t="n">
        <v>0.2502</v>
      </c>
      <c r="AA732" s="18" t="n">
        <v>70.01000000000001</v>
      </c>
      <c r="AB732" s="16" t="inlineStr">
        <is>
          <t>High</t>
        </is>
      </c>
      <c r="AC732" s="16" t="inlineStr">
        <is>
          <t>No</t>
        </is>
      </c>
      <c r="AD732" s="19" t="n">
        <v>0.2022</v>
      </c>
      <c r="AE732" s="19" t="n">
        <v>0.2441</v>
      </c>
      <c r="AF732" s="19" t="n">
        <v>0.1843</v>
      </c>
      <c r="AG732" s="19" t="n">
        <v>0.07190000000000001</v>
      </c>
      <c r="AH732" s="23" t="n">
        <v>0.02</v>
      </c>
      <c r="AI732" s="23" t="n">
        <v>6.4</v>
      </c>
      <c r="AJ732" s="19" t="n">
        <v>0.1578</v>
      </c>
    </row>
    <row r="733">
      <c r="A733" s="16" t="inlineStr">
        <is>
          <t>PAISALO</t>
        </is>
      </c>
      <c r="B733" s="16" t="inlineStr">
        <is>
          <t>Paisalo Digital Ltd.</t>
        </is>
      </c>
      <c r="C733" s="16" t="inlineStr">
        <is>
          <t>Finance (including NBFCs)</t>
        </is>
      </c>
      <c r="D733" s="16" t="inlineStr">
        <is>
          <t>Banking and Finance</t>
        </is>
      </c>
      <c r="E733" s="16" t="inlineStr">
        <is>
          <t>INE420C01059</t>
        </is>
      </c>
      <c r="F733" s="17" t="n">
        <v>6739.56</v>
      </c>
      <c r="G733" s="18" t="n">
        <v>74.09999999999999</v>
      </c>
      <c r="H733" s="19" t="n">
        <v>0.0544</v>
      </c>
      <c r="I733" s="20" t="n">
        <v>93</v>
      </c>
      <c r="J733" s="16" t="inlineStr">
        <is>
          <t>green</t>
        </is>
      </c>
      <c r="K733" s="20" t="n">
        <v>107</v>
      </c>
      <c r="L733" s="18" t="n">
        <v>74.27</v>
      </c>
      <c r="M733" s="18" t="n">
        <v>68.59</v>
      </c>
      <c r="N733" s="18" t="n">
        <v>69.95</v>
      </c>
      <c r="O733" s="18" t="n">
        <v>48.19</v>
      </c>
      <c r="P733" s="18" t="n">
        <v>74.09999999999999</v>
      </c>
      <c r="Q733" s="18" t="n">
        <v>30.97</v>
      </c>
      <c r="R733" s="21">
        <f>IF(OR(G733="",P733=""),"",G733/P733-1)</f>
        <v/>
      </c>
      <c r="S733" s="19" t="n">
        <v>3.0181</v>
      </c>
      <c r="T733" s="22" t="n">
        <v>0.0717</v>
      </c>
      <c r="U733" s="16" t="inlineStr">
        <is>
          <t>Yes</t>
        </is>
      </c>
      <c r="V733" s="16" t="inlineStr">
        <is>
          <t>Yes</t>
        </is>
      </c>
      <c r="W733" s="16" t="inlineStr">
        <is>
          <t>Yes</t>
        </is>
      </c>
      <c r="X733" s="16" t="inlineStr">
        <is>
          <t>Yes</t>
        </is>
      </c>
      <c r="Y733" s="20" t="n">
        <v>104</v>
      </c>
      <c r="Z733" s="19" t="n">
        <v>0.4515999999999999</v>
      </c>
      <c r="AA733" s="18" t="n">
        <v>53.83</v>
      </c>
      <c r="AB733" s="16" t="inlineStr">
        <is>
          <t>Good</t>
        </is>
      </c>
      <c r="AC733" s="16" t="inlineStr">
        <is>
          <t>Yes</t>
        </is>
      </c>
      <c r="AD733" s="19" t="n">
        <v>0.1324</v>
      </c>
      <c r="AE733" s="19" t="n">
        <v>0.05889999999999999</v>
      </c>
      <c r="AF733" s="19" t="n">
        <v>0.198</v>
      </c>
      <c r="AG733" s="19" t="n">
        <v>0.628</v>
      </c>
      <c r="AH733" s="23" t="n">
        <v>2.43</v>
      </c>
      <c r="AI733" s="23" t="n">
        <v>11.22</v>
      </c>
      <c r="AJ733" s="19" t="n">
        <v>0</v>
      </c>
    </row>
    <row r="734">
      <c r="A734" s="16" t="inlineStr">
        <is>
          <t>INNOVACAP</t>
        </is>
      </c>
      <c r="B734" s="16" t="inlineStr">
        <is>
          <t>Innova Captab Ltd.</t>
        </is>
      </c>
      <c r="C734" s="16" t="inlineStr">
        <is>
          <t>Pharmaceuticals</t>
        </is>
      </c>
      <c r="D734" s="16" t="inlineStr">
        <is>
          <t>Pharmaceuticals &amp; Biotechnology</t>
        </is>
      </c>
      <c r="E734" s="16" t="inlineStr">
        <is>
          <t>INE0DUT01020</t>
        </is>
      </c>
      <c r="F734" s="17" t="n">
        <v>6726.21</v>
      </c>
      <c r="G734" s="18" t="n">
        <v>1175.4</v>
      </c>
      <c r="H734" s="19" t="n">
        <v>0.0444</v>
      </c>
      <c r="I734" s="20" t="n">
        <v>84</v>
      </c>
      <c r="J734" s="16" t="inlineStr">
        <is>
          <t>green</t>
        </is>
      </c>
      <c r="K734" s="20" t="n">
        <v>5</v>
      </c>
      <c r="L734" s="18" t="n">
        <v>73.03</v>
      </c>
      <c r="M734" s="18" t="n">
        <v>1082.94</v>
      </c>
      <c r="N734" s="18" t="n">
        <v>1005.95</v>
      </c>
      <c r="O734" s="18" t="n">
        <v>814.85</v>
      </c>
      <c r="P734" s="18" t="n">
        <v>1175.4</v>
      </c>
      <c r="Q734" s="18" t="n">
        <v>642.85</v>
      </c>
      <c r="R734" s="21">
        <f>IF(OR(G734="",P734=""),"",G734/P734-1)</f>
        <v/>
      </c>
      <c r="S734" s="19" t="n">
        <v>3.4279</v>
      </c>
      <c r="T734" s="22" t="n">
        <v>0.0354</v>
      </c>
      <c r="U734" s="16" t="inlineStr">
        <is>
          <t>Yes</t>
        </is>
      </c>
      <c r="V734" s="16" t="inlineStr">
        <is>
          <t>Yes</t>
        </is>
      </c>
      <c r="W734" s="16" t="inlineStr">
        <is>
          <t>Yes</t>
        </is>
      </c>
      <c r="X734" s="16" t="inlineStr">
        <is>
          <t>Yes</t>
        </is>
      </c>
      <c r="Y734" s="20" t="n">
        <v>71</v>
      </c>
      <c r="Z734" s="19" t="n">
        <v>0.2345</v>
      </c>
      <c r="AA734" s="18" t="n">
        <v>52.6</v>
      </c>
      <c r="AB734" s="16" t="inlineStr">
        <is>
          <t>Good</t>
        </is>
      </c>
      <c r="AC734" s="16" t="inlineStr">
        <is>
          <t>No</t>
        </is>
      </c>
      <c r="AD734" s="19" t="n">
        <v>0.1255</v>
      </c>
      <c r="AE734" s="19" t="n">
        <v>0.1388</v>
      </c>
      <c r="AF734" s="19" t="n">
        <v>0.2907</v>
      </c>
      <c r="AG734" s="19" t="n">
        <v>0.2031</v>
      </c>
      <c r="AH734" s="23" t="n">
        <v>0.32</v>
      </c>
      <c r="AI734" s="23" t="n">
        <v>1.88</v>
      </c>
      <c r="AJ734" s="19" t="n">
        <v>0.0329</v>
      </c>
    </row>
    <row r="735">
      <c r="A735" s="16" t="inlineStr">
        <is>
          <t>EMIL</t>
        </is>
      </c>
      <c r="B735" s="16" t="inlineStr">
        <is>
          <t>Electronics Mart India Ltd.</t>
        </is>
      </c>
      <c r="C735" s="16" t="inlineStr">
        <is>
          <t>Specialty Retail</t>
        </is>
      </c>
      <c r="D735" s="16" t="inlineStr">
        <is>
          <t>Retailing</t>
        </is>
      </c>
      <c r="E735" s="16" t="inlineStr">
        <is>
          <t>INE02YR01019</t>
        </is>
      </c>
      <c r="F735" s="17" t="n">
        <v>6684.63</v>
      </c>
      <c r="G735" s="18" t="n">
        <v>173.74</v>
      </c>
      <c r="H735" s="19" t="n">
        <v>-0.0137</v>
      </c>
      <c r="I735" s="20" t="n">
        <v>89</v>
      </c>
      <c r="J735" s="16" t="inlineStr">
        <is>
          <t>green</t>
        </is>
      </c>
      <c r="K735" s="20" t="n">
        <v>21</v>
      </c>
      <c r="L735" s="18" t="n">
        <v>23.38</v>
      </c>
      <c r="M735" s="18" t="n">
        <v>177.94</v>
      </c>
      <c r="N735" s="18" t="n">
        <v>153.38</v>
      </c>
      <c r="O735" s="18" t="n">
        <v>117.67</v>
      </c>
      <c r="P735" s="18" t="n">
        <v>193.61</v>
      </c>
      <c r="Q735" s="18" t="n">
        <v>85.58</v>
      </c>
      <c r="R735" s="21">
        <f>IF(OR(G735="",P735=""),"",G735/P735-1)</f>
        <v/>
      </c>
      <c r="S735" s="19" t="n">
        <v>0.1573</v>
      </c>
      <c r="T735" s="22" t="n">
        <v>0.0368</v>
      </c>
      <c r="U735" s="16" t="inlineStr">
        <is>
          <t>Yes</t>
        </is>
      </c>
      <c r="V735" s="16" t="inlineStr">
        <is>
          <t>Yes</t>
        </is>
      </c>
      <c r="W735" s="16" t="inlineStr">
        <is>
          <t>No</t>
        </is>
      </c>
      <c r="X735" s="16" t="inlineStr">
        <is>
          <t>Yes</t>
        </is>
      </c>
      <c r="Y735" s="20" t="n">
        <v>49</v>
      </c>
      <c r="Z735" s="19" t="n">
        <v>0.3035</v>
      </c>
      <c r="AA735" s="18" t="n">
        <v>32.7</v>
      </c>
      <c r="AB735" s="16" t="inlineStr">
        <is>
          <t>Poor</t>
        </is>
      </c>
      <c r="AC735" s="16" t="inlineStr">
        <is>
          <t>No</t>
        </is>
      </c>
      <c r="AD735" s="19" t="n">
        <v>0.1017</v>
      </c>
      <c r="AE735" s="19" t="n">
        <v>0.0989</v>
      </c>
      <c r="AF735" s="19" t="n">
        <v>-0.048</v>
      </c>
      <c r="AG735" s="19" t="n">
        <v>0.1224</v>
      </c>
      <c r="AH735" s="23" t="n">
        <v>1.23</v>
      </c>
      <c r="AI735" s="23" t="n">
        <v>3.69</v>
      </c>
      <c r="AJ735" s="19" t="n">
        <v>0.009899999999999999</v>
      </c>
    </row>
    <row r="736">
      <c r="A736" s="16" t="inlineStr">
        <is>
          <t>SKIPPER</t>
        </is>
      </c>
      <c r="B736" s="16" t="inlineStr">
        <is>
          <t>Skipper Ltd.</t>
        </is>
      </c>
      <c r="C736" s="16" t="inlineStr">
        <is>
          <t>Construction &amp; Engineering</t>
        </is>
      </c>
      <c r="D736" s="16" t="inlineStr">
        <is>
          <t>Cement and Construction</t>
        </is>
      </c>
      <c r="E736" s="16" t="inlineStr">
        <is>
          <t>INE439E01022</t>
        </is>
      </c>
      <c r="F736" s="17" t="n">
        <v>6673.76</v>
      </c>
      <c r="G736" s="18" t="n">
        <v>591.1</v>
      </c>
      <c r="H736" s="19" t="n">
        <v>0.0808</v>
      </c>
      <c r="I736" s="20" t="n">
        <v>71</v>
      </c>
      <c r="J736" s="16" t="inlineStr">
        <is>
          <t>amber</t>
        </is>
      </c>
      <c r="K736" s="20" t="n">
        <v>3</v>
      </c>
      <c r="L736" s="18" t="n">
        <v>68.2</v>
      </c>
      <c r="M736" s="18" t="n">
        <v>550.3099999999999</v>
      </c>
      <c r="N736" s="18" t="n">
        <v>543.01</v>
      </c>
      <c r="O736" s="18" t="n">
        <v>459.06</v>
      </c>
      <c r="P736" s="18" t="n">
        <v>591.1</v>
      </c>
      <c r="Q736" s="18" t="n">
        <v>330.4</v>
      </c>
      <c r="R736" s="21">
        <f>IF(OR(G736="",P736=""),"",G736/P736-1)</f>
        <v/>
      </c>
      <c r="S736" s="19" t="n">
        <v>9.2727</v>
      </c>
      <c r="T736" s="22" t="n">
        <v>0.0083</v>
      </c>
      <c r="U736" s="16" t="inlineStr">
        <is>
          <t>Yes</t>
        </is>
      </c>
      <c r="V736" s="16" t="inlineStr">
        <is>
          <t>Yes</t>
        </is>
      </c>
      <c r="W736" s="16" t="inlineStr">
        <is>
          <t>Yes</t>
        </is>
      </c>
      <c r="X736" s="16" t="inlineStr">
        <is>
          <t>Yes</t>
        </is>
      </c>
      <c r="Y736" s="20" t="n">
        <v>65</v>
      </c>
      <c r="Z736" s="19" t="n">
        <v>0.1829</v>
      </c>
      <c r="AA736" s="18" t="n">
        <v>62.43</v>
      </c>
      <c r="AB736" s="16" t="inlineStr">
        <is>
          <t>Good</t>
        </is>
      </c>
      <c r="AC736" s="16" t="inlineStr">
        <is>
          <t>No</t>
        </is>
      </c>
      <c r="AD736" s="19" t="n">
        <v>0.1197</v>
      </c>
      <c r="AE736" s="19" t="n">
        <v>0.1969</v>
      </c>
      <c r="AF736" s="19" t="n">
        <v>0.8157</v>
      </c>
      <c r="AG736" s="19" t="n">
        <v>0.4246</v>
      </c>
      <c r="AH736" s="23" t="n">
        <v>0.64</v>
      </c>
      <c r="AI736" s="23" t="n">
        <v>3.87</v>
      </c>
      <c r="AJ736" s="19" t="n">
        <v>0.1904</v>
      </c>
    </row>
    <row r="737">
      <c r="A737" s="16" t="inlineStr">
        <is>
          <t>TCI</t>
        </is>
      </c>
      <c r="B737" s="16" t="inlineStr">
        <is>
          <t>Transport Corporation of India Ltd.</t>
        </is>
      </c>
      <c r="C737" s="16" t="inlineStr">
        <is>
          <t>Surface Transportation</t>
        </is>
      </c>
      <c r="D737" s="16" t="inlineStr">
        <is>
          <t>Transportation</t>
        </is>
      </c>
      <c r="E737" s="16" t="inlineStr">
        <is>
          <t>INE688A01022</t>
        </is>
      </c>
      <c r="F737" s="17" t="n">
        <v>6670.48</v>
      </c>
      <c r="G737" s="18" t="n">
        <v>868.2</v>
      </c>
      <c r="H737" s="19" t="n">
        <v>-0.0031</v>
      </c>
      <c r="I737" s="20" t="n">
        <v>13</v>
      </c>
      <c r="J737" s="16" t="inlineStr">
        <is>
          <t>red</t>
        </is>
      </c>
      <c r="K737" s="20" t="n">
        <v>109</v>
      </c>
      <c r="L737" s="18" t="n">
        <v>30.52</v>
      </c>
      <c r="M737" s="18" t="n">
        <v>881</v>
      </c>
      <c r="N737" s="18" t="n">
        <v>916.98</v>
      </c>
      <c r="O737" s="18" t="n">
        <v>974.74</v>
      </c>
      <c r="P737" s="18" t="n">
        <v>1216.35</v>
      </c>
      <c r="Q737" s="18" t="n">
        <v>868</v>
      </c>
      <c r="R737" s="21">
        <f>IF(OR(G737="",P737=""),"",G737/P737-1)</f>
        <v/>
      </c>
      <c r="S737" s="19" t="n">
        <v>0.5785</v>
      </c>
      <c r="T737" s="22" t="n">
        <v>-0.0255</v>
      </c>
      <c r="U737" s="16" t="inlineStr">
        <is>
          <t>No</t>
        </is>
      </c>
      <c r="V737" s="16" t="inlineStr">
        <is>
          <t>No</t>
        </is>
      </c>
      <c r="W737" s="16" t="inlineStr">
        <is>
          <t>No</t>
        </is>
      </c>
      <c r="X737" s="16" t="inlineStr">
        <is>
          <t>No</t>
        </is>
      </c>
      <c r="Y737" s="20" t="n">
        <v>178</v>
      </c>
      <c r="Z737" s="19" t="n">
        <v>-0.0593</v>
      </c>
      <c r="AA737" s="18" t="n">
        <v>60.7</v>
      </c>
      <c r="AB737" s="16" t="inlineStr">
        <is>
          <t>Good</t>
        </is>
      </c>
      <c r="AC737" s="16" t="inlineStr">
        <is>
          <t>No</t>
        </is>
      </c>
      <c r="AD737" s="19" t="n">
        <v>0.1814</v>
      </c>
      <c r="AE737" s="19" t="n">
        <v>0.1876</v>
      </c>
      <c r="AF737" s="19" t="n">
        <v>0.1335</v>
      </c>
      <c r="AG737" s="19" t="n">
        <v>0.0916</v>
      </c>
      <c r="AH737" s="23" t="n">
        <v>0.12</v>
      </c>
      <c r="AI737" s="23" t="n">
        <v>3.14</v>
      </c>
      <c r="AJ737" s="19" t="n">
        <v>0.2437</v>
      </c>
    </row>
    <row r="738">
      <c r="A738" s="16" t="inlineStr">
        <is>
          <t>AJAXENGG</t>
        </is>
      </c>
      <c r="B738" s="16" t="inlineStr">
        <is>
          <t>Ajax Engineering Ltd.</t>
        </is>
      </c>
      <c r="C738" s="16" t="inlineStr">
        <is>
          <t>Commercial Vehicles</t>
        </is>
      </c>
      <c r="D738" s="16" t="inlineStr">
        <is>
          <t>Automobiles &amp; Auto Components</t>
        </is>
      </c>
      <c r="E738" s="16" t="inlineStr">
        <is>
          <t>INE274Y01021</t>
        </is>
      </c>
      <c r="F738" s="17" t="n">
        <v>6663.89</v>
      </c>
      <c r="G738" s="18" t="n">
        <v>582.45</v>
      </c>
      <c r="H738" s="19" t="n">
        <v>0.004699999999999999</v>
      </c>
      <c r="I738" s="20" t="n">
        <v>36</v>
      </c>
      <c r="J738" s="16" t="inlineStr">
        <is>
          <t>red</t>
        </is>
      </c>
      <c r="K738" s="20" t="n">
        <v>37</v>
      </c>
      <c r="L738" s="18" t="n">
        <v>59.95</v>
      </c>
      <c r="M738" s="18" t="n">
        <v>576.62</v>
      </c>
      <c r="N738" s="18" t="n">
        <v>570.62</v>
      </c>
      <c r="O738" s="18" t="n">
        <v>548.0599999999999</v>
      </c>
      <c r="P738" s="18" t="n">
        <v>688.1</v>
      </c>
      <c r="Q738" s="18" t="n">
        <v>404.1</v>
      </c>
      <c r="R738" s="21">
        <f>IF(OR(G738="",P738=""),"",G738/P738-1)</f>
        <v/>
      </c>
      <c r="S738" s="19" t="n">
        <v>1.0316</v>
      </c>
      <c r="T738" s="22" t="n">
        <v>-0.0066</v>
      </c>
      <c r="U738" s="16" t="inlineStr">
        <is>
          <t>No</t>
        </is>
      </c>
      <c r="V738" s="16" t="inlineStr">
        <is>
          <t>Yes</t>
        </is>
      </c>
      <c r="W738" s="16" t="inlineStr">
        <is>
          <t>Yes</t>
        </is>
      </c>
      <c r="X738" s="16" t="inlineStr">
        <is>
          <t>Yes</t>
        </is>
      </c>
      <c r="Y738" s="20" t="n">
        <v>39</v>
      </c>
      <c r="Z738" s="19" t="n">
        <v>0.0412</v>
      </c>
      <c r="AA738" s="18" t="n">
        <v>81.31</v>
      </c>
      <c r="AB738" s="16" t="inlineStr">
        <is>
          <t>High</t>
        </is>
      </c>
      <c r="AC738" s="16" t="inlineStr">
        <is>
          <t>No</t>
        </is>
      </c>
      <c r="AD738" s="19" t="n">
        <v>0.2106</v>
      </c>
      <c r="AE738" s="19" t="n">
        <v>0.2699</v>
      </c>
      <c r="AF738" s="19" t="n">
        <v>0.2225</v>
      </c>
      <c r="AG738" s="19" t="n">
        <v>0.2397</v>
      </c>
      <c r="AH738" s="23" t="n">
        <v>0</v>
      </c>
      <c r="AI738" s="23" t="n">
        <v>9.74</v>
      </c>
      <c r="AJ738" s="19" t="n">
        <v>0.162</v>
      </c>
    </row>
    <row r="739">
      <c r="A739" s="16" t="inlineStr">
        <is>
          <t>REDTAPE</t>
        </is>
      </c>
      <c r="B739" s="16" t="inlineStr">
        <is>
          <t>Redtape Ltd.</t>
        </is>
      </c>
      <c r="C739" s="16" t="inlineStr">
        <is>
          <t>Footwear</t>
        </is>
      </c>
      <c r="D739" s="16" t="inlineStr">
        <is>
          <t>Retailing</t>
        </is>
      </c>
      <c r="E739" s="16" t="inlineStr">
        <is>
          <t>INE0LXT01019</t>
        </is>
      </c>
      <c r="F739" s="17" t="n">
        <v>6657.46</v>
      </c>
      <c r="G739" s="18" t="n">
        <v>120.43</v>
      </c>
      <c r="H739" s="19" t="n">
        <v>0.0251</v>
      </c>
      <c r="I739" s="20" t="n">
        <v>29</v>
      </c>
      <c r="J739" s="16" t="inlineStr">
        <is>
          <t>red</t>
        </is>
      </c>
      <c r="K739" s="20" t="n">
        <v>65</v>
      </c>
      <c r="L739" s="18" t="n">
        <v>47.65</v>
      </c>
      <c r="M739" s="18" t="n">
        <v>122.01</v>
      </c>
      <c r="N739" s="18" t="n">
        <v>128.58</v>
      </c>
      <c r="O739" s="18" t="n">
        <v>125.09</v>
      </c>
      <c r="P739" s="18" t="n">
        <v>158.71</v>
      </c>
      <c r="Q739" s="18" t="n">
        <v>108.12</v>
      </c>
      <c r="R739" s="21">
        <f>IF(OR(G739="",P739=""),"",G739/P739-1)</f>
        <v/>
      </c>
      <c r="S739" s="19" t="n">
        <v>0.8895000000000001</v>
      </c>
      <c r="T739" s="22" t="n">
        <v>-0.0073</v>
      </c>
      <c r="U739" s="16" t="inlineStr">
        <is>
          <t>No</t>
        </is>
      </c>
      <c r="V739" s="16" t="inlineStr">
        <is>
          <t>No</t>
        </is>
      </c>
      <c r="W739" s="16" t="inlineStr">
        <is>
          <t>No</t>
        </is>
      </c>
      <c r="X739" s="16" t="inlineStr">
        <is>
          <t>Yes</t>
        </is>
      </c>
      <c r="Y739" s="20" t="n">
        <v>62</v>
      </c>
      <c r="Z739" s="19" t="n">
        <v>0.0279</v>
      </c>
      <c r="AA739" s="18" t="n">
        <v>40</v>
      </c>
      <c r="AB739" s="16" t="inlineStr">
        <is>
          <t>Weak</t>
        </is>
      </c>
      <c r="AC739" s="16" t="inlineStr">
        <is>
          <t>No</t>
        </is>
      </c>
      <c r="AD739" s="19" t="n">
        <v>0.2409</v>
      </c>
      <c r="AE739" s="19" t="n">
        <v>0.2174</v>
      </c>
      <c r="AF739" s="19" t="n">
        <v>-0.2644</v>
      </c>
      <c r="AG739" s="19" t="n">
        <v>0.1849</v>
      </c>
      <c r="AH739" s="23" t="n">
        <v>0.7</v>
      </c>
      <c r="AI739" s="23" t="n">
        <v>3.15</v>
      </c>
      <c r="AJ739" s="19" t="n">
        <v>0.033</v>
      </c>
    </row>
    <row r="740">
      <c r="A740" s="16" t="inlineStr">
        <is>
          <t>POWERICA</t>
        </is>
      </c>
      <c r="B740" s="16" t="inlineStr">
        <is>
          <t>Powerica Ltd.</t>
        </is>
      </c>
      <c r="C740" s="16" t="inlineStr">
        <is>
          <t>Industrial Machinery</t>
        </is>
      </c>
      <c r="D740" s="16" t="inlineStr">
        <is>
          <t>General Industrials</t>
        </is>
      </c>
      <c r="E740" s="16" t="inlineStr">
        <is>
          <t>INE921L01032</t>
        </is>
      </c>
      <c r="F740" s="17" t="n">
        <v>6644.61</v>
      </c>
      <c r="G740" s="18" t="n">
        <v>525.05</v>
      </c>
      <c r="H740" s="19" t="n">
        <v>0.0236</v>
      </c>
      <c r="I740" s="20" t="n">
        <v>53</v>
      </c>
      <c r="J740" s="16" t="inlineStr">
        <is>
          <t>red</t>
        </is>
      </c>
      <c r="K740" s="20" t="n">
        <v>28</v>
      </c>
      <c r="L740" s="18" t="n">
        <v>36.49</v>
      </c>
      <c r="M740" s="18" t="n">
        <v>516.5700000000001</v>
      </c>
      <c r="N740" s="18" t="n">
        <v>549.58</v>
      </c>
      <c r="O740" s="18" t="n"/>
      <c r="P740" s="18" t="n">
        <v>661.85</v>
      </c>
      <c r="Q740" s="18" t="n">
        <v>390</v>
      </c>
      <c r="R740" s="21">
        <f>IF(OR(G740="",P740=""),"",G740/P740-1)</f>
        <v/>
      </c>
      <c r="S740" s="19" t="n">
        <v>1.6817</v>
      </c>
      <c r="T740" s="22" t="n"/>
      <c r="U740" s="16" t="n"/>
      <c r="V740" s="16" t="inlineStr">
        <is>
          <t>No</t>
        </is>
      </c>
      <c r="W740" s="16" t="inlineStr">
        <is>
          <t>Yes</t>
        </is>
      </c>
      <c r="X740" s="16" t="n"/>
      <c r="Y740" s="20" t="n"/>
      <c r="Z740" s="19" t="n"/>
      <c r="AA740" s="18" t="n">
        <v>55.94</v>
      </c>
      <c r="AB740" s="16" t="inlineStr">
        <is>
          <t>Good</t>
        </is>
      </c>
      <c r="AC740" s="16" t="inlineStr">
        <is>
          <t>No</t>
        </is>
      </c>
      <c r="AD740" s="19" t="n">
        <v>0.1786</v>
      </c>
      <c r="AE740" s="19" t="n">
        <v>0.2417</v>
      </c>
      <c r="AF740" s="19" t="n">
        <v>0.063</v>
      </c>
      <c r="AG740" s="19" t="n">
        <v>0.06660000000000001</v>
      </c>
      <c r="AH740" s="23" t="n">
        <v>0.29</v>
      </c>
      <c r="AI740" s="23" t="n">
        <v>2.19</v>
      </c>
      <c r="AJ740" s="19" t="n">
        <v>0.2937</v>
      </c>
    </row>
    <row r="741">
      <c r="A741" s="16" t="inlineStr">
        <is>
          <t>TFCILTD</t>
        </is>
      </c>
      <c r="B741" s="16" t="inlineStr">
        <is>
          <t>Tourism Finance Corporation of India Ltd.</t>
        </is>
      </c>
      <c r="C741" s="16" t="inlineStr">
        <is>
          <t>Financial Institutions</t>
        </is>
      </c>
      <c r="D741" s="16" t="inlineStr">
        <is>
          <t>Banking and Finance</t>
        </is>
      </c>
      <c r="E741" s="16" t="inlineStr">
        <is>
          <t>INE305A01023</t>
        </is>
      </c>
      <c r="F741" s="17" t="n">
        <v>6632.61</v>
      </c>
      <c r="G741" s="18" t="n">
        <v>143.26</v>
      </c>
      <c r="H741" s="19" t="n">
        <v>-0.0235</v>
      </c>
      <c r="I741" s="20" t="n">
        <v>96</v>
      </c>
      <c r="J741" s="16" t="inlineStr">
        <is>
          <t>green</t>
        </is>
      </c>
      <c r="K741" s="20" t="n">
        <v>31</v>
      </c>
      <c r="L741" s="18" t="n">
        <v>78.64</v>
      </c>
      <c r="M741" s="18" t="n">
        <v>142.56</v>
      </c>
      <c r="N741" s="18" t="n">
        <v>105.22</v>
      </c>
      <c r="O741" s="18" t="n">
        <v>78.34</v>
      </c>
      <c r="P741" s="18" t="n">
        <v>146.71</v>
      </c>
      <c r="Q741" s="18" t="n">
        <v>54.95</v>
      </c>
      <c r="R741" s="21">
        <f>IF(OR(G741="",P741=""),"",G741/P741-1)</f>
        <v/>
      </c>
      <c r="S741" s="19" t="n">
        <v>0.4739</v>
      </c>
      <c r="T741" s="22" t="n">
        <v>0.08650000000000001</v>
      </c>
      <c r="U741" s="16" t="inlineStr">
        <is>
          <t>Yes</t>
        </is>
      </c>
      <c r="V741" s="16" t="inlineStr">
        <is>
          <t>Yes</t>
        </is>
      </c>
      <c r="W741" s="16" t="inlineStr">
        <is>
          <t>Yes</t>
        </is>
      </c>
      <c r="X741" s="16" t="inlineStr">
        <is>
          <t>Yes</t>
        </is>
      </c>
      <c r="Y741" s="20" t="n">
        <v>336</v>
      </c>
      <c r="Z741" s="19" t="n">
        <v>0.3432</v>
      </c>
      <c r="AA741" s="18" t="n">
        <v>34.22</v>
      </c>
      <c r="AB741" s="16" t="inlineStr">
        <is>
          <t>Poor</t>
        </is>
      </c>
      <c r="AC741" s="16" t="inlineStr">
        <is>
          <t>Yes</t>
        </is>
      </c>
      <c r="AD741" s="19" t="n">
        <v>0.0876</v>
      </c>
      <c r="AE741" s="19" t="n">
        <v>0.07530000000000001</v>
      </c>
      <c r="AF741" s="19" t="n">
        <v>0.1123</v>
      </c>
      <c r="AG741" s="19" t="n">
        <v>0.062</v>
      </c>
      <c r="AH741" s="23" t="n">
        <v>0.82</v>
      </c>
      <c r="AI741" s="23" t="n">
        <v>20.45</v>
      </c>
      <c r="AJ741" s="19" t="n">
        <v>0</v>
      </c>
    </row>
    <row r="742">
      <c r="A742" s="16" t="inlineStr">
        <is>
          <t>KOVAI</t>
        </is>
      </c>
      <c r="B742" s="16" t="inlineStr">
        <is>
          <t>Kovai Medical Center and Hospital Ltd.</t>
        </is>
      </c>
      <c r="C742" s="16" t="inlineStr">
        <is>
          <t>Healthcare Services</t>
        </is>
      </c>
      <c r="D742" s="16" t="inlineStr">
        <is>
          <t>Healthcare</t>
        </is>
      </c>
      <c r="E742" s="16" t="inlineStr">
        <is>
          <t>INE177F01017</t>
        </is>
      </c>
      <c r="F742" s="17" t="n">
        <v>6623.92</v>
      </c>
      <c r="G742" s="18" t="n">
        <v>6053.5</v>
      </c>
      <c r="H742" s="19" t="n">
        <v>-0.0069</v>
      </c>
      <c r="I742" s="20" t="n">
        <v>52</v>
      </c>
      <c r="J742" s="16" t="inlineStr">
        <is>
          <t>red</t>
        </is>
      </c>
      <c r="K742" s="20" t="n">
        <v>110</v>
      </c>
      <c r="L742" s="18" t="n">
        <v>46.34</v>
      </c>
      <c r="M742" s="18" t="n">
        <v>6054.98</v>
      </c>
      <c r="N742" s="18" t="n">
        <v>5954.21</v>
      </c>
      <c r="O742" s="18" t="n">
        <v>5651.34</v>
      </c>
      <c r="P742" s="18" t="n">
        <v>6668.44</v>
      </c>
      <c r="Q742" s="18" t="n">
        <v>5010.14</v>
      </c>
      <c r="R742" s="21">
        <f>IF(OR(G742="",P742=""),"",G742/P742-1)</f>
        <v/>
      </c>
      <c r="S742" s="19" t="n">
        <v>0.3488</v>
      </c>
      <c r="T742" s="22" t="n">
        <v>-0.008699999999999999</v>
      </c>
      <c r="U742" s="16" t="inlineStr">
        <is>
          <t>No</t>
        </is>
      </c>
      <c r="V742" s="16" t="inlineStr">
        <is>
          <t>Yes</t>
        </is>
      </c>
      <c r="W742" s="16" t="inlineStr">
        <is>
          <t>No</t>
        </is>
      </c>
      <c r="X742" s="16" t="inlineStr">
        <is>
          <t>Yes</t>
        </is>
      </c>
      <c r="Y742" s="20" t="n">
        <v>30</v>
      </c>
      <c r="Z742" s="19" t="n">
        <v>0.0536</v>
      </c>
      <c r="AA742" s="18" t="n"/>
      <c r="AB742" s="16" t="n"/>
      <c r="AC742" s="16" t="inlineStr">
        <is>
          <t>No</t>
        </is>
      </c>
      <c r="AD742" s="19" t="n"/>
      <c r="AE742" s="19" t="n"/>
      <c r="AF742" s="19" t="n"/>
      <c r="AG742" s="19" t="n"/>
      <c r="AH742" s="23" t="n"/>
      <c r="AI742" s="23" t="n"/>
      <c r="AJ742" s="19" t="n"/>
    </row>
    <row r="743">
      <c r="A743" s="16" t="inlineStr">
        <is>
          <t>LEAPIND</t>
        </is>
      </c>
      <c r="B743" s="16" t="inlineStr">
        <is>
          <t>LEAP India Ltd.</t>
        </is>
      </c>
      <c r="C743" s="16" t="inlineStr">
        <is>
          <t>Warehousing &amp; Logistics</t>
        </is>
      </c>
      <c r="D743" s="16" t="inlineStr">
        <is>
          <t>Transportation</t>
        </is>
      </c>
      <c r="E743" s="16" t="inlineStr">
        <is>
          <t>INE00GO01025</t>
        </is>
      </c>
      <c r="F743" s="17" t="n">
        <v>6619.5</v>
      </c>
      <c r="G743" s="18" t="n">
        <v>150.26</v>
      </c>
      <c r="H743" s="19" t="n">
        <v>-0.0141</v>
      </c>
      <c r="I743" s="20" t="n"/>
      <c r="J743" s="16" t="n"/>
      <c r="K743" s="20" t="n"/>
      <c r="L743" s="18" t="n">
        <v>44.66</v>
      </c>
      <c r="M743" s="18" t="n">
        <v>159.68</v>
      </c>
      <c r="N743" s="18" t="n"/>
      <c r="O743" s="18" t="n"/>
      <c r="P743" s="18" t="n">
        <v>168.4</v>
      </c>
      <c r="Q743" s="18" t="n">
        <v>144.93</v>
      </c>
      <c r="R743" s="21">
        <f>IF(OR(G743="",P743=""),"",G743/P743-1)</f>
        <v/>
      </c>
      <c r="S743" s="19" t="n">
        <v>0.3331</v>
      </c>
      <c r="T743" s="22" t="n"/>
      <c r="U743" s="16" t="n"/>
      <c r="V743" s="16" t="n"/>
      <c r="W743" s="16" t="inlineStr">
        <is>
          <t>No</t>
        </is>
      </c>
      <c r="X743" s="16" t="n"/>
      <c r="Y743" s="20" t="n"/>
      <c r="Z743" s="19" t="n"/>
      <c r="AA743" s="18" t="n"/>
      <c r="AB743" s="16" t="n"/>
      <c r="AC743" s="16" t="inlineStr">
        <is>
          <t>No</t>
        </is>
      </c>
      <c r="AD743" s="19" t="n"/>
      <c r="AE743" s="19" t="n"/>
      <c r="AF743" s="19" t="n"/>
      <c r="AG743" s="19" t="n"/>
      <c r="AH743" s="23" t="n"/>
      <c r="AI743" s="23" t="n"/>
      <c r="AJ743" s="19" t="n"/>
    </row>
    <row r="744">
      <c r="A744" s="16" t="inlineStr">
        <is>
          <t>SENORES</t>
        </is>
      </c>
      <c r="B744" s="16" t="inlineStr">
        <is>
          <t>Senores Pharmaceuticals Ltd.</t>
        </is>
      </c>
      <c r="C744" s="16" t="inlineStr">
        <is>
          <t>Pharmaceuticals</t>
        </is>
      </c>
      <c r="D744" s="16" t="inlineStr">
        <is>
          <t>Pharmaceuticals &amp; Biotechnology</t>
        </is>
      </c>
      <c r="E744" s="16" t="inlineStr">
        <is>
          <t>INE0RB801010</t>
        </is>
      </c>
      <c r="F744" s="17" t="n">
        <v>6578.3</v>
      </c>
      <c r="G744" s="18" t="n">
        <v>1428.4</v>
      </c>
      <c r="H744" s="19" t="n">
        <v>-0.0014</v>
      </c>
      <c r="I744" s="20" t="n">
        <v>91</v>
      </c>
      <c r="J744" s="16" t="inlineStr">
        <is>
          <t>green</t>
        </is>
      </c>
      <c r="K744" s="20" t="n">
        <v>122</v>
      </c>
      <c r="L744" s="18" t="n">
        <v>25.18</v>
      </c>
      <c r="M744" s="18" t="n">
        <v>1455.9</v>
      </c>
      <c r="N744" s="18" t="n">
        <v>1417.39</v>
      </c>
      <c r="O744" s="18" t="n">
        <v>1018.91</v>
      </c>
      <c r="P744" s="18" t="n">
        <v>1550.9</v>
      </c>
      <c r="Q744" s="18" t="n">
        <v>673.6</v>
      </c>
      <c r="R744" s="21">
        <f>IF(OR(G744="",P744=""),"",G744/P744-1)</f>
        <v/>
      </c>
      <c r="S744" s="19" t="n">
        <v>0.4698</v>
      </c>
      <c r="T744" s="22" t="n">
        <v>0.0742</v>
      </c>
      <c r="U744" s="16" t="inlineStr">
        <is>
          <t>Yes</t>
        </is>
      </c>
      <c r="V744" s="16" t="inlineStr">
        <is>
          <t>Yes</t>
        </is>
      </c>
      <c r="W744" s="16" t="inlineStr">
        <is>
          <t>No</t>
        </is>
      </c>
      <c r="X744" s="16" t="inlineStr">
        <is>
          <t>Yes</t>
        </is>
      </c>
      <c r="Y744" s="20" t="n">
        <v>223</v>
      </c>
      <c r="Z744" s="19" t="n">
        <v>0.3911</v>
      </c>
      <c r="AA744" s="18" t="n">
        <v>55.1</v>
      </c>
      <c r="AB744" s="16" t="inlineStr">
        <is>
          <t>Good</t>
        </is>
      </c>
      <c r="AC744" s="16" t="inlineStr">
        <is>
          <t>No</t>
        </is>
      </c>
      <c r="AD744" s="19" t="n">
        <v>0.1174</v>
      </c>
      <c r="AE744" s="19" t="n">
        <v>0.1001</v>
      </c>
      <c r="AF744" s="19" t="n">
        <v>1.5765</v>
      </c>
      <c r="AG744" s="19" t="n">
        <v>2.148</v>
      </c>
      <c r="AH744" s="23" t="n">
        <v>0.37</v>
      </c>
      <c r="AI744" s="23" t="n">
        <v>1.74</v>
      </c>
      <c r="AJ744" s="19" t="n">
        <v>0.0481</v>
      </c>
    </row>
    <row r="745">
      <c r="A745" s="16" t="inlineStr">
        <is>
          <t>SUPRAJIT</t>
        </is>
      </c>
      <c r="B745" s="16" t="inlineStr">
        <is>
          <t>Suprajit Engineering Ltd.</t>
        </is>
      </c>
      <c r="C745" s="16" t="inlineStr">
        <is>
          <t>Auto Parts &amp; Equipment</t>
        </is>
      </c>
      <c r="D745" s="16" t="inlineStr">
        <is>
          <t>Automobiles &amp; Auto Components</t>
        </is>
      </c>
      <c r="E745" s="16" t="inlineStr">
        <is>
          <t>INE399C01030</t>
        </is>
      </c>
      <c r="F745" s="17" t="n">
        <v>6577.06</v>
      </c>
      <c r="G745" s="18" t="n">
        <v>479.45</v>
      </c>
      <c r="H745" s="19" t="n">
        <v>-0.0209</v>
      </c>
      <c r="I745" s="20" t="n">
        <v>49</v>
      </c>
      <c r="J745" s="16" t="inlineStr">
        <is>
          <t>red</t>
        </is>
      </c>
      <c r="K745" s="20" t="n">
        <v>10</v>
      </c>
      <c r="L745" s="18" t="n">
        <v>23.11</v>
      </c>
      <c r="M745" s="18" t="n">
        <v>498.05</v>
      </c>
      <c r="N745" s="18" t="n">
        <v>498.01</v>
      </c>
      <c r="O745" s="18" t="n">
        <v>454.01</v>
      </c>
      <c r="P745" s="18" t="n">
        <v>529.14</v>
      </c>
      <c r="Q745" s="18" t="n">
        <v>395.67</v>
      </c>
      <c r="R745" s="21">
        <f>IF(OR(G745="",P745=""),"",G745/P745-1)</f>
        <v/>
      </c>
      <c r="S745" s="19" t="n">
        <v>0.4211</v>
      </c>
      <c r="T745" s="22" t="n">
        <v>0.0145</v>
      </c>
      <c r="U745" s="16" t="inlineStr">
        <is>
          <t>Yes</t>
        </is>
      </c>
      <c r="V745" s="16" t="inlineStr">
        <is>
          <t>No</t>
        </is>
      </c>
      <c r="W745" s="16" t="inlineStr">
        <is>
          <t>No</t>
        </is>
      </c>
      <c r="X745" s="16" t="inlineStr">
        <is>
          <t>Yes</t>
        </is>
      </c>
      <c r="Y745" s="20" t="n">
        <v>50</v>
      </c>
      <c r="Z745" s="19" t="n">
        <v>0.0969</v>
      </c>
      <c r="AA745" s="18" t="n">
        <v>37.63</v>
      </c>
      <c r="AB745" s="16" t="inlineStr">
        <is>
          <t>Weak</t>
        </is>
      </c>
      <c r="AC745" s="16" t="inlineStr">
        <is>
          <t>No</t>
        </is>
      </c>
      <c r="AD745" s="19" t="n">
        <v>0.1091</v>
      </c>
      <c r="AE745" s="19" t="n">
        <v>0.1344</v>
      </c>
      <c r="AF745" s="19" t="n">
        <v>-0.4352</v>
      </c>
      <c r="AG745" s="19" t="n">
        <v>0.1175</v>
      </c>
      <c r="AH745" s="23" t="n">
        <v>0.6899999999999999</v>
      </c>
      <c r="AI745" s="23" t="n">
        <v>4.24</v>
      </c>
      <c r="AJ745" s="19" t="n">
        <v>0.04</v>
      </c>
    </row>
    <row r="746">
      <c r="A746" s="16" t="inlineStr">
        <is>
          <t>VMART</t>
        </is>
      </c>
      <c r="B746" s="16" t="inlineStr">
        <is>
          <t>V-Mart Retail Ltd.</t>
        </is>
      </c>
      <c r="C746" s="16" t="inlineStr">
        <is>
          <t>Department Stores</t>
        </is>
      </c>
      <c r="D746" s="16" t="inlineStr">
        <is>
          <t>Retailing</t>
        </is>
      </c>
      <c r="E746" s="16" t="inlineStr">
        <is>
          <t>INE665J01013</t>
        </is>
      </c>
      <c r="F746" s="17" t="n">
        <v>6558.6</v>
      </c>
      <c r="G746" s="18" t="n">
        <v>824.2</v>
      </c>
      <c r="H746" s="19" t="n">
        <v>-0.0178</v>
      </c>
      <c r="I746" s="20" t="n">
        <v>70</v>
      </c>
      <c r="J746" s="16" t="inlineStr">
        <is>
          <t>amber</t>
        </is>
      </c>
      <c r="K746" s="20" t="n">
        <v>28</v>
      </c>
      <c r="L746" s="18" t="n">
        <v>59.14</v>
      </c>
      <c r="M746" s="18" t="n">
        <v>839.88</v>
      </c>
      <c r="N746" s="18" t="n">
        <v>792.71</v>
      </c>
      <c r="O746" s="18" t="n">
        <v>686.42</v>
      </c>
      <c r="P746" s="18" t="n">
        <v>880.17</v>
      </c>
      <c r="Q746" s="18" t="n">
        <v>476.56</v>
      </c>
      <c r="R746" s="21">
        <f>IF(OR(G746="",P746=""),"",G746/P746-1)</f>
        <v/>
      </c>
      <c r="S746" s="19" t="n">
        <v>0.5614</v>
      </c>
      <c r="T746" s="22" t="n">
        <v>-0.0009</v>
      </c>
      <c r="U746" s="16" t="inlineStr">
        <is>
          <t>No</t>
        </is>
      </c>
      <c r="V746" s="16" t="inlineStr">
        <is>
          <t>Yes</t>
        </is>
      </c>
      <c r="W746" s="16" t="inlineStr">
        <is>
          <t>No</t>
        </is>
      </c>
      <c r="X746" s="16" t="inlineStr">
        <is>
          <t>Yes</t>
        </is>
      </c>
      <c r="Y746" s="20" t="n">
        <v>46</v>
      </c>
      <c r="Z746" s="19" t="n">
        <v>0.1548</v>
      </c>
      <c r="AA746" s="18" t="n">
        <v>23.9</v>
      </c>
      <c r="AB746" s="16" t="inlineStr">
        <is>
          <t>Poor</t>
        </is>
      </c>
      <c r="AC746" s="16" t="inlineStr">
        <is>
          <t>No</t>
        </is>
      </c>
      <c r="AD746" s="19" t="n">
        <v>0.0191</v>
      </c>
      <c r="AE746" s="19" t="n">
        <v>0.0795</v>
      </c>
      <c r="AF746" s="19" t="n">
        <v>-2.723</v>
      </c>
      <c r="AG746" s="19" t="n">
        <v>0.1549</v>
      </c>
      <c r="AH746" s="23" t="n">
        <v>1.01</v>
      </c>
      <c r="AI746" s="23" t="n">
        <v>2.82</v>
      </c>
      <c r="AJ746" s="19" t="n">
        <v>0.0071</v>
      </c>
    </row>
    <row r="747">
      <c r="A747" s="16" t="inlineStr">
        <is>
          <t>DBL</t>
        </is>
      </c>
      <c r="B747" s="16" t="inlineStr">
        <is>
          <t>Dilip Buildcon Ltd.</t>
        </is>
      </c>
      <c r="C747" s="16" t="inlineStr">
        <is>
          <t>Roads &amp; Highways</t>
        </is>
      </c>
      <c r="D747" s="16" t="inlineStr">
        <is>
          <t>Cement and Construction</t>
        </is>
      </c>
      <c r="E747" s="16" t="inlineStr">
        <is>
          <t>INE917M01012</t>
        </is>
      </c>
      <c r="F747" s="17" t="n">
        <v>6514.04</v>
      </c>
      <c r="G747" s="18" t="n">
        <v>401</v>
      </c>
      <c r="H747" s="19" t="n">
        <v>0.0061</v>
      </c>
      <c r="I747" s="20" t="n">
        <v>20</v>
      </c>
      <c r="J747" s="16" t="inlineStr">
        <is>
          <t>red</t>
        </is>
      </c>
      <c r="K747" s="20" t="n">
        <v>119</v>
      </c>
      <c r="L747" s="18" t="n">
        <v>23.2</v>
      </c>
      <c r="M747" s="18" t="n">
        <v>402.84</v>
      </c>
      <c r="N747" s="18" t="n">
        <v>422.45</v>
      </c>
      <c r="O747" s="18" t="n">
        <v>440.93</v>
      </c>
      <c r="P747" s="18" t="n">
        <v>575.45</v>
      </c>
      <c r="Q747" s="18" t="n">
        <v>386.15</v>
      </c>
      <c r="R747" s="21">
        <f>IF(OR(G747="",P747=""),"",G747/P747-1)</f>
        <v/>
      </c>
      <c r="S747" s="19" t="n">
        <v>0.1464</v>
      </c>
      <c r="T747" s="22" t="n">
        <v>-0.0157</v>
      </c>
      <c r="U747" s="16" t="inlineStr">
        <is>
          <t>No</t>
        </is>
      </c>
      <c r="V747" s="16" t="inlineStr">
        <is>
          <t>No</t>
        </is>
      </c>
      <c r="W747" s="16" t="inlineStr">
        <is>
          <t>No</t>
        </is>
      </c>
      <c r="X747" s="16" t="inlineStr">
        <is>
          <t>No</t>
        </is>
      </c>
      <c r="Y747" s="20" t="n">
        <v>183</v>
      </c>
      <c r="Z747" s="19" t="n">
        <v>-0.04190000000000001</v>
      </c>
      <c r="AA747" s="18" t="n">
        <v>45.36</v>
      </c>
      <c r="AB747" s="16" t="inlineStr">
        <is>
          <t>Average</t>
        </is>
      </c>
      <c r="AC747" s="16" t="inlineStr">
        <is>
          <t>No</t>
        </is>
      </c>
      <c r="AD747" s="19" t="n">
        <v>0.1205</v>
      </c>
      <c r="AE747" s="19" t="n">
        <v>0.1518</v>
      </c>
      <c r="AF747" s="19" t="n">
        <v>69.17010000000001</v>
      </c>
      <c r="AG747" s="19" t="n">
        <v>-0.0354</v>
      </c>
      <c r="AH747" s="23" t="n">
        <v>1.18</v>
      </c>
      <c r="AI747" s="23" t="n">
        <v>1.91</v>
      </c>
      <c r="AJ747" s="19" t="n">
        <v>0.7138</v>
      </c>
    </row>
    <row r="748">
      <c r="A748" s="16" t="inlineStr">
        <is>
          <t>OMNI</t>
        </is>
      </c>
      <c r="B748" s="16" t="inlineStr">
        <is>
          <t>Omnitech Engineering Ltd.</t>
        </is>
      </c>
      <c r="C748" s="16" t="inlineStr">
        <is>
          <t>Industrial Machinery</t>
        </is>
      </c>
      <c r="D748" s="16" t="inlineStr">
        <is>
          <t>General Industrials</t>
        </is>
      </c>
      <c r="E748" s="16" t="inlineStr">
        <is>
          <t>INE0UH301010</t>
        </is>
      </c>
      <c r="F748" s="17" t="n">
        <v>6504.83</v>
      </c>
      <c r="G748" s="18" t="n">
        <v>526</v>
      </c>
      <c r="H748" s="19" t="n">
        <v>0.013</v>
      </c>
      <c r="I748" s="20" t="n">
        <v>90</v>
      </c>
      <c r="J748" s="16" t="inlineStr">
        <is>
          <t>green</t>
        </is>
      </c>
      <c r="K748" s="20" t="n">
        <v>2</v>
      </c>
      <c r="L748" s="18" t="n">
        <v>37.5</v>
      </c>
      <c r="M748" s="18" t="n">
        <v>547.99</v>
      </c>
      <c r="N748" s="18" t="n">
        <v>567.49</v>
      </c>
      <c r="O748" s="18" t="n"/>
      <c r="P748" s="18" t="n">
        <v>732.6</v>
      </c>
      <c r="Q748" s="18" t="n">
        <v>190.14</v>
      </c>
      <c r="R748" s="21">
        <f>IF(OR(G748="",P748=""),"",G748/P748-1)</f>
        <v/>
      </c>
      <c r="S748" s="19" t="n">
        <v>0.1672</v>
      </c>
      <c r="T748" s="22" t="n"/>
      <c r="U748" s="16" t="n"/>
      <c r="V748" s="16" t="inlineStr">
        <is>
          <t>No</t>
        </is>
      </c>
      <c r="W748" s="16" t="inlineStr">
        <is>
          <t>No</t>
        </is>
      </c>
      <c r="X748" s="16" t="n"/>
      <c r="Y748" s="20" t="n"/>
      <c r="Z748" s="19" t="n"/>
      <c r="AA748" s="18" t="n">
        <v>57.74</v>
      </c>
      <c r="AB748" s="16" t="inlineStr">
        <is>
          <t>Good</t>
        </is>
      </c>
      <c r="AC748" s="16" t="inlineStr">
        <is>
          <t>No</t>
        </is>
      </c>
      <c r="AD748" s="19" t="n">
        <v>0.1901</v>
      </c>
      <c r="AE748" s="19" t="n">
        <v>0.1371</v>
      </c>
      <c r="AF748" s="19" t="n">
        <v>0.6684</v>
      </c>
      <c r="AG748" s="19" t="n">
        <v>0.5211</v>
      </c>
      <c r="AH748" s="23" t="n">
        <v>0.64</v>
      </c>
      <c r="AI748" s="23" t="n">
        <v>1.47</v>
      </c>
      <c r="AJ748" s="19" t="n">
        <v>0.04849999999999999</v>
      </c>
    </row>
    <row r="749">
      <c r="A749" s="16" t="inlineStr">
        <is>
          <t>GSFC</t>
        </is>
      </c>
      <c r="B749" s="16" t="inlineStr">
        <is>
          <t>Gujarat State Fertilizer &amp; Chemicals Ltd.</t>
        </is>
      </c>
      <c r="C749" s="16" t="inlineStr">
        <is>
          <t>Fertilizers</t>
        </is>
      </c>
      <c r="D749" s="16" t="inlineStr">
        <is>
          <t>Fertilizers</t>
        </is>
      </c>
      <c r="E749" s="16" t="inlineStr">
        <is>
          <t>INE026A01025</t>
        </is>
      </c>
      <c r="F749" s="17" t="n">
        <v>6490.4</v>
      </c>
      <c r="G749" s="18" t="n">
        <v>162.88</v>
      </c>
      <c r="H749" s="19" t="n">
        <v>0.0063</v>
      </c>
      <c r="I749" s="20" t="n">
        <v>28</v>
      </c>
      <c r="J749" s="16" t="inlineStr">
        <is>
          <t>red</t>
        </is>
      </c>
      <c r="K749" s="20" t="n">
        <v>150</v>
      </c>
      <c r="L749" s="18" t="n">
        <v>59.59</v>
      </c>
      <c r="M749" s="18" t="n">
        <v>159.85</v>
      </c>
      <c r="N749" s="18" t="n">
        <v>159.99</v>
      </c>
      <c r="O749" s="18" t="n">
        <v>167.81</v>
      </c>
      <c r="P749" s="18" t="n">
        <v>211.04</v>
      </c>
      <c r="Q749" s="18" t="n">
        <v>139.22</v>
      </c>
      <c r="R749" s="21">
        <f>IF(OR(G749="",P749=""),"",G749/P749-1)</f>
        <v/>
      </c>
      <c r="S749" s="19" t="n">
        <v>1.2945</v>
      </c>
      <c r="T749" s="22" t="n">
        <v>-0.0185</v>
      </c>
      <c r="U749" s="16" t="inlineStr">
        <is>
          <t>No</t>
        </is>
      </c>
      <c r="V749" s="16" t="inlineStr">
        <is>
          <t>Yes</t>
        </is>
      </c>
      <c r="W749" s="16" t="inlineStr">
        <is>
          <t>Yes</t>
        </is>
      </c>
      <c r="X749" s="16" t="inlineStr">
        <is>
          <t>No</t>
        </is>
      </c>
      <c r="Y749" s="20" t="n">
        <v>191</v>
      </c>
      <c r="Z749" s="19" t="n">
        <v>-0.0466</v>
      </c>
      <c r="AA749" s="18" t="n">
        <v>40</v>
      </c>
      <c r="AB749" s="16" t="inlineStr">
        <is>
          <t>Weak</t>
        </is>
      </c>
      <c r="AC749" s="16" t="inlineStr">
        <is>
          <t>No</t>
        </is>
      </c>
      <c r="AD749" s="19" t="n">
        <v>0.0493</v>
      </c>
      <c r="AE749" s="19" t="n">
        <v>0.0634</v>
      </c>
      <c r="AF749" s="19" t="n">
        <v>-0.1229</v>
      </c>
      <c r="AG749" s="19" t="n">
        <v>0.2862</v>
      </c>
      <c r="AH749" s="23" t="n">
        <v>0</v>
      </c>
      <c r="AI749" s="23" t="n">
        <v>3.11</v>
      </c>
      <c r="AJ749" s="19" t="n">
        <v>0.0545</v>
      </c>
    </row>
    <row r="750">
      <c r="A750" s="16" t="inlineStr">
        <is>
          <t>SPARC</t>
        </is>
      </c>
      <c r="B750" s="16" t="inlineStr">
        <is>
          <t>Sun Pharma Advanced Research Company Ltd.</t>
        </is>
      </c>
      <c r="C750" s="16" t="inlineStr">
        <is>
          <t>Pharmaceuticals</t>
        </is>
      </c>
      <c r="D750" s="16" t="inlineStr">
        <is>
          <t>Pharmaceuticals &amp; Biotechnology</t>
        </is>
      </c>
      <c r="E750" s="16" t="inlineStr">
        <is>
          <t>INE232I01014</t>
        </is>
      </c>
      <c r="F750" s="17" t="n">
        <v>6473.23</v>
      </c>
      <c r="G750" s="18" t="n">
        <v>199.47</v>
      </c>
      <c r="H750" s="19" t="n">
        <v>-0.0152</v>
      </c>
      <c r="I750" s="20" t="n">
        <v>71</v>
      </c>
      <c r="J750" s="16" t="inlineStr">
        <is>
          <t>amber</t>
        </is>
      </c>
      <c r="K750" s="20" t="n">
        <v>16</v>
      </c>
      <c r="L750" s="18" t="n">
        <v>52.15</v>
      </c>
      <c r="M750" s="18" t="n">
        <v>199.37</v>
      </c>
      <c r="N750" s="18" t="n">
        <v>219.19</v>
      </c>
      <c r="O750" s="18" t="n">
        <v>168.61</v>
      </c>
      <c r="P750" s="18" t="n">
        <v>277.57</v>
      </c>
      <c r="Q750" s="18" t="n">
        <v>108.71</v>
      </c>
      <c r="R750" s="21">
        <f>IF(OR(G750="",P750=""),"",G750/P750-1)</f>
        <v/>
      </c>
      <c r="S750" s="19" t="n">
        <v>0.6148</v>
      </c>
      <c r="T750" s="22" t="n">
        <v>0.0403</v>
      </c>
      <c r="U750" s="16" t="inlineStr">
        <is>
          <t>Yes</t>
        </is>
      </c>
      <c r="V750" s="16" t="inlineStr">
        <is>
          <t>No</t>
        </is>
      </c>
      <c r="W750" s="16" t="inlineStr">
        <is>
          <t>Yes</t>
        </is>
      </c>
      <c r="X750" s="16" t="inlineStr">
        <is>
          <t>Yes</t>
        </is>
      </c>
      <c r="Y750" s="20" t="n">
        <v>80</v>
      </c>
      <c r="Z750" s="19" t="n">
        <v>0.3</v>
      </c>
      <c r="AA750" s="18" t="n">
        <v>23.42</v>
      </c>
      <c r="AB750" s="16" t="inlineStr">
        <is>
          <t>Poor</t>
        </is>
      </c>
      <c r="AC750" s="16" t="inlineStr">
        <is>
          <t>No</t>
        </is>
      </c>
      <c r="AD750" s="19" t="n">
        <v>-0.1134</v>
      </c>
      <c r="AE750" s="19" t="n">
        <v>-2.7345</v>
      </c>
      <c r="AF750" s="19" t="n">
        <v>1.7089</v>
      </c>
      <c r="AG750" s="19" t="n">
        <v>-0.396</v>
      </c>
      <c r="AH750" s="23" t="n">
        <v>0.42</v>
      </c>
      <c r="AI750" s="23" t="n">
        <v>0.46</v>
      </c>
      <c r="AJ750" s="19" t="n">
        <v>0.0058</v>
      </c>
    </row>
    <row r="751">
      <c r="A751" s="16" t="inlineStr">
        <is>
          <t>ABFRL</t>
        </is>
      </c>
      <c r="B751" s="16" t="inlineStr">
        <is>
          <t>Aditya Birla Fashion and Retail Ltd.</t>
        </is>
      </c>
      <c r="C751" s="16" t="inlineStr">
        <is>
          <t>Department Stores</t>
        </is>
      </c>
      <c r="D751" s="16" t="inlineStr">
        <is>
          <t>Retailing</t>
        </is>
      </c>
      <c r="E751" s="16" t="inlineStr">
        <is>
          <t>INE647O01011</t>
        </is>
      </c>
      <c r="F751" s="17" t="n">
        <v>6465.19</v>
      </c>
      <c r="G751" s="18" t="n">
        <v>52.97</v>
      </c>
      <c r="H751" s="19" t="n">
        <v>0.0508</v>
      </c>
      <c r="I751" s="20" t="n">
        <v>7</v>
      </c>
      <c r="J751" s="16" t="inlineStr">
        <is>
          <t>red</t>
        </is>
      </c>
      <c r="K751" s="20" t="n">
        <v>341</v>
      </c>
      <c r="L751" s="18" t="n">
        <v>37.31</v>
      </c>
      <c r="M751" s="18" t="n">
        <v>52.21</v>
      </c>
      <c r="N751" s="18" t="n">
        <v>57.41</v>
      </c>
      <c r="O751" s="18" t="n">
        <v>64.63</v>
      </c>
      <c r="P751" s="18" t="n">
        <v>93.48</v>
      </c>
      <c r="Q751" s="18" t="n">
        <v>50.41</v>
      </c>
      <c r="R751" s="21">
        <f>IF(OR(G751="",P751=""),"",G751/P751-1)</f>
        <v/>
      </c>
      <c r="S751" s="19" t="n">
        <v>1.2369</v>
      </c>
      <c r="T751" s="22" t="n">
        <v>-0.0396</v>
      </c>
      <c r="U751" s="16" t="inlineStr">
        <is>
          <t>No</t>
        </is>
      </c>
      <c r="V751" s="16" t="inlineStr">
        <is>
          <t>No</t>
        </is>
      </c>
      <c r="W751" s="16" t="inlineStr">
        <is>
          <t>Yes</t>
        </is>
      </c>
      <c r="X751" s="16" t="inlineStr">
        <is>
          <t>No</t>
        </is>
      </c>
      <c r="Y751" s="20" t="n">
        <v>417</v>
      </c>
      <c r="Z751" s="19" t="n">
        <v>-0.1117</v>
      </c>
      <c r="AA751" s="18" t="n">
        <v>8.789999999999999</v>
      </c>
      <c r="AB751" s="16" t="inlineStr">
        <is>
          <t>Poor</t>
        </is>
      </c>
      <c r="AC751" s="16" t="inlineStr">
        <is>
          <t>No</t>
        </is>
      </c>
      <c r="AD751" s="19" t="n">
        <v>-0.1147</v>
      </c>
      <c r="AE751" s="19" t="n">
        <v>-0.0284</v>
      </c>
      <c r="AF751" s="19" t="n">
        <v>-5.5022</v>
      </c>
      <c r="AG751" s="19" t="n">
        <v>-0.0751</v>
      </c>
      <c r="AH751" s="23" t="n">
        <v>1.06</v>
      </c>
      <c r="AI751" s="23" t="n">
        <v>1.62</v>
      </c>
      <c r="AJ751" s="19" t="n">
        <v>0.0212</v>
      </c>
    </row>
    <row r="752">
      <c r="A752" s="16" t="inlineStr">
        <is>
          <t>SBCL</t>
        </is>
      </c>
      <c r="B752" s="16" t="inlineStr">
        <is>
          <t>Shivalik Bimetal Controls Ltd.</t>
        </is>
      </c>
      <c r="C752" s="16" t="inlineStr">
        <is>
          <t>Other Industrial Goods</t>
        </is>
      </c>
      <c r="D752" s="16" t="inlineStr">
        <is>
          <t>General Industrials</t>
        </is>
      </c>
      <c r="E752" s="16" t="inlineStr">
        <is>
          <t>INE386D01027</t>
        </is>
      </c>
      <c r="F752" s="17" t="n">
        <v>6458.01</v>
      </c>
      <c r="G752" s="18" t="n">
        <v>1121.1</v>
      </c>
      <c r="H752" s="19" t="n">
        <v>-0.0301</v>
      </c>
      <c r="I752" s="20" t="n">
        <v>96</v>
      </c>
      <c r="J752" s="16" t="inlineStr">
        <is>
          <t>green</t>
        </is>
      </c>
      <c r="K752" s="20" t="n">
        <v>82</v>
      </c>
      <c r="L752" s="18" t="n">
        <v>66.58</v>
      </c>
      <c r="M752" s="18" t="n">
        <v>1074.04</v>
      </c>
      <c r="N752" s="18" t="n">
        <v>868.14</v>
      </c>
      <c r="O752" s="18" t="n">
        <v>604.83</v>
      </c>
      <c r="P752" s="18" t="n">
        <v>1155.9</v>
      </c>
      <c r="Q752" s="18" t="n">
        <v>374.5</v>
      </c>
      <c r="R752" s="21">
        <f>IF(OR(G752="",P752=""),"",G752/P752-1)</f>
        <v/>
      </c>
      <c r="S752" s="19" t="n">
        <v>0.8843000000000001</v>
      </c>
      <c r="T752" s="22" t="n">
        <v>0.1031</v>
      </c>
      <c r="U752" s="16" t="inlineStr">
        <is>
          <t>Yes</t>
        </is>
      </c>
      <c r="V752" s="16" t="inlineStr">
        <is>
          <t>Yes</t>
        </is>
      </c>
      <c r="W752" s="16" t="inlineStr">
        <is>
          <t>Yes</t>
        </is>
      </c>
      <c r="X752" s="16" t="inlineStr">
        <is>
          <t>Yes</t>
        </is>
      </c>
      <c r="Y752" s="20" t="n">
        <v>85</v>
      </c>
      <c r="Z752" s="19" t="n">
        <v>0.4353</v>
      </c>
      <c r="AA752" s="18" t="n">
        <v>40</v>
      </c>
      <c r="AB752" s="16" t="inlineStr">
        <is>
          <t>Weak</t>
        </is>
      </c>
      <c r="AC752" s="16" t="inlineStr">
        <is>
          <t>No</t>
        </is>
      </c>
      <c r="AD752" s="19" t="n">
        <v>0.2119</v>
      </c>
      <c r="AE752" s="19" t="n">
        <v>0.2584</v>
      </c>
      <c r="AF752" s="19" t="n">
        <v>-0.3428</v>
      </c>
      <c r="AG752" s="19" t="n">
        <v>0.0679</v>
      </c>
      <c r="AH752" s="23" t="n">
        <v>0.15</v>
      </c>
      <c r="AI752" s="23" t="n">
        <v>3.23</v>
      </c>
      <c r="AJ752" s="19" t="n">
        <v>0.1912</v>
      </c>
    </row>
    <row r="753">
      <c r="A753" s="16" t="inlineStr">
        <is>
          <t>TANFACIND</t>
        </is>
      </c>
      <c r="B753" s="16" t="inlineStr">
        <is>
          <t>Tanfac Industries Ltd.</t>
        </is>
      </c>
      <c r="C753" s="16" t="inlineStr">
        <is>
          <t>Commodity Chemicals</t>
        </is>
      </c>
      <c r="D753" s="16" t="inlineStr">
        <is>
          <t>Chemicals &amp; Petrochemicals</t>
        </is>
      </c>
      <c r="E753" s="16" t="inlineStr">
        <is>
          <t>INE639B01023</t>
        </is>
      </c>
      <c r="F753" s="17" t="n">
        <v>6447.04</v>
      </c>
      <c r="G753" s="18" t="n">
        <v>3231.6</v>
      </c>
      <c r="H753" s="19" t="n">
        <v>0.0574</v>
      </c>
      <c r="I753" s="20" t="n">
        <v>88</v>
      </c>
      <c r="J753" s="16" t="inlineStr">
        <is>
          <t>green</t>
        </is>
      </c>
      <c r="K753" s="20" t="n">
        <v>27</v>
      </c>
      <c r="L753" s="18" t="n">
        <v>35.79</v>
      </c>
      <c r="M753" s="18" t="n">
        <v>3117.25</v>
      </c>
      <c r="N753" s="18" t="n">
        <v>2892.6</v>
      </c>
      <c r="O753" s="18" t="n">
        <v>2305.81</v>
      </c>
      <c r="P753" s="18" t="n">
        <v>3544.55</v>
      </c>
      <c r="Q753" s="18" t="n">
        <v>1657.5</v>
      </c>
      <c r="R753" s="21">
        <f>IF(OR(G753="",P753=""),"",G753/P753-1)</f>
        <v/>
      </c>
      <c r="S753" s="19" t="n">
        <v>0.5574</v>
      </c>
      <c r="T753" s="22" t="n">
        <v>0.0591</v>
      </c>
      <c r="U753" s="16" t="inlineStr">
        <is>
          <t>Yes</t>
        </is>
      </c>
      <c r="V753" s="16" t="inlineStr">
        <is>
          <t>Yes</t>
        </is>
      </c>
      <c r="W753" s="16" t="inlineStr">
        <is>
          <t>Yes</t>
        </is>
      </c>
      <c r="X753" s="16" t="inlineStr">
        <is>
          <t>Yes</t>
        </is>
      </c>
      <c r="Y753" s="20" t="n">
        <v>83</v>
      </c>
      <c r="Z753" s="19" t="n">
        <v>0.2545</v>
      </c>
      <c r="AA753" s="18" t="n"/>
      <c r="AB753" s="16" t="n"/>
      <c r="AC753" s="16" t="inlineStr">
        <is>
          <t>No</t>
        </is>
      </c>
      <c r="AD753" s="19" t="n"/>
      <c r="AE753" s="19" t="n"/>
      <c r="AF753" s="19" t="n"/>
      <c r="AG753" s="19" t="n"/>
      <c r="AH753" s="23" t="n"/>
      <c r="AI753" s="23" t="n"/>
      <c r="AJ753" s="19" t="n"/>
    </row>
    <row r="754">
      <c r="A754" s="16" t="inlineStr">
        <is>
          <t>DODLA</t>
        </is>
      </c>
      <c r="B754" s="16" t="inlineStr">
        <is>
          <t>Dodla Dairy Ltd.</t>
        </is>
      </c>
      <c r="C754" s="16" t="inlineStr">
        <is>
          <t>Packaged Foods</t>
        </is>
      </c>
      <c r="D754" s="16" t="inlineStr">
        <is>
          <t>FMCG</t>
        </is>
      </c>
      <c r="E754" s="16" t="inlineStr">
        <is>
          <t>INE021O01019</t>
        </is>
      </c>
      <c r="F754" s="17" t="n">
        <v>6435.77</v>
      </c>
      <c r="G754" s="18" t="n">
        <v>1066.8</v>
      </c>
      <c r="H754" s="19" t="n">
        <v>-0.0029</v>
      </c>
      <c r="I754" s="20" t="n">
        <v>25</v>
      </c>
      <c r="J754" s="16" t="inlineStr">
        <is>
          <t>red</t>
        </is>
      </c>
      <c r="K754" s="20" t="n">
        <v>129</v>
      </c>
      <c r="L754" s="18" t="n">
        <v>39.59</v>
      </c>
      <c r="M754" s="18" t="n">
        <v>1078.34</v>
      </c>
      <c r="N754" s="18" t="n">
        <v>1084.78</v>
      </c>
      <c r="O754" s="18" t="n">
        <v>1119.69</v>
      </c>
      <c r="P754" s="18" t="n">
        <v>1455.97</v>
      </c>
      <c r="Q754" s="18" t="n">
        <v>966.89</v>
      </c>
      <c r="R754" s="21">
        <f>IF(OR(G754="",P754=""),"",G754/P754-1)</f>
        <v/>
      </c>
      <c r="S754" s="19" t="n">
        <v>0.2404</v>
      </c>
      <c r="T754" s="22" t="n">
        <v>-0.0141</v>
      </c>
      <c r="U754" s="16" t="inlineStr">
        <is>
          <t>No</t>
        </is>
      </c>
      <c r="V754" s="16" t="inlineStr">
        <is>
          <t>No</t>
        </is>
      </c>
      <c r="W754" s="16" t="inlineStr">
        <is>
          <t>No</t>
        </is>
      </c>
      <c r="X754" s="16" t="inlineStr">
        <is>
          <t>No</t>
        </is>
      </c>
      <c r="Y754" s="20" t="n">
        <v>181</v>
      </c>
      <c r="Z754" s="19" t="n">
        <v>-0.0312</v>
      </c>
      <c r="AA754" s="18" t="n">
        <v>69.48999999999999</v>
      </c>
      <c r="AB754" s="16" t="inlineStr">
        <is>
          <t>High</t>
        </is>
      </c>
      <c r="AC754" s="16" t="inlineStr">
        <is>
          <t>No</t>
        </is>
      </c>
      <c r="AD754" s="19" t="n">
        <v>0.1636</v>
      </c>
      <c r="AE754" s="19" t="n">
        <v>0.2061</v>
      </c>
      <c r="AF754" s="19" t="n">
        <v>0.3144</v>
      </c>
      <c r="AG754" s="19" t="n">
        <v>0.1369</v>
      </c>
      <c r="AH754" s="23" t="n">
        <v>0.03</v>
      </c>
      <c r="AI754" s="23" t="n">
        <v>4.49</v>
      </c>
      <c r="AJ754" s="19" t="n">
        <v>0.1293</v>
      </c>
    </row>
    <row r="755">
      <c r="A755" s="16" t="inlineStr">
        <is>
          <t>JSLL</t>
        </is>
      </c>
      <c r="B755" s="16" t="inlineStr">
        <is>
          <t>Jeena Sikho Lifecare Ltd.</t>
        </is>
      </c>
      <c r="C755" s="16" t="inlineStr">
        <is>
          <t>Pharmaceuticals</t>
        </is>
      </c>
      <c r="D755" s="16" t="inlineStr">
        <is>
          <t>Pharmaceuticals &amp; Biotechnology</t>
        </is>
      </c>
      <c r="E755" s="16" t="inlineStr">
        <is>
          <t>INE0J5801029</t>
        </is>
      </c>
      <c r="F755" s="17" t="n">
        <v>6417.65</v>
      </c>
      <c r="G755" s="18" t="n">
        <v>516.3</v>
      </c>
      <c r="H755" s="19" t="n">
        <v>0.0296</v>
      </c>
      <c r="I755" s="20" t="n">
        <v>7</v>
      </c>
      <c r="J755" s="16" t="inlineStr">
        <is>
          <t>red</t>
        </is>
      </c>
      <c r="K755" s="20" t="n">
        <v>234</v>
      </c>
      <c r="L755" s="18" t="n">
        <v>49.55</v>
      </c>
      <c r="M755" s="18" t="n">
        <v>509.32</v>
      </c>
      <c r="N755" s="18" t="n">
        <v>551.1799999999999</v>
      </c>
      <c r="O755" s="18" t="n">
        <v>635.01</v>
      </c>
      <c r="P755" s="18" t="n">
        <v>836.8200000000001</v>
      </c>
      <c r="Q755" s="18" t="n">
        <v>492.2</v>
      </c>
      <c r="R755" s="21">
        <f>IF(OR(G755="",P755=""),"",G755/P755-1)</f>
        <v/>
      </c>
      <c r="S755" s="19" t="n">
        <v>1.4715</v>
      </c>
      <c r="T755" s="22" t="n">
        <v>-0.0348</v>
      </c>
      <c r="U755" s="16" t="inlineStr">
        <is>
          <t>No</t>
        </is>
      </c>
      <c r="V755" s="16" t="inlineStr">
        <is>
          <t>No</t>
        </is>
      </c>
      <c r="W755" s="16" t="inlineStr">
        <is>
          <t>Yes</t>
        </is>
      </c>
      <c r="X755" s="16" t="inlineStr">
        <is>
          <t>No</t>
        </is>
      </c>
      <c r="Y755" s="20" t="n">
        <v>113</v>
      </c>
      <c r="Z755" s="19" t="n">
        <v>-0.132</v>
      </c>
      <c r="AA755" s="18" t="n">
        <v>76.84</v>
      </c>
      <c r="AB755" s="16" t="inlineStr">
        <is>
          <t>High</t>
        </is>
      </c>
      <c r="AC755" s="16" t="inlineStr">
        <is>
          <t>No</t>
        </is>
      </c>
      <c r="AD755" s="19" t="n">
        <v>0.3759</v>
      </c>
      <c r="AE755" s="19" t="n">
        <v>0.4754</v>
      </c>
      <c r="AF755" s="19" t="n">
        <v>0.9865</v>
      </c>
      <c r="AG755" s="19" t="n">
        <v>0.5818</v>
      </c>
      <c r="AH755" s="23" t="n">
        <v>0.27</v>
      </c>
      <c r="AI755" s="23" t="n">
        <v>3.42</v>
      </c>
      <c r="AJ755" s="19" t="n">
        <v>0.008800000000000001</v>
      </c>
    </row>
    <row r="756">
      <c r="A756" s="16" t="inlineStr">
        <is>
          <t>JKLAKSHMI</t>
        </is>
      </c>
      <c r="B756" s="16" t="inlineStr">
        <is>
          <t>JK Lakshmi Cement Ltd.</t>
        </is>
      </c>
      <c r="C756" s="16" t="inlineStr">
        <is>
          <t>Cement &amp; Cement Products</t>
        </is>
      </c>
      <c r="D756" s="16" t="inlineStr">
        <is>
          <t>Cement and Construction</t>
        </is>
      </c>
      <c r="E756" s="16" t="inlineStr">
        <is>
          <t>INE786A01032</t>
        </is>
      </c>
      <c r="F756" s="17" t="n">
        <v>6402.13</v>
      </c>
      <c r="G756" s="18" t="n">
        <v>515.7</v>
      </c>
      <c r="H756" s="19" t="n">
        <v>0.0025</v>
      </c>
      <c r="I756" s="20" t="n">
        <v>6</v>
      </c>
      <c r="J756" s="16" t="inlineStr">
        <is>
          <t>red</t>
        </is>
      </c>
      <c r="K756" s="20" t="n">
        <v>152</v>
      </c>
      <c r="L756" s="18" t="n">
        <v>18.88</v>
      </c>
      <c r="M756" s="18" t="n">
        <v>529.29</v>
      </c>
      <c r="N756" s="18" t="n">
        <v>559.78</v>
      </c>
      <c r="O756" s="18" t="n">
        <v>649.74</v>
      </c>
      <c r="P756" s="18" t="n">
        <v>923.62</v>
      </c>
      <c r="Q756" s="18" t="n">
        <v>514.3</v>
      </c>
      <c r="R756" s="21">
        <f>IF(OR(G756="",P756=""),"",G756/P756-1)</f>
        <v/>
      </c>
      <c r="S756" s="19" t="n">
        <v>1.9674</v>
      </c>
      <c r="T756" s="22" t="n">
        <v>-0.0428</v>
      </c>
      <c r="U756" s="16" t="inlineStr">
        <is>
          <t>No</t>
        </is>
      </c>
      <c r="V756" s="16" t="inlineStr">
        <is>
          <t>No</t>
        </is>
      </c>
      <c r="W756" s="16" t="inlineStr">
        <is>
          <t>No</t>
        </is>
      </c>
      <c r="X756" s="16" t="inlineStr">
        <is>
          <t>No</t>
        </is>
      </c>
      <c r="Y756" s="20" t="n">
        <v>194</v>
      </c>
      <c r="Z756" s="19" t="n">
        <v>-0.1385</v>
      </c>
      <c r="AA756" s="18" t="n">
        <v>34.86</v>
      </c>
      <c r="AB756" s="16" t="inlineStr">
        <is>
          <t>Weak</t>
        </is>
      </c>
      <c r="AC756" s="16" t="inlineStr">
        <is>
          <t>No</t>
        </is>
      </c>
      <c r="AD756" s="19" t="n">
        <v>0.1108</v>
      </c>
      <c r="AE756" s="19" t="n">
        <v>0.1252</v>
      </c>
      <c r="AF756" s="19" t="n">
        <v>0.1176</v>
      </c>
      <c r="AG756" s="19" t="n">
        <v>0.0192</v>
      </c>
      <c r="AH756" s="23" t="n">
        <v>0.67</v>
      </c>
      <c r="AI756" s="23" t="n">
        <v>1.13</v>
      </c>
      <c r="AJ756" s="19" t="n">
        <v>0.1258</v>
      </c>
    </row>
    <row r="757">
      <c r="A757" s="16" t="inlineStr">
        <is>
          <t>JAIBALAJI</t>
        </is>
      </c>
      <c r="B757" s="16" t="inlineStr">
        <is>
          <t>Jai Balaji Industries Ltd.</t>
        </is>
      </c>
      <c r="C757" s="16" t="inlineStr">
        <is>
          <t>Iron &amp; Steel/Interm.Products</t>
        </is>
      </c>
      <c r="D757" s="16" t="inlineStr">
        <is>
          <t>Metals &amp; Mining</t>
        </is>
      </c>
      <c r="E757" s="16" t="inlineStr">
        <is>
          <t>INE091G01026</t>
        </is>
      </c>
      <c r="F757" s="17" t="n">
        <v>6361.13</v>
      </c>
      <c r="G757" s="18" t="n">
        <v>69.73</v>
      </c>
      <c r="H757" s="19" t="n">
        <v>-0.0158</v>
      </c>
      <c r="I757" s="20" t="n">
        <v>37</v>
      </c>
      <c r="J757" s="16" t="inlineStr">
        <is>
          <t>red</t>
        </is>
      </c>
      <c r="K757" s="20" t="n">
        <v>452</v>
      </c>
      <c r="L757" s="18" t="n">
        <v>49.43</v>
      </c>
      <c r="M757" s="18" t="n">
        <v>70.22</v>
      </c>
      <c r="N757" s="18" t="n">
        <v>65.92</v>
      </c>
      <c r="O757" s="18" t="n">
        <v>67.98</v>
      </c>
      <c r="P757" s="18" t="n">
        <v>104.29</v>
      </c>
      <c r="Q757" s="18" t="n">
        <v>54.14</v>
      </c>
      <c r="R757" s="21">
        <f>IF(OR(G757="",P757=""),"",G757/P757-1)</f>
        <v/>
      </c>
      <c r="S757" s="19" t="n">
        <v>0.3644</v>
      </c>
      <c r="T757" s="22" t="n">
        <v>-0.0314</v>
      </c>
      <c r="U757" s="16" t="inlineStr">
        <is>
          <t>No</t>
        </is>
      </c>
      <c r="V757" s="16" t="inlineStr">
        <is>
          <t>Yes</t>
        </is>
      </c>
      <c r="W757" s="16" t="inlineStr">
        <is>
          <t>No</t>
        </is>
      </c>
      <c r="X757" s="16" t="inlineStr">
        <is>
          <t>No</t>
        </is>
      </c>
      <c r="Y757" s="20" t="n">
        <v>419</v>
      </c>
      <c r="Z757" s="19" t="n">
        <v>-0.0303</v>
      </c>
      <c r="AA757" s="18" t="n">
        <v>66.79000000000001</v>
      </c>
      <c r="AB757" s="16" t="inlineStr">
        <is>
          <t>High</t>
        </is>
      </c>
      <c r="AC757" s="16" t="inlineStr">
        <is>
          <t>No</t>
        </is>
      </c>
      <c r="AD757" s="19" t="n">
        <v>0.3017</v>
      </c>
      <c r="AE757" s="19" t="n">
        <v>0.3109</v>
      </c>
      <c r="AF757" s="19" t="n">
        <v>0.8441</v>
      </c>
      <c r="AG757" s="19" t="n">
        <v>-0.0126</v>
      </c>
      <c r="AH757" s="23" t="n">
        <v>0.18</v>
      </c>
      <c r="AI757" s="23" t="n">
        <v>3.1</v>
      </c>
      <c r="AJ757" s="19" t="n">
        <v>0.158</v>
      </c>
    </row>
    <row r="758">
      <c r="A758" s="16" t="inlineStr">
        <is>
          <t>RCF</t>
        </is>
      </c>
      <c r="B758" s="16" t="inlineStr">
        <is>
          <t>Rashtriya Chemicals &amp; Fertilizers Ltd.</t>
        </is>
      </c>
      <c r="C758" s="16" t="inlineStr">
        <is>
          <t>Fertilizers</t>
        </is>
      </c>
      <c r="D758" s="16" t="inlineStr">
        <is>
          <t>Fertilizers</t>
        </is>
      </c>
      <c r="E758" s="16" t="inlineStr">
        <is>
          <t>INE027A01015</t>
        </is>
      </c>
      <c r="F758" s="17" t="n">
        <v>6340</v>
      </c>
      <c r="G758" s="18" t="n">
        <v>114.92</v>
      </c>
      <c r="H758" s="19" t="n">
        <v>0.0035</v>
      </c>
      <c r="I758" s="20" t="n">
        <v>18</v>
      </c>
      <c r="J758" s="16" t="inlineStr">
        <is>
          <t>red</t>
        </is>
      </c>
      <c r="K758" s="20" t="n">
        <v>169</v>
      </c>
      <c r="L758" s="18" t="n">
        <v>33.25</v>
      </c>
      <c r="M758" s="18" t="n">
        <v>116.91</v>
      </c>
      <c r="N758" s="18" t="n">
        <v>125.27</v>
      </c>
      <c r="O758" s="18" t="n">
        <v>129.3</v>
      </c>
      <c r="P758" s="18" t="n">
        <v>158.01</v>
      </c>
      <c r="Q758" s="18" t="n">
        <v>106.67</v>
      </c>
      <c r="R758" s="21">
        <f>IF(OR(G758="",P758=""),"",G758/P758-1)</f>
        <v/>
      </c>
      <c r="S758" s="19" t="n">
        <v>0.6568999999999999</v>
      </c>
      <c r="T758" s="22" t="n">
        <v>-0.0215</v>
      </c>
      <c r="U758" s="16" t="inlineStr">
        <is>
          <t>No</t>
        </is>
      </c>
      <c r="V758" s="16" t="inlineStr">
        <is>
          <t>No</t>
        </is>
      </c>
      <c r="W758" s="16" t="inlineStr">
        <is>
          <t>No</t>
        </is>
      </c>
      <c r="X758" s="16" t="inlineStr">
        <is>
          <t>No</t>
        </is>
      </c>
      <c r="Y758" s="20" t="n">
        <v>176</v>
      </c>
      <c r="Z758" s="19" t="n">
        <v>-0.0312</v>
      </c>
      <c r="AA758" s="18" t="n">
        <v>40.7</v>
      </c>
      <c r="AB758" s="16" t="inlineStr">
        <is>
          <t>Average</t>
        </is>
      </c>
      <c r="AC758" s="16" t="inlineStr">
        <is>
          <t>No</t>
        </is>
      </c>
      <c r="AD758" s="19" t="n">
        <v>0.0612</v>
      </c>
      <c r="AE758" s="19" t="n">
        <v>0.0788</v>
      </c>
      <c r="AF758" s="19" t="n">
        <v>0.0247</v>
      </c>
      <c r="AG758" s="19" t="n">
        <v>0.5164</v>
      </c>
      <c r="AH758" s="23" t="n">
        <v>0.8100000000000001</v>
      </c>
      <c r="AI758" s="23" t="n">
        <v>4.51</v>
      </c>
      <c r="AJ758" s="19" t="n">
        <v>0.1979</v>
      </c>
    </row>
    <row r="759">
      <c r="A759" s="16" t="inlineStr">
        <is>
          <t>GANESHHOU</t>
        </is>
      </c>
      <c r="B759" s="16" t="inlineStr">
        <is>
          <t>Ganesh Housing Ltd.</t>
        </is>
      </c>
      <c r="C759" s="16" t="inlineStr">
        <is>
          <t>Realty</t>
        </is>
      </c>
      <c r="D759" s="16" t="inlineStr">
        <is>
          <t>Realty</t>
        </is>
      </c>
      <c r="E759" s="16" t="inlineStr">
        <is>
          <t>INE460C01014</t>
        </is>
      </c>
      <c r="F759" s="17" t="n">
        <v>6328.66</v>
      </c>
      <c r="G759" s="18" t="n">
        <v>758.95</v>
      </c>
      <c r="H759" s="19" t="n">
        <v>-0.0086</v>
      </c>
      <c r="I759" s="20" t="n">
        <v>37</v>
      </c>
      <c r="J759" s="16" t="inlineStr">
        <is>
          <t>red</t>
        </is>
      </c>
      <c r="K759" s="20" t="n">
        <v>13</v>
      </c>
      <c r="L759" s="18" t="n">
        <v>27.96</v>
      </c>
      <c r="M759" s="18" t="n">
        <v>781.17</v>
      </c>
      <c r="N759" s="18" t="n">
        <v>800.5599999999999</v>
      </c>
      <c r="O759" s="18" t="n">
        <v>735.38</v>
      </c>
      <c r="P759" s="18" t="n">
        <v>880.4</v>
      </c>
      <c r="Q759" s="18" t="n">
        <v>505.26</v>
      </c>
      <c r="R759" s="21">
        <f>IF(OR(G759="",P759=""),"",G759/P759-1)</f>
        <v/>
      </c>
      <c r="S759" s="19" t="n">
        <v>0.5452</v>
      </c>
      <c r="T759" s="22" t="n">
        <v>-0.004</v>
      </c>
      <c r="U759" s="16" t="inlineStr">
        <is>
          <t>No</t>
        </is>
      </c>
      <c r="V759" s="16" t="inlineStr">
        <is>
          <t>No</t>
        </is>
      </c>
      <c r="W759" s="16" t="inlineStr">
        <is>
          <t>No</t>
        </is>
      </c>
      <c r="X759" s="16" t="inlineStr">
        <is>
          <t>Yes</t>
        </is>
      </c>
      <c r="Y759" s="20" t="n">
        <v>40</v>
      </c>
      <c r="Z759" s="19" t="n">
        <v>0.0886</v>
      </c>
      <c r="AA759" s="18" t="n">
        <v>66.37</v>
      </c>
      <c r="AB759" s="16" t="inlineStr">
        <is>
          <t>High</t>
        </is>
      </c>
      <c r="AC759" s="16" t="inlineStr">
        <is>
          <t>No</t>
        </is>
      </c>
      <c r="AD759" s="19" t="n">
        <v>0.2412</v>
      </c>
      <c r="AE759" s="19" t="n">
        <v>0.319</v>
      </c>
      <c r="AF759" s="19" t="n">
        <v>1.1437</v>
      </c>
      <c r="AG759" s="19" t="n">
        <v>0.0267</v>
      </c>
      <c r="AH759" s="23" t="n">
        <v>0.13</v>
      </c>
      <c r="AI759" s="23" t="n">
        <v>0.68</v>
      </c>
      <c r="AJ759" s="19" t="n">
        <v>0.7212000000000001</v>
      </c>
    </row>
    <row r="760">
      <c r="A760" s="16" t="inlineStr">
        <is>
          <t>MOREPENLAB</t>
        </is>
      </c>
      <c r="B760" s="16" t="inlineStr">
        <is>
          <t>Morepen Laboratories Ltd.</t>
        </is>
      </c>
      <c r="C760" s="16" t="inlineStr">
        <is>
          <t>Pharmaceuticals</t>
        </is>
      </c>
      <c r="D760" s="16" t="inlineStr">
        <is>
          <t>Pharmaceuticals &amp; Biotechnology</t>
        </is>
      </c>
      <c r="E760" s="16" t="inlineStr">
        <is>
          <t>INE083A01026</t>
        </is>
      </c>
      <c r="F760" s="17" t="n">
        <v>6232.43</v>
      </c>
      <c r="G760" s="18" t="n">
        <v>113.74</v>
      </c>
      <c r="H760" s="19" t="n">
        <v>-0.0316</v>
      </c>
      <c r="I760" s="20" t="n">
        <v>97</v>
      </c>
      <c r="J760" s="16" t="inlineStr">
        <is>
          <t>green</t>
        </is>
      </c>
      <c r="K760" s="20" t="n">
        <v>24</v>
      </c>
      <c r="L760" s="18" t="n">
        <v>75.52</v>
      </c>
      <c r="M760" s="18" t="n">
        <v>106.73</v>
      </c>
      <c r="N760" s="18" t="n">
        <v>74.44</v>
      </c>
      <c r="O760" s="18" t="n">
        <v>49.83</v>
      </c>
      <c r="P760" s="18" t="n">
        <v>117.45</v>
      </c>
      <c r="Q760" s="18" t="n">
        <v>33.68</v>
      </c>
      <c r="R760" s="21">
        <f>IF(OR(G760="",P760=""),"",G760/P760-1)</f>
        <v/>
      </c>
      <c r="S760" s="19" t="n">
        <v>0.5907</v>
      </c>
      <c r="T760" s="22" t="n">
        <v>0.105</v>
      </c>
      <c r="U760" s="16" t="inlineStr">
        <is>
          <t>Yes</t>
        </is>
      </c>
      <c r="V760" s="16" t="inlineStr">
        <is>
          <t>Yes</t>
        </is>
      </c>
      <c r="W760" s="16" t="inlineStr">
        <is>
          <t>Yes</t>
        </is>
      </c>
      <c r="X760" s="16" t="inlineStr">
        <is>
          <t>Yes</t>
        </is>
      </c>
      <c r="Y760" s="20" t="n">
        <v>59</v>
      </c>
      <c r="Z760" s="19" t="n">
        <v>0.4941</v>
      </c>
      <c r="AA760" s="18" t="n">
        <v>51.84</v>
      </c>
      <c r="AB760" s="16" t="inlineStr">
        <is>
          <t>Average</t>
        </is>
      </c>
      <c r="AC760" s="16" t="inlineStr">
        <is>
          <t>No</t>
        </is>
      </c>
      <c r="AD760" s="19" t="n">
        <v>0.09720000000000001</v>
      </c>
      <c r="AE760" s="19" t="n">
        <v>0.1274</v>
      </c>
      <c r="AF760" s="19" t="n">
        <v>0.466</v>
      </c>
      <c r="AG760" s="19" t="n">
        <v>0.08779999999999999</v>
      </c>
      <c r="AH760" s="23" t="n">
        <v>0.17</v>
      </c>
      <c r="AI760" s="23" t="n">
        <v>4.34</v>
      </c>
      <c r="AJ760" s="19" t="n">
        <v>0.0519</v>
      </c>
    </row>
    <row r="761">
      <c r="A761" s="16" t="inlineStr">
        <is>
          <t>ACI</t>
        </is>
      </c>
      <c r="B761" s="16" t="inlineStr">
        <is>
          <t>Archean Chemical Industries Ltd.</t>
        </is>
      </c>
      <c r="C761" s="16" t="inlineStr">
        <is>
          <t>Commodity Chemicals</t>
        </is>
      </c>
      <c r="D761" s="16" t="inlineStr">
        <is>
          <t>Chemicals &amp; Petrochemicals</t>
        </is>
      </c>
      <c r="E761" s="16" t="inlineStr">
        <is>
          <t>INE128X01021</t>
        </is>
      </c>
      <c r="F761" s="17" t="n">
        <v>6224.77</v>
      </c>
      <c r="G761" s="18" t="n">
        <v>504.2</v>
      </c>
      <c r="H761" s="19" t="n">
        <v>0.0182</v>
      </c>
      <c r="I761" s="20" t="n">
        <v>22</v>
      </c>
      <c r="J761" s="16" t="inlineStr">
        <is>
          <t>red</t>
        </is>
      </c>
      <c r="K761" s="20" t="n">
        <v>98</v>
      </c>
      <c r="L761" s="18" t="n">
        <v>43.65</v>
      </c>
      <c r="M761" s="18" t="n">
        <v>491.22</v>
      </c>
      <c r="N761" s="18" t="n">
        <v>524.5599999999999</v>
      </c>
      <c r="O761" s="18" t="n">
        <v>546.11</v>
      </c>
      <c r="P761" s="18" t="n">
        <v>712.23</v>
      </c>
      <c r="Q761" s="18" t="n">
        <v>483.95</v>
      </c>
      <c r="R761" s="21">
        <f>IF(OR(G761="",P761=""),"",G761/P761-1)</f>
        <v/>
      </c>
      <c r="S761" s="19" t="n">
        <v>1.6793</v>
      </c>
      <c r="T761" s="22" t="n">
        <v>-0.024</v>
      </c>
      <c r="U761" s="16" t="inlineStr">
        <is>
          <t>No</t>
        </is>
      </c>
      <c r="V761" s="16" t="inlineStr">
        <is>
          <t>No</t>
        </is>
      </c>
      <c r="W761" s="16" t="inlineStr">
        <is>
          <t>Yes</t>
        </is>
      </c>
      <c r="X761" s="16" t="inlineStr">
        <is>
          <t>No</t>
        </is>
      </c>
      <c r="Y761" s="20" t="n">
        <v>187</v>
      </c>
      <c r="Z761" s="19" t="n">
        <v>-0.0395</v>
      </c>
      <c r="AA761" s="18" t="n">
        <v>34.91</v>
      </c>
      <c r="AB761" s="16" t="inlineStr">
        <is>
          <t>Weak</t>
        </is>
      </c>
      <c r="AC761" s="16" t="inlineStr">
        <is>
          <t>No</t>
        </is>
      </c>
      <c r="AD761" s="19" t="n">
        <v>0.1099</v>
      </c>
      <c r="AE761" s="19" t="n">
        <v>0.1407</v>
      </c>
      <c r="AF761" s="19" t="n">
        <v>-0.3619</v>
      </c>
      <c r="AG761" s="19" t="n">
        <v>-0.0868</v>
      </c>
      <c r="AH761" s="23" t="n">
        <v>0.24</v>
      </c>
      <c r="AI761" s="23" t="n">
        <v>0.63</v>
      </c>
      <c r="AJ761" s="19" t="n">
        <v>0.1956</v>
      </c>
    </row>
    <row r="762">
      <c r="A762" s="16" t="inlineStr">
        <is>
          <t>STYL</t>
        </is>
      </c>
      <c r="B762" s="16" t="inlineStr">
        <is>
          <t>Seshaasai Technologies Ltd.</t>
        </is>
      </c>
      <c r="C762" s="16" t="inlineStr">
        <is>
          <t>Internet Software &amp; Services</t>
        </is>
      </c>
      <c r="D762" s="16" t="inlineStr">
        <is>
          <t>Software &amp; Services</t>
        </is>
      </c>
      <c r="E762" s="16" t="inlineStr">
        <is>
          <t>INE04VU01023</t>
        </is>
      </c>
      <c r="F762" s="17" t="n">
        <v>6205.25</v>
      </c>
      <c r="G762" s="18" t="n">
        <v>383.5</v>
      </c>
      <c r="H762" s="19" t="n">
        <v>-0.0092</v>
      </c>
      <c r="I762" s="20" t="n">
        <v>82</v>
      </c>
      <c r="J762" s="16" t="inlineStr">
        <is>
          <t>green</t>
        </is>
      </c>
      <c r="K762" s="20" t="n">
        <v>22</v>
      </c>
      <c r="L762" s="18" t="n">
        <v>43.12</v>
      </c>
      <c r="M762" s="18" t="n">
        <v>391.01</v>
      </c>
      <c r="N762" s="18" t="n">
        <v>374.15</v>
      </c>
      <c r="O762" s="18" t="n">
        <v>290.5</v>
      </c>
      <c r="P762" s="18" t="n">
        <v>426.56</v>
      </c>
      <c r="Q762" s="18" t="n">
        <v>211.79</v>
      </c>
      <c r="R762" s="21">
        <f>IF(OR(G762="",P762=""),"",G762/P762-1)</f>
        <v/>
      </c>
      <c r="S762" s="19" t="n">
        <v>0.7997</v>
      </c>
      <c r="T762" s="22" t="n">
        <v>0.0129</v>
      </c>
      <c r="U762" s="16" t="inlineStr">
        <is>
          <t>Yes</t>
        </is>
      </c>
      <c r="V762" s="16" t="inlineStr">
        <is>
          <t>Yes</t>
        </is>
      </c>
      <c r="W762" s="16" t="inlineStr">
        <is>
          <t>No</t>
        </is>
      </c>
      <c r="X762" s="16" t="inlineStr">
        <is>
          <t>Yes</t>
        </is>
      </c>
      <c r="Y762" s="20" t="n">
        <v>35</v>
      </c>
      <c r="Z762" s="19" t="n">
        <v>0.288</v>
      </c>
      <c r="AA762" s="18" t="n">
        <v>70.97</v>
      </c>
      <c r="AB762" s="16" t="inlineStr">
        <is>
          <t>High</t>
        </is>
      </c>
      <c r="AC762" s="16" t="inlineStr">
        <is>
          <t>No</t>
        </is>
      </c>
      <c r="AD762" s="19" t="n">
        <v>0.3022</v>
      </c>
      <c r="AE762" s="19" t="n">
        <v>0.2976</v>
      </c>
      <c r="AF762" s="19" t="n">
        <v>0.3346</v>
      </c>
      <c r="AG762" s="19" t="n">
        <v>0.09449999999999999</v>
      </c>
      <c r="AH762" s="23" t="n">
        <v>0.06</v>
      </c>
      <c r="AI762" s="23" t="n">
        <v>2.72</v>
      </c>
      <c r="AJ762" s="19" t="n">
        <v>0.09380000000000001</v>
      </c>
    </row>
    <row r="763">
      <c r="A763" s="16" t="inlineStr">
        <is>
          <t>CEIGALL</t>
        </is>
      </c>
      <c r="B763" s="16" t="inlineStr">
        <is>
          <t>Ceigall India Ltd.</t>
        </is>
      </c>
      <c r="C763" s="16" t="inlineStr">
        <is>
          <t>Construction &amp; Engineering</t>
        </is>
      </c>
      <c r="D763" s="16" t="inlineStr">
        <is>
          <t>Cement and Construction</t>
        </is>
      </c>
      <c r="E763" s="16" t="inlineStr">
        <is>
          <t>INE0AG901020</t>
        </is>
      </c>
      <c r="F763" s="17" t="n">
        <v>6198.21</v>
      </c>
      <c r="G763" s="18" t="n">
        <v>355.8</v>
      </c>
      <c r="H763" s="19" t="n">
        <v>0.0237</v>
      </c>
      <c r="I763" s="20" t="n">
        <v>70</v>
      </c>
      <c r="J763" s="16" t="inlineStr">
        <is>
          <t>amber</t>
        </is>
      </c>
      <c r="K763" s="20" t="n">
        <v>9</v>
      </c>
      <c r="L763" s="18" t="n">
        <v>81.40000000000001</v>
      </c>
      <c r="M763" s="18" t="n">
        <v>343.74</v>
      </c>
      <c r="N763" s="18" t="n">
        <v>343.32</v>
      </c>
      <c r="O763" s="18" t="n">
        <v>307.72</v>
      </c>
      <c r="P763" s="18" t="n">
        <v>395.95</v>
      </c>
      <c r="Q763" s="18" t="n">
        <v>226.39</v>
      </c>
      <c r="R763" s="21">
        <f>IF(OR(G763="",P763=""),"",G763/P763-1)</f>
        <v/>
      </c>
      <c r="S763" s="19" t="n">
        <v>1.7814</v>
      </c>
      <c r="T763" s="22" t="n">
        <v>0.0256</v>
      </c>
      <c r="U763" s="16" t="inlineStr">
        <is>
          <t>Yes</t>
        </is>
      </c>
      <c r="V763" s="16" t="inlineStr">
        <is>
          <t>Yes</t>
        </is>
      </c>
      <c r="W763" s="16" t="inlineStr">
        <is>
          <t>Yes</t>
        </is>
      </c>
      <c r="X763" s="16" t="inlineStr">
        <is>
          <t>Yes</t>
        </is>
      </c>
      <c r="Y763" s="20" t="n">
        <v>146</v>
      </c>
      <c r="Z763" s="19" t="n">
        <v>0.1157</v>
      </c>
      <c r="AA763" s="18" t="n">
        <v>40</v>
      </c>
      <c r="AB763" s="16" t="inlineStr">
        <is>
          <t>Weak</t>
        </is>
      </c>
      <c r="AC763" s="16" t="inlineStr">
        <is>
          <t>No</t>
        </is>
      </c>
      <c r="AD763" s="19" t="n">
        <v>0.2171</v>
      </c>
      <c r="AE763" s="19" t="n">
        <v>0.1923</v>
      </c>
      <c r="AF763" s="19" t="n">
        <v>-0.0667</v>
      </c>
      <c r="AG763" s="19" t="n">
        <v>0.2633</v>
      </c>
      <c r="AH763" s="23" t="n">
        <v>0.61</v>
      </c>
      <c r="AI763" s="23" t="n">
        <v>11.7</v>
      </c>
      <c r="AJ763" s="19" t="n">
        <v>0.0104</v>
      </c>
    </row>
    <row r="764">
      <c r="A764" s="16" t="inlineStr">
        <is>
          <t>SUNFLAG</t>
        </is>
      </c>
      <c r="B764" s="16" t="inlineStr">
        <is>
          <t>Sunflag Iron &amp; Steel Company Ltd.</t>
        </is>
      </c>
      <c r="C764" s="16" t="inlineStr">
        <is>
          <t>Iron &amp; Steel/Interm.Products</t>
        </is>
      </c>
      <c r="D764" s="16" t="inlineStr">
        <is>
          <t>Metals &amp; Mining</t>
        </is>
      </c>
      <c r="E764" s="16" t="inlineStr">
        <is>
          <t>INE947A01014</t>
        </is>
      </c>
      <c r="F764" s="17" t="n">
        <v>6194.14</v>
      </c>
      <c r="G764" s="18" t="n">
        <v>343.7</v>
      </c>
      <c r="H764" s="19" t="n">
        <v>-0.008100000000000001</v>
      </c>
      <c r="I764" s="20" t="n">
        <v>67</v>
      </c>
      <c r="J764" s="16" t="inlineStr">
        <is>
          <t>amber</t>
        </is>
      </c>
      <c r="K764" s="20" t="n">
        <v>27</v>
      </c>
      <c r="L764" s="18" t="n">
        <v>34.17</v>
      </c>
      <c r="M764" s="18" t="n">
        <v>345.07</v>
      </c>
      <c r="N764" s="18" t="n">
        <v>353.08</v>
      </c>
      <c r="O764" s="18" t="n">
        <v>299.34</v>
      </c>
      <c r="P764" s="18" t="n">
        <v>415.85</v>
      </c>
      <c r="Q764" s="18" t="n">
        <v>194.1</v>
      </c>
      <c r="R764" s="21">
        <f>IF(OR(G764="",P764=""),"",G764/P764-1)</f>
        <v/>
      </c>
      <c r="S764" s="19" t="n">
        <v>0.4299</v>
      </c>
      <c r="T764" s="22" t="n">
        <v>0.0312</v>
      </c>
      <c r="U764" s="16" t="inlineStr">
        <is>
          <t>Yes</t>
        </is>
      </c>
      <c r="V764" s="16" t="inlineStr">
        <is>
          <t>No</t>
        </is>
      </c>
      <c r="W764" s="16" t="inlineStr">
        <is>
          <t>No</t>
        </is>
      </c>
      <c r="X764" s="16" t="inlineStr">
        <is>
          <t>Yes</t>
        </is>
      </c>
      <c r="Y764" s="20" t="n">
        <v>83</v>
      </c>
      <c r="Z764" s="19" t="n">
        <v>0.1795</v>
      </c>
      <c r="AA764" s="18" t="n">
        <v>32.73</v>
      </c>
      <c r="AB764" s="16" t="inlineStr">
        <is>
          <t>Poor</t>
        </is>
      </c>
      <c r="AC764" s="16" t="inlineStr">
        <is>
          <t>No</t>
        </is>
      </c>
      <c r="AD764" s="19" t="n">
        <v>0.023</v>
      </c>
      <c r="AE764" s="19" t="n">
        <v>0.0382</v>
      </c>
      <c r="AF764" s="19" t="n">
        <v>-0.1647</v>
      </c>
      <c r="AG764" s="19" t="n">
        <v>0.0429</v>
      </c>
      <c r="AH764" s="23" t="n">
        <v>0.06</v>
      </c>
      <c r="AI764" s="23" t="n">
        <v>2.2</v>
      </c>
      <c r="AJ764" s="19" t="n">
        <v>0.1194</v>
      </c>
    </row>
    <row r="765">
      <c r="A765" s="16" t="inlineStr">
        <is>
          <t>SMARTWORKS</t>
        </is>
      </c>
      <c r="B765" s="16" t="inlineStr">
        <is>
          <t>Smartworks Coworking Spaces Ltd.</t>
        </is>
      </c>
      <c r="C765" s="16" t="inlineStr">
        <is>
          <t>Special Consumer Services</t>
        </is>
      </c>
      <c r="D765" s="16" t="inlineStr">
        <is>
          <t>Diversified Consumer Services</t>
        </is>
      </c>
      <c r="E765" s="16" t="inlineStr">
        <is>
          <t>INE0NAZ01010</t>
        </is>
      </c>
      <c r="F765" s="17" t="n">
        <v>6193.74</v>
      </c>
      <c r="G765" s="18" t="n">
        <v>541.5</v>
      </c>
      <c r="H765" s="19" t="n">
        <v>0.019</v>
      </c>
      <c r="I765" s="20" t="n">
        <v>66</v>
      </c>
      <c r="J765" s="16" t="inlineStr">
        <is>
          <t>amber</t>
        </is>
      </c>
      <c r="K765" s="20" t="n">
        <v>11</v>
      </c>
      <c r="L765" s="18" t="n">
        <v>70.75</v>
      </c>
      <c r="M765" s="18" t="n">
        <v>535.38</v>
      </c>
      <c r="N765" s="18" t="n">
        <v>492.73</v>
      </c>
      <c r="O765" s="18" t="n">
        <v>457.85</v>
      </c>
      <c r="P765" s="18" t="n">
        <v>606.65</v>
      </c>
      <c r="Q765" s="18" t="n">
        <v>372.45</v>
      </c>
      <c r="R765" s="21">
        <f>IF(OR(G765="",P765=""),"",G765/P765-1)</f>
        <v/>
      </c>
      <c r="S765" s="19" t="n">
        <v>0.3869</v>
      </c>
      <c r="T765" s="22" t="n">
        <v>-0.0127</v>
      </c>
      <c r="U765" s="16" t="inlineStr">
        <is>
          <t>No</t>
        </is>
      </c>
      <c r="V765" s="16" t="inlineStr">
        <is>
          <t>Yes</t>
        </is>
      </c>
      <c r="W765" s="16" t="inlineStr">
        <is>
          <t>Yes</t>
        </is>
      </c>
      <c r="X765" s="16" t="inlineStr">
        <is>
          <t>Yes</t>
        </is>
      </c>
      <c r="Y765" s="20" t="n">
        <v>27</v>
      </c>
      <c r="Z765" s="19" t="n">
        <v>0.0762</v>
      </c>
      <c r="AA765" s="18" t="n">
        <v>5.97</v>
      </c>
      <c r="AB765" s="16" t="inlineStr">
        <is>
          <t>Poor</t>
        </is>
      </c>
      <c r="AC765" s="16" t="inlineStr">
        <is>
          <t>No</t>
        </is>
      </c>
      <c r="AD765" s="19" t="n">
        <v>-1.5986</v>
      </c>
      <c r="AE765" s="19" t="n">
        <v>0.0554</v>
      </c>
      <c r="AF765" s="19" t="n">
        <v>0.1201</v>
      </c>
      <c r="AG765" s="19" t="n">
        <v>0.3915</v>
      </c>
      <c r="AH765" s="23" t="n">
        <v>34.64</v>
      </c>
      <c r="AI765" s="23" t="n">
        <v>0.35</v>
      </c>
      <c r="AJ765" s="19" t="n">
        <v>0.0362</v>
      </c>
    </row>
    <row r="766">
      <c r="A766" s="16" t="inlineStr">
        <is>
          <t>GREENLAM</t>
        </is>
      </c>
      <c r="B766" s="16" t="inlineStr">
        <is>
          <t>Greenlam Industries Ltd.</t>
        </is>
      </c>
      <c r="C766" s="16" t="inlineStr">
        <is>
          <t>Furniture-Furnishing</t>
        </is>
      </c>
      <c r="D766" s="16" t="inlineStr">
        <is>
          <t>Diversified Consumer Services</t>
        </is>
      </c>
      <c r="E766" s="16" t="inlineStr">
        <is>
          <t>INE544R01021</t>
        </is>
      </c>
      <c r="F766" s="17" t="n">
        <v>6190.39</v>
      </c>
      <c r="G766" s="18" t="n">
        <v>242.62</v>
      </c>
      <c r="H766" s="19" t="n">
        <v>-0.0063</v>
      </c>
      <c r="I766" s="20" t="n">
        <v>40</v>
      </c>
      <c r="J766" s="16" t="inlineStr">
        <is>
          <t>red</t>
        </is>
      </c>
      <c r="K766" s="20" t="n">
        <v>20</v>
      </c>
      <c r="L766" s="18" t="n">
        <v>34.29</v>
      </c>
      <c r="M766" s="18" t="n">
        <v>244.53</v>
      </c>
      <c r="N766" s="18" t="n">
        <v>252.71</v>
      </c>
      <c r="O766" s="18" t="n">
        <v>241.48</v>
      </c>
      <c r="P766" s="18" t="n">
        <v>273.7</v>
      </c>
      <c r="Q766" s="18" t="n">
        <v>202.03</v>
      </c>
      <c r="R766" s="21">
        <f>IF(OR(G766="",P766=""),"",G766/P766-1)</f>
        <v/>
      </c>
      <c r="S766" s="19" t="n">
        <v>0.0771</v>
      </c>
      <c r="T766" s="22" t="n">
        <v>-0.005600000000000001</v>
      </c>
      <c r="U766" s="16" t="inlineStr">
        <is>
          <t>No</t>
        </is>
      </c>
      <c r="V766" s="16" t="inlineStr">
        <is>
          <t>No</t>
        </is>
      </c>
      <c r="W766" s="16" t="inlineStr">
        <is>
          <t>No</t>
        </is>
      </c>
      <c r="X766" s="16" t="inlineStr">
        <is>
          <t>Yes</t>
        </is>
      </c>
      <c r="Y766" s="20" t="n">
        <v>39</v>
      </c>
      <c r="Z766" s="19" t="n">
        <v>0.04650000000000001</v>
      </c>
      <c r="AA766" s="18" t="n">
        <v>26.32</v>
      </c>
      <c r="AB766" s="16" t="inlineStr">
        <is>
          <t>Poor</t>
        </is>
      </c>
      <c r="AC766" s="16" t="inlineStr">
        <is>
          <t>No</t>
        </is>
      </c>
      <c r="AD766" s="19" t="n">
        <v>0.0793</v>
      </c>
      <c r="AE766" s="19" t="n">
        <v>0.08550000000000001</v>
      </c>
      <c r="AF766" s="19" t="n">
        <v>-0.4847</v>
      </c>
      <c r="AG766" s="19" t="n">
        <v>0.1485</v>
      </c>
      <c r="AH766" s="23" t="n">
        <v>0.98</v>
      </c>
      <c r="AI766" s="23" t="n">
        <v>1.74</v>
      </c>
      <c r="AJ766" s="19" t="n">
        <v>0.008199999999999999</v>
      </c>
    </row>
    <row r="767">
      <c r="A767" s="16" t="inlineStr">
        <is>
          <t>PRAJIND</t>
        </is>
      </c>
      <c r="B767" s="16" t="inlineStr">
        <is>
          <t>Praj Industries Ltd.</t>
        </is>
      </c>
      <c r="C767" s="16" t="inlineStr">
        <is>
          <t>Industrial Machinery</t>
        </is>
      </c>
      <c r="D767" s="16" t="inlineStr">
        <is>
          <t>General Industrials</t>
        </is>
      </c>
      <c r="E767" s="16" t="inlineStr">
        <is>
          <t>INE074A01025</t>
        </is>
      </c>
      <c r="F767" s="17" t="n">
        <v>6167.85</v>
      </c>
      <c r="G767" s="18" t="n">
        <v>335.55</v>
      </c>
      <c r="H767" s="19" t="n">
        <v>-0.0177</v>
      </c>
      <c r="I767" s="20" t="n">
        <v>36</v>
      </c>
      <c r="J767" s="16" t="inlineStr">
        <is>
          <t>red</t>
        </is>
      </c>
      <c r="K767" s="20" t="n">
        <v>71</v>
      </c>
      <c r="L767" s="18" t="n">
        <v>50.82</v>
      </c>
      <c r="M767" s="18" t="n">
        <v>343.55</v>
      </c>
      <c r="N767" s="18" t="n">
        <v>336.3</v>
      </c>
      <c r="O767" s="18" t="n">
        <v>332.22</v>
      </c>
      <c r="P767" s="18" t="n">
        <v>410.79</v>
      </c>
      <c r="Q767" s="18" t="n">
        <v>273.02</v>
      </c>
      <c r="R767" s="21">
        <f>IF(OR(G767="",P767=""),"",G767/P767-1)</f>
        <v/>
      </c>
      <c r="S767" s="19" t="n">
        <v>0.3787</v>
      </c>
      <c r="T767" s="22" t="n">
        <v>0.002</v>
      </c>
      <c r="U767" s="16" t="inlineStr">
        <is>
          <t>Yes</t>
        </is>
      </c>
      <c r="V767" s="16" t="inlineStr">
        <is>
          <t>No</t>
        </is>
      </c>
      <c r="W767" s="16" t="inlineStr">
        <is>
          <t>No</t>
        </is>
      </c>
      <c r="X767" s="16" t="inlineStr">
        <is>
          <t>Yes</t>
        </is>
      </c>
      <c r="Y767" s="20" t="n">
        <v>81</v>
      </c>
      <c r="Z767" s="19" t="n">
        <v>0.0123</v>
      </c>
      <c r="AA767" s="18" t="n">
        <v>40</v>
      </c>
      <c r="AB767" s="16" t="inlineStr">
        <is>
          <t>Weak</t>
        </is>
      </c>
      <c r="AC767" s="16" t="inlineStr">
        <is>
          <t>No</t>
        </is>
      </c>
      <c r="AD767" s="19" t="n">
        <v>0.133</v>
      </c>
      <c r="AE767" s="19" t="n">
        <v>0.1722</v>
      </c>
      <c r="AF767" s="19" t="n">
        <v>-0.3123</v>
      </c>
      <c r="AG767" s="19" t="n">
        <v>-0.0321</v>
      </c>
      <c r="AH767" s="23" t="n">
        <v>0.13</v>
      </c>
      <c r="AI767" s="23" t="n">
        <v>6.9</v>
      </c>
      <c r="AJ767" s="19" t="n">
        <v>0.0141</v>
      </c>
    </row>
    <row r="768">
      <c r="A768" s="16" t="inlineStr">
        <is>
          <t>LCL</t>
        </is>
      </c>
      <c r="B768" s="16" t="inlineStr">
        <is>
          <t>Lohia Corp Ltd.</t>
        </is>
      </c>
      <c r="C768" s="16" t="inlineStr">
        <is>
          <t>Industrial Machinery</t>
        </is>
      </c>
      <c r="D768" s="16" t="inlineStr">
        <is>
          <t>General Industrials</t>
        </is>
      </c>
      <c r="E768" s="16" t="inlineStr">
        <is>
          <t>INE0QJW01029</t>
        </is>
      </c>
      <c r="F768" s="17" t="n">
        <v>6143.55</v>
      </c>
      <c r="G768" s="18" t="n">
        <v>581.5</v>
      </c>
      <c r="H768" s="19" t="n">
        <v>0.0507</v>
      </c>
      <c r="I768" s="20" t="n"/>
      <c r="J768" s="16" t="n"/>
      <c r="K768" s="20" t="n"/>
      <c r="L768" s="18" t="n">
        <v>58.16</v>
      </c>
      <c r="M768" s="18" t="n">
        <v>562.54</v>
      </c>
      <c r="N768" s="18" t="n"/>
      <c r="O768" s="18" t="n"/>
      <c r="P768" s="18" t="n">
        <v>598.2</v>
      </c>
      <c r="Q768" s="18" t="n">
        <v>494.6</v>
      </c>
      <c r="R768" s="21">
        <f>IF(OR(G768="",P768=""),"",G768/P768-1)</f>
        <v/>
      </c>
      <c r="S768" s="19" t="n">
        <v>0.8001</v>
      </c>
      <c r="T768" s="22" t="n"/>
      <c r="U768" s="16" t="n"/>
      <c r="V768" s="16" t="n"/>
      <c r="W768" s="16" t="inlineStr">
        <is>
          <t>Yes</t>
        </is>
      </c>
      <c r="X768" s="16" t="n"/>
      <c r="Y768" s="20" t="n"/>
      <c r="Z768" s="19" t="n"/>
      <c r="AA768" s="18" t="n">
        <v>40</v>
      </c>
      <c r="AB768" s="16" t="inlineStr">
        <is>
          <t>Weak</t>
        </is>
      </c>
      <c r="AC768" s="16" t="inlineStr">
        <is>
          <t>No</t>
        </is>
      </c>
      <c r="AD768" s="19" t="n">
        <v>0.3443</v>
      </c>
      <c r="AE768" s="19" t="n">
        <v>0.3446</v>
      </c>
      <c r="AF768" s="19" t="n">
        <v>-1</v>
      </c>
      <c r="AG768" s="19" t="n">
        <v>0.253</v>
      </c>
      <c r="AH768" s="23" t="n">
        <v>0.34</v>
      </c>
      <c r="AI768" s="23" t="n">
        <v>4.39</v>
      </c>
      <c r="AJ768" s="19" t="n">
        <v>0.0264</v>
      </c>
    </row>
    <row r="769">
      <c r="A769" s="16" t="inlineStr">
        <is>
          <t>VIKRAMSOLR</t>
        </is>
      </c>
      <c r="B769" s="16" t="inlineStr">
        <is>
          <t>Vikram Solar Ltd.</t>
        </is>
      </c>
      <c r="C769" s="16" t="inlineStr">
        <is>
          <t>Other Electrical Equipment/Products</t>
        </is>
      </c>
      <c r="D769" s="16" t="inlineStr">
        <is>
          <t>Consumer Durables</t>
        </is>
      </c>
      <c r="E769" s="16" t="inlineStr">
        <is>
          <t>INE078V01014</t>
        </is>
      </c>
      <c r="F769" s="17" t="n">
        <v>6103.86</v>
      </c>
      <c r="G769" s="18" t="n">
        <v>168.45</v>
      </c>
      <c r="H769" s="19" t="n">
        <v>-0.0186</v>
      </c>
      <c r="I769" s="20" t="n">
        <v>5</v>
      </c>
      <c r="J769" s="16" t="inlineStr">
        <is>
          <t>red</t>
        </is>
      </c>
      <c r="K769" s="20" t="n">
        <v>195</v>
      </c>
      <c r="L769" s="18" t="n">
        <v>26.97</v>
      </c>
      <c r="M769" s="18" t="n">
        <v>170.52</v>
      </c>
      <c r="N769" s="18" t="n">
        <v>178.53</v>
      </c>
      <c r="O769" s="18" t="n">
        <v>205.86</v>
      </c>
      <c r="P769" s="18" t="n">
        <v>378.8</v>
      </c>
      <c r="Q769" s="18" t="n">
        <v>156.8</v>
      </c>
      <c r="R769" s="21">
        <f>IF(OR(G769="",P769=""),"",G769/P769-1)</f>
        <v/>
      </c>
      <c r="S769" s="19" t="n">
        <v>0.6559</v>
      </c>
      <c r="T769" s="22" t="n">
        <v>-0.0693</v>
      </c>
      <c r="U769" s="16" t="inlineStr">
        <is>
          <t>No</t>
        </is>
      </c>
      <c r="V769" s="16" t="inlineStr">
        <is>
          <t>No</t>
        </is>
      </c>
      <c r="W769" s="16" t="inlineStr">
        <is>
          <t>No</t>
        </is>
      </c>
      <c r="X769" s="16" t="inlineStr">
        <is>
          <t>No</t>
        </is>
      </c>
      <c r="Y769" s="20" t="n">
        <v>59</v>
      </c>
      <c r="Z769" s="19" t="n">
        <v>-0.1327</v>
      </c>
      <c r="AA769" s="18" t="n">
        <v>70.33</v>
      </c>
      <c r="AB769" s="16" t="inlineStr">
        <is>
          <t>High</t>
        </is>
      </c>
      <c r="AC769" s="16" t="inlineStr">
        <is>
          <t>No</t>
        </is>
      </c>
      <c r="AD769" s="19" t="n">
        <v>0.1467</v>
      </c>
      <c r="AE769" s="19" t="n">
        <v>0.2011</v>
      </c>
      <c r="AF769" s="19" t="n">
        <v>1.4197</v>
      </c>
      <c r="AG769" s="19" t="n">
        <v>0.3258</v>
      </c>
      <c r="AH769" s="23" t="n">
        <v>0.2</v>
      </c>
      <c r="AI769" s="23" t="n">
        <v>2.8</v>
      </c>
      <c r="AJ769" s="19" t="n">
        <v>0.3547999999999999</v>
      </c>
    </row>
    <row r="770">
      <c r="A770" s="16" t="inlineStr">
        <is>
          <t>SIS</t>
        </is>
      </c>
      <c r="B770" s="16" t="inlineStr">
        <is>
          <t>SIS Ltd.</t>
        </is>
      </c>
      <c r="C770" s="16" t="inlineStr">
        <is>
          <t>Misc. Commercial Services</t>
        </is>
      </c>
      <c r="D770" s="16" t="inlineStr">
        <is>
          <t>Commercial Services &amp; Supplies</t>
        </is>
      </c>
      <c r="E770" s="16" t="inlineStr">
        <is>
          <t>INE285J01028</t>
        </is>
      </c>
      <c r="F770" s="17" t="n">
        <v>6090.66</v>
      </c>
      <c r="G770" s="18" t="n">
        <v>430.95</v>
      </c>
      <c r="H770" s="19" t="n">
        <v>-0.0112</v>
      </c>
      <c r="I770" s="20" t="n">
        <v>68</v>
      </c>
      <c r="J770" s="16" t="inlineStr">
        <is>
          <t>amber</t>
        </is>
      </c>
      <c r="K770" s="20" t="n">
        <v>30</v>
      </c>
      <c r="L770" s="18" t="n">
        <v>64.68000000000001</v>
      </c>
      <c r="M770" s="18" t="n">
        <v>428.35</v>
      </c>
      <c r="N770" s="18" t="n">
        <v>429.06</v>
      </c>
      <c r="O770" s="18" t="n">
        <v>362.62</v>
      </c>
      <c r="P770" s="18" t="n">
        <v>441.5</v>
      </c>
      <c r="Q770" s="18" t="n">
        <v>263.75</v>
      </c>
      <c r="R770" s="21">
        <f>IF(OR(G770="",P770=""),"",G770/P770-1)</f>
        <v/>
      </c>
      <c r="S770" s="19" t="n">
        <v>1.929</v>
      </c>
      <c r="T770" s="22" t="n">
        <v>0.0267</v>
      </c>
      <c r="U770" s="16" t="inlineStr">
        <is>
          <t>Yes</t>
        </is>
      </c>
      <c r="V770" s="16" t="inlineStr">
        <is>
          <t>Yes</t>
        </is>
      </c>
      <c r="W770" s="16" t="inlineStr">
        <is>
          <t>Yes</t>
        </is>
      </c>
      <c r="X770" s="16" t="inlineStr">
        <is>
          <t>Yes</t>
        </is>
      </c>
      <c r="Y770" s="20" t="n">
        <v>75</v>
      </c>
      <c r="Z770" s="19" t="n">
        <v>0.1832</v>
      </c>
      <c r="AA770" s="18" t="n">
        <v>43.91</v>
      </c>
      <c r="AB770" s="16" t="inlineStr">
        <is>
          <t>Average</t>
        </is>
      </c>
      <c r="AC770" s="16" t="inlineStr">
        <is>
          <t>No</t>
        </is>
      </c>
      <c r="AD770" s="19" t="n">
        <v>0.0459</v>
      </c>
      <c r="AE770" s="19" t="n">
        <v>0.0751</v>
      </c>
      <c r="AF770" s="19" t="n">
        <v>3.1765</v>
      </c>
      <c r="AG770" s="19" t="n">
        <v>0.122</v>
      </c>
      <c r="AH770" s="23" t="n">
        <v>0.7</v>
      </c>
      <c r="AI770" s="23" t="n">
        <v>21.35</v>
      </c>
      <c r="AJ770" s="19" t="n">
        <v>0.008800000000000001</v>
      </c>
    </row>
    <row r="771">
      <c r="A771" s="16" t="inlineStr">
        <is>
          <t>TRIVENI</t>
        </is>
      </c>
      <c r="B771" s="16" t="inlineStr">
        <is>
          <t>Triveni Engineering &amp; Industries Ltd.</t>
        </is>
      </c>
      <c r="C771" s="16" t="inlineStr">
        <is>
          <t>Sugar</t>
        </is>
      </c>
      <c r="D771" s="16" t="inlineStr">
        <is>
          <t>Food, Beverages &amp; Tobacco</t>
        </is>
      </c>
      <c r="E771" s="16" t="inlineStr">
        <is>
          <t>INE256C01024</t>
        </is>
      </c>
      <c r="F771" s="17" t="n">
        <v>6074.31</v>
      </c>
      <c r="G771" s="18" t="n">
        <v>275.65</v>
      </c>
      <c r="H771" s="19" t="n">
        <v>-0.0173</v>
      </c>
      <c r="I771" s="20" t="n">
        <v>5</v>
      </c>
      <c r="J771" s="16" t="inlineStr">
        <is>
          <t>red</t>
        </is>
      </c>
      <c r="K771" s="20" t="n">
        <v>33</v>
      </c>
      <c r="L771" s="18" t="n">
        <v>48.5</v>
      </c>
      <c r="M771" s="18" t="n">
        <v>282.55</v>
      </c>
      <c r="N771" s="18" t="n">
        <v>327.58</v>
      </c>
      <c r="O771" s="18" t="n">
        <v>363.46</v>
      </c>
      <c r="P771" s="18" t="n">
        <v>475.05</v>
      </c>
      <c r="Q771" s="18" t="n">
        <v>220.52</v>
      </c>
      <c r="R771" s="21">
        <f>IF(OR(G771="",P771=""),"",G771/P771-1)</f>
        <v/>
      </c>
      <c r="S771" s="19" t="n">
        <v>0.3779</v>
      </c>
      <c r="T771" s="22" t="n">
        <v>-0.0219</v>
      </c>
      <c r="U771" s="16" t="inlineStr">
        <is>
          <t>No</t>
        </is>
      </c>
      <c r="V771" s="16" t="inlineStr">
        <is>
          <t>No</t>
        </is>
      </c>
      <c r="W771" s="16" t="inlineStr">
        <is>
          <t>No</t>
        </is>
      </c>
      <c r="X771" s="16" t="inlineStr">
        <is>
          <t>No</t>
        </is>
      </c>
      <c r="Y771" s="20" t="n">
        <v>20</v>
      </c>
      <c r="Z771" s="19" t="n">
        <v>-0.0987</v>
      </c>
      <c r="AA771" s="18" t="n">
        <v>27.77</v>
      </c>
      <c r="AB771" s="16" t="inlineStr">
        <is>
          <t>Poor</t>
        </is>
      </c>
      <c r="AC771" s="16" t="inlineStr">
        <is>
          <t>No</t>
        </is>
      </c>
      <c r="AD771" s="19" t="n">
        <v>0.0983</v>
      </c>
      <c r="AE771" s="19" t="n">
        <v>0.0999</v>
      </c>
      <c r="AF771" s="19" t="n">
        <v>-0.3449</v>
      </c>
      <c r="AG771" s="19" t="n">
        <v>0.0441</v>
      </c>
      <c r="AH771" s="23" t="n">
        <v>0.65</v>
      </c>
      <c r="AI771" s="23" t="n">
        <v>2.62</v>
      </c>
      <c r="AJ771" s="19" t="n">
        <v>0.0058</v>
      </c>
    </row>
    <row r="772">
      <c r="A772" s="16" t="inlineStr">
        <is>
          <t>PICCADIL</t>
        </is>
      </c>
      <c r="B772" s="16" t="inlineStr">
        <is>
          <t>Piccadily Agro Industries Ltd.</t>
        </is>
      </c>
      <c r="C772" s="16" t="inlineStr">
        <is>
          <t>Sugar</t>
        </is>
      </c>
      <c r="D772" s="16" t="inlineStr">
        <is>
          <t>Food, Beverages &amp; Tobacco</t>
        </is>
      </c>
      <c r="E772" s="16" t="inlineStr">
        <is>
          <t>INE546C01010</t>
        </is>
      </c>
      <c r="F772" s="17" t="n">
        <v>6069.54</v>
      </c>
      <c r="G772" s="18" t="n">
        <v>615.75</v>
      </c>
      <c r="H772" s="19" t="n">
        <v>-0.0077</v>
      </c>
      <c r="I772" s="20" t="n">
        <v>49</v>
      </c>
      <c r="J772" s="16" t="inlineStr">
        <is>
          <t>red</t>
        </is>
      </c>
      <c r="K772" s="20" t="n">
        <v>7</v>
      </c>
      <c r="L772" s="18" t="n">
        <v>14.92</v>
      </c>
      <c r="M772" s="18" t="n">
        <v>637.25</v>
      </c>
      <c r="N772" s="18" t="n">
        <v>692.24</v>
      </c>
      <c r="O772" s="18" t="n">
        <v>607.5700000000001</v>
      </c>
      <c r="P772" s="18" t="n">
        <v>784.5</v>
      </c>
      <c r="Q772" s="18" t="n">
        <v>517.35</v>
      </c>
      <c r="R772" s="21">
        <f>IF(OR(G772="",P772=""),"",G772/P772-1)</f>
        <v/>
      </c>
      <c r="S772" s="19" t="n">
        <v>0.4477</v>
      </c>
      <c r="T772" s="22" t="n">
        <v>0.0034</v>
      </c>
      <c r="U772" s="16" t="inlineStr">
        <is>
          <t>Yes</t>
        </is>
      </c>
      <c r="V772" s="16" t="inlineStr">
        <is>
          <t>No</t>
        </is>
      </c>
      <c r="W772" s="16" t="inlineStr">
        <is>
          <t>No</t>
        </is>
      </c>
      <c r="X772" s="16" t="inlineStr">
        <is>
          <t>Yes</t>
        </is>
      </c>
      <c r="Y772" s="20" t="n">
        <v>38</v>
      </c>
      <c r="Z772" s="19" t="n">
        <v>0.1394</v>
      </c>
      <c r="AA772" s="18" t="n">
        <v>63.1</v>
      </c>
      <c r="AB772" s="16" t="inlineStr">
        <is>
          <t>Good</t>
        </is>
      </c>
      <c r="AC772" s="16" t="inlineStr">
        <is>
          <t>No</t>
        </is>
      </c>
      <c r="AD772" s="19" t="n">
        <v>0.2089</v>
      </c>
      <c r="AE772" s="19" t="n">
        <v>0.213</v>
      </c>
      <c r="AF772" s="19" t="n">
        <v>1.3879</v>
      </c>
      <c r="AG772" s="19" t="n">
        <v>0.1981</v>
      </c>
      <c r="AH772" s="23" t="n">
        <v>0.59</v>
      </c>
      <c r="AI772" s="23" t="n">
        <v>1.58</v>
      </c>
      <c r="AJ772" s="19" t="n">
        <v>0.1114</v>
      </c>
    </row>
    <row r="773">
      <c r="A773" s="16" t="inlineStr">
        <is>
          <t>KPIGREEN</t>
        </is>
      </c>
      <c r="B773" s="16" t="inlineStr">
        <is>
          <t>KPI Green Energy Ltd.</t>
        </is>
      </c>
      <c r="C773" s="16" t="inlineStr">
        <is>
          <t>Green &amp; Renewable Energy</t>
        </is>
      </c>
      <c r="D773" s="16" t="inlineStr">
        <is>
          <t>Utilities</t>
        </is>
      </c>
      <c r="E773" s="16" t="inlineStr">
        <is>
          <t>INE542W01025</t>
        </is>
      </c>
      <c r="F773" s="17" t="n">
        <v>6068.53</v>
      </c>
      <c r="G773" s="18" t="n">
        <v>307</v>
      </c>
      <c r="H773" s="19" t="n">
        <v>0.0124</v>
      </c>
      <c r="I773" s="20" t="n">
        <v>5</v>
      </c>
      <c r="J773" s="16" t="inlineStr">
        <is>
          <t>red</t>
        </is>
      </c>
      <c r="K773" s="20" t="n">
        <v>85</v>
      </c>
      <c r="L773" s="18" t="n">
        <v>53.53</v>
      </c>
      <c r="M773" s="18" t="n">
        <v>310.02</v>
      </c>
      <c r="N773" s="18" t="n">
        <v>363.95</v>
      </c>
      <c r="O773" s="18" t="n">
        <v>404.68</v>
      </c>
      <c r="P773" s="18" t="n">
        <v>538.25</v>
      </c>
      <c r="Q773" s="18" t="n">
        <v>303.1</v>
      </c>
      <c r="R773" s="21">
        <f>IF(OR(G773="",P773=""),"",G773/P773-1)</f>
        <v/>
      </c>
      <c r="S773" s="19" t="n">
        <v>0.4027000000000001</v>
      </c>
      <c r="T773" s="22" t="n">
        <v>-0.0435</v>
      </c>
      <c r="U773" s="16" t="inlineStr">
        <is>
          <t>No</t>
        </is>
      </c>
      <c r="V773" s="16" t="inlineStr">
        <is>
          <t>No</t>
        </is>
      </c>
      <c r="W773" s="16" t="inlineStr">
        <is>
          <t>No</t>
        </is>
      </c>
      <c r="X773" s="16" t="inlineStr">
        <is>
          <t>No</t>
        </is>
      </c>
      <c r="Y773" s="20" t="n">
        <v>185</v>
      </c>
      <c r="Z773" s="19" t="n">
        <v>-0.1007</v>
      </c>
      <c r="AA773" s="18" t="n">
        <v>51.72</v>
      </c>
      <c r="AB773" s="16" t="inlineStr">
        <is>
          <t>Average</t>
        </is>
      </c>
      <c r="AC773" s="16" t="inlineStr">
        <is>
          <t>No</t>
        </is>
      </c>
      <c r="AD773" s="19" t="n">
        <v>0.1607</v>
      </c>
      <c r="AE773" s="19" t="n">
        <v>0.1329</v>
      </c>
      <c r="AF773" s="19" t="n">
        <v>0.5506</v>
      </c>
      <c r="AG773" s="19" t="n">
        <v>0.6129</v>
      </c>
      <c r="AH773" s="23" t="n">
        <v>1.71</v>
      </c>
      <c r="AI773" s="23" t="n">
        <v>0.5</v>
      </c>
      <c r="AJ773" s="19" t="n">
        <v>0.1717</v>
      </c>
    </row>
    <row r="774">
      <c r="A774" s="16" t="inlineStr">
        <is>
          <t>FEDFINA</t>
        </is>
      </c>
      <c r="B774" s="16" t="inlineStr">
        <is>
          <t>Fedbank Financial Services Ltd.</t>
        </is>
      </c>
      <c r="C774" s="16" t="inlineStr">
        <is>
          <t>Finance (including NBFCs)</t>
        </is>
      </c>
      <c r="D774" s="16" t="inlineStr">
        <is>
          <t>Banking and Finance</t>
        </is>
      </c>
      <c r="E774" s="16" t="inlineStr">
        <is>
          <t>INE007N01010</t>
        </is>
      </c>
      <c r="F774" s="17" t="n">
        <v>6060.11</v>
      </c>
      <c r="G774" s="18" t="n">
        <v>161.56</v>
      </c>
      <c r="H774" s="19" t="n">
        <v>0.0234</v>
      </c>
      <c r="I774" s="20" t="n">
        <v>58</v>
      </c>
      <c r="J774" s="16" t="inlineStr">
        <is>
          <t>red</t>
        </is>
      </c>
      <c r="K774" s="20" t="n">
        <v>27</v>
      </c>
      <c r="L774" s="18" t="n">
        <v>70</v>
      </c>
      <c r="M774" s="18" t="n">
        <v>158.43</v>
      </c>
      <c r="N774" s="18" t="n">
        <v>154.22</v>
      </c>
      <c r="O774" s="18" t="n">
        <v>148.33</v>
      </c>
      <c r="P774" s="18" t="n">
        <v>176.39</v>
      </c>
      <c r="Q774" s="18" t="n">
        <v>120.82</v>
      </c>
      <c r="R774" s="21">
        <f>IF(OR(G774="",P774=""),"",G774/P774-1)</f>
        <v/>
      </c>
      <c r="S774" s="19" t="n">
        <v>0.9323</v>
      </c>
      <c r="T774" s="22" t="n">
        <v>0.009000000000000001</v>
      </c>
      <c r="U774" s="16" t="inlineStr">
        <is>
          <t>Yes</t>
        </is>
      </c>
      <c r="V774" s="16" t="inlineStr">
        <is>
          <t>Yes</t>
        </is>
      </c>
      <c r="W774" s="16" t="inlineStr">
        <is>
          <t>Yes</t>
        </is>
      </c>
      <c r="X774" s="16" t="inlineStr">
        <is>
          <t>Yes</t>
        </is>
      </c>
      <c r="Y774" s="20" t="n">
        <v>72</v>
      </c>
      <c r="Z774" s="19" t="n">
        <v>0.0397</v>
      </c>
      <c r="AA774" s="18" t="n">
        <v>45.83</v>
      </c>
      <c r="AB774" s="16" t="inlineStr">
        <is>
          <t>Average</t>
        </is>
      </c>
      <c r="AC774" s="16" t="inlineStr">
        <is>
          <t>Yes</t>
        </is>
      </c>
      <c r="AD774" s="19" t="n">
        <v>0.1047</v>
      </c>
      <c r="AE774" s="19" t="n">
        <v>0.0346</v>
      </c>
      <c r="AF774" s="19" t="n">
        <v>0.2114</v>
      </c>
      <c r="AG774" s="19" t="n">
        <v>0.2477</v>
      </c>
      <c r="AH774" s="23" t="n">
        <v>4.36</v>
      </c>
      <c r="AI774" s="23" t="n">
        <v>10.12</v>
      </c>
      <c r="AJ774" s="19" t="n">
        <v>0.008100000000000001</v>
      </c>
    </row>
    <row r="775">
      <c r="A775" s="16" t="inlineStr">
        <is>
          <t>HCC</t>
        </is>
      </c>
      <c r="B775" s="16" t="inlineStr">
        <is>
          <t>Hindustan Construction Company Ltd.</t>
        </is>
      </c>
      <c r="C775" s="16" t="inlineStr">
        <is>
          <t>Construction &amp; Engineering</t>
        </is>
      </c>
      <c r="D775" s="16" t="inlineStr">
        <is>
          <t>Cement and Construction</t>
        </is>
      </c>
      <c r="E775" s="16" t="inlineStr">
        <is>
          <t>INE549A01026</t>
        </is>
      </c>
      <c r="F775" s="17" t="n">
        <v>6019.54</v>
      </c>
      <c r="G775" s="18" t="n">
        <v>22.98</v>
      </c>
      <c r="H775" s="19" t="n">
        <v>-0.006500000000000001</v>
      </c>
      <c r="I775" s="20" t="n">
        <v>48</v>
      </c>
      <c r="J775" s="16" t="inlineStr">
        <is>
          <t>red</t>
        </is>
      </c>
      <c r="K775" s="20" t="n">
        <v>5</v>
      </c>
      <c r="L775" s="18" t="n">
        <v>65.83</v>
      </c>
      <c r="M775" s="18" t="n">
        <v>23.75</v>
      </c>
      <c r="N775" s="18" t="n">
        <v>22.47</v>
      </c>
      <c r="O775" s="18" t="n">
        <v>20.61</v>
      </c>
      <c r="P775" s="18" t="n">
        <v>29.46</v>
      </c>
      <c r="Q775" s="18" t="n">
        <v>13.73</v>
      </c>
      <c r="R775" s="21">
        <f>IF(OR(G775="",P775=""),"",G775/P775-1)</f>
        <v/>
      </c>
      <c r="S775" s="19" t="n">
        <v>0.62</v>
      </c>
      <c r="T775" s="22" t="n">
        <v>-0.0244</v>
      </c>
      <c r="U775" s="16" t="inlineStr">
        <is>
          <t>No</t>
        </is>
      </c>
      <c r="V775" s="16" t="inlineStr">
        <is>
          <t>Yes</t>
        </is>
      </c>
      <c r="W775" s="16" t="inlineStr">
        <is>
          <t>No</t>
        </is>
      </c>
      <c r="X775" s="16" t="inlineStr">
        <is>
          <t>Yes</t>
        </is>
      </c>
      <c r="Y775" s="20" t="n">
        <v>57</v>
      </c>
      <c r="Z775" s="19" t="n">
        <v>0.09029999999999999</v>
      </c>
      <c r="AA775" s="18" t="n">
        <v>53.58</v>
      </c>
      <c r="AB775" s="16" t="inlineStr">
        <is>
          <t>Good</t>
        </is>
      </c>
      <c r="AC775" s="16" t="inlineStr">
        <is>
          <t>No</t>
        </is>
      </c>
      <c r="AD775" s="19" t="n">
        <v>-0.8786</v>
      </c>
      <c r="AE775" s="19" t="n">
        <v>0.4552</v>
      </c>
      <c r="AF775" s="19" t="n">
        <v>5.055</v>
      </c>
      <c r="AG775" s="19" t="n">
        <v>-0.2159</v>
      </c>
      <c r="AH775" s="23" t="n">
        <v>0.48</v>
      </c>
      <c r="AI775" s="23" t="n">
        <v>15.87</v>
      </c>
      <c r="AJ775" s="19" t="n">
        <v>0.1693</v>
      </c>
    </row>
    <row r="776">
      <c r="A776" s="16" t="inlineStr">
        <is>
          <t>IONEXCHANG</t>
        </is>
      </c>
      <c r="B776" s="16" t="inlineStr">
        <is>
          <t>Ion Exchange (India) Ltd.</t>
        </is>
      </c>
      <c r="C776" s="16" t="inlineStr">
        <is>
          <t>Utilities:Non-Electrical</t>
        </is>
      </c>
      <c r="D776" s="16" t="inlineStr">
        <is>
          <t>Utilities</t>
        </is>
      </c>
      <c r="E776" s="16" t="inlineStr">
        <is>
          <t>INE570A01022</t>
        </is>
      </c>
      <c r="F776" s="17" t="n">
        <v>6001.6</v>
      </c>
      <c r="G776" s="18" t="n">
        <v>409.2</v>
      </c>
      <c r="H776" s="19" t="n">
        <v>0.0706</v>
      </c>
      <c r="I776" s="20" t="n">
        <v>60</v>
      </c>
      <c r="J776" s="16" t="inlineStr">
        <is>
          <t>amber</t>
        </is>
      </c>
      <c r="K776" s="20" t="n">
        <v>1</v>
      </c>
      <c r="L776" s="18" t="n">
        <v>73.65000000000001</v>
      </c>
      <c r="M776" s="18" t="n">
        <v>377.46</v>
      </c>
      <c r="N776" s="18" t="n">
        <v>401.75</v>
      </c>
      <c r="O776" s="18" t="n">
        <v>376.46</v>
      </c>
      <c r="P776" s="18" t="n">
        <v>466.72</v>
      </c>
      <c r="Q776" s="18" t="n">
        <v>316.18</v>
      </c>
      <c r="R776" s="21">
        <f>IF(OR(G776="",P776=""),"",G776/P776-1)</f>
        <v/>
      </c>
      <c r="S776" s="19" t="n">
        <v>3.3614</v>
      </c>
      <c r="T776" s="22" t="n">
        <v>-0.0029</v>
      </c>
      <c r="U776" s="16" t="inlineStr">
        <is>
          <t>No</t>
        </is>
      </c>
      <c r="V776" s="16" t="inlineStr">
        <is>
          <t>Yes</t>
        </is>
      </c>
      <c r="W776" s="16" t="inlineStr">
        <is>
          <t>Yes</t>
        </is>
      </c>
      <c r="X776" s="16" t="inlineStr">
        <is>
          <t>Yes</t>
        </is>
      </c>
      <c r="Y776" s="20" t="n">
        <v>66</v>
      </c>
      <c r="Z776" s="19" t="n">
        <v>0.0672</v>
      </c>
      <c r="AA776" s="18" t="n">
        <v>40</v>
      </c>
      <c r="AB776" s="16" t="inlineStr">
        <is>
          <t>Weak</t>
        </is>
      </c>
      <c r="AC776" s="16" t="inlineStr">
        <is>
          <t>No</t>
        </is>
      </c>
      <c r="AD776" s="19" t="n">
        <v>0.157</v>
      </c>
      <c r="AE776" s="19" t="n">
        <v>0.1847</v>
      </c>
      <c r="AF776" s="19" t="n">
        <v>-0.0858</v>
      </c>
      <c r="AG776" s="19" t="n">
        <v>0.1391</v>
      </c>
      <c r="AH776" s="23" t="n">
        <v>0.36</v>
      </c>
      <c r="AI776" s="23" t="n">
        <v>3.22</v>
      </c>
      <c r="AJ776" s="19" t="n">
        <v>0.1932</v>
      </c>
    </row>
    <row r="777">
      <c r="A777" s="16" t="inlineStr">
        <is>
          <t>FCL</t>
        </is>
      </c>
      <c r="B777" s="16" t="inlineStr">
        <is>
          <t>Fineotex Chemical Ltd.</t>
        </is>
      </c>
      <c r="C777" s="16" t="inlineStr">
        <is>
          <t>Specialty Chemicals</t>
        </is>
      </c>
      <c r="D777" s="16" t="inlineStr">
        <is>
          <t>Chemicals &amp; Petrochemicals</t>
        </is>
      </c>
      <c r="E777" s="16" t="inlineStr">
        <is>
          <t>INE045J01034</t>
        </is>
      </c>
      <c r="F777" s="17" t="n">
        <v>5998.34</v>
      </c>
      <c r="G777" s="18" t="n">
        <v>51.51</v>
      </c>
      <c r="H777" s="19" t="n">
        <v>0.06509999999999999</v>
      </c>
      <c r="I777" s="20" t="n">
        <v>93</v>
      </c>
      <c r="J777" s="16" t="inlineStr">
        <is>
          <t>green</t>
        </is>
      </c>
      <c r="K777" s="20" t="n">
        <v>80</v>
      </c>
      <c r="L777" s="18" t="n">
        <v>68.23999999999999</v>
      </c>
      <c r="M777" s="18" t="n">
        <v>49.68</v>
      </c>
      <c r="N777" s="18" t="n">
        <v>41.92</v>
      </c>
      <c r="O777" s="18" t="n">
        <v>30.54</v>
      </c>
      <c r="P777" s="18" t="n">
        <v>51.51</v>
      </c>
      <c r="Q777" s="18" t="n">
        <v>19.22</v>
      </c>
      <c r="R777" s="21">
        <f>IF(OR(G777="",P777=""),"",G777/P777-1)</f>
        <v/>
      </c>
      <c r="S777" s="19" t="n">
        <v>1.5265</v>
      </c>
      <c r="T777" s="22" t="n">
        <v>0.0726</v>
      </c>
      <c r="U777" s="16" t="inlineStr">
        <is>
          <t>Yes</t>
        </is>
      </c>
      <c r="V777" s="16" t="inlineStr">
        <is>
          <t>Yes</t>
        </is>
      </c>
      <c r="W777" s="16" t="inlineStr">
        <is>
          <t>Yes</t>
        </is>
      </c>
      <c r="X777" s="16" t="inlineStr">
        <is>
          <t>Yes</t>
        </is>
      </c>
      <c r="Y777" s="20" t="n">
        <v>75</v>
      </c>
      <c r="Z777" s="19" t="n">
        <v>0.3728</v>
      </c>
      <c r="AA777" s="18" t="n">
        <v>40</v>
      </c>
      <c r="AB777" s="16" t="inlineStr">
        <is>
          <t>Weak</t>
        </is>
      </c>
      <c r="AC777" s="16" t="inlineStr">
        <is>
          <t>No</t>
        </is>
      </c>
      <c r="AD777" s="19" t="n">
        <v>0.1797</v>
      </c>
      <c r="AE777" s="19" t="n">
        <v>0.239</v>
      </c>
      <c r="AF777" s="19" t="n">
        <v>-0.1394</v>
      </c>
      <c r="AG777" s="19" t="n">
        <v>0.1627</v>
      </c>
      <c r="AH777" s="23" t="n">
        <v>0.01</v>
      </c>
      <c r="AI777" s="23" t="n">
        <v>3.76</v>
      </c>
      <c r="AJ777" s="19" t="n">
        <v>0.0106</v>
      </c>
    </row>
    <row r="778">
      <c r="A778" s="16" t="inlineStr">
        <is>
          <t>KUSUMGAR</t>
        </is>
      </c>
      <c r="B778" s="16" t="inlineStr">
        <is>
          <t>Kusumgar Ltd.</t>
        </is>
      </c>
      <c r="C778" s="16" t="inlineStr">
        <is>
          <t>Textiles</t>
        </is>
      </c>
      <c r="D778" s="16" t="inlineStr">
        <is>
          <t>Textiles Apparels &amp; Accessories</t>
        </is>
      </c>
      <c r="E778" s="16" t="inlineStr">
        <is>
          <t>INE0ISX01025</t>
        </is>
      </c>
      <c r="F778" s="17" t="n">
        <v>5997.11</v>
      </c>
      <c r="G778" s="18" t="n">
        <v>571.2</v>
      </c>
      <c r="H778" s="19" t="n">
        <v>-0.018</v>
      </c>
      <c r="I778" s="20" t="n"/>
      <c r="J778" s="16" t="n"/>
      <c r="K778" s="20" t="n"/>
      <c r="L778" s="18" t="n">
        <v>43.91</v>
      </c>
      <c r="M778" s="18" t="n">
        <v>573.3</v>
      </c>
      <c r="N778" s="18" t="n"/>
      <c r="O778" s="18" t="n"/>
      <c r="P778" s="18" t="n">
        <v>650.5</v>
      </c>
      <c r="Q778" s="18" t="n">
        <v>563.1</v>
      </c>
      <c r="R778" s="21">
        <f>IF(OR(G778="",P778=""),"",G778/P778-1)</f>
        <v/>
      </c>
      <c r="S778" s="19" t="n">
        <v>0.3519</v>
      </c>
      <c r="T778" s="22" t="n"/>
      <c r="U778" s="16" t="n"/>
      <c r="V778" s="16" t="n"/>
      <c r="W778" s="16" t="inlineStr">
        <is>
          <t>No</t>
        </is>
      </c>
      <c r="X778" s="16" t="n"/>
      <c r="Y778" s="20" t="n"/>
      <c r="Z778" s="19" t="n"/>
      <c r="AA778" s="18" t="n">
        <v>66.5</v>
      </c>
      <c r="AB778" s="16" t="inlineStr">
        <is>
          <t>High</t>
        </is>
      </c>
      <c r="AC778" s="16" t="inlineStr">
        <is>
          <t>No</t>
        </is>
      </c>
      <c r="AD778" s="19" t="n">
        <v>0.4103</v>
      </c>
      <c r="AE778" s="19" t="n">
        <v>0.3179</v>
      </c>
      <c r="AF778" s="19" t="n">
        <v>0.1994</v>
      </c>
      <c r="AG778" s="19" t="n">
        <v>0.3697</v>
      </c>
      <c r="AH778" s="23" t="n">
        <v>0.57</v>
      </c>
      <c r="AI778" s="23" t="n">
        <v>2.03</v>
      </c>
      <c r="AJ778" s="19" t="n">
        <v>0.079</v>
      </c>
    </row>
    <row r="779">
      <c r="A779" s="16" t="inlineStr">
        <is>
          <t>IBULLSLTD</t>
        </is>
      </c>
      <c r="B779" s="16" t="inlineStr">
        <is>
          <t>Indiabulls Ltd.</t>
        </is>
      </c>
      <c r="C779" s="16" t="inlineStr">
        <is>
          <t>Misc. Commercial Services</t>
        </is>
      </c>
      <c r="D779" s="16" t="inlineStr">
        <is>
          <t>Commercial Services &amp; Supplies</t>
        </is>
      </c>
      <c r="E779" s="16" t="inlineStr">
        <is>
          <t>INE126M01010</t>
        </is>
      </c>
      <c r="F779" s="17" t="n">
        <v>5986.77</v>
      </c>
      <c r="G779" s="18" t="n">
        <v>25.67</v>
      </c>
      <c r="H779" s="19" t="n">
        <v>-0.0066</v>
      </c>
      <c r="I779" s="20" t="n">
        <v>85</v>
      </c>
      <c r="J779" s="16" t="inlineStr">
        <is>
          <t>green</t>
        </is>
      </c>
      <c r="K779" s="20" t="n">
        <v>93</v>
      </c>
      <c r="L779" s="18" t="n">
        <v>33.69</v>
      </c>
      <c r="M779" s="18" t="n">
        <v>26.08</v>
      </c>
      <c r="N779" s="18" t="n">
        <v>28.15</v>
      </c>
      <c r="O779" s="18" t="n">
        <v>19.01</v>
      </c>
      <c r="P779" s="18" t="n">
        <v>31.59</v>
      </c>
      <c r="Q779" s="18" t="n">
        <v>9.109999999999999</v>
      </c>
      <c r="R779" s="21">
        <f>IF(OR(G779="",P779=""),"",G779/P779-1)</f>
        <v/>
      </c>
      <c r="S779" s="19" t="n">
        <v>0.8125</v>
      </c>
      <c r="T779" s="22" t="n">
        <v>0.034</v>
      </c>
      <c r="U779" s="16" t="inlineStr">
        <is>
          <t>Yes</t>
        </is>
      </c>
      <c r="V779" s="16" t="inlineStr">
        <is>
          <t>No</t>
        </is>
      </c>
      <c r="W779" s="16" t="inlineStr">
        <is>
          <t>No</t>
        </is>
      </c>
      <c r="X779" s="16" t="inlineStr">
        <is>
          <t>Yes</t>
        </is>
      </c>
      <c r="Y779" s="20" t="n">
        <v>71</v>
      </c>
      <c r="Z779" s="19" t="n">
        <v>0.4803</v>
      </c>
      <c r="AA779" s="18" t="n">
        <v>78.31</v>
      </c>
      <c r="AB779" s="16" t="inlineStr">
        <is>
          <t>High</t>
        </is>
      </c>
      <c r="AC779" s="16" t="inlineStr">
        <is>
          <t>No</t>
        </is>
      </c>
      <c r="AD779" s="19" t="n">
        <v>0.3738</v>
      </c>
      <c r="AE779" s="19" t="n">
        <v>3.0616</v>
      </c>
      <c r="AF779" s="19" t="n">
        <v>0.4039</v>
      </c>
      <c r="AG779" s="19" t="n">
        <v>2800.6935</v>
      </c>
      <c r="AH779" s="23" t="n">
        <v>0.15</v>
      </c>
      <c r="AI779" s="23" t="n">
        <v>4.02</v>
      </c>
      <c r="AJ779" s="19" t="n">
        <v>0</v>
      </c>
    </row>
    <row r="780">
      <c r="A780" s="16" t="inlineStr">
        <is>
          <t>MARINE</t>
        </is>
      </c>
      <c r="B780" s="16" t="inlineStr">
        <is>
          <t>Marine Electricals (India) Ltd.</t>
        </is>
      </c>
      <c r="C780" s="16" t="inlineStr">
        <is>
          <t>Electronic Components</t>
        </is>
      </c>
      <c r="D780" s="16" t="inlineStr">
        <is>
          <t>Commercial Services &amp; Supplies</t>
        </is>
      </c>
      <c r="E780" s="16" t="inlineStr">
        <is>
          <t>INE01JE01028</t>
        </is>
      </c>
      <c r="F780" s="17" t="n">
        <v>5976.39</v>
      </c>
      <c r="G780" s="18" t="n">
        <v>432.15</v>
      </c>
      <c r="H780" s="19" t="n">
        <v>0.004099999999999999</v>
      </c>
      <c r="I780" s="20" t="n">
        <v>95</v>
      </c>
      <c r="J780" s="16" t="inlineStr">
        <is>
          <t>green</t>
        </is>
      </c>
      <c r="K780" s="20" t="n">
        <v>25</v>
      </c>
      <c r="L780" s="18" t="n">
        <v>78.59</v>
      </c>
      <c r="M780" s="18" t="n">
        <v>410.49</v>
      </c>
      <c r="N780" s="18" t="n">
        <v>316.37</v>
      </c>
      <c r="O780" s="18" t="n">
        <v>236.98</v>
      </c>
      <c r="P780" s="18" t="n">
        <v>432.6</v>
      </c>
      <c r="Q780" s="18" t="n">
        <v>151.7</v>
      </c>
      <c r="R780" s="21">
        <f>IF(OR(G780="",P780=""),"",G780/P780-1)</f>
        <v/>
      </c>
      <c r="S780" s="19" t="n">
        <v>0.6156</v>
      </c>
      <c r="T780" s="22" t="n">
        <v>0.0654</v>
      </c>
      <c r="U780" s="16" t="inlineStr">
        <is>
          <t>Yes</t>
        </is>
      </c>
      <c r="V780" s="16" t="inlineStr">
        <is>
          <t>Yes</t>
        </is>
      </c>
      <c r="W780" s="16" t="inlineStr">
        <is>
          <t>Yes</t>
        </is>
      </c>
      <c r="X780" s="16" t="inlineStr">
        <is>
          <t>Yes</t>
        </is>
      </c>
      <c r="Y780" s="20" t="n">
        <v>76</v>
      </c>
      <c r="Z780" s="19" t="n">
        <v>0.335</v>
      </c>
      <c r="AA780" s="18" t="n">
        <v>40</v>
      </c>
      <c r="AB780" s="16" t="inlineStr">
        <is>
          <t>Weak</t>
        </is>
      </c>
      <c r="AC780" s="16" t="inlineStr">
        <is>
          <t>No</t>
        </is>
      </c>
      <c r="AD780" s="19" t="n">
        <v>0.1056</v>
      </c>
      <c r="AE780" s="19" t="n">
        <v>0.1455</v>
      </c>
      <c r="AF780" s="19" t="n">
        <v>-0.0412</v>
      </c>
      <c r="AG780" s="19" t="n">
        <v>0.2612</v>
      </c>
      <c r="AH780" s="23" t="n">
        <v>0.18</v>
      </c>
      <c r="AI780" s="23" t="n">
        <v>13.59</v>
      </c>
      <c r="AJ780" s="19" t="n">
        <v>0.2092</v>
      </c>
    </row>
    <row r="781">
      <c r="A781" s="16" t="inlineStr">
        <is>
          <t>ARVINDFASN</t>
        </is>
      </c>
      <c r="B781" s="16" t="inlineStr">
        <is>
          <t>Arvind Fashions Ltd.</t>
        </is>
      </c>
      <c r="C781" s="16" t="inlineStr">
        <is>
          <t>Other Apparels &amp; Accessories</t>
        </is>
      </c>
      <c r="D781" s="16" t="inlineStr">
        <is>
          <t>Textiles Apparels &amp; Accessories</t>
        </is>
      </c>
      <c r="E781" s="16" t="inlineStr">
        <is>
          <t>INE955V01021</t>
        </is>
      </c>
      <c r="F781" s="17" t="n">
        <v>5969.62</v>
      </c>
      <c r="G781" s="18" t="n">
        <v>446.5</v>
      </c>
      <c r="H781" s="19" t="n">
        <v>-0.0172</v>
      </c>
      <c r="I781" s="20" t="n">
        <v>31</v>
      </c>
      <c r="J781" s="16" t="inlineStr">
        <is>
          <t>red</t>
        </is>
      </c>
      <c r="K781" s="20" t="n">
        <v>97</v>
      </c>
      <c r="L781" s="18" t="n">
        <v>51.4</v>
      </c>
      <c r="M781" s="18" t="n">
        <v>452.1</v>
      </c>
      <c r="N781" s="18" t="n">
        <v>456.51</v>
      </c>
      <c r="O781" s="18" t="n">
        <v>459.63</v>
      </c>
      <c r="P781" s="18" t="n">
        <v>564.6799999999999</v>
      </c>
      <c r="Q781" s="18" t="n">
        <v>377.23</v>
      </c>
      <c r="R781" s="21">
        <f>IF(OR(G781="",P781=""),"",G781/P781-1)</f>
        <v/>
      </c>
      <c r="S781" s="19" t="n">
        <v>0.3649</v>
      </c>
      <c r="T781" s="22" t="n">
        <v>-0.0138</v>
      </c>
      <c r="U781" s="16" t="inlineStr">
        <is>
          <t>No</t>
        </is>
      </c>
      <c r="V781" s="16" t="inlineStr">
        <is>
          <t>No</t>
        </is>
      </c>
      <c r="W781" s="16" t="inlineStr">
        <is>
          <t>No</t>
        </is>
      </c>
      <c r="X781" s="16" t="inlineStr">
        <is>
          <t>No</t>
        </is>
      </c>
      <c r="Y781" s="20" t="n">
        <v>153</v>
      </c>
      <c r="Z781" s="19" t="n">
        <v>-0.0068</v>
      </c>
      <c r="AA781" s="18" t="n">
        <v>44.02</v>
      </c>
      <c r="AB781" s="16" t="inlineStr">
        <is>
          <t>Average</t>
        </is>
      </c>
      <c r="AC781" s="16" t="inlineStr">
        <is>
          <t>No</t>
        </is>
      </c>
      <c r="AD781" s="19" t="n">
        <v>0.05769999999999999</v>
      </c>
      <c r="AE781" s="19" t="n">
        <v>0.1569</v>
      </c>
      <c r="AF781" s="19" t="n">
        <v>1.3938</v>
      </c>
      <c r="AG781" s="19" t="n">
        <v>0.09080000000000001</v>
      </c>
      <c r="AH781" s="23" t="n">
        <v>1.42</v>
      </c>
      <c r="AI781" s="23" t="n">
        <v>5.65</v>
      </c>
      <c r="AJ781" s="19" t="n">
        <v>0.0043</v>
      </c>
    </row>
    <row r="782">
      <c r="A782" s="16" t="inlineStr">
        <is>
          <t>MANINDS</t>
        </is>
      </c>
      <c r="B782" s="16" t="inlineStr">
        <is>
          <t>Man Industries (India) Ltd.</t>
        </is>
      </c>
      <c r="C782" s="16" t="inlineStr">
        <is>
          <t>Iron &amp; Steel/Interm.Products</t>
        </is>
      </c>
      <c r="D782" s="16" t="inlineStr">
        <is>
          <t>Metals &amp; Mining</t>
        </is>
      </c>
      <c r="E782" s="16" t="inlineStr">
        <is>
          <t>INE993A01026</t>
        </is>
      </c>
      <c r="F782" s="17" t="n">
        <v>5914.88</v>
      </c>
      <c r="G782" s="18" t="n">
        <v>788.55</v>
      </c>
      <c r="H782" s="19" t="n">
        <v>-0.0061</v>
      </c>
      <c r="I782" s="20" t="n">
        <v>92</v>
      </c>
      <c r="J782" s="16" t="inlineStr">
        <is>
          <t>green</t>
        </is>
      </c>
      <c r="K782" s="20" t="n">
        <v>15</v>
      </c>
      <c r="L782" s="18" t="n">
        <v>79.47</v>
      </c>
      <c r="M782" s="18" t="n">
        <v>760.16</v>
      </c>
      <c r="N782" s="18" t="n">
        <v>604.11</v>
      </c>
      <c r="O782" s="18" t="n">
        <v>487.25</v>
      </c>
      <c r="P782" s="18" t="n">
        <v>793.4</v>
      </c>
      <c r="Q782" s="18" t="n">
        <v>310.55</v>
      </c>
      <c r="R782" s="21">
        <f>IF(OR(G782="",P782=""),"",G782/P782-1)</f>
        <v/>
      </c>
      <c r="S782" s="19" t="n">
        <v>0.4981</v>
      </c>
      <c r="T782" s="22" t="n">
        <v>0.0609</v>
      </c>
      <c r="U782" s="16" t="inlineStr">
        <is>
          <t>Yes</t>
        </is>
      </c>
      <c r="V782" s="16" t="inlineStr">
        <is>
          <t>Yes</t>
        </is>
      </c>
      <c r="W782" s="16" t="inlineStr">
        <is>
          <t>Yes</t>
        </is>
      </c>
      <c r="X782" s="16" t="inlineStr">
        <is>
          <t>Yes</t>
        </is>
      </c>
      <c r="Y782" s="20" t="n">
        <v>100</v>
      </c>
      <c r="Z782" s="19" t="n">
        <v>0.2398</v>
      </c>
      <c r="AA782" s="18" t="n">
        <v>40</v>
      </c>
      <c r="AB782" s="16" t="inlineStr">
        <is>
          <t>Weak</t>
        </is>
      </c>
      <c r="AC782" s="16" t="inlineStr">
        <is>
          <t>No</t>
        </is>
      </c>
      <c r="AD782" s="19" t="n">
        <v>0.0839</v>
      </c>
      <c r="AE782" s="19" t="n">
        <v>0.1365</v>
      </c>
      <c r="AF782" s="19" t="n">
        <v>-0.0469</v>
      </c>
      <c r="AG782" s="19" t="n">
        <v>0.1824</v>
      </c>
      <c r="AH782" s="23" t="n">
        <v>0.3</v>
      </c>
      <c r="AI782" s="23" t="n">
        <v>3.18</v>
      </c>
      <c r="AJ782" s="19" t="n">
        <v>0.2911</v>
      </c>
    </row>
    <row r="783">
      <c r="A783" s="16" t="inlineStr">
        <is>
          <t>JUSTDIAL</t>
        </is>
      </c>
      <c r="B783" s="16" t="inlineStr">
        <is>
          <t>Just Dial Ltd.</t>
        </is>
      </c>
      <c r="C783" s="16" t="inlineStr">
        <is>
          <t>Internet Software &amp; Services</t>
        </is>
      </c>
      <c r="D783" s="16" t="inlineStr">
        <is>
          <t>Software &amp; Services</t>
        </is>
      </c>
      <c r="E783" s="16" t="inlineStr">
        <is>
          <t>INE599M01018</t>
        </is>
      </c>
      <c r="F783" s="17" t="n">
        <v>5892.62</v>
      </c>
      <c r="G783" s="18" t="n">
        <v>692.85</v>
      </c>
      <c r="H783" s="19" t="n">
        <v>-0.006500000000000001</v>
      </c>
      <c r="I783" s="20" t="n">
        <v>60</v>
      </c>
      <c r="J783" s="16" t="inlineStr">
        <is>
          <t>amber</t>
        </is>
      </c>
      <c r="K783" s="20" t="n">
        <v>6</v>
      </c>
      <c r="L783" s="18" t="n">
        <v>53.75</v>
      </c>
      <c r="M783" s="18" t="n">
        <v>687.0700000000001</v>
      </c>
      <c r="N783" s="18" t="n">
        <v>673.61</v>
      </c>
      <c r="O783" s="18" t="n">
        <v>624.6</v>
      </c>
      <c r="P783" s="18" t="n">
        <v>860.95</v>
      </c>
      <c r="Q783" s="18" t="n">
        <v>490.7</v>
      </c>
      <c r="R783" s="21">
        <f>IF(OR(G783="",P783=""),"",G783/P783-1)</f>
        <v/>
      </c>
      <c r="S783" s="19" t="n">
        <v>0.3246</v>
      </c>
      <c r="T783" s="22" t="n">
        <v>-0.0136</v>
      </c>
      <c r="U783" s="16" t="inlineStr">
        <is>
          <t>No</t>
        </is>
      </c>
      <c r="V783" s="16" t="inlineStr">
        <is>
          <t>Yes</t>
        </is>
      </c>
      <c r="W783" s="16" t="inlineStr">
        <is>
          <t>Yes</t>
        </is>
      </c>
      <c r="X783" s="16" t="inlineStr">
        <is>
          <t>Yes</t>
        </is>
      </c>
      <c r="Y783" s="20" t="n">
        <v>16</v>
      </c>
      <c r="Z783" s="19" t="n">
        <v>0.0785</v>
      </c>
      <c r="AA783" s="18" t="n">
        <v>60.02</v>
      </c>
      <c r="AB783" s="16" t="inlineStr">
        <is>
          <t>Good</t>
        </is>
      </c>
      <c r="AC783" s="16" t="inlineStr">
        <is>
          <t>No</t>
        </is>
      </c>
      <c r="AD783" s="19" t="n">
        <v>0.1048</v>
      </c>
      <c r="AE783" s="19" t="n">
        <v>0.1266</v>
      </c>
      <c r="AF783" s="19" t="n">
        <v>0.5633</v>
      </c>
      <c r="AG783" s="19" t="n">
        <v>0.1308</v>
      </c>
      <c r="AH783" s="23" t="n">
        <v>0.02</v>
      </c>
      <c r="AI783" s="23" t="n">
        <v>11.67</v>
      </c>
      <c r="AJ783" s="19" t="n">
        <v>0</v>
      </c>
    </row>
    <row r="784">
      <c r="A784" s="16" t="inlineStr">
        <is>
          <t>SENCO</t>
        </is>
      </c>
      <c r="B784" s="16" t="inlineStr">
        <is>
          <t>Senco Gold Ltd.</t>
        </is>
      </c>
      <c r="C784" s="16" t="inlineStr">
        <is>
          <t>Gems &amp; Jewellery</t>
        </is>
      </c>
      <c r="D784" s="16" t="inlineStr">
        <is>
          <t>Textiles Apparels &amp; Accessories</t>
        </is>
      </c>
      <c r="E784" s="16" t="inlineStr">
        <is>
          <t>INE602W01027</t>
        </is>
      </c>
      <c r="F784" s="17" t="n">
        <v>5878.31</v>
      </c>
      <c r="G784" s="18" t="n">
        <v>358.65</v>
      </c>
      <c r="H784" s="19" t="n">
        <v>0.0275</v>
      </c>
      <c r="I784" s="20" t="n">
        <v>52</v>
      </c>
      <c r="J784" s="16" t="inlineStr">
        <is>
          <t>red</t>
        </is>
      </c>
      <c r="K784" s="20" t="n">
        <v>18</v>
      </c>
      <c r="L784" s="18" t="n">
        <v>59.77</v>
      </c>
      <c r="M784" s="18" t="n">
        <v>355.3</v>
      </c>
      <c r="N784" s="18" t="n">
        <v>363.78</v>
      </c>
      <c r="O784" s="18" t="n">
        <v>332.52</v>
      </c>
      <c r="P784" s="18" t="n">
        <v>417.44</v>
      </c>
      <c r="Q784" s="18" t="n">
        <v>278.04</v>
      </c>
      <c r="R784" s="21">
        <f>IF(OR(G784="",P784=""),"",G784/P784-1)</f>
        <v/>
      </c>
      <c r="S784" s="19" t="n">
        <v>0.5449000000000001</v>
      </c>
      <c r="T784" s="22" t="n">
        <v>0.0089</v>
      </c>
      <c r="U784" s="16" t="inlineStr">
        <is>
          <t>Yes</t>
        </is>
      </c>
      <c r="V784" s="16" t="inlineStr">
        <is>
          <t>No</t>
        </is>
      </c>
      <c r="W784" s="16" t="inlineStr">
        <is>
          <t>Yes</t>
        </is>
      </c>
      <c r="X784" s="16" t="inlineStr">
        <is>
          <t>Yes</t>
        </is>
      </c>
      <c r="Y784" s="20" t="n">
        <v>63</v>
      </c>
      <c r="Z784" s="19" t="n">
        <v>0.094</v>
      </c>
      <c r="AA784" s="18" t="n">
        <v>40</v>
      </c>
      <c r="AB784" s="16" t="inlineStr">
        <is>
          <t>Weak</t>
        </is>
      </c>
      <c r="AC784" s="16" t="inlineStr">
        <is>
          <t>No</t>
        </is>
      </c>
      <c r="AD784" s="19" t="n">
        <v>0.1473</v>
      </c>
      <c r="AE784" s="19" t="n">
        <v>0.1281</v>
      </c>
      <c r="AF784" s="19" t="n">
        <v>-0.3703</v>
      </c>
      <c r="AG784" s="19" t="n">
        <v>0.2757</v>
      </c>
      <c r="AH784" s="23" t="n">
        <v>1.07</v>
      </c>
      <c r="AI784" s="23" t="n">
        <v>17.75</v>
      </c>
      <c r="AJ784" s="19" t="n">
        <v>0.004500000000000001</v>
      </c>
    </row>
    <row r="785">
      <c r="A785" s="16" t="inlineStr">
        <is>
          <t>IOLCP</t>
        </is>
      </c>
      <c r="B785" s="16" t="inlineStr">
        <is>
          <t>IOL Chemicals and Pharmaceuticals Ltd.</t>
        </is>
      </c>
      <c r="C785" s="16" t="inlineStr">
        <is>
          <t>Pharmaceuticals</t>
        </is>
      </c>
      <c r="D785" s="16" t="inlineStr">
        <is>
          <t>Pharmaceuticals &amp; Biotechnology</t>
        </is>
      </c>
      <c r="E785" s="16" t="inlineStr">
        <is>
          <t>INE485C01029</t>
        </is>
      </c>
      <c r="F785" s="17" t="n">
        <v>5869.08</v>
      </c>
      <c r="G785" s="18" t="n">
        <v>199.95</v>
      </c>
      <c r="H785" s="19" t="n">
        <v>0.0179</v>
      </c>
      <c r="I785" s="20" t="n">
        <v>95</v>
      </c>
      <c r="J785" s="16" t="inlineStr">
        <is>
          <t>green</t>
        </is>
      </c>
      <c r="K785" s="20" t="n">
        <v>85</v>
      </c>
      <c r="L785" s="18" t="n">
        <v>81.48999999999999</v>
      </c>
      <c r="M785" s="18" t="n">
        <v>192.87</v>
      </c>
      <c r="N785" s="18" t="n">
        <v>163.33</v>
      </c>
      <c r="O785" s="18" t="n">
        <v>108.62</v>
      </c>
      <c r="P785" s="18" t="n">
        <v>199.95</v>
      </c>
      <c r="Q785" s="18" t="n">
        <v>68.15000000000001</v>
      </c>
      <c r="R785" s="21">
        <f>IF(OR(G785="",P785=""),"",G785/P785-1)</f>
        <v/>
      </c>
      <c r="S785" s="19" t="n">
        <v>1.3146</v>
      </c>
      <c r="T785" s="22" t="n">
        <v>0.0832</v>
      </c>
      <c r="U785" s="16" t="inlineStr">
        <is>
          <t>Yes</t>
        </is>
      </c>
      <c r="V785" s="16" t="inlineStr">
        <is>
          <t>Yes</t>
        </is>
      </c>
      <c r="W785" s="16" t="inlineStr">
        <is>
          <t>Yes</t>
        </is>
      </c>
      <c r="X785" s="16" t="inlineStr">
        <is>
          <t>Yes</t>
        </is>
      </c>
      <c r="Y785" s="20" t="n">
        <v>76</v>
      </c>
      <c r="Z785" s="19" t="n">
        <v>0.5036999999999999</v>
      </c>
      <c r="AA785" s="18" t="n">
        <v>38.35</v>
      </c>
      <c r="AB785" s="16" t="inlineStr">
        <is>
          <t>Weak</t>
        </is>
      </c>
      <c r="AC785" s="16" t="inlineStr">
        <is>
          <t>No</t>
        </is>
      </c>
      <c r="AD785" s="19" t="n">
        <v>0.0733</v>
      </c>
      <c r="AE785" s="19" t="n">
        <v>0.1015</v>
      </c>
      <c r="AF785" s="19" t="n">
        <v>0.0269</v>
      </c>
      <c r="AG785" s="19" t="n">
        <v>0.0197</v>
      </c>
      <c r="AH785" s="23" t="n">
        <v>0.08</v>
      </c>
      <c r="AI785" s="23" t="n">
        <v>1.84</v>
      </c>
      <c r="AJ785" s="19" t="n">
        <v>0.0742</v>
      </c>
    </row>
    <row r="786">
      <c r="A786" s="16" t="inlineStr">
        <is>
          <t>NEOGEN</t>
        </is>
      </c>
      <c r="B786" s="16" t="inlineStr">
        <is>
          <t>Neogen Chemicals Ltd.</t>
        </is>
      </c>
      <c r="C786" s="16" t="inlineStr">
        <is>
          <t>Specialty Chemicals</t>
        </is>
      </c>
      <c r="D786" s="16" t="inlineStr">
        <is>
          <t>Chemicals &amp; Petrochemicals</t>
        </is>
      </c>
      <c r="E786" s="16" t="inlineStr">
        <is>
          <t>INE136S01016</t>
        </is>
      </c>
      <c r="F786" s="17" t="n">
        <v>5853.93</v>
      </c>
      <c r="G786" s="18" t="n">
        <v>2137.9</v>
      </c>
      <c r="H786" s="19" t="n">
        <v>0.0004</v>
      </c>
      <c r="I786" s="20" t="n">
        <v>84</v>
      </c>
      <c r="J786" s="16" t="inlineStr">
        <is>
          <t>green</t>
        </is>
      </c>
      <c r="K786" s="20" t="n">
        <v>22</v>
      </c>
      <c r="L786" s="18" t="n">
        <v>35.83</v>
      </c>
      <c r="M786" s="18" t="n">
        <v>2173.72</v>
      </c>
      <c r="N786" s="18" t="n">
        <v>2112.54</v>
      </c>
      <c r="O786" s="18" t="n">
        <v>1595.34</v>
      </c>
      <c r="P786" s="18" t="n">
        <v>2328.8</v>
      </c>
      <c r="Q786" s="18" t="n">
        <v>979.33</v>
      </c>
      <c r="R786" s="21">
        <f>IF(OR(G786="",P786=""),"",G786/P786-1)</f>
        <v/>
      </c>
      <c r="S786" s="19" t="n">
        <v>0.4307</v>
      </c>
      <c r="T786" s="22" t="n">
        <v>0.0529</v>
      </c>
      <c r="U786" s="16" t="inlineStr">
        <is>
          <t>Yes</t>
        </is>
      </c>
      <c r="V786" s="16" t="inlineStr">
        <is>
          <t>Yes</t>
        </is>
      </c>
      <c r="W786" s="16" t="inlineStr">
        <is>
          <t>No</t>
        </is>
      </c>
      <c r="X786" s="16" t="inlineStr">
        <is>
          <t>Yes</t>
        </is>
      </c>
      <c r="Y786" s="20" t="n">
        <v>94</v>
      </c>
      <c r="Z786" s="19" t="n">
        <v>0.3242</v>
      </c>
      <c r="AA786" s="18" t="n">
        <v>22.03</v>
      </c>
      <c r="AB786" s="16" t="inlineStr">
        <is>
          <t>Poor</t>
        </is>
      </c>
      <c r="AC786" s="16" t="inlineStr">
        <is>
          <t>No</t>
        </is>
      </c>
      <c r="AD786" s="19" t="n">
        <v>0.0421</v>
      </c>
      <c r="AE786" s="19" t="n">
        <v>0.0624</v>
      </c>
      <c r="AF786" s="19" t="n">
        <v>-0.1772</v>
      </c>
      <c r="AG786" s="19" t="n">
        <v>0.0883</v>
      </c>
      <c r="AH786" s="23" t="n">
        <v>1.71</v>
      </c>
      <c r="AI786" s="23" t="n">
        <v>0.58</v>
      </c>
      <c r="AJ786" s="19" t="n">
        <v>0.6773</v>
      </c>
    </row>
    <row r="787">
      <c r="A787" s="16" t="inlineStr">
        <is>
          <t>SHAKTIPUMP</t>
        </is>
      </c>
      <c r="B787" s="16" t="inlineStr">
        <is>
          <t>Shakti Pumps (India) Ltd.</t>
        </is>
      </c>
      <c r="C787" s="16" t="inlineStr">
        <is>
          <t>Compressors &amp; Pumps</t>
        </is>
      </c>
      <c r="D787" s="16" t="inlineStr">
        <is>
          <t>General Industrials</t>
        </is>
      </c>
      <c r="E787" s="16" t="inlineStr">
        <is>
          <t>INE908D01010</t>
        </is>
      </c>
      <c r="F787" s="17" t="n">
        <v>5836.73</v>
      </c>
      <c r="G787" s="18" t="n">
        <v>473</v>
      </c>
      <c r="H787" s="19" t="n">
        <v>0.0017</v>
      </c>
      <c r="I787" s="20" t="n">
        <v>10</v>
      </c>
      <c r="J787" s="16" t="inlineStr">
        <is>
          <t>red</t>
        </is>
      </c>
      <c r="K787" s="20" t="n">
        <v>261</v>
      </c>
      <c r="L787" s="18" t="n">
        <v>29.46</v>
      </c>
      <c r="M787" s="18" t="n">
        <v>482.9</v>
      </c>
      <c r="N787" s="18" t="n">
        <v>527.66</v>
      </c>
      <c r="O787" s="18" t="n">
        <v>571.15</v>
      </c>
      <c r="P787" s="18" t="n">
        <v>884.1799999999999</v>
      </c>
      <c r="Q787" s="18" t="n">
        <v>459.06</v>
      </c>
      <c r="R787" s="21">
        <f>IF(OR(G787="",P787=""),"",G787/P787-1)</f>
        <v/>
      </c>
      <c r="S787" s="19" t="n">
        <v>1.1748</v>
      </c>
      <c r="T787" s="22" t="n">
        <v>-0.0471</v>
      </c>
      <c r="U787" s="16" t="inlineStr">
        <is>
          <t>No</t>
        </is>
      </c>
      <c r="V787" s="16" t="inlineStr">
        <is>
          <t>No</t>
        </is>
      </c>
      <c r="W787" s="16" t="inlineStr">
        <is>
          <t>No</t>
        </is>
      </c>
      <c r="X787" s="16" t="inlineStr">
        <is>
          <t>No</t>
        </is>
      </c>
      <c r="Y787" s="20" t="n">
        <v>263</v>
      </c>
      <c r="Z787" s="19" t="n">
        <v>-0.0761</v>
      </c>
      <c r="AA787" s="18" t="n">
        <v>79</v>
      </c>
      <c r="AB787" s="16" t="inlineStr">
        <is>
          <t>High</t>
        </is>
      </c>
      <c r="AC787" s="16" t="inlineStr">
        <is>
          <t>No</t>
        </is>
      </c>
      <c r="AD787" s="19" t="n">
        <v>0.2301</v>
      </c>
      <c r="AE787" s="19" t="n">
        <v>0.2916</v>
      </c>
      <c r="AF787" s="19" t="n">
        <v>2.0406</v>
      </c>
      <c r="AG787" s="19" t="n">
        <v>0.4478</v>
      </c>
      <c r="AH787" s="23" t="n">
        <v>0.3</v>
      </c>
      <c r="AI787" s="23" t="n">
        <v>5.94</v>
      </c>
      <c r="AJ787" s="19" t="n">
        <v>0.3086</v>
      </c>
    </row>
    <row r="788">
      <c r="A788" s="16" t="inlineStr">
        <is>
          <t>ISGEC</t>
        </is>
      </c>
      <c r="B788" s="16" t="inlineStr">
        <is>
          <t>ISGEC Heavy Engineering Ltd.</t>
        </is>
      </c>
      <c r="C788" s="16" t="inlineStr">
        <is>
          <t>Industrial Machinery</t>
        </is>
      </c>
      <c r="D788" s="16" t="inlineStr">
        <is>
          <t>General Industrials</t>
        </is>
      </c>
      <c r="E788" s="16" t="inlineStr">
        <is>
          <t>INE858B01029</t>
        </is>
      </c>
      <c r="F788" s="17" t="n">
        <v>5789.35</v>
      </c>
      <c r="G788" s="18" t="n">
        <v>787.35</v>
      </c>
      <c r="H788" s="19" t="n">
        <v>0.0211</v>
      </c>
      <c r="I788" s="20" t="n">
        <v>18</v>
      </c>
      <c r="J788" s="16" t="inlineStr">
        <is>
          <t>red</t>
        </is>
      </c>
      <c r="K788" s="20" t="n">
        <v>71</v>
      </c>
      <c r="L788" s="18" t="n">
        <v>61.09</v>
      </c>
      <c r="M788" s="18" t="n">
        <v>780.46</v>
      </c>
      <c r="N788" s="18" t="n">
        <v>836.11</v>
      </c>
      <c r="O788" s="18" t="n">
        <v>886.5</v>
      </c>
      <c r="P788" s="18" t="n">
        <v>1094.95</v>
      </c>
      <c r="Q788" s="18" t="n">
        <v>694.5</v>
      </c>
      <c r="R788" s="21">
        <f>IF(OR(G788="",P788=""),"",G788/P788-1)</f>
        <v/>
      </c>
      <c r="S788" s="19" t="n">
        <v>0.4226</v>
      </c>
      <c r="T788" s="22" t="n">
        <v>-0.0114</v>
      </c>
      <c r="U788" s="16" t="inlineStr">
        <is>
          <t>No</t>
        </is>
      </c>
      <c r="V788" s="16" t="inlineStr">
        <is>
          <t>No</t>
        </is>
      </c>
      <c r="W788" s="16" t="inlineStr">
        <is>
          <t>Yes</t>
        </is>
      </c>
      <c r="X788" s="16" t="inlineStr">
        <is>
          <t>No</t>
        </is>
      </c>
      <c r="Y788" s="20" t="n">
        <v>22</v>
      </c>
      <c r="Z788" s="19" t="n">
        <v>-0.0568</v>
      </c>
      <c r="AA788" s="18" t="n">
        <v>32.84</v>
      </c>
      <c r="AB788" s="16" t="inlineStr">
        <is>
          <t>Poor</t>
        </is>
      </c>
      <c r="AC788" s="16" t="inlineStr">
        <is>
          <t>No</t>
        </is>
      </c>
      <c r="AD788" s="19" t="n">
        <v>0.06849999999999999</v>
      </c>
      <c r="AE788" s="19" t="n">
        <v>0.116</v>
      </c>
      <c r="AF788" s="19" t="n">
        <v>-0.3272</v>
      </c>
      <c r="AG788" s="19" t="n">
        <v>0.0255</v>
      </c>
      <c r="AH788" s="23" t="n">
        <v>0.35</v>
      </c>
      <c r="AI788" s="23" t="n">
        <v>3.62</v>
      </c>
      <c r="AJ788" s="19" t="n">
        <v>0.0732</v>
      </c>
    </row>
    <row r="789">
      <c r="A789" s="16" t="inlineStr">
        <is>
          <t>GOKEX</t>
        </is>
      </c>
      <c r="B789" s="16" t="inlineStr">
        <is>
          <t>Gokaldas Exports Ltd.</t>
        </is>
      </c>
      <c r="C789" s="16" t="inlineStr">
        <is>
          <t>Textiles</t>
        </is>
      </c>
      <c r="D789" s="16" t="inlineStr">
        <is>
          <t>Textiles Apparels &amp; Accessories</t>
        </is>
      </c>
      <c r="E789" s="16" t="inlineStr">
        <is>
          <t>INE887G01027</t>
        </is>
      </c>
      <c r="F789" s="17" t="n">
        <v>5783.07</v>
      </c>
      <c r="G789" s="18" t="n">
        <v>789.2</v>
      </c>
      <c r="H789" s="19" t="n">
        <v>0.0281</v>
      </c>
      <c r="I789" s="20" t="n">
        <v>57</v>
      </c>
      <c r="J789" s="16" t="inlineStr">
        <is>
          <t>red</t>
        </is>
      </c>
      <c r="K789" s="20" t="n">
        <v>24</v>
      </c>
      <c r="L789" s="18" t="n">
        <v>42.98</v>
      </c>
      <c r="M789" s="18" t="n">
        <v>777.27</v>
      </c>
      <c r="N789" s="18" t="n">
        <v>813.13</v>
      </c>
      <c r="O789" s="18" t="n">
        <v>738.7</v>
      </c>
      <c r="P789" s="18" t="n">
        <v>949.35</v>
      </c>
      <c r="Q789" s="18" t="n">
        <v>541.95</v>
      </c>
      <c r="R789" s="21">
        <f>IF(OR(G789="",P789=""),"",G789/P789-1)</f>
        <v/>
      </c>
      <c r="S789" s="19" t="n">
        <v>1.8521</v>
      </c>
      <c r="T789" s="22" t="n">
        <v>-0.0114</v>
      </c>
      <c r="U789" s="16" t="inlineStr">
        <is>
          <t>No</t>
        </is>
      </c>
      <c r="V789" s="16" t="inlineStr">
        <is>
          <t>No</t>
        </is>
      </c>
      <c r="W789" s="16" t="inlineStr">
        <is>
          <t>Yes</t>
        </is>
      </c>
      <c r="X789" s="16" t="inlineStr">
        <is>
          <t>Yes</t>
        </is>
      </c>
      <c r="Y789" s="20" t="n">
        <v>42</v>
      </c>
      <c r="Z789" s="19" t="n">
        <v>0.1008</v>
      </c>
      <c r="AA789" s="18" t="n">
        <v>38.78</v>
      </c>
      <c r="AB789" s="16" t="inlineStr">
        <is>
          <t>Weak</t>
        </is>
      </c>
      <c r="AC789" s="16" t="inlineStr">
        <is>
          <t>No</t>
        </is>
      </c>
      <c r="AD789" s="19" t="n">
        <v>0.0746</v>
      </c>
      <c r="AE789" s="19" t="n">
        <v>0.08900000000000001</v>
      </c>
      <c r="AF789" s="19" t="n">
        <v>-0.1963</v>
      </c>
      <c r="AG789" s="19" t="n">
        <v>0.2852</v>
      </c>
      <c r="AH789" s="23" t="n">
        <v>0.59</v>
      </c>
      <c r="AI789" s="23" t="n">
        <v>3.72</v>
      </c>
      <c r="AJ789" s="19" t="n">
        <v>0.1085</v>
      </c>
    </row>
    <row r="790">
      <c r="A790" s="16" t="inlineStr">
        <is>
          <t>LUMAXIND</t>
        </is>
      </c>
      <c r="B790" s="16" t="inlineStr">
        <is>
          <t>Lumax Industries Ltd.</t>
        </is>
      </c>
      <c r="C790" s="16" t="inlineStr">
        <is>
          <t>Auto Parts &amp; Equipment</t>
        </is>
      </c>
      <c r="D790" s="16" t="inlineStr">
        <is>
          <t>Automobiles &amp; Auto Components</t>
        </is>
      </c>
      <c r="E790" s="16" t="inlineStr">
        <is>
          <t>INE162B01018</t>
        </is>
      </c>
      <c r="F790" s="17" t="n">
        <v>5778.28</v>
      </c>
      <c r="G790" s="18" t="n">
        <v>6181.5</v>
      </c>
      <c r="H790" s="19" t="n">
        <v>-0.0312</v>
      </c>
      <c r="I790" s="20" t="n">
        <v>68</v>
      </c>
      <c r="J790" s="16" t="inlineStr">
        <is>
          <t>amber</t>
        </is>
      </c>
      <c r="K790" s="20" t="n">
        <v>28</v>
      </c>
      <c r="L790" s="18" t="n">
        <v>62.28</v>
      </c>
      <c r="M790" s="18" t="n">
        <v>6236.37</v>
      </c>
      <c r="N790" s="18" t="n">
        <v>5572.8</v>
      </c>
      <c r="O790" s="18" t="n">
        <v>5403.4</v>
      </c>
      <c r="P790" s="18" t="n">
        <v>6639.42</v>
      </c>
      <c r="Q790" s="18" t="n">
        <v>4103.1</v>
      </c>
      <c r="R790" s="21">
        <f>IF(OR(G790="",P790=""),"",G790/P790-1)</f>
        <v/>
      </c>
      <c r="S790" s="19" t="n">
        <v>0.6343</v>
      </c>
      <c r="T790" s="22" t="n">
        <v>0.0199</v>
      </c>
      <c r="U790" s="16" t="inlineStr">
        <is>
          <t>Yes</t>
        </is>
      </c>
      <c r="V790" s="16" t="inlineStr">
        <is>
          <t>Yes</t>
        </is>
      </c>
      <c r="W790" s="16" t="inlineStr">
        <is>
          <t>No</t>
        </is>
      </c>
      <c r="X790" s="16" t="inlineStr">
        <is>
          <t>Yes</t>
        </is>
      </c>
      <c r="Y790" s="20" t="n">
        <v>17</v>
      </c>
      <c r="Z790" s="19" t="n">
        <v>0.0313</v>
      </c>
      <c r="AA790" s="18" t="n">
        <v>51.86</v>
      </c>
      <c r="AB790" s="16" t="inlineStr">
        <is>
          <t>Average</t>
        </is>
      </c>
      <c r="AC790" s="16" t="inlineStr">
        <is>
          <t>No</t>
        </is>
      </c>
      <c r="AD790" s="19" t="n">
        <v>0.178</v>
      </c>
      <c r="AE790" s="19" t="n">
        <v>0.1519</v>
      </c>
      <c r="AF790" s="19" t="n">
        <v>0.19</v>
      </c>
      <c r="AG790" s="19" t="n">
        <v>0.2157</v>
      </c>
      <c r="AH790" s="23" t="n">
        <v>1.06</v>
      </c>
      <c r="AI790" s="23" t="n">
        <v>2.69</v>
      </c>
      <c r="AJ790" s="19" t="n">
        <v>0.08070000000000001</v>
      </c>
    </row>
    <row r="791">
      <c r="A791" s="16" t="inlineStr">
        <is>
          <t>JINDWORLD</t>
        </is>
      </c>
      <c r="B791" s="16" t="inlineStr">
        <is>
          <t>Jindal Worldwide Ltd.</t>
        </is>
      </c>
      <c r="C791" s="16" t="inlineStr">
        <is>
          <t>Textiles</t>
        </is>
      </c>
      <c r="D791" s="16" t="inlineStr">
        <is>
          <t>Textiles Apparels &amp; Accessories</t>
        </is>
      </c>
      <c r="E791" s="16" t="inlineStr">
        <is>
          <t>INE247D01039</t>
        </is>
      </c>
      <c r="F791" s="17" t="n">
        <v>5765.96</v>
      </c>
      <c r="G791" s="18" t="n">
        <v>57.51</v>
      </c>
      <c r="H791" s="19" t="n">
        <v>0.1944</v>
      </c>
      <c r="I791" s="20" t="n">
        <v>95</v>
      </c>
      <c r="J791" s="16" t="inlineStr">
        <is>
          <t>green</t>
        </is>
      </c>
      <c r="K791" s="20" t="n">
        <v>4</v>
      </c>
      <c r="L791" s="18" t="n">
        <v>87.01000000000001</v>
      </c>
      <c r="M791" s="18" t="n">
        <v>41.97</v>
      </c>
      <c r="N791" s="18" t="n">
        <v>35.71</v>
      </c>
      <c r="O791" s="18" t="n">
        <v>29.27</v>
      </c>
      <c r="P791" s="18" t="n">
        <v>57.51</v>
      </c>
      <c r="Q791" s="18" t="n">
        <v>18.1</v>
      </c>
      <c r="R791" s="21">
        <f>IF(OR(G791="",P791=""),"",G791/P791-1)</f>
        <v/>
      </c>
      <c r="S791" s="19" t="n">
        <v>7.498200000000001</v>
      </c>
      <c r="T791" s="22" t="n">
        <v>0.009000000000000001</v>
      </c>
      <c r="U791" s="16" t="inlineStr">
        <is>
          <t>Yes</t>
        </is>
      </c>
      <c r="V791" s="16" t="inlineStr">
        <is>
          <t>Yes</t>
        </is>
      </c>
      <c r="W791" s="16" t="inlineStr">
        <is>
          <t>Yes</t>
        </is>
      </c>
      <c r="X791" s="16" t="inlineStr">
        <is>
          <t>Yes</t>
        </is>
      </c>
      <c r="Y791" s="20" t="n">
        <v>40</v>
      </c>
      <c r="Z791" s="19" t="n">
        <v>0.2199</v>
      </c>
      <c r="AA791" s="18" t="n">
        <v>35.52</v>
      </c>
      <c r="AB791" s="16" t="inlineStr">
        <is>
          <t>Weak</t>
        </is>
      </c>
      <c r="AC791" s="16" t="inlineStr">
        <is>
          <t>No</t>
        </is>
      </c>
      <c r="AD791" s="19" t="n">
        <v>0.094</v>
      </c>
      <c r="AE791" s="19" t="n">
        <v>0.0964</v>
      </c>
      <c r="AF791" s="19" t="n">
        <v>-0.1382</v>
      </c>
      <c r="AG791" s="19" t="n">
        <v>0.0504</v>
      </c>
      <c r="AH791" s="23" t="n">
        <v>0.65</v>
      </c>
      <c r="AI791" s="23" t="n">
        <v>11.55</v>
      </c>
      <c r="AJ791" s="19" t="n">
        <v>0.1286</v>
      </c>
    </row>
    <row r="792">
      <c r="A792" s="16" t="inlineStr">
        <is>
          <t>TRANSRAILL</t>
        </is>
      </c>
      <c r="B792" s="16" t="inlineStr">
        <is>
          <t>Transrail Lighting Ltd.</t>
        </is>
      </c>
      <c r="C792" s="16" t="inlineStr">
        <is>
          <t>Heavy Electrical Equipment</t>
        </is>
      </c>
      <c r="D792" s="16" t="inlineStr">
        <is>
          <t>General Industrials</t>
        </is>
      </c>
      <c r="E792" s="16" t="inlineStr">
        <is>
          <t>INE454P01035</t>
        </is>
      </c>
      <c r="F792" s="17" t="n">
        <v>5763.61</v>
      </c>
      <c r="G792" s="18" t="n">
        <v>429.3</v>
      </c>
      <c r="H792" s="19" t="n">
        <v>0.0043</v>
      </c>
      <c r="I792" s="20" t="n">
        <v>6</v>
      </c>
      <c r="J792" s="16" t="inlineStr">
        <is>
          <t>red</t>
        </is>
      </c>
      <c r="K792" s="20" t="n">
        <v>88</v>
      </c>
      <c r="L792" s="18" t="n">
        <v>24.37</v>
      </c>
      <c r="M792" s="18" t="n">
        <v>441.09</v>
      </c>
      <c r="N792" s="18" t="n">
        <v>480.66</v>
      </c>
      <c r="O792" s="18" t="n">
        <v>521.95</v>
      </c>
      <c r="P792" s="18" t="n">
        <v>794.63</v>
      </c>
      <c r="Q792" s="18" t="n">
        <v>427.15</v>
      </c>
      <c r="R792" s="21">
        <f>IF(OR(G792="",P792=""),"",G792/P792-1)</f>
        <v/>
      </c>
      <c r="S792" s="19" t="n">
        <v>0.8779</v>
      </c>
      <c r="T792" s="22" t="n">
        <v>-0.0423</v>
      </c>
      <c r="U792" s="16" t="inlineStr">
        <is>
          <t>No</t>
        </is>
      </c>
      <c r="V792" s="16" t="inlineStr">
        <is>
          <t>No</t>
        </is>
      </c>
      <c r="W792" s="16" t="inlineStr">
        <is>
          <t>No</t>
        </is>
      </c>
      <c r="X792" s="16" t="inlineStr">
        <is>
          <t>No</t>
        </is>
      </c>
      <c r="Y792" s="20" t="n">
        <v>174</v>
      </c>
      <c r="Z792" s="19" t="n">
        <v>-0.0791</v>
      </c>
      <c r="AA792" s="18" t="n">
        <v>73.75</v>
      </c>
      <c r="AB792" s="16" t="inlineStr">
        <is>
          <t>High</t>
        </is>
      </c>
      <c r="AC792" s="16" t="inlineStr">
        <is>
          <t>No</t>
        </is>
      </c>
      <c r="AD792" s="19" t="n">
        <v>0.1854</v>
      </c>
      <c r="AE792" s="19" t="n">
        <v>0.2614</v>
      </c>
      <c r="AF792" s="19" t="n">
        <v>0.5661999999999999</v>
      </c>
      <c r="AG792" s="19" t="n">
        <v>0.3</v>
      </c>
      <c r="AH792" s="23" t="n">
        <v>0.3</v>
      </c>
      <c r="AI792" s="23" t="n">
        <v>10.19</v>
      </c>
      <c r="AJ792" s="19" t="n">
        <v>0.09810000000000001</v>
      </c>
    </row>
    <row r="793">
      <c r="A793" s="16" t="inlineStr">
        <is>
          <t>TVSSCS</t>
        </is>
      </c>
      <c r="B793" s="16" t="inlineStr">
        <is>
          <t>TVS Supply Chain Solutions Ltd.</t>
        </is>
      </c>
      <c r="C793" s="16" t="inlineStr">
        <is>
          <t>Transport Related Services</t>
        </is>
      </c>
      <c r="D793" s="16" t="inlineStr">
        <is>
          <t>Transportation</t>
        </is>
      </c>
      <c r="E793" s="16" t="inlineStr">
        <is>
          <t>INE395N01027</t>
        </is>
      </c>
      <c r="F793" s="17" t="n">
        <v>5754</v>
      </c>
      <c r="G793" s="18" t="n">
        <v>130.41</v>
      </c>
      <c r="H793" s="19" t="n">
        <v>0.0068</v>
      </c>
      <c r="I793" s="20" t="n">
        <v>53</v>
      </c>
      <c r="J793" s="16" t="inlineStr">
        <is>
          <t>red</t>
        </is>
      </c>
      <c r="K793" s="20" t="n">
        <v>5</v>
      </c>
      <c r="L793" s="18" t="n">
        <v>61.62</v>
      </c>
      <c r="M793" s="18" t="n">
        <v>128.86</v>
      </c>
      <c r="N793" s="18" t="n">
        <v>132.62</v>
      </c>
      <c r="O793" s="18" t="n">
        <v>117.18</v>
      </c>
      <c r="P793" s="18" t="n">
        <v>141.66</v>
      </c>
      <c r="Q793" s="18" t="n">
        <v>90.97</v>
      </c>
      <c r="R793" s="21">
        <f>IF(OR(G793="",P793=""),"",G793/P793-1)</f>
        <v/>
      </c>
      <c r="S793" s="19" t="n">
        <v>0.4052</v>
      </c>
      <c r="T793" s="22" t="n">
        <v>0.0005999999999999999</v>
      </c>
      <c r="U793" s="16" t="inlineStr">
        <is>
          <t>Yes</t>
        </is>
      </c>
      <c r="V793" s="16" t="inlineStr">
        <is>
          <t>No</t>
        </is>
      </c>
      <c r="W793" s="16" t="inlineStr">
        <is>
          <t>Yes</t>
        </is>
      </c>
      <c r="X793" s="16" t="inlineStr">
        <is>
          <t>Yes</t>
        </is>
      </c>
      <c r="Y793" s="20" t="n">
        <v>60</v>
      </c>
      <c r="Z793" s="19" t="n">
        <v>0.1318</v>
      </c>
      <c r="AA793" s="18" t="n">
        <v>17.76</v>
      </c>
      <c r="AB793" s="16" t="inlineStr">
        <is>
          <t>Poor</t>
        </is>
      </c>
      <c r="AC793" s="16" t="inlineStr">
        <is>
          <t>No</t>
        </is>
      </c>
      <c r="AD793" s="19" t="n">
        <v>-0.0024</v>
      </c>
      <c r="AE793" s="19" t="n">
        <v>0.0491</v>
      </c>
      <c r="AF793" s="19" t="n">
        <v>-0.5888</v>
      </c>
      <c r="AG793" s="19" t="n">
        <v>0.0365</v>
      </c>
      <c r="AH793" s="23" t="n">
        <v>1.35</v>
      </c>
      <c r="AI793" s="23" t="n">
        <v>5.41</v>
      </c>
      <c r="AJ793" s="19" t="n">
        <v>0.0044</v>
      </c>
    </row>
    <row r="794">
      <c r="A794" s="16" t="inlineStr">
        <is>
          <t>STYLAMIND</t>
        </is>
      </c>
      <c r="B794" s="16" t="inlineStr">
        <is>
          <t>Stylam Industries Ltd.</t>
        </is>
      </c>
      <c r="C794" s="16" t="inlineStr">
        <is>
          <t>Forest Products</t>
        </is>
      </c>
      <c r="D794" s="16" t="inlineStr">
        <is>
          <t>Forest Materials</t>
        </is>
      </c>
      <c r="E794" s="16" t="inlineStr">
        <is>
          <t>INE239C01020</t>
        </is>
      </c>
      <c r="F794" s="17" t="n">
        <v>5741</v>
      </c>
      <c r="G794" s="18" t="n">
        <v>3387.4</v>
      </c>
      <c r="H794" s="19" t="n">
        <v>0.0452</v>
      </c>
      <c r="I794" s="20" t="n">
        <v>85</v>
      </c>
      <c r="J794" s="16" t="inlineStr">
        <is>
          <t>green</t>
        </is>
      </c>
      <c r="K794" s="20" t="n">
        <v>87</v>
      </c>
      <c r="L794" s="18" t="n">
        <v>39.14</v>
      </c>
      <c r="M794" s="18" t="n">
        <v>3406.35</v>
      </c>
      <c r="N794" s="18" t="n">
        <v>3416.26</v>
      </c>
      <c r="O794" s="18" t="n">
        <v>2641.86</v>
      </c>
      <c r="P794" s="18" t="n">
        <v>3736.4</v>
      </c>
      <c r="Q794" s="18" t="n">
        <v>1599</v>
      </c>
      <c r="R794" s="21">
        <f>IF(OR(G794="",P794=""),"",G794/P794-1)</f>
        <v/>
      </c>
      <c r="S794" s="19" t="n">
        <v>1.4152</v>
      </c>
      <c r="T794" s="22" t="n">
        <v>0.0614</v>
      </c>
      <c r="U794" s="16" t="inlineStr">
        <is>
          <t>Yes</t>
        </is>
      </c>
      <c r="V794" s="16" t="inlineStr">
        <is>
          <t>No</t>
        </is>
      </c>
      <c r="W794" s="16" t="inlineStr">
        <is>
          <t>No</t>
        </is>
      </c>
      <c r="X794" s="16" t="inlineStr">
        <is>
          <t>Yes</t>
        </is>
      </c>
      <c r="Y794" s="20" t="n">
        <v>219</v>
      </c>
      <c r="Z794" s="19" t="n">
        <v>0.2931</v>
      </c>
      <c r="AA794" s="18" t="n">
        <v>66.63</v>
      </c>
      <c r="AB794" s="16" t="inlineStr">
        <is>
          <t>High</t>
        </is>
      </c>
      <c r="AC794" s="16" t="inlineStr">
        <is>
          <t>No</t>
        </is>
      </c>
      <c r="AD794" s="19" t="n">
        <v>0.2035</v>
      </c>
      <c r="AE794" s="19" t="n">
        <v>0.264</v>
      </c>
      <c r="AF794" s="19" t="n">
        <v>0.172</v>
      </c>
      <c r="AG794" s="19" t="n">
        <v>0.061</v>
      </c>
      <c r="AH794" s="23" t="n">
        <v>0.04</v>
      </c>
      <c r="AI794" s="23" t="n">
        <v>2.52</v>
      </c>
      <c r="AJ794" s="19" t="n">
        <v>0.5524</v>
      </c>
    </row>
    <row r="795">
      <c r="A795" s="16" t="inlineStr">
        <is>
          <t>KALPATARU</t>
        </is>
      </c>
      <c r="B795" s="16" t="inlineStr">
        <is>
          <t>Kalpataru Ltd.</t>
        </is>
      </c>
      <c r="C795" s="16" t="inlineStr">
        <is>
          <t>Realty</t>
        </is>
      </c>
      <c r="D795" s="16" t="inlineStr">
        <is>
          <t>Realty</t>
        </is>
      </c>
      <c r="E795" s="16" t="inlineStr">
        <is>
          <t>INE227J01012</t>
        </is>
      </c>
      <c r="F795" s="17" t="n">
        <v>5717.43</v>
      </c>
      <c r="G795" s="18" t="n">
        <v>277.65</v>
      </c>
      <c r="H795" s="19" t="n">
        <v>0.004</v>
      </c>
      <c r="I795" s="20" t="n">
        <v>12</v>
      </c>
      <c r="J795" s="16" t="inlineStr">
        <is>
          <t>red</t>
        </is>
      </c>
      <c r="K795" s="20" t="n">
        <v>83</v>
      </c>
      <c r="L795" s="18" t="n">
        <v>45.07</v>
      </c>
      <c r="M795" s="18" t="n">
        <v>276.55</v>
      </c>
      <c r="N795" s="18" t="n">
        <v>284.54</v>
      </c>
      <c r="O795" s="18" t="n">
        <v>318.2</v>
      </c>
      <c r="P795" s="18" t="n">
        <v>411.25</v>
      </c>
      <c r="Q795" s="18" t="n">
        <v>258.9</v>
      </c>
      <c r="R795" s="21">
        <f>IF(OR(G795="",P795=""),"",G795/P795-1)</f>
        <v/>
      </c>
      <c r="S795" s="19" t="n">
        <v>0.2336</v>
      </c>
      <c r="T795" s="22" t="n">
        <v>-0.03</v>
      </c>
      <c r="U795" s="16" t="inlineStr">
        <is>
          <t>No</t>
        </is>
      </c>
      <c r="V795" s="16" t="inlineStr">
        <is>
          <t>No</t>
        </is>
      </c>
      <c r="W795" s="16" t="inlineStr">
        <is>
          <t>Yes</t>
        </is>
      </c>
      <c r="X795" s="16" t="inlineStr">
        <is>
          <t>No</t>
        </is>
      </c>
      <c r="Y795" s="20" t="n">
        <v>97</v>
      </c>
      <c r="Z795" s="19" t="n">
        <v>-0.1058</v>
      </c>
      <c r="AA795" s="18" t="n">
        <v>19.79</v>
      </c>
      <c r="AB795" s="16" t="inlineStr">
        <is>
          <t>Poor</t>
        </is>
      </c>
      <c r="AC795" s="16" t="inlineStr">
        <is>
          <t>No</t>
        </is>
      </c>
      <c r="AD795" s="19" t="n">
        <v>-0.0233</v>
      </c>
      <c r="AE795" s="19" t="n">
        <v>0.1001</v>
      </c>
      <c r="AF795" s="19" t="n">
        <v>1.7448</v>
      </c>
      <c r="AG795" s="19" t="n">
        <v>0.0832</v>
      </c>
      <c r="AH795" s="23" t="n">
        <v>2.23</v>
      </c>
      <c r="AI795" s="23" t="n">
        <v>7.12</v>
      </c>
      <c r="AJ795" s="19" t="n">
        <v>0.4534</v>
      </c>
    </row>
    <row r="796">
      <c r="A796" s="16" t="inlineStr">
        <is>
          <t>ORCHPHARMA</t>
        </is>
      </c>
      <c r="B796" s="16" t="inlineStr">
        <is>
          <t>Orchid Pharma Ltd.</t>
        </is>
      </c>
      <c r="C796" s="16" t="inlineStr">
        <is>
          <t>Pharmaceuticals</t>
        </is>
      </c>
      <c r="D796" s="16" t="inlineStr">
        <is>
          <t>Pharmaceuticals &amp; Biotechnology</t>
        </is>
      </c>
      <c r="E796" s="16" t="inlineStr">
        <is>
          <t>INE191A01027</t>
        </is>
      </c>
      <c r="F796" s="17" t="n">
        <v>5716.94</v>
      </c>
      <c r="G796" s="18" t="n">
        <v>954.65</v>
      </c>
      <c r="H796" s="19" t="n">
        <v>0.0214</v>
      </c>
      <c r="I796" s="20" t="n">
        <v>75</v>
      </c>
      <c r="J796" s="16" t="inlineStr">
        <is>
          <t>amber</t>
        </is>
      </c>
      <c r="K796" s="20" t="n">
        <v>8</v>
      </c>
      <c r="L796" s="18" t="n">
        <v>43.09</v>
      </c>
      <c r="M796" s="18" t="n">
        <v>952.99</v>
      </c>
      <c r="N796" s="18" t="n">
        <v>998.8099999999999</v>
      </c>
      <c r="O796" s="18" t="n">
        <v>784.37</v>
      </c>
      <c r="P796" s="18" t="n">
        <v>1101.4</v>
      </c>
      <c r="Q796" s="18" t="n">
        <v>482.45</v>
      </c>
      <c r="R796" s="21">
        <f>IF(OR(G796="",P796=""),"",G796/P796-1)</f>
        <v/>
      </c>
      <c r="S796" s="19" t="n">
        <v>0.5489000000000001</v>
      </c>
      <c r="T796" s="22" t="n">
        <v>0.0284</v>
      </c>
      <c r="U796" s="16" t="inlineStr">
        <is>
          <t>Yes</t>
        </is>
      </c>
      <c r="V796" s="16" t="inlineStr">
        <is>
          <t>No</t>
        </is>
      </c>
      <c r="W796" s="16" t="inlineStr">
        <is>
          <t>Yes</t>
        </is>
      </c>
      <c r="X796" s="16" t="inlineStr">
        <is>
          <t>Yes</t>
        </is>
      </c>
      <c r="Y796" s="20" t="n">
        <v>57</v>
      </c>
      <c r="Z796" s="19" t="n">
        <v>0.2734</v>
      </c>
      <c r="AA796" s="18" t="n">
        <v>31.24</v>
      </c>
      <c r="AB796" s="16" t="inlineStr">
        <is>
          <t>Poor</t>
        </is>
      </c>
      <c r="AC796" s="16" t="inlineStr">
        <is>
          <t>No</t>
        </is>
      </c>
      <c r="AD796" s="19" t="n">
        <v>0.0578</v>
      </c>
      <c r="AE796" s="19" t="n">
        <v>0.0601</v>
      </c>
      <c r="AF796" s="19" t="n">
        <v>-0.09660000000000001</v>
      </c>
      <c r="AG796" s="19" t="n">
        <v>0.0785</v>
      </c>
      <c r="AH796" s="23" t="n">
        <v>0.28</v>
      </c>
      <c r="AI796" s="23" t="n">
        <v>0.85</v>
      </c>
      <c r="AJ796" s="19" t="n">
        <v>0.3552</v>
      </c>
    </row>
    <row r="797">
      <c r="A797" s="16" t="inlineStr">
        <is>
          <t>CSBBANK</t>
        </is>
      </c>
      <c r="B797" s="16" t="inlineStr">
        <is>
          <t>CSB Bank Ltd.</t>
        </is>
      </c>
      <c r="C797" s="16" t="inlineStr">
        <is>
          <t>Banks</t>
        </is>
      </c>
      <c r="D797" s="16" t="inlineStr">
        <is>
          <t>Banking and Finance</t>
        </is>
      </c>
      <c r="E797" s="16" t="inlineStr">
        <is>
          <t>INE679A01013</t>
        </is>
      </c>
      <c r="F797" s="17" t="n">
        <v>5699.88</v>
      </c>
      <c r="G797" s="18" t="n">
        <v>328.55</v>
      </c>
      <c r="H797" s="19" t="n">
        <v>0.0111</v>
      </c>
      <c r="I797" s="20" t="n">
        <v>21</v>
      </c>
      <c r="J797" s="16" t="inlineStr">
        <is>
          <t>red</t>
        </is>
      </c>
      <c r="K797" s="20" t="n">
        <v>102</v>
      </c>
      <c r="L797" s="18" t="n">
        <v>55.28</v>
      </c>
      <c r="M797" s="18" t="n">
        <v>337.56</v>
      </c>
      <c r="N797" s="18" t="n">
        <v>338.55</v>
      </c>
      <c r="O797" s="18" t="n">
        <v>383.31</v>
      </c>
      <c r="P797" s="18" t="n">
        <v>557.45</v>
      </c>
      <c r="Q797" s="18" t="n">
        <v>314.6</v>
      </c>
      <c r="R797" s="21">
        <f>IF(OR(G797="",P797=""),"",G797/P797-1)</f>
        <v/>
      </c>
      <c r="S797" s="19" t="n">
        <v>1.4662</v>
      </c>
      <c r="T797" s="22" t="n">
        <v>-0.0233</v>
      </c>
      <c r="U797" s="16" t="inlineStr">
        <is>
          <t>No</t>
        </is>
      </c>
      <c r="V797" s="16" t="inlineStr">
        <is>
          <t>No</t>
        </is>
      </c>
      <c r="W797" s="16" t="inlineStr">
        <is>
          <t>No</t>
        </is>
      </c>
      <c r="X797" s="16" t="inlineStr">
        <is>
          <t>No</t>
        </is>
      </c>
      <c r="Y797" s="20" t="n">
        <v>113</v>
      </c>
      <c r="Z797" s="19" t="n">
        <v>-0.1168</v>
      </c>
      <c r="AA797" s="18" t="n">
        <v>51.47</v>
      </c>
      <c r="AB797" s="16" t="inlineStr">
        <is>
          <t>Average</t>
        </is>
      </c>
      <c r="AC797" s="16" t="inlineStr">
        <is>
          <t>Yes</t>
        </is>
      </c>
      <c r="AD797" s="19" t="n">
        <v>0.1368</v>
      </c>
      <c r="AE797" s="19" t="n"/>
      <c r="AF797" s="19" t="n">
        <v>0.0499</v>
      </c>
      <c r="AG797" s="19" t="n">
        <v>0.2067</v>
      </c>
      <c r="AH797" s="23" t="n">
        <v>1.46</v>
      </c>
      <c r="AI797" s="23" t="n">
        <v>4.08</v>
      </c>
      <c r="AJ797" s="19" t="n">
        <v>0.0021</v>
      </c>
    </row>
    <row r="798">
      <c r="A798" s="16" t="inlineStr">
        <is>
          <t>KRISHANA</t>
        </is>
      </c>
      <c r="B798" s="16" t="inlineStr">
        <is>
          <t>Krishana Phoschem Ltd.</t>
        </is>
      </c>
      <c r="C798" s="16" t="inlineStr">
        <is>
          <t>Fertilizers</t>
        </is>
      </c>
      <c r="D798" s="16" t="inlineStr">
        <is>
          <t>Fertilizers</t>
        </is>
      </c>
      <c r="E798" s="16" t="inlineStr">
        <is>
          <t>INE506W01020</t>
        </is>
      </c>
      <c r="F798" s="17" t="n">
        <v>5692.16</v>
      </c>
      <c r="G798" s="18" t="n">
        <v>184.13</v>
      </c>
      <c r="H798" s="19" t="n">
        <v>-0.012</v>
      </c>
      <c r="I798" s="20" t="n">
        <v>89</v>
      </c>
      <c r="J798" s="16" t="inlineStr">
        <is>
          <t>green</t>
        </is>
      </c>
      <c r="K798" s="20" t="n">
        <v>36</v>
      </c>
      <c r="L798" s="18" t="n">
        <v>46.37</v>
      </c>
      <c r="M798" s="18" t="n">
        <v>191.48</v>
      </c>
      <c r="N798" s="18" t="n">
        <v>168.58</v>
      </c>
      <c r="O798" s="18" t="n">
        <v>126.51</v>
      </c>
      <c r="P798" s="18" t="n">
        <v>205.16</v>
      </c>
      <c r="Q798" s="18" t="n">
        <v>88.5</v>
      </c>
      <c r="R798" s="21">
        <f>IF(OR(G798="",P798=""),"",G798/P798-1)</f>
        <v/>
      </c>
      <c r="S798" s="19" t="n">
        <v>0.4539</v>
      </c>
      <c r="T798" s="22" t="n">
        <v>0.075</v>
      </c>
      <c r="U798" s="16" t="inlineStr">
        <is>
          <t>Yes</t>
        </is>
      </c>
      <c r="V798" s="16" t="inlineStr">
        <is>
          <t>Yes</t>
        </is>
      </c>
      <c r="W798" s="16" t="inlineStr">
        <is>
          <t>No</t>
        </is>
      </c>
      <c r="X798" s="16" t="inlineStr">
        <is>
          <t>Yes</t>
        </is>
      </c>
      <c r="Y798" s="20" t="n">
        <v>98</v>
      </c>
      <c r="Z798" s="19" t="n">
        <v>0.3325</v>
      </c>
      <c r="AA798" s="18" t="n">
        <v>57.43</v>
      </c>
      <c r="AB798" s="16" t="inlineStr">
        <is>
          <t>Good</t>
        </is>
      </c>
      <c r="AC798" s="16" t="inlineStr">
        <is>
          <t>No</t>
        </is>
      </c>
      <c r="AD798" s="19" t="n">
        <v>0.2271</v>
      </c>
      <c r="AE798" s="19" t="n">
        <v>0.1868</v>
      </c>
      <c r="AF798" s="19" t="n">
        <v>0.1721</v>
      </c>
      <c r="AG798" s="19" t="n">
        <v>0.9584</v>
      </c>
      <c r="AH798" s="23" t="n">
        <v>1.31</v>
      </c>
      <c r="AI798" s="23" t="n">
        <v>3.55</v>
      </c>
      <c r="AJ798" s="19" t="n">
        <v>0.0048</v>
      </c>
    </row>
    <row r="799">
      <c r="A799" s="16" t="inlineStr">
        <is>
          <t>SSWL</t>
        </is>
      </c>
      <c r="B799" s="16" t="inlineStr">
        <is>
          <t>Steel Strips Wheels Ltd.</t>
        </is>
      </c>
      <c r="C799" s="16" t="inlineStr">
        <is>
          <t>Auto Parts &amp; Equipment</t>
        </is>
      </c>
      <c r="D799" s="16" t="inlineStr">
        <is>
          <t>Automobiles &amp; Auto Components</t>
        </is>
      </c>
      <c r="E799" s="16" t="inlineStr">
        <is>
          <t>INE802C01033</t>
        </is>
      </c>
      <c r="F799" s="17" t="n">
        <v>5690.64</v>
      </c>
      <c r="G799" s="18" t="n">
        <v>361.85</v>
      </c>
      <c r="H799" s="19" t="n">
        <v>0.0029</v>
      </c>
      <c r="I799" s="20" t="n">
        <v>91</v>
      </c>
      <c r="J799" s="16" t="inlineStr">
        <is>
          <t>green</t>
        </is>
      </c>
      <c r="K799" s="20" t="n">
        <v>34</v>
      </c>
      <c r="L799" s="18" t="n">
        <v>72.12</v>
      </c>
      <c r="M799" s="18" t="n">
        <v>326.7</v>
      </c>
      <c r="N799" s="18" t="n">
        <v>290.17</v>
      </c>
      <c r="O799" s="18" t="n">
        <v>226.51</v>
      </c>
      <c r="P799" s="18" t="n">
        <v>361.85</v>
      </c>
      <c r="Q799" s="18" t="n">
        <v>170.43</v>
      </c>
      <c r="R799" s="21">
        <f>IF(OR(G799="",P799=""),"",G799/P799-1)</f>
        <v/>
      </c>
      <c r="S799" s="19" t="n">
        <v>0.5629</v>
      </c>
      <c r="T799" s="22" t="n">
        <v>0.044</v>
      </c>
      <c r="U799" s="16" t="inlineStr">
        <is>
          <t>Yes</t>
        </is>
      </c>
      <c r="V799" s="16" t="inlineStr">
        <is>
          <t>Yes</t>
        </is>
      </c>
      <c r="W799" s="16" t="inlineStr">
        <is>
          <t>Yes</t>
        </is>
      </c>
      <c r="X799" s="16" t="inlineStr">
        <is>
          <t>Yes</t>
        </is>
      </c>
      <c r="Y799" s="20" t="n">
        <v>63</v>
      </c>
      <c r="Z799" s="19" t="n">
        <v>0.2811</v>
      </c>
      <c r="AA799" s="18" t="n">
        <v>59.77</v>
      </c>
      <c r="AB799" s="16" t="inlineStr">
        <is>
          <t>Good</t>
        </is>
      </c>
      <c r="AC799" s="16" t="inlineStr">
        <is>
          <t>No</t>
        </is>
      </c>
      <c r="AD799" s="19" t="n">
        <v>0.2311</v>
      </c>
      <c r="AE799" s="19" t="n">
        <v>0.2117</v>
      </c>
      <c r="AF799" s="19" t="n">
        <v>0.5814</v>
      </c>
      <c r="AG799" s="19" t="n">
        <v>0.0895</v>
      </c>
      <c r="AH799" s="23" t="n">
        <v>0.46</v>
      </c>
      <c r="AI799" s="23" t="n">
        <v>2.44</v>
      </c>
      <c r="AJ799" s="19" t="n">
        <v>0.0727</v>
      </c>
    </row>
    <row r="800">
      <c r="A800" s="16" t="inlineStr">
        <is>
          <t>INDIGOPNTS</t>
        </is>
      </c>
      <c r="B800" s="16" t="inlineStr">
        <is>
          <t>Indigo Paints Ltd.</t>
        </is>
      </c>
      <c r="C800" s="16" t="inlineStr">
        <is>
          <t>Paints</t>
        </is>
      </c>
      <c r="D800" s="16" t="inlineStr">
        <is>
          <t>Consumer Durables</t>
        </is>
      </c>
      <c r="E800" s="16" t="inlineStr">
        <is>
          <t>INE09VQ01012</t>
        </is>
      </c>
      <c r="F800" s="17" t="n">
        <v>5660.13</v>
      </c>
      <c r="G800" s="18" t="n">
        <v>1185.8</v>
      </c>
      <c r="H800" s="19" t="n">
        <v>0.006500000000000001</v>
      </c>
      <c r="I800" s="20" t="n">
        <v>61</v>
      </c>
      <c r="J800" s="16" t="inlineStr">
        <is>
          <t>amber</t>
        </is>
      </c>
      <c r="K800" s="20" t="n">
        <v>4</v>
      </c>
      <c r="L800" s="18" t="n">
        <v>57.7</v>
      </c>
      <c r="M800" s="18" t="n">
        <v>1167.34</v>
      </c>
      <c r="N800" s="18" t="n">
        <v>1098.49</v>
      </c>
      <c r="O800" s="18" t="n">
        <v>1027.13</v>
      </c>
      <c r="P800" s="18" t="n">
        <v>1320.4</v>
      </c>
      <c r="Q800" s="18" t="n">
        <v>707.8</v>
      </c>
      <c r="R800" s="21">
        <f>IF(OR(G800="",P800=""),"",G800/P800-1)</f>
        <v/>
      </c>
      <c r="S800" s="19" t="n">
        <v>0.6102000000000001</v>
      </c>
      <c r="T800" s="22" t="n">
        <v>0.0039</v>
      </c>
      <c r="U800" s="16" t="inlineStr">
        <is>
          <t>Yes</t>
        </is>
      </c>
      <c r="V800" s="16" t="inlineStr">
        <is>
          <t>Yes</t>
        </is>
      </c>
      <c r="W800" s="16" t="inlineStr">
        <is>
          <t>Yes</t>
        </is>
      </c>
      <c r="X800" s="16" t="inlineStr">
        <is>
          <t>Yes</t>
        </is>
      </c>
      <c r="Y800" s="20" t="n">
        <v>27</v>
      </c>
      <c r="Z800" s="19" t="n">
        <v>0.06950000000000001</v>
      </c>
      <c r="AA800" s="18" t="n">
        <v>40</v>
      </c>
      <c r="AB800" s="16" t="inlineStr">
        <is>
          <t>Weak</t>
        </is>
      </c>
      <c r="AC800" s="16" t="inlineStr">
        <is>
          <t>No</t>
        </is>
      </c>
      <c r="AD800" s="19" t="n">
        <v>0.1422</v>
      </c>
      <c r="AE800" s="19" t="n">
        <v>0.1905</v>
      </c>
      <c r="AF800" s="19" t="n">
        <v>-0.3076</v>
      </c>
      <c r="AG800" s="19" t="n">
        <v>0.0987</v>
      </c>
      <c r="AH800" s="23" t="n">
        <v>0.02</v>
      </c>
      <c r="AI800" s="23" t="n">
        <v>1.86</v>
      </c>
      <c r="AJ800" s="19" t="n">
        <v>0.2919</v>
      </c>
    </row>
    <row r="801">
      <c r="A801" s="16" t="inlineStr">
        <is>
          <t>JSFB</t>
        </is>
      </c>
      <c r="B801" s="16" t="inlineStr">
        <is>
          <t>Jana Small Finance Bank Ltd.</t>
        </is>
      </c>
      <c r="C801" s="16" t="inlineStr">
        <is>
          <t>Microfinance Institutions</t>
        </is>
      </c>
      <c r="D801" s="16" t="inlineStr">
        <is>
          <t>Banking and Finance</t>
        </is>
      </c>
      <c r="E801" s="16" t="inlineStr">
        <is>
          <t>INE953L01027</t>
        </is>
      </c>
      <c r="F801" s="17" t="n">
        <v>5658.82</v>
      </c>
      <c r="G801" s="18" t="n">
        <v>535.1</v>
      </c>
      <c r="H801" s="19" t="n">
        <v>0.0017</v>
      </c>
      <c r="I801" s="20" t="n">
        <v>68</v>
      </c>
      <c r="J801" s="16" t="inlineStr">
        <is>
          <t>amber</t>
        </is>
      </c>
      <c r="K801" s="20" t="n">
        <v>22</v>
      </c>
      <c r="L801" s="18" t="n">
        <v>44.65</v>
      </c>
      <c r="M801" s="18" t="n">
        <v>536.58</v>
      </c>
      <c r="N801" s="18" t="n">
        <v>529.53</v>
      </c>
      <c r="O801" s="18" t="n">
        <v>446.93</v>
      </c>
      <c r="P801" s="18" t="n">
        <v>584.85</v>
      </c>
      <c r="Q801" s="18" t="n">
        <v>341.85</v>
      </c>
      <c r="R801" s="21">
        <f>IF(OR(G801="",P801=""),"",G801/P801-1)</f>
        <v/>
      </c>
      <c r="S801" s="19" t="n">
        <v>0.4716</v>
      </c>
      <c r="T801" s="22" t="n">
        <v>0.0213</v>
      </c>
      <c r="U801" s="16" t="inlineStr">
        <is>
          <t>Yes</t>
        </is>
      </c>
      <c r="V801" s="16" t="inlineStr">
        <is>
          <t>Yes</t>
        </is>
      </c>
      <c r="W801" s="16" t="inlineStr">
        <is>
          <t>No</t>
        </is>
      </c>
      <c r="X801" s="16" t="inlineStr">
        <is>
          <t>Yes</t>
        </is>
      </c>
      <c r="Y801" s="20" t="n">
        <v>69</v>
      </c>
      <c r="Z801" s="19" t="n">
        <v>0.1848</v>
      </c>
      <c r="AA801" s="18" t="n">
        <v>65.98</v>
      </c>
      <c r="AB801" s="16" t="inlineStr">
        <is>
          <t>High</t>
        </is>
      </c>
      <c r="AC801" s="16" t="inlineStr">
        <is>
          <t>Yes</t>
        </is>
      </c>
      <c r="AD801" s="19" t="n">
        <v>0.1273</v>
      </c>
      <c r="AE801" s="19" t="n"/>
      <c r="AF801" s="19" t="n">
        <v>0.6272</v>
      </c>
      <c r="AG801" s="19" t="n">
        <v>0.1774</v>
      </c>
      <c r="AH801" s="23" t="n">
        <v>1.23</v>
      </c>
      <c r="AI801" s="23" t="n">
        <v>18.19</v>
      </c>
      <c r="AJ801" s="19" t="n">
        <v>0</v>
      </c>
    </row>
    <row r="802">
      <c r="A802" s="16" t="inlineStr">
        <is>
          <t>PRSMJOHNSN</t>
        </is>
      </c>
      <c r="B802" s="16" t="inlineStr">
        <is>
          <t>Prism Johnson Ltd.</t>
        </is>
      </c>
      <c r="C802" s="16" t="inlineStr">
        <is>
          <t>Cement &amp; Cement Products</t>
        </is>
      </c>
      <c r="D802" s="16" t="inlineStr">
        <is>
          <t>Cement and Construction</t>
        </is>
      </c>
      <c r="E802" s="16" t="inlineStr">
        <is>
          <t>INE010A01011</t>
        </is>
      </c>
      <c r="F802" s="17" t="n">
        <v>5593.3</v>
      </c>
      <c r="G802" s="18" t="n">
        <v>111.12</v>
      </c>
      <c r="H802" s="19" t="n">
        <v>-0.0017</v>
      </c>
      <c r="I802" s="20" t="n">
        <v>15</v>
      </c>
      <c r="J802" s="16" t="inlineStr">
        <is>
          <t>red</t>
        </is>
      </c>
      <c r="K802" s="20" t="n">
        <v>112</v>
      </c>
      <c r="L802" s="18" t="n">
        <v>67.95</v>
      </c>
      <c r="M802" s="18" t="n">
        <v>111.39</v>
      </c>
      <c r="N802" s="18" t="n">
        <v>110.48</v>
      </c>
      <c r="O802" s="18" t="n">
        <v>123.19</v>
      </c>
      <c r="P802" s="18" t="n">
        <v>168.8</v>
      </c>
      <c r="Q802" s="18" t="n">
        <v>104.85</v>
      </c>
      <c r="R802" s="21">
        <f>IF(OR(G802="",P802=""),"",G802/P802-1)</f>
        <v/>
      </c>
      <c r="S802" s="19" t="n">
        <v>0.0457</v>
      </c>
      <c r="T802" s="22" t="n">
        <v>-0.0319</v>
      </c>
      <c r="U802" s="16" t="inlineStr">
        <is>
          <t>No</t>
        </is>
      </c>
      <c r="V802" s="16" t="inlineStr">
        <is>
          <t>Yes</t>
        </is>
      </c>
      <c r="W802" s="16" t="inlineStr">
        <is>
          <t>No</t>
        </is>
      </c>
      <c r="X802" s="16" t="inlineStr">
        <is>
          <t>No</t>
        </is>
      </c>
      <c r="Y802" s="20" t="n">
        <v>179</v>
      </c>
      <c r="Z802" s="19" t="n">
        <v>-0.1032</v>
      </c>
      <c r="AA802" s="18" t="n">
        <v>34.15</v>
      </c>
      <c r="AB802" s="16" t="inlineStr">
        <is>
          <t>Poor</t>
        </is>
      </c>
      <c r="AC802" s="16" t="inlineStr">
        <is>
          <t>No</t>
        </is>
      </c>
      <c r="AD802" s="19" t="n">
        <v>0.0774</v>
      </c>
      <c r="AE802" s="19" t="n">
        <v>0.1032</v>
      </c>
      <c r="AF802" s="19" t="n">
        <v>0.7031999999999999</v>
      </c>
      <c r="AG802" s="19" t="n">
        <v>0.0074</v>
      </c>
      <c r="AH802" s="23" t="n">
        <v>0.92</v>
      </c>
      <c r="AI802" s="23" t="n">
        <v>2.28</v>
      </c>
      <c r="AJ802" s="19" t="n">
        <v>0.0233</v>
      </c>
    </row>
    <row r="803">
      <c r="A803" s="16" t="inlineStr">
        <is>
          <t>NIRLON</t>
        </is>
      </c>
      <c r="B803" s="16" t="inlineStr">
        <is>
          <t>Nirlon Ltd.</t>
        </is>
      </c>
      <c r="C803" s="16" t="inlineStr">
        <is>
          <t>Realty</t>
        </is>
      </c>
      <c r="D803" s="16" t="inlineStr">
        <is>
          <t>Realty</t>
        </is>
      </c>
      <c r="E803" s="16" t="inlineStr">
        <is>
          <t>INE910A01012</t>
        </is>
      </c>
      <c r="F803" s="17" t="n">
        <v>5585.51</v>
      </c>
      <c r="G803" s="18" t="n">
        <v>619.8</v>
      </c>
      <c r="H803" s="19" t="n">
        <v>-0.0027</v>
      </c>
      <c r="I803" s="20" t="n">
        <v>64</v>
      </c>
      <c r="J803" s="16" t="inlineStr">
        <is>
          <t>amber</t>
        </is>
      </c>
      <c r="K803" s="20" t="n">
        <v>61</v>
      </c>
      <c r="L803" s="18" t="n">
        <v>60.24</v>
      </c>
      <c r="M803" s="18" t="n">
        <v>627.05</v>
      </c>
      <c r="N803" s="18" t="n">
        <v>613.6799999999999</v>
      </c>
      <c r="O803" s="18" t="n">
        <v>540.1900000000001</v>
      </c>
      <c r="P803" s="18" t="n">
        <v>634.98</v>
      </c>
      <c r="Q803" s="18" t="n">
        <v>442.58</v>
      </c>
      <c r="R803" s="21">
        <f>IF(OR(G803="",P803=""),"",G803/P803-1)</f>
        <v/>
      </c>
      <c r="S803" s="19" t="n">
        <v>2.9667</v>
      </c>
      <c r="T803" s="22" t="n">
        <v>0.0271</v>
      </c>
      <c r="U803" s="16" t="inlineStr">
        <is>
          <t>Yes</t>
        </is>
      </c>
      <c r="V803" s="16" t="inlineStr">
        <is>
          <t>Yes</t>
        </is>
      </c>
      <c r="W803" s="16" t="inlineStr">
        <is>
          <t>No</t>
        </is>
      </c>
      <c r="X803" s="16" t="inlineStr">
        <is>
          <t>Yes</t>
        </is>
      </c>
      <c r="Y803" s="20" t="n">
        <v>105</v>
      </c>
      <c r="Z803" s="19" t="n">
        <v>0.136</v>
      </c>
      <c r="AA803" s="18" t="n"/>
      <c r="AB803" s="16" t="n"/>
      <c r="AC803" s="16" t="inlineStr">
        <is>
          <t>No</t>
        </is>
      </c>
      <c r="AD803" s="19" t="n"/>
      <c r="AE803" s="19" t="n"/>
      <c r="AF803" s="19" t="n"/>
      <c r="AG803" s="19" t="n"/>
      <c r="AH803" s="23" t="n"/>
      <c r="AI803" s="23" t="n"/>
      <c r="AJ803" s="19" t="n"/>
    </row>
    <row r="804">
      <c r="A804" s="16" t="inlineStr">
        <is>
          <t>FDC</t>
        </is>
      </c>
      <c r="B804" s="16" t="inlineStr">
        <is>
          <t>FDC Ltd.</t>
        </is>
      </c>
      <c r="C804" s="16" t="inlineStr">
        <is>
          <t>Pharmaceuticals</t>
        </is>
      </c>
      <c r="D804" s="16" t="inlineStr">
        <is>
          <t>Pharmaceuticals &amp; Biotechnology</t>
        </is>
      </c>
      <c r="E804" s="16" t="inlineStr">
        <is>
          <t>INE258B01022</t>
        </is>
      </c>
      <c r="F804" s="17" t="n">
        <v>5581.13</v>
      </c>
      <c r="G804" s="18" t="n">
        <v>342.8</v>
      </c>
      <c r="H804" s="19" t="n">
        <v>0.0035</v>
      </c>
      <c r="I804" s="20" t="n">
        <v>14</v>
      </c>
      <c r="J804" s="16" t="inlineStr">
        <is>
          <t>red</t>
        </is>
      </c>
      <c r="K804" s="20" t="n">
        <v>264</v>
      </c>
      <c r="L804" s="18" t="n">
        <v>38.02</v>
      </c>
      <c r="M804" s="18" t="n">
        <v>341.18</v>
      </c>
      <c r="N804" s="18" t="n">
        <v>388.08</v>
      </c>
      <c r="O804" s="18" t="n">
        <v>382.34</v>
      </c>
      <c r="P804" s="18" t="n">
        <v>480.72</v>
      </c>
      <c r="Q804" s="18" t="n">
        <v>321.1</v>
      </c>
      <c r="R804" s="21">
        <f>IF(OR(G804="",P804=""),"",G804/P804-1)</f>
        <v/>
      </c>
      <c r="S804" s="19" t="n">
        <v>0.4922</v>
      </c>
      <c r="T804" s="22" t="n">
        <v>-0.0196</v>
      </c>
      <c r="U804" s="16" t="inlineStr">
        <is>
          <t>No</t>
        </is>
      </c>
      <c r="V804" s="16" t="inlineStr">
        <is>
          <t>No</t>
        </is>
      </c>
      <c r="W804" s="16" t="inlineStr">
        <is>
          <t>Yes</t>
        </is>
      </c>
      <c r="X804" s="16" t="inlineStr">
        <is>
          <t>Yes</t>
        </is>
      </c>
      <c r="Y804" s="20" t="n">
        <v>41</v>
      </c>
      <c r="Z804" s="19" t="n">
        <v>0.015</v>
      </c>
      <c r="AA804" s="18" t="n">
        <v>56.99</v>
      </c>
      <c r="AB804" s="16" t="inlineStr">
        <is>
          <t>Good</t>
        </is>
      </c>
      <c r="AC804" s="16" t="inlineStr">
        <is>
          <t>No</t>
        </is>
      </c>
      <c r="AD804" s="19" t="n">
        <v>0.1252</v>
      </c>
      <c r="AE804" s="19" t="n">
        <v>0.1659</v>
      </c>
      <c r="AF804" s="19" t="n">
        <v>0.1764</v>
      </c>
      <c r="AG804" s="19" t="n">
        <v>0.0692</v>
      </c>
      <c r="AH804" s="23" t="n">
        <v>0.01</v>
      </c>
      <c r="AI804" s="23" t="n">
        <v>1.99</v>
      </c>
      <c r="AJ804" s="19" t="n">
        <v>0.08800000000000001</v>
      </c>
    </row>
    <row r="805">
      <c r="A805" s="16" t="inlineStr">
        <is>
          <t>DBREALTY</t>
        </is>
      </c>
      <c r="B805" s="16" t="inlineStr">
        <is>
          <t>Valor Estate Ltd.</t>
        </is>
      </c>
      <c r="C805" s="16" t="inlineStr">
        <is>
          <t>Realty</t>
        </is>
      </c>
      <c r="D805" s="16" t="inlineStr">
        <is>
          <t>Realty</t>
        </is>
      </c>
      <c r="E805" s="16" t="inlineStr">
        <is>
          <t>INE879I01012</t>
        </is>
      </c>
      <c r="F805" s="17" t="n">
        <v>5563.47</v>
      </c>
      <c r="G805" s="18" t="n">
        <v>102.57</v>
      </c>
      <c r="H805" s="19" t="n">
        <v>-0.004699999999999999</v>
      </c>
      <c r="I805" s="20" t="n">
        <v>13</v>
      </c>
      <c r="J805" s="16" t="inlineStr">
        <is>
          <t>red</t>
        </is>
      </c>
      <c r="K805" s="20" t="n">
        <v>262</v>
      </c>
      <c r="L805" s="18" t="n">
        <v>35.34</v>
      </c>
      <c r="M805" s="18" t="n">
        <v>104.46</v>
      </c>
      <c r="N805" s="18" t="n">
        <v>111.5</v>
      </c>
      <c r="O805" s="18" t="n">
        <v>113.09</v>
      </c>
      <c r="P805" s="18" t="n">
        <v>179.74</v>
      </c>
      <c r="Q805" s="18" t="n">
        <v>83.97</v>
      </c>
      <c r="R805" s="21">
        <f>IF(OR(G805="",P805=""),"",G805/P805-1)</f>
        <v/>
      </c>
      <c r="S805" s="19" t="n">
        <v>1.4663</v>
      </c>
      <c r="T805" s="22" t="n">
        <v>-0.0346</v>
      </c>
      <c r="U805" s="16" t="inlineStr">
        <is>
          <t>No</t>
        </is>
      </c>
      <c r="V805" s="16" t="inlineStr">
        <is>
          <t>No</t>
        </is>
      </c>
      <c r="W805" s="16" t="inlineStr">
        <is>
          <t>No</t>
        </is>
      </c>
      <c r="X805" s="16" t="inlineStr">
        <is>
          <t>No</t>
        </is>
      </c>
      <c r="Y805" s="20" t="n">
        <v>234</v>
      </c>
      <c r="Z805" s="19" t="n">
        <v>-0.014</v>
      </c>
      <c r="AA805" s="18" t="n">
        <v>57.78</v>
      </c>
      <c r="AB805" s="16" t="inlineStr">
        <is>
          <t>Good</t>
        </is>
      </c>
      <c r="AC805" s="16" t="inlineStr">
        <is>
          <t>No</t>
        </is>
      </c>
      <c r="AD805" s="19" t="n">
        <v>0.08119999999999999</v>
      </c>
      <c r="AE805" s="19" t="n">
        <v>0.0702</v>
      </c>
      <c r="AF805" s="19" t="n">
        <v>3.5591</v>
      </c>
      <c r="AG805" s="19" t="n">
        <v>0.5806</v>
      </c>
      <c r="AH805" s="23" t="n">
        <v>0.18</v>
      </c>
      <c r="AI805" s="23" t="n">
        <v>22.29</v>
      </c>
      <c r="AJ805" s="19" t="n">
        <v>0</v>
      </c>
    </row>
    <row r="806">
      <c r="A806" s="16" t="inlineStr">
        <is>
          <t>CENTUM</t>
        </is>
      </c>
      <c r="B806" s="16" t="inlineStr">
        <is>
          <t>Centum Electronics Ltd.</t>
        </is>
      </c>
      <c r="C806" s="16" t="inlineStr">
        <is>
          <t>Electronic Components</t>
        </is>
      </c>
      <c r="D806" s="16" t="inlineStr">
        <is>
          <t>Commercial Services &amp; Supplies</t>
        </is>
      </c>
      <c r="E806" s="16" t="inlineStr">
        <is>
          <t>INE320B01020</t>
        </is>
      </c>
      <c r="F806" s="17" t="n">
        <v>5561.29</v>
      </c>
      <c r="G806" s="18" t="n">
        <v>3767.3</v>
      </c>
      <c r="H806" s="19" t="n">
        <v>-0.0023</v>
      </c>
      <c r="I806" s="20" t="n">
        <v>77</v>
      </c>
      <c r="J806" s="16" t="inlineStr">
        <is>
          <t>amber</t>
        </is>
      </c>
      <c r="K806" s="20" t="n">
        <v>15</v>
      </c>
      <c r="L806" s="18" t="n">
        <v>71.56999999999999</v>
      </c>
      <c r="M806" s="18" t="n">
        <v>3517.94</v>
      </c>
      <c r="N806" s="18" t="n">
        <v>3598.15</v>
      </c>
      <c r="O806" s="18" t="n">
        <v>2937.62</v>
      </c>
      <c r="P806" s="18" t="n">
        <v>3861.2</v>
      </c>
      <c r="Q806" s="18" t="n">
        <v>2089.56</v>
      </c>
      <c r="R806" s="21">
        <f>IF(OR(G806="",P806=""),"",G806/P806-1)</f>
        <v/>
      </c>
      <c r="S806" s="19" t="n">
        <v>0.5118</v>
      </c>
      <c r="T806" s="22" t="n">
        <v>0.0373</v>
      </c>
      <c r="U806" s="16" t="inlineStr">
        <is>
          <t>Yes</t>
        </is>
      </c>
      <c r="V806" s="16" t="inlineStr">
        <is>
          <t>Yes</t>
        </is>
      </c>
      <c r="W806" s="16" t="inlineStr">
        <is>
          <t>Yes</t>
        </is>
      </c>
      <c r="X806" s="16" t="inlineStr">
        <is>
          <t>Yes</t>
        </is>
      </c>
      <c r="Y806" s="20" t="n">
        <v>118</v>
      </c>
      <c r="Z806" s="19" t="n">
        <v>0.2249</v>
      </c>
      <c r="AA806" s="18" t="n">
        <v>34.56</v>
      </c>
      <c r="AB806" s="16" t="inlineStr">
        <is>
          <t>Weak</t>
        </is>
      </c>
      <c r="AC806" s="16" t="inlineStr">
        <is>
          <t>No</t>
        </is>
      </c>
      <c r="AD806" s="19" t="n">
        <v>-0.0404</v>
      </c>
      <c r="AE806" s="19" t="n">
        <v>0.1611</v>
      </c>
      <c r="AF806" s="19" t="n">
        <v>-6.085599999999999</v>
      </c>
      <c r="AG806" s="19" t="n">
        <v>0.059</v>
      </c>
      <c r="AH806" s="23" t="n">
        <v>0.36</v>
      </c>
      <c r="AI806" s="23" t="n">
        <v>6.86</v>
      </c>
      <c r="AJ806" s="19" t="n">
        <v>0.0199</v>
      </c>
    </row>
    <row r="807">
      <c r="A807" s="16" t="inlineStr">
        <is>
          <t>LATENTVIEW</t>
        </is>
      </c>
      <c r="B807" s="16" t="inlineStr">
        <is>
          <t>Latent View Analytics Ltd.</t>
        </is>
      </c>
      <c r="C807" s="16" t="inlineStr">
        <is>
          <t>Data Processing Services</t>
        </is>
      </c>
      <c r="D807" s="16" t="inlineStr">
        <is>
          <t>Software &amp; Services</t>
        </is>
      </c>
      <c r="E807" s="16" t="inlineStr">
        <is>
          <t>INE0I7C01011</t>
        </is>
      </c>
      <c r="F807" s="17" t="n">
        <v>5530.07</v>
      </c>
      <c r="G807" s="18" t="n">
        <v>267.25</v>
      </c>
      <c r="H807" s="19" t="n">
        <v>0.004699999999999999</v>
      </c>
      <c r="I807" s="20" t="n">
        <v>6</v>
      </c>
      <c r="J807" s="16" t="inlineStr">
        <is>
          <t>red</t>
        </is>
      </c>
      <c r="K807" s="20" t="n">
        <v>145</v>
      </c>
      <c r="L807" s="18" t="n">
        <v>32.13</v>
      </c>
      <c r="M807" s="18" t="n">
        <v>271.89</v>
      </c>
      <c r="N807" s="18" t="n">
        <v>290.51</v>
      </c>
      <c r="O807" s="18" t="n">
        <v>345.96</v>
      </c>
      <c r="P807" s="18" t="n">
        <v>502.1</v>
      </c>
      <c r="Q807" s="18" t="n">
        <v>249.6</v>
      </c>
      <c r="R807" s="21">
        <f>IF(OR(G807="",P807=""),"",G807/P807-1)</f>
        <v/>
      </c>
      <c r="S807" s="19" t="n">
        <v>0.4307</v>
      </c>
      <c r="T807" s="22" t="n">
        <v>-0.0484</v>
      </c>
      <c r="U807" s="16" t="inlineStr">
        <is>
          <t>No</t>
        </is>
      </c>
      <c r="V807" s="16" t="inlineStr">
        <is>
          <t>No</t>
        </is>
      </c>
      <c r="W807" s="16" t="inlineStr">
        <is>
          <t>No</t>
        </is>
      </c>
      <c r="X807" s="16" t="inlineStr">
        <is>
          <t>No</t>
        </is>
      </c>
      <c r="Y807" s="20" t="n">
        <v>134</v>
      </c>
      <c r="Z807" s="19" t="n">
        <v>-0.1603</v>
      </c>
      <c r="AA807" s="18" t="n">
        <v>62.01</v>
      </c>
      <c r="AB807" s="16" t="inlineStr">
        <is>
          <t>Good</t>
        </is>
      </c>
      <c r="AC807" s="16" t="inlineStr">
        <is>
          <t>No</t>
        </is>
      </c>
      <c r="AD807" s="19" t="n">
        <v>0.1148</v>
      </c>
      <c r="AE807" s="19" t="n">
        <v>0.1493</v>
      </c>
      <c r="AF807" s="19" t="n">
        <v>0.0794</v>
      </c>
      <c r="AG807" s="19" t="n">
        <v>0.2543</v>
      </c>
      <c r="AH807" s="23" t="n">
        <v>0.02</v>
      </c>
      <c r="AI807" s="23" t="n">
        <v>18.77</v>
      </c>
      <c r="AJ807" s="19" t="n">
        <v>0</v>
      </c>
    </row>
    <row r="808">
      <c r="A808" s="16" t="inlineStr">
        <is>
          <t>ITDC</t>
        </is>
      </c>
      <c r="B808" s="16" t="inlineStr">
        <is>
          <t>India Tourism Development Corporation Ltd.</t>
        </is>
      </c>
      <c r="C808" s="16" t="inlineStr">
        <is>
          <t>Hotels</t>
        </is>
      </c>
      <c r="D808" s="16" t="inlineStr">
        <is>
          <t>Hotels Restaurants &amp; Tourism</t>
        </is>
      </c>
      <c r="E808" s="16" t="inlineStr">
        <is>
          <t>INE353K01014</t>
        </is>
      </c>
      <c r="F808" s="17" t="n">
        <v>5526.55</v>
      </c>
      <c r="G808" s="18" t="n">
        <v>644.35</v>
      </c>
      <c r="H808" s="19" t="n">
        <v>0.0016</v>
      </c>
      <c r="I808" s="20" t="n">
        <v>63</v>
      </c>
      <c r="J808" s="16" t="inlineStr">
        <is>
          <t>amber</t>
        </is>
      </c>
      <c r="K808" s="20" t="n">
        <v>2</v>
      </c>
      <c r="L808" s="18" t="n">
        <v>22.82</v>
      </c>
      <c r="M808" s="18" t="n">
        <v>651.92</v>
      </c>
      <c r="N808" s="18" t="n">
        <v>689.29</v>
      </c>
      <c r="O808" s="18" t="n">
        <v>582.6799999999999</v>
      </c>
      <c r="P808" s="18" t="n">
        <v>793.9</v>
      </c>
      <c r="Q808" s="18" t="n">
        <v>370.5</v>
      </c>
      <c r="R808" s="21">
        <f>IF(OR(G808="",P808=""),"",G808/P808-1)</f>
        <v/>
      </c>
      <c r="S808" s="19" t="n">
        <v>0.1631</v>
      </c>
      <c r="T808" s="22" t="n">
        <v>0.012</v>
      </c>
      <c r="U808" s="16" t="inlineStr">
        <is>
          <t>Yes</t>
        </is>
      </c>
      <c r="V808" s="16" t="inlineStr">
        <is>
          <t>No</t>
        </is>
      </c>
      <c r="W808" s="16" t="inlineStr">
        <is>
          <t>No</t>
        </is>
      </c>
      <c r="X808" s="16" t="inlineStr">
        <is>
          <t>Yes</t>
        </is>
      </c>
      <c r="Y808" s="20" t="n">
        <v>62</v>
      </c>
      <c r="Z808" s="19" t="n">
        <v>0.183</v>
      </c>
      <c r="AA808" s="18" t="n">
        <v>73.09</v>
      </c>
      <c r="AB808" s="16" t="inlineStr">
        <is>
          <t>High</t>
        </is>
      </c>
      <c r="AC808" s="16" t="inlineStr">
        <is>
          <t>No</t>
        </is>
      </c>
      <c r="AD808" s="19" t="n">
        <v>0.2093</v>
      </c>
      <c r="AE808" s="19" t="n">
        <v>0.2913</v>
      </c>
      <c r="AF808" s="19" t="n">
        <v>0.1468</v>
      </c>
      <c r="AG808" s="19" t="n">
        <v>0.0534</v>
      </c>
      <c r="AH808" s="23" t="n">
        <v>0</v>
      </c>
      <c r="AI808" s="23" t="n">
        <v>10.64</v>
      </c>
      <c r="AJ808" s="19" t="n">
        <v>0.1685</v>
      </c>
    </row>
    <row r="809">
      <c r="A809" s="16" t="inlineStr">
        <is>
          <t>VADILALIND</t>
        </is>
      </c>
      <c r="B809" s="16" t="inlineStr">
        <is>
          <t>Vadilal Industries Ltd.</t>
        </is>
      </c>
      <c r="C809" s="16" t="inlineStr">
        <is>
          <t>Packaged Foods</t>
        </is>
      </c>
      <c r="D809" s="16" t="inlineStr">
        <is>
          <t>FMCG</t>
        </is>
      </c>
      <c r="E809" s="16" t="inlineStr">
        <is>
          <t>INE694D01016</t>
        </is>
      </c>
      <c r="F809" s="17" t="n">
        <v>5502.26</v>
      </c>
      <c r="G809" s="18" t="n">
        <v>7655</v>
      </c>
      <c r="H809" s="19" t="n">
        <v>0.0053</v>
      </c>
      <c r="I809" s="20" t="n">
        <v>83</v>
      </c>
      <c r="J809" s="16" t="inlineStr">
        <is>
          <t>green</t>
        </is>
      </c>
      <c r="K809" s="20" t="n">
        <v>40</v>
      </c>
      <c r="L809" s="18" t="n">
        <v>62.28</v>
      </c>
      <c r="M809" s="18" t="n">
        <v>7595.72</v>
      </c>
      <c r="N809" s="18" t="n">
        <v>6999.93</v>
      </c>
      <c r="O809" s="18" t="n">
        <v>5400.32</v>
      </c>
      <c r="P809" s="18" t="n">
        <v>7855.06</v>
      </c>
      <c r="Q809" s="18" t="n">
        <v>4005.41</v>
      </c>
      <c r="R809" s="21">
        <f>IF(OR(G809="",P809=""),"",G809/P809-1)</f>
        <v/>
      </c>
      <c r="S809" s="19" t="n">
        <v>0.2135</v>
      </c>
      <c r="T809" s="22" t="n">
        <v>0.04219999999999999</v>
      </c>
      <c r="U809" s="16" t="inlineStr">
        <is>
          <t>Yes</t>
        </is>
      </c>
      <c r="V809" s="16" t="inlineStr">
        <is>
          <t>Yes</t>
        </is>
      </c>
      <c r="W809" s="16" t="inlineStr">
        <is>
          <t>Yes</t>
        </is>
      </c>
      <c r="X809" s="16" t="inlineStr">
        <is>
          <t>Yes</t>
        </is>
      </c>
      <c r="Y809" s="20" t="n">
        <v>52</v>
      </c>
      <c r="Z809" s="19" t="n">
        <v>0.2962</v>
      </c>
      <c r="AA809" s="18" t="n">
        <v>40</v>
      </c>
      <c r="AB809" s="16" t="inlineStr">
        <is>
          <t>Weak</t>
        </is>
      </c>
      <c r="AC809" s="16" t="inlineStr">
        <is>
          <t>No</t>
        </is>
      </c>
      <c r="AD809" s="19" t="n">
        <v>0.2226</v>
      </c>
      <c r="AE809" s="19" t="n">
        <v>0.2314</v>
      </c>
      <c r="AF809" s="19" t="n">
        <v>-0.1514</v>
      </c>
      <c r="AG809" s="19" t="n">
        <v>0.127</v>
      </c>
      <c r="AH809" s="23" t="n">
        <v>0.27</v>
      </c>
      <c r="AI809" s="23" t="n">
        <v>2.77</v>
      </c>
      <c r="AJ809" s="19" t="n">
        <v>0.0373</v>
      </c>
    </row>
    <row r="810">
      <c r="A810" s="16" t="inlineStr">
        <is>
          <t>MASTEK</t>
        </is>
      </c>
      <c r="B810" s="16" t="inlineStr">
        <is>
          <t>Mastek Ltd.</t>
        </is>
      </c>
      <c r="C810" s="16" t="inlineStr">
        <is>
          <t>IT Consulting &amp; Software</t>
        </is>
      </c>
      <c r="D810" s="16" t="inlineStr">
        <is>
          <t>Software &amp; Services</t>
        </is>
      </c>
      <c r="E810" s="16" t="inlineStr">
        <is>
          <t>INE759A01021</t>
        </is>
      </c>
      <c r="F810" s="17" t="n">
        <v>5497.12</v>
      </c>
      <c r="G810" s="18" t="n">
        <v>1772.9</v>
      </c>
      <c r="H810" s="19" t="n">
        <v>-0.011</v>
      </c>
      <c r="I810" s="20" t="n">
        <v>34</v>
      </c>
      <c r="J810" s="16" t="inlineStr">
        <is>
          <t>red</t>
        </is>
      </c>
      <c r="K810" s="20" t="n">
        <v>156</v>
      </c>
      <c r="L810" s="18" t="n">
        <v>48.5</v>
      </c>
      <c r="M810" s="18" t="n">
        <v>1749.13</v>
      </c>
      <c r="N810" s="18" t="n">
        <v>1727.44</v>
      </c>
      <c r="O810" s="18" t="n">
        <v>1774.63</v>
      </c>
      <c r="P810" s="18" t="n">
        <v>2491.89</v>
      </c>
      <c r="Q810" s="18" t="n">
        <v>1330.91</v>
      </c>
      <c r="R810" s="21">
        <f>IF(OR(G810="",P810=""),"",G810/P810-1)</f>
        <v/>
      </c>
      <c r="S810" s="19" t="n">
        <v>0.2773</v>
      </c>
      <c r="T810" s="22" t="n">
        <v>-0.0229</v>
      </c>
      <c r="U810" s="16" t="inlineStr">
        <is>
          <t>No</t>
        </is>
      </c>
      <c r="V810" s="16" t="inlineStr">
        <is>
          <t>Yes</t>
        </is>
      </c>
      <c r="W810" s="16" t="inlineStr">
        <is>
          <t>Yes</t>
        </is>
      </c>
      <c r="X810" s="16" t="inlineStr">
        <is>
          <t>No</t>
        </is>
      </c>
      <c r="Y810" s="20" t="n">
        <v>382</v>
      </c>
      <c r="Z810" s="19" t="n">
        <v>-0.0266</v>
      </c>
      <c r="AA810" s="18" t="n">
        <v>59.85</v>
      </c>
      <c r="AB810" s="16" t="inlineStr">
        <is>
          <t>Good</t>
        </is>
      </c>
      <c r="AC810" s="16" t="inlineStr">
        <is>
          <t>No</t>
        </is>
      </c>
      <c r="AD810" s="19" t="n">
        <v>0.1439</v>
      </c>
      <c r="AE810" s="19" t="n">
        <v>0.1635</v>
      </c>
      <c r="AF810" s="19" t="n">
        <v>0.1107</v>
      </c>
      <c r="AG810" s="19" t="n">
        <v>0.1319</v>
      </c>
      <c r="AH810" s="23" t="n">
        <v>0.15</v>
      </c>
      <c r="AI810" s="23" t="n">
        <v>50.83</v>
      </c>
      <c r="AJ810" s="19" t="n">
        <v>0.0217</v>
      </c>
    </row>
    <row r="811">
      <c r="A811" s="16" t="inlineStr">
        <is>
          <t>FIEMIND</t>
        </is>
      </c>
      <c r="B811" s="16" t="inlineStr">
        <is>
          <t>FIEM Industries Ltd.</t>
        </is>
      </c>
      <c r="C811" s="16" t="inlineStr">
        <is>
          <t>Auto Parts &amp; Equipment</t>
        </is>
      </c>
      <c r="D811" s="16" t="inlineStr">
        <is>
          <t>Automobiles &amp; Auto Components</t>
        </is>
      </c>
      <c r="E811" s="16" t="inlineStr">
        <is>
          <t>INE737H01014</t>
        </is>
      </c>
      <c r="F811" s="17" t="n">
        <v>5489.76</v>
      </c>
      <c r="G811" s="18" t="n">
        <v>2085.8</v>
      </c>
      <c r="H811" s="19" t="n">
        <v>0.024</v>
      </c>
      <c r="I811" s="20" t="n">
        <v>30</v>
      </c>
      <c r="J811" s="16" t="inlineStr">
        <is>
          <t>red</t>
        </is>
      </c>
      <c r="K811" s="20" t="n">
        <v>15</v>
      </c>
      <c r="L811" s="18" t="n">
        <v>30.29</v>
      </c>
      <c r="M811" s="18" t="n">
        <v>2070.19</v>
      </c>
      <c r="N811" s="18" t="n">
        <v>2262.71</v>
      </c>
      <c r="O811" s="18" t="n">
        <v>2205.74</v>
      </c>
      <c r="P811" s="18" t="n">
        <v>2645.9</v>
      </c>
      <c r="Q811" s="18" t="n">
        <v>1874.6</v>
      </c>
      <c r="R811" s="21">
        <f>IF(OR(G811="",P811=""),"",G811/P811-1)</f>
        <v/>
      </c>
      <c r="S811" s="19" t="n">
        <v>0.3984</v>
      </c>
      <c r="T811" s="22" t="n">
        <v>0.0058</v>
      </c>
      <c r="U811" s="16" t="inlineStr">
        <is>
          <t>Yes</t>
        </is>
      </c>
      <c r="V811" s="16" t="inlineStr">
        <is>
          <t>No</t>
        </is>
      </c>
      <c r="W811" s="16" t="inlineStr">
        <is>
          <t>Yes</t>
        </is>
      </c>
      <c r="X811" s="16" t="inlineStr">
        <is>
          <t>Yes</t>
        </is>
      </c>
      <c r="Y811" s="20" t="n">
        <v>73</v>
      </c>
      <c r="Z811" s="19" t="n">
        <v>0.0258</v>
      </c>
      <c r="AA811" s="18" t="n">
        <v>70.31999999999999</v>
      </c>
      <c r="AB811" s="16" t="inlineStr">
        <is>
          <t>High</t>
        </is>
      </c>
      <c r="AC811" s="16" t="inlineStr">
        <is>
          <t>No</t>
        </is>
      </c>
      <c r="AD811" s="19" t="n">
        <v>0.1982</v>
      </c>
      <c r="AE811" s="19" t="n">
        <v>0.2597</v>
      </c>
      <c r="AF811" s="19" t="n">
        <v>0.223</v>
      </c>
      <c r="AG811" s="19" t="n">
        <v>0.1511</v>
      </c>
      <c r="AH811" s="23" t="n">
        <v>0.05</v>
      </c>
      <c r="AI811" s="23" t="n">
        <v>4.54</v>
      </c>
      <c r="AJ811" s="19" t="n">
        <v>0.0242</v>
      </c>
    </row>
    <row r="812">
      <c r="A812" s="16" t="inlineStr">
        <is>
          <t>CCAVENUE</t>
        </is>
      </c>
      <c r="B812" s="16" t="inlineStr">
        <is>
          <t>AvenuesAI Ltd.</t>
        </is>
      </c>
      <c r="C812" s="16" t="inlineStr">
        <is>
          <t>Internet Software &amp; Services</t>
        </is>
      </c>
      <c r="D812" s="16" t="inlineStr">
        <is>
          <t>Software &amp; Services</t>
        </is>
      </c>
      <c r="E812" s="16" t="inlineStr">
        <is>
          <t>INE483S01020</t>
        </is>
      </c>
      <c r="F812" s="17" t="n">
        <v>5482.95</v>
      </c>
      <c r="G812" s="18" t="n">
        <v>15.7</v>
      </c>
      <c r="H812" s="19" t="n">
        <v>0.0195</v>
      </c>
      <c r="I812" s="20" t="n">
        <v>44</v>
      </c>
      <c r="J812" s="16" t="inlineStr">
        <is>
          <t>red</t>
        </is>
      </c>
      <c r="K812" s="20" t="n">
        <v>19</v>
      </c>
      <c r="L812" s="18" t="n">
        <v>61.19</v>
      </c>
      <c r="M812" s="18" t="n">
        <v>15.34</v>
      </c>
      <c r="N812" s="18" t="n">
        <v>16.38</v>
      </c>
      <c r="O812" s="18" t="n">
        <v>15.86</v>
      </c>
      <c r="P812" s="18" t="n">
        <v>20.12</v>
      </c>
      <c r="Q812" s="18" t="n">
        <v>13.15</v>
      </c>
      <c r="R812" s="21">
        <f>IF(OR(G812="",P812=""),"",G812/P812-1)</f>
        <v/>
      </c>
      <c r="S812" s="19" t="n">
        <v>2.4337</v>
      </c>
      <c r="T812" s="22" t="n">
        <v>-0.0216</v>
      </c>
      <c r="U812" s="16" t="inlineStr">
        <is>
          <t>No</t>
        </is>
      </c>
      <c r="V812" s="16" t="inlineStr">
        <is>
          <t>No</t>
        </is>
      </c>
      <c r="W812" s="16" t="inlineStr">
        <is>
          <t>Yes</t>
        </is>
      </c>
      <c r="X812" s="16" t="inlineStr">
        <is>
          <t>Yes</t>
        </is>
      </c>
      <c r="Y812" s="20" t="n">
        <v>16</v>
      </c>
      <c r="Z812" s="19" t="n">
        <v>0.0328</v>
      </c>
      <c r="AA812" s="18" t="n">
        <v>55.49</v>
      </c>
      <c r="AB812" s="16" t="inlineStr">
        <is>
          <t>Good</t>
        </is>
      </c>
      <c r="AC812" s="16" t="inlineStr">
        <is>
          <t>No</t>
        </is>
      </c>
      <c r="AD812" s="19" t="n">
        <v>0.0553</v>
      </c>
      <c r="AE812" s="19" t="n">
        <v>0.0703</v>
      </c>
      <c r="AF812" s="19" t="n">
        <v>0.2994</v>
      </c>
      <c r="AG812" s="19" t="n">
        <v>0.6352</v>
      </c>
      <c r="AH812" s="23" t="n">
        <v>0.09</v>
      </c>
      <c r="AI812" s="23" t="n">
        <v>23.1</v>
      </c>
      <c r="AJ812" s="19" t="n">
        <v>0.0016</v>
      </c>
    </row>
    <row r="813">
      <c r="A813" s="16" t="inlineStr">
        <is>
          <t>KISSHT</t>
        </is>
      </c>
      <c r="B813" s="16" t="inlineStr">
        <is>
          <t>OnEMI Technology Solutions Ltd.</t>
        </is>
      </c>
      <c r="C813" s="16" t="inlineStr">
        <is>
          <t>Finance (including NBFCs)</t>
        </is>
      </c>
      <c r="D813" s="16" t="inlineStr">
        <is>
          <t>Banking and Finance</t>
        </is>
      </c>
      <c r="E813" s="16" t="inlineStr">
        <is>
          <t>INE12F801023</t>
        </is>
      </c>
      <c r="F813" s="17" t="n">
        <v>5482.94</v>
      </c>
      <c r="G813" s="18" t="n">
        <v>309.3</v>
      </c>
      <c r="H813" s="19" t="n">
        <v>0.0131</v>
      </c>
      <c r="I813" s="20" t="n">
        <v>53</v>
      </c>
      <c r="J813" s="16" t="inlineStr">
        <is>
          <t>red</t>
        </is>
      </c>
      <c r="K813" s="20" t="n">
        <v>4</v>
      </c>
      <c r="L813" s="18" t="n">
        <v>53.84</v>
      </c>
      <c r="M813" s="18" t="n">
        <v>304.3</v>
      </c>
      <c r="N813" s="18" t="n">
        <v>311.45</v>
      </c>
      <c r="O813" s="18" t="n"/>
      <c r="P813" s="18" t="n">
        <v>345.95</v>
      </c>
      <c r="Q813" s="18" t="n">
        <v>196.07</v>
      </c>
      <c r="R813" s="21">
        <f>IF(OR(G813="",P813=""),"",G813/P813-1)</f>
        <v/>
      </c>
      <c r="S813" s="19" t="n">
        <v>0.7234999999999999</v>
      </c>
      <c r="T813" s="22" t="n"/>
      <c r="U813" s="16" t="n"/>
      <c r="V813" s="16" t="inlineStr">
        <is>
          <t>No</t>
        </is>
      </c>
      <c r="W813" s="16" t="inlineStr">
        <is>
          <t>Yes</t>
        </is>
      </c>
      <c r="X813" s="16" t="n"/>
      <c r="Y813" s="20" t="n"/>
      <c r="Z813" s="19" t="n"/>
      <c r="AA813" s="18" t="n">
        <v>70.77</v>
      </c>
      <c r="AB813" s="16" t="inlineStr">
        <is>
          <t>High</t>
        </is>
      </c>
      <c r="AC813" s="16" t="inlineStr">
        <is>
          <t>Yes</t>
        </is>
      </c>
      <c r="AD813" s="19" t="n">
        <v>0.1513</v>
      </c>
      <c r="AE813" s="19" t="n">
        <v>0.1109</v>
      </c>
      <c r="AF813" s="19" t="n">
        <v>2.977</v>
      </c>
      <c r="AG813" s="19" t="n">
        <v>0.2498</v>
      </c>
      <c r="AH813" s="23" t="n">
        <v>1.55</v>
      </c>
      <c r="AI813" s="23" t="n">
        <v>25.88</v>
      </c>
      <c r="AJ813" s="19" t="n">
        <v>0</v>
      </c>
    </row>
    <row r="814">
      <c r="A814" s="16" t="inlineStr">
        <is>
          <t>PURVA</t>
        </is>
      </c>
      <c r="B814" s="16" t="inlineStr">
        <is>
          <t>Puravankara Ltd.</t>
        </is>
      </c>
      <c r="C814" s="16" t="inlineStr">
        <is>
          <t>Realty</t>
        </is>
      </c>
      <c r="D814" s="16" t="inlineStr">
        <is>
          <t>Realty</t>
        </is>
      </c>
      <c r="E814" s="16" t="inlineStr">
        <is>
          <t>INE323I01011</t>
        </is>
      </c>
      <c r="F814" s="17" t="n">
        <v>5471.52</v>
      </c>
      <c r="G814" s="18" t="n">
        <v>230.72</v>
      </c>
      <c r="H814" s="19" t="n">
        <v>0.09300000000000001</v>
      </c>
      <c r="I814" s="20" t="n">
        <v>48</v>
      </c>
      <c r="J814" s="16" t="inlineStr">
        <is>
          <t>red</t>
        </is>
      </c>
      <c r="K814" s="20" t="n">
        <v>139</v>
      </c>
      <c r="L814" s="18" t="n">
        <v>53.68</v>
      </c>
      <c r="M814" s="18" t="n">
        <v>215.72</v>
      </c>
      <c r="N814" s="18" t="n">
        <v>217.69</v>
      </c>
      <c r="O814" s="18" t="n">
        <v>220.23</v>
      </c>
      <c r="P814" s="18" t="n">
        <v>291.8</v>
      </c>
      <c r="Q814" s="18" t="n">
        <v>163.06</v>
      </c>
      <c r="R814" s="21">
        <f>IF(OR(G814="",P814=""),"",G814/P814-1)</f>
        <v/>
      </c>
      <c r="S814" s="19" t="n">
        <v>11.2335</v>
      </c>
      <c r="T814" s="22" t="n">
        <v>-0.0214</v>
      </c>
      <c r="U814" s="16" t="inlineStr">
        <is>
          <t>No</t>
        </is>
      </c>
      <c r="V814" s="16" t="inlineStr">
        <is>
          <t>Yes</t>
        </is>
      </c>
      <c r="W814" s="16" t="inlineStr">
        <is>
          <t>Yes</t>
        </is>
      </c>
      <c r="X814" s="16" t="inlineStr">
        <is>
          <t>No</t>
        </is>
      </c>
      <c r="Y814" s="20" t="n">
        <v>199</v>
      </c>
      <c r="Z814" s="19" t="n">
        <v>-0.0115</v>
      </c>
      <c r="AA814" s="18" t="n">
        <v>10.85</v>
      </c>
      <c r="AB814" s="16" t="inlineStr">
        <is>
          <t>Poor</t>
        </is>
      </c>
      <c r="AC814" s="16" t="inlineStr">
        <is>
          <t>No</t>
        </is>
      </c>
      <c r="AD814" s="19" t="n">
        <v>-0.0153</v>
      </c>
      <c r="AE814" s="19" t="n">
        <v>0.08470000000000001</v>
      </c>
      <c r="AF814" s="19" t="n">
        <v>-1.4339</v>
      </c>
      <c r="AG814" s="19" t="n">
        <v>0.5341</v>
      </c>
      <c r="AH814" s="23" t="n">
        <v>3.13</v>
      </c>
      <c r="AI814" s="23" t="n">
        <v>15.85</v>
      </c>
      <c r="AJ814" s="19" t="n">
        <v>0.0029</v>
      </c>
    </row>
    <row r="815">
      <c r="A815" s="16" t="inlineStr">
        <is>
          <t>RPTECH</t>
        </is>
      </c>
      <c r="B815" s="16" t="inlineStr">
        <is>
          <t>Rashi Peripherals Ltd.</t>
        </is>
      </c>
      <c r="C815" s="16" t="inlineStr">
        <is>
          <t>Commodity Trading  &amp; Distribution</t>
        </is>
      </c>
      <c r="D815" s="16" t="inlineStr">
        <is>
          <t>Commercial Services &amp; Supplies</t>
        </is>
      </c>
      <c r="E815" s="16" t="inlineStr">
        <is>
          <t>INE0J1F01024</t>
        </is>
      </c>
      <c r="F815" s="17" t="n">
        <v>5469.51</v>
      </c>
      <c r="G815" s="18" t="n">
        <v>823.65</v>
      </c>
      <c r="H815" s="19" t="n">
        <v>0.0098</v>
      </c>
      <c r="I815" s="20" t="n">
        <v>96</v>
      </c>
      <c r="J815" s="16" t="inlineStr">
        <is>
          <t>green</t>
        </is>
      </c>
      <c r="K815" s="20" t="n">
        <v>132</v>
      </c>
      <c r="L815" s="18" t="n">
        <v>40.72</v>
      </c>
      <c r="M815" s="18" t="n">
        <v>807.5700000000001</v>
      </c>
      <c r="N815" s="18" t="n">
        <v>808.37</v>
      </c>
      <c r="O815" s="18" t="n">
        <v>519.75</v>
      </c>
      <c r="P815" s="18" t="n">
        <v>900.78</v>
      </c>
      <c r="Q815" s="18" t="n">
        <v>295.32</v>
      </c>
      <c r="R815" s="21">
        <f>IF(OR(G815="",P815=""),"",G815/P815-1)</f>
        <v/>
      </c>
      <c r="S815" s="19" t="n">
        <v>0.245</v>
      </c>
      <c r="T815" s="22" t="n">
        <v>0.1077</v>
      </c>
      <c r="U815" s="16" t="inlineStr">
        <is>
          <t>Yes</t>
        </is>
      </c>
      <c r="V815" s="16" t="inlineStr">
        <is>
          <t>Yes</t>
        </is>
      </c>
      <c r="W815" s="16" t="inlineStr">
        <is>
          <t>Yes</t>
        </is>
      </c>
      <c r="X815" s="16" t="inlineStr">
        <is>
          <t>Yes</t>
        </is>
      </c>
      <c r="Y815" s="20" t="n">
        <v>220</v>
      </c>
      <c r="Z815" s="19" t="n">
        <v>0.5553</v>
      </c>
      <c r="AA815" s="18" t="n">
        <v>55.66</v>
      </c>
      <c r="AB815" s="16" t="inlineStr">
        <is>
          <t>Good</t>
        </is>
      </c>
      <c r="AC815" s="16" t="inlineStr">
        <is>
          <t>No</t>
        </is>
      </c>
      <c r="AD815" s="19" t="n">
        <v>0.1159</v>
      </c>
      <c r="AE815" s="19" t="n">
        <v>0.1406</v>
      </c>
      <c r="AF815" s="19" t="n">
        <v>0.3278</v>
      </c>
      <c r="AG815" s="19" t="n">
        <v>0.188</v>
      </c>
      <c r="AH815" s="23" t="n">
        <v>0.49</v>
      </c>
      <c r="AI815" s="23" t="n">
        <v>207.14</v>
      </c>
      <c r="AJ815" s="19" t="n">
        <v>0.0039</v>
      </c>
    </row>
    <row r="816">
      <c r="A816" s="16" t="inlineStr">
        <is>
          <t>UNIVCABLES</t>
        </is>
      </c>
      <c r="B816" s="16" t="inlineStr">
        <is>
          <t>Universal Cables Ltd.</t>
        </is>
      </c>
      <c r="C816" s="16" t="inlineStr">
        <is>
          <t>Wires &amp; Cables</t>
        </is>
      </c>
      <c r="D816" s="16" t="inlineStr">
        <is>
          <t>Consumer Durables</t>
        </is>
      </c>
      <c r="E816" s="16" t="inlineStr">
        <is>
          <t>INE279A01012</t>
        </is>
      </c>
      <c r="F816" s="17" t="n">
        <v>5469.04</v>
      </c>
      <c r="G816" s="18" t="n">
        <v>1576.3</v>
      </c>
      <c r="H816" s="19" t="n">
        <v>-0.031</v>
      </c>
      <c r="I816" s="20" t="n">
        <v>92</v>
      </c>
      <c r="J816" s="16" t="inlineStr">
        <is>
          <t>green</t>
        </is>
      </c>
      <c r="K816" s="20" t="n">
        <v>103</v>
      </c>
      <c r="L816" s="18" t="n">
        <v>35.07</v>
      </c>
      <c r="M816" s="18" t="n">
        <v>1625.39</v>
      </c>
      <c r="N816" s="18" t="n">
        <v>1406.2</v>
      </c>
      <c r="O816" s="18" t="n">
        <v>1007.14</v>
      </c>
      <c r="P816" s="18" t="n">
        <v>1745</v>
      </c>
      <c r="Q816" s="18" t="n">
        <v>582.42</v>
      </c>
      <c r="R816" s="21">
        <f>IF(OR(G816="",P816=""),"",G816/P816-1)</f>
        <v/>
      </c>
      <c r="S816" s="19" t="n">
        <v>1.1821</v>
      </c>
      <c r="T816" s="22" t="n">
        <v>0.09789999999999999</v>
      </c>
      <c r="U816" s="16" t="inlineStr">
        <is>
          <t>Yes</t>
        </is>
      </c>
      <c r="V816" s="16" t="inlineStr">
        <is>
          <t>Yes</t>
        </is>
      </c>
      <c r="W816" s="16" t="inlineStr">
        <is>
          <t>No</t>
        </is>
      </c>
      <c r="X816" s="16" t="inlineStr">
        <is>
          <t>Yes</t>
        </is>
      </c>
      <c r="Y816" s="20" t="n">
        <v>83</v>
      </c>
      <c r="Z816" s="19" t="n">
        <v>0.3962</v>
      </c>
      <c r="AA816" s="18" t="n">
        <v>41.27</v>
      </c>
      <c r="AB816" s="16" t="inlineStr">
        <is>
          <t>Average</t>
        </is>
      </c>
      <c r="AC816" s="16" t="inlineStr">
        <is>
          <t>No</t>
        </is>
      </c>
      <c r="AD816" s="19" t="n">
        <v>0.0659</v>
      </c>
      <c r="AE816" s="19" t="n">
        <v>0.0911</v>
      </c>
      <c r="AF816" s="19" t="n">
        <v>0.1889</v>
      </c>
      <c r="AG816" s="19" t="n">
        <v>0.1212</v>
      </c>
      <c r="AH816" s="23" t="n">
        <v>0.62</v>
      </c>
      <c r="AI816" s="23" t="n">
        <v>5.62</v>
      </c>
      <c r="AJ816" s="19" t="n">
        <v>0.2567</v>
      </c>
    </row>
    <row r="817">
      <c r="A817" s="16" t="inlineStr">
        <is>
          <t>LGBBROSLTD</t>
        </is>
      </c>
      <c r="B817" s="16" t="inlineStr">
        <is>
          <t>LG Balakrishnan &amp; Bros Ltd.</t>
        </is>
      </c>
      <c r="C817" s="16" t="inlineStr">
        <is>
          <t>Auto Parts &amp; Equipment</t>
        </is>
      </c>
      <c r="D817" s="16" t="inlineStr">
        <is>
          <t>Automobiles &amp; Auto Components</t>
        </is>
      </c>
      <c r="E817" s="16" t="inlineStr">
        <is>
          <t>INE337A01034</t>
        </is>
      </c>
      <c r="F817" s="17" t="n">
        <v>5430.64</v>
      </c>
      <c r="G817" s="18" t="n">
        <v>1702.8</v>
      </c>
      <c r="H817" s="19" t="n">
        <v>-0.007800000000000001</v>
      </c>
      <c r="I817" s="20" t="n">
        <v>54</v>
      </c>
      <c r="J817" s="16" t="inlineStr">
        <is>
          <t>red</t>
        </is>
      </c>
      <c r="K817" s="20" t="n">
        <v>80</v>
      </c>
      <c r="L817" s="18" t="n">
        <v>75.98</v>
      </c>
      <c r="M817" s="18" t="n">
        <v>1700.65</v>
      </c>
      <c r="N817" s="18" t="n">
        <v>1576.39</v>
      </c>
      <c r="O817" s="18" t="n">
        <v>1689.94</v>
      </c>
      <c r="P817" s="18" t="n">
        <v>1980.25</v>
      </c>
      <c r="Q817" s="18" t="n">
        <v>1315</v>
      </c>
      <c r="R817" s="21">
        <f>IF(OR(G817="",P817=""),"",G817/P817-1)</f>
        <v/>
      </c>
      <c r="S817" s="19" t="n">
        <v>1.7989</v>
      </c>
      <c r="T817" s="22" t="n">
        <v>0.0009</v>
      </c>
      <c r="U817" s="16" t="inlineStr">
        <is>
          <t>Yes</t>
        </is>
      </c>
      <c r="V817" s="16" t="inlineStr">
        <is>
          <t>Yes</t>
        </is>
      </c>
      <c r="W817" s="16" t="inlineStr">
        <is>
          <t>Yes</t>
        </is>
      </c>
      <c r="X817" s="16" t="inlineStr">
        <is>
          <t>No</t>
        </is>
      </c>
      <c r="Y817" s="20" t="n">
        <v>66</v>
      </c>
      <c r="Z817" s="19" t="n">
        <v>-0.0672</v>
      </c>
      <c r="AA817" s="18" t="n">
        <v>58.01</v>
      </c>
      <c r="AB817" s="16" t="inlineStr">
        <is>
          <t>Good</t>
        </is>
      </c>
      <c r="AC817" s="16" t="inlineStr">
        <is>
          <t>No</t>
        </is>
      </c>
      <c r="AD817" s="19" t="n">
        <v>0.1573</v>
      </c>
      <c r="AE817" s="19" t="n">
        <v>0.1971</v>
      </c>
      <c r="AF817" s="19" t="n">
        <v>0.0762</v>
      </c>
      <c r="AG817" s="19" t="n">
        <v>0.1239</v>
      </c>
      <c r="AH817" s="23" t="n">
        <v>0.11</v>
      </c>
      <c r="AI817" s="23" t="n">
        <v>2.54</v>
      </c>
      <c r="AJ817" s="19" t="n">
        <v>0.0561</v>
      </c>
    </row>
    <row r="818">
      <c r="A818" s="16" t="inlineStr">
        <is>
          <t>SAATVIKGL</t>
        </is>
      </c>
      <c r="B818" s="16" t="inlineStr">
        <is>
          <t>Saatvik Green Energy Ltd.</t>
        </is>
      </c>
      <c r="C818" s="16" t="inlineStr">
        <is>
          <t>Other Electrical Equipment/Products</t>
        </is>
      </c>
      <c r="D818" s="16" t="inlineStr">
        <is>
          <t>Consumer Durables</t>
        </is>
      </c>
      <c r="E818" s="16" t="inlineStr">
        <is>
          <t>INE13B501022</t>
        </is>
      </c>
      <c r="F818" s="17" t="n">
        <v>5394.34</v>
      </c>
      <c r="G818" s="18" t="n">
        <v>424.4</v>
      </c>
      <c r="H818" s="19" t="n">
        <v>0.006500000000000001</v>
      </c>
      <c r="I818" s="20" t="n">
        <v>46</v>
      </c>
      <c r="J818" s="16" t="inlineStr">
        <is>
          <t>red</t>
        </is>
      </c>
      <c r="K818" s="20" t="n">
        <v>47</v>
      </c>
      <c r="L818" s="18" t="n">
        <v>69.58</v>
      </c>
      <c r="M818" s="18" t="n">
        <v>422.04</v>
      </c>
      <c r="N818" s="18" t="n">
        <v>434.43</v>
      </c>
      <c r="O818" s="18" t="n">
        <v>420.67</v>
      </c>
      <c r="P818" s="18" t="n">
        <v>551.7</v>
      </c>
      <c r="Q818" s="18" t="n">
        <v>333.65</v>
      </c>
      <c r="R818" s="21">
        <f>IF(OR(G818="",P818=""),"",G818/P818-1)</f>
        <v/>
      </c>
      <c r="S818" s="19" t="n">
        <v>0.3346</v>
      </c>
      <c r="T818" s="22" t="n">
        <v>-0.0174</v>
      </c>
      <c r="U818" s="16" t="inlineStr">
        <is>
          <t>No</t>
        </is>
      </c>
      <c r="V818" s="16" t="inlineStr">
        <is>
          <t>No</t>
        </is>
      </c>
      <c r="W818" s="16" t="inlineStr">
        <is>
          <t>Yes</t>
        </is>
      </c>
      <c r="X818" s="16" t="inlineStr">
        <is>
          <t>Yes</t>
        </is>
      </c>
      <c r="Y818" s="20" t="n">
        <v>37</v>
      </c>
      <c r="Z818" s="19" t="n">
        <v>0.0327</v>
      </c>
      <c r="AA818" s="18" t="n">
        <v>78.29000000000001</v>
      </c>
      <c r="AB818" s="16" t="inlineStr">
        <is>
          <t>High</t>
        </is>
      </c>
      <c r="AC818" s="16" t="inlineStr">
        <is>
          <t>No</t>
        </is>
      </c>
      <c r="AD818" s="19" t="n">
        <v>0.5794</v>
      </c>
      <c r="AE818" s="19" t="n">
        <v>0.3262</v>
      </c>
      <c r="AF818" s="19" t="n">
        <v>6.9348</v>
      </c>
      <c r="AG818" s="19" t="n">
        <v>0.9597</v>
      </c>
      <c r="AH818" s="23" t="n">
        <v>0.6899999999999999</v>
      </c>
      <c r="AI818" s="23" t="n">
        <v>5.45</v>
      </c>
      <c r="AJ818" s="19" t="n">
        <v>0.4601</v>
      </c>
    </row>
    <row r="819">
      <c r="A819" s="16" t="inlineStr">
        <is>
          <t>HAPPSTMNDS</t>
        </is>
      </c>
      <c r="B819" s="16" t="inlineStr">
        <is>
          <t>Happiest Minds Technologies Ltd.</t>
        </is>
      </c>
      <c r="C819" s="16" t="inlineStr">
        <is>
          <t>IT Consulting &amp; Software</t>
        </is>
      </c>
      <c r="D819" s="16" t="inlineStr">
        <is>
          <t>Software &amp; Services</t>
        </is>
      </c>
      <c r="E819" s="16" t="inlineStr">
        <is>
          <t>INE419U01012</t>
        </is>
      </c>
      <c r="F819" s="17" t="n">
        <v>5390.53</v>
      </c>
      <c r="G819" s="18" t="n">
        <v>354</v>
      </c>
      <c r="H819" s="19" t="n">
        <v>0.0001</v>
      </c>
      <c r="I819" s="20" t="n">
        <v>18</v>
      </c>
      <c r="J819" s="16" t="inlineStr">
        <is>
          <t>red</t>
        </is>
      </c>
      <c r="K819" s="20" t="n">
        <v>374</v>
      </c>
      <c r="L819" s="18" t="n">
        <v>27.86</v>
      </c>
      <c r="M819" s="18" t="n">
        <v>388.57</v>
      </c>
      <c r="N819" s="18" t="n">
        <v>385.62</v>
      </c>
      <c r="O819" s="18" t="n">
        <v>396.41</v>
      </c>
      <c r="P819" s="18" t="n">
        <v>572.35</v>
      </c>
      <c r="Q819" s="18" t="n">
        <v>333.68</v>
      </c>
      <c r="R819" s="21">
        <f>IF(OR(G819="",P819=""),"",G819/P819-1)</f>
        <v/>
      </c>
      <c r="S819" s="19" t="n">
        <v>0.4054</v>
      </c>
      <c r="T819" s="22" t="n">
        <v>-0.0239</v>
      </c>
      <c r="U819" s="16" t="inlineStr">
        <is>
          <t>No</t>
        </is>
      </c>
      <c r="V819" s="16" t="inlineStr">
        <is>
          <t>No</t>
        </is>
      </c>
      <c r="W819" s="16" t="inlineStr">
        <is>
          <t>No</t>
        </is>
      </c>
      <c r="X819" s="16" t="inlineStr">
        <is>
          <t>No</t>
        </is>
      </c>
      <c r="Y819" s="20" t="n">
        <v>701</v>
      </c>
      <c r="Z819" s="19" t="n">
        <v>-0.0272</v>
      </c>
      <c r="AA819" s="18" t="n">
        <v>40</v>
      </c>
      <c r="AB819" s="16" t="inlineStr">
        <is>
          <t>Weak</t>
        </is>
      </c>
      <c r="AC819" s="16" t="inlineStr">
        <is>
          <t>No</t>
        </is>
      </c>
      <c r="AD819" s="19" t="n">
        <v>0.137</v>
      </c>
      <c r="AE819" s="19" t="n">
        <v>0.1451</v>
      </c>
      <c r="AF819" s="19" t="n">
        <v>-0.0238</v>
      </c>
      <c r="AG819" s="19" t="n">
        <v>0.1762</v>
      </c>
      <c r="AH819" s="23" t="n">
        <v>0.88</v>
      </c>
      <c r="AI819" s="23" t="n">
        <v>11.85</v>
      </c>
      <c r="AJ819" s="19" t="n">
        <v>0</v>
      </c>
    </row>
    <row r="820">
      <c r="A820" s="16" t="inlineStr">
        <is>
          <t>GUJTHEM</t>
        </is>
      </c>
      <c r="B820" s="16" t="inlineStr">
        <is>
          <t>Gujarat Themis Biosyn Ltd.</t>
        </is>
      </c>
      <c r="C820" s="16" t="inlineStr">
        <is>
          <t>Pharmaceuticals</t>
        </is>
      </c>
      <c r="D820" s="16" t="inlineStr">
        <is>
          <t>Pharmaceuticals &amp; Biotechnology</t>
        </is>
      </c>
      <c r="E820" s="16" t="inlineStr">
        <is>
          <t>INE942C01045</t>
        </is>
      </c>
      <c r="F820" s="17" t="n">
        <v>5353.79</v>
      </c>
      <c r="G820" s="18" t="n">
        <v>411.35</v>
      </c>
      <c r="H820" s="19" t="n">
        <v>-0.0323</v>
      </c>
      <c r="I820" s="20" t="n">
        <v>56</v>
      </c>
      <c r="J820" s="16" t="inlineStr">
        <is>
          <t>red</t>
        </is>
      </c>
      <c r="K820" s="20" t="n">
        <v>1</v>
      </c>
      <c r="L820" s="18" t="n">
        <v>70.67</v>
      </c>
      <c r="M820" s="18" t="n">
        <v>416.96</v>
      </c>
      <c r="N820" s="18" t="n">
        <v>376.94</v>
      </c>
      <c r="O820" s="18" t="n">
        <v>360.93</v>
      </c>
      <c r="P820" s="18" t="n">
        <v>469.9</v>
      </c>
      <c r="Q820" s="18" t="n">
        <v>226.9</v>
      </c>
      <c r="R820" s="21">
        <f>IF(OR(G820="",P820=""),"",G820/P820-1)</f>
        <v/>
      </c>
      <c r="S820" s="19" t="n">
        <v>1.6984</v>
      </c>
      <c r="T820" s="22" t="n">
        <v>-0.0178</v>
      </c>
      <c r="U820" s="16" t="inlineStr">
        <is>
          <t>No</t>
        </is>
      </c>
      <c r="V820" s="16" t="inlineStr">
        <is>
          <t>Yes</t>
        </is>
      </c>
      <c r="W820" s="16" t="inlineStr">
        <is>
          <t>No</t>
        </is>
      </c>
      <c r="X820" s="16" t="inlineStr">
        <is>
          <t>Yes</t>
        </is>
      </c>
      <c r="Y820" s="20" t="n">
        <v>54</v>
      </c>
      <c r="Z820" s="19" t="n">
        <v>0.0443</v>
      </c>
      <c r="AA820" s="18" t="n">
        <v>40</v>
      </c>
      <c r="AB820" s="16" t="inlineStr">
        <is>
          <t>Weak</t>
        </is>
      </c>
      <c r="AC820" s="16" t="inlineStr">
        <is>
          <t>No</t>
        </is>
      </c>
      <c r="AD820" s="19" t="n">
        <v>0.2175</v>
      </c>
      <c r="AE820" s="19" t="n">
        <v>0.2568</v>
      </c>
      <c r="AF820" s="19" t="n">
        <v>-0.3848</v>
      </c>
      <c r="AG820" s="19" t="n">
        <v>0.0447</v>
      </c>
      <c r="AH820" s="23" t="n">
        <v>0.5600000000000001</v>
      </c>
      <c r="AI820" s="23" t="n">
        <v>0.4</v>
      </c>
      <c r="AJ820" s="19" t="n">
        <v>0.2954</v>
      </c>
    </row>
    <row r="821">
      <c r="A821" s="16" t="inlineStr">
        <is>
          <t>MASFIN</t>
        </is>
      </c>
      <c r="B821" s="16" t="inlineStr">
        <is>
          <t>Mas Financial Services Ltd.</t>
        </is>
      </c>
      <c r="C821" s="16" t="inlineStr">
        <is>
          <t>Finance (including NBFCs)</t>
        </is>
      </c>
      <c r="D821" s="16" t="inlineStr">
        <is>
          <t>Banking and Finance</t>
        </is>
      </c>
      <c r="E821" s="16" t="inlineStr">
        <is>
          <t>INE348L01012</t>
        </is>
      </c>
      <c r="F821" s="17" t="n">
        <v>5352.88</v>
      </c>
      <c r="G821" s="18" t="n">
        <v>295</v>
      </c>
      <c r="H821" s="19" t="n">
        <v>0.007900000000000001</v>
      </c>
      <c r="I821" s="20" t="n">
        <v>33</v>
      </c>
      <c r="J821" s="16" t="inlineStr">
        <is>
          <t>red</t>
        </is>
      </c>
      <c r="K821" s="20" t="n">
        <v>79</v>
      </c>
      <c r="L821" s="18" t="n">
        <v>41.25</v>
      </c>
      <c r="M821" s="18" t="n">
        <v>297.29</v>
      </c>
      <c r="N821" s="18" t="n">
        <v>309.05</v>
      </c>
      <c r="O821" s="18" t="n">
        <v>313.1</v>
      </c>
      <c r="P821" s="18" t="n">
        <v>346.51</v>
      </c>
      <c r="Q821" s="18" t="n">
        <v>278.93</v>
      </c>
      <c r="R821" s="21">
        <f>IF(OR(G821="",P821=""),"",G821/P821-1)</f>
        <v/>
      </c>
      <c r="S821" s="19" t="n">
        <v>0.2892</v>
      </c>
      <c r="T821" s="22" t="n">
        <v>-0.0022</v>
      </c>
      <c r="U821" s="16" t="inlineStr">
        <is>
          <t>No</t>
        </is>
      </c>
      <c r="V821" s="16" t="inlineStr">
        <is>
          <t>No</t>
        </is>
      </c>
      <c r="W821" s="16" t="inlineStr">
        <is>
          <t>No</t>
        </is>
      </c>
      <c r="X821" s="16" t="inlineStr">
        <is>
          <t>No</t>
        </is>
      </c>
      <c r="Y821" s="20" t="n">
        <v>36</v>
      </c>
      <c r="Z821" s="19" t="n">
        <v>-0.0129</v>
      </c>
      <c r="AA821" s="18" t="n">
        <v>48.87</v>
      </c>
      <c r="AB821" s="16" t="inlineStr">
        <is>
          <t>Average</t>
        </is>
      </c>
      <c r="AC821" s="16" t="inlineStr">
        <is>
          <t>Yes</t>
        </is>
      </c>
      <c r="AD821" s="19" t="n">
        <v>0.1282</v>
      </c>
      <c r="AE821" s="19" t="n">
        <v>0.0374</v>
      </c>
      <c r="AF821" s="19" t="n">
        <v>0.1826</v>
      </c>
      <c r="AG821" s="19" t="n">
        <v>0.2557</v>
      </c>
      <c r="AH821" s="23" t="n">
        <v>3.47</v>
      </c>
      <c r="AI821" s="23" t="n">
        <v>7.97</v>
      </c>
      <c r="AJ821" s="19" t="n">
        <v>0.6543000000000001</v>
      </c>
    </row>
    <row r="822">
      <c r="A822" s="16" t="inlineStr">
        <is>
          <t>MAPMYINDIA</t>
        </is>
      </c>
      <c r="B822" s="16" t="inlineStr">
        <is>
          <t>C.E. Info Systems Ltd.</t>
        </is>
      </c>
      <c r="C822" s="16" t="inlineStr">
        <is>
          <t>Internet Software &amp; Services</t>
        </is>
      </c>
      <c r="D822" s="16" t="inlineStr">
        <is>
          <t>Software &amp; Services</t>
        </is>
      </c>
      <c r="E822" s="16" t="inlineStr">
        <is>
          <t>INE0BV301023</t>
        </is>
      </c>
      <c r="F822" s="17" t="n">
        <v>5320.04</v>
      </c>
      <c r="G822" s="18" t="n">
        <v>972.2</v>
      </c>
      <c r="H822" s="19" t="n">
        <v>0.0037</v>
      </c>
      <c r="I822" s="20" t="n">
        <v>16</v>
      </c>
      <c r="J822" s="16" t="inlineStr">
        <is>
          <t>red</t>
        </is>
      </c>
      <c r="K822" s="20" t="n">
        <v>166</v>
      </c>
      <c r="L822" s="18" t="n">
        <v>46.21</v>
      </c>
      <c r="M822" s="18" t="n">
        <v>985.99</v>
      </c>
      <c r="N822" s="18" t="n">
        <v>1031.88</v>
      </c>
      <c r="O822" s="18" t="n">
        <v>1142.18</v>
      </c>
      <c r="P822" s="18" t="n">
        <v>1943.5</v>
      </c>
      <c r="Q822" s="18" t="n">
        <v>798.76</v>
      </c>
      <c r="R822" s="21">
        <f>IF(OR(G822="",P822=""),"",G822/P822-1)</f>
        <v/>
      </c>
      <c r="S822" s="19" t="n">
        <v>0.2361</v>
      </c>
      <c r="T822" s="22" t="n">
        <v>-0.0644</v>
      </c>
      <c r="U822" s="16" t="inlineStr">
        <is>
          <t>No</t>
        </is>
      </c>
      <c r="V822" s="16" t="inlineStr">
        <is>
          <t>No</t>
        </is>
      </c>
      <c r="W822" s="16" t="inlineStr">
        <is>
          <t>No</t>
        </is>
      </c>
      <c r="X822" s="16" t="inlineStr">
        <is>
          <t>No</t>
        </is>
      </c>
      <c r="Y822" s="20" t="n">
        <v>239</v>
      </c>
      <c r="Z822" s="19" t="n">
        <v>-0.09660000000000001</v>
      </c>
      <c r="AA822" s="18" t="n">
        <v>71.45999999999999</v>
      </c>
      <c r="AB822" s="16" t="inlineStr">
        <is>
          <t>High</t>
        </is>
      </c>
      <c r="AC822" s="16" t="inlineStr">
        <is>
          <t>No</t>
        </is>
      </c>
      <c r="AD822" s="19" t="n">
        <v>0.1778</v>
      </c>
      <c r="AE822" s="19" t="n">
        <v>0.2388</v>
      </c>
      <c r="AF822" s="19" t="n">
        <v>0.0876</v>
      </c>
      <c r="AG822" s="19" t="n">
        <v>0.1975</v>
      </c>
      <c r="AH822" s="23" t="n">
        <v>0.01</v>
      </c>
      <c r="AI822" s="23" t="n">
        <v>11.45</v>
      </c>
      <c r="AJ822" s="19" t="n">
        <v>0.0022</v>
      </c>
    </row>
    <row r="823">
      <c r="A823" s="16" t="inlineStr">
        <is>
          <t>GUJALKALI</t>
        </is>
      </c>
      <c r="B823" s="16" t="inlineStr">
        <is>
          <t>Gujarat Alkalies &amp; Chemicals Ltd.</t>
        </is>
      </c>
      <c r="C823" s="16" t="inlineStr">
        <is>
          <t>Commodity Chemicals</t>
        </is>
      </c>
      <c r="D823" s="16" t="inlineStr">
        <is>
          <t>Chemicals &amp; Petrochemicals</t>
        </is>
      </c>
      <c r="E823" s="16" t="inlineStr">
        <is>
          <t>INE186A01019</t>
        </is>
      </c>
      <c r="F823" s="17" t="n">
        <v>5299.21</v>
      </c>
      <c r="G823" s="18" t="n">
        <v>721.6</v>
      </c>
      <c r="H823" s="19" t="n">
        <v>-0.0017</v>
      </c>
      <c r="I823" s="20" t="n">
        <v>76</v>
      </c>
      <c r="J823" s="16" t="inlineStr">
        <is>
          <t>amber</t>
        </is>
      </c>
      <c r="K823" s="20" t="n">
        <v>32</v>
      </c>
      <c r="L823" s="18" t="n">
        <v>65.8</v>
      </c>
      <c r="M823" s="18" t="n">
        <v>713.67</v>
      </c>
      <c r="N823" s="18" t="n">
        <v>659.36</v>
      </c>
      <c r="O823" s="18" t="n">
        <v>591.59</v>
      </c>
      <c r="P823" s="18" t="n">
        <v>801.6</v>
      </c>
      <c r="Q823" s="18" t="n">
        <v>414.15</v>
      </c>
      <c r="R823" s="21">
        <f>IF(OR(G823="",P823=""),"",G823/P823-1)</f>
        <v/>
      </c>
      <c r="S823" s="19" t="n">
        <v>0.7501000000000001</v>
      </c>
      <c r="T823" s="22" t="n">
        <v>0.0242</v>
      </c>
      <c r="U823" s="16" t="inlineStr">
        <is>
          <t>Yes</t>
        </is>
      </c>
      <c r="V823" s="16" t="inlineStr">
        <is>
          <t>Yes</t>
        </is>
      </c>
      <c r="W823" s="16" t="inlineStr">
        <is>
          <t>Yes</t>
        </is>
      </c>
      <c r="X823" s="16" t="inlineStr">
        <is>
          <t>Yes</t>
        </is>
      </c>
      <c r="Y823" s="20" t="n">
        <v>96</v>
      </c>
      <c r="Z823" s="19" t="n">
        <v>0.1146</v>
      </c>
      <c r="AA823" s="18" t="n">
        <v>25.81</v>
      </c>
      <c r="AB823" s="16" t="inlineStr">
        <is>
          <t>Poor</t>
        </is>
      </c>
      <c r="AC823" s="16" t="inlineStr">
        <is>
          <t>No</t>
        </is>
      </c>
      <c r="AD823" s="19" t="n">
        <v>-0.017</v>
      </c>
      <c r="AE823" s="19" t="n">
        <v>-0.0092</v>
      </c>
      <c r="AF823" s="19" t="n">
        <v>0.0365</v>
      </c>
      <c r="AG823" s="19" t="n">
        <v>0.0037</v>
      </c>
      <c r="AH823" s="23" t="n">
        <v>0.11</v>
      </c>
      <c r="AI823" s="23" t="n">
        <v>0.98</v>
      </c>
      <c r="AJ823" s="19" t="n">
        <v>0.0274</v>
      </c>
    </row>
    <row r="824">
      <c r="A824" s="16" t="inlineStr">
        <is>
          <t>QUESS</t>
        </is>
      </c>
      <c r="B824" s="16" t="inlineStr">
        <is>
          <t>Quess Corp Ltd.</t>
        </is>
      </c>
      <c r="C824" s="16" t="inlineStr">
        <is>
          <t>BPO/KPO</t>
        </is>
      </c>
      <c r="D824" s="16" t="inlineStr">
        <is>
          <t>Software &amp; Services</t>
        </is>
      </c>
      <c r="E824" s="16" t="inlineStr">
        <is>
          <t>INE615P01015</t>
        </is>
      </c>
      <c r="F824" s="17" t="n">
        <v>5298.54</v>
      </c>
      <c r="G824" s="18" t="n">
        <v>354.75</v>
      </c>
      <c r="H824" s="19" t="n">
        <v>-0.0322</v>
      </c>
      <c r="I824" s="20" t="n">
        <v>89</v>
      </c>
      <c r="J824" s="16" t="inlineStr">
        <is>
          <t>green</t>
        </is>
      </c>
      <c r="K824" s="20" t="n">
        <v>46</v>
      </c>
      <c r="L824" s="18" t="n">
        <v>54.85</v>
      </c>
      <c r="M824" s="18" t="n">
        <v>370.21</v>
      </c>
      <c r="N824" s="18" t="n">
        <v>316.96</v>
      </c>
      <c r="O824" s="18" t="n">
        <v>230.37</v>
      </c>
      <c r="P824" s="18" t="n">
        <v>381.75</v>
      </c>
      <c r="Q824" s="18" t="n">
        <v>165.88</v>
      </c>
      <c r="R824" s="21">
        <f>IF(OR(G824="",P824=""),"",G824/P824-1)</f>
        <v/>
      </c>
      <c r="S824" s="19" t="n">
        <v>0.7019</v>
      </c>
      <c r="T824" s="22" t="n">
        <v>0.06</v>
      </c>
      <c r="U824" s="16" t="inlineStr">
        <is>
          <t>Yes</t>
        </is>
      </c>
      <c r="V824" s="16" t="inlineStr">
        <is>
          <t>Yes</t>
        </is>
      </c>
      <c r="W824" s="16" t="inlineStr">
        <is>
          <t>No</t>
        </is>
      </c>
      <c r="X824" s="16" t="inlineStr">
        <is>
          <t>Yes</t>
        </is>
      </c>
      <c r="Y824" s="20" t="n">
        <v>56</v>
      </c>
      <c r="Z824" s="19" t="n">
        <v>0.3759</v>
      </c>
      <c r="AA824" s="18" t="n">
        <v>51.97</v>
      </c>
      <c r="AB824" s="16" t="inlineStr">
        <is>
          <t>Average</t>
        </is>
      </c>
      <c r="AC824" s="16" t="inlineStr">
        <is>
          <t>No</t>
        </is>
      </c>
      <c r="AD824" s="19" t="n">
        <v>0.1105</v>
      </c>
      <c r="AE824" s="19" t="n">
        <v>0.1113</v>
      </c>
      <c r="AF824" s="19" t="n">
        <v>1.0798</v>
      </c>
      <c r="AG824" s="19" t="n">
        <v>-0.0288</v>
      </c>
      <c r="AH824" s="23" t="n">
        <v>0.11</v>
      </c>
      <c r="AI824" s="23" t="n">
        <v>123.87</v>
      </c>
      <c r="AJ824" s="19" t="n">
        <v>0</v>
      </c>
    </row>
    <row r="825">
      <c r="A825" s="16" t="inlineStr">
        <is>
          <t>GULFOILLUB</t>
        </is>
      </c>
      <c r="B825" s="16" t="inlineStr">
        <is>
          <t>Gulf Oil Lubricants India Ltd.</t>
        </is>
      </c>
      <c r="C825" s="16" t="inlineStr">
        <is>
          <t>Oil Marketing &amp; Distribution</t>
        </is>
      </c>
      <c r="D825" s="16" t="inlineStr">
        <is>
          <t>Oil &amp; Gas</t>
        </is>
      </c>
      <c r="E825" s="16" t="inlineStr">
        <is>
          <t>INE635Q01029</t>
        </is>
      </c>
      <c r="F825" s="17" t="n">
        <v>5291.54</v>
      </c>
      <c r="G825" s="18" t="n">
        <v>1067.8</v>
      </c>
      <c r="H825" s="19" t="n">
        <v>-0.0136</v>
      </c>
      <c r="I825" s="20" t="n">
        <v>51</v>
      </c>
      <c r="J825" s="16" t="inlineStr">
        <is>
          <t>red</t>
        </is>
      </c>
      <c r="K825" s="20" t="n">
        <v>12</v>
      </c>
      <c r="L825" s="18" t="n">
        <v>26.52</v>
      </c>
      <c r="M825" s="18" t="n">
        <v>1100.8</v>
      </c>
      <c r="N825" s="18" t="n">
        <v>1068.62</v>
      </c>
      <c r="O825" s="18" t="n">
        <v>1024.84</v>
      </c>
      <c r="P825" s="18" t="n">
        <v>1227.41</v>
      </c>
      <c r="Q825" s="18" t="n">
        <v>846.73</v>
      </c>
      <c r="R825" s="21">
        <f>IF(OR(G825="",P825=""),"",G825/P825-1)</f>
        <v/>
      </c>
      <c r="S825" s="19" t="n">
        <v>1.5134</v>
      </c>
      <c r="T825" s="22" t="n">
        <v>-0.0043</v>
      </c>
      <c r="U825" s="16" t="inlineStr">
        <is>
          <t>No</t>
        </is>
      </c>
      <c r="V825" s="16" t="inlineStr">
        <is>
          <t>No</t>
        </is>
      </c>
      <c r="W825" s="16" t="inlineStr">
        <is>
          <t>No</t>
        </is>
      </c>
      <c r="X825" s="16" t="inlineStr">
        <is>
          <t>Yes</t>
        </is>
      </c>
      <c r="Y825" s="20" t="n">
        <v>15</v>
      </c>
      <c r="Z825" s="19" t="n">
        <v>0.04269999999999999</v>
      </c>
      <c r="AA825" s="18" t="n">
        <v>63.49</v>
      </c>
      <c r="AB825" s="16" t="inlineStr">
        <is>
          <t>High</t>
        </is>
      </c>
      <c r="AC825" s="16" t="inlineStr">
        <is>
          <t>No</t>
        </is>
      </c>
      <c r="AD825" s="19" t="n">
        <v>0.2368</v>
      </c>
      <c r="AE825" s="19" t="n">
        <v>0.259</v>
      </c>
      <c r="AF825" s="19" t="n">
        <v>0.1643</v>
      </c>
      <c r="AG825" s="19" t="n">
        <v>0.1068</v>
      </c>
      <c r="AH825" s="23" t="n">
        <v>0.37</v>
      </c>
      <c r="AI825" s="23" t="n">
        <v>12.57</v>
      </c>
      <c r="AJ825" s="19" t="n">
        <v>0.0231</v>
      </c>
    </row>
    <row r="826">
      <c r="A826" s="16" t="inlineStr">
        <is>
          <t>IFBIND</t>
        </is>
      </c>
      <c r="B826" s="16" t="inlineStr">
        <is>
          <t>IFB Industries Ltd.</t>
        </is>
      </c>
      <c r="C826" s="16" t="inlineStr">
        <is>
          <t>Household Appliances</t>
        </is>
      </c>
      <c r="D826" s="16" t="inlineStr">
        <is>
          <t>Consumer Durables</t>
        </is>
      </c>
      <c r="E826" s="16" t="inlineStr">
        <is>
          <t>INE559A01017</t>
        </is>
      </c>
      <c r="F826" s="17" t="n">
        <v>5290.54</v>
      </c>
      <c r="G826" s="18" t="n">
        <v>1305.7</v>
      </c>
      <c r="H826" s="19" t="n">
        <v>-0.004699999999999999</v>
      </c>
      <c r="I826" s="20" t="n">
        <v>35</v>
      </c>
      <c r="J826" s="16" t="inlineStr">
        <is>
          <t>red</t>
        </is>
      </c>
      <c r="K826" s="20" t="n">
        <v>11</v>
      </c>
      <c r="L826" s="18" t="n">
        <v>30.84</v>
      </c>
      <c r="M826" s="18" t="n">
        <v>1325.56</v>
      </c>
      <c r="N826" s="18" t="n">
        <v>1344.45</v>
      </c>
      <c r="O826" s="18" t="n">
        <v>1283.2</v>
      </c>
      <c r="P826" s="18" t="n">
        <v>1956</v>
      </c>
      <c r="Q826" s="18" t="n">
        <v>894.1</v>
      </c>
      <c r="R826" s="21">
        <f>IF(OR(G826="",P826=""),"",G826/P826-1)</f>
        <v/>
      </c>
      <c r="S826" s="19" t="n">
        <v>0.3207</v>
      </c>
      <c r="T826" s="22" t="n">
        <v>-0.036</v>
      </c>
      <c r="U826" s="16" t="inlineStr">
        <is>
          <t>No</t>
        </is>
      </c>
      <c r="V826" s="16" t="inlineStr">
        <is>
          <t>No</t>
        </is>
      </c>
      <c r="W826" s="16" t="inlineStr">
        <is>
          <t>No</t>
        </is>
      </c>
      <c r="X826" s="16" t="inlineStr">
        <is>
          <t>Yes</t>
        </is>
      </c>
      <c r="Y826" s="20" t="n">
        <v>16</v>
      </c>
      <c r="Z826" s="19" t="n">
        <v>0.04769999999999999</v>
      </c>
      <c r="AA826" s="18" t="n">
        <v>60.71</v>
      </c>
      <c r="AB826" s="16" t="inlineStr">
        <is>
          <t>Good</t>
        </is>
      </c>
      <c r="AC826" s="16" t="inlineStr">
        <is>
          <t>No</t>
        </is>
      </c>
      <c r="AD826" s="19" t="n">
        <v>0.1186</v>
      </c>
      <c r="AE826" s="19" t="n">
        <v>0.1566</v>
      </c>
      <c r="AF826" s="19" t="n">
        <v>0.9098999999999999</v>
      </c>
      <c r="AG826" s="19" t="n">
        <v>0.1033</v>
      </c>
      <c r="AH826" s="23" t="n">
        <v>0.16</v>
      </c>
      <c r="AI826" s="23" t="n">
        <v>7.81</v>
      </c>
      <c r="AJ826" s="19" t="n">
        <v>0.0599</v>
      </c>
    </row>
    <row r="827">
      <c r="A827" s="16" t="inlineStr">
        <is>
          <t>ARTEMISMED</t>
        </is>
      </c>
      <c r="B827" s="16" t="inlineStr">
        <is>
          <t>Artemis Medicare Services Ltd.</t>
        </is>
      </c>
      <c r="C827" s="16" t="inlineStr">
        <is>
          <t>Healthcare Facilities</t>
        </is>
      </c>
      <c r="D827" s="16" t="inlineStr">
        <is>
          <t>Healthcare</t>
        </is>
      </c>
      <c r="E827" s="16" t="inlineStr">
        <is>
          <t>INE025R01021</t>
        </is>
      </c>
      <c r="F827" s="17" t="n">
        <v>5268.43</v>
      </c>
      <c r="G827" s="18" t="n">
        <v>332.8</v>
      </c>
      <c r="H827" s="19" t="n">
        <v>0.0405</v>
      </c>
      <c r="I827" s="20" t="n">
        <v>78</v>
      </c>
      <c r="J827" s="16" t="inlineStr">
        <is>
          <t>amber</t>
        </is>
      </c>
      <c r="K827" s="20" t="n">
        <v>22</v>
      </c>
      <c r="L827" s="18" t="n">
        <v>63.81</v>
      </c>
      <c r="M827" s="18" t="n">
        <v>322.31</v>
      </c>
      <c r="N827" s="18" t="n">
        <v>296.15</v>
      </c>
      <c r="O827" s="18" t="n">
        <v>263.57</v>
      </c>
      <c r="P827" s="18" t="n">
        <v>332.8</v>
      </c>
      <c r="Q827" s="18" t="n">
        <v>205.16</v>
      </c>
      <c r="R827" s="21">
        <f>IF(OR(G827="",P827=""),"",G827/P827-1)</f>
        <v/>
      </c>
      <c r="S827" s="19" t="n">
        <v>1.874</v>
      </c>
      <c r="T827" s="22" t="n">
        <v>0.0284</v>
      </c>
      <c r="U827" s="16" t="inlineStr">
        <is>
          <t>Yes</t>
        </is>
      </c>
      <c r="V827" s="16" t="inlineStr">
        <is>
          <t>Yes</t>
        </is>
      </c>
      <c r="W827" s="16" t="inlineStr">
        <is>
          <t>Yes</t>
        </is>
      </c>
      <c r="X827" s="16" t="inlineStr">
        <is>
          <t>Yes</t>
        </is>
      </c>
      <c r="Y827" s="20" t="n">
        <v>67</v>
      </c>
      <c r="Z827" s="19" t="n">
        <v>0.1236</v>
      </c>
      <c r="AA827" s="18" t="n"/>
      <c r="AB827" s="16" t="n"/>
      <c r="AC827" s="16" t="inlineStr">
        <is>
          <t>No</t>
        </is>
      </c>
      <c r="AD827" s="19" t="n"/>
      <c r="AE827" s="19" t="n"/>
      <c r="AF827" s="19" t="n"/>
      <c r="AG827" s="19" t="n"/>
      <c r="AH827" s="23" t="n"/>
      <c r="AI827" s="23" t="n"/>
      <c r="AJ827" s="19" t="n"/>
    </row>
    <row r="828">
      <c r="A828" s="16" t="inlineStr">
        <is>
          <t>ASHAPURMIN</t>
        </is>
      </c>
      <c r="B828" s="16" t="inlineStr">
        <is>
          <t>Ashapura Minechem Ltd.</t>
        </is>
      </c>
      <c r="C828" s="16" t="inlineStr">
        <is>
          <t>Coal &amp; Mining</t>
        </is>
      </c>
      <c r="D828" s="16" t="inlineStr">
        <is>
          <t>Metals &amp; Mining</t>
        </is>
      </c>
      <c r="E828" s="16" t="inlineStr">
        <is>
          <t>INE348A01023</t>
        </is>
      </c>
      <c r="F828" s="17" t="n">
        <v>5263.49</v>
      </c>
      <c r="G828" s="18" t="n">
        <v>551</v>
      </c>
      <c r="H828" s="19" t="n">
        <v>0.005600000000000001</v>
      </c>
      <c r="I828" s="20" t="n">
        <v>20</v>
      </c>
      <c r="J828" s="16" t="inlineStr">
        <is>
          <t>red</t>
        </is>
      </c>
      <c r="K828" s="20" t="n">
        <v>20</v>
      </c>
      <c r="L828" s="18" t="n">
        <v>28.13</v>
      </c>
      <c r="M828" s="18" t="n">
        <v>565.25</v>
      </c>
      <c r="N828" s="18" t="n">
        <v>647.12</v>
      </c>
      <c r="O828" s="18" t="n">
        <v>658.7</v>
      </c>
      <c r="P828" s="18" t="n">
        <v>902.45</v>
      </c>
      <c r="Q828" s="18" t="n">
        <v>459.5</v>
      </c>
      <c r="R828" s="21">
        <f>IF(OR(G828="",P828=""),"",G828/P828-1)</f>
        <v/>
      </c>
      <c r="S828" s="19" t="n">
        <v>0.501</v>
      </c>
      <c r="T828" s="22" t="n">
        <v>-0.0101</v>
      </c>
      <c r="U828" s="16" t="inlineStr">
        <is>
          <t>No</t>
        </is>
      </c>
      <c r="V828" s="16" t="inlineStr">
        <is>
          <t>No</t>
        </is>
      </c>
      <c r="W828" s="16" t="inlineStr">
        <is>
          <t>No</t>
        </is>
      </c>
      <c r="X828" s="16" t="inlineStr">
        <is>
          <t>No</t>
        </is>
      </c>
      <c r="Y828" s="20" t="n">
        <v>6</v>
      </c>
      <c r="Z828" s="19" t="n">
        <v>-0.0176</v>
      </c>
      <c r="AA828" s="18" t="n">
        <v>58.82</v>
      </c>
      <c r="AB828" s="16" t="inlineStr">
        <is>
          <t>Good</t>
        </is>
      </c>
      <c r="AC828" s="16" t="inlineStr">
        <is>
          <t>No</t>
        </is>
      </c>
      <c r="AD828" s="19" t="n">
        <v>0.2634</v>
      </c>
      <c r="AE828" s="19" t="n">
        <v>0.1809</v>
      </c>
      <c r="AF828" s="19" t="n">
        <v>0.1387</v>
      </c>
      <c r="AG828" s="19" t="n">
        <v>0.4719</v>
      </c>
      <c r="AH828" s="23" t="n">
        <v>0.88</v>
      </c>
      <c r="AI828" s="23" t="n">
        <v>3.79</v>
      </c>
      <c r="AJ828" s="19" t="n">
        <v>0.0367</v>
      </c>
    </row>
    <row r="829">
      <c r="A829" s="16" t="inlineStr">
        <is>
          <t>EPIGRAL</t>
        </is>
      </c>
      <c r="B829" s="16" t="inlineStr">
        <is>
          <t>Epigral Ltd.</t>
        </is>
      </c>
      <c r="C829" s="16" t="inlineStr">
        <is>
          <t>Specialty Chemicals</t>
        </is>
      </c>
      <c r="D829" s="16" t="inlineStr">
        <is>
          <t>Chemicals &amp; Petrochemicals</t>
        </is>
      </c>
      <c r="E829" s="16" t="inlineStr">
        <is>
          <t>INE071N01016</t>
        </is>
      </c>
      <c r="F829" s="17" t="n">
        <v>5261.94</v>
      </c>
      <c r="G829" s="18" t="n">
        <v>1219.7</v>
      </c>
      <c r="H829" s="19" t="n">
        <v>-0.0137</v>
      </c>
      <c r="I829" s="20" t="n">
        <v>40</v>
      </c>
      <c r="J829" s="16" t="inlineStr">
        <is>
          <t>red</t>
        </is>
      </c>
      <c r="K829" s="20" t="n">
        <v>273</v>
      </c>
      <c r="L829" s="18" t="n">
        <v>67.31999999999999</v>
      </c>
      <c r="M829" s="18" t="n">
        <v>1227.27</v>
      </c>
      <c r="N829" s="18" t="n">
        <v>1115.84</v>
      </c>
      <c r="O829" s="18" t="n">
        <v>1135.11</v>
      </c>
      <c r="P829" s="18" t="n">
        <v>1790.95</v>
      </c>
      <c r="Q829" s="18" t="n">
        <v>806.96</v>
      </c>
      <c r="R829" s="21">
        <f>IF(OR(G829="",P829=""),"",G829/P829-1)</f>
        <v/>
      </c>
      <c r="S829" s="19" t="n">
        <v>0.5194</v>
      </c>
      <c r="T829" s="22" t="n">
        <v>-0.0377</v>
      </c>
      <c r="U829" s="16" t="inlineStr">
        <is>
          <t>No</t>
        </is>
      </c>
      <c r="V829" s="16" t="inlineStr">
        <is>
          <t>Yes</t>
        </is>
      </c>
      <c r="W829" s="16" t="inlineStr">
        <is>
          <t>No</t>
        </is>
      </c>
      <c r="X829" s="16" t="inlineStr">
        <is>
          <t>No</t>
        </is>
      </c>
      <c r="Y829" s="20" t="n">
        <v>227</v>
      </c>
      <c r="Z829" s="19" t="n">
        <v>-0.017</v>
      </c>
      <c r="AA829" s="18" t="n">
        <v>50.14</v>
      </c>
      <c r="AB829" s="16" t="inlineStr">
        <is>
          <t>Average</t>
        </is>
      </c>
      <c r="AC829" s="16" t="inlineStr">
        <is>
          <t>No</t>
        </is>
      </c>
      <c r="AD829" s="19" t="n">
        <v>0.1645</v>
      </c>
      <c r="AE829" s="19" t="n">
        <v>0.1785</v>
      </c>
      <c r="AF829" s="19" t="n">
        <v>0.08650000000000001</v>
      </c>
      <c r="AG829" s="19" t="n">
        <v>0.0644</v>
      </c>
      <c r="AH829" s="23" t="n">
        <v>0.26</v>
      </c>
      <c r="AI829" s="23" t="n">
        <v>0.97</v>
      </c>
      <c r="AJ829" s="19" t="n">
        <v>0.1813</v>
      </c>
    </row>
    <row r="830">
      <c r="A830" s="16" t="inlineStr">
        <is>
          <t>THOMASCOOK</t>
        </is>
      </c>
      <c r="B830" s="16" t="inlineStr">
        <is>
          <t>Thomas Cook (India) Ltd.</t>
        </is>
      </c>
      <c r="C830" s="16" t="inlineStr">
        <is>
          <t>Travel Support Services</t>
        </is>
      </c>
      <c r="D830" s="16" t="inlineStr">
        <is>
          <t>Diversified Consumer Services</t>
        </is>
      </c>
      <c r="E830" s="16" t="inlineStr">
        <is>
          <t>INE332A01027</t>
        </is>
      </c>
      <c r="F830" s="17" t="n">
        <v>5252.35</v>
      </c>
      <c r="G830" s="18" t="n">
        <v>111.65</v>
      </c>
      <c r="H830" s="19" t="n">
        <v>0.05019999999999999</v>
      </c>
      <c r="I830" s="20" t="n">
        <v>25</v>
      </c>
      <c r="J830" s="16" t="inlineStr">
        <is>
          <t>red</t>
        </is>
      </c>
      <c r="K830" s="20" t="n">
        <v>256</v>
      </c>
      <c r="L830" s="18" t="n">
        <v>64.22</v>
      </c>
      <c r="M830" s="18" t="n">
        <v>108.3</v>
      </c>
      <c r="N830" s="18" t="n">
        <v>104.69</v>
      </c>
      <c r="O830" s="18" t="n">
        <v>111.68</v>
      </c>
      <c r="P830" s="18" t="n">
        <v>178.23</v>
      </c>
      <c r="Q830" s="18" t="n">
        <v>87.59</v>
      </c>
      <c r="R830" s="21">
        <f>IF(OR(G830="",P830=""),"",G830/P830-1)</f>
        <v/>
      </c>
      <c r="S830" s="19" t="n">
        <v>0.9614</v>
      </c>
      <c r="T830" s="22" t="n">
        <v>-0.0438</v>
      </c>
      <c r="U830" s="16" t="inlineStr">
        <is>
          <t>No</t>
        </is>
      </c>
      <c r="V830" s="16" t="inlineStr">
        <is>
          <t>Yes</t>
        </is>
      </c>
      <c r="W830" s="16" t="inlineStr">
        <is>
          <t>Yes</t>
        </is>
      </c>
      <c r="X830" s="16" t="inlineStr">
        <is>
          <t>No</t>
        </is>
      </c>
      <c r="Y830" s="20" t="n">
        <v>184</v>
      </c>
      <c r="Z830" s="19" t="n">
        <v>-0.0626</v>
      </c>
      <c r="AA830" s="18" t="n">
        <v>61.9</v>
      </c>
      <c r="AB830" s="16" t="inlineStr">
        <is>
          <t>Good</t>
        </is>
      </c>
      <c r="AC830" s="16" t="inlineStr">
        <is>
          <t>No</t>
        </is>
      </c>
      <c r="AD830" s="19" t="n">
        <v>0.1081</v>
      </c>
      <c r="AE830" s="19" t="n">
        <v>0.1559</v>
      </c>
      <c r="AF830" s="19" t="n">
        <v>18.1797</v>
      </c>
      <c r="AG830" s="19" t="n">
        <v>0.2055</v>
      </c>
      <c r="AH830" s="23" t="n">
        <v>0.21</v>
      </c>
      <c r="AI830" s="23" t="n">
        <v>4.81</v>
      </c>
      <c r="AJ830" s="19" t="n">
        <v>0.0046</v>
      </c>
    </row>
    <row r="831">
      <c r="A831" s="16" t="inlineStr">
        <is>
          <t>CARERATING</t>
        </is>
      </c>
      <c r="B831" s="16" t="inlineStr">
        <is>
          <t>CARE Ratings Ltd.</t>
        </is>
      </c>
      <c r="C831" s="16" t="inlineStr">
        <is>
          <t>Other Financial Services</t>
        </is>
      </c>
      <c r="D831" s="16" t="inlineStr">
        <is>
          <t>Banking and Finance</t>
        </is>
      </c>
      <c r="E831" s="16" t="inlineStr">
        <is>
          <t>INE752H01013</t>
        </is>
      </c>
      <c r="F831" s="17" t="n">
        <v>5235.18</v>
      </c>
      <c r="G831" s="18" t="n">
        <v>1738.2</v>
      </c>
      <c r="H831" s="19" t="n">
        <v>0.0174</v>
      </c>
      <c r="I831" s="20" t="n">
        <v>56</v>
      </c>
      <c r="J831" s="16" t="inlineStr">
        <is>
          <t>red</t>
        </is>
      </c>
      <c r="K831" s="20" t="n">
        <v>31</v>
      </c>
      <c r="L831" s="18" t="n">
        <v>53.99</v>
      </c>
      <c r="M831" s="18" t="n">
        <v>1692.55</v>
      </c>
      <c r="N831" s="18" t="n">
        <v>1685.84</v>
      </c>
      <c r="O831" s="18" t="n">
        <v>1614.34</v>
      </c>
      <c r="P831" s="18" t="n">
        <v>1785.38</v>
      </c>
      <c r="Q831" s="18" t="n">
        <v>1400.72</v>
      </c>
      <c r="R831" s="21">
        <f>IF(OR(G831="",P831=""),"",G831/P831-1)</f>
        <v/>
      </c>
      <c r="S831" s="19" t="n">
        <v>5.5004</v>
      </c>
      <c r="T831" s="22" t="n">
        <v>0.008199999999999999</v>
      </c>
      <c r="U831" s="16" t="inlineStr">
        <is>
          <t>Yes</t>
        </is>
      </c>
      <c r="V831" s="16" t="inlineStr">
        <is>
          <t>Yes</t>
        </is>
      </c>
      <c r="W831" s="16" t="inlineStr">
        <is>
          <t>Yes</t>
        </is>
      </c>
      <c r="X831" s="16" t="inlineStr">
        <is>
          <t>Yes</t>
        </is>
      </c>
      <c r="Y831" s="20" t="n">
        <v>81</v>
      </c>
      <c r="Z831" s="19" t="n">
        <v>0.0443</v>
      </c>
      <c r="AA831" s="18" t="n">
        <v>40</v>
      </c>
      <c r="AB831" s="16" t="inlineStr">
        <is>
          <t>Weak</t>
        </is>
      </c>
      <c r="AC831" s="16" t="inlineStr">
        <is>
          <t>Yes</t>
        </is>
      </c>
      <c r="AD831" s="19" t="n">
        <v>0.1647</v>
      </c>
      <c r="AE831" s="19" t="n">
        <v>0.2279</v>
      </c>
      <c r="AF831" s="19" t="n">
        <v>-0.1493</v>
      </c>
      <c r="AG831" s="19" t="n">
        <v>0.1926</v>
      </c>
      <c r="AH831" s="23" t="n">
        <v>0.03</v>
      </c>
      <c r="AI831" s="23" t="n">
        <v>4.52</v>
      </c>
      <c r="AJ831" s="19" t="n">
        <v>0.0019</v>
      </c>
    </row>
    <row r="832">
      <c r="A832" s="16" t="inlineStr">
        <is>
          <t>RAMRAT</t>
        </is>
      </c>
      <c r="B832" s="16" t="inlineStr">
        <is>
          <t>Ram Ratna Wires Ltd.</t>
        </is>
      </c>
      <c r="C832" s="16" t="inlineStr">
        <is>
          <t>Other Electrical Equipment/Products</t>
        </is>
      </c>
      <c r="D832" s="16" t="inlineStr">
        <is>
          <t>Consumer Durables</t>
        </is>
      </c>
      <c r="E832" s="16" t="inlineStr">
        <is>
          <t>INE207E01023</t>
        </is>
      </c>
      <c r="F832" s="17" t="n">
        <v>5233.62</v>
      </c>
      <c r="G832" s="18" t="n">
        <v>560.65</v>
      </c>
      <c r="H832" s="19" t="n">
        <v>-0.0003</v>
      </c>
      <c r="I832" s="20" t="n">
        <v>89</v>
      </c>
      <c r="J832" s="16" t="inlineStr">
        <is>
          <t>green</t>
        </is>
      </c>
      <c r="K832" s="20" t="n">
        <v>10</v>
      </c>
      <c r="L832" s="18" t="n">
        <v>69.54000000000001</v>
      </c>
      <c r="M832" s="18" t="n">
        <v>559.46</v>
      </c>
      <c r="N832" s="18" t="n">
        <v>456.77</v>
      </c>
      <c r="O832" s="18" t="n">
        <v>372.18</v>
      </c>
      <c r="P832" s="18" t="n">
        <v>591.9</v>
      </c>
      <c r="Q832" s="18" t="n">
        <v>276.6</v>
      </c>
      <c r="R832" s="21">
        <f>IF(OR(G832="",P832=""),"",G832/P832-1)</f>
        <v/>
      </c>
      <c r="S832" s="19" t="n">
        <v>0.6870000000000001</v>
      </c>
      <c r="T832" s="22" t="n">
        <v>0.0557</v>
      </c>
      <c r="U832" s="16" t="inlineStr">
        <is>
          <t>Yes</t>
        </is>
      </c>
      <c r="V832" s="16" t="inlineStr">
        <is>
          <t>Yes</t>
        </is>
      </c>
      <c r="W832" s="16" t="inlineStr">
        <is>
          <t>Yes</t>
        </is>
      </c>
      <c r="X832" s="16" t="inlineStr">
        <is>
          <t>Yes</t>
        </is>
      </c>
      <c r="Y832" s="20" t="n">
        <v>97</v>
      </c>
      <c r="Z832" s="19" t="n">
        <v>0.2273</v>
      </c>
      <c r="AA832" s="18" t="n">
        <v>58.15</v>
      </c>
      <c r="AB832" s="16" t="inlineStr">
        <is>
          <t>Good</t>
        </is>
      </c>
      <c r="AC832" s="16" t="inlineStr">
        <is>
          <t>No</t>
        </is>
      </c>
      <c r="AD832" s="19" t="n">
        <v>0.1538</v>
      </c>
      <c r="AE832" s="19" t="n">
        <v>0.1827</v>
      </c>
      <c r="AF832" s="19" t="n">
        <v>0.3178</v>
      </c>
      <c r="AG832" s="19" t="n">
        <v>0.2553</v>
      </c>
      <c r="AH832" s="23" t="n">
        <v>1.17</v>
      </c>
      <c r="AI832" s="23" t="n">
        <v>7.72</v>
      </c>
      <c r="AJ832" s="19" t="n">
        <v>0.0805</v>
      </c>
    </row>
    <row r="833">
      <c r="A833" s="16" t="inlineStr">
        <is>
          <t>BAJAJHIND</t>
        </is>
      </c>
      <c r="B833" s="16" t="inlineStr">
        <is>
          <t>Bajaj Hindusthan Sugar Ltd.</t>
        </is>
      </c>
      <c r="C833" s="16" t="inlineStr">
        <is>
          <t>Sugar</t>
        </is>
      </c>
      <c r="D833" s="16" t="inlineStr">
        <is>
          <t>Food, Beverages &amp; Tobacco</t>
        </is>
      </c>
      <c r="E833" s="16" t="inlineStr">
        <is>
          <t>INE306A01021</t>
        </is>
      </c>
      <c r="F833" s="17" t="n">
        <v>5226</v>
      </c>
      <c r="G833" s="18" t="n">
        <v>21.86</v>
      </c>
      <c r="H833" s="19" t="n">
        <v>-0.01</v>
      </c>
      <c r="I833" s="20" t="n">
        <v>61</v>
      </c>
      <c r="J833" s="16" t="inlineStr">
        <is>
          <t>amber</t>
        </is>
      </c>
      <c r="K833" s="20" t="n">
        <v>12</v>
      </c>
      <c r="L833" s="18" t="n">
        <v>66.01000000000001</v>
      </c>
      <c r="M833" s="18" t="n">
        <v>21.84</v>
      </c>
      <c r="N833" s="18" t="n">
        <v>18.72</v>
      </c>
      <c r="O833" s="18" t="n">
        <v>18.2</v>
      </c>
      <c r="P833" s="18" t="n">
        <v>24.23</v>
      </c>
      <c r="Q833" s="18" t="n">
        <v>14.93</v>
      </c>
      <c r="R833" s="21">
        <f>IF(OR(G833="",P833=""),"",G833/P833-1)</f>
        <v/>
      </c>
      <c r="S833" s="19" t="n">
        <v>0.4370000000000001</v>
      </c>
      <c r="T833" s="22" t="n">
        <v>-0.0053</v>
      </c>
      <c r="U833" s="16" t="inlineStr">
        <is>
          <t>No</t>
        </is>
      </c>
      <c r="V833" s="16" t="inlineStr">
        <is>
          <t>Yes</t>
        </is>
      </c>
      <c r="W833" s="16" t="inlineStr">
        <is>
          <t>Yes</t>
        </is>
      </c>
      <c r="X833" s="16" t="inlineStr">
        <is>
          <t>Yes</t>
        </is>
      </c>
      <c r="Y833" s="20" t="n">
        <v>10</v>
      </c>
      <c r="Z833" s="19" t="n">
        <v>0.0282</v>
      </c>
      <c r="AA833" s="18" t="n">
        <v>8.98</v>
      </c>
      <c r="AB833" s="16" t="inlineStr">
        <is>
          <t>Poor</t>
        </is>
      </c>
      <c r="AC833" s="16" t="inlineStr">
        <is>
          <t>No</t>
        </is>
      </c>
      <c r="AD833" s="19" t="n">
        <v>-0.06570000000000001</v>
      </c>
      <c r="AE833" s="19" t="n">
        <v>0.0199</v>
      </c>
      <c r="AF833" s="19" t="n">
        <v>-2.2371</v>
      </c>
      <c r="AG833" s="19" t="n">
        <v>-0.0433</v>
      </c>
      <c r="AH833" s="23" t="n">
        <v>0.93</v>
      </c>
      <c r="AI833" s="23" t="n">
        <v>0.75</v>
      </c>
      <c r="AJ833" s="19" t="n">
        <v>0.0061</v>
      </c>
    </row>
    <row r="834">
      <c r="A834" s="16" t="inlineStr">
        <is>
          <t>VRLLOG</t>
        </is>
      </c>
      <c r="B834" s="16" t="inlineStr">
        <is>
          <t>VRL Logistics Ltd.</t>
        </is>
      </c>
      <c r="C834" s="16" t="inlineStr">
        <is>
          <t>Warehousing &amp; Logistics</t>
        </is>
      </c>
      <c r="D834" s="16" t="inlineStr">
        <is>
          <t>Transportation</t>
        </is>
      </c>
      <c r="E834" s="16" t="inlineStr">
        <is>
          <t>INE366I01010</t>
        </is>
      </c>
      <c r="F834" s="17" t="n">
        <v>5207.87</v>
      </c>
      <c r="G834" s="18" t="n">
        <v>297.7</v>
      </c>
      <c r="H834" s="19" t="n">
        <v>-0.0005</v>
      </c>
      <c r="I834" s="20" t="n">
        <v>62</v>
      </c>
      <c r="J834" s="16" t="inlineStr">
        <is>
          <t>amber</t>
        </is>
      </c>
      <c r="K834" s="20" t="n">
        <v>7</v>
      </c>
      <c r="L834" s="18" t="n">
        <v>51.94</v>
      </c>
      <c r="M834" s="18" t="n">
        <v>296.81</v>
      </c>
      <c r="N834" s="18" t="n">
        <v>266.61</v>
      </c>
      <c r="O834" s="18" t="n">
        <v>259.47</v>
      </c>
      <c r="P834" s="18" t="n">
        <v>305.25</v>
      </c>
      <c r="Q834" s="18" t="n">
        <v>229.56</v>
      </c>
      <c r="R834" s="21">
        <f>IF(OR(G834="",P834=""),"",G834/P834-1)</f>
        <v/>
      </c>
      <c r="S834" s="19" t="n">
        <v>0.2357</v>
      </c>
      <c r="T834" s="22" t="n">
        <v>0.0106</v>
      </c>
      <c r="U834" s="16" t="inlineStr">
        <is>
          <t>Yes</t>
        </is>
      </c>
      <c r="V834" s="16" t="inlineStr">
        <is>
          <t>Yes</t>
        </is>
      </c>
      <c r="W834" s="16" t="inlineStr">
        <is>
          <t>Yes</t>
        </is>
      </c>
      <c r="X834" s="16" t="inlineStr">
        <is>
          <t>Yes</t>
        </is>
      </c>
      <c r="Y834" s="20" t="n">
        <v>7</v>
      </c>
      <c r="Z834" s="19" t="n">
        <v>0.0275</v>
      </c>
      <c r="AA834" s="18" t="n">
        <v>41.11</v>
      </c>
      <c r="AB834" s="16" t="inlineStr">
        <is>
          <t>Average</t>
        </is>
      </c>
      <c r="AC834" s="16" t="inlineStr">
        <is>
          <t>No</t>
        </is>
      </c>
      <c r="AD834" s="19" t="n">
        <v>0.1566</v>
      </c>
      <c r="AE834" s="19" t="n">
        <v>0.1429</v>
      </c>
      <c r="AF834" s="19" t="n">
        <v>0.2104</v>
      </c>
      <c r="AG834" s="19" t="n">
        <v>0.0689</v>
      </c>
      <c r="AH834" s="23" t="n">
        <v>1.01</v>
      </c>
      <c r="AI834" s="23" t="n">
        <v>1.36</v>
      </c>
      <c r="AJ834" s="19" t="n">
        <v>0.0216</v>
      </c>
    </row>
    <row r="835">
      <c r="A835" s="16" t="inlineStr">
        <is>
          <t>GOLDIAM</t>
        </is>
      </c>
      <c r="B835" s="16" t="inlineStr">
        <is>
          <t>Goldiam International Ltd.</t>
        </is>
      </c>
      <c r="C835" s="16" t="inlineStr">
        <is>
          <t>Gems &amp; Jewellery</t>
        </is>
      </c>
      <c r="D835" s="16" t="inlineStr">
        <is>
          <t>Textiles Apparels &amp; Accessories</t>
        </is>
      </c>
      <c r="E835" s="16" t="inlineStr">
        <is>
          <t>INE025B01025</t>
        </is>
      </c>
      <c r="F835" s="17" t="n">
        <v>5198.74</v>
      </c>
      <c r="G835" s="18" t="n">
        <v>345.3</v>
      </c>
      <c r="H835" s="19" t="n">
        <v>0.0137</v>
      </c>
      <c r="I835" s="20" t="n">
        <v>65</v>
      </c>
      <c r="J835" s="16" t="inlineStr">
        <is>
          <t>amber</t>
        </is>
      </c>
      <c r="K835" s="20" t="n">
        <v>17</v>
      </c>
      <c r="L835" s="18" t="n">
        <v>18.57</v>
      </c>
      <c r="M835" s="18" t="n">
        <v>347.43</v>
      </c>
      <c r="N835" s="18" t="n">
        <v>354.73</v>
      </c>
      <c r="O835" s="18" t="n">
        <v>297.07</v>
      </c>
      <c r="P835" s="18" t="n">
        <v>384.05</v>
      </c>
      <c r="Q835" s="18" t="n">
        <v>201.49</v>
      </c>
      <c r="R835" s="21">
        <f>IF(OR(G835="",P835=""),"",G835/P835-1)</f>
        <v/>
      </c>
      <c r="S835" s="19" t="n">
        <v>0.3179</v>
      </c>
      <c r="T835" s="22" t="n">
        <v>0.0303</v>
      </c>
      <c r="U835" s="16" t="inlineStr">
        <is>
          <t>Yes</t>
        </is>
      </c>
      <c r="V835" s="16" t="inlineStr">
        <is>
          <t>No</t>
        </is>
      </c>
      <c r="W835" s="16" t="inlineStr">
        <is>
          <t>No</t>
        </is>
      </c>
      <c r="X835" s="16" t="inlineStr">
        <is>
          <t>Yes</t>
        </is>
      </c>
      <c r="Y835" s="20" t="n">
        <v>71</v>
      </c>
      <c r="Z835" s="19" t="n">
        <v>0.1941</v>
      </c>
      <c r="AA835" s="18" t="n">
        <v>69.83</v>
      </c>
      <c r="AB835" s="16" t="inlineStr">
        <is>
          <t>High</t>
        </is>
      </c>
      <c r="AC835" s="16" t="inlineStr">
        <is>
          <t>No</t>
        </is>
      </c>
      <c r="AD835" s="19" t="n">
        <v>0.1521</v>
      </c>
      <c r="AE835" s="19" t="n">
        <v>0.2055</v>
      </c>
      <c r="AF835" s="19" t="n">
        <v>0.4053</v>
      </c>
      <c r="AG835" s="19" t="n">
        <v>0.2257</v>
      </c>
      <c r="AH835" s="23" t="n">
        <v>0.07000000000000001</v>
      </c>
      <c r="AI835" s="23" t="n">
        <v>10.92</v>
      </c>
      <c r="AJ835" s="19" t="n">
        <v>0</v>
      </c>
    </row>
    <row r="836">
      <c r="A836" s="16" t="inlineStr">
        <is>
          <t>ELECTCAST</t>
        </is>
      </c>
      <c r="B836" s="16" t="inlineStr">
        <is>
          <t>Electrosteel Castings Ltd.</t>
        </is>
      </c>
      <c r="C836" s="16" t="inlineStr">
        <is>
          <t>Iron &amp; Steel/Interm.Products</t>
        </is>
      </c>
      <c r="D836" s="16" t="inlineStr">
        <is>
          <t>Metals &amp; Mining</t>
        </is>
      </c>
      <c r="E836" s="16" t="inlineStr">
        <is>
          <t>INE086A01029</t>
        </is>
      </c>
      <c r="F836" s="17" t="n">
        <v>5174.82</v>
      </c>
      <c r="G836" s="18" t="n">
        <v>83.70999999999999</v>
      </c>
      <c r="H836" s="19" t="n">
        <v>-0.0017</v>
      </c>
      <c r="I836" s="20" t="n">
        <v>59</v>
      </c>
      <c r="J836" s="16" t="inlineStr">
        <is>
          <t>red</t>
        </is>
      </c>
      <c r="K836" s="20" t="n">
        <v>2</v>
      </c>
      <c r="L836" s="18" t="n">
        <v>86.06999999999999</v>
      </c>
      <c r="M836" s="18" t="n">
        <v>82.28</v>
      </c>
      <c r="N836" s="18" t="n">
        <v>74.72</v>
      </c>
      <c r="O836" s="18" t="n">
        <v>74.92</v>
      </c>
      <c r="P836" s="18" t="n">
        <v>99.56</v>
      </c>
      <c r="Q836" s="18" t="n">
        <v>60.35</v>
      </c>
      <c r="R836" s="21">
        <f>IF(OR(G836="",P836=""),"",G836/P836-1)</f>
        <v/>
      </c>
      <c r="S836" s="19" t="n">
        <v>0.8739</v>
      </c>
      <c r="T836" s="22" t="n">
        <v>-0.0127</v>
      </c>
      <c r="U836" s="16" t="inlineStr">
        <is>
          <t>No</t>
        </is>
      </c>
      <c r="V836" s="16" t="inlineStr">
        <is>
          <t>Yes</t>
        </is>
      </c>
      <c r="W836" s="16" t="inlineStr">
        <is>
          <t>Yes</t>
        </is>
      </c>
      <c r="X836" s="16" t="inlineStr">
        <is>
          <t>No</t>
        </is>
      </c>
      <c r="Y836" s="20" t="n">
        <v>37</v>
      </c>
      <c r="Z836" s="19" t="n">
        <v>-0.0027</v>
      </c>
      <c r="AA836" s="18" t="n">
        <v>37.92</v>
      </c>
      <c r="AB836" s="16" t="inlineStr">
        <is>
          <t>Weak</t>
        </is>
      </c>
      <c r="AC836" s="16" t="inlineStr">
        <is>
          <t>No</t>
        </is>
      </c>
      <c r="AD836" s="19" t="n">
        <v>0.09820000000000001</v>
      </c>
      <c r="AE836" s="19" t="n">
        <v>0.1099</v>
      </c>
      <c r="AF836" s="19" t="n">
        <v>0.159</v>
      </c>
      <c r="AG836" s="19" t="n">
        <v>-0.0603</v>
      </c>
      <c r="AH836" s="23" t="n">
        <v>0.26</v>
      </c>
      <c r="AI836" s="23" t="n">
        <v>1.35</v>
      </c>
      <c r="AJ836" s="19" t="n">
        <v>0.2708</v>
      </c>
    </row>
    <row r="837">
      <c r="A837" s="16" t="inlineStr">
        <is>
          <t>MSTCLTD</t>
        </is>
      </c>
      <c r="B837" s="16" t="inlineStr">
        <is>
          <t>MSTC Ltd.</t>
        </is>
      </c>
      <c r="C837" s="16" t="inlineStr">
        <is>
          <t>Commodity Trading  &amp; Distribution</t>
        </is>
      </c>
      <c r="D837" s="16" t="inlineStr">
        <is>
          <t>Commercial Services &amp; Supplies</t>
        </is>
      </c>
      <c r="E837" s="16" t="inlineStr">
        <is>
          <t>INE255X01014</t>
        </is>
      </c>
      <c r="F837" s="17" t="n">
        <v>5168.77</v>
      </c>
      <c r="G837" s="18" t="n">
        <v>734.2</v>
      </c>
      <c r="H837" s="19" t="n">
        <v>-0.0135</v>
      </c>
      <c r="I837" s="20" t="n">
        <v>85</v>
      </c>
      <c r="J837" s="16" t="inlineStr">
        <is>
          <t>green</t>
        </is>
      </c>
      <c r="K837" s="20" t="n">
        <v>16</v>
      </c>
      <c r="L837" s="18" t="n">
        <v>66.98999999999999</v>
      </c>
      <c r="M837" s="18" t="n">
        <v>732.53</v>
      </c>
      <c r="N837" s="18" t="n">
        <v>657.9400000000001</v>
      </c>
      <c r="O837" s="18" t="n">
        <v>517.49</v>
      </c>
      <c r="P837" s="18" t="n">
        <v>751.1</v>
      </c>
      <c r="Q837" s="18" t="n">
        <v>365.85</v>
      </c>
      <c r="R837" s="21">
        <f>IF(OR(G837="",P837=""),"",G837/P837-1)</f>
        <v/>
      </c>
      <c r="S837" s="19" t="n">
        <v>0.4657</v>
      </c>
      <c r="T837" s="22" t="n">
        <v>0.032</v>
      </c>
      <c r="U837" s="16" t="inlineStr">
        <is>
          <t>Yes</t>
        </is>
      </c>
      <c r="V837" s="16" t="inlineStr">
        <is>
          <t>Yes</t>
        </is>
      </c>
      <c r="W837" s="16" t="inlineStr">
        <is>
          <t>Yes</t>
        </is>
      </c>
      <c r="X837" s="16" t="inlineStr">
        <is>
          <t>Yes</t>
        </is>
      </c>
      <c r="Y837" s="20" t="n">
        <v>55</v>
      </c>
      <c r="Z837" s="19" t="n">
        <v>0.2714</v>
      </c>
      <c r="AA837" s="18" t="n">
        <v>59.82</v>
      </c>
      <c r="AB837" s="16" t="inlineStr">
        <is>
          <t>Good</t>
        </is>
      </c>
      <c r="AC837" s="16" t="inlineStr">
        <is>
          <t>No</t>
        </is>
      </c>
      <c r="AD837" s="19" t="n">
        <v>0.3493</v>
      </c>
      <c r="AE837" s="19" t="n">
        <v>0.4017</v>
      </c>
      <c r="AF837" s="19" t="n">
        <v>0.0496</v>
      </c>
      <c r="AG837" s="19" t="n">
        <v>0.0868</v>
      </c>
      <c r="AH837" s="23" t="n">
        <v>0.16</v>
      </c>
      <c r="AI837" s="23" t="n">
        <v>1.84</v>
      </c>
      <c r="AJ837" s="19" t="n">
        <v>0</v>
      </c>
    </row>
    <row r="838">
      <c r="A838" s="16" t="inlineStr">
        <is>
          <t>GMMPFAUDLR</t>
        </is>
      </c>
      <c r="B838" s="16" t="inlineStr">
        <is>
          <t>GMM Pfaudler Ltd.</t>
        </is>
      </c>
      <c r="C838" s="16" t="inlineStr">
        <is>
          <t>Industrial Machinery</t>
        </is>
      </c>
      <c r="D838" s="16" t="inlineStr">
        <is>
          <t>General Industrials</t>
        </is>
      </c>
      <c r="E838" s="16" t="inlineStr">
        <is>
          <t>INE541A01023</t>
        </is>
      </c>
      <c r="F838" s="17" t="n">
        <v>5160.64</v>
      </c>
      <c r="G838" s="18" t="n">
        <v>1147.9</v>
      </c>
      <c r="H838" s="19" t="n">
        <v>0.0693</v>
      </c>
      <c r="I838" s="20" t="n">
        <v>72</v>
      </c>
      <c r="J838" s="16" t="inlineStr">
        <is>
          <t>amber</t>
        </is>
      </c>
      <c r="K838" s="20" t="n">
        <v>4</v>
      </c>
      <c r="L838" s="18" t="n">
        <v>67.45</v>
      </c>
      <c r="M838" s="18" t="n">
        <v>1060.86</v>
      </c>
      <c r="N838" s="18" t="n">
        <v>900.05</v>
      </c>
      <c r="O838" s="18" t="n">
        <v>930.84</v>
      </c>
      <c r="P838" s="18" t="n">
        <v>1295.08</v>
      </c>
      <c r="Q838" s="18" t="n">
        <v>737.3099999999999</v>
      </c>
      <c r="R838" s="21">
        <f>IF(OR(G838="",P838=""),"",G838/P838-1)</f>
        <v/>
      </c>
      <c r="S838" s="19" t="n">
        <v>2.6029</v>
      </c>
      <c r="T838" s="22" t="n">
        <v>-0.0208</v>
      </c>
      <c r="U838" s="16" t="inlineStr">
        <is>
          <t>No</t>
        </is>
      </c>
      <c r="V838" s="16" t="inlineStr">
        <is>
          <t>Yes</t>
        </is>
      </c>
      <c r="W838" s="16" t="inlineStr">
        <is>
          <t>Yes</t>
        </is>
      </c>
      <c r="X838" s="16" t="inlineStr">
        <is>
          <t>No</t>
        </is>
      </c>
      <c r="Y838" s="20" t="n">
        <v>168</v>
      </c>
      <c r="Z838" s="19" t="n">
        <v>-0.0331</v>
      </c>
      <c r="AA838" s="18" t="n">
        <v>31.52</v>
      </c>
      <c r="AB838" s="16" t="inlineStr">
        <is>
          <t>Poor</t>
        </is>
      </c>
      <c r="AC838" s="16" t="inlineStr">
        <is>
          <t>No</t>
        </is>
      </c>
      <c r="AD838" s="19" t="n">
        <v>0.09390000000000001</v>
      </c>
      <c r="AE838" s="19" t="n">
        <v>0.1159</v>
      </c>
      <c r="AF838" s="19" t="n">
        <v>-0.182</v>
      </c>
      <c r="AG838" s="19" t="n">
        <v>0.0411</v>
      </c>
      <c r="AH838" s="23" t="n">
        <v>0.86</v>
      </c>
      <c r="AI838" s="23" t="n">
        <v>5.28</v>
      </c>
      <c r="AJ838" s="19" t="n">
        <v>0.0299</v>
      </c>
    </row>
    <row r="839">
      <c r="A839" s="16" t="inlineStr">
        <is>
          <t>MOIL</t>
        </is>
      </c>
      <c r="B839" s="16" t="inlineStr">
        <is>
          <t>MOIL Ltd.</t>
        </is>
      </c>
      <c r="C839" s="16" t="inlineStr">
        <is>
          <t>Coal &amp; Mining</t>
        </is>
      </c>
      <c r="D839" s="16" t="inlineStr">
        <is>
          <t>Metals &amp; Mining</t>
        </is>
      </c>
      <c r="E839" s="16" t="inlineStr">
        <is>
          <t>INE490G01020</t>
        </is>
      </c>
      <c r="F839" s="17" t="n">
        <v>5133.93</v>
      </c>
      <c r="G839" s="18" t="n">
        <v>252.3</v>
      </c>
      <c r="H839" s="19" t="n">
        <v>0.006500000000000001</v>
      </c>
      <c r="I839" s="20" t="n">
        <v>9</v>
      </c>
      <c r="J839" s="16" t="inlineStr">
        <is>
          <t>red</t>
        </is>
      </c>
      <c r="K839" s="20" t="n">
        <v>146</v>
      </c>
      <c r="L839" s="18" t="n">
        <v>33.7</v>
      </c>
      <c r="M839" s="18" t="n">
        <v>254.93</v>
      </c>
      <c r="N839" s="18" t="n">
        <v>270.03</v>
      </c>
      <c r="O839" s="18" t="n">
        <v>302.48</v>
      </c>
      <c r="P839" s="18" t="n">
        <v>387.79</v>
      </c>
      <c r="Q839" s="18" t="n">
        <v>247.8</v>
      </c>
      <c r="R839" s="21">
        <f>IF(OR(G839="",P839=""),"",G839/P839-1)</f>
        <v/>
      </c>
      <c r="S839" s="19" t="n">
        <v>0.2474</v>
      </c>
      <c r="T839" s="22" t="n">
        <v>-0.0311</v>
      </c>
      <c r="U839" s="16" t="inlineStr">
        <is>
          <t>No</t>
        </is>
      </c>
      <c r="V839" s="16" t="inlineStr">
        <is>
          <t>No</t>
        </is>
      </c>
      <c r="W839" s="16" t="inlineStr">
        <is>
          <t>No</t>
        </is>
      </c>
      <c r="X839" s="16" t="inlineStr">
        <is>
          <t>No</t>
        </is>
      </c>
      <c r="Y839" s="20" t="n">
        <v>177</v>
      </c>
      <c r="Z839" s="19" t="n">
        <v>-0.1073</v>
      </c>
      <c r="AA839" s="18" t="n">
        <v>49.23</v>
      </c>
      <c r="AB839" s="16" t="inlineStr">
        <is>
          <t>Average</t>
        </is>
      </c>
      <c r="AC839" s="16" t="inlineStr">
        <is>
          <t>No</t>
        </is>
      </c>
      <c r="AD839" s="19" t="n">
        <v>0.121</v>
      </c>
      <c r="AE839" s="19" t="n">
        <v>0.1177</v>
      </c>
      <c r="AF839" s="19" t="n">
        <v>0.0576</v>
      </c>
      <c r="AG839" s="19" t="n">
        <v>0.0363</v>
      </c>
      <c r="AH839" s="23" t="n">
        <v>0</v>
      </c>
      <c r="AI839" s="23" t="n">
        <v>1.02</v>
      </c>
      <c r="AJ839" s="19" t="n">
        <v>0.3364</v>
      </c>
    </row>
    <row r="840">
      <c r="A840" s="16" t="inlineStr">
        <is>
          <t>OPTIEMUS</t>
        </is>
      </c>
      <c r="B840" s="16" t="inlineStr">
        <is>
          <t>Optiemus Infracom Ltd.</t>
        </is>
      </c>
      <c r="C840" s="16" t="inlineStr">
        <is>
          <t>Telecom Equipment</t>
        </is>
      </c>
      <c r="D840" s="16" t="inlineStr">
        <is>
          <t>Telecommunications Equipment</t>
        </is>
      </c>
      <c r="E840" s="16" t="inlineStr">
        <is>
          <t>INE350C01017</t>
        </is>
      </c>
      <c r="F840" s="17" t="n">
        <v>5133.17</v>
      </c>
      <c r="G840" s="18" t="n">
        <v>569.3</v>
      </c>
      <c r="H840" s="19" t="n">
        <v>0.007900000000000001</v>
      </c>
      <c r="I840" s="20" t="n">
        <v>69</v>
      </c>
      <c r="J840" s="16" t="inlineStr">
        <is>
          <t>amber</t>
        </is>
      </c>
      <c r="K840" s="20" t="n">
        <v>23</v>
      </c>
      <c r="L840" s="18" t="n">
        <v>55.38</v>
      </c>
      <c r="M840" s="18" t="n">
        <v>575.3200000000001</v>
      </c>
      <c r="N840" s="18" t="n">
        <v>569.8099999999999</v>
      </c>
      <c r="O840" s="18" t="n">
        <v>468.5</v>
      </c>
      <c r="P840" s="18" t="n">
        <v>681.6</v>
      </c>
      <c r="Q840" s="18" t="n">
        <v>292.75</v>
      </c>
      <c r="R840" s="21">
        <f>IF(OR(G840="",P840=""),"",G840/P840-1)</f>
        <v/>
      </c>
      <c r="S840" s="19" t="n">
        <v>0.233</v>
      </c>
      <c r="T840" s="22" t="n">
        <v>-0.0042</v>
      </c>
      <c r="U840" s="16" t="inlineStr">
        <is>
          <t>No</t>
        </is>
      </c>
      <c r="V840" s="16" t="inlineStr">
        <is>
          <t>No</t>
        </is>
      </c>
      <c r="W840" s="16" t="inlineStr">
        <is>
          <t>No</t>
        </is>
      </c>
      <c r="X840" s="16" t="inlineStr">
        <is>
          <t>Yes</t>
        </is>
      </c>
      <c r="Y840" s="20" t="n">
        <v>32</v>
      </c>
      <c r="Z840" s="19" t="n">
        <v>0.2162</v>
      </c>
      <c r="AA840" s="18" t="n">
        <v>47.79</v>
      </c>
      <c r="AB840" s="16" t="inlineStr">
        <is>
          <t>Average</t>
        </is>
      </c>
      <c r="AC840" s="16" t="inlineStr">
        <is>
          <t>No</t>
        </is>
      </c>
      <c r="AD840" s="19" t="n">
        <v>0.1044</v>
      </c>
      <c r="AE840" s="19" t="n">
        <v>0.1217</v>
      </c>
      <c r="AF840" s="19" t="n">
        <v>0.1573</v>
      </c>
      <c r="AG840" s="19" t="n">
        <v>0.1702</v>
      </c>
      <c r="AH840" s="23" t="n">
        <v>0.48</v>
      </c>
      <c r="AI840" s="23" t="n">
        <v>3.23</v>
      </c>
      <c r="AJ840" s="19" t="n">
        <v>0.5488000000000001</v>
      </c>
    </row>
    <row r="841">
      <c r="A841" s="16" t="inlineStr">
        <is>
          <t>RENUKA</t>
        </is>
      </c>
      <c r="B841" s="16" t="inlineStr">
        <is>
          <t>Shree Renuka Sugars Ltd.</t>
        </is>
      </c>
      <c r="C841" s="16" t="inlineStr">
        <is>
          <t>Sugar</t>
        </is>
      </c>
      <c r="D841" s="16" t="inlineStr">
        <is>
          <t>Food, Beverages &amp; Tobacco</t>
        </is>
      </c>
      <c r="E841" s="16" t="inlineStr">
        <is>
          <t>INE087H01022</t>
        </is>
      </c>
      <c r="F841" s="17" t="n">
        <v>5116.89</v>
      </c>
      <c r="G841" s="18" t="n">
        <v>24.04</v>
      </c>
      <c r="H841" s="19" t="n">
        <v>-0.0095</v>
      </c>
      <c r="I841" s="20" t="n">
        <v>32</v>
      </c>
      <c r="J841" s="16" t="inlineStr">
        <is>
          <t>red</t>
        </is>
      </c>
      <c r="K841" s="20" t="n">
        <v>88</v>
      </c>
      <c r="L841" s="18" t="n">
        <v>55.49</v>
      </c>
      <c r="M841" s="18" t="n">
        <v>24.11</v>
      </c>
      <c r="N841" s="18" t="n">
        <v>22.94</v>
      </c>
      <c r="O841" s="18" t="n">
        <v>24.72</v>
      </c>
      <c r="P841" s="18" t="n">
        <v>32.31</v>
      </c>
      <c r="Q841" s="18" t="n">
        <v>21.49</v>
      </c>
      <c r="R841" s="21">
        <f>IF(OR(G841="",P841=""),"",G841/P841-1)</f>
        <v/>
      </c>
      <c r="S841" s="19" t="n">
        <v>0.6247</v>
      </c>
      <c r="T841" s="22" t="n">
        <v>-0.0207</v>
      </c>
      <c r="U841" s="16" t="inlineStr">
        <is>
          <t>No</t>
        </is>
      </c>
      <c r="V841" s="16" t="inlineStr">
        <is>
          <t>Yes</t>
        </is>
      </c>
      <c r="W841" s="16" t="inlineStr">
        <is>
          <t>No</t>
        </is>
      </c>
      <c r="X841" s="16" t="inlineStr">
        <is>
          <t>No</t>
        </is>
      </c>
      <c r="Y841" s="20" t="n">
        <v>451</v>
      </c>
      <c r="Z841" s="19" t="n">
        <v>-0.0718</v>
      </c>
      <c r="AA841" s="18" t="n">
        <v>40</v>
      </c>
      <c r="AB841" s="16" t="inlineStr">
        <is>
          <t>Weak</t>
        </is>
      </c>
      <c r="AC841" s="16" t="inlineStr">
        <is>
          <t>No</t>
        </is>
      </c>
      <c r="AD841" s="19" t="n">
        <v>0.3037</v>
      </c>
      <c r="AE841" s="19" t="n">
        <v>0.0537</v>
      </c>
      <c r="AF841" s="19" t="n">
        <v>-1.0961</v>
      </c>
      <c r="AG841" s="19" t="n">
        <v>0.0189</v>
      </c>
      <c r="AH841" s="23" t="n">
        <v>-2.68</v>
      </c>
      <c r="AI841" s="23" t="n">
        <v>2.32</v>
      </c>
      <c r="AJ841" s="19" t="n">
        <v>0.0062</v>
      </c>
    </row>
    <row r="842">
      <c r="A842" s="16" t="inlineStr">
        <is>
          <t>SOTL</t>
        </is>
      </c>
      <c r="B842" s="16" t="inlineStr">
        <is>
          <t>Savita Oil Technologies Ltd.</t>
        </is>
      </c>
      <c r="C842" s="16" t="inlineStr">
        <is>
          <t>Refineries/Petro-Products</t>
        </is>
      </c>
      <c r="D842" s="16" t="inlineStr">
        <is>
          <t>Oil &amp; Gas</t>
        </is>
      </c>
      <c r="E842" s="16" t="inlineStr">
        <is>
          <t>INE035D01020</t>
        </is>
      </c>
      <c r="F842" s="17" t="n">
        <v>5078.61</v>
      </c>
      <c r="G842" s="18" t="n">
        <v>740.75</v>
      </c>
      <c r="H842" s="19" t="n">
        <v>0.0046</v>
      </c>
      <c r="I842" s="20" t="n">
        <v>92</v>
      </c>
      <c r="J842" s="16" t="inlineStr">
        <is>
          <t>green</t>
        </is>
      </c>
      <c r="K842" s="20" t="n">
        <v>68</v>
      </c>
      <c r="L842" s="18" t="n">
        <v>60.64</v>
      </c>
      <c r="M842" s="18" t="n">
        <v>719.78</v>
      </c>
      <c r="N842" s="18" t="n">
        <v>638.21</v>
      </c>
      <c r="O842" s="18" t="n">
        <v>451.55</v>
      </c>
      <c r="P842" s="18" t="n">
        <v>776.27</v>
      </c>
      <c r="Q842" s="18" t="n">
        <v>286.01</v>
      </c>
      <c r="R842" s="21">
        <f>IF(OR(G842="",P842=""),"",G842/P842-1)</f>
        <v/>
      </c>
      <c r="S842" s="19" t="n">
        <v>0.2528</v>
      </c>
      <c r="T842" s="22" t="n">
        <v>0.07389999999999999</v>
      </c>
      <c r="U842" s="16" t="inlineStr">
        <is>
          <t>Yes</t>
        </is>
      </c>
      <c r="V842" s="16" t="inlineStr">
        <is>
          <t>Yes</t>
        </is>
      </c>
      <c r="W842" s="16" t="inlineStr">
        <is>
          <t>Yes</t>
        </is>
      </c>
      <c r="X842" s="16" t="inlineStr">
        <is>
          <t>Yes</t>
        </is>
      </c>
      <c r="Y842" s="20" t="n">
        <v>68</v>
      </c>
      <c r="Z842" s="19" t="n">
        <v>0.4134</v>
      </c>
      <c r="AA842" s="18" t="n">
        <v>56.98</v>
      </c>
      <c r="AB842" s="16" t="inlineStr">
        <is>
          <t>Good</t>
        </is>
      </c>
      <c r="AC842" s="16" t="inlineStr">
        <is>
          <t>No</t>
        </is>
      </c>
      <c r="AD842" s="19" t="n">
        <v>0.0974</v>
      </c>
      <c r="AE842" s="19" t="n">
        <v>0.1441</v>
      </c>
      <c r="AF842" s="19" t="n">
        <v>0.0226</v>
      </c>
      <c r="AG842" s="19" t="n">
        <v>0.06509999999999999</v>
      </c>
      <c r="AH842" s="23" t="n">
        <v>0</v>
      </c>
      <c r="AI842" s="23" t="n">
        <v>15.33</v>
      </c>
      <c r="AJ842" s="19" t="n">
        <v>0.08650000000000001</v>
      </c>
    </row>
    <row r="843">
      <c r="A843" s="16" t="inlineStr">
        <is>
          <t>PDSL</t>
        </is>
      </c>
      <c r="B843" s="16" t="inlineStr">
        <is>
          <t>PDS Ltd.</t>
        </is>
      </c>
      <c r="C843" s="16" t="inlineStr">
        <is>
          <t>Textiles</t>
        </is>
      </c>
      <c r="D843" s="16" t="inlineStr">
        <is>
          <t>Textiles Apparels &amp; Accessories</t>
        </is>
      </c>
      <c r="E843" s="16" t="inlineStr">
        <is>
          <t>INE111Q01021</t>
        </is>
      </c>
      <c r="F843" s="17" t="n">
        <v>5071.36</v>
      </c>
      <c r="G843" s="18" t="n">
        <v>358.5</v>
      </c>
      <c r="H843" s="19" t="n">
        <v>0.013</v>
      </c>
      <c r="I843" s="20" t="n">
        <v>59</v>
      </c>
      <c r="J843" s="16" t="inlineStr">
        <is>
          <t>red</t>
        </is>
      </c>
      <c r="K843" s="20" t="n">
        <v>4</v>
      </c>
      <c r="L843" s="18" t="n">
        <v>35.28</v>
      </c>
      <c r="M843" s="18" t="n">
        <v>362.2</v>
      </c>
      <c r="N843" s="18" t="n">
        <v>362.13</v>
      </c>
      <c r="O843" s="18" t="n">
        <v>329.95</v>
      </c>
      <c r="P843" s="18" t="n">
        <v>405.51</v>
      </c>
      <c r="Q843" s="18" t="n">
        <v>252.68</v>
      </c>
      <c r="R843" s="21">
        <f>IF(OR(G843="",P843=""),"",G843/P843-1)</f>
        <v/>
      </c>
      <c r="S843" s="19" t="n">
        <v>0.7341</v>
      </c>
      <c r="T843" s="22" t="n">
        <v>0.002</v>
      </c>
      <c r="U843" s="16" t="inlineStr">
        <is>
          <t>Yes</t>
        </is>
      </c>
      <c r="V843" s="16" t="inlineStr">
        <is>
          <t>No</t>
        </is>
      </c>
      <c r="W843" s="16" t="inlineStr">
        <is>
          <t>No</t>
        </is>
      </c>
      <c r="X843" s="16" t="inlineStr">
        <is>
          <t>Yes</t>
        </is>
      </c>
      <c r="Y843" s="20" t="n">
        <v>36</v>
      </c>
      <c r="Z843" s="19" t="n">
        <v>0.09759999999999999</v>
      </c>
      <c r="AA843" s="18" t="n">
        <v>38.02</v>
      </c>
      <c r="AB843" s="16" t="inlineStr">
        <is>
          <t>Weak</t>
        </is>
      </c>
      <c r="AC843" s="16" t="inlineStr">
        <is>
          <t>No</t>
        </is>
      </c>
      <c r="AD843" s="19" t="n">
        <v>0.09470000000000001</v>
      </c>
      <c r="AE843" s="19" t="n">
        <v>0.1359</v>
      </c>
      <c r="AF843" s="19" t="n">
        <v>-0.2382</v>
      </c>
      <c r="AG843" s="19" t="n">
        <v>0.0741</v>
      </c>
      <c r="AH843" s="23" t="n">
        <v>0.72</v>
      </c>
      <c r="AI843" s="23" t="n">
        <v>22.5</v>
      </c>
      <c r="AJ843" s="19" t="n">
        <v>0.0048</v>
      </c>
    </row>
    <row r="844">
      <c r="A844" s="16" t="inlineStr">
        <is>
          <t>SHARDAMOTR</t>
        </is>
      </c>
      <c r="B844" s="16" t="inlineStr">
        <is>
          <t>Sharda Motor Industries Ltd.</t>
        </is>
      </c>
      <c r="C844" s="16" t="inlineStr">
        <is>
          <t>Auto Parts &amp; Equipment</t>
        </is>
      </c>
      <c r="D844" s="16" t="inlineStr">
        <is>
          <t>Automobiles &amp; Auto Components</t>
        </is>
      </c>
      <c r="E844" s="16" t="inlineStr">
        <is>
          <t>INE597I01028</t>
        </is>
      </c>
      <c r="F844" s="17" t="n">
        <v>5063.07</v>
      </c>
      <c r="G844" s="18" t="n">
        <v>881.95</v>
      </c>
      <c r="H844" s="19" t="n">
        <v>0.0046</v>
      </c>
      <c r="I844" s="20" t="n">
        <v>40</v>
      </c>
      <c r="J844" s="16" t="inlineStr">
        <is>
          <t>red</t>
        </is>
      </c>
      <c r="K844" s="20" t="n">
        <v>129</v>
      </c>
      <c r="L844" s="18" t="n">
        <v>41.45</v>
      </c>
      <c r="M844" s="18" t="n">
        <v>880.76</v>
      </c>
      <c r="N844" s="18" t="n">
        <v>880.6799999999999</v>
      </c>
      <c r="O844" s="18" t="n">
        <v>876.24</v>
      </c>
      <c r="P844" s="18" t="n">
        <v>1174.4</v>
      </c>
      <c r="Q844" s="18" t="n">
        <v>708</v>
      </c>
      <c r="R844" s="21">
        <f>IF(OR(G844="",P844=""),"",G844/P844-1)</f>
        <v/>
      </c>
      <c r="S844" s="19" t="n">
        <v>0.3326</v>
      </c>
      <c r="T844" s="22" t="n">
        <v>-0.0186</v>
      </c>
      <c r="U844" s="16" t="inlineStr">
        <is>
          <t>No</t>
        </is>
      </c>
      <c r="V844" s="16" t="inlineStr">
        <is>
          <t>Yes</t>
        </is>
      </c>
      <c r="W844" s="16" t="inlineStr">
        <is>
          <t>Yes</t>
        </is>
      </c>
      <c r="X844" s="16" t="inlineStr">
        <is>
          <t>Yes</t>
        </is>
      </c>
      <c r="Y844" s="20" t="n">
        <v>3</v>
      </c>
      <c r="Z844" s="19" t="n">
        <v>0.0051</v>
      </c>
      <c r="AA844" s="18" t="n">
        <v>72.5</v>
      </c>
      <c r="AB844" s="16" t="inlineStr">
        <is>
          <t>High</t>
        </is>
      </c>
      <c r="AC844" s="16" t="inlineStr">
        <is>
          <t>No</t>
        </is>
      </c>
      <c r="AD844" s="19" t="n">
        <v>0.2898</v>
      </c>
      <c r="AE844" s="19" t="n">
        <v>0.3762</v>
      </c>
      <c r="AF844" s="19" t="n">
        <v>0.2636</v>
      </c>
      <c r="AG844" s="19" t="n">
        <v>0.0254</v>
      </c>
      <c r="AH844" s="23" t="n">
        <v>0.05</v>
      </c>
      <c r="AI844" s="23" t="n">
        <v>11.19</v>
      </c>
      <c r="AJ844" s="19" t="n">
        <v>0.1094</v>
      </c>
    </row>
    <row r="845">
      <c r="A845" s="16" t="inlineStr">
        <is>
          <t>MANINFRA</t>
        </is>
      </c>
      <c r="B845" s="16" t="inlineStr">
        <is>
          <t>Man Infraconstruction Ltd.</t>
        </is>
      </c>
      <c r="C845" s="16" t="inlineStr">
        <is>
          <t>Construction &amp; Engineering</t>
        </is>
      </c>
      <c r="D845" s="16" t="inlineStr">
        <is>
          <t>Cement and Construction</t>
        </is>
      </c>
      <c r="E845" s="16" t="inlineStr">
        <is>
          <t>INE949H01023</t>
        </is>
      </c>
      <c r="F845" s="17" t="n">
        <v>5037.76</v>
      </c>
      <c r="G845" s="18" t="n">
        <v>124.8</v>
      </c>
      <c r="H845" s="19" t="n">
        <v>0.0017</v>
      </c>
      <c r="I845" s="20" t="n">
        <v>44</v>
      </c>
      <c r="J845" s="16" t="inlineStr">
        <is>
          <t>red</t>
        </is>
      </c>
      <c r="K845" s="20" t="n">
        <v>401</v>
      </c>
      <c r="L845" s="18" t="n">
        <v>88.47</v>
      </c>
      <c r="M845" s="18" t="n">
        <v>121.58</v>
      </c>
      <c r="N845" s="18" t="n">
        <v>107.25</v>
      </c>
      <c r="O845" s="18" t="n">
        <v>111.42</v>
      </c>
      <c r="P845" s="18" t="n">
        <v>161.07</v>
      </c>
      <c r="Q845" s="18" t="n">
        <v>77.97</v>
      </c>
      <c r="R845" s="21">
        <f>IF(OR(G845="",P845=""),"",G845/P845-1)</f>
        <v/>
      </c>
      <c r="S845" s="19" t="n">
        <v>0.6823</v>
      </c>
      <c r="T845" s="22" t="n">
        <v>-0.022</v>
      </c>
      <c r="U845" s="16" t="inlineStr">
        <is>
          <t>No</t>
        </is>
      </c>
      <c r="V845" s="16" t="inlineStr">
        <is>
          <t>Yes</t>
        </is>
      </c>
      <c r="W845" s="16" t="inlineStr">
        <is>
          <t>Yes</t>
        </is>
      </c>
      <c r="X845" s="16" t="inlineStr">
        <is>
          <t>No</t>
        </is>
      </c>
      <c r="Y845" s="20" t="n">
        <v>371</v>
      </c>
      <c r="Z845" s="19" t="n">
        <v>-0.0375</v>
      </c>
      <c r="AA845" s="18" t="n">
        <v>40</v>
      </c>
      <c r="AB845" s="16" t="inlineStr">
        <is>
          <t>Weak</t>
        </is>
      </c>
      <c r="AC845" s="16" t="inlineStr">
        <is>
          <t>No</t>
        </is>
      </c>
      <c r="AD845" s="19" t="n">
        <v>0.1514</v>
      </c>
      <c r="AE845" s="19" t="n">
        <v>0.2047</v>
      </c>
      <c r="AF845" s="19" t="n">
        <v>-0.3001</v>
      </c>
      <c r="AG845" s="19" t="n">
        <v>-0.2917</v>
      </c>
      <c r="AH845" s="23" t="n">
        <v>0.03</v>
      </c>
      <c r="AI845" s="23" t="n">
        <v>11.53</v>
      </c>
      <c r="AJ845" s="19" t="n">
        <v>0.0202</v>
      </c>
    </row>
    <row r="846">
      <c r="A846" s="16" t="inlineStr">
        <is>
          <t>DEEPINDS</t>
        </is>
      </c>
      <c r="B846" s="16" t="inlineStr">
        <is>
          <t>Deep Industries Ltd.</t>
        </is>
      </c>
      <c r="C846" s="16" t="inlineStr">
        <is>
          <t>Oil Equipment &amp; Services</t>
        </is>
      </c>
      <c r="D846" s="16" t="inlineStr">
        <is>
          <t>Oil &amp; Gas</t>
        </is>
      </c>
      <c r="E846" s="16" t="inlineStr">
        <is>
          <t>INE0FHS01024</t>
        </is>
      </c>
      <c r="F846" s="17" t="n">
        <v>5033.28</v>
      </c>
      <c r="G846" s="18" t="n">
        <v>786.45</v>
      </c>
      <c r="H846" s="19" t="n">
        <v>0.0559</v>
      </c>
      <c r="I846" s="20" t="n">
        <v>91</v>
      </c>
      <c r="J846" s="16" t="inlineStr">
        <is>
          <t>green</t>
        </is>
      </c>
      <c r="K846" s="20" t="n">
        <v>26</v>
      </c>
      <c r="L846" s="18" t="n">
        <v>65.33</v>
      </c>
      <c r="M846" s="18" t="n">
        <v>698.28</v>
      </c>
      <c r="N846" s="18" t="n">
        <v>575.4299999999999</v>
      </c>
      <c r="O846" s="18" t="n">
        <v>468.16</v>
      </c>
      <c r="P846" s="18" t="n">
        <v>786.45</v>
      </c>
      <c r="Q846" s="18" t="n">
        <v>330.29</v>
      </c>
      <c r="R846" s="21">
        <f>IF(OR(G846="",P846=""),"",G846/P846-1)</f>
        <v/>
      </c>
      <c r="S846" s="19" t="n">
        <v>1.487</v>
      </c>
      <c r="T846" s="22" t="n">
        <v>0.04480000000000001</v>
      </c>
      <c r="U846" s="16" t="inlineStr">
        <is>
          <t>Yes</t>
        </is>
      </c>
      <c r="V846" s="16" t="inlineStr">
        <is>
          <t>Yes</t>
        </is>
      </c>
      <c r="W846" s="16" t="inlineStr">
        <is>
          <t>Yes</t>
        </is>
      </c>
      <c r="X846" s="16" t="inlineStr">
        <is>
          <t>Yes</t>
        </is>
      </c>
      <c r="Y846" s="20" t="n">
        <v>71</v>
      </c>
      <c r="Z846" s="19" t="n">
        <v>0.2291</v>
      </c>
      <c r="AA846" s="18" t="n">
        <v>46.98</v>
      </c>
      <c r="AB846" s="16" t="inlineStr">
        <is>
          <t>Average</t>
        </is>
      </c>
      <c r="AC846" s="16" t="inlineStr">
        <is>
          <t>No</t>
        </is>
      </c>
      <c r="AD846" s="19" t="n">
        <v>0.0421</v>
      </c>
      <c r="AE846" s="19" t="n">
        <v>0.0526</v>
      </c>
      <c r="AF846" s="19" t="n">
        <v>0.4244</v>
      </c>
      <c r="AG846" s="19" t="n">
        <v>0.3821</v>
      </c>
      <c r="AH846" s="23" t="n">
        <v>0.1</v>
      </c>
      <c r="AI846" s="23" t="n">
        <v>0.78</v>
      </c>
      <c r="AJ846" s="19" t="n">
        <v>0.0488</v>
      </c>
    </row>
    <row r="847">
      <c r="A847" s="16" t="inlineStr">
        <is>
          <t>WAKEFIT</t>
        </is>
      </c>
      <c r="B847" s="16" t="inlineStr">
        <is>
          <t>Wakefit Innovations Ltd.</t>
        </is>
      </c>
      <c r="C847" s="16" t="inlineStr">
        <is>
          <t>Furniture-Furnishing</t>
        </is>
      </c>
      <c r="D847" s="16" t="inlineStr">
        <is>
          <t>Diversified Consumer Services</t>
        </is>
      </c>
      <c r="E847" s="16" t="inlineStr">
        <is>
          <t>INE0E7301029</t>
        </is>
      </c>
      <c r="F847" s="17" t="n">
        <v>5026.08</v>
      </c>
      <c r="G847" s="18" t="n">
        <v>151.55</v>
      </c>
      <c r="H847" s="19" t="n">
        <v>0.0128</v>
      </c>
      <c r="I847" s="20" t="n">
        <v>61</v>
      </c>
      <c r="J847" s="16" t="inlineStr">
        <is>
          <t>amber</t>
        </is>
      </c>
      <c r="K847" s="20" t="n">
        <v>4</v>
      </c>
      <c r="L847" s="18" t="n">
        <v>78.88</v>
      </c>
      <c r="M847" s="18" t="n">
        <v>148.94</v>
      </c>
      <c r="N847" s="18" t="n">
        <v>131.87</v>
      </c>
      <c r="O847" s="18" t="n"/>
      <c r="P847" s="18" t="n">
        <v>215.8</v>
      </c>
      <c r="Q847" s="18" t="n">
        <v>113.04</v>
      </c>
      <c r="R847" s="21">
        <f>IF(OR(G847="",P847=""),"",G847/P847-1)</f>
        <v/>
      </c>
      <c r="S847" s="19" t="n">
        <v>0.7234</v>
      </c>
      <c r="T847" s="22" t="n"/>
      <c r="U847" s="16" t="n"/>
      <c r="V847" s="16" t="inlineStr">
        <is>
          <t>Yes</t>
        </is>
      </c>
      <c r="W847" s="16" t="inlineStr">
        <is>
          <t>Yes</t>
        </is>
      </c>
      <c r="X847" s="16" t="n"/>
      <c r="Y847" s="20" t="n"/>
      <c r="Z847" s="19" t="n"/>
      <c r="AA847" s="18" t="n">
        <v>40.29</v>
      </c>
      <c r="AB847" s="16" t="inlineStr">
        <is>
          <t>Average</t>
        </is>
      </c>
      <c r="AC847" s="16" t="inlineStr">
        <is>
          <t>No</t>
        </is>
      </c>
      <c r="AD847" s="19" t="n">
        <v>0.0241</v>
      </c>
      <c r="AE847" s="19" t="n">
        <v>0.0269</v>
      </c>
      <c r="AF847" s="19" t="n">
        <v>0.1903</v>
      </c>
      <c r="AG847" s="19" t="n">
        <v>0.2332</v>
      </c>
      <c r="AH847" s="23" t="n">
        <v>0.24</v>
      </c>
      <c r="AI847" s="23" t="n">
        <v>3.82</v>
      </c>
      <c r="AJ847" s="19" t="n">
        <v>0.0043</v>
      </c>
    </row>
    <row r="848">
      <c r="A848" s="16" t="inlineStr">
        <is>
          <t>CRAMC</t>
        </is>
      </c>
      <c r="B848" s="16" t="inlineStr">
        <is>
          <t>Canara Robeco Asset Management Company Ltd.</t>
        </is>
      </c>
      <c r="C848" s="16" t="inlineStr">
        <is>
          <t>Asset Management Cos.</t>
        </is>
      </c>
      <c r="D848" s="16" t="inlineStr">
        <is>
          <t>Banking and Finance</t>
        </is>
      </c>
      <c r="E848" s="16" t="inlineStr">
        <is>
          <t>INE218I01013</t>
        </is>
      </c>
      <c r="F848" s="17" t="n">
        <v>5015.35</v>
      </c>
      <c r="G848" s="18" t="n">
        <v>251.5</v>
      </c>
      <c r="H848" s="19" t="n">
        <v>0.0012</v>
      </c>
      <c r="I848" s="20" t="n">
        <v>43</v>
      </c>
      <c r="J848" s="16" t="inlineStr">
        <is>
          <t>red</t>
        </is>
      </c>
      <c r="K848" s="20" t="n">
        <v>159</v>
      </c>
      <c r="L848" s="18" t="n">
        <v>47.08</v>
      </c>
      <c r="M848" s="18" t="n">
        <v>256.2</v>
      </c>
      <c r="N848" s="18" t="n">
        <v>257.18</v>
      </c>
      <c r="O848" s="18" t="n">
        <v>259.86</v>
      </c>
      <c r="P848" s="18" t="n">
        <v>345.56</v>
      </c>
      <c r="Q848" s="18" t="n">
        <v>215.19</v>
      </c>
      <c r="R848" s="21">
        <f>IF(OR(G848="",P848=""),"",G848/P848-1)</f>
        <v/>
      </c>
      <c r="S848" s="19" t="n">
        <v>0.6151</v>
      </c>
      <c r="T848" s="22" t="n">
        <v>-0.0199</v>
      </c>
      <c r="U848" s="16" t="inlineStr">
        <is>
          <t>No</t>
        </is>
      </c>
      <c r="V848" s="16" t="inlineStr">
        <is>
          <t>No</t>
        </is>
      </c>
      <c r="W848" s="16" t="inlineStr">
        <is>
          <t>No</t>
        </is>
      </c>
      <c r="X848" s="16" t="inlineStr">
        <is>
          <t>No</t>
        </is>
      </c>
      <c r="Y848" s="20" t="n">
        <v>24</v>
      </c>
      <c r="Z848" s="19" t="n">
        <v>-0.0103</v>
      </c>
      <c r="AA848" s="18" t="n">
        <v>71.12</v>
      </c>
      <c r="AB848" s="16" t="inlineStr">
        <is>
          <t>High</t>
        </is>
      </c>
      <c r="AC848" s="16" t="inlineStr">
        <is>
          <t>Yes</t>
        </is>
      </c>
      <c r="AD848" s="19" t="n">
        <v>0.2956</v>
      </c>
      <c r="AE848" s="19" t="n">
        <v>0.3623</v>
      </c>
      <c r="AF848" s="19" t="n">
        <v>0.06900000000000001</v>
      </c>
      <c r="AG848" s="19" t="n">
        <v>0.1657</v>
      </c>
      <c r="AH848" s="23" t="n">
        <v>0.02</v>
      </c>
      <c r="AI848" s="23" t="n">
        <v>25.93</v>
      </c>
      <c r="AJ848" s="19" t="n">
        <v>0</v>
      </c>
    </row>
    <row r="849">
      <c r="A849" s="16" t="inlineStr">
        <is>
          <t>CMRGREEN</t>
        </is>
      </c>
      <c r="B849" s="16" t="inlineStr">
        <is>
          <t>CMR Green Technologies Ltd.</t>
        </is>
      </c>
      <c r="C849" s="16" t="inlineStr">
        <is>
          <t>Aluminium and Aluminium Products</t>
        </is>
      </c>
      <c r="D849" s="16" t="inlineStr">
        <is>
          <t>Metals &amp; Mining</t>
        </is>
      </c>
      <c r="E849" s="16" t="inlineStr">
        <is>
          <t>INE00WV01027</t>
        </is>
      </c>
      <c r="F849" s="17" t="n">
        <v>5001.91</v>
      </c>
      <c r="G849" s="18" t="n">
        <v>228.34</v>
      </c>
      <c r="H849" s="19" t="n">
        <v>-0.0104</v>
      </c>
      <c r="I849" s="20" t="n"/>
      <c r="J849" s="16" t="n"/>
      <c r="K849" s="20" t="n"/>
      <c r="L849" s="18" t="n">
        <v>64.77</v>
      </c>
      <c r="M849" s="18" t="n">
        <v>226.25</v>
      </c>
      <c r="N849" s="18" t="n">
        <v>224.26</v>
      </c>
      <c r="O849" s="18" t="n"/>
      <c r="P849" s="18" t="n">
        <v>258.95</v>
      </c>
      <c r="Q849" s="18" t="n">
        <v>211.99</v>
      </c>
      <c r="R849" s="21">
        <f>IF(OR(G849="",P849=""),"",G849/P849-1)</f>
        <v/>
      </c>
      <c r="S849" s="19" t="n">
        <v>0.3527</v>
      </c>
      <c r="T849" s="22" t="n"/>
      <c r="U849" s="16" t="n"/>
      <c r="V849" s="16" t="inlineStr">
        <is>
          <t>Yes</t>
        </is>
      </c>
      <c r="W849" s="16" t="inlineStr">
        <is>
          <t>Yes</t>
        </is>
      </c>
      <c r="X849" s="16" t="n"/>
      <c r="Y849" s="20" t="n"/>
      <c r="Z849" s="19" t="n"/>
      <c r="AA849" s="18" t="n">
        <v>23.16</v>
      </c>
      <c r="AB849" s="16" t="inlineStr">
        <is>
          <t>Poor</t>
        </is>
      </c>
      <c r="AC849" s="16" t="inlineStr">
        <is>
          <t>No</t>
        </is>
      </c>
      <c r="AD849" s="19" t="n">
        <v>-0.1784</v>
      </c>
      <c r="AE849" s="19" t="n">
        <v>-0.1363</v>
      </c>
      <c r="AF849" s="19" t="n">
        <v>-4.3206</v>
      </c>
      <c r="AG849" s="19" t="n">
        <v>0.1008</v>
      </c>
      <c r="AH849" s="23" t="n">
        <v>0.67</v>
      </c>
      <c r="AI849" s="23" t="n">
        <v>6.34</v>
      </c>
      <c r="AJ849" s="19" t="n">
        <v>0.2153</v>
      </c>
    </row>
    <row r="850">
      <c r="A850" s="16" t="inlineStr">
        <is>
          <t>YASHO</t>
        </is>
      </c>
      <c r="B850" s="16" t="inlineStr">
        <is>
          <t>Yasho Industries Ltd.</t>
        </is>
      </c>
      <c r="C850" s="16" t="inlineStr">
        <is>
          <t>Specialty Chemicals</t>
        </is>
      </c>
      <c r="D850" s="16" t="inlineStr">
        <is>
          <t>Chemicals &amp; Petrochemicals</t>
        </is>
      </c>
      <c r="E850" s="16" t="inlineStr">
        <is>
          <t>INE616Z01012</t>
        </is>
      </c>
      <c r="F850" s="17" t="n">
        <v>4984.53</v>
      </c>
      <c r="G850" s="18" t="n">
        <v>4134.1</v>
      </c>
      <c r="H850" s="19" t="n">
        <v>0.0205</v>
      </c>
      <c r="I850" s="20" t="n">
        <v>96</v>
      </c>
      <c r="J850" s="16" t="inlineStr">
        <is>
          <t>green</t>
        </is>
      </c>
      <c r="K850" s="20" t="n">
        <v>78</v>
      </c>
      <c r="L850" s="18" t="n">
        <v>44.79</v>
      </c>
      <c r="M850" s="18" t="n">
        <v>4230.4</v>
      </c>
      <c r="N850" s="18" t="n">
        <v>3668.26</v>
      </c>
      <c r="O850" s="18" t="n">
        <v>2157.61</v>
      </c>
      <c r="P850" s="18" t="n">
        <v>4915.8</v>
      </c>
      <c r="Q850" s="18" t="n">
        <v>1165.51</v>
      </c>
      <c r="R850" s="21">
        <f>IF(OR(G850="",P850=""),"",G850/P850-1)</f>
        <v/>
      </c>
      <c r="S850" s="19" t="n">
        <v>0.4493</v>
      </c>
      <c r="T850" s="22" t="n">
        <v>0.1418</v>
      </c>
      <c r="U850" s="16" t="inlineStr">
        <is>
          <t>Yes</t>
        </is>
      </c>
      <c r="V850" s="16" t="inlineStr">
        <is>
          <t>Yes</t>
        </is>
      </c>
      <c r="W850" s="16" t="inlineStr">
        <is>
          <t>No</t>
        </is>
      </c>
      <c r="X850" s="16" t="inlineStr">
        <is>
          <t>Yes</t>
        </is>
      </c>
      <c r="Y850" s="20" t="n">
        <v>72</v>
      </c>
      <c r="Z850" s="19" t="n">
        <v>0.7001999999999999</v>
      </c>
      <c r="AA850" s="18" t="n">
        <v>33.08</v>
      </c>
      <c r="AB850" s="16" t="inlineStr">
        <is>
          <t>Poor</t>
        </is>
      </c>
      <c r="AC850" s="16" t="inlineStr">
        <is>
          <t>No</t>
        </is>
      </c>
      <c r="AD850" s="19" t="n">
        <v>0.08929999999999999</v>
      </c>
      <c r="AE850" s="19" t="n">
        <v>0.0837</v>
      </c>
      <c r="AF850" s="19" t="n">
        <v>0.6321</v>
      </c>
      <c r="AG850" s="19" t="n">
        <v>0.0751</v>
      </c>
      <c r="AH850" s="23" t="n">
        <v>1.25</v>
      </c>
      <c r="AI850" s="23" t="n">
        <v>1.28</v>
      </c>
      <c r="AJ850" s="19" t="n">
        <v>0.0159</v>
      </c>
    </row>
    <row r="851">
      <c r="A851" s="16" t="inlineStr">
        <is>
          <t>DEEDEV</t>
        </is>
      </c>
      <c r="B851" s="16" t="inlineStr">
        <is>
          <t>DEE Development Engineers Ltd.</t>
        </is>
      </c>
      <c r="C851" s="16" t="inlineStr">
        <is>
          <t>Construction &amp; Engineering</t>
        </is>
      </c>
      <c r="D851" s="16" t="inlineStr">
        <is>
          <t>Cement and Construction</t>
        </is>
      </c>
      <c r="E851" s="16" t="inlineStr">
        <is>
          <t>INE841L01016</t>
        </is>
      </c>
      <c r="F851" s="17" t="n">
        <v>4952.63</v>
      </c>
      <c r="G851" s="18" t="n">
        <v>658.25</v>
      </c>
      <c r="H851" s="19" t="n">
        <v>0.0191</v>
      </c>
      <c r="I851" s="20" t="n">
        <v>95</v>
      </c>
      <c r="J851" s="16" t="inlineStr">
        <is>
          <t>green</t>
        </is>
      </c>
      <c r="K851" s="20" t="n">
        <v>115</v>
      </c>
      <c r="L851" s="18" t="n">
        <v>51.78</v>
      </c>
      <c r="M851" s="18" t="n">
        <v>629.63</v>
      </c>
      <c r="N851" s="18" t="n">
        <v>658.41</v>
      </c>
      <c r="O851" s="18" t="n">
        <v>423.73</v>
      </c>
      <c r="P851" s="18" t="n">
        <v>738.75</v>
      </c>
      <c r="Q851" s="18" t="n">
        <v>184.78</v>
      </c>
      <c r="R851" s="21">
        <f>IF(OR(G851="",P851=""),"",G851/P851-1)</f>
        <v/>
      </c>
      <c r="S851" s="19" t="n">
        <v>1.5913</v>
      </c>
      <c r="T851" s="22" t="n">
        <v>0.1008</v>
      </c>
      <c r="U851" s="16" t="inlineStr">
        <is>
          <t>Yes</t>
        </is>
      </c>
      <c r="V851" s="16" t="inlineStr">
        <is>
          <t>No</t>
        </is>
      </c>
      <c r="W851" s="16" t="inlineStr">
        <is>
          <t>Yes</t>
        </is>
      </c>
      <c r="X851" s="16" t="inlineStr">
        <is>
          <t>Yes</t>
        </is>
      </c>
      <c r="Y851" s="20" t="n">
        <v>104</v>
      </c>
      <c r="Z851" s="19" t="n">
        <v>0.5539000000000001</v>
      </c>
      <c r="AA851" s="18" t="n">
        <v>45.58</v>
      </c>
      <c r="AB851" s="16" t="inlineStr">
        <is>
          <t>Average</t>
        </is>
      </c>
      <c r="AC851" s="16" t="inlineStr">
        <is>
          <t>No</t>
        </is>
      </c>
      <c r="AD851" s="19" t="n">
        <v>0.05019999999999999</v>
      </c>
      <c r="AE851" s="19" t="n">
        <v>0.0612</v>
      </c>
      <c r="AF851" s="19" t="n">
        <v>6.345499999999999</v>
      </c>
      <c r="AG851" s="19" t="n">
        <v>3.9173</v>
      </c>
      <c r="AH851" s="23" t="n">
        <v>0.79</v>
      </c>
      <c r="AI851" s="23" t="n">
        <v>1.58</v>
      </c>
      <c r="AJ851" s="19" t="n">
        <v>0.1106</v>
      </c>
    </row>
    <row r="852">
      <c r="A852" s="16" t="inlineStr">
        <is>
          <t>BOSCH-HCIL</t>
        </is>
      </c>
      <c r="B852" s="16" t="inlineStr">
        <is>
          <t>Bosch Home Comfort India Ltd.</t>
        </is>
      </c>
      <c r="C852" s="16" t="inlineStr">
        <is>
          <t>Consumer Electronics</t>
        </is>
      </c>
      <c r="D852" s="16" t="inlineStr">
        <is>
          <t>Consumer Durables</t>
        </is>
      </c>
      <c r="E852" s="16" t="inlineStr">
        <is>
          <t>INE782A01015</t>
        </is>
      </c>
      <c r="F852" s="17" t="n">
        <v>4945.48</v>
      </c>
      <c r="G852" s="18" t="n">
        <v>1818.8</v>
      </c>
      <c r="H852" s="19" t="n">
        <v>0.0231</v>
      </c>
      <c r="I852" s="20" t="n">
        <v>71</v>
      </c>
      <c r="J852" s="16" t="inlineStr">
        <is>
          <t>amber</t>
        </is>
      </c>
      <c r="K852" s="20" t="n">
        <v>6</v>
      </c>
      <c r="L852" s="18" t="n">
        <v>63.7</v>
      </c>
      <c r="M852" s="18" t="n">
        <v>1734.59</v>
      </c>
      <c r="N852" s="18" t="n">
        <v>1510.52</v>
      </c>
      <c r="O852" s="18" t="n">
        <v>1422.28</v>
      </c>
      <c r="P852" s="18" t="n">
        <v>1818.8</v>
      </c>
      <c r="Q852" s="18" t="n">
        <v>1049.1</v>
      </c>
      <c r="R852" s="21">
        <f>IF(OR(G852="",P852=""),"",G852/P852-1)</f>
        <v/>
      </c>
      <c r="S852" s="19" t="n">
        <v>0.9853000000000001</v>
      </c>
      <c r="T852" s="22" t="n">
        <v>-0.0013</v>
      </c>
      <c r="U852" s="16" t="inlineStr">
        <is>
          <t>No</t>
        </is>
      </c>
      <c r="V852" s="16" t="inlineStr">
        <is>
          <t>Yes</t>
        </is>
      </c>
      <c r="W852" s="16" t="inlineStr">
        <is>
          <t>Yes</t>
        </is>
      </c>
      <c r="X852" s="16" t="inlineStr">
        <is>
          <t>Yes</t>
        </is>
      </c>
      <c r="Y852" s="20" t="n">
        <v>12</v>
      </c>
      <c r="Z852" s="19" t="n">
        <v>0.062</v>
      </c>
      <c r="AA852" s="18" t="n">
        <v>40.84</v>
      </c>
      <c r="AB852" s="16" t="inlineStr">
        <is>
          <t>Average</t>
        </is>
      </c>
      <c r="AC852" s="16" t="inlineStr">
        <is>
          <t>No</t>
        </is>
      </c>
      <c r="AD852" s="19" t="n">
        <v>-0.0146</v>
      </c>
      <c r="AE852" s="19" t="n">
        <v>0.005699999999999999</v>
      </c>
      <c r="AF852" s="19" t="n">
        <v>0.2855</v>
      </c>
      <c r="AG852" s="19" t="n">
        <v>0.07919999999999999</v>
      </c>
      <c r="AH852" s="23" t="n">
        <v>0.16</v>
      </c>
      <c r="AI852" s="23" t="n">
        <v>7.11</v>
      </c>
      <c r="AJ852" s="19" t="n">
        <v>0.1804</v>
      </c>
    </row>
    <row r="853">
      <c r="A853" s="16" t="inlineStr">
        <is>
          <t>RAYMOND</t>
        </is>
      </c>
      <c r="B853" s="16" t="inlineStr">
        <is>
          <t>Raymond Ltd.</t>
        </is>
      </c>
      <c r="C853" s="16" t="inlineStr">
        <is>
          <t>Industrial Machinery</t>
        </is>
      </c>
      <c r="D853" s="16" t="inlineStr">
        <is>
          <t>General Industrials</t>
        </is>
      </c>
      <c r="E853" s="16" t="inlineStr">
        <is>
          <t>INE301A01014</t>
        </is>
      </c>
      <c r="F853" s="17" t="n">
        <v>4932.11</v>
      </c>
      <c r="G853" s="18" t="n">
        <v>740.85</v>
      </c>
      <c r="H853" s="19" t="n">
        <v>-0.0225</v>
      </c>
      <c r="I853" s="20" t="n">
        <v>85</v>
      </c>
      <c r="J853" s="16" t="inlineStr">
        <is>
          <t>green</t>
        </is>
      </c>
      <c r="K853" s="20" t="n">
        <v>3</v>
      </c>
      <c r="L853" s="18" t="n">
        <v>68.02</v>
      </c>
      <c r="M853" s="18" t="n">
        <v>661.88</v>
      </c>
      <c r="N853" s="18" t="n">
        <v>620.71</v>
      </c>
      <c r="O853" s="18" t="n">
        <v>489.07</v>
      </c>
      <c r="P853" s="18" t="n">
        <v>757.9</v>
      </c>
      <c r="Q853" s="18" t="n">
        <v>321.85</v>
      </c>
      <c r="R853" s="21">
        <f>IF(OR(G853="",P853=""),"",G853/P853-1)</f>
        <v/>
      </c>
      <c r="S853" s="19" t="n">
        <v>1.6247</v>
      </c>
      <c r="T853" s="22" t="n">
        <v>0.0185</v>
      </c>
      <c r="U853" s="16" t="inlineStr">
        <is>
          <t>Yes</t>
        </is>
      </c>
      <c r="V853" s="16" t="inlineStr">
        <is>
          <t>Yes</t>
        </is>
      </c>
      <c r="W853" s="16" t="inlineStr">
        <is>
          <t>Yes</t>
        </is>
      </c>
      <c r="X853" s="16" t="inlineStr">
        <is>
          <t>Yes</t>
        </is>
      </c>
      <c r="Y853" s="20" t="n">
        <v>60</v>
      </c>
      <c r="Z853" s="19" t="n">
        <v>0.2692</v>
      </c>
      <c r="AA853" s="18" t="n">
        <v>50.32</v>
      </c>
      <c r="AB853" s="16" t="inlineStr">
        <is>
          <t>Average</t>
        </is>
      </c>
      <c r="AC853" s="16" t="inlineStr">
        <is>
          <t>No</t>
        </is>
      </c>
      <c r="AD853" s="19" t="n">
        <v>1.4288</v>
      </c>
      <c r="AE853" s="19" t="n">
        <v>0.0121</v>
      </c>
      <c r="AF853" s="19" t="n">
        <v>1.8181</v>
      </c>
      <c r="AG853" s="19" t="n">
        <v>0.08599999999999999</v>
      </c>
      <c r="AH853" s="23" t="n">
        <v>0.37</v>
      </c>
      <c r="AI853" s="23" t="n">
        <v>2.35</v>
      </c>
      <c r="AJ853" s="19" t="n">
        <v>0.0675</v>
      </c>
    </row>
    <row r="854">
      <c r="A854" s="16" t="inlineStr">
        <is>
          <t>BANSALWIRE</t>
        </is>
      </c>
      <c r="B854" s="16" t="inlineStr">
        <is>
          <t>Bansal Wire Industries Ltd.</t>
        </is>
      </c>
      <c r="C854" s="16" t="inlineStr">
        <is>
          <t>Iron &amp; Steel Products</t>
        </is>
      </c>
      <c r="D854" s="16" t="inlineStr">
        <is>
          <t>Metals &amp; Mining</t>
        </is>
      </c>
      <c r="E854" s="16" t="inlineStr">
        <is>
          <t>INE0B9K01025</t>
        </is>
      </c>
      <c r="F854" s="17" t="n">
        <v>4931.51</v>
      </c>
      <c r="G854" s="18" t="n">
        <v>315</v>
      </c>
      <c r="H854" s="19" t="n">
        <v>-0.0125</v>
      </c>
      <c r="I854" s="20" t="n">
        <v>46</v>
      </c>
      <c r="J854" s="16" t="inlineStr">
        <is>
          <t>red</t>
        </is>
      </c>
      <c r="K854" s="20" t="n">
        <v>43</v>
      </c>
      <c r="L854" s="18" t="n">
        <v>32.81</v>
      </c>
      <c r="M854" s="18" t="n">
        <v>318.2</v>
      </c>
      <c r="N854" s="18" t="n">
        <v>324.61</v>
      </c>
      <c r="O854" s="18" t="n">
        <v>300.41</v>
      </c>
      <c r="P854" s="18" t="n">
        <v>369</v>
      </c>
      <c r="Q854" s="18" t="n">
        <v>224.95</v>
      </c>
      <c r="R854" s="21">
        <f>IF(OR(G854="",P854=""),"",G854/P854-1)</f>
        <v/>
      </c>
      <c r="S854" s="19" t="n">
        <v>0.5540999999999999</v>
      </c>
      <c r="T854" s="22" t="n">
        <v>0.0018</v>
      </c>
      <c r="U854" s="16" t="inlineStr">
        <is>
          <t>Yes</t>
        </is>
      </c>
      <c r="V854" s="16" t="inlineStr">
        <is>
          <t>No</t>
        </is>
      </c>
      <c r="W854" s="16" t="inlineStr">
        <is>
          <t>No</t>
        </is>
      </c>
      <c r="X854" s="16" t="inlineStr">
        <is>
          <t>Yes</t>
        </is>
      </c>
      <c r="Y854" s="20" t="n">
        <v>58</v>
      </c>
      <c r="Z854" s="19" t="n">
        <v>0.0806</v>
      </c>
      <c r="AA854" s="18" t="n">
        <v>57.21</v>
      </c>
      <c r="AB854" s="16" t="inlineStr">
        <is>
          <t>Good</t>
        </is>
      </c>
      <c r="AC854" s="16" t="inlineStr">
        <is>
          <t>No</t>
        </is>
      </c>
      <c r="AD854" s="19" t="n">
        <v>0.1336</v>
      </c>
      <c r="AE854" s="19" t="n">
        <v>0.129</v>
      </c>
      <c r="AF854" s="19" t="n">
        <v>0.4513</v>
      </c>
      <c r="AG854" s="19" t="n">
        <v>0.2137</v>
      </c>
      <c r="AH854" s="23" t="n">
        <v>0.39</v>
      </c>
      <c r="AI854" s="23" t="n">
        <v>3.98</v>
      </c>
      <c r="AJ854" s="19" t="n">
        <v>0.2046</v>
      </c>
    </row>
    <row r="855">
      <c r="A855" s="16" t="inlineStr">
        <is>
          <t>REMAGNET</t>
        </is>
      </c>
      <c r="B855" s="16" t="inlineStr">
        <is>
          <t>Midwest Energy Ltd.</t>
        </is>
      </c>
      <c r="C855" s="16" t="inlineStr">
        <is>
          <t>Coal &amp; Mining</t>
        </is>
      </c>
      <c r="D855" s="16" t="inlineStr">
        <is>
          <t>Metals &amp; Mining</t>
        </is>
      </c>
      <c r="E855" s="16" t="inlineStr">
        <is>
          <t>INE519N01014</t>
        </is>
      </c>
      <c r="F855" s="17" t="n">
        <v>4920.61</v>
      </c>
      <c r="G855" s="18" t="n">
        <v>3793.2</v>
      </c>
      <c r="H855" s="19" t="n">
        <v>-0.0167</v>
      </c>
      <c r="I855" s="20" t="n">
        <v>57</v>
      </c>
      <c r="J855" s="16" t="inlineStr">
        <is>
          <t>red</t>
        </is>
      </c>
      <c r="K855" s="20" t="n">
        <v>2</v>
      </c>
      <c r="L855" s="18" t="n">
        <v>63.19</v>
      </c>
      <c r="M855" s="18" t="n">
        <v>3953.81</v>
      </c>
      <c r="N855" s="18" t="n">
        <v>3802.75</v>
      </c>
      <c r="O855" s="18" t="n">
        <v>4208.85</v>
      </c>
      <c r="P855" s="18" t="n">
        <v>5710.1</v>
      </c>
      <c r="Q855" s="18" t="n">
        <v>1861.25</v>
      </c>
      <c r="R855" s="21">
        <f>IF(OR(G855="",P855=""),"",G855/P855-1)</f>
        <v/>
      </c>
      <c r="S855" s="19" t="n">
        <v>0.3683</v>
      </c>
      <c r="T855" s="22" t="n">
        <v>0.03</v>
      </c>
      <c r="U855" s="16" t="inlineStr">
        <is>
          <t>Yes</t>
        </is>
      </c>
      <c r="V855" s="16" t="inlineStr">
        <is>
          <t>No</t>
        </is>
      </c>
      <c r="W855" s="16" t="inlineStr">
        <is>
          <t>No</t>
        </is>
      </c>
      <c r="X855" s="16" t="inlineStr">
        <is>
          <t>No</t>
        </is>
      </c>
      <c r="Y855" s="20" t="n">
        <v>24</v>
      </c>
      <c r="Z855" s="19" t="n">
        <v>-0.0965</v>
      </c>
      <c r="AA855" s="18" t="n"/>
      <c r="AB855" s="16" t="n"/>
      <c r="AC855" s="16" t="inlineStr">
        <is>
          <t>No</t>
        </is>
      </c>
      <c r="AD855" s="19" t="n"/>
      <c r="AE855" s="19" t="n"/>
      <c r="AF855" s="19" t="n"/>
      <c r="AG855" s="19" t="n"/>
      <c r="AH855" s="23" t="n"/>
      <c r="AI855" s="23" t="n"/>
      <c r="AJ855" s="19" t="n"/>
    </row>
    <row r="856">
      <c r="A856" s="16" t="inlineStr">
        <is>
          <t>NORTHARC</t>
        </is>
      </c>
      <c r="B856" s="16" t="inlineStr">
        <is>
          <t>Northern Arc Capital Ltd.</t>
        </is>
      </c>
      <c r="C856" s="16" t="inlineStr">
        <is>
          <t>Finance (including NBFCs)</t>
        </is>
      </c>
      <c r="D856" s="16" t="inlineStr">
        <is>
          <t>Banking and Finance</t>
        </is>
      </c>
      <c r="E856" s="16" t="inlineStr">
        <is>
          <t>INE850M01015</t>
        </is>
      </c>
      <c r="F856" s="17" t="n">
        <v>4884.67</v>
      </c>
      <c r="G856" s="18" t="n">
        <v>302.15</v>
      </c>
      <c r="H856" s="19" t="n">
        <v>-0.008</v>
      </c>
      <c r="I856" s="20" t="n">
        <v>60</v>
      </c>
      <c r="J856" s="16" t="inlineStr">
        <is>
          <t>amber</t>
        </is>
      </c>
      <c r="K856" s="20" t="n">
        <v>5</v>
      </c>
      <c r="L856" s="18" t="n">
        <v>62.43</v>
      </c>
      <c r="M856" s="18" t="n">
        <v>297.89</v>
      </c>
      <c r="N856" s="18" t="n">
        <v>296.21</v>
      </c>
      <c r="O856" s="18" t="n">
        <v>269.09</v>
      </c>
      <c r="P856" s="18" t="n">
        <v>325.3</v>
      </c>
      <c r="Q856" s="18" t="n">
        <v>206.85</v>
      </c>
      <c r="R856" s="21">
        <f>IF(OR(G856="",P856=""),"",G856/P856-1)</f>
        <v/>
      </c>
      <c r="S856" s="19" t="n">
        <v>0.5447</v>
      </c>
      <c r="T856" s="22" t="n">
        <v>0.008100000000000001</v>
      </c>
      <c r="U856" s="16" t="inlineStr">
        <is>
          <t>Yes</t>
        </is>
      </c>
      <c r="V856" s="16" t="inlineStr">
        <is>
          <t>Yes</t>
        </is>
      </c>
      <c r="W856" s="16" t="inlineStr">
        <is>
          <t>Yes</t>
        </is>
      </c>
      <c r="X856" s="16" t="inlineStr">
        <is>
          <t>Yes</t>
        </is>
      </c>
      <c r="Y856" s="20" t="n">
        <v>69</v>
      </c>
      <c r="Z856" s="19" t="n">
        <v>0.1008</v>
      </c>
      <c r="AA856" s="18" t="n">
        <v>46.5</v>
      </c>
      <c r="AB856" s="16" t="inlineStr">
        <is>
          <t>Average</t>
        </is>
      </c>
      <c r="AC856" s="16" t="inlineStr">
        <is>
          <t>Yes</t>
        </is>
      </c>
      <c r="AD856" s="19" t="n">
        <v>0.1087</v>
      </c>
      <c r="AE856" s="19" t="n">
        <v>0.0332</v>
      </c>
      <c r="AF856" s="19" t="n">
        <v>0.1868</v>
      </c>
      <c r="AG856" s="19" t="n">
        <v>0.3129</v>
      </c>
      <c r="AH856" s="23" t="n">
        <v>3.15</v>
      </c>
      <c r="AI856" s="23" t="n">
        <v>70.53</v>
      </c>
      <c r="AJ856" s="19" t="n">
        <v>0</v>
      </c>
    </row>
    <row r="857">
      <c r="A857" s="16" t="inlineStr">
        <is>
          <t>UFLEX</t>
        </is>
      </c>
      <c r="B857" s="16" t="inlineStr">
        <is>
          <t>Uflex Ltd.</t>
        </is>
      </c>
      <c r="C857" s="16" t="inlineStr">
        <is>
          <t>Containers &amp; Packaging</t>
        </is>
      </c>
      <c r="D857" s="16" t="inlineStr">
        <is>
          <t>Commercial Services &amp; Supplies</t>
        </is>
      </c>
      <c r="E857" s="16" t="inlineStr">
        <is>
          <t>INE516A01017</t>
        </is>
      </c>
      <c r="F857" s="17" t="n">
        <v>4878.61</v>
      </c>
      <c r="G857" s="18" t="n">
        <v>675.6</v>
      </c>
      <c r="H857" s="19" t="n">
        <v>-0.0162</v>
      </c>
      <c r="I857" s="20" t="n">
        <v>85</v>
      </c>
      <c r="J857" s="16" t="inlineStr">
        <is>
          <t>green</t>
        </is>
      </c>
      <c r="K857" s="20" t="n">
        <v>10</v>
      </c>
      <c r="L857" s="18" t="n">
        <v>69.09999999999999</v>
      </c>
      <c r="M857" s="18" t="n">
        <v>659.26</v>
      </c>
      <c r="N857" s="18" t="n">
        <v>513.02</v>
      </c>
      <c r="O857" s="18" t="n">
        <v>460.46</v>
      </c>
      <c r="P857" s="18" t="n">
        <v>701.8</v>
      </c>
      <c r="Q857" s="18" t="n">
        <v>332.03</v>
      </c>
      <c r="R857" s="21">
        <f>IF(OR(G857="",P857=""),"",G857/P857-1)</f>
        <v/>
      </c>
      <c r="S857" s="19" t="n">
        <v>0.2756</v>
      </c>
      <c r="T857" s="22" t="n">
        <v>0.0148</v>
      </c>
      <c r="U857" s="16" t="inlineStr">
        <is>
          <t>Yes</t>
        </is>
      </c>
      <c r="V857" s="16" t="inlineStr">
        <is>
          <t>Yes</t>
        </is>
      </c>
      <c r="W857" s="16" t="inlineStr">
        <is>
          <t>Yes</t>
        </is>
      </c>
      <c r="X857" s="16" t="inlineStr">
        <is>
          <t>Yes</t>
        </is>
      </c>
      <c r="Y857" s="20" t="n">
        <v>14</v>
      </c>
      <c r="Z857" s="19" t="n">
        <v>0.1141</v>
      </c>
      <c r="AA857" s="18" t="n">
        <v>18.83</v>
      </c>
      <c r="AB857" s="16" t="inlineStr">
        <is>
          <t>Poor</t>
        </is>
      </c>
      <c r="AC857" s="16" t="inlineStr">
        <is>
          <t>No</t>
        </is>
      </c>
      <c r="AD857" s="19" t="n">
        <v>-0.0125</v>
      </c>
      <c r="AE857" s="19" t="n">
        <v>0.0373</v>
      </c>
      <c r="AF857" s="19" t="n">
        <v>-0.0012</v>
      </c>
      <c r="AG857" s="19" t="n">
        <v>0.0175</v>
      </c>
      <c r="AH857" s="23" t="n">
        <v>1.25</v>
      </c>
      <c r="AI857" s="23" t="n">
        <v>1.23</v>
      </c>
      <c r="AJ857" s="19" t="n">
        <v>0.2246</v>
      </c>
    </row>
    <row r="858">
      <c r="A858" s="16" t="inlineStr">
        <is>
          <t>JUNIPER</t>
        </is>
      </c>
      <c r="B858" s="16" t="inlineStr">
        <is>
          <t>Juniper Hotels Ltd.</t>
        </is>
      </c>
      <c r="C858" s="16" t="inlineStr">
        <is>
          <t>Hotels</t>
        </is>
      </c>
      <c r="D858" s="16" t="inlineStr">
        <is>
          <t>Hotels Restaurants &amp; Tourism</t>
        </is>
      </c>
      <c r="E858" s="16" t="inlineStr">
        <is>
          <t>INE696F01016</t>
        </is>
      </c>
      <c r="F858" s="17" t="n">
        <v>4824.3</v>
      </c>
      <c r="G858" s="18" t="n">
        <v>216.82</v>
      </c>
      <c r="H858" s="19" t="n">
        <v>-0.004</v>
      </c>
      <c r="I858" s="20" t="n">
        <v>36</v>
      </c>
      <c r="J858" s="16" t="inlineStr">
        <is>
          <t>red</t>
        </is>
      </c>
      <c r="K858" s="20" t="n">
        <v>320</v>
      </c>
      <c r="L858" s="18" t="n">
        <v>86.55</v>
      </c>
      <c r="M858" s="18" t="n">
        <v>215.52</v>
      </c>
      <c r="N858" s="18" t="n">
        <v>200.22</v>
      </c>
      <c r="O858" s="18" t="n">
        <v>215.8</v>
      </c>
      <c r="P858" s="18" t="n">
        <v>306.75</v>
      </c>
      <c r="Q858" s="18" t="n">
        <v>189.94</v>
      </c>
      <c r="R858" s="21">
        <f>IF(OR(G858="",P858=""),"",G858/P858-1)</f>
        <v/>
      </c>
      <c r="S858" s="19" t="n">
        <v>0.2609</v>
      </c>
      <c r="T858" s="22" t="n">
        <v>-0.025</v>
      </c>
      <c r="U858" s="16" t="inlineStr">
        <is>
          <t>No</t>
        </is>
      </c>
      <c r="V858" s="16" t="inlineStr">
        <is>
          <t>Yes</t>
        </is>
      </c>
      <c r="W858" s="16" t="inlineStr">
        <is>
          <t>Yes</t>
        </is>
      </c>
      <c r="X858" s="16" t="inlineStr">
        <is>
          <t>No</t>
        </is>
      </c>
      <c r="Y858" s="20" t="n">
        <v>271</v>
      </c>
      <c r="Z858" s="19" t="n">
        <v>-0.0722</v>
      </c>
      <c r="AA858" s="18" t="n">
        <v>40.44</v>
      </c>
      <c r="AB858" s="16" t="inlineStr">
        <is>
          <t>Average</t>
        </is>
      </c>
      <c r="AC858" s="16" t="inlineStr">
        <is>
          <t>No</t>
        </is>
      </c>
      <c r="AD858" s="19" t="n">
        <v>0.0282</v>
      </c>
      <c r="AE858" s="19" t="n">
        <v>0.0574</v>
      </c>
      <c r="AF858" s="19" t="n">
        <v>8.0121</v>
      </c>
      <c r="AG858" s="19" t="n">
        <v>0.1649</v>
      </c>
      <c r="AH858" s="23" t="n">
        <v>0.42</v>
      </c>
      <c r="AI858" s="23" t="n">
        <v>0.28</v>
      </c>
      <c r="AJ858" s="19" t="n">
        <v>0.1045</v>
      </c>
    </row>
    <row r="859">
      <c r="A859" s="16" t="inlineStr">
        <is>
          <t>JAMNAAUTO</t>
        </is>
      </c>
      <c r="B859" s="16" t="inlineStr">
        <is>
          <t>Jamna Auto Industries Ltd.</t>
        </is>
      </c>
      <c r="C859" s="16" t="inlineStr">
        <is>
          <t>Auto Parts &amp; Equipment</t>
        </is>
      </c>
      <c r="D859" s="16" t="inlineStr">
        <is>
          <t>Automobiles &amp; Auto Components</t>
        </is>
      </c>
      <c r="E859" s="16" t="inlineStr">
        <is>
          <t>INE039C01032</t>
        </is>
      </c>
      <c r="F859" s="17" t="n">
        <v>4815.29</v>
      </c>
      <c r="G859" s="18" t="n">
        <v>120.69</v>
      </c>
      <c r="H859" s="19" t="n">
        <v>-0.0111</v>
      </c>
      <c r="I859" s="20" t="n">
        <v>40</v>
      </c>
      <c r="J859" s="16" t="inlineStr">
        <is>
          <t>red</t>
        </is>
      </c>
      <c r="K859" s="20" t="n">
        <v>14</v>
      </c>
      <c r="L859" s="18" t="n">
        <v>41.38</v>
      </c>
      <c r="M859" s="18" t="n">
        <v>120.86</v>
      </c>
      <c r="N859" s="18" t="n">
        <v>130.05</v>
      </c>
      <c r="O859" s="18" t="n">
        <v>126.19</v>
      </c>
      <c r="P859" s="18" t="n">
        <v>148.25</v>
      </c>
      <c r="Q859" s="18" t="n">
        <v>90.38</v>
      </c>
      <c r="R859" s="21">
        <f>IF(OR(G859="",P859=""),"",G859/P859-1)</f>
        <v/>
      </c>
      <c r="S859" s="19" t="n">
        <v>0.325</v>
      </c>
      <c r="T859" s="22" t="n">
        <v>0.0196</v>
      </c>
      <c r="U859" s="16" t="inlineStr">
        <is>
          <t>Yes</t>
        </is>
      </c>
      <c r="V859" s="16" t="inlineStr">
        <is>
          <t>No</t>
        </is>
      </c>
      <c r="W859" s="16" t="inlineStr">
        <is>
          <t>No</t>
        </is>
      </c>
      <c r="X859" s="16" t="inlineStr">
        <is>
          <t>Yes</t>
        </is>
      </c>
      <c r="Y859" s="20" t="n">
        <v>281</v>
      </c>
      <c r="Z859" s="19" t="n">
        <v>0.0305</v>
      </c>
      <c r="AA859" s="18" t="n">
        <v>65.98</v>
      </c>
      <c r="AB859" s="16" t="inlineStr">
        <is>
          <t>High</t>
        </is>
      </c>
      <c r="AC859" s="16" t="inlineStr">
        <is>
          <t>No</t>
        </is>
      </c>
      <c r="AD859" s="19" t="n">
        <v>0.2035</v>
      </c>
      <c r="AE859" s="19" t="n">
        <v>0.2617</v>
      </c>
      <c r="AF859" s="19" t="n">
        <v>0.1259</v>
      </c>
      <c r="AG859" s="19" t="n">
        <v>0.0505</v>
      </c>
      <c r="AH859" s="23" t="n">
        <v>0.01</v>
      </c>
      <c r="AI859" s="23" t="n">
        <v>2.74</v>
      </c>
      <c r="AJ859" s="19" t="n">
        <v>0.1132</v>
      </c>
    </row>
    <row r="860">
      <c r="A860" s="16" t="inlineStr">
        <is>
          <t>KDDL</t>
        </is>
      </c>
      <c r="B860" s="16" t="inlineStr">
        <is>
          <t>KDDL Ltd.</t>
        </is>
      </c>
      <c r="C860" s="16" t="inlineStr">
        <is>
          <t>Other Apparels &amp; Accessories</t>
        </is>
      </c>
      <c r="D860" s="16" t="inlineStr">
        <is>
          <t>Textiles Apparels &amp; Accessories</t>
        </is>
      </c>
      <c r="E860" s="16" t="inlineStr">
        <is>
          <t>INE291D01011</t>
        </is>
      </c>
      <c r="F860" s="17" t="n">
        <v>4810.26</v>
      </c>
      <c r="G860" s="18" t="n">
        <v>3911</v>
      </c>
      <c r="H860" s="19" t="n">
        <v>0.0144</v>
      </c>
      <c r="I860" s="20" t="n">
        <v>85</v>
      </c>
      <c r="J860" s="16" t="inlineStr">
        <is>
          <t>green</t>
        </is>
      </c>
      <c r="K860" s="20" t="n">
        <v>27</v>
      </c>
      <c r="L860" s="18" t="n">
        <v>36.22</v>
      </c>
      <c r="M860" s="18" t="n">
        <v>3906.42</v>
      </c>
      <c r="N860" s="18" t="n">
        <v>3534.62</v>
      </c>
      <c r="O860" s="18" t="n">
        <v>2720.56</v>
      </c>
      <c r="P860" s="18" t="n">
        <v>4093.5</v>
      </c>
      <c r="Q860" s="18" t="n">
        <v>2026</v>
      </c>
      <c r="R860" s="21">
        <f>IF(OR(G860="",P860=""),"",G860/P860-1)</f>
        <v/>
      </c>
      <c r="S860" s="19" t="n">
        <v>0.3911</v>
      </c>
      <c r="T860" s="22" t="n">
        <v>0.0554</v>
      </c>
      <c r="U860" s="16" t="inlineStr">
        <is>
          <t>Yes</t>
        </is>
      </c>
      <c r="V860" s="16" t="inlineStr">
        <is>
          <t>Yes</t>
        </is>
      </c>
      <c r="W860" s="16" t="inlineStr">
        <is>
          <t>Yes</t>
        </is>
      </c>
      <c r="X860" s="16" t="inlineStr">
        <is>
          <t>Yes</t>
        </is>
      </c>
      <c r="Y860" s="20" t="n">
        <v>67</v>
      </c>
      <c r="Z860" s="19" t="n">
        <v>0.2992</v>
      </c>
      <c r="AA860" s="18" t="n">
        <v>40</v>
      </c>
      <c r="AB860" s="16" t="inlineStr">
        <is>
          <t>Weak</t>
        </is>
      </c>
      <c r="AC860" s="16" t="inlineStr">
        <is>
          <t>No</t>
        </is>
      </c>
      <c r="AD860" s="19" t="n">
        <v>0.1083</v>
      </c>
      <c r="AE860" s="19" t="n">
        <v>0.1756</v>
      </c>
      <c r="AF860" s="19" t="n">
        <v>-0.0424</v>
      </c>
      <c r="AG860" s="19" t="n">
        <v>0.2488</v>
      </c>
      <c r="AH860" s="23" t="n">
        <v>0.47</v>
      </c>
      <c r="AI860" s="23" t="n">
        <v>3.03</v>
      </c>
      <c r="AJ860" s="19" t="n">
        <v>0.0308</v>
      </c>
    </row>
    <row r="861">
      <c r="A861" s="16" t="inlineStr">
        <is>
          <t>PILANIINVS</t>
        </is>
      </c>
      <c r="B861" s="16" t="inlineStr">
        <is>
          <t>Pilani Investment and Industries Corporation Ltd.</t>
        </is>
      </c>
      <c r="C861" s="16" t="inlineStr">
        <is>
          <t>Holding Companies</t>
        </is>
      </c>
      <c r="D861" s="16" t="inlineStr">
        <is>
          <t>Diversified</t>
        </is>
      </c>
      <c r="E861" s="16" t="inlineStr">
        <is>
          <t>INE417C01014</t>
        </is>
      </c>
      <c r="F861" s="17" t="n">
        <v>4787.4</v>
      </c>
      <c r="G861" s="18" t="n">
        <v>4323.8</v>
      </c>
      <c r="H861" s="19" t="n">
        <v>-0.0071</v>
      </c>
      <c r="I861" s="20" t="n">
        <v>29</v>
      </c>
      <c r="J861" s="16" t="inlineStr">
        <is>
          <t>red</t>
        </is>
      </c>
      <c r="K861" s="20" t="n">
        <v>111</v>
      </c>
      <c r="L861" s="18" t="n">
        <v>37.74</v>
      </c>
      <c r="M861" s="18" t="n">
        <v>4360.81</v>
      </c>
      <c r="N861" s="18" t="n">
        <v>4368.69</v>
      </c>
      <c r="O861" s="18" t="n">
        <v>4621.18</v>
      </c>
      <c r="P861" s="18" t="n">
        <v>5797.66</v>
      </c>
      <c r="Q861" s="18" t="n">
        <v>4146.63</v>
      </c>
      <c r="R861" s="21">
        <f>IF(OR(G861="",P861=""),"",G861/P861-1)</f>
        <v/>
      </c>
      <c r="S861" s="19" t="n">
        <v>0.3719</v>
      </c>
      <c r="T861" s="22" t="n">
        <v>-0.0221</v>
      </c>
      <c r="U861" s="16" t="inlineStr">
        <is>
          <t>No</t>
        </is>
      </c>
      <c r="V861" s="16" t="inlineStr">
        <is>
          <t>No</t>
        </is>
      </c>
      <c r="W861" s="16" t="inlineStr">
        <is>
          <t>No</t>
        </is>
      </c>
      <c r="X861" s="16" t="inlineStr">
        <is>
          <t>No</t>
        </is>
      </c>
      <c r="Y861" s="20" t="n">
        <v>151</v>
      </c>
      <c r="Z861" s="19" t="n">
        <v>-0.0546</v>
      </c>
      <c r="AA861" s="18" t="n">
        <v>8.57</v>
      </c>
      <c r="AB861" s="16" t="inlineStr">
        <is>
          <t>Poor</t>
        </is>
      </c>
      <c r="AC861" s="16" t="inlineStr">
        <is>
          <t>Yes</t>
        </is>
      </c>
      <c r="AD861" s="19" t="n">
        <v>0.006500000000000001</v>
      </c>
      <c r="AE861" s="19" t="n">
        <v>0.016</v>
      </c>
      <c r="AF861" s="19" t="n">
        <v>-0.5771999999999999</v>
      </c>
      <c r="AG861" s="19" t="n">
        <v>-0.0116</v>
      </c>
      <c r="AH861" s="23" t="n">
        <v>0.15</v>
      </c>
      <c r="AI861" s="23" t="n">
        <v>761.0599999999999</v>
      </c>
      <c r="AJ861" s="19" t="n">
        <v>0</v>
      </c>
    </row>
    <row r="862">
      <c r="A862" s="16" t="inlineStr">
        <is>
          <t>LXCHEM</t>
        </is>
      </c>
      <c r="B862" s="16" t="inlineStr">
        <is>
          <t>Laxmi Organic Industries Ltd.</t>
        </is>
      </c>
      <c r="C862" s="16" t="inlineStr">
        <is>
          <t>Specialty Chemicals</t>
        </is>
      </c>
      <c r="D862" s="16" t="inlineStr">
        <is>
          <t>Chemicals &amp; Petrochemicals</t>
        </is>
      </c>
      <c r="E862" s="16" t="inlineStr">
        <is>
          <t>INE576O01020</t>
        </is>
      </c>
      <c r="F862" s="17" t="n">
        <v>4781.24</v>
      </c>
      <c r="G862" s="18" t="n">
        <v>172.04</v>
      </c>
      <c r="H862" s="19" t="n">
        <v>-0.0202</v>
      </c>
      <c r="I862" s="20" t="n">
        <v>55</v>
      </c>
      <c r="J862" s="16" t="inlineStr">
        <is>
          <t>red</t>
        </is>
      </c>
      <c r="K862" s="20" t="n">
        <v>23</v>
      </c>
      <c r="L862" s="18" t="n">
        <v>40.66</v>
      </c>
      <c r="M862" s="18" t="n">
        <v>169.96</v>
      </c>
      <c r="N862" s="18" t="n">
        <v>172.08</v>
      </c>
      <c r="O862" s="18" t="n">
        <v>154.48</v>
      </c>
      <c r="P862" s="18" t="n">
        <v>231.12</v>
      </c>
      <c r="Q862" s="18" t="n">
        <v>107.93</v>
      </c>
      <c r="R862" s="21">
        <f>IF(OR(G862="",P862=""),"",G862/P862-1)</f>
        <v/>
      </c>
      <c r="S862" s="19" t="n">
        <v>0.2755</v>
      </c>
      <c r="T862" s="22" t="n">
        <v>-0.0138</v>
      </c>
      <c r="U862" s="16" t="inlineStr">
        <is>
          <t>No</t>
        </is>
      </c>
      <c r="V862" s="16" t="inlineStr">
        <is>
          <t>No</t>
        </is>
      </c>
      <c r="W862" s="16" t="inlineStr">
        <is>
          <t>Yes</t>
        </is>
      </c>
      <c r="X862" s="16" t="inlineStr">
        <is>
          <t>Yes</t>
        </is>
      </c>
      <c r="Y862" s="20" t="n">
        <v>32</v>
      </c>
      <c r="Z862" s="19" t="n">
        <v>0.1139</v>
      </c>
      <c r="AA862" s="18" t="n">
        <v>28.87</v>
      </c>
      <c r="AB862" s="16" t="inlineStr">
        <is>
          <t>Poor</t>
        </is>
      </c>
      <c r="AC862" s="16" t="inlineStr">
        <is>
          <t>No</t>
        </is>
      </c>
      <c r="AD862" s="19" t="n">
        <v>0.0555</v>
      </c>
      <c r="AE862" s="19" t="n">
        <v>0.0727</v>
      </c>
      <c r="AF862" s="19" t="n">
        <v>-0.1433</v>
      </c>
      <c r="AG862" s="19" t="n">
        <v>-0.0005999999999999999</v>
      </c>
      <c r="AH862" s="23" t="n">
        <v>0.27</v>
      </c>
      <c r="AI862" s="23" t="n">
        <v>1.29</v>
      </c>
      <c r="AJ862" s="19" t="n">
        <v>0.3092</v>
      </c>
    </row>
    <row r="863">
      <c r="A863" s="16" t="inlineStr">
        <is>
          <t>SHANTIGEAR</t>
        </is>
      </c>
      <c r="B863" s="16" t="inlineStr">
        <is>
          <t>Shanthi Gears Ltd.</t>
        </is>
      </c>
      <c r="C863" s="16" t="inlineStr">
        <is>
          <t>Auto Parts &amp; Equipment</t>
        </is>
      </c>
      <c r="D863" s="16" t="inlineStr">
        <is>
          <t>Automobiles &amp; Auto Components</t>
        </is>
      </c>
      <c r="E863" s="16" t="inlineStr">
        <is>
          <t>INE631A01022</t>
        </is>
      </c>
      <c r="F863" s="17" t="n">
        <v>4769.81</v>
      </c>
      <c r="G863" s="18" t="n">
        <v>621.75</v>
      </c>
      <c r="H863" s="19" t="n">
        <v>0.0668</v>
      </c>
      <c r="I863" s="20" t="n">
        <v>78</v>
      </c>
      <c r="J863" s="16" t="inlineStr">
        <is>
          <t>amber</t>
        </is>
      </c>
      <c r="K863" s="20" t="n">
        <v>5</v>
      </c>
      <c r="L863" s="18" t="n">
        <v>84.51000000000001</v>
      </c>
      <c r="M863" s="18" t="n">
        <v>551.8200000000001</v>
      </c>
      <c r="N863" s="18" t="n">
        <v>446.94</v>
      </c>
      <c r="O863" s="18" t="n">
        <v>450.1</v>
      </c>
      <c r="P863" s="18" t="n">
        <v>621.75</v>
      </c>
      <c r="Q863" s="18" t="n">
        <v>386.65</v>
      </c>
      <c r="R863" s="21">
        <f>IF(OR(G863="",P863=""),"",G863/P863-1)</f>
        <v/>
      </c>
      <c r="S863" s="19" t="n">
        <v>2.3618</v>
      </c>
      <c r="T863" s="22" t="n">
        <v>-0.0024</v>
      </c>
      <c r="U863" s="16" t="inlineStr">
        <is>
          <t>No</t>
        </is>
      </c>
      <c r="V863" s="16" t="inlineStr">
        <is>
          <t>Yes</t>
        </is>
      </c>
      <c r="W863" s="16" t="inlineStr">
        <is>
          <t>Yes</t>
        </is>
      </c>
      <c r="X863" s="16" t="inlineStr">
        <is>
          <t>No</t>
        </is>
      </c>
      <c r="Y863" s="20" t="n">
        <v>190</v>
      </c>
      <c r="Z863" s="19" t="n">
        <v>-0.006999999999999999</v>
      </c>
      <c r="AA863" s="18" t="n">
        <v>69.23</v>
      </c>
      <c r="AB863" s="16" t="inlineStr">
        <is>
          <t>High</t>
        </is>
      </c>
      <c r="AC863" s="16" t="inlineStr">
        <is>
          <t>No</t>
        </is>
      </c>
      <c r="AD863" s="19" t="n">
        <v>0.2169</v>
      </c>
      <c r="AE863" s="19" t="n">
        <v>0.2562</v>
      </c>
      <c r="AF863" s="19" t="n">
        <v>0.0641</v>
      </c>
      <c r="AG863" s="19" t="n">
        <v>0.0673</v>
      </c>
      <c r="AH863" s="23" t="n">
        <v>0</v>
      </c>
      <c r="AI863" s="23" t="n">
        <v>4.13</v>
      </c>
      <c r="AJ863" s="19" t="n">
        <v>0.2104</v>
      </c>
    </row>
    <row r="864">
      <c r="A864" s="16" t="inlineStr">
        <is>
          <t>BANARISUG</t>
        </is>
      </c>
      <c r="B864" s="16" t="inlineStr">
        <is>
          <t>Bannari Amman Sugars Ltd.</t>
        </is>
      </c>
      <c r="C864" s="16" t="inlineStr">
        <is>
          <t>Sugar</t>
        </is>
      </c>
      <c r="D864" s="16" t="inlineStr">
        <is>
          <t>Food, Beverages &amp; Tobacco</t>
        </is>
      </c>
      <c r="E864" s="16" t="inlineStr">
        <is>
          <t>INE459A01010</t>
        </is>
      </c>
      <c r="F864" s="17" t="n">
        <v>4769.22</v>
      </c>
      <c r="G864" s="18" t="n">
        <v>3803.3</v>
      </c>
      <c r="H864" s="19" t="n">
        <v>-0.0184</v>
      </c>
      <c r="I864" s="20" t="n">
        <v>47</v>
      </c>
      <c r="J864" s="16" t="inlineStr">
        <is>
          <t>red</t>
        </is>
      </c>
      <c r="K864" s="20" t="n">
        <v>11</v>
      </c>
      <c r="L864" s="18" t="n">
        <v>59.51</v>
      </c>
      <c r="M864" s="18" t="n">
        <v>3847.46</v>
      </c>
      <c r="N864" s="18" t="n">
        <v>3586.43</v>
      </c>
      <c r="O864" s="18" t="n">
        <v>3601.22</v>
      </c>
      <c r="P864" s="18" t="n">
        <v>4240.7</v>
      </c>
      <c r="Q864" s="18" t="n">
        <v>3269.7</v>
      </c>
      <c r="R864" s="21">
        <f>IF(OR(G864="",P864=""),"",G864/P864-1)</f>
        <v/>
      </c>
      <c r="S864" s="19" t="n">
        <v>0.1743</v>
      </c>
      <c r="T864" s="22" t="n">
        <v>0.0048</v>
      </c>
      <c r="U864" s="16" t="inlineStr">
        <is>
          <t>Yes</t>
        </is>
      </c>
      <c r="V864" s="16" t="inlineStr">
        <is>
          <t>Yes</t>
        </is>
      </c>
      <c r="W864" s="16" t="inlineStr">
        <is>
          <t>No</t>
        </is>
      </c>
      <c r="X864" s="16" t="inlineStr">
        <is>
          <t>No</t>
        </is>
      </c>
      <c r="Y864" s="20" t="n">
        <v>49</v>
      </c>
      <c r="Z864" s="19" t="n">
        <v>-0.004099999999999999</v>
      </c>
      <c r="AA864" s="18" t="n">
        <v>36.93</v>
      </c>
      <c r="AB864" s="16" t="inlineStr">
        <is>
          <t>Weak</t>
        </is>
      </c>
      <c r="AC864" s="16" t="inlineStr">
        <is>
          <t>No</t>
        </is>
      </c>
      <c r="AD864" s="19" t="n">
        <v>0.07539999999999999</v>
      </c>
      <c r="AE864" s="19" t="n">
        <v>0.101</v>
      </c>
      <c r="AF864" s="19" t="n">
        <v>-0.4169</v>
      </c>
      <c r="AG864" s="19" t="n">
        <v>-0.0808</v>
      </c>
      <c r="AH864" s="23" t="n">
        <v>0</v>
      </c>
      <c r="AI864" s="23" t="n">
        <v>1.53</v>
      </c>
      <c r="AJ864" s="19" t="n">
        <v>0.0849</v>
      </c>
    </row>
    <row r="865">
      <c r="A865" s="16" t="inlineStr">
        <is>
          <t>AGI</t>
        </is>
      </c>
      <c r="B865" s="16" t="inlineStr">
        <is>
          <t>AGI Greenpac Ltd.</t>
        </is>
      </c>
      <c r="C865" s="16" t="inlineStr">
        <is>
          <t>Containers &amp; Packaging</t>
        </is>
      </c>
      <c r="D865" s="16" t="inlineStr">
        <is>
          <t>Commercial Services &amp; Supplies</t>
        </is>
      </c>
      <c r="E865" s="16" t="inlineStr">
        <is>
          <t>INE415A01038</t>
        </is>
      </c>
      <c r="F865" s="17" t="n">
        <v>4756.88</v>
      </c>
      <c r="G865" s="18" t="n">
        <v>735.25</v>
      </c>
      <c r="H865" s="19" t="n">
        <v>-0.009399999999999999</v>
      </c>
      <c r="I865" s="20" t="n">
        <v>58</v>
      </c>
      <c r="J865" s="16" t="inlineStr">
        <is>
          <t>red</t>
        </is>
      </c>
      <c r="K865" s="20" t="n">
        <v>1</v>
      </c>
      <c r="L865" s="18" t="n">
        <v>54.87</v>
      </c>
      <c r="M865" s="18" t="n">
        <v>755.28</v>
      </c>
      <c r="N865" s="18" t="n">
        <v>712.4299999999999</v>
      </c>
      <c r="O865" s="18" t="n">
        <v>651.01</v>
      </c>
      <c r="P865" s="18" t="n">
        <v>908.1</v>
      </c>
      <c r="Q865" s="18" t="n">
        <v>468.55</v>
      </c>
      <c r="R865" s="21">
        <f>IF(OR(G865="",P865=""),"",G865/P865-1)</f>
        <v/>
      </c>
      <c r="S865" s="19" t="n">
        <v>0.5353</v>
      </c>
      <c r="T865" s="22" t="n">
        <v>-0.0116</v>
      </c>
      <c r="U865" s="16" t="inlineStr">
        <is>
          <t>No</t>
        </is>
      </c>
      <c r="V865" s="16" t="inlineStr">
        <is>
          <t>Yes</t>
        </is>
      </c>
      <c r="W865" s="16" t="inlineStr">
        <is>
          <t>No</t>
        </is>
      </c>
      <c r="X865" s="16" t="inlineStr">
        <is>
          <t>Yes</t>
        </is>
      </c>
      <c r="Y865" s="20" t="n">
        <v>28</v>
      </c>
      <c r="Z865" s="19" t="n">
        <v>0.0944</v>
      </c>
      <c r="AA865" s="18" t="n">
        <v>53.58</v>
      </c>
      <c r="AB865" s="16" t="inlineStr">
        <is>
          <t>Good</t>
        </is>
      </c>
      <c r="AC865" s="16" t="inlineStr">
        <is>
          <t>No</t>
        </is>
      </c>
      <c r="AD865" s="19" t="n">
        <v>0.1461</v>
      </c>
      <c r="AE865" s="19" t="n">
        <v>0.1874</v>
      </c>
      <c r="AF865" s="19" t="n">
        <v>0.1113</v>
      </c>
      <c r="AG865" s="19" t="n">
        <v>0.0571</v>
      </c>
      <c r="AH865" s="23" t="n">
        <v>0.1</v>
      </c>
      <c r="AI865" s="23" t="n">
        <v>1.53</v>
      </c>
      <c r="AJ865" s="19" t="n">
        <v>0.1118</v>
      </c>
    </row>
    <row r="866">
      <c r="A866" s="16" t="inlineStr">
        <is>
          <t>VISHNU</t>
        </is>
      </c>
      <c r="B866" s="16" t="inlineStr">
        <is>
          <t>Vishnu Chemicals Ltd.</t>
        </is>
      </c>
      <c r="C866" s="16" t="inlineStr">
        <is>
          <t>Specialty Chemicals</t>
        </is>
      </c>
      <c r="D866" s="16" t="inlineStr">
        <is>
          <t>Chemicals &amp; Petrochemicals</t>
        </is>
      </c>
      <c r="E866" s="16" t="inlineStr">
        <is>
          <t>INE270I01022</t>
        </is>
      </c>
      <c r="F866" s="17" t="n">
        <v>4725.53</v>
      </c>
      <c r="G866" s="18" t="n">
        <v>702</v>
      </c>
      <c r="H866" s="19" t="n">
        <v>0.0197</v>
      </c>
      <c r="I866" s="20" t="n">
        <v>77</v>
      </c>
      <c r="J866" s="16" t="inlineStr">
        <is>
          <t>amber</t>
        </is>
      </c>
      <c r="K866" s="20" t="n">
        <v>18</v>
      </c>
      <c r="L866" s="18" t="n">
        <v>83.48</v>
      </c>
      <c r="M866" s="18" t="n">
        <v>662.97</v>
      </c>
      <c r="N866" s="18" t="n">
        <v>620.9299999999999</v>
      </c>
      <c r="O866" s="18" t="n">
        <v>561.8099999999999</v>
      </c>
      <c r="P866" s="18" t="n">
        <v>702</v>
      </c>
      <c r="Q866" s="18" t="n">
        <v>452.48</v>
      </c>
      <c r="R866" s="21">
        <f>IF(OR(G866="",P866=""),"",G866/P866-1)</f>
        <v/>
      </c>
      <c r="S866" s="19" t="n">
        <v>4.464</v>
      </c>
      <c r="T866" s="22" t="n">
        <v>0.025</v>
      </c>
      <c r="U866" s="16" t="inlineStr">
        <is>
          <t>Yes</t>
        </is>
      </c>
      <c r="V866" s="16" t="inlineStr">
        <is>
          <t>Yes</t>
        </is>
      </c>
      <c r="W866" s="16" t="inlineStr">
        <is>
          <t>Yes</t>
        </is>
      </c>
      <c r="X866" s="16" t="inlineStr">
        <is>
          <t>Yes</t>
        </is>
      </c>
      <c r="Y866" s="20" t="n">
        <v>370</v>
      </c>
      <c r="Z866" s="19" t="n">
        <v>0.1052</v>
      </c>
      <c r="AA866" s="18" t="n">
        <v>43.06</v>
      </c>
      <c r="AB866" s="16" t="inlineStr">
        <is>
          <t>Average</t>
        </is>
      </c>
      <c r="AC866" s="16" t="inlineStr">
        <is>
          <t>No</t>
        </is>
      </c>
      <c r="AD866" s="19" t="n">
        <v>0.138</v>
      </c>
      <c r="AE866" s="19" t="n">
        <v>0.1636</v>
      </c>
      <c r="AF866" s="19" t="n">
        <v>0.0014</v>
      </c>
      <c r="AG866" s="19" t="n">
        <v>0.0585</v>
      </c>
      <c r="AH866" s="23" t="n">
        <v>0.49</v>
      </c>
      <c r="AI866" s="23" t="n">
        <v>1.68</v>
      </c>
      <c r="AJ866" s="19" t="n">
        <v>0.167</v>
      </c>
    </row>
    <row r="867">
      <c r="A867" s="16" t="inlineStr">
        <is>
          <t>RUSTOMJEE</t>
        </is>
      </c>
      <c r="B867" s="16" t="inlineStr">
        <is>
          <t>Keystone Realtors Ltd.</t>
        </is>
      </c>
      <c r="C867" s="16" t="inlineStr">
        <is>
          <t>Realty</t>
        </is>
      </c>
      <c r="D867" s="16" t="inlineStr">
        <is>
          <t>Realty</t>
        </is>
      </c>
      <c r="E867" s="16" t="inlineStr">
        <is>
          <t>INE263M01029</t>
        </is>
      </c>
      <c r="F867" s="17" t="n">
        <v>4720.81</v>
      </c>
      <c r="G867" s="18" t="n">
        <v>373.95</v>
      </c>
      <c r="H867" s="19" t="n">
        <v>-0.0204</v>
      </c>
      <c r="I867" s="20" t="n">
        <v>12</v>
      </c>
      <c r="J867" s="16" t="inlineStr">
        <is>
          <t>red</t>
        </is>
      </c>
      <c r="K867" s="20" t="n">
        <v>253</v>
      </c>
      <c r="L867" s="18" t="n">
        <v>48.75</v>
      </c>
      <c r="M867" s="18" t="n">
        <v>378.88</v>
      </c>
      <c r="N867" s="18" t="n">
        <v>397.14</v>
      </c>
      <c r="O867" s="18" t="n">
        <v>435.23</v>
      </c>
      <c r="P867" s="18" t="n">
        <v>624.8</v>
      </c>
      <c r="Q867" s="18" t="n">
        <v>369.65</v>
      </c>
      <c r="R867" s="21">
        <f>IF(OR(G867="",P867=""),"",G867/P867-1)</f>
        <v/>
      </c>
      <c r="S867" s="19" t="n">
        <v>0.0849</v>
      </c>
      <c r="T867" s="22" t="n">
        <v>-0.0407</v>
      </c>
      <c r="U867" s="16" t="inlineStr">
        <is>
          <t>No</t>
        </is>
      </c>
      <c r="V867" s="16" t="inlineStr">
        <is>
          <t>No</t>
        </is>
      </c>
      <c r="W867" s="16" t="inlineStr">
        <is>
          <t>No</t>
        </is>
      </c>
      <c r="X867" s="16" t="inlineStr">
        <is>
          <t>No</t>
        </is>
      </c>
      <c r="Y867" s="20" t="n">
        <v>187</v>
      </c>
      <c r="Z867" s="19" t="n">
        <v>-0.08749999999999999</v>
      </c>
      <c r="AA867" s="18" t="n">
        <v>42.67</v>
      </c>
      <c r="AB867" s="16" t="inlineStr">
        <is>
          <t>Average</t>
        </is>
      </c>
      <c r="AC867" s="16" t="inlineStr">
        <is>
          <t>No</t>
        </is>
      </c>
      <c r="AD867" s="19" t="n">
        <v>0.0506</v>
      </c>
      <c r="AE867" s="19" t="n">
        <v>0.0635</v>
      </c>
      <c r="AF867" s="19" t="n">
        <v>0.0431</v>
      </c>
      <c r="AG867" s="19" t="n">
        <v>0.863</v>
      </c>
      <c r="AH867" s="23" t="n">
        <v>0.52</v>
      </c>
      <c r="AI867" s="23" t="n">
        <v>66.92</v>
      </c>
      <c r="AJ867" s="19" t="n">
        <v>0</v>
      </c>
    </row>
    <row r="868">
      <c r="A868" s="16" t="inlineStr">
        <is>
          <t>FOSECOIND</t>
        </is>
      </c>
      <c r="B868" s="16" t="inlineStr">
        <is>
          <t>Foseco India Ltd.</t>
        </is>
      </c>
      <c r="C868" s="16" t="inlineStr">
        <is>
          <t>Commodity Chemicals</t>
        </is>
      </c>
      <c r="D868" s="16" t="inlineStr">
        <is>
          <t>Chemicals &amp; Petrochemicals</t>
        </is>
      </c>
      <c r="E868" s="16" t="inlineStr">
        <is>
          <t>INE519A01011</t>
        </is>
      </c>
      <c r="F868" s="17" t="n">
        <v>4720.61</v>
      </c>
      <c r="G868" s="18" t="n">
        <v>6263</v>
      </c>
      <c r="H868" s="19" t="n">
        <v>-0.0172</v>
      </c>
      <c r="I868" s="20" t="n">
        <v>69</v>
      </c>
      <c r="J868" s="16" t="inlineStr">
        <is>
          <t>amber</t>
        </is>
      </c>
      <c r="K868" s="20" t="n">
        <v>8</v>
      </c>
      <c r="L868" s="18" t="n">
        <v>65.5</v>
      </c>
      <c r="M868" s="18" t="n">
        <v>6263.63</v>
      </c>
      <c r="N868" s="18" t="n">
        <v>5429.11</v>
      </c>
      <c r="O868" s="18" t="n">
        <v>5016.96</v>
      </c>
      <c r="P868" s="18" t="n">
        <v>6432</v>
      </c>
      <c r="Q868" s="18" t="n">
        <v>4325.38</v>
      </c>
      <c r="R868" s="21">
        <f>IF(OR(G868="",P868=""),"",G868/P868-1)</f>
        <v/>
      </c>
      <c r="S868" s="19" t="n">
        <v>0.5635</v>
      </c>
      <c r="T868" s="22" t="n">
        <v>0.0053</v>
      </c>
      <c r="U868" s="16" t="inlineStr">
        <is>
          <t>Yes</t>
        </is>
      </c>
      <c r="V868" s="16" t="inlineStr">
        <is>
          <t>Yes</t>
        </is>
      </c>
      <c r="W868" s="16" t="inlineStr">
        <is>
          <t>No</t>
        </is>
      </c>
      <c r="X868" s="16" t="inlineStr">
        <is>
          <t>Yes</t>
        </is>
      </c>
      <c r="Y868" s="20" t="n">
        <v>41</v>
      </c>
      <c r="Z868" s="19" t="n">
        <v>0.08220000000000001</v>
      </c>
      <c r="AA868" s="18" t="n">
        <v>40</v>
      </c>
      <c r="AB868" s="16" t="inlineStr">
        <is>
          <t>Weak</t>
        </is>
      </c>
      <c r="AC868" s="16" t="inlineStr">
        <is>
          <t>No</t>
        </is>
      </c>
      <c r="AD868" s="19" t="n">
        <v>0.179</v>
      </c>
      <c r="AE868" s="19" t="n">
        <v>0.2393</v>
      </c>
      <c r="AF868" s="19" t="n">
        <v>-0.0167</v>
      </c>
      <c r="AG868" s="19" t="n">
        <v>0.1622</v>
      </c>
      <c r="AH868" s="23" t="n">
        <v>0</v>
      </c>
      <c r="AI868" s="23" t="n">
        <v>2.81</v>
      </c>
      <c r="AJ868" s="19" t="n">
        <v>0.017</v>
      </c>
    </row>
    <row r="869">
      <c r="A869" s="16" t="inlineStr">
        <is>
          <t>TEXRAIL</t>
        </is>
      </c>
      <c r="B869" s="16" t="inlineStr">
        <is>
          <t>Texmaco Rail &amp; Engineering Ltd.</t>
        </is>
      </c>
      <c r="C869" s="16" t="inlineStr">
        <is>
          <t>Construction &amp; Engineering</t>
        </is>
      </c>
      <c r="D869" s="16" t="inlineStr">
        <is>
          <t>Cement and Construction</t>
        </is>
      </c>
      <c r="E869" s="16" t="inlineStr">
        <is>
          <t>INE621L01012</t>
        </is>
      </c>
      <c r="F869" s="17" t="n">
        <v>4719.22</v>
      </c>
      <c r="G869" s="18" t="n">
        <v>115.99</v>
      </c>
      <c r="H869" s="19" t="n">
        <v>0.0208</v>
      </c>
      <c r="I869" s="20" t="n">
        <v>43</v>
      </c>
      <c r="J869" s="16" t="inlineStr">
        <is>
          <t>red</t>
        </is>
      </c>
      <c r="K869" s="20" t="n">
        <v>427</v>
      </c>
      <c r="L869" s="18" t="n">
        <v>70.06</v>
      </c>
      <c r="M869" s="18" t="n">
        <v>111.52</v>
      </c>
      <c r="N869" s="18" t="n">
        <v>110.85</v>
      </c>
      <c r="O869" s="18" t="n">
        <v>112.37</v>
      </c>
      <c r="P869" s="18" t="n">
        <v>150.13</v>
      </c>
      <c r="Q869" s="18" t="n">
        <v>78.8</v>
      </c>
      <c r="R869" s="21">
        <f>IF(OR(G869="",P869=""),"",G869/P869-1)</f>
        <v/>
      </c>
      <c r="S869" s="19" t="n">
        <v>2.1395</v>
      </c>
      <c r="T869" s="22" t="n">
        <v>-0.0226</v>
      </c>
      <c r="U869" s="16" t="inlineStr">
        <is>
          <t>No</t>
        </is>
      </c>
      <c r="V869" s="16" t="inlineStr">
        <is>
          <t>Yes</t>
        </is>
      </c>
      <c r="W869" s="16" t="inlineStr">
        <is>
          <t>Yes</t>
        </is>
      </c>
      <c r="X869" s="16" t="inlineStr">
        <is>
          <t>No</t>
        </is>
      </c>
      <c r="Y869" s="20" t="n">
        <v>422</v>
      </c>
      <c r="Z869" s="19" t="n">
        <v>-0.0135</v>
      </c>
      <c r="AA869" s="18" t="n">
        <v>54.44</v>
      </c>
      <c r="AB869" s="16" t="inlineStr">
        <is>
          <t>Good</t>
        </is>
      </c>
      <c r="AC869" s="16" t="inlineStr">
        <is>
          <t>No</t>
        </is>
      </c>
      <c r="AD869" s="19" t="n">
        <v>0.07200000000000001</v>
      </c>
      <c r="AE869" s="19" t="n">
        <v>0.1142</v>
      </c>
      <c r="AF869" s="19" t="n">
        <v>1.2429</v>
      </c>
      <c r="AG869" s="19" t="n">
        <v>0.2963</v>
      </c>
      <c r="AH869" s="23" t="n">
        <v>0.38</v>
      </c>
      <c r="AI869" s="23" t="n">
        <v>3.97</v>
      </c>
      <c r="AJ869" s="19" t="n">
        <v>0.1494</v>
      </c>
    </row>
    <row r="870">
      <c r="A870" s="16" t="inlineStr">
        <is>
          <t>GOODLUCK</t>
        </is>
      </c>
      <c r="B870" s="16" t="inlineStr">
        <is>
          <t>Goodluck India Ltd.</t>
        </is>
      </c>
      <c r="C870" s="16" t="inlineStr">
        <is>
          <t>Iron &amp; Steel Products</t>
        </is>
      </c>
      <c r="D870" s="16" t="inlineStr">
        <is>
          <t>Metals &amp; Mining</t>
        </is>
      </c>
      <c r="E870" s="16" t="inlineStr">
        <is>
          <t>INE127I01024</t>
        </is>
      </c>
      <c r="F870" s="17" t="n">
        <v>4715.55</v>
      </c>
      <c r="G870" s="18" t="n">
        <v>472.9</v>
      </c>
      <c r="H870" s="19" t="n">
        <v>0.0075</v>
      </c>
      <c r="I870" s="20" t="n">
        <v>65</v>
      </c>
      <c r="J870" s="16" t="inlineStr">
        <is>
          <t>amber</t>
        </is>
      </c>
      <c r="K870" s="20" t="n">
        <v>3</v>
      </c>
      <c r="L870" s="18" t="n">
        <v>59.65</v>
      </c>
      <c r="M870" s="18" t="n">
        <v>457.27</v>
      </c>
      <c r="N870" s="18" t="n">
        <v>487.32</v>
      </c>
      <c r="O870" s="18" t="n">
        <v>415.79</v>
      </c>
      <c r="P870" s="18" t="n">
        <v>543.13</v>
      </c>
      <c r="Q870" s="18" t="n">
        <v>306.6</v>
      </c>
      <c r="R870" s="21">
        <f>IF(OR(G870="",P870=""),"",G870/P870-1)</f>
        <v/>
      </c>
      <c r="S870" s="19" t="n">
        <v>0.5304</v>
      </c>
      <c r="T870" s="22" t="n">
        <v>0.0132</v>
      </c>
      <c r="U870" s="16" t="inlineStr">
        <is>
          <t>Yes</t>
        </is>
      </c>
      <c r="V870" s="16" t="inlineStr">
        <is>
          <t>No</t>
        </is>
      </c>
      <c r="W870" s="16" t="inlineStr">
        <is>
          <t>Yes</t>
        </is>
      </c>
      <c r="X870" s="16" t="inlineStr">
        <is>
          <t>Yes</t>
        </is>
      </c>
      <c r="Y870" s="20" t="n">
        <v>88</v>
      </c>
      <c r="Z870" s="19" t="n">
        <v>0.172</v>
      </c>
      <c r="AA870" s="18" t="n">
        <v>44.9</v>
      </c>
      <c r="AB870" s="16" t="inlineStr">
        <is>
          <t>Average</t>
        </is>
      </c>
      <c r="AC870" s="16" t="inlineStr">
        <is>
          <t>No</t>
        </is>
      </c>
      <c r="AD870" s="19" t="n">
        <v>0.1216</v>
      </c>
      <c r="AE870" s="19" t="n">
        <v>0.1407</v>
      </c>
      <c r="AF870" s="19" t="n">
        <v>0.1972</v>
      </c>
      <c r="AG870" s="19" t="n">
        <v>0.101</v>
      </c>
      <c r="AH870" s="23" t="n">
        <v>0.75</v>
      </c>
      <c r="AI870" s="23" t="n">
        <v>3.07</v>
      </c>
      <c r="AJ870" s="19" t="n">
        <v>0.09140000000000001</v>
      </c>
    </row>
    <row r="871">
      <c r="A871" s="16" t="inlineStr">
        <is>
          <t>ICRA</t>
        </is>
      </c>
      <c r="B871" s="16" t="inlineStr">
        <is>
          <t>ICRA Ltd.</t>
        </is>
      </c>
      <c r="C871" s="16" t="inlineStr">
        <is>
          <t>Other Financial Services</t>
        </is>
      </c>
      <c r="D871" s="16" t="inlineStr">
        <is>
          <t>Banking and Finance</t>
        </is>
      </c>
      <c r="E871" s="16" t="inlineStr">
        <is>
          <t>INE725G01011</t>
        </is>
      </c>
      <c r="F871" s="17" t="n">
        <v>4714.13</v>
      </c>
      <c r="G871" s="18" t="n">
        <v>4884.5</v>
      </c>
      <c r="H871" s="19" t="n">
        <v>-0.001</v>
      </c>
      <c r="I871" s="20" t="n">
        <v>20</v>
      </c>
      <c r="J871" s="16" t="inlineStr">
        <is>
          <t>red</t>
        </is>
      </c>
      <c r="K871" s="20" t="n">
        <v>147</v>
      </c>
      <c r="L871" s="18" t="n">
        <v>41.64</v>
      </c>
      <c r="M871" s="18" t="n">
        <v>4905.81</v>
      </c>
      <c r="N871" s="18" t="n">
        <v>5031.78</v>
      </c>
      <c r="O871" s="18" t="n">
        <v>5412.29</v>
      </c>
      <c r="P871" s="18" t="n">
        <v>6596.1</v>
      </c>
      <c r="Q871" s="18" t="n">
        <v>4712.5</v>
      </c>
      <c r="R871" s="21">
        <f>IF(OR(G871="",P871=""),"",G871/P871-1)</f>
        <v/>
      </c>
      <c r="S871" s="19" t="n">
        <v>0.4782</v>
      </c>
      <c r="T871" s="22" t="n">
        <v>-0.0221</v>
      </c>
      <c r="U871" s="16" t="inlineStr">
        <is>
          <t>No</t>
        </is>
      </c>
      <c r="V871" s="16" t="inlineStr">
        <is>
          <t>No</t>
        </is>
      </c>
      <c r="W871" s="16" t="inlineStr">
        <is>
          <t>No</t>
        </is>
      </c>
      <c r="X871" s="16" t="inlineStr">
        <is>
          <t>No</t>
        </is>
      </c>
      <c r="Y871" s="20" t="n">
        <v>172</v>
      </c>
      <c r="Z871" s="19" t="n">
        <v>-0.0703</v>
      </c>
      <c r="AA871" s="18" t="n">
        <v>59.64</v>
      </c>
      <c r="AB871" s="16" t="inlineStr">
        <is>
          <t>Good</t>
        </is>
      </c>
      <c r="AC871" s="16" t="inlineStr">
        <is>
          <t>Yes</t>
        </is>
      </c>
      <c r="AD871" s="19" t="n">
        <v>0.1566</v>
      </c>
      <c r="AE871" s="19" t="n">
        <v>0.2163</v>
      </c>
      <c r="AF871" s="19" t="n">
        <v>0.1026</v>
      </c>
      <c r="AG871" s="19" t="n">
        <v>0.1438</v>
      </c>
      <c r="AH871" s="23" t="n">
        <v>0.02</v>
      </c>
      <c r="AI871" s="23" t="n">
        <v>13.02</v>
      </c>
      <c r="AJ871" s="19" t="n">
        <v>0.0009</v>
      </c>
    </row>
    <row r="872">
      <c r="A872" s="16" t="inlineStr">
        <is>
          <t>SURYAROSNI</t>
        </is>
      </c>
      <c r="B872" s="16" t="inlineStr">
        <is>
          <t>Surya Roshni Ltd.</t>
        </is>
      </c>
      <c r="C872" s="16" t="inlineStr">
        <is>
          <t>Iron &amp; Steel Products</t>
        </is>
      </c>
      <c r="D872" s="16" t="inlineStr">
        <is>
          <t>Metals &amp; Mining</t>
        </is>
      </c>
      <c r="E872" s="16" t="inlineStr">
        <is>
          <t>INE335A01020</t>
        </is>
      </c>
      <c r="F872" s="17" t="n">
        <v>4711.6</v>
      </c>
      <c r="G872" s="18" t="n">
        <v>216.49</v>
      </c>
      <c r="H872" s="19" t="n">
        <v>-0.0008</v>
      </c>
      <c r="I872" s="20" t="n">
        <v>16</v>
      </c>
      <c r="J872" s="16" t="inlineStr">
        <is>
          <t>red</t>
        </is>
      </c>
      <c r="K872" s="20" t="n">
        <v>159</v>
      </c>
      <c r="L872" s="18" t="n">
        <v>44.67</v>
      </c>
      <c r="M872" s="18" t="n">
        <v>218.31</v>
      </c>
      <c r="N872" s="18" t="n">
        <v>235.36</v>
      </c>
      <c r="O872" s="18" t="n">
        <v>240.3</v>
      </c>
      <c r="P872" s="18" t="n">
        <v>299.21</v>
      </c>
      <c r="Q872" s="18" t="n">
        <v>185.93</v>
      </c>
      <c r="R872" s="21">
        <f>IF(OR(G872="",P872=""),"",G872/P872-1)</f>
        <v/>
      </c>
      <c r="S872" s="19" t="n">
        <v>0.6501</v>
      </c>
      <c r="T872" s="22" t="n">
        <v>-0.0238</v>
      </c>
      <c r="U872" s="16" t="inlineStr">
        <is>
          <t>No</t>
        </is>
      </c>
      <c r="V872" s="16" t="inlineStr">
        <is>
          <t>No</t>
        </is>
      </c>
      <c r="W872" s="16" t="inlineStr">
        <is>
          <t>No</t>
        </is>
      </c>
      <c r="X872" s="16" t="inlineStr">
        <is>
          <t>No</t>
        </is>
      </c>
      <c r="Y872" s="20" t="n">
        <v>10</v>
      </c>
      <c r="Z872" s="19" t="n">
        <v>-0.0206</v>
      </c>
      <c r="AA872" s="18" t="n">
        <v>40</v>
      </c>
      <c r="AB872" s="16" t="inlineStr">
        <is>
          <t>Weak</t>
        </is>
      </c>
      <c r="AC872" s="16" t="inlineStr">
        <is>
          <t>No</t>
        </is>
      </c>
      <c r="AD872" s="19" t="n">
        <v>0.1337</v>
      </c>
      <c r="AE872" s="19" t="n">
        <v>0.1871</v>
      </c>
      <c r="AF872" s="19" t="n">
        <v>-0.0472</v>
      </c>
      <c r="AG872" s="19" t="n">
        <v>-0.0182</v>
      </c>
      <c r="AH872" s="23" t="n">
        <v>0.03</v>
      </c>
      <c r="AI872" s="23" t="n">
        <v>8.27</v>
      </c>
      <c r="AJ872" s="19" t="n">
        <v>0.03240000000000001</v>
      </c>
    </row>
    <row r="873">
      <c r="A873" s="16" t="inlineStr">
        <is>
          <t>PNCINFRA</t>
        </is>
      </c>
      <c r="B873" s="16" t="inlineStr">
        <is>
          <t>PNC Infratech Ltd.</t>
        </is>
      </c>
      <c r="C873" s="16" t="inlineStr">
        <is>
          <t>Roads &amp; Highways</t>
        </is>
      </c>
      <c r="D873" s="16" t="inlineStr">
        <is>
          <t>Cement and Construction</t>
        </is>
      </c>
      <c r="E873" s="16" t="inlineStr">
        <is>
          <t>INE195J01029</t>
        </is>
      </c>
      <c r="F873" s="17" t="n">
        <v>4697.49</v>
      </c>
      <c r="G873" s="18" t="n">
        <v>183.11</v>
      </c>
      <c r="H873" s="19" t="n">
        <v>0.0008</v>
      </c>
      <c r="I873" s="20" t="n">
        <v>9</v>
      </c>
      <c r="J873" s="16" t="inlineStr">
        <is>
          <t>red</t>
        </is>
      </c>
      <c r="K873" s="20" t="n">
        <v>501</v>
      </c>
      <c r="L873" s="18" t="n">
        <v>7.53</v>
      </c>
      <c r="M873" s="18" t="n">
        <v>189.85</v>
      </c>
      <c r="N873" s="18" t="n">
        <v>225.61</v>
      </c>
      <c r="O873" s="18" t="n">
        <v>221.28</v>
      </c>
      <c r="P873" s="18" t="n">
        <v>312.44</v>
      </c>
      <c r="Q873" s="18" t="n">
        <v>160.55</v>
      </c>
      <c r="R873" s="21">
        <f>IF(OR(G873="",P873=""),"",G873/P873-1)</f>
        <v/>
      </c>
      <c r="S873" s="19" t="n">
        <v>0.7469</v>
      </c>
      <c r="T873" s="22" t="n">
        <v>-0.0325</v>
      </c>
      <c r="U873" s="16" t="inlineStr">
        <is>
          <t>No</t>
        </is>
      </c>
      <c r="V873" s="16" t="inlineStr">
        <is>
          <t>No</t>
        </is>
      </c>
      <c r="W873" s="16" t="inlineStr">
        <is>
          <t>No</t>
        </is>
      </c>
      <c r="X873" s="16" t="inlineStr">
        <is>
          <t>Yes</t>
        </is>
      </c>
      <c r="Y873" s="20" t="n">
        <v>22</v>
      </c>
      <c r="Z873" s="19" t="n">
        <v>0.0196</v>
      </c>
      <c r="AA873" s="18" t="n">
        <v>39.51</v>
      </c>
      <c r="AB873" s="16" t="inlineStr">
        <is>
          <t>Weak</t>
        </is>
      </c>
      <c r="AC873" s="16" t="inlineStr">
        <is>
          <t>No</t>
        </is>
      </c>
      <c r="AD873" s="19" t="n">
        <v>0.1445</v>
      </c>
      <c r="AE873" s="19" t="n">
        <v>0.1381</v>
      </c>
      <c r="AF873" s="19" t="n">
        <v>0.0992</v>
      </c>
      <c r="AG873" s="19" t="n">
        <v>-0.0953</v>
      </c>
      <c r="AH873" s="23" t="n">
        <v>0.76</v>
      </c>
      <c r="AI873" s="23" t="n">
        <v>8.5</v>
      </c>
      <c r="AJ873" s="19" t="n">
        <v>0.006</v>
      </c>
    </row>
    <row r="874">
      <c r="A874" s="16" t="inlineStr">
        <is>
          <t>VMARCIND</t>
        </is>
      </c>
      <c r="B874" s="16" t="inlineStr">
        <is>
          <t>V-Marc India Ltd.</t>
        </is>
      </c>
      <c r="C874" s="16" t="inlineStr">
        <is>
          <t>Wires &amp; Cables</t>
        </is>
      </c>
      <c r="D874" s="16" t="inlineStr">
        <is>
          <t>Consumer Durables</t>
        </is>
      </c>
      <c r="E874" s="16" t="inlineStr">
        <is>
          <t>INE0GXK01018</t>
        </is>
      </c>
      <c r="F874" s="17" t="n">
        <v>4690.24</v>
      </c>
      <c r="G874" s="18" t="n">
        <v>320.1</v>
      </c>
      <c r="H874" s="19" t="n">
        <v>-0.08199999999999999</v>
      </c>
      <c r="I874" s="20" t="n">
        <v>1</v>
      </c>
      <c r="J874" s="16" t="inlineStr">
        <is>
          <t>red</t>
        </is>
      </c>
      <c r="K874" s="20" t="n">
        <v>50</v>
      </c>
      <c r="L874" s="18" t="n">
        <v>38.27</v>
      </c>
      <c r="M874" s="18" t="n">
        <v>353.68</v>
      </c>
      <c r="N874" s="18" t="n">
        <v>313.54</v>
      </c>
      <c r="O874" s="18" t="n">
        <v>723.3200000000001</v>
      </c>
      <c r="P874" s="18" t="n">
        <v>1664.05</v>
      </c>
      <c r="Q874" s="18" t="n">
        <v>257.73</v>
      </c>
      <c r="R874" s="21">
        <f>IF(OR(G874="",P874=""),"",G874/P874-1)</f>
        <v/>
      </c>
      <c r="S874" s="19" t="n">
        <v>2.8604</v>
      </c>
      <c r="T874" s="22" t="n">
        <v>-0.0364</v>
      </c>
      <c r="U874" s="16" t="inlineStr">
        <is>
          <t>No</t>
        </is>
      </c>
      <c r="V874" s="16" t="inlineStr">
        <is>
          <t>Yes</t>
        </is>
      </c>
      <c r="W874" s="16" t="inlineStr">
        <is>
          <t>No</t>
        </is>
      </c>
      <c r="X874" s="16" t="inlineStr">
        <is>
          <t>No</t>
        </is>
      </c>
      <c r="Y874" s="20" t="n">
        <v>19</v>
      </c>
      <c r="Z874" s="19" t="n">
        <v>-0.5665</v>
      </c>
      <c r="AA874" s="18" t="n"/>
      <c r="AB874" s="16" t="n"/>
      <c r="AC874" s="16" t="inlineStr">
        <is>
          <t>No</t>
        </is>
      </c>
      <c r="AD874" s="19" t="n"/>
      <c r="AE874" s="19" t="n"/>
      <c r="AF874" s="19" t="n"/>
      <c r="AG874" s="19" t="n"/>
      <c r="AH874" s="23" t="n"/>
      <c r="AI874" s="23" t="n"/>
      <c r="AJ874" s="19" t="n"/>
    </row>
    <row r="875">
      <c r="A875" s="16" t="inlineStr">
        <is>
          <t>ELLEN</t>
        </is>
      </c>
      <c r="B875" s="16" t="inlineStr">
        <is>
          <t>Ellenbarrie Industrial Gases Ltd.</t>
        </is>
      </c>
      <c r="C875" s="16" t="inlineStr">
        <is>
          <t>Industrial Gases</t>
        </is>
      </c>
      <c r="D875" s="16" t="inlineStr">
        <is>
          <t>General Industrials</t>
        </is>
      </c>
      <c r="E875" s="16" t="inlineStr">
        <is>
          <t>INE236E01022</t>
        </is>
      </c>
      <c r="F875" s="17" t="n">
        <v>4676.95</v>
      </c>
      <c r="G875" s="18" t="n">
        <v>331.85</v>
      </c>
      <c r="H875" s="19" t="n">
        <v>0.0042</v>
      </c>
      <c r="I875" s="20" t="n">
        <v>56</v>
      </c>
      <c r="J875" s="16" t="inlineStr">
        <is>
          <t>red</t>
        </is>
      </c>
      <c r="K875" s="20" t="n">
        <v>233</v>
      </c>
      <c r="L875" s="18" t="n">
        <v>52.35</v>
      </c>
      <c r="M875" s="18" t="n">
        <v>322.51</v>
      </c>
      <c r="N875" s="18" t="n">
        <v>294.56</v>
      </c>
      <c r="O875" s="18" t="n">
        <v>282.05</v>
      </c>
      <c r="P875" s="18" t="n">
        <v>552.95</v>
      </c>
      <c r="Q875" s="18" t="n">
        <v>180.5</v>
      </c>
      <c r="R875" s="21">
        <f>IF(OR(G875="",P875=""),"",G875/P875-1)</f>
        <v/>
      </c>
      <c r="S875" s="19" t="n">
        <v>1.0635</v>
      </c>
      <c r="T875" s="22" t="n">
        <v>-0.0438</v>
      </c>
      <c r="U875" s="16" t="inlineStr">
        <is>
          <t>No</t>
        </is>
      </c>
      <c r="V875" s="16" t="inlineStr">
        <is>
          <t>Yes</t>
        </is>
      </c>
      <c r="W875" s="16" t="inlineStr">
        <is>
          <t>Yes</t>
        </is>
      </c>
      <c r="X875" s="16" t="inlineStr">
        <is>
          <t>Yes</t>
        </is>
      </c>
      <c r="Y875" s="20" t="n">
        <v>9</v>
      </c>
      <c r="Z875" s="19" t="n">
        <v>0.0443</v>
      </c>
      <c r="AA875" s="18" t="n">
        <v>52.12</v>
      </c>
      <c r="AB875" s="16" t="inlineStr">
        <is>
          <t>Average</t>
        </is>
      </c>
      <c r="AC875" s="16" t="inlineStr">
        <is>
          <t>No</t>
        </is>
      </c>
      <c r="AD875" s="19" t="n">
        <v>0.1287</v>
      </c>
      <c r="AE875" s="19" t="n">
        <v>0.1383</v>
      </c>
      <c r="AF875" s="19" t="n">
        <v>0.1492</v>
      </c>
      <c r="AG875" s="19" t="n">
        <v>0.1952</v>
      </c>
      <c r="AH875" s="23" t="n">
        <v>0.19</v>
      </c>
      <c r="AI875" s="23" t="n">
        <v>0.64</v>
      </c>
      <c r="AJ875" s="19" t="n">
        <v>0.1467</v>
      </c>
    </row>
    <row r="876">
      <c r="A876" s="16" t="inlineStr">
        <is>
          <t>ROLEXRINGS</t>
        </is>
      </c>
      <c r="B876" s="16" t="inlineStr">
        <is>
          <t>Rolex Rings Ltd.</t>
        </is>
      </c>
      <c r="C876" s="16" t="inlineStr">
        <is>
          <t>Auto Parts &amp; Equipment</t>
        </is>
      </c>
      <c r="D876" s="16" t="inlineStr">
        <is>
          <t>Automobiles &amp; Auto Components</t>
        </is>
      </c>
      <c r="E876" s="16" t="inlineStr">
        <is>
          <t>INE645S01024</t>
        </is>
      </c>
      <c r="F876" s="17" t="n">
        <v>4676.5</v>
      </c>
      <c r="G876" s="18" t="n">
        <v>171.72</v>
      </c>
      <c r="H876" s="19" t="n">
        <v>-0.0178</v>
      </c>
      <c r="I876" s="20" t="n">
        <v>78</v>
      </c>
      <c r="J876" s="16" t="inlineStr">
        <is>
          <t>amber</t>
        </is>
      </c>
      <c r="K876" s="20" t="n">
        <v>1</v>
      </c>
      <c r="L876" s="18" t="n">
        <v>40.43</v>
      </c>
      <c r="M876" s="18" t="n">
        <v>178.03</v>
      </c>
      <c r="N876" s="18" t="n">
        <v>157.97</v>
      </c>
      <c r="O876" s="18" t="n">
        <v>137.67</v>
      </c>
      <c r="P876" s="18" t="n">
        <v>185.82</v>
      </c>
      <c r="Q876" s="18" t="n">
        <v>100.44</v>
      </c>
      <c r="R876" s="21">
        <f>IF(OR(G876="",P876=""),"",G876/P876-1)</f>
        <v/>
      </c>
      <c r="S876" s="19" t="n">
        <v>0.1354</v>
      </c>
      <c r="T876" s="22" t="n">
        <v>0.04559999999999999</v>
      </c>
      <c r="U876" s="16" t="inlineStr">
        <is>
          <t>Yes</t>
        </is>
      </c>
      <c r="V876" s="16" t="inlineStr">
        <is>
          <t>Yes</t>
        </is>
      </c>
      <c r="W876" s="16" t="inlineStr">
        <is>
          <t>No</t>
        </is>
      </c>
      <c r="X876" s="16" t="inlineStr">
        <is>
          <t>Yes</t>
        </is>
      </c>
      <c r="Y876" s="20" t="n">
        <v>96</v>
      </c>
      <c r="Z876" s="19" t="n">
        <v>0.1475</v>
      </c>
      <c r="AA876" s="18" t="n">
        <v>40</v>
      </c>
      <c r="AB876" s="16" t="inlineStr">
        <is>
          <t>Weak</t>
        </is>
      </c>
      <c r="AC876" s="16" t="inlineStr">
        <is>
          <t>No</t>
        </is>
      </c>
      <c r="AD876" s="19" t="n">
        <v>0.1508</v>
      </c>
      <c r="AE876" s="19" t="n">
        <v>0.1935</v>
      </c>
      <c r="AF876" s="19" t="n">
        <v>-0.43</v>
      </c>
      <c r="AG876" s="19" t="n">
        <v>0.0149</v>
      </c>
      <c r="AH876" s="23" t="n">
        <v>0</v>
      </c>
      <c r="AI876" s="23" t="n">
        <v>2.36</v>
      </c>
      <c r="AJ876" s="19" t="n">
        <v>0.0796</v>
      </c>
    </row>
    <row r="877">
      <c r="A877" s="16" t="inlineStr">
        <is>
          <t>TEMPSENS</t>
        </is>
      </c>
      <c r="B877" s="16" t="inlineStr">
        <is>
          <t>Tempsens Instruments (India) Ltd.</t>
        </is>
      </c>
      <c r="C877" s="16" t="inlineStr">
        <is>
          <t>Other Industrial Products</t>
        </is>
      </c>
      <c r="D877" s="16" t="inlineStr">
        <is>
          <t>General Industrials</t>
        </is>
      </c>
      <c r="E877" s="16" t="inlineStr">
        <is>
          <t>INE1KZI01025</t>
        </is>
      </c>
      <c r="F877" s="17" t="n">
        <v>4651.04</v>
      </c>
      <c r="G877" s="18" t="n">
        <v>554.8</v>
      </c>
      <c r="H877" s="19" t="n">
        <v>-0.0242</v>
      </c>
      <c r="I877" s="20" t="n"/>
      <c r="J877" s="16" t="n"/>
      <c r="K877" s="20" t="n"/>
      <c r="L877" s="18" t="n"/>
      <c r="M877" s="18" t="n"/>
      <c r="N877" s="18" t="n"/>
      <c r="O877" s="18" t="n"/>
      <c r="P877" s="18" t="n">
        <v>586.65</v>
      </c>
      <c r="Q877" s="18" t="n">
        <v>539.05</v>
      </c>
      <c r="R877" s="21">
        <f>IF(OR(G877="",P877=""),"",G877/P877-1)</f>
        <v/>
      </c>
      <c r="S877" s="19" t="n">
        <v>0.1741</v>
      </c>
      <c r="T877" s="22" t="n"/>
      <c r="U877" s="16" t="n"/>
      <c r="V877" s="16" t="n"/>
      <c r="W877" s="16" t="n"/>
      <c r="X877" s="16" t="n"/>
      <c r="Y877" s="20" t="n"/>
      <c r="Z877" s="19" t="n"/>
      <c r="AA877" s="18" t="n"/>
      <c r="AB877" s="16" t="n"/>
      <c r="AC877" s="16" t="inlineStr">
        <is>
          <t>No</t>
        </is>
      </c>
      <c r="AD877" s="19" t="n"/>
      <c r="AE877" s="19" t="n"/>
      <c r="AF877" s="19" t="n"/>
      <c r="AG877" s="19" t="n"/>
      <c r="AH877" s="23" t="n"/>
      <c r="AI877" s="23" t="n"/>
      <c r="AJ877" s="19" t="n"/>
    </row>
    <row r="878">
      <c r="A878" s="16" t="inlineStr">
        <is>
          <t>SHILCTECH</t>
        </is>
      </c>
      <c r="B878" s="16" t="inlineStr">
        <is>
          <t>Shilchar Technologies Ltd.</t>
        </is>
      </c>
      <c r="C878" s="16" t="inlineStr">
        <is>
          <t>Other Electrical Equipment/Products</t>
        </is>
      </c>
      <c r="D878" s="16" t="inlineStr">
        <is>
          <t>Consumer Durables</t>
        </is>
      </c>
      <c r="E878" s="16" t="inlineStr">
        <is>
          <t>INE024F01011</t>
        </is>
      </c>
      <c r="F878" s="17" t="n">
        <v>4650.78</v>
      </c>
      <c r="G878" s="18" t="n">
        <v>4065.3</v>
      </c>
      <c r="H878" s="19" t="n">
        <v>0.0059</v>
      </c>
      <c r="I878" s="20" t="n">
        <v>51</v>
      </c>
      <c r="J878" s="16" t="inlineStr">
        <is>
          <t>red</t>
        </is>
      </c>
      <c r="K878" s="20" t="n">
        <v>18</v>
      </c>
      <c r="L878" s="18" t="n">
        <v>68.38</v>
      </c>
      <c r="M878" s="18" t="n">
        <v>4029.67</v>
      </c>
      <c r="N878" s="18" t="n">
        <v>4273.9</v>
      </c>
      <c r="O878" s="18" t="n"/>
      <c r="P878" s="18" t="n">
        <v>5296.82</v>
      </c>
      <c r="Q878" s="18" t="n">
        <v>2915.27</v>
      </c>
      <c r="R878" s="21">
        <f>IF(OR(G878="",P878=""),"",G878/P878-1)</f>
        <v/>
      </c>
      <c r="S878" s="19" t="n">
        <v>0.5689</v>
      </c>
      <c r="T878" s="22" t="n"/>
      <c r="U878" s="16" t="n"/>
      <c r="V878" s="16" t="inlineStr">
        <is>
          <t>No</t>
        </is>
      </c>
      <c r="W878" s="16" t="inlineStr">
        <is>
          <t>Yes</t>
        </is>
      </c>
      <c r="X878" s="16" t="n"/>
      <c r="Y878" s="20" t="n"/>
      <c r="Z878" s="19" t="n"/>
      <c r="AA878" s="18" t="n">
        <v>84.05</v>
      </c>
      <c r="AB878" s="16" t="inlineStr">
        <is>
          <t>High</t>
        </is>
      </c>
      <c r="AC878" s="16" t="inlineStr">
        <is>
          <t>No</t>
        </is>
      </c>
      <c r="AD878" s="19" t="n">
        <v>0.3947</v>
      </c>
      <c r="AE878" s="19" t="n">
        <v>0.5297999999999999</v>
      </c>
      <c r="AF878" s="19" t="n">
        <v>0.2431</v>
      </c>
      <c r="AG878" s="19" t="n">
        <v>0.3442</v>
      </c>
      <c r="AH878" s="23" t="n"/>
      <c r="AI878" s="23" t="n">
        <v>8.26</v>
      </c>
      <c r="AJ878" s="19" t="n">
        <v>0.1361</v>
      </c>
    </row>
    <row r="879">
      <c r="A879" s="16" t="inlineStr">
        <is>
          <t>SUBROS</t>
        </is>
      </c>
      <c r="B879" s="16" t="inlineStr">
        <is>
          <t>Subros Ltd.</t>
        </is>
      </c>
      <c r="C879" s="16" t="inlineStr">
        <is>
          <t>Auto Parts &amp; Equipment</t>
        </is>
      </c>
      <c r="D879" s="16" t="inlineStr">
        <is>
          <t>Automobiles &amp; Auto Components</t>
        </is>
      </c>
      <c r="E879" s="16" t="inlineStr">
        <is>
          <t>INE287B01021</t>
        </is>
      </c>
      <c r="F879" s="17" t="n">
        <v>4629.13</v>
      </c>
      <c r="G879" s="18" t="n">
        <v>709.6</v>
      </c>
      <c r="H879" s="19" t="n">
        <v>0.0053</v>
      </c>
      <c r="I879" s="20" t="n">
        <v>21</v>
      </c>
      <c r="J879" s="16" t="inlineStr">
        <is>
          <t>red</t>
        </is>
      </c>
      <c r="K879" s="20" t="n">
        <v>129</v>
      </c>
      <c r="L879" s="18" t="n">
        <v>7.65</v>
      </c>
      <c r="M879" s="18" t="n">
        <v>717.72</v>
      </c>
      <c r="N879" s="18" t="n">
        <v>782.65</v>
      </c>
      <c r="O879" s="18" t="n">
        <v>782.21</v>
      </c>
      <c r="P879" s="18" t="n">
        <v>1194.2</v>
      </c>
      <c r="Q879" s="18" t="n">
        <v>635.25</v>
      </c>
      <c r="R879" s="21">
        <f>IF(OR(G879="",P879=""),"",G879/P879-1)</f>
        <v/>
      </c>
      <c r="S879" s="19" t="n">
        <v>0.5226</v>
      </c>
      <c r="T879" s="22" t="n">
        <v>-0.0347</v>
      </c>
      <c r="U879" s="16" t="inlineStr">
        <is>
          <t>No</t>
        </is>
      </c>
      <c r="V879" s="16" t="inlineStr">
        <is>
          <t>No</t>
        </is>
      </c>
      <c r="W879" s="16" t="inlineStr">
        <is>
          <t>No</t>
        </is>
      </c>
      <c r="X879" s="16" t="inlineStr">
        <is>
          <t>Yes</t>
        </is>
      </c>
      <c r="Y879" s="20" t="n">
        <v>12</v>
      </c>
      <c r="Z879" s="19" t="n">
        <v>0.0005999999999999999</v>
      </c>
      <c r="AA879" s="18" t="n">
        <v>63.41</v>
      </c>
      <c r="AB879" s="16" t="inlineStr">
        <is>
          <t>Good</t>
        </is>
      </c>
      <c r="AC879" s="16" t="inlineStr">
        <is>
          <t>No</t>
        </is>
      </c>
      <c r="AD879" s="19" t="n">
        <v>0.1243</v>
      </c>
      <c r="AE879" s="19" t="n">
        <v>0.1716</v>
      </c>
      <c r="AF879" s="19" t="n">
        <v>0.5593</v>
      </c>
      <c r="AG879" s="19" t="n">
        <v>0.1029</v>
      </c>
      <c r="AH879" s="23" t="n">
        <v>0.06</v>
      </c>
      <c r="AI879" s="23" t="n">
        <v>5.75</v>
      </c>
      <c r="AJ879" s="19" t="n">
        <v>0.0806</v>
      </c>
    </row>
    <row r="880">
      <c r="A880" s="16" t="inlineStr">
        <is>
          <t>PTC</t>
        </is>
      </c>
      <c r="B880" s="16" t="inlineStr">
        <is>
          <t>PTC India Ltd.</t>
        </is>
      </c>
      <c r="C880" s="16" t="inlineStr">
        <is>
          <t>Power - Electric Utilities</t>
        </is>
      </c>
      <c r="D880" s="16" t="inlineStr">
        <is>
          <t>Utilities</t>
        </is>
      </c>
      <c r="E880" s="16" t="inlineStr">
        <is>
          <t>INE877F01012</t>
        </is>
      </c>
      <c r="F880" s="17" t="n">
        <v>4626.31</v>
      </c>
      <c r="G880" s="18" t="n">
        <v>156.29</v>
      </c>
      <c r="H880" s="19" t="n">
        <v>0.0067</v>
      </c>
      <c r="I880" s="20" t="n">
        <v>44</v>
      </c>
      <c r="J880" s="16" t="inlineStr">
        <is>
          <t>red</t>
        </is>
      </c>
      <c r="K880" s="20" t="n">
        <v>20</v>
      </c>
      <c r="L880" s="18" t="n">
        <v>40.57</v>
      </c>
      <c r="M880" s="18" t="n">
        <v>155.75</v>
      </c>
      <c r="N880" s="18" t="n">
        <v>157.19</v>
      </c>
      <c r="O880" s="18" t="n">
        <v>154.71</v>
      </c>
      <c r="P880" s="18" t="n">
        <v>201.66</v>
      </c>
      <c r="Q880" s="18" t="n">
        <v>132.94</v>
      </c>
      <c r="R880" s="21">
        <f>IF(OR(G880="",P880=""),"",G880/P880-1)</f>
        <v/>
      </c>
      <c r="S880" s="19" t="n">
        <v>0.2876</v>
      </c>
      <c r="T880" s="22" t="n">
        <v>0.0092</v>
      </c>
      <c r="U880" s="16" t="inlineStr">
        <is>
          <t>Yes</t>
        </is>
      </c>
      <c r="V880" s="16" t="inlineStr">
        <is>
          <t>No</t>
        </is>
      </c>
      <c r="W880" s="16" t="inlineStr">
        <is>
          <t>Yes</t>
        </is>
      </c>
      <c r="X880" s="16" t="inlineStr">
        <is>
          <t>Yes</t>
        </is>
      </c>
      <c r="Y880" s="20" t="n">
        <v>106</v>
      </c>
      <c r="Z880" s="19" t="n">
        <v>0.0161</v>
      </c>
      <c r="AA880" s="18" t="n">
        <v>50.39</v>
      </c>
      <c r="AB880" s="16" t="inlineStr">
        <is>
          <t>Average</t>
        </is>
      </c>
      <c r="AC880" s="16" t="inlineStr">
        <is>
          <t>No</t>
        </is>
      </c>
      <c r="AD880" s="19" t="n">
        <v>0.1164</v>
      </c>
      <c r="AE880" s="19" t="n">
        <v>0.1579</v>
      </c>
      <c r="AF880" s="19" t="n">
        <v>0.2103</v>
      </c>
      <c r="AG880" s="19" t="n">
        <v>0.0298</v>
      </c>
      <c r="AH880" s="23" t="n">
        <v>0.3</v>
      </c>
      <c r="AI880" s="23" t="n">
        <v>544.24</v>
      </c>
      <c r="AJ880" s="19" t="n">
        <v>0</v>
      </c>
    </row>
    <row r="881">
      <c r="A881" s="16" t="inlineStr">
        <is>
          <t>AYE</t>
        </is>
      </c>
      <c r="B881" s="16" t="inlineStr">
        <is>
          <t>Aye Finance Ltd.</t>
        </is>
      </c>
      <c r="C881" s="16" t="inlineStr">
        <is>
          <t>Finance (including NBFCs)</t>
        </is>
      </c>
      <c r="D881" s="16" t="inlineStr">
        <is>
          <t>Banking and Finance</t>
        </is>
      </c>
      <c r="E881" s="16" t="inlineStr">
        <is>
          <t>INE501X01029</t>
        </is>
      </c>
      <c r="F881" s="17" t="n">
        <v>4560.85</v>
      </c>
      <c r="G881" s="18" t="n">
        <v>184.81</v>
      </c>
      <c r="H881" s="19" t="n">
        <v>0.0233</v>
      </c>
      <c r="I881" s="20" t="n">
        <v>78</v>
      </c>
      <c r="J881" s="16" t="inlineStr">
        <is>
          <t>amber</t>
        </is>
      </c>
      <c r="K881" s="20" t="n">
        <v>1</v>
      </c>
      <c r="L881" s="18" t="n">
        <v>65.01000000000001</v>
      </c>
      <c r="M881" s="18" t="n">
        <v>178.76</v>
      </c>
      <c r="N881" s="18" t="n">
        <v>172.33</v>
      </c>
      <c r="O881" s="18" t="n"/>
      <c r="P881" s="18" t="n">
        <v>189.13</v>
      </c>
      <c r="Q881" s="18" t="n">
        <v>90.06999999999999</v>
      </c>
      <c r="R881" s="21">
        <f>IF(OR(G881="",P881=""),"",G881/P881-1)</f>
        <v/>
      </c>
      <c r="S881" s="19" t="n">
        <v>0.8253</v>
      </c>
      <c r="T881" s="22" t="n"/>
      <c r="U881" s="16" t="n"/>
      <c r="V881" s="16" t="inlineStr">
        <is>
          <t>Yes</t>
        </is>
      </c>
      <c r="W881" s="16" t="inlineStr">
        <is>
          <t>Yes</t>
        </is>
      </c>
      <c r="X881" s="16" t="n"/>
      <c r="Y881" s="20" t="n"/>
      <c r="Z881" s="19" t="n"/>
      <c r="AA881" s="18" t="n">
        <v>59.43</v>
      </c>
      <c r="AB881" s="16" t="inlineStr">
        <is>
          <t>Good</t>
        </is>
      </c>
      <c r="AC881" s="16" t="inlineStr">
        <is>
          <t>Yes</t>
        </is>
      </c>
      <c r="AD881" s="19" t="n">
        <v>0.1063</v>
      </c>
      <c r="AE881" s="19" t="n">
        <v>0.0639</v>
      </c>
      <c r="AF881" s="19" t="n">
        <v>1.2256</v>
      </c>
      <c r="AG881" s="19" t="n">
        <v>0.4278</v>
      </c>
      <c r="AH881" s="23" t="n">
        <v>2</v>
      </c>
      <c r="AI881" s="23" t="n">
        <v>28.75</v>
      </c>
      <c r="AJ881" s="19" t="n">
        <v>0</v>
      </c>
    </row>
    <row r="882">
      <c r="A882" s="16" t="inlineStr">
        <is>
          <t>SEAMECLTD</t>
        </is>
      </c>
      <c r="B882" s="16" t="inlineStr">
        <is>
          <t>Seamec Ltd.</t>
        </is>
      </c>
      <c r="C882" s="16" t="inlineStr">
        <is>
          <t>Shipping</t>
        </is>
      </c>
      <c r="D882" s="16" t="inlineStr">
        <is>
          <t>Transportation</t>
        </is>
      </c>
      <c r="E882" s="16" t="inlineStr">
        <is>
          <t>INE497B01018</t>
        </is>
      </c>
      <c r="F882" s="17" t="n">
        <v>4560.23</v>
      </c>
      <c r="G882" s="18" t="n">
        <v>1793.6</v>
      </c>
      <c r="H882" s="19" t="n">
        <v>0.0039</v>
      </c>
      <c r="I882" s="20" t="n">
        <v>84</v>
      </c>
      <c r="J882" s="16" t="inlineStr">
        <is>
          <t>green</t>
        </is>
      </c>
      <c r="K882" s="20" t="n">
        <v>24</v>
      </c>
      <c r="L882" s="18" t="n">
        <v>79.28</v>
      </c>
      <c r="M882" s="18" t="n">
        <v>1703.57</v>
      </c>
      <c r="N882" s="18" t="n">
        <v>1514.3</v>
      </c>
      <c r="O882" s="18" t="n">
        <v>1363.56</v>
      </c>
      <c r="P882" s="18" t="n">
        <v>1793.6</v>
      </c>
      <c r="Q882" s="18" t="n">
        <v>789.77</v>
      </c>
      <c r="R882" s="21">
        <f>IF(OR(G882="",P882=""),"",G882/P882-1)</f>
        <v/>
      </c>
      <c r="S882" s="19" t="n">
        <v>1.085</v>
      </c>
      <c r="T882" s="22" t="n">
        <v>0.0607</v>
      </c>
      <c r="U882" s="16" t="inlineStr">
        <is>
          <t>Yes</t>
        </is>
      </c>
      <c r="V882" s="16" t="inlineStr">
        <is>
          <t>Yes</t>
        </is>
      </c>
      <c r="W882" s="16" t="inlineStr">
        <is>
          <t>Yes</t>
        </is>
      </c>
      <c r="X882" s="16" t="inlineStr">
        <is>
          <t>Yes</t>
        </is>
      </c>
      <c r="Y882" s="20" t="n">
        <v>179</v>
      </c>
      <c r="Z882" s="19" t="n">
        <v>0.1105</v>
      </c>
      <c r="AA882" s="18" t="n">
        <v>53.43</v>
      </c>
      <c r="AB882" s="16" t="inlineStr">
        <is>
          <t>Good</t>
        </is>
      </c>
      <c r="AC882" s="16" t="inlineStr">
        <is>
          <t>No</t>
        </is>
      </c>
      <c r="AD882" s="19" t="n">
        <v>0.1378</v>
      </c>
      <c r="AE882" s="19" t="n">
        <v>0.1281</v>
      </c>
      <c r="AF882" s="19" t="n">
        <v>0.4385</v>
      </c>
      <c r="AG882" s="19" t="n">
        <v>0.3435</v>
      </c>
      <c r="AH882" s="23" t="n">
        <v>0.27</v>
      </c>
      <c r="AI882" s="23" t="n">
        <v>1.08</v>
      </c>
      <c r="AJ882" s="19" t="n">
        <v>0</v>
      </c>
    </row>
    <row r="883">
      <c r="A883" s="16" t="inlineStr">
        <is>
          <t>DHANUKA</t>
        </is>
      </c>
      <c r="B883" s="16" t="inlineStr">
        <is>
          <t>Dhanuka Agritech Ltd.</t>
        </is>
      </c>
      <c r="C883" s="16" t="inlineStr">
        <is>
          <t>Agrochemicals</t>
        </is>
      </c>
      <c r="D883" s="16" t="inlineStr">
        <is>
          <t>Chemicals &amp; Petrochemicals</t>
        </is>
      </c>
      <c r="E883" s="16" t="inlineStr">
        <is>
          <t>INE435G01025</t>
        </is>
      </c>
      <c r="F883" s="17" t="n">
        <v>4555.84</v>
      </c>
      <c r="G883" s="18" t="n">
        <v>1010.65</v>
      </c>
      <c r="H883" s="19" t="n">
        <v>0.0005</v>
      </c>
      <c r="I883" s="20" t="n">
        <v>15</v>
      </c>
      <c r="J883" s="16" t="inlineStr">
        <is>
          <t>red</t>
        </is>
      </c>
      <c r="K883" s="20" t="n">
        <v>264</v>
      </c>
      <c r="L883" s="18" t="n">
        <v>57.32</v>
      </c>
      <c r="M883" s="18" t="n">
        <v>991.26</v>
      </c>
      <c r="N883" s="18" t="n">
        <v>1019.22</v>
      </c>
      <c r="O883" s="18" t="n">
        <v>1076.03</v>
      </c>
      <c r="P883" s="18" t="n">
        <v>1641.84</v>
      </c>
      <c r="Q883" s="18" t="n">
        <v>896.67</v>
      </c>
      <c r="R883" s="21">
        <f>IF(OR(G883="",P883=""),"",G883/P883-1)</f>
        <v/>
      </c>
      <c r="S883" s="19" t="n">
        <v>0.4479</v>
      </c>
      <c r="T883" s="22" t="n">
        <v>-0.0318</v>
      </c>
      <c r="U883" s="16" t="inlineStr">
        <is>
          <t>No</t>
        </is>
      </c>
      <c r="V883" s="16" t="inlineStr">
        <is>
          <t>No</t>
        </is>
      </c>
      <c r="W883" s="16" t="inlineStr">
        <is>
          <t>Yes</t>
        </is>
      </c>
      <c r="X883" s="16" t="inlineStr">
        <is>
          <t>No</t>
        </is>
      </c>
      <c r="Y883" s="20" t="n">
        <v>206</v>
      </c>
      <c r="Z883" s="19" t="n">
        <v>-0.0528</v>
      </c>
      <c r="AA883" s="18" t="n">
        <v>65.12</v>
      </c>
      <c r="AB883" s="16" t="inlineStr">
        <is>
          <t>High</t>
        </is>
      </c>
      <c r="AC883" s="16" t="inlineStr">
        <is>
          <t>No</t>
        </is>
      </c>
      <c r="AD883" s="19" t="n">
        <v>0.191</v>
      </c>
      <c r="AE883" s="19" t="n">
        <v>0.2477</v>
      </c>
      <c r="AF883" s="19" t="n">
        <v>0.08779999999999999</v>
      </c>
      <c r="AG883" s="19" t="n">
        <v>0.0538</v>
      </c>
      <c r="AH883" s="23" t="n">
        <v>0.02</v>
      </c>
      <c r="AI883" s="23" t="n">
        <v>6.08</v>
      </c>
      <c r="AJ883" s="19" t="n">
        <v>0.043</v>
      </c>
    </row>
    <row r="884">
      <c r="A884" s="16" t="inlineStr">
        <is>
          <t>GREAVESCOT</t>
        </is>
      </c>
      <c r="B884" s="16" t="inlineStr">
        <is>
          <t>Greaves Cotton Ltd.</t>
        </is>
      </c>
      <c r="C884" s="16" t="inlineStr">
        <is>
          <t>Auto Parts &amp; Equipment</t>
        </is>
      </c>
      <c r="D884" s="16" t="inlineStr">
        <is>
          <t>Automobiles &amp; Auto Components</t>
        </is>
      </c>
      <c r="E884" s="16" t="inlineStr">
        <is>
          <t>INE224A01026</t>
        </is>
      </c>
      <c r="F884" s="17" t="n">
        <v>4555.6</v>
      </c>
      <c r="G884" s="18" t="n">
        <v>195.56</v>
      </c>
      <c r="H884" s="19" t="n">
        <v>0.004</v>
      </c>
      <c r="I884" s="20" t="n">
        <v>48</v>
      </c>
      <c r="J884" s="16" t="inlineStr">
        <is>
          <t>red</t>
        </is>
      </c>
      <c r="K884" s="20" t="n">
        <v>16</v>
      </c>
      <c r="L884" s="18" t="n">
        <v>50.84</v>
      </c>
      <c r="M884" s="18" t="n">
        <v>195.17</v>
      </c>
      <c r="N884" s="18" t="n">
        <v>217.3</v>
      </c>
      <c r="O884" s="18" t="n">
        <v>181.42</v>
      </c>
      <c r="P884" s="18" t="n">
        <v>261.46</v>
      </c>
      <c r="Q884" s="18" t="n">
        <v>119.63</v>
      </c>
      <c r="R884" s="21">
        <f>IF(OR(G884="",P884=""),"",G884/P884-1)</f>
        <v/>
      </c>
      <c r="S884" s="19" t="n">
        <v>0.2917</v>
      </c>
      <c r="T884" s="22" t="n">
        <v>-0.0091</v>
      </c>
      <c r="U884" s="16" t="inlineStr">
        <is>
          <t>No</t>
        </is>
      </c>
      <c r="V884" s="16" t="inlineStr">
        <is>
          <t>No</t>
        </is>
      </c>
      <c r="W884" s="16" t="inlineStr">
        <is>
          <t>Yes</t>
        </is>
      </c>
      <c r="X884" s="16" t="inlineStr">
        <is>
          <t>Yes</t>
        </is>
      </c>
      <c r="Y884" s="20" t="n">
        <v>48</v>
      </c>
      <c r="Z884" s="19" t="n">
        <v>0.1978</v>
      </c>
      <c r="AA884" s="18" t="n">
        <v>31.01</v>
      </c>
      <c r="AB884" s="16" t="inlineStr">
        <is>
          <t>Poor</t>
        </is>
      </c>
      <c r="AC884" s="16" t="inlineStr">
        <is>
          <t>No</t>
        </is>
      </c>
      <c r="AD884" s="19" t="n">
        <v>0.0075</v>
      </c>
      <c r="AE884" s="19" t="n">
        <v>-0.0122</v>
      </c>
      <c r="AF884" s="19" t="n">
        <v>-0.1625</v>
      </c>
      <c r="AG884" s="19" t="n">
        <v>0.08960000000000001</v>
      </c>
      <c r="AH884" s="23" t="n">
        <v>0.28</v>
      </c>
      <c r="AI884" s="23" t="n">
        <v>7</v>
      </c>
      <c r="AJ884" s="19" t="n">
        <v>0.0759</v>
      </c>
    </row>
    <row r="885">
      <c r="A885" s="16" t="inlineStr">
        <is>
          <t>MPSLTD</t>
        </is>
      </c>
      <c r="B885" s="16" t="inlineStr">
        <is>
          <t>MPS Ltd.</t>
        </is>
      </c>
      <c r="C885" s="16" t="inlineStr">
        <is>
          <t>Publishing</t>
        </is>
      </c>
      <c r="D885" s="16" t="inlineStr">
        <is>
          <t>Commercial Services &amp; Supplies</t>
        </is>
      </c>
      <c r="E885" s="16" t="inlineStr">
        <is>
          <t>INE943D01017</t>
        </is>
      </c>
      <c r="F885" s="17" t="n">
        <v>4548.26</v>
      </c>
      <c r="G885" s="18" t="n">
        <v>2658.9</v>
      </c>
      <c r="H885" s="19" t="n">
        <v>0.0146</v>
      </c>
      <c r="I885" s="20" t="n">
        <v>83</v>
      </c>
      <c r="J885" s="16" t="inlineStr">
        <is>
          <t>green</t>
        </is>
      </c>
      <c r="K885" s="20" t="n">
        <v>33</v>
      </c>
      <c r="L885" s="18" t="n">
        <v>36.11</v>
      </c>
      <c r="M885" s="18" t="n">
        <v>2656.58</v>
      </c>
      <c r="N885" s="18" t="n">
        <v>2488.21</v>
      </c>
      <c r="O885" s="18" t="n">
        <v>1959.01</v>
      </c>
      <c r="P885" s="18" t="n">
        <v>2931.2</v>
      </c>
      <c r="Q885" s="18" t="n">
        <v>1366.7</v>
      </c>
      <c r="R885" s="21">
        <f>IF(OR(G885="",P885=""),"",G885/P885-1)</f>
        <v/>
      </c>
      <c r="S885" s="19" t="n">
        <v>0.3648</v>
      </c>
      <c r="T885" s="22" t="n">
        <v>0.0265</v>
      </c>
      <c r="U885" s="16" t="inlineStr">
        <is>
          <t>Yes</t>
        </is>
      </c>
      <c r="V885" s="16" t="inlineStr">
        <is>
          <t>Yes</t>
        </is>
      </c>
      <c r="W885" s="16" t="inlineStr">
        <is>
          <t>Yes</t>
        </is>
      </c>
      <c r="X885" s="16" t="inlineStr">
        <is>
          <t>Yes</t>
        </is>
      </c>
      <c r="Y885" s="20" t="n">
        <v>33</v>
      </c>
      <c r="Z885" s="19" t="n">
        <v>0.2701</v>
      </c>
      <c r="AA885" s="18" t="n">
        <v>72.44</v>
      </c>
      <c r="AB885" s="16" t="inlineStr">
        <is>
          <t>High</t>
        </is>
      </c>
      <c r="AC885" s="16" t="inlineStr">
        <is>
          <t>No</t>
        </is>
      </c>
      <c r="AD885" s="19" t="n">
        <v>0.2867</v>
      </c>
      <c r="AE885" s="19" t="n">
        <v>0.3733</v>
      </c>
      <c r="AF885" s="19" t="n">
        <v>0.1709</v>
      </c>
      <c r="AG885" s="19" t="n">
        <v>0.1599</v>
      </c>
      <c r="AH885" s="23" t="n">
        <v>0.1</v>
      </c>
      <c r="AI885" s="23" t="n">
        <v>17.2</v>
      </c>
      <c r="AJ885" s="19" t="n">
        <v>0</v>
      </c>
    </row>
    <row r="886">
      <c r="A886" s="16" t="inlineStr">
        <is>
          <t>SGFIN</t>
        </is>
      </c>
      <c r="B886" s="16" t="inlineStr">
        <is>
          <t>SG Finserve Ltd.</t>
        </is>
      </c>
      <c r="C886" s="16" t="inlineStr">
        <is>
          <t>Other Financial Services</t>
        </is>
      </c>
      <c r="D886" s="16" t="inlineStr">
        <is>
          <t>Banking and Finance</t>
        </is>
      </c>
      <c r="E886" s="16" t="inlineStr">
        <is>
          <t>INE618R01015</t>
        </is>
      </c>
      <c r="F886" s="17" t="n">
        <v>4522.26</v>
      </c>
      <c r="G886" s="18" t="n">
        <v>675.7</v>
      </c>
      <c r="H886" s="19" t="n">
        <v>-0.0016</v>
      </c>
      <c r="I886" s="20" t="n">
        <v>85</v>
      </c>
      <c r="J886" s="16" t="inlineStr">
        <is>
          <t>green</t>
        </is>
      </c>
      <c r="K886" s="20" t="n">
        <v>114</v>
      </c>
      <c r="L886" s="18" t="n">
        <v>58.23</v>
      </c>
      <c r="M886" s="18" t="n">
        <v>682.78</v>
      </c>
      <c r="N886" s="18" t="n">
        <v>669.29</v>
      </c>
      <c r="O886" s="18" t="n">
        <v>511.25</v>
      </c>
      <c r="P886" s="18" t="n">
        <v>709.85</v>
      </c>
      <c r="Q886" s="18" t="n">
        <v>334.75</v>
      </c>
      <c r="R886" s="21">
        <f>IF(OR(G886="",P886=""),"",G886/P886-1)</f>
        <v/>
      </c>
      <c r="S886" s="19" t="n">
        <v>0.6639</v>
      </c>
      <c r="T886" s="22" t="n">
        <v>0.0585</v>
      </c>
      <c r="U886" s="16" t="inlineStr">
        <is>
          <t>Yes</t>
        </is>
      </c>
      <c r="V886" s="16" t="inlineStr">
        <is>
          <t>Yes</t>
        </is>
      </c>
      <c r="W886" s="16" t="inlineStr">
        <is>
          <t>No</t>
        </is>
      </c>
      <c r="X886" s="16" t="inlineStr">
        <is>
          <t>Yes</t>
        </is>
      </c>
      <c r="Y886" s="20" t="n">
        <v>73</v>
      </c>
      <c r="Z886" s="19" t="n">
        <v>0.3091</v>
      </c>
      <c r="AA886" s="18" t="n">
        <v>57.47</v>
      </c>
      <c r="AB886" s="16" t="inlineStr">
        <is>
          <t>Good</t>
        </is>
      </c>
      <c r="AC886" s="16" t="inlineStr">
        <is>
          <t>Yes</t>
        </is>
      </c>
      <c r="AD886" s="19" t="n">
        <v>0.0882</v>
      </c>
      <c r="AE886" s="19" t="n">
        <v>0.075</v>
      </c>
      <c r="AF886" s="19" t="n">
        <v>0.8588</v>
      </c>
      <c r="AG886" s="19" t="n">
        <v>1.5117</v>
      </c>
      <c r="AH886" s="23" t="n">
        <v>1.85</v>
      </c>
      <c r="AI886" s="23" t="n">
        <v>452.44</v>
      </c>
      <c r="AJ886" s="19" t="n">
        <v>0</v>
      </c>
    </row>
    <row r="887">
      <c r="A887" s="16" t="inlineStr">
        <is>
          <t>DATAMATICS</t>
        </is>
      </c>
      <c r="B887" s="16" t="inlineStr">
        <is>
          <t>Datamatics Global Services Ltd.</t>
        </is>
      </c>
      <c r="C887" s="16" t="inlineStr">
        <is>
          <t>IT Consulting &amp; Software</t>
        </is>
      </c>
      <c r="D887" s="16" t="inlineStr">
        <is>
          <t>Software &amp; Services</t>
        </is>
      </c>
      <c r="E887" s="16" t="inlineStr">
        <is>
          <t>INE365B01017</t>
        </is>
      </c>
      <c r="F887" s="17" t="n">
        <v>4521.05</v>
      </c>
      <c r="G887" s="18" t="n">
        <v>764.9</v>
      </c>
      <c r="H887" s="19" t="n">
        <v>-0.0128</v>
      </c>
      <c r="I887" s="20" t="n">
        <v>30</v>
      </c>
      <c r="J887" s="16" t="inlineStr">
        <is>
          <t>red</t>
        </is>
      </c>
      <c r="K887" s="20" t="n">
        <v>28</v>
      </c>
      <c r="L887" s="18" t="n">
        <v>13.27</v>
      </c>
      <c r="M887" s="18" t="n">
        <v>779.76</v>
      </c>
      <c r="N887" s="18" t="n">
        <v>831.45</v>
      </c>
      <c r="O887" s="18" t="n">
        <v>779.0700000000001</v>
      </c>
      <c r="P887" s="18" t="n">
        <v>1010.91</v>
      </c>
      <c r="Q887" s="18" t="n">
        <v>637.25</v>
      </c>
      <c r="R887" s="21">
        <f>IF(OR(G887="",P887=""),"",G887/P887-1)</f>
        <v/>
      </c>
      <c r="S887" s="19" t="n">
        <v>0.6097</v>
      </c>
      <c r="T887" s="22" t="n">
        <v>-0.0114</v>
      </c>
      <c r="U887" s="16" t="inlineStr">
        <is>
          <t>No</t>
        </is>
      </c>
      <c r="V887" s="16" t="inlineStr">
        <is>
          <t>No</t>
        </is>
      </c>
      <c r="W887" s="16" t="inlineStr">
        <is>
          <t>No</t>
        </is>
      </c>
      <c r="X887" s="16" t="inlineStr">
        <is>
          <t>Yes</t>
        </is>
      </c>
      <c r="Y887" s="20" t="n">
        <v>41</v>
      </c>
      <c r="Z887" s="19" t="n">
        <v>0.0672</v>
      </c>
      <c r="AA887" s="18" t="n">
        <v>57.2</v>
      </c>
      <c r="AB887" s="16" t="inlineStr">
        <is>
          <t>Good</t>
        </is>
      </c>
      <c r="AC887" s="16" t="inlineStr">
        <is>
          <t>No</t>
        </is>
      </c>
      <c r="AD887" s="19" t="n">
        <v>0.1458</v>
      </c>
      <c r="AE887" s="19" t="n">
        <v>0.1758</v>
      </c>
      <c r="AF887" s="19" t="n">
        <v>0.009399999999999999</v>
      </c>
      <c r="AG887" s="19" t="n">
        <v>0.109</v>
      </c>
      <c r="AH887" s="23" t="n">
        <v>0.14</v>
      </c>
      <c r="AI887" s="23" t="n">
        <v>10.29</v>
      </c>
      <c r="AJ887" s="19" t="n">
        <v>0.0455</v>
      </c>
    </row>
    <row r="888">
      <c r="A888" s="16" t="inlineStr">
        <is>
          <t>RPGLIFE</t>
        </is>
      </c>
      <c r="B888" s="16" t="inlineStr">
        <is>
          <t>RPG Life Sciences Ltd.</t>
        </is>
      </c>
      <c r="C888" s="16" t="inlineStr">
        <is>
          <t>Pharmaceuticals</t>
        </is>
      </c>
      <c r="D888" s="16" t="inlineStr">
        <is>
          <t>Pharmaceuticals &amp; Biotechnology</t>
        </is>
      </c>
      <c r="E888" s="16" t="inlineStr">
        <is>
          <t>INE105J01010</t>
        </is>
      </c>
      <c r="F888" s="17" t="n">
        <v>4501.25</v>
      </c>
      <c r="G888" s="18" t="n">
        <v>2721.6</v>
      </c>
      <c r="H888" s="19" t="n">
        <v>0.0261</v>
      </c>
      <c r="I888" s="20" t="n">
        <v>75</v>
      </c>
      <c r="J888" s="16" t="inlineStr">
        <is>
          <t>amber</t>
        </is>
      </c>
      <c r="K888" s="20" t="n">
        <v>29</v>
      </c>
      <c r="L888" s="18" t="n">
        <v>48.15</v>
      </c>
      <c r="M888" s="18" t="n">
        <v>2607.04</v>
      </c>
      <c r="N888" s="18" t="n">
        <v>2685.79</v>
      </c>
      <c r="O888" s="18" t="n">
        <v>2258.34</v>
      </c>
      <c r="P888" s="18" t="n">
        <v>3017.1</v>
      </c>
      <c r="Q888" s="18" t="n">
        <v>1726.93</v>
      </c>
      <c r="R888" s="21">
        <f>IF(OR(G888="",P888=""),"",G888/P888-1)</f>
        <v/>
      </c>
      <c r="S888" s="19" t="n">
        <v>1.342</v>
      </c>
      <c r="T888" s="22" t="n">
        <v>0.0134</v>
      </c>
      <c r="U888" s="16" t="inlineStr">
        <is>
          <t>Yes</t>
        </is>
      </c>
      <c r="V888" s="16" t="inlineStr">
        <is>
          <t>Yes</t>
        </is>
      </c>
      <c r="W888" s="16" t="inlineStr">
        <is>
          <t>Yes</t>
        </is>
      </c>
      <c r="X888" s="16" t="inlineStr">
        <is>
          <t>Yes</t>
        </is>
      </c>
      <c r="Y888" s="20" t="n">
        <v>56</v>
      </c>
      <c r="Z888" s="19" t="n">
        <v>0.1893</v>
      </c>
      <c r="AA888" s="18" t="n">
        <v>73.93000000000001</v>
      </c>
      <c r="AB888" s="16" t="inlineStr">
        <is>
          <t>High</t>
        </is>
      </c>
      <c r="AC888" s="16" t="inlineStr">
        <is>
          <t>No</t>
        </is>
      </c>
      <c r="AD888" s="19" t="n">
        <v>0.2565</v>
      </c>
      <c r="AE888" s="19" t="n">
        <v>0.3346</v>
      </c>
      <c r="AF888" s="19" t="n">
        <v>0.3383</v>
      </c>
      <c r="AG888" s="19" t="n">
        <v>0.1133</v>
      </c>
      <c r="AH888" s="23" t="n">
        <v>0.03</v>
      </c>
      <c r="AI888" s="23" t="n">
        <v>3.32</v>
      </c>
      <c r="AJ888" s="19" t="n">
        <v>0.0946</v>
      </c>
    </row>
    <row r="889">
      <c r="A889" s="16" t="inlineStr">
        <is>
          <t>GUFICBIO</t>
        </is>
      </c>
      <c r="B889" s="16" t="inlineStr">
        <is>
          <t>Gufic BioSciences Ltd.</t>
        </is>
      </c>
      <c r="C889" s="16" t="inlineStr">
        <is>
          <t>Pharmaceuticals</t>
        </is>
      </c>
      <c r="D889" s="16" t="inlineStr">
        <is>
          <t>Pharmaceuticals &amp; Biotechnology</t>
        </is>
      </c>
      <c r="E889" s="16" t="inlineStr">
        <is>
          <t>INE742B01025</t>
        </is>
      </c>
      <c r="F889" s="17" t="n">
        <v>4461.57</v>
      </c>
      <c r="G889" s="18" t="n">
        <v>444.9</v>
      </c>
      <c r="H889" s="19" t="n">
        <v>0.0126</v>
      </c>
      <c r="I889" s="20" t="n">
        <v>73</v>
      </c>
      <c r="J889" s="16" t="inlineStr">
        <is>
          <t>amber</t>
        </is>
      </c>
      <c r="K889" s="20" t="n">
        <v>10</v>
      </c>
      <c r="L889" s="18" t="n">
        <v>63.32</v>
      </c>
      <c r="M889" s="18" t="n">
        <v>423.4</v>
      </c>
      <c r="N889" s="18" t="n">
        <v>403.48</v>
      </c>
      <c r="O889" s="18" t="n">
        <v>338.83</v>
      </c>
      <c r="P889" s="18" t="n">
        <v>444.9</v>
      </c>
      <c r="Q889" s="18" t="n">
        <v>273.43</v>
      </c>
      <c r="R889" s="21">
        <f>IF(OR(G889="",P889=""),"",G889/P889-1)</f>
        <v/>
      </c>
      <c r="S889" s="19" t="n">
        <v>0.7337</v>
      </c>
      <c r="T889" s="22" t="n">
        <v>0.0284</v>
      </c>
      <c r="U889" s="16" t="inlineStr">
        <is>
          <t>Yes</t>
        </is>
      </c>
      <c r="V889" s="16" t="inlineStr">
        <is>
          <t>Yes</t>
        </is>
      </c>
      <c r="W889" s="16" t="inlineStr">
        <is>
          <t>Yes</t>
        </is>
      </c>
      <c r="X889" s="16" t="inlineStr">
        <is>
          <t>Yes</t>
        </is>
      </c>
      <c r="Y889" s="20" t="n">
        <v>49</v>
      </c>
      <c r="Z889" s="19" t="n">
        <v>0.1908</v>
      </c>
      <c r="AA889" s="18" t="n">
        <v>36.56</v>
      </c>
      <c r="AB889" s="16" t="inlineStr">
        <is>
          <t>Weak</t>
        </is>
      </c>
      <c r="AC889" s="16" t="inlineStr">
        <is>
          <t>No</t>
        </is>
      </c>
      <c r="AD889" s="19" t="n">
        <v>0.1247</v>
      </c>
      <c r="AE889" s="19" t="n">
        <v>0.1303</v>
      </c>
      <c r="AF889" s="19" t="n">
        <v>-0.3804999999999999</v>
      </c>
      <c r="AG889" s="19" t="n">
        <v>0.1163</v>
      </c>
      <c r="AH889" s="23" t="n">
        <v>0.61</v>
      </c>
      <c r="AI889" s="23" t="n">
        <v>1.86</v>
      </c>
      <c r="AJ889" s="19" t="n">
        <v>0.0437</v>
      </c>
    </row>
    <row r="890">
      <c r="A890" s="16" t="inlineStr">
        <is>
          <t>VIPIND</t>
        </is>
      </c>
      <c r="B890" s="16" t="inlineStr">
        <is>
          <t>VIP Industries Ltd.</t>
        </is>
      </c>
      <c r="C890" s="16" t="inlineStr">
        <is>
          <t>Other Apparels &amp; Accessories</t>
        </is>
      </c>
      <c r="D890" s="16" t="inlineStr">
        <is>
          <t>Textiles Apparels &amp; Accessories</t>
        </is>
      </c>
      <c r="E890" s="16" t="inlineStr">
        <is>
          <t>INE054A01027</t>
        </is>
      </c>
      <c r="F890" s="17" t="n">
        <v>4461.2</v>
      </c>
      <c r="G890" s="18" t="n">
        <v>314.05</v>
      </c>
      <c r="H890" s="19" t="n">
        <v>0.0119</v>
      </c>
      <c r="I890" s="20" t="n">
        <v>19</v>
      </c>
      <c r="J890" s="16" t="inlineStr">
        <is>
          <t>red</t>
        </is>
      </c>
      <c r="K890" s="20" t="n">
        <v>116</v>
      </c>
      <c r="L890" s="18" t="n">
        <v>60.27</v>
      </c>
      <c r="M890" s="18" t="n">
        <v>307.51</v>
      </c>
      <c r="N890" s="18" t="n">
        <v>303.98</v>
      </c>
      <c r="O890" s="18" t="n">
        <v>332.19</v>
      </c>
      <c r="P890" s="18" t="n">
        <v>449.95</v>
      </c>
      <c r="Q890" s="18" t="n">
        <v>290.85</v>
      </c>
      <c r="R890" s="21">
        <f>IF(OR(G890="",P890=""),"",G890/P890-1)</f>
        <v/>
      </c>
      <c r="S890" s="19" t="n">
        <v>1.3935</v>
      </c>
      <c r="T890" s="22" t="n">
        <v>-0.0295</v>
      </c>
      <c r="U890" s="16" t="inlineStr">
        <is>
          <t>No</t>
        </is>
      </c>
      <c r="V890" s="16" t="inlineStr">
        <is>
          <t>Yes</t>
        </is>
      </c>
      <c r="W890" s="16" t="inlineStr">
        <is>
          <t>Yes</t>
        </is>
      </c>
      <c r="X890" s="16" t="inlineStr">
        <is>
          <t>No</t>
        </is>
      </c>
      <c r="Y890" s="20" t="n">
        <v>173</v>
      </c>
      <c r="Z890" s="19" t="n">
        <v>-0.0849</v>
      </c>
      <c r="AA890" s="18" t="n">
        <v>0</v>
      </c>
      <c r="AB890" s="16" t="inlineStr">
        <is>
          <t>Poor</t>
        </is>
      </c>
      <c r="AC890" s="16" t="inlineStr">
        <is>
          <t>No</t>
        </is>
      </c>
      <c r="AD890" s="19" t="n">
        <v>-0.3997</v>
      </c>
      <c r="AE890" s="19" t="n">
        <v>-0.0761</v>
      </c>
      <c r="AF890" s="19" t="n">
        <v>-0.6369</v>
      </c>
      <c r="AG890" s="19" t="n">
        <v>-0.0335</v>
      </c>
      <c r="AH890" s="23" t="n">
        <v>2.55</v>
      </c>
      <c r="AI890" s="23" t="n">
        <v>3.58</v>
      </c>
      <c r="AJ890" s="19" t="n">
        <v>0.0293</v>
      </c>
    </row>
    <row r="891">
      <c r="A891" s="16" t="inlineStr">
        <is>
          <t>HAWKINCOOK</t>
        </is>
      </c>
      <c r="B891" s="16" t="inlineStr">
        <is>
          <t>Hawkins Cookers Ltd.</t>
        </is>
      </c>
      <c r="C891" s="16" t="inlineStr">
        <is>
          <t>Houseware</t>
        </is>
      </c>
      <c r="D891" s="16" t="inlineStr">
        <is>
          <t>Consumer Durables</t>
        </is>
      </c>
      <c r="E891" s="16" t="inlineStr">
        <is>
          <t>INE979B01015</t>
        </is>
      </c>
      <c r="F891" s="17" t="n">
        <v>4448.81</v>
      </c>
      <c r="G891" s="18" t="n">
        <v>8413.35</v>
      </c>
      <c r="H891" s="19" t="n">
        <v>0.0107</v>
      </c>
      <c r="I891" s="20" t="n">
        <v>52</v>
      </c>
      <c r="J891" s="16" t="inlineStr">
        <is>
          <t>red</t>
        </is>
      </c>
      <c r="K891" s="20" t="n">
        <v>28</v>
      </c>
      <c r="L891" s="18" t="n">
        <v>52.75</v>
      </c>
      <c r="M891" s="18" t="n">
        <v>8235.030000000001</v>
      </c>
      <c r="N891" s="18" t="n">
        <v>8478.15</v>
      </c>
      <c r="O891" s="18" t="n">
        <v>7764.57</v>
      </c>
      <c r="P891" s="18" t="n">
        <v>9118.540000000001</v>
      </c>
      <c r="Q891" s="18" t="n">
        <v>7049.53</v>
      </c>
      <c r="R891" s="21">
        <f>IF(OR(G891="",P891=""),"",G891/P891-1)</f>
        <v/>
      </c>
      <c r="S891" s="19" t="n">
        <v>0.9092</v>
      </c>
      <c r="T891" s="22" t="n">
        <v>-0.0043</v>
      </c>
      <c r="U891" s="16" t="inlineStr">
        <is>
          <t>No</t>
        </is>
      </c>
      <c r="V891" s="16" t="inlineStr">
        <is>
          <t>No</t>
        </is>
      </c>
      <c r="W891" s="16" t="inlineStr">
        <is>
          <t>Yes</t>
        </is>
      </c>
      <c r="X891" s="16" t="inlineStr">
        <is>
          <t>Yes</t>
        </is>
      </c>
      <c r="Y891" s="20" t="n">
        <v>35</v>
      </c>
      <c r="Z891" s="19" t="n">
        <v>0.0919</v>
      </c>
      <c r="AA891" s="18" t="n"/>
      <c r="AB891" s="16" t="n"/>
      <c r="AC891" s="16" t="inlineStr">
        <is>
          <t>No</t>
        </is>
      </c>
      <c r="AD891" s="19" t="n"/>
      <c r="AE891" s="19" t="n"/>
      <c r="AF891" s="19" t="n"/>
      <c r="AG891" s="19" t="n"/>
      <c r="AH891" s="23" t="n"/>
      <c r="AI891" s="23" t="n"/>
      <c r="AJ891" s="19" t="n"/>
    </row>
    <row r="892">
      <c r="A892" s="16" t="inlineStr">
        <is>
          <t>SUNTECK</t>
        </is>
      </c>
      <c r="B892" s="16" t="inlineStr">
        <is>
          <t>Sunteck Realty Ltd.</t>
        </is>
      </c>
      <c r="C892" s="16" t="inlineStr">
        <is>
          <t>Realty</t>
        </is>
      </c>
      <c r="D892" s="16" t="inlineStr">
        <is>
          <t>Realty</t>
        </is>
      </c>
      <c r="E892" s="16" t="inlineStr">
        <is>
          <t>INE805D01034</t>
        </is>
      </c>
      <c r="F892" s="17" t="n">
        <v>4397.92</v>
      </c>
      <c r="G892" s="18" t="n">
        <v>299.5</v>
      </c>
      <c r="H892" s="19" t="n">
        <v>0.0059</v>
      </c>
      <c r="I892" s="20" t="n">
        <v>18</v>
      </c>
      <c r="J892" s="16" t="inlineStr">
        <is>
          <t>red</t>
        </is>
      </c>
      <c r="K892" s="20" t="n">
        <v>129</v>
      </c>
      <c r="L892" s="18" t="n">
        <v>49.95</v>
      </c>
      <c r="M892" s="18" t="n">
        <v>303.04</v>
      </c>
      <c r="N892" s="18" t="n">
        <v>308.26</v>
      </c>
      <c r="O892" s="18" t="n">
        <v>346.91</v>
      </c>
      <c r="P892" s="18" t="n">
        <v>462.95</v>
      </c>
      <c r="Q892" s="18" t="n">
        <v>273.2</v>
      </c>
      <c r="R892" s="21">
        <f>IF(OR(G892="",P892=""),"",G892/P892-1)</f>
        <v/>
      </c>
      <c r="S892" s="19" t="n">
        <v>0.4451</v>
      </c>
      <c r="T892" s="22" t="n">
        <v>-0.0393</v>
      </c>
      <c r="U892" s="16" t="inlineStr">
        <is>
          <t>No</t>
        </is>
      </c>
      <c r="V892" s="16" t="inlineStr">
        <is>
          <t>No</t>
        </is>
      </c>
      <c r="W892" s="16" t="inlineStr">
        <is>
          <t>No</t>
        </is>
      </c>
      <c r="X892" s="16" t="inlineStr">
        <is>
          <t>No</t>
        </is>
      </c>
      <c r="Y892" s="20" t="n">
        <v>160</v>
      </c>
      <c r="Z892" s="19" t="n">
        <v>-0.1114</v>
      </c>
      <c r="AA892" s="18" t="n">
        <v>54.46</v>
      </c>
      <c r="AB892" s="16" t="inlineStr">
        <is>
          <t>Good</t>
        </is>
      </c>
      <c r="AC892" s="16" t="inlineStr">
        <is>
          <t>No</t>
        </is>
      </c>
      <c r="AD892" s="19" t="n">
        <v>0.0418</v>
      </c>
      <c r="AE892" s="19" t="n">
        <v>0.06150000000000001</v>
      </c>
      <c r="AF892" s="19" t="n">
        <v>16.7716</v>
      </c>
      <c r="AG892" s="19" t="n">
        <v>0.4767</v>
      </c>
      <c r="AH892" s="23" t="n">
        <v>0.21</v>
      </c>
      <c r="AI892" s="23" t="n">
        <v>14.55</v>
      </c>
      <c r="AJ892" s="19" t="n">
        <v>0</v>
      </c>
    </row>
    <row r="893">
      <c r="A893" s="16" t="inlineStr">
        <is>
          <t>NETWORK18</t>
        </is>
      </c>
      <c r="B893" s="16" t="inlineStr">
        <is>
          <t>Network18 Media &amp; Investments Ltd.</t>
        </is>
      </c>
      <c r="C893" s="16" t="inlineStr">
        <is>
          <t>Broadcasting &amp; Cable TV</t>
        </is>
      </c>
      <c r="D893" s="16" t="inlineStr">
        <is>
          <t>Media</t>
        </is>
      </c>
      <c r="E893" s="16" t="inlineStr">
        <is>
          <t>INE870H01013</t>
        </is>
      </c>
      <c r="F893" s="17" t="n">
        <v>4376.2</v>
      </c>
      <c r="G893" s="18" t="n">
        <v>28.38</v>
      </c>
      <c r="H893" s="19" t="n">
        <v>0.0301</v>
      </c>
      <c r="I893" s="20" t="n">
        <v>6</v>
      </c>
      <c r="J893" s="16" t="inlineStr">
        <is>
          <t>red</t>
        </is>
      </c>
      <c r="K893" s="20" t="n">
        <v>501</v>
      </c>
      <c r="L893" s="18" t="n">
        <v>47.34</v>
      </c>
      <c r="M893" s="18" t="n">
        <v>28.35</v>
      </c>
      <c r="N893" s="18" t="n">
        <v>29.85</v>
      </c>
      <c r="O893" s="18" t="n">
        <v>34.69</v>
      </c>
      <c r="P893" s="18" t="n">
        <v>56.22</v>
      </c>
      <c r="Q893" s="18" t="n">
        <v>27.23</v>
      </c>
      <c r="R893" s="21">
        <f>IF(OR(G893="",P893=""),"",G893/P893-1)</f>
        <v/>
      </c>
      <c r="S893" s="19" t="n">
        <v>0.6409999999999999</v>
      </c>
      <c r="T893" s="22" t="n">
        <v>-0.05110000000000001</v>
      </c>
      <c r="U893" s="16" t="inlineStr">
        <is>
          <t>No</t>
        </is>
      </c>
      <c r="V893" s="16" t="inlineStr">
        <is>
          <t>No</t>
        </is>
      </c>
      <c r="W893" s="16" t="inlineStr">
        <is>
          <t>Yes</t>
        </is>
      </c>
      <c r="X893" s="16" t="inlineStr">
        <is>
          <t>No</t>
        </is>
      </c>
      <c r="Y893" s="20" t="n">
        <v>200</v>
      </c>
      <c r="Z893" s="19" t="n">
        <v>-0.1393</v>
      </c>
      <c r="AA893" s="18" t="n">
        <v>12.56</v>
      </c>
      <c r="AB893" s="16" t="inlineStr">
        <is>
          <t>Poor</t>
        </is>
      </c>
      <c r="AC893" s="16" t="inlineStr">
        <is>
          <t>No</t>
        </is>
      </c>
      <c r="AD893" s="19" t="n">
        <v>-0.1128</v>
      </c>
      <c r="AE893" s="19" t="n">
        <v>-0.0426</v>
      </c>
      <c r="AF893" s="19" t="n">
        <v>-2.2466</v>
      </c>
      <c r="AG893" s="19" t="n">
        <v>-0.1494</v>
      </c>
      <c r="AH893" s="23" t="n">
        <v>0.67</v>
      </c>
      <c r="AI893" s="23" t="n">
        <v>4.59</v>
      </c>
      <c r="AJ893" s="19" t="n">
        <v>0</v>
      </c>
    </row>
    <row r="894">
      <c r="A894" s="16" t="inlineStr">
        <is>
          <t>GVPIL</t>
        </is>
      </c>
      <c r="B894" s="16" t="inlineStr">
        <is>
          <t>GE Power India Ltd.</t>
        </is>
      </c>
      <c r="C894" s="16" t="inlineStr">
        <is>
          <t>Heavy Electrical Equipment</t>
        </is>
      </c>
      <c r="D894" s="16" t="inlineStr">
        <is>
          <t>General Industrials</t>
        </is>
      </c>
      <c r="E894" s="16" t="inlineStr">
        <is>
          <t>INE878A01011</t>
        </is>
      </c>
      <c r="F894" s="17" t="n">
        <v>4367.1</v>
      </c>
      <c r="G894" s="18" t="n">
        <v>649.6</v>
      </c>
      <c r="H894" s="19" t="n">
        <v>-0.0213</v>
      </c>
      <c r="I894" s="20" t="n">
        <v>77</v>
      </c>
      <c r="J894" s="16" t="inlineStr">
        <is>
          <t>amber</t>
        </is>
      </c>
      <c r="K894" s="20" t="n">
        <v>6</v>
      </c>
      <c r="L894" s="18" t="n">
        <v>29.77</v>
      </c>
      <c r="M894" s="18" t="n">
        <v>644.1900000000001</v>
      </c>
      <c r="N894" s="18" t="n">
        <v>760.87</v>
      </c>
      <c r="O894" s="18" t="n">
        <v>568.08</v>
      </c>
      <c r="P894" s="18" t="n">
        <v>1045.21</v>
      </c>
      <c r="Q894" s="18" t="n">
        <v>272.35</v>
      </c>
      <c r="R894" s="21">
        <f>IF(OR(G894="",P894=""),"",G894/P894-1)</f>
        <v/>
      </c>
      <c r="S894" s="19" t="n">
        <v>1.0677</v>
      </c>
      <c r="T894" s="22" t="n">
        <v>0.07099999999999999</v>
      </c>
      <c r="U894" s="16" t="inlineStr">
        <is>
          <t>Yes</t>
        </is>
      </c>
      <c r="V894" s="16" t="inlineStr">
        <is>
          <t>No</t>
        </is>
      </c>
      <c r="W894" s="16" t="inlineStr">
        <is>
          <t>Yes</t>
        </is>
      </c>
      <c r="X894" s="16" t="inlineStr">
        <is>
          <t>Yes</t>
        </is>
      </c>
      <c r="Y894" s="20" t="n">
        <v>269</v>
      </c>
      <c r="Z894" s="19" t="n">
        <v>0.3394</v>
      </c>
      <c r="AA894" s="18" t="n">
        <v>52.78</v>
      </c>
      <c r="AB894" s="16" t="inlineStr">
        <is>
          <t>Good</t>
        </is>
      </c>
      <c r="AC894" s="16" t="inlineStr">
        <is>
          <t>No</t>
        </is>
      </c>
      <c r="AD894" s="19" t="n">
        <v>-0.4717</v>
      </c>
      <c r="AE894" s="19" t="n">
        <v>0.1377</v>
      </c>
      <c r="AF894" s="19" t="n">
        <v>1.0136</v>
      </c>
      <c r="AG894" s="19" t="n">
        <v>-0.0667</v>
      </c>
      <c r="AH894" s="23" t="n">
        <v>0.03</v>
      </c>
      <c r="AI894" s="23" t="n">
        <v>29.18</v>
      </c>
      <c r="AJ894" s="19" t="n">
        <v>0.0735</v>
      </c>
    </row>
    <row r="895">
      <c r="A895" s="16" t="inlineStr">
        <is>
          <t>SWSOLAR</t>
        </is>
      </c>
      <c r="B895" s="16" t="inlineStr">
        <is>
          <t>Sterling and Wilson Renewable Energy Ltd.</t>
        </is>
      </c>
      <c r="C895" s="16" t="inlineStr">
        <is>
          <t>Construction &amp; Engineering</t>
        </is>
      </c>
      <c r="D895" s="16" t="inlineStr">
        <is>
          <t>Cement and Construction</t>
        </is>
      </c>
      <c r="E895" s="16" t="inlineStr">
        <is>
          <t>INE00M201021</t>
        </is>
      </c>
      <c r="F895" s="17" t="n">
        <v>4349.24</v>
      </c>
      <c r="G895" s="18" t="n">
        <v>186.23</v>
      </c>
      <c r="H895" s="19" t="n">
        <v>-0.0083</v>
      </c>
      <c r="I895" s="20" t="n">
        <v>17</v>
      </c>
      <c r="J895" s="16" t="inlineStr">
        <is>
          <t>red</t>
        </is>
      </c>
      <c r="K895" s="20" t="n">
        <v>38</v>
      </c>
      <c r="L895" s="18" t="n">
        <v>26.47</v>
      </c>
      <c r="M895" s="18" t="n">
        <v>191.57</v>
      </c>
      <c r="N895" s="18" t="n">
        <v>212.17</v>
      </c>
      <c r="O895" s="18" t="n">
        <v>204.21</v>
      </c>
      <c r="P895" s="18" t="n">
        <v>270.9</v>
      </c>
      <c r="Q895" s="18" t="n">
        <v>148.88</v>
      </c>
      <c r="R895" s="21">
        <f>IF(OR(G895="",P895=""),"",G895/P895-1)</f>
        <v/>
      </c>
      <c r="S895" s="19" t="n">
        <v>0.8309000000000001</v>
      </c>
      <c r="T895" s="22" t="n">
        <v>-0.016</v>
      </c>
      <c r="U895" s="16" t="inlineStr">
        <is>
          <t>No</t>
        </is>
      </c>
      <c r="V895" s="16" t="inlineStr">
        <is>
          <t>No</t>
        </is>
      </c>
      <c r="W895" s="16" t="inlineStr">
        <is>
          <t>No</t>
        </is>
      </c>
      <c r="X895" s="16" t="inlineStr">
        <is>
          <t>Yes</t>
        </is>
      </c>
      <c r="Y895" s="20" t="n">
        <v>47</v>
      </c>
      <c r="Z895" s="19" t="n">
        <v>0.039</v>
      </c>
      <c r="AA895" s="18" t="n">
        <v>28.48</v>
      </c>
      <c r="AB895" s="16" t="inlineStr">
        <is>
          <t>Poor</t>
        </is>
      </c>
      <c r="AC895" s="16" t="inlineStr">
        <is>
          <t>No</t>
        </is>
      </c>
      <c r="AD895" s="19" t="n">
        <v>-0.2047</v>
      </c>
      <c r="AE895" s="19" t="n">
        <v>0.0279</v>
      </c>
      <c r="AF895" s="19" t="n">
        <v>-0.8765999999999999</v>
      </c>
      <c r="AG895" s="19" t="n">
        <v>0.5937</v>
      </c>
      <c r="AH895" s="23" t="n">
        <v>1.83</v>
      </c>
      <c r="AI895" s="23" t="n">
        <v>217.08</v>
      </c>
      <c r="AJ895" s="19" t="n">
        <v>0</v>
      </c>
    </row>
    <row r="896">
      <c r="A896" s="16" t="inlineStr">
        <is>
          <t>EMUDHRA</t>
        </is>
      </c>
      <c r="B896" s="16" t="inlineStr">
        <is>
          <t>eMudhra Ltd.</t>
        </is>
      </c>
      <c r="C896" s="16" t="inlineStr">
        <is>
          <t>Misc. Commercial Services</t>
        </is>
      </c>
      <c r="D896" s="16" t="inlineStr">
        <is>
          <t>Commercial Services &amp; Supplies</t>
        </is>
      </c>
      <c r="E896" s="16" t="inlineStr">
        <is>
          <t>INE01QM01018</t>
        </is>
      </c>
      <c r="F896" s="17" t="n">
        <v>4345.96</v>
      </c>
      <c r="G896" s="18" t="n">
        <v>524.8</v>
      </c>
      <c r="H896" s="19" t="n">
        <v>0.0095</v>
      </c>
      <c r="I896" s="20" t="n">
        <v>40</v>
      </c>
      <c r="J896" s="16" t="inlineStr">
        <is>
          <t>red</t>
        </is>
      </c>
      <c r="K896" s="20" t="n">
        <v>333</v>
      </c>
      <c r="L896" s="18" t="n">
        <v>52.1</v>
      </c>
      <c r="M896" s="18" t="n">
        <v>538.8099999999999</v>
      </c>
      <c r="N896" s="18" t="n">
        <v>491.93</v>
      </c>
      <c r="O896" s="18" t="n">
        <v>499.76</v>
      </c>
      <c r="P896" s="18" t="n">
        <v>723.77</v>
      </c>
      <c r="Q896" s="18" t="n">
        <v>373.08</v>
      </c>
      <c r="R896" s="21">
        <f>IF(OR(G896="",P896=""),"",G896/P896-1)</f>
        <v/>
      </c>
      <c r="S896" s="19" t="n">
        <v>0.3625</v>
      </c>
      <c r="T896" s="22" t="n">
        <v>-0.019</v>
      </c>
      <c r="U896" s="16" t="inlineStr">
        <is>
          <t>No</t>
        </is>
      </c>
      <c r="V896" s="16" t="inlineStr">
        <is>
          <t>Yes</t>
        </is>
      </c>
      <c r="W896" s="16" t="inlineStr">
        <is>
          <t>No</t>
        </is>
      </c>
      <c r="X896" s="16" t="inlineStr">
        <is>
          <t>No</t>
        </is>
      </c>
      <c r="Y896" s="20" t="n">
        <v>382</v>
      </c>
      <c r="Z896" s="19" t="n">
        <v>-0.0157</v>
      </c>
      <c r="AA896" s="18" t="n">
        <v>64.94</v>
      </c>
      <c r="AB896" s="16" t="inlineStr">
        <is>
          <t>High</t>
        </is>
      </c>
      <c r="AC896" s="16" t="inlineStr">
        <is>
          <t>No</t>
        </is>
      </c>
      <c r="AD896" s="19" t="n">
        <v>0.1154</v>
      </c>
      <c r="AE896" s="19" t="n">
        <v>0.1448</v>
      </c>
      <c r="AF896" s="19" t="n">
        <v>0.1786</v>
      </c>
      <c r="AG896" s="19" t="n">
        <v>0.4142</v>
      </c>
      <c r="AH896" s="23" t="n">
        <v>0.03</v>
      </c>
      <c r="AI896" s="23" t="n">
        <v>4.6</v>
      </c>
      <c r="AJ896" s="19" t="n">
        <v>0.1217</v>
      </c>
    </row>
    <row r="897">
      <c r="A897" s="16" t="inlineStr">
        <is>
          <t>ROSSTECH</t>
        </is>
      </c>
      <c r="B897" s="16" t="inlineStr">
        <is>
          <t>Rossell Techsys Ltd.</t>
        </is>
      </c>
      <c r="C897" s="16" t="inlineStr">
        <is>
          <t>Aerospace &amp; Defence</t>
        </is>
      </c>
      <c r="D897" s="16" t="inlineStr">
        <is>
          <t>General Industrials</t>
        </is>
      </c>
      <c r="E897" s="16" t="inlineStr">
        <is>
          <t>INE0OJW01016</t>
        </is>
      </c>
      <c r="F897" s="17" t="n">
        <v>4336.98</v>
      </c>
      <c r="G897" s="18" t="n">
        <v>1150.5</v>
      </c>
      <c r="H897" s="19" t="n">
        <v>0.0306</v>
      </c>
      <c r="I897" s="20" t="n">
        <v>80</v>
      </c>
      <c r="J897" s="16" t="inlineStr">
        <is>
          <t>green</t>
        </is>
      </c>
      <c r="K897" s="20" t="n">
        <v>4</v>
      </c>
      <c r="L897" s="18" t="n">
        <v>60.48</v>
      </c>
      <c r="M897" s="18" t="n">
        <v>1119.36</v>
      </c>
      <c r="N897" s="18" t="n">
        <v>1035.03</v>
      </c>
      <c r="O897" s="18" t="n">
        <v>852.11</v>
      </c>
      <c r="P897" s="18" t="n">
        <v>1150.5</v>
      </c>
      <c r="Q897" s="18" t="n">
        <v>573.85</v>
      </c>
      <c r="R897" s="21">
        <f>IF(OR(G897="",P897=""),"",G897/P897-1)</f>
        <v/>
      </c>
      <c r="S897" s="19" t="n">
        <v>0.7685</v>
      </c>
      <c r="T897" s="22" t="n">
        <v>0.05309999999999999</v>
      </c>
      <c r="U897" s="16" t="inlineStr">
        <is>
          <t>Yes</t>
        </is>
      </c>
      <c r="V897" s="16" t="inlineStr">
        <is>
          <t>Yes</t>
        </is>
      </c>
      <c r="W897" s="16" t="inlineStr">
        <is>
          <t>Yes</t>
        </is>
      </c>
      <c r="X897" s="16" t="inlineStr">
        <is>
          <t>Yes</t>
        </is>
      </c>
      <c r="Y897" s="20" t="n">
        <v>235</v>
      </c>
      <c r="Z897" s="19" t="n">
        <v>0.2147</v>
      </c>
      <c r="AA897" s="18" t="n">
        <v>25.39</v>
      </c>
      <c r="AB897" s="16" t="inlineStr">
        <is>
          <t>Poor</t>
        </is>
      </c>
      <c r="AC897" s="16" t="inlineStr">
        <is>
          <t>No</t>
        </is>
      </c>
      <c r="AD897" s="19" t="n">
        <v>0.0964</v>
      </c>
      <c r="AE897" s="19" t="n">
        <v>0.0862</v>
      </c>
      <c r="AF897" s="19" t="n">
        <v>0.7369</v>
      </c>
      <c r="AG897" s="19" t="n">
        <v>0.5429999999999999</v>
      </c>
      <c r="AH897" s="23" t="n">
        <v>2.64</v>
      </c>
      <c r="AI897" s="23" t="n">
        <v>4.41</v>
      </c>
      <c r="AJ897" s="19" t="n">
        <v>0.0147</v>
      </c>
    </row>
    <row r="898">
      <c r="A898" s="16" t="inlineStr">
        <is>
          <t>NRBBEARING</t>
        </is>
      </c>
      <c r="B898" s="16" t="inlineStr">
        <is>
          <t>NRB Bearings Ltd.</t>
        </is>
      </c>
      <c r="C898" s="16" t="inlineStr">
        <is>
          <t>Other Industrial Products</t>
        </is>
      </c>
      <c r="D898" s="16" t="inlineStr">
        <is>
          <t>General Industrials</t>
        </is>
      </c>
      <c r="E898" s="16" t="inlineStr">
        <is>
          <t>INE349A01021</t>
        </is>
      </c>
      <c r="F898" s="17" t="n">
        <v>4332.44</v>
      </c>
      <c r="G898" s="18" t="n">
        <v>447</v>
      </c>
      <c r="H898" s="19" t="n">
        <v>-0.009000000000000001</v>
      </c>
      <c r="I898" s="20" t="n">
        <v>80</v>
      </c>
      <c r="J898" s="16" t="inlineStr">
        <is>
          <t>green</t>
        </is>
      </c>
      <c r="K898" s="20" t="n">
        <v>86</v>
      </c>
      <c r="L898" s="18" t="n">
        <v>22.62</v>
      </c>
      <c r="M898" s="18" t="n">
        <v>461.7</v>
      </c>
      <c r="N898" s="18" t="n">
        <v>441.82</v>
      </c>
      <c r="O898" s="18" t="n">
        <v>332.2</v>
      </c>
      <c r="P898" s="18" t="n">
        <v>486.1</v>
      </c>
      <c r="Q898" s="18" t="n">
        <v>214.73</v>
      </c>
      <c r="R898" s="21">
        <f>IF(OR(G898="",P898=""),"",G898/P898-1)</f>
        <v/>
      </c>
      <c r="S898" s="19" t="n">
        <v>0.4024</v>
      </c>
      <c r="T898" s="22" t="n">
        <v>0.0643</v>
      </c>
      <c r="U898" s="16" t="inlineStr">
        <is>
          <t>Yes</t>
        </is>
      </c>
      <c r="V898" s="16" t="inlineStr">
        <is>
          <t>Yes</t>
        </is>
      </c>
      <c r="W898" s="16" t="inlineStr">
        <is>
          <t>No</t>
        </is>
      </c>
      <c r="X898" s="16" t="inlineStr">
        <is>
          <t>Yes</t>
        </is>
      </c>
      <c r="Y898" s="20" t="n">
        <v>80</v>
      </c>
      <c r="Z898" s="19" t="n">
        <v>0.33</v>
      </c>
      <c r="AA898" s="18" t="n">
        <v>40</v>
      </c>
      <c r="AB898" s="16" t="inlineStr">
        <is>
          <t>Weak</t>
        </is>
      </c>
      <c r="AC898" s="16" t="inlineStr">
        <is>
          <t>No</t>
        </is>
      </c>
      <c r="AD898" s="19" t="n">
        <v>0.1711</v>
      </c>
      <c r="AE898" s="19" t="n">
        <v>0.2064</v>
      </c>
      <c r="AF898" s="19" t="n">
        <v>-0.04019999999999999</v>
      </c>
      <c r="AG898" s="19" t="n">
        <v>0.083</v>
      </c>
      <c r="AH898" s="23" t="n">
        <v>0.16</v>
      </c>
      <c r="AI898" s="23" t="n">
        <v>2.85</v>
      </c>
      <c r="AJ898" s="19" t="n">
        <v>0.0924</v>
      </c>
    </row>
    <row r="899">
      <c r="A899" s="16" t="inlineStr">
        <is>
          <t>WPIL</t>
        </is>
      </c>
      <c r="B899" s="16" t="inlineStr">
        <is>
          <t>WPIL Ltd.</t>
        </is>
      </c>
      <c r="C899" s="16" t="inlineStr">
        <is>
          <t>Industrial Machinery</t>
        </is>
      </c>
      <c r="D899" s="16" t="inlineStr">
        <is>
          <t>General Industrials</t>
        </is>
      </c>
      <c r="E899" s="16" t="inlineStr">
        <is>
          <t>INE765D01022</t>
        </is>
      </c>
      <c r="F899" s="17" t="n">
        <v>4331.7</v>
      </c>
      <c r="G899" s="18" t="n">
        <v>443.5</v>
      </c>
      <c r="H899" s="19" t="n">
        <v>-0.005600000000000001</v>
      </c>
      <c r="I899" s="20" t="n">
        <v>53</v>
      </c>
      <c r="J899" s="16" t="inlineStr">
        <is>
          <t>red</t>
        </is>
      </c>
      <c r="K899" s="20" t="n">
        <v>24</v>
      </c>
      <c r="L899" s="18" t="n">
        <v>55.07</v>
      </c>
      <c r="M899" s="18" t="n">
        <v>443.35</v>
      </c>
      <c r="N899" s="18" t="n">
        <v>450.27</v>
      </c>
      <c r="O899" s="18" t="n">
        <v>418.71</v>
      </c>
      <c r="P899" s="18" t="n">
        <v>504.47</v>
      </c>
      <c r="Q899" s="18" t="n">
        <v>344.31</v>
      </c>
      <c r="R899" s="21">
        <f>IF(OR(G899="",P899=""),"",G899/P899-1)</f>
        <v/>
      </c>
      <c r="S899" s="19" t="n">
        <v>0.4692</v>
      </c>
      <c r="T899" s="22" t="n">
        <v>0.0013</v>
      </c>
      <c r="U899" s="16" t="inlineStr">
        <is>
          <t>Yes</t>
        </is>
      </c>
      <c r="V899" s="16" t="inlineStr">
        <is>
          <t>No</t>
        </is>
      </c>
      <c r="W899" s="16" t="inlineStr">
        <is>
          <t>Yes</t>
        </is>
      </c>
      <c r="X899" s="16" t="inlineStr">
        <is>
          <t>Yes</t>
        </is>
      </c>
      <c r="Y899" s="20" t="n">
        <v>71</v>
      </c>
      <c r="Z899" s="19" t="n">
        <v>0.07539999999999999</v>
      </c>
      <c r="AA899" s="18" t="n"/>
      <c r="AB899" s="16" t="n"/>
      <c r="AC899" s="16" t="inlineStr">
        <is>
          <t>No</t>
        </is>
      </c>
      <c r="AD899" s="19" t="n"/>
      <c r="AE899" s="19" t="n"/>
      <c r="AF899" s="19" t="n"/>
      <c r="AG899" s="19" t="n"/>
      <c r="AH899" s="23" t="n"/>
      <c r="AI899" s="23" t="n"/>
      <c r="AJ899" s="19" t="n"/>
    </row>
    <row r="900">
      <c r="A900" s="16" t="inlineStr">
        <is>
          <t>SWARAJENG</t>
        </is>
      </c>
      <c r="B900" s="16" t="inlineStr">
        <is>
          <t>Swaraj Engines Ltd.</t>
        </is>
      </c>
      <c r="C900" s="16" t="inlineStr">
        <is>
          <t>Auto Parts &amp; Equipment</t>
        </is>
      </c>
      <c r="D900" s="16" t="inlineStr">
        <is>
          <t>Automobiles &amp; Auto Components</t>
        </is>
      </c>
      <c r="E900" s="16" t="inlineStr">
        <is>
          <t>INE277A01016</t>
        </is>
      </c>
      <c r="F900" s="17" t="n">
        <v>4322.69</v>
      </c>
      <c r="G900" s="18" t="n">
        <v>3557.8</v>
      </c>
      <c r="H900" s="19" t="n">
        <v>0.0009</v>
      </c>
      <c r="I900" s="20" t="n">
        <v>33</v>
      </c>
      <c r="J900" s="16" t="inlineStr">
        <is>
          <t>red</t>
        </is>
      </c>
      <c r="K900" s="20" t="n">
        <v>92</v>
      </c>
      <c r="L900" s="18" t="n">
        <v>31.13</v>
      </c>
      <c r="M900" s="18" t="n">
        <v>3550.31</v>
      </c>
      <c r="N900" s="18" t="n">
        <v>3655.85</v>
      </c>
      <c r="O900" s="18" t="n">
        <v>3612.76</v>
      </c>
      <c r="P900" s="18" t="n">
        <v>4376.94</v>
      </c>
      <c r="Q900" s="18" t="n">
        <v>3220.2</v>
      </c>
      <c r="R900" s="21">
        <f>IF(OR(G900="",P900=""),"",G900/P900-1)</f>
        <v/>
      </c>
      <c r="S900" s="19" t="n">
        <v>1.009</v>
      </c>
      <c r="T900" s="22" t="n">
        <v>-0.008199999999999999</v>
      </c>
      <c r="U900" s="16" t="inlineStr">
        <is>
          <t>No</t>
        </is>
      </c>
      <c r="V900" s="16" t="inlineStr">
        <is>
          <t>No</t>
        </is>
      </c>
      <c r="W900" s="16" t="inlineStr">
        <is>
          <t>Yes</t>
        </is>
      </c>
      <c r="X900" s="16" t="inlineStr">
        <is>
          <t>Yes</t>
        </is>
      </c>
      <c r="Y900" s="20" t="n">
        <v>61</v>
      </c>
      <c r="Z900" s="19" t="n">
        <v>0.0119</v>
      </c>
      <c r="AA900" s="18" t="n">
        <v>80.88</v>
      </c>
      <c r="AB900" s="16" t="inlineStr">
        <is>
          <t>High</t>
        </is>
      </c>
      <c r="AC900" s="16" t="inlineStr">
        <is>
          <t>No</t>
        </is>
      </c>
      <c r="AD900" s="19" t="n">
        <v>0.3905</v>
      </c>
      <c r="AE900" s="19" t="n">
        <v>0.523</v>
      </c>
      <c r="AF900" s="19" t="n">
        <v>0.1394</v>
      </c>
      <c r="AG900" s="19" t="n">
        <v>0.1259</v>
      </c>
      <c r="AH900" s="23" t="n">
        <v>0</v>
      </c>
      <c r="AI900" s="23" t="n">
        <v>12.37</v>
      </c>
      <c r="AJ900" s="19" t="n">
        <v>0.3394</v>
      </c>
    </row>
    <row r="901">
      <c r="A901" s="16" t="inlineStr">
        <is>
          <t>WSTCSTPAPR</t>
        </is>
      </c>
      <c r="B901" s="16" t="inlineStr">
        <is>
          <t>West Coast Paper Mills Ltd.</t>
        </is>
      </c>
      <c r="C901" s="16" t="inlineStr">
        <is>
          <t>Paper &amp; Paper Products</t>
        </is>
      </c>
      <c r="D901" s="16" t="inlineStr">
        <is>
          <t>Commercial Services &amp; Supplies</t>
        </is>
      </c>
      <c r="E901" s="16" t="inlineStr">
        <is>
          <t>INE976A01021</t>
        </is>
      </c>
      <c r="F901" s="17" t="n">
        <v>4294.83</v>
      </c>
      <c r="G901" s="18" t="n">
        <v>650.25</v>
      </c>
      <c r="H901" s="19" t="n">
        <v>-0.0102</v>
      </c>
      <c r="I901" s="20" t="n">
        <v>82</v>
      </c>
      <c r="J901" s="16" t="inlineStr">
        <is>
          <t>green</t>
        </is>
      </c>
      <c r="K901" s="20" t="n">
        <v>4</v>
      </c>
      <c r="L901" s="18" t="n">
        <v>62.36</v>
      </c>
      <c r="M901" s="18" t="n">
        <v>628.6</v>
      </c>
      <c r="N901" s="18" t="n">
        <v>574.9400000000001</v>
      </c>
      <c r="O901" s="18" t="n">
        <v>475.67</v>
      </c>
      <c r="P901" s="18" t="n">
        <v>656.95</v>
      </c>
      <c r="Q901" s="18" t="n">
        <v>379.39</v>
      </c>
      <c r="R901" s="21">
        <f>IF(OR(G901="",P901=""),"",G901/P901-1)</f>
        <v/>
      </c>
      <c r="S901" s="19" t="n">
        <v>0.8593000000000001</v>
      </c>
      <c r="T901" s="22" t="n">
        <v>0.038</v>
      </c>
      <c r="U901" s="16" t="inlineStr">
        <is>
          <t>Yes</t>
        </is>
      </c>
      <c r="V901" s="16" t="inlineStr">
        <is>
          <t>Yes</t>
        </is>
      </c>
      <c r="W901" s="16" t="inlineStr">
        <is>
          <t>Yes</t>
        </is>
      </c>
      <c r="X901" s="16" t="inlineStr">
        <is>
          <t>Yes</t>
        </is>
      </c>
      <c r="Y901" s="20" t="n">
        <v>81</v>
      </c>
      <c r="Z901" s="19" t="n">
        <v>0.2087</v>
      </c>
      <c r="AA901" s="18" t="n">
        <v>40</v>
      </c>
      <c r="AB901" s="16" t="inlineStr">
        <is>
          <t>Weak</t>
        </is>
      </c>
      <c r="AC901" s="16" t="inlineStr">
        <is>
          <t>No</t>
        </is>
      </c>
      <c r="AD901" s="19" t="n">
        <v>0.1148</v>
      </c>
      <c r="AE901" s="19" t="n">
        <v>0.1654</v>
      </c>
      <c r="AF901" s="19" t="n">
        <v>-0.4439</v>
      </c>
      <c r="AG901" s="19" t="n">
        <v>-0.0425</v>
      </c>
      <c r="AH901" s="23" t="n">
        <v>0.1</v>
      </c>
      <c r="AI901" s="23" t="n">
        <v>1.89</v>
      </c>
      <c r="AJ901" s="19" t="n">
        <v>0.1495</v>
      </c>
    </row>
    <row r="902">
      <c r="A902" s="16" t="inlineStr">
        <is>
          <t>AFCOM</t>
        </is>
      </c>
      <c r="B902" s="16" t="inlineStr">
        <is>
          <t>Afcom Holdings Ltd.</t>
        </is>
      </c>
      <c r="C902" s="16" t="inlineStr">
        <is>
          <t>Warehousing &amp; Logistics</t>
        </is>
      </c>
      <c r="D902" s="16" t="inlineStr">
        <is>
          <t>Transportation</t>
        </is>
      </c>
      <c r="E902" s="16" t="inlineStr">
        <is>
          <t>INE0OXY01013</t>
        </is>
      </c>
      <c r="F902" s="17" t="n">
        <v>4250.79</v>
      </c>
      <c r="G902" s="18" t="n">
        <v>1630.65</v>
      </c>
      <c r="H902" s="19" t="n">
        <v>-0.0131</v>
      </c>
      <c r="I902" s="20" t="n">
        <v>94</v>
      </c>
      <c r="J902" s="16" t="inlineStr">
        <is>
          <t>green</t>
        </is>
      </c>
      <c r="K902" s="20" t="n">
        <v>59</v>
      </c>
      <c r="L902" s="18" t="n">
        <v>61.75</v>
      </c>
      <c r="M902" s="18" t="n">
        <v>1601.9</v>
      </c>
      <c r="N902" s="18" t="n">
        <v>1448.18</v>
      </c>
      <c r="O902" s="18" t="n">
        <v>1003.35</v>
      </c>
      <c r="P902" s="18" t="n">
        <v>1652.35</v>
      </c>
      <c r="Q902" s="18" t="n">
        <v>652.2</v>
      </c>
      <c r="R902" s="21">
        <f>IF(OR(G902="",P902=""),"",G902/P902-1)</f>
        <v/>
      </c>
      <c r="S902" s="19" t="n">
        <v>0.3944</v>
      </c>
      <c r="T902" s="22" t="n">
        <v>0.07629999999999999</v>
      </c>
      <c r="U902" s="16" t="inlineStr">
        <is>
          <t>Yes</t>
        </is>
      </c>
      <c r="V902" s="16" t="inlineStr">
        <is>
          <t>Yes</t>
        </is>
      </c>
      <c r="W902" s="16" t="inlineStr">
        <is>
          <t>Yes</t>
        </is>
      </c>
      <c r="X902" s="16" t="inlineStr">
        <is>
          <t>Yes</t>
        </is>
      </c>
      <c r="Y902" s="20" t="n">
        <v>67</v>
      </c>
      <c r="Z902" s="19" t="n">
        <v>0.4433</v>
      </c>
      <c r="AA902" s="18" t="n"/>
      <c r="AB902" s="16" t="n"/>
      <c r="AC902" s="16" t="inlineStr">
        <is>
          <t>No</t>
        </is>
      </c>
      <c r="AD902" s="19" t="n"/>
      <c r="AE902" s="19" t="n"/>
      <c r="AF902" s="19" t="n"/>
      <c r="AG902" s="19" t="n"/>
      <c r="AH902" s="23" t="n"/>
      <c r="AI902" s="23" t="n"/>
      <c r="AJ902" s="19" t="n"/>
    </row>
    <row r="903">
      <c r="A903" s="16" t="inlineStr">
        <is>
          <t>TURTLEMINT</t>
        </is>
      </c>
      <c r="B903" s="16" t="inlineStr">
        <is>
          <t>Turtlemint Fintech Solutions Ltd.</t>
        </is>
      </c>
      <c r="C903" s="16" t="inlineStr">
        <is>
          <t>Internet Software &amp; Services</t>
        </is>
      </c>
      <c r="D903" s="16" t="inlineStr">
        <is>
          <t>Software &amp; Services</t>
        </is>
      </c>
      <c r="E903" s="16" t="inlineStr">
        <is>
          <t>INE0OC301013</t>
        </is>
      </c>
      <c r="F903" s="17" t="n">
        <v>4242.85</v>
      </c>
      <c r="G903" s="18" t="n">
        <v>144.08</v>
      </c>
      <c r="H903" s="19" t="n">
        <v>-0.0015</v>
      </c>
      <c r="I903" s="20" t="n"/>
      <c r="J903" s="16" t="n"/>
      <c r="K903" s="20" t="n"/>
      <c r="L903" s="18" t="n">
        <v>44.18</v>
      </c>
      <c r="M903" s="18" t="n">
        <v>147.32</v>
      </c>
      <c r="N903" s="18" t="n">
        <v>134.79</v>
      </c>
      <c r="O903" s="18" t="n"/>
      <c r="P903" s="18" t="n">
        <v>153.64</v>
      </c>
      <c r="Q903" s="18" t="n">
        <v>111.84</v>
      </c>
      <c r="R903" s="21">
        <f>IF(OR(G903="",P903=""),"",G903/P903-1)</f>
        <v/>
      </c>
      <c r="S903" s="19" t="n">
        <v>0.1902</v>
      </c>
      <c r="T903" s="22" t="n"/>
      <c r="U903" s="16" t="n"/>
      <c r="V903" s="16" t="inlineStr">
        <is>
          <t>Yes</t>
        </is>
      </c>
      <c r="W903" s="16" t="inlineStr">
        <is>
          <t>No</t>
        </is>
      </c>
      <c r="X903" s="16" t="n"/>
      <c r="Y903" s="20" t="n"/>
      <c r="Z903" s="19" t="n"/>
      <c r="AA903" s="18" t="n">
        <v>40.41</v>
      </c>
      <c r="AB903" s="16" t="inlineStr">
        <is>
          <t>Average</t>
        </is>
      </c>
      <c r="AC903" s="16" t="inlineStr">
        <is>
          <t>No</t>
        </is>
      </c>
      <c r="AD903" s="19" t="n">
        <v>-0.4023</v>
      </c>
      <c r="AE903" s="19" t="n">
        <v>-0.3747</v>
      </c>
      <c r="AF903" s="19" t="n">
        <v>0.137</v>
      </c>
      <c r="AG903" s="19" t="n">
        <v>0.145</v>
      </c>
      <c r="AH903" s="23" t="n">
        <v>0.06</v>
      </c>
      <c r="AI903" s="23" t="n">
        <v>22.91</v>
      </c>
      <c r="AJ903" s="19" t="n">
        <v>0</v>
      </c>
    </row>
    <row r="904">
      <c r="A904" s="16" t="inlineStr">
        <is>
          <t>WHEELS</t>
        </is>
      </c>
      <c r="B904" s="16" t="inlineStr">
        <is>
          <t>Wheels India Ltd.</t>
        </is>
      </c>
      <c r="C904" s="16" t="inlineStr">
        <is>
          <t>Auto Parts &amp; Equipment</t>
        </is>
      </c>
      <c r="D904" s="16" t="inlineStr">
        <is>
          <t>Automobiles &amp; Auto Components</t>
        </is>
      </c>
      <c r="E904" s="16" t="inlineStr">
        <is>
          <t>INE715A01015</t>
        </is>
      </c>
      <c r="F904" s="17" t="n">
        <v>4214.45</v>
      </c>
      <c r="G904" s="18" t="n">
        <v>1724.9</v>
      </c>
      <c r="H904" s="19" t="n">
        <v>0.0426</v>
      </c>
      <c r="I904" s="20" t="n">
        <v>92</v>
      </c>
      <c r="J904" s="16" t="inlineStr">
        <is>
          <t>green</t>
        </is>
      </c>
      <c r="K904" s="20" t="n">
        <v>140</v>
      </c>
      <c r="L904" s="18" t="n">
        <v>82.86</v>
      </c>
      <c r="M904" s="18" t="n">
        <v>1570.36</v>
      </c>
      <c r="N904" s="18" t="n">
        <v>1488.45</v>
      </c>
      <c r="O904" s="18" t="n">
        <v>1166.82</v>
      </c>
      <c r="P904" s="18" t="n">
        <v>1786</v>
      </c>
      <c r="Q904" s="18" t="n">
        <v>705.5599999999999</v>
      </c>
      <c r="R904" s="21">
        <f>IF(OR(G904="",P904=""),"",G904/P904-1)</f>
        <v/>
      </c>
      <c r="S904" s="19" t="n">
        <v>2.8737</v>
      </c>
      <c r="T904" s="22" t="n">
        <v>0.0535</v>
      </c>
      <c r="U904" s="16" t="inlineStr">
        <is>
          <t>Yes</t>
        </is>
      </c>
      <c r="V904" s="16" t="inlineStr">
        <is>
          <t>Yes</t>
        </is>
      </c>
      <c r="W904" s="16" t="inlineStr">
        <is>
          <t>Yes</t>
        </is>
      </c>
      <c r="X904" s="16" t="inlineStr">
        <is>
          <t>Yes</t>
        </is>
      </c>
      <c r="Y904" s="20" t="n">
        <v>309</v>
      </c>
      <c r="Z904" s="19" t="n">
        <v>0.2756</v>
      </c>
      <c r="AA904" s="18" t="n">
        <v>46.1</v>
      </c>
      <c r="AB904" s="16" t="inlineStr">
        <is>
          <t>Average</t>
        </is>
      </c>
      <c r="AC904" s="16" t="inlineStr">
        <is>
          <t>No</t>
        </is>
      </c>
      <c r="AD904" s="19" t="n">
        <v>0.1146</v>
      </c>
      <c r="AE904" s="19" t="n">
        <v>0.1553</v>
      </c>
      <c r="AF904" s="19" t="n">
        <v>0.4327</v>
      </c>
      <c r="AG904" s="19" t="n">
        <v>0.0622</v>
      </c>
      <c r="AH904" s="23" t="n">
        <v>0.74</v>
      </c>
      <c r="AI904" s="23" t="n">
        <v>3.23</v>
      </c>
      <c r="AJ904" s="19" t="n">
        <v>0.0604</v>
      </c>
    </row>
    <row r="905">
      <c r="A905" s="16" t="inlineStr">
        <is>
          <t>SHOPERSTOP</t>
        </is>
      </c>
      <c r="B905" s="16" t="inlineStr">
        <is>
          <t>Shoppers Stop Ltd.</t>
        </is>
      </c>
      <c r="C905" s="16" t="inlineStr">
        <is>
          <t>Department Stores</t>
        </is>
      </c>
      <c r="D905" s="16" t="inlineStr">
        <is>
          <t>Retailing</t>
        </is>
      </c>
      <c r="E905" s="16" t="inlineStr">
        <is>
          <t>INE498B01024</t>
        </is>
      </c>
      <c r="F905" s="17" t="n">
        <v>4207.1</v>
      </c>
      <c r="G905" s="18" t="n">
        <v>381.75</v>
      </c>
      <c r="H905" s="19" t="n">
        <v>-0.0248</v>
      </c>
      <c r="I905" s="20" t="n">
        <v>40</v>
      </c>
      <c r="J905" s="16" t="inlineStr">
        <is>
          <t>red</t>
        </is>
      </c>
      <c r="K905" s="20" t="n">
        <v>501</v>
      </c>
      <c r="L905" s="18" t="n">
        <v>25.34</v>
      </c>
      <c r="M905" s="18" t="n">
        <v>383.54</v>
      </c>
      <c r="N905" s="18" t="n">
        <v>390.34</v>
      </c>
      <c r="O905" s="18" t="n">
        <v>363.24</v>
      </c>
      <c r="P905" s="18" t="n">
        <v>557.8</v>
      </c>
      <c r="Q905" s="18" t="n">
        <v>287.15</v>
      </c>
      <c r="R905" s="21">
        <f>IF(OR(G905="",P905=""),"",G905/P905-1)</f>
        <v/>
      </c>
      <c r="S905" s="19" t="n">
        <v>0.3273</v>
      </c>
      <c r="T905" s="22" t="n">
        <v>-0.0226</v>
      </c>
      <c r="U905" s="16" t="inlineStr">
        <is>
          <t>No</t>
        </is>
      </c>
      <c r="V905" s="16" t="inlineStr">
        <is>
          <t>No</t>
        </is>
      </c>
      <c r="W905" s="16" t="inlineStr">
        <is>
          <t>No</t>
        </is>
      </c>
      <c r="X905" s="16" t="inlineStr">
        <is>
          <t>Yes</t>
        </is>
      </c>
      <c r="Y905" s="20" t="n">
        <v>21</v>
      </c>
      <c r="Z905" s="19" t="n">
        <v>0.0746</v>
      </c>
      <c r="AA905" s="18" t="n">
        <v>0</v>
      </c>
      <c r="AB905" s="16" t="inlineStr">
        <is>
          <t>Poor</t>
        </is>
      </c>
      <c r="AC905" s="16" t="inlineStr">
        <is>
          <t>No</t>
        </is>
      </c>
      <c r="AD905" s="19" t="n">
        <v>0.0554</v>
      </c>
      <c r="AE905" s="19" t="n">
        <v>0.08199999999999999</v>
      </c>
      <c r="AF905" s="19" t="n">
        <v>-1.8352</v>
      </c>
      <c r="AG905" s="19" t="n">
        <v>0.08900000000000001</v>
      </c>
      <c r="AH905" s="23" t="n">
        <v>11.4</v>
      </c>
      <c r="AI905" s="23" t="n">
        <v>1.52</v>
      </c>
      <c r="AJ905" s="19" t="n">
        <v>0.0011</v>
      </c>
    </row>
    <row r="906">
      <c r="A906" s="16" t="inlineStr">
        <is>
          <t>DECNGOLD</t>
        </is>
      </c>
      <c r="B906" s="16" t="inlineStr">
        <is>
          <t>Deccan Gold Mines Ltd.</t>
        </is>
      </c>
      <c r="C906" s="16" t="inlineStr">
        <is>
          <t>Coal &amp; Mining</t>
        </is>
      </c>
      <c r="D906" s="16" t="inlineStr">
        <is>
          <t>Metals &amp; Mining</t>
        </is>
      </c>
      <c r="E906" s="16" t="inlineStr">
        <is>
          <t>INE945F01025</t>
        </is>
      </c>
      <c r="F906" s="17" t="n">
        <v>4204.92</v>
      </c>
      <c r="G906" s="18" t="n">
        <v>213.5</v>
      </c>
      <c r="H906" s="19" t="n">
        <v>-0.0012</v>
      </c>
      <c r="I906" s="20" t="n">
        <v>90</v>
      </c>
      <c r="J906" s="16" t="inlineStr">
        <is>
          <t>green</t>
        </is>
      </c>
      <c r="K906" s="20" t="n">
        <v>74</v>
      </c>
      <c r="L906" s="18" t="n">
        <v>29.69</v>
      </c>
      <c r="M906" s="18" t="n">
        <v>222.39</v>
      </c>
      <c r="N906" s="18" t="n">
        <v>210.03</v>
      </c>
      <c r="O906" s="18" t="n">
        <v>145.86</v>
      </c>
      <c r="P906" s="18" t="n">
        <v>247.7</v>
      </c>
      <c r="Q906" s="18" t="n">
        <v>84.09999999999999</v>
      </c>
      <c r="R906" s="21">
        <f>IF(OR(G906="",P906=""),"",G906/P906-1)</f>
        <v/>
      </c>
      <c r="S906" s="19" t="n">
        <v>0.4767</v>
      </c>
      <c r="T906" s="22" t="n">
        <v>0.0717</v>
      </c>
      <c r="U906" s="16" t="inlineStr">
        <is>
          <t>Yes</t>
        </is>
      </c>
      <c r="V906" s="16" t="inlineStr">
        <is>
          <t>Yes</t>
        </is>
      </c>
      <c r="W906" s="16" t="inlineStr">
        <is>
          <t>No</t>
        </is>
      </c>
      <c r="X906" s="16" t="inlineStr">
        <is>
          <t>Yes</t>
        </is>
      </c>
      <c r="Y906" s="20" t="n">
        <v>67</v>
      </c>
      <c r="Z906" s="19" t="n">
        <v>0.44</v>
      </c>
      <c r="AA906" s="18" t="n"/>
      <c r="AB906" s="16" t="n"/>
      <c r="AC906" s="16" t="inlineStr">
        <is>
          <t>No</t>
        </is>
      </c>
      <c r="AD906" s="19" t="n"/>
      <c r="AE906" s="19" t="n"/>
      <c r="AF906" s="19" t="n"/>
      <c r="AG906" s="19" t="n"/>
      <c r="AH906" s="23" t="n"/>
      <c r="AI906" s="23" t="n"/>
      <c r="AJ906" s="19" t="n"/>
    </row>
    <row r="907">
      <c r="A907" s="16" t="inlineStr">
        <is>
          <t>HIRECT</t>
        </is>
      </c>
      <c r="B907" s="16" t="inlineStr">
        <is>
          <t>Hirect Ltd.</t>
        </is>
      </c>
      <c r="C907" s="16" t="inlineStr">
        <is>
          <t>Electronic Components</t>
        </is>
      </c>
      <c r="D907" s="16" t="inlineStr">
        <is>
          <t>Commercial Services &amp; Supplies</t>
        </is>
      </c>
      <c r="E907" s="16" t="inlineStr">
        <is>
          <t>INE835D01023</t>
        </is>
      </c>
      <c r="F907" s="17" t="n">
        <v>4201.66</v>
      </c>
      <c r="G907" s="18" t="n">
        <v>1222.4</v>
      </c>
      <c r="H907" s="19" t="n">
        <v>-0.0108</v>
      </c>
      <c r="I907" s="20" t="n">
        <v>81</v>
      </c>
      <c r="J907" s="16" t="inlineStr">
        <is>
          <t>green</t>
        </is>
      </c>
      <c r="K907" s="20" t="n">
        <v>105</v>
      </c>
      <c r="L907" s="18" t="n">
        <v>42.45</v>
      </c>
      <c r="M907" s="18" t="n">
        <v>1231.8</v>
      </c>
      <c r="N907" s="18" t="n">
        <v>1227.63</v>
      </c>
      <c r="O907" s="18" t="n">
        <v>918.85</v>
      </c>
      <c r="P907" s="18" t="n">
        <v>1338</v>
      </c>
      <c r="Q907" s="18" t="n">
        <v>579.1900000000001</v>
      </c>
      <c r="R907" s="21">
        <f>IF(OR(G907="",P907=""),"",G907/P907-1)</f>
        <v/>
      </c>
      <c r="S907" s="19" t="n">
        <v>0.1958</v>
      </c>
      <c r="T907" s="22" t="n">
        <v>0.0466</v>
      </c>
      <c r="U907" s="16" t="inlineStr">
        <is>
          <t>Yes</t>
        </is>
      </c>
      <c r="V907" s="16" t="inlineStr">
        <is>
          <t>No</t>
        </is>
      </c>
      <c r="W907" s="16" t="inlineStr">
        <is>
          <t>No</t>
        </is>
      </c>
      <c r="X907" s="16" t="inlineStr">
        <is>
          <t>Yes</t>
        </is>
      </c>
      <c r="Y907" s="20" t="n">
        <v>88</v>
      </c>
      <c r="Z907" s="19" t="n">
        <v>0.3361</v>
      </c>
      <c r="AA907" s="18" t="n">
        <v>60.84</v>
      </c>
      <c r="AB907" s="16" t="inlineStr">
        <is>
          <t>Good</t>
        </is>
      </c>
      <c r="AC907" s="16" t="inlineStr">
        <is>
          <t>No</t>
        </is>
      </c>
      <c r="AD907" s="19" t="n">
        <v>0.1828</v>
      </c>
      <c r="AE907" s="19" t="n">
        <v>0.1556</v>
      </c>
      <c r="AF907" s="19" t="n">
        <v>1.6915</v>
      </c>
      <c r="AG907" s="19" t="n">
        <v>0.4116</v>
      </c>
      <c r="AH907" s="23" t="n">
        <v>1.17</v>
      </c>
      <c r="AI907" s="23" t="n">
        <v>5.48</v>
      </c>
      <c r="AJ907" s="19" t="n">
        <v>0.0181</v>
      </c>
    </row>
    <row r="908">
      <c r="A908" s="16" t="inlineStr">
        <is>
          <t>MHRIL</t>
        </is>
      </c>
      <c r="B908" s="16" t="inlineStr">
        <is>
          <t>Mahindra Holidays &amp; Resorts India Ltd.</t>
        </is>
      </c>
      <c r="C908" s="16" t="inlineStr">
        <is>
          <t>Hotels</t>
        </is>
      </c>
      <c r="D908" s="16" t="inlineStr">
        <is>
          <t>Hotels Restaurants &amp; Tourism</t>
        </is>
      </c>
      <c r="E908" s="16" t="inlineStr">
        <is>
          <t>INE998I01010</t>
        </is>
      </c>
      <c r="F908" s="17" t="n">
        <v>4190.65</v>
      </c>
      <c r="G908" s="18" t="n">
        <v>207.4</v>
      </c>
      <c r="H908" s="19" t="n">
        <v>-0.0025</v>
      </c>
      <c r="I908" s="20" t="n">
        <v>5</v>
      </c>
      <c r="J908" s="16" t="inlineStr">
        <is>
          <t>red</t>
        </is>
      </c>
      <c r="K908" s="20" t="n">
        <v>232</v>
      </c>
      <c r="L908" s="18" t="n">
        <v>15.12</v>
      </c>
      <c r="M908" s="18" t="n">
        <v>210.08</v>
      </c>
      <c r="N908" s="18" t="n">
        <v>223.72</v>
      </c>
      <c r="O908" s="18" t="n">
        <v>259.79</v>
      </c>
      <c r="P908" s="18" t="n">
        <v>362.05</v>
      </c>
      <c r="Q908" s="18" t="n">
        <v>206.59</v>
      </c>
      <c r="R908" s="21">
        <f>IF(OR(G908="",P908=""),"",G908/P908-1)</f>
        <v/>
      </c>
      <c r="S908" s="19" t="n">
        <v>1.2906</v>
      </c>
      <c r="T908" s="22" t="n">
        <v>-0.0398</v>
      </c>
      <c r="U908" s="16" t="inlineStr">
        <is>
          <t>No</t>
        </is>
      </c>
      <c r="V908" s="16" t="inlineStr">
        <is>
          <t>No</t>
        </is>
      </c>
      <c r="W908" s="16" t="inlineStr">
        <is>
          <t>No</t>
        </is>
      </c>
      <c r="X908" s="16" t="inlineStr">
        <is>
          <t>No</t>
        </is>
      </c>
      <c r="Y908" s="20" t="n">
        <v>195</v>
      </c>
      <c r="Z908" s="19" t="n">
        <v>-0.1388</v>
      </c>
      <c r="AA908" s="18" t="n">
        <v>7.58</v>
      </c>
      <c r="AB908" s="16" t="inlineStr">
        <is>
          <t>Poor</t>
        </is>
      </c>
      <c r="AC908" s="16" t="inlineStr">
        <is>
          <t>No</t>
        </is>
      </c>
      <c r="AD908" s="19" t="n">
        <v>0.1769</v>
      </c>
      <c r="AE908" s="19" t="n">
        <v>0.0833</v>
      </c>
      <c r="AF908" s="19" t="n">
        <v>-0.1173</v>
      </c>
      <c r="AG908" s="19" t="n">
        <v>0.0591</v>
      </c>
      <c r="AH908" s="23" t="n">
        <v>4.92</v>
      </c>
      <c r="AI908" s="23" t="n">
        <v>0.48</v>
      </c>
      <c r="AJ908" s="19" t="n">
        <v>0.0597</v>
      </c>
    </row>
    <row r="909">
      <c r="A909" s="16" t="inlineStr">
        <is>
          <t>INDOSTAR</t>
        </is>
      </c>
      <c r="B909" s="16" t="inlineStr">
        <is>
          <t>Indostar Capital Finance Ltd.</t>
        </is>
      </c>
      <c r="C909" s="16" t="inlineStr">
        <is>
          <t>Finance (including NBFCs)</t>
        </is>
      </c>
      <c r="D909" s="16" t="inlineStr">
        <is>
          <t>Banking and Finance</t>
        </is>
      </c>
      <c r="E909" s="16" t="inlineStr">
        <is>
          <t>INE896L01010</t>
        </is>
      </c>
      <c r="F909" s="17" t="n">
        <v>4181.38</v>
      </c>
      <c r="G909" s="18" t="n">
        <v>258.66</v>
      </c>
      <c r="H909" s="19" t="n">
        <v>0.0109</v>
      </c>
      <c r="I909" s="20" t="n">
        <v>48</v>
      </c>
      <c r="J909" s="16" t="inlineStr">
        <is>
          <t>red</t>
        </is>
      </c>
      <c r="K909" s="20" t="n">
        <v>26</v>
      </c>
      <c r="L909" s="18" t="n">
        <v>59.36</v>
      </c>
      <c r="M909" s="18" t="n">
        <v>256.3</v>
      </c>
      <c r="N909" s="18" t="n">
        <v>255.96</v>
      </c>
      <c r="O909" s="18" t="n">
        <v>231.68</v>
      </c>
      <c r="P909" s="18" t="n">
        <v>274.7</v>
      </c>
      <c r="Q909" s="18" t="n">
        <v>182.51</v>
      </c>
      <c r="R909" s="21">
        <f>IF(OR(G909="",P909=""),"",G909/P909-1)</f>
        <v/>
      </c>
      <c r="S909" s="19" t="n">
        <v>0.5357</v>
      </c>
      <c r="T909" s="22" t="n">
        <v>0.0026</v>
      </c>
      <c r="U909" s="16" t="inlineStr">
        <is>
          <t>Yes</t>
        </is>
      </c>
      <c r="V909" s="16" t="inlineStr">
        <is>
          <t>Yes</t>
        </is>
      </c>
      <c r="W909" s="16" t="inlineStr">
        <is>
          <t>Yes</t>
        </is>
      </c>
      <c r="X909" s="16" t="inlineStr">
        <is>
          <t>Yes</t>
        </is>
      </c>
      <c r="Y909" s="20" t="n">
        <v>44</v>
      </c>
      <c r="Z909" s="19" t="n">
        <v>0.1048</v>
      </c>
      <c r="AA909" s="18" t="n">
        <v>21.01</v>
      </c>
      <c r="AB909" s="16" t="inlineStr">
        <is>
          <t>Poor</t>
        </is>
      </c>
      <c r="AC909" s="16" t="inlineStr">
        <is>
          <t>Yes</t>
        </is>
      </c>
      <c r="AD909" s="19" t="n">
        <v>0.0354</v>
      </c>
      <c r="AE909" s="19" t="n">
        <v>0.0217</v>
      </c>
      <c r="AF909" s="19" t="n">
        <v>-0.1149</v>
      </c>
      <c r="AG909" s="19" t="n">
        <v>0.1033</v>
      </c>
      <c r="AH909" s="23" t="n">
        <v>1.45</v>
      </c>
      <c r="AI909" s="23" t="n">
        <v>27.4</v>
      </c>
      <c r="AJ909" s="19" t="n">
        <v>0</v>
      </c>
    </row>
    <row r="910">
      <c r="A910" s="16" t="inlineStr">
        <is>
          <t>LASERPOWER</t>
        </is>
      </c>
      <c r="B910" s="16" t="inlineStr">
        <is>
          <t>Laser Power and Infra Ltd.</t>
        </is>
      </c>
      <c r="C910" s="16" t="inlineStr">
        <is>
          <t>Wires &amp; Cables</t>
        </is>
      </c>
      <c r="D910" s="16" t="inlineStr">
        <is>
          <t>Consumer Durables</t>
        </is>
      </c>
      <c r="E910" s="16" t="inlineStr">
        <is>
          <t>INE17IR01028</t>
        </is>
      </c>
      <c r="F910" s="17" t="n">
        <v>4149.99</v>
      </c>
      <c r="G910" s="18" t="n">
        <v>295.65</v>
      </c>
      <c r="H910" s="19" t="n">
        <v>-0.0179</v>
      </c>
      <c r="I910" s="20" t="n"/>
      <c r="J910" s="16" t="n"/>
      <c r="K910" s="20" t="n"/>
      <c r="L910" s="18" t="n">
        <v>31.88</v>
      </c>
      <c r="M910" s="18" t="n">
        <v>312.42</v>
      </c>
      <c r="N910" s="18" t="n"/>
      <c r="O910" s="18" t="n"/>
      <c r="P910" s="18" t="n">
        <v>337.55</v>
      </c>
      <c r="Q910" s="18" t="n">
        <v>262.42</v>
      </c>
      <c r="R910" s="21">
        <f>IF(OR(G910="",P910=""),"",G910/P910-1)</f>
        <v/>
      </c>
      <c r="S910" s="19" t="n">
        <v>0.4358</v>
      </c>
      <c r="T910" s="22" t="n"/>
      <c r="U910" s="16" t="n"/>
      <c r="V910" s="16" t="n"/>
      <c r="W910" s="16" t="inlineStr">
        <is>
          <t>No</t>
        </is>
      </c>
      <c r="X910" s="16" t="n"/>
      <c r="Y910" s="20" t="n"/>
      <c r="Z910" s="19" t="n"/>
      <c r="AA910" s="18" t="n">
        <v>56.44</v>
      </c>
      <c r="AB910" s="16" t="inlineStr">
        <is>
          <t>Good</t>
        </is>
      </c>
      <c r="AC910" s="16" t="inlineStr">
        <is>
          <t>No</t>
        </is>
      </c>
      <c r="AD910" s="19" t="n">
        <v>0.1578</v>
      </c>
      <c r="AE910" s="19" t="n">
        <v>0.1834</v>
      </c>
      <c r="AF910" s="19" t="n"/>
      <c r="AG910" s="19" t="n">
        <v>0.1897</v>
      </c>
      <c r="AH910" s="23" t="n">
        <v>1.2</v>
      </c>
      <c r="AI910" s="23" t="n">
        <v>8.859999999999999</v>
      </c>
      <c r="AJ910" s="19" t="n">
        <v>0.1805</v>
      </c>
    </row>
    <row r="911">
      <c r="A911" s="16" t="inlineStr">
        <is>
          <t>MOSCHIP</t>
        </is>
      </c>
      <c r="B911" s="16" t="inlineStr">
        <is>
          <t>MosChip Technologies Ltd.</t>
        </is>
      </c>
      <c r="C911" s="16" t="inlineStr">
        <is>
          <t>IT Consulting &amp; Software</t>
        </is>
      </c>
      <c r="D911" s="16" t="inlineStr">
        <is>
          <t>Software &amp; Services</t>
        </is>
      </c>
      <c r="E911" s="16" t="inlineStr">
        <is>
          <t>INE935B01025</t>
        </is>
      </c>
      <c r="F911" s="17" t="n">
        <v>4139.31</v>
      </c>
      <c r="G911" s="18" t="n">
        <v>212.22</v>
      </c>
      <c r="H911" s="19" t="n">
        <v>-0.0063</v>
      </c>
      <c r="I911" s="20" t="n">
        <v>51</v>
      </c>
      <c r="J911" s="16" t="inlineStr">
        <is>
          <t>red</t>
        </is>
      </c>
      <c r="K911" s="20" t="n">
        <v>30</v>
      </c>
      <c r="L911" s="18" t="n">
        <v>50.74</v>
      </c>
      <c r="M911" s="18" t="n">
        <v>214.47</v>
      </c>
      <c r="N911" s="18" t="n">
        <v>217.81</v>
      </c>
      <c r="O911" s="18" t="n">
        <v>202.37</v>
      </c>
      <c r="P911" s="18" t="n">
        <v>283.78</v>
      </c>
      <c r="Q911" s="18" t="n">
        <v>148.26</v>
      </c>
      <c r="R911" s="21">
        <f>IF(OR(G911="",P911=""),"",G911/P911-1)</f>
        <v/>
      </c>
      <c r="S911" s="19" t="n">
        <v>0.5051</v>
      </c>
      <c r="T911" s="22" t="n">
        <v>-0.0157</v>
      </c>
      <c r="U911" s="16" t="inlineStr">
        <is>
          <t>No</t>
        </is>
      </c>
      <c r="V911" s="16" t="inlineStr">
        <is>
          <t>No</t>
        </is>
      </c>
      <c r="W911" s="16" t="inlineStr">
        <is>
          <t>No</t>
        </is>
      </c>
      <c r="X911" s="16" t="inlineStr">
        <is>
          <t>Yes</t>
        </is>
      </c>
      <c r="Y911" s="20" t="n">
        <v>46</v>
      </c>
      <c r="Z911" s="19" t="n">
        <v>0.07629999999999999</v>
      </c>
      <c r="AA911" s="18" t="n">
        <v>54.59</v>
      </c>
      <c r="AB911" s="16" t="inlineStr">
        <is>
          <t>Good</t>
        </is>
      </c>
      <c r="AC911" s="16" t="inlineStr">
        <is>
          <t>No</t>
        </is>
      </c>
      <c r="AD911" s="19" t="n">
        <v>0.07490000000000001</v>
      </c>
      <c r="AE911" s="19" t="n">
        <v>0.08349999999999999</v>
      </c>
      <c r="AF911" s="19" t="n">
        <v>0.9637</v>
      </c>
      <c r="AG911" s="19" t="n">
        <v>0.4412</v>
      </c>
      <c r="AH911" s="23" t="n">
        <v>0.22</v>
      </c>
      <c r="AI911" s="23" t="n">
        <v>10.14</v>
      </c>
      <c r="AJ911" s="19" t="n">
        <v>0</v>
      </c>
    </row>
    <row r="912">
      <c r="A912" s="16" t="inlineStr">
        <is>
          <t>HARSHA</t>
        </is>
      </c>
      <c r="B912" s="16" t="inlineStr">
        <is>
          <t>Harsha Engineers International Ltd.</t>
        </is>
      </c>
      <c r="C912" s="16" t="inlineStr">
        <is>
          <t>Construction &amp; Engineering</t>
        </is>
      </c>
      <c r="D912" s="16" t="inlineStr">
        <is>
          <t>Cement and Construction</t>
        </is>
      </c>
      <c r="E912" s="16" t="inlineStr">
        <is>
          <t>INE0JUS01029</t>
        </is>
      </c>
      <c r="F912" s="17" t="n">
        <v>4136.59</v>
      </c>
      <c r="G912" s="18" t="n">
        <v>454.35</v>
      </c>
      <c r="H912" s="19" t="n">
        <v>0.0073</v>
      </c>
      <c r="I912" s="20" t="n">
        <v>64</v>
      </c>
      <c r="J912" s="16" t="inlineStr">
        <is>
          <t>amber</t>
        </is>
      </c>
      <c r="K912" s="20" t="n">
        <v>7</v>
      </c>
      <c r="L912" s="18" t="n">
        <v>70.79000000000001</v>
      </c>
      <c r="M912" s="18" t="n">
        <v>446.49</v>
      </c>
      <c r="N912" s="18" t="n">
        <v>423.12</v>
      </c>
      <c r="O912" s="18" t="n">
        <v>391.89</v>
      </c>
      <c r="P912" s="18" t="n">
        <v>455.9</v>
      </c>
      <c r="Q912" s="18" t="n">
        <v>313.12</v>
      </c>
      <c r="R912" s="21">
        <f>IF(OR(G912="",P912=""),"",G912/P912-1)</f>
        <v/>
      </c>
      <c r="S912" s="19" t="n">
        <v>0.6970000000000001</v>
      </c>
      <c r="T912" s="22" t="n">
        <v>0.0102</v>
      </c>
      <c r="U912" s="16" t="inlineStr">
        <is>
          <t>Yes</t>
        </is>
      </c>
      <c r="V912" s="16" t="inlineStr">
        <is>
          <t>Yes</t>
        </is>
      </c>
      <c r="W912" s="16" t="inlineStr">
        <is>
          <t>Yes</t>
        </is>
      </c>
      <c r="X912" s="16" t="inlineStr">
        <is>
          <t>Yes</t>
        </is>
      </c>
      <c r="Y912" s="20" t="n">
        <v>64</v>
      </c>
      <c r="Z912" s="19" t="n">
        <v>0.07969999999999999</v>
      </c>
      <c r="AA912" s="18" t="n">
        <v>40.74</v>
      </c>
      <c r="AB912" s="16" t="inlineStr">
        <is>
          <t>Average</t>
        </is>
      </c>
      <c r="AC912" s="16" t="inlineStr">
        <is>
          <t>No</t>
        </is>
      </c>
      <c r="AD912" s="19" t="n">
        <v>0.0922</v>
      </c>
      <c r="AE912" s="19" t="n">
        <v>0.1157</v>
      </c>
      <c r="AF912" s="19" t="n">
        <v>0.1261</v>
      </c>
      <c r="AG912" s="19" t="n">
        <v>0.0604</v>
      </c>
      <c r="AH912" s="23" t="n">
        <v>0.27</v>
      </c>
      <c r="AI912" s="23" t="n">
        <v>2.48</v>
      </c>
      <c r="AJ912" s="19" t="n">
        <v>0.0572</v>
      </c>
    </row>
    <row r="913">
      <c r="A913" s="16" t="inlineStr">
        <is>
          <t>RESPONIND</t>
        </is>
      </c>
      <c r="B913" s="16" t="inlineStr">
        <is>
          <t>Responsive Industries Ltd.</t>
        </is>
      </c>
      <c r="C913" s="16" t="inlineStr">
        <is>
          <t>Furniture-Furnishing</t>
        </is>
      </c>
      <c r="D913" s="16" t="inlineStr">
        <is>
          <t>Diversified Consumer Services</t>
        </is>
      </c>
      <c r="E913" s="16" t="inlineStr">
        <is>
          <t>INE688D01026</t>
        </is>
      </c>
      <c r="F913" s="17" t="n">
        <v>4129.77</v>
      </c>
      <c r="G913" s="18" t="n">
        <v>154.9</v>
      </c>
      <c r="H913" s="19" t="n">
        <v>0.02</v>
      </c>
      <c r="I913" s="20" t="n">
        <v>13</v>
      </c>
      <c r="J913" s="16" t="inlineStr">
        <is>
          <t>red</t>
        </is>
      </c>
      <c r="K913" s="20" t="n">
        <v>35</v>
      </c>
      <c r="L913" s="18" t="n">
        <v>42.11</v>
      </c>
      <c r="M913" s="18" t="n">
        <v>152.32</v>
      </c>
      <c r="N913" s="18" t="n">
        <v>175.35</v>
      </c>
      <c r="O913" s="18" t="n">
        <v>176.93</v>
      </c>
      <c r="P913" s="18" t="n">
        <v>221.26</v>
      </c>
      <c r="Q913" s="18" t="n">
        <v>126.93</v>
      </c>
      <c r="R913" s="21">
        <f>IF(OR(G913="",P913=""),"",G913/P913-1)</f>
        <v/>
      </c>
      <c r="S913" s="19" t="n">
        <v>27.5385</v>
      </c>
      <c r="T913" s="22" t="n">
        <v>-0.0206</v>
      </c>
      <c r="U913" s="16" t="inlineStr">
        <is>
          <t>No</t>
        </is>
      </c>
      <c r="V913" s="16" t="inlineStr">
        <is>
          <t>No</t>
        </is>
      </c>
      <c r="W913" s="16" t="inlineStr">
        <is>
          <t>Yes</t>
        </is>
      </c>
      <c r="X913" s="16" t="inlineStr">
        <is>
          <t>No</t>
        </is>
      </c>
      <c r="Y913" s="20" t="n">
        <v>3</v>
      </c>
      <c r="Z913" s="19" t="n">
        <v>-0.0089</v>
      </c>
      <c r="AA913" s="18" t="n">
        <v>55.35</v>
      </c>
      <c r="AB913" s="16" t="inlineStr">
        <is>
          <t>Good</t>
        </is>
      </c>
      <c r="AC913" s="16" t="inlineStr">
        <is>
          <t>No</t>
        </is>
      </c>
      <c r="AD913" s="19" t="n">
        <v>0.1283</v>
      </c>
      <c r="AE913" s="19" t="n">
        <v>0.1278</v>
      </c>
      <c r="AF913" s="19" t="n">
        <v>1.876</v>
      </c>
      <c r="AG913" s="19" t="n">
        <v>0.1346</v>
      </c>
      <c r="AH913" s="23" t="n">
        <v>0.13</v>
      </c>
      <c r="AI913" s="23" t="n">
        <v>1.88</v>
      </c>
      <c r="AJ913" s="19" t="n">
        <v>0.0001</v>
      </c>
    </row>
    <row r="914">
      <c r="A914" s="16" t="inlineStr">
        <is>
          <t>INDIQUBE</t>
        </is>
      </c>
      <c r="B914" s="16" t="inlineStr">
        <is>
          <t>Indiqube Spaces Ltd.</t>
        </is>
      </c>
      <c r="C914" s="16" t="inlineStr">
        <is>
          <t>Special Consumer Services</t>
        </is>
      </c>
      <c r="D914" s="16" t="inlineStr">
        <is>
          <t>Diversified Consumer Services</t>
        </is>
      </c>
      <c r="E914" s="16" t="inlineStr">
        <is>
          <t>INE06ST01018</t>
        </is>
      </c>
      <c r="F914" s="17" t="n">
        <v>4124.2</v>
      </c>
      <c r="G914" s="18" t="n">
        <v>194.54</v>
      </c>
      <c r="H914" s="19" t="n">
        <v>0.0075</v>
      </c>
      <c r="I914" s="20" t="n">
        <v>53</v>
      </c>
      <c r="J914" s="16" t="inlineStr">
        <is>
          <t>red</t>
        </is>
      </c>
      <c r="K914" s="20" t="n">
        <v>191</v>
      </c>
      <c r="L914" s="18" t="n">
        <v>74.73999999999999</v>
      </c>
      <c r="M914" s="18" t="n">
        <v>192.25</v>
      </c>
      <c r="N914" s="18" t="n">
        <v>179.31</v>
      </c>
      <c r="O914" s="18" t="n">
        <v>177.77</v>
      </c>
      <c r="P914" s="18" t="n">
        <v>237.92</v>
      </c>
      <c r="Q914" s="18" t="n">
        <v>133.55</v>
      </c>
      <c r="R914" s="21">
        <f>IF(OR(G914="",P914=""),"",G914/P914-1)</f>
        <v/>
      </c>
      <c r="S914" s="19" t="n">
        <v>0.2197</v>
      </c>
      <c r="T914" s="22" t="n">
        <v>-0.0164</v>
      </c>
      <c r="U914" s="16" t="inlineStr">
        <is>
          <t>No</t>
        </is>
      </c>
      <c r="V914" s="16" t="inlineStr">
        <is>
          <t>Yes</t>
        </is>
      </c>
      <c r="W914" s="16" t="inlineStr">
        <is>
          <t>Yes</t>
        </is>
      </c>
      <c r="X914" s="16" t="inlineStr">
        <is>
          <t>Yes</t>
        </is>
      </c>
      <c r="Y914" s="20" t="n">
        <v>3</v>
      </c>
      <c r="Z914" s="19" t="n">
        <v>0.008699999999999999</v>
      </c>
      <c r="AA914" s="18" t="n">
        <v>16.81</v>
      </c>
      <c r="AB914" s="16" t="inlineStr">
        <is>
          <t>Poor</t>
        </is>
      </c>
      <c r="AC914" s="16" t="inlineStr">
        <is>
          <t>No</t>
        </is>
      </c>
      <c r="AD914" s="19" t="n">
        <v>14.0192</v>
      </c>
      <c r="AE914" s="19" t="n">
        <v>0.0176</v>
      </c>
      <c r="AF914" s="19" t="n">
        <v>0.0243</v>
      </c>
      <c r="AG914" s="19" t="n">
        <v>0.3592</v>
      </c>
      <c r="AH914" s="23" t="n">
        <v>10.12</v>
      </c>
      <c r="AI914" s="23" t="n">
        <v>0.27</v>
      </c>
      <c r="AJ914" s="19" t="n">
        <v>0.0223</v>
      </c>
    </row>
    <row r="915">
      <c r="A915" s="16" t="inlineStr">
        <is>
          <t>AVANTEL</t>
        </is>
      </c>
      <c r="B915" s="16" t="inlineStr">
        <is>
          <t>Avantel Ltd.</t>
        </is>
      </c>
      <c r="C915" s="16" t="inlineStr">
        <is>
          <t>Telecom Equipment</t>
        </is>
      </c>
      <c r="D915" s="16" t="inlineStr">
        <is>
          <t>Telecommunications Equipment</t>
        </is>
      </c>
      <c r="E915" s="16" t="inlineStr">
        <is>
          <t>INE005B01027</t>
        </is>
      </c>
      <c r="F915" s="17" t="n">
        <v>4117.45</v>
      </c>
      <c r="G915" s="18" t="n">
        <v>154.96</v>
      </c>
      <c r="H915" s="19" t="n">
        <v>-0.0098</v>
      </c>
      <c r="I915" s="20" t="n">
        <v>35</v>
      </c>
      <c r="J915" s="16" t="inlineStr">
        <is>
          <t>red</t>
        </is>
      </c>
      <c r="K915" s="20" t="n">
        <v>27</v>
      </c>
      <c r="L915" s="18" t="n">
        <v>44.79</v>
      </c>
      <c r="M915" s="18" t="n">
        <v>157.11</v>
      </c>
      <c r="N915" s="18" t="n">
        <v>166.37</v>
      </c>
      <c r="O915" s="18" t="n">
        <v>155.99</v>
      </c>
      <c r="P915" s="18" t="n">
        <v>211.39</v>
      </c>
      <c r="Q915" s="18" t="n">
        <v>118.14</v>
      </c>
      <c r="R915" s="21">
        <f>IF(OR(G915="",P915=""),"",G915/P915-1)</f>
        <v/>
      </c>
      <c r="S915" s="19" t="n">
        <v>0.743</v>
      </c>
      <c r="T915" s="22" t="n">
        <v>-0.006</v>
      </c>
      <c r="U915" s="16" t="inlineStr">
        <is>
          <t>No</t>
        </is>
      </c>
      <c r="V915" s="16" t="inlineStr">
        <is>
          <t>No</t>
        </is>
      </c>
      <c r="W915" s="16" t="inlineStr">
        <is>
          <t>No</t>
        </is>
      </c>
      <c r="X915" s="16" t="inlineStr">
        <is>
          <t>Yes</t>
        </is>
      </c>
      <c r="Y915" s="20" t="n">
        <v>61</v>
      </c>
      <c r="Z915" s="19" t="n">
        <v>0.0665</v>
      </c>
      <c r="AA915" s="18" t="n">
        <v>62.23</v>
      </c>
      <c r="AB915" s="16" t="inlineStr">
        <is>
          <t>Good</t>
        </is>
      </c>
      <c r="AC915" s="16" t="inlineStr">
        <is>
          <t>No</t>
        </is>
      </c>
      <c r="AD915" s="19" t="n">
        <v>0.2008</v>
      </c>
      <c r="AE915" s="19" t="n">
        <v>0.2655</v>
      </c>
      <c r="AF915" s="19" t="n">
        <v>0.1004</v>
      </c>
      <c r="AG915" s="19" t="n">
        <v>0.1518</v>
      </c>
      <c r="AH915" s="23" t="n">
        <v>0.1</v>
      </c>
      <c r="AI915" s="23" t="n">
        <v>1.19</v>
      </c>
      <c r="AJ915" s="19" t="n">
        <v>0.0317</v>
      </c>
    </row>
    <row r="916">
      <c r="A916" s="16" t="inlineStr">
        <is>
          <t>KSL</t>
        </is>
      </c>
      <c r="B916" s="16" t="inlineStr">
        <is>
          <t>Kalyani Steels Ltd.</t>
        </is>
      </c>
      <c r="C916" s="16" t="inlineStr">
        <is>
          <t>Iron &amp; Steel/Interm.Products</t>
        </is>
      </c>
      <c r="D916" s="16" t="inlineStr">
        <is>
          <t>Metals &amp; Mining</t>
        </is>
      </c>
      <c r="E916" s="16" t="inlineStr">
        <is>
          <t>INE907A01026</t>
        </is>
      </c>
      <c r="F916" s="17" t="n">
        <v>4105.57</v>
      </c>
      <c r="G916" s="18" t="n">
        <v>940.5</v>
      </c>
      <c r="H916" s="19" t="n">
        <v>-0.0102</v>
      </c>
      <c r="I916" s="20" t="n">
        <v>68</v>
      </c>
      <c r="J916" s="16" t="inlineStr">
        <is>
          <t>amber</t>
        </is>
      </c>
      <c r="K916" s="20" t="n">
        <v>5</v>
      </c>
      <c r="L916" s="18" t="n">
        <v>68.81</v>
      </c>
      <c r="M916" s="18" t="n">
        <v>911.71</v>
      </c>
      <c r="N916" s="18" t="n">
        <v>882.74</v>
      </c>
      <c r="O916" s="18" t="n">
        <v>778.34</v>
      </c>
      <c r="P916" s="18" t="n">
        <v>961.26</v>
      </c>
      <c r="Q916" s="18" t="n">
        <v>571.1900000000001</v>
      </c>
      <c r="R916" s="21">
        <f>IF(OR(G916="",P916=""),"",G916/P916-1)</f>
        <v/>
      </c>
      <c r="S916" s="19" t="n">
        <v>0.9418000000000001</v>
      </c>
      <c r="T916" s="22" t="n">
        <v>0.0076</v>
      </c>
      <c r="U916" s="16" t="inlineStr">
        <is>
          <t>Yes</t>
        </is>
      </c>
      <c r="V916" s="16" t="inlineStr">
        <is>
          <t>Yes</t>
        </is>
      </c>
      <c r="W916" s="16" t="inlineStr">
        <is>
          <t>Yes</t>
        </is>
      </c>
      <c r="X916" s="16" t="inlineStr">
        <is>
          <t>Yes</t>
        </is>
      </c>
      <c r="Y916" s="20" t="n">
        <v>67</v>
      </c>
      <c r="Z916" s="19" t="n">
        <v>0.1341</v>
      </c>
      <c r="AA916" s="18" t="n">
        <v>47.48</v>
      </c>
      <c r="AB916" s="16" t="inlineStr">
        <is>
          <t>Average</t>
        </is>
      </c>
      <c r="AC916" s="16" t="inlineStr">
        <is>
          <t>No</t>
        </is>
      </c>
      <c r="AD916" s="19" t="n">
        <v>0.1354</v>
      </c>
      <c r="AE916" s="19" t="n">
        <v>0.1505</v>
      </c>
      <c r="AF916" s="19" t="n">
        <v>0.1753</v>
      </c>
      <c r="AG916" s="19" t="n">
        <v>-0.009899999999999999</v>
      </c>
      <c r="AH916" s="23" t="n">
        <v>0.23</v>
      </c>
      <c r="AI916" s="23" t="n">
        <v>1.53</v>
      </c>
      <c r="AJ916" s="19" t="n">
        <v>0.4721</v>
      </c>
    </row>
    <row r="917">
      <c r="A917" s="16" t="inlineStr">
        <is>
          <t>PITTIENG</t>
        </is>
      </c>
      <c r="B917" s="16" t="inlineStr">
        <is>
          <t>Pitti Engineering Ltd.</t>
        </is>
      </c>
      <c r="C917" s="16" t="inlineStr">
        <is>
          <t>Other Electrical Equipment/Products</t>
        </is>
      </c>
      <c r="D917" s="16" t="inlineStr">
        <is>
          <t>Consumer Durables</t>
        </is>
      </c>
      <c r="E917" s="16" t="inlineStr">
        <is>
          <t>INE450D01021</t>
        </is>
      </c>
      <c r="F917" s="17" t="n">
        <v>4085.04</v>
      </c>
      <c r="G917" s="18" t="n">
        <v>1084.9</v>
      </c>
      <c r="H917" s="19" t="n">
        <v>-0.0183</v>
      </c>
      <c r="I917" s="20" t="n">
        <v>69</v>
      </c>
      <c r="J917" s="16" t="inlineStr">
        <is>
          <t>amber</t>
        </is>
      </c>
      <c r="K917" s="20" t="n">
        <v>18</v>
      </c>
      <c r="L917" s="18" t="n">
        <v>57.81</v>
      </c>
      <c r="M917" s="18" t="n">
        <v>1104.79</v>
      </c>
      <c r="N917" s="18" t="n">
        <v>994.3</v>
      </c>
      <c r="O917" s="18" t="n">
        <v>897.27</v>
      </c>
      <c r="P917" s="18" t="n">
        <v>1129.65</v>
      </c>
      <c r="Q917" s="18" t="n">
        <v>685.05</v>
      </c>
      <c r="R917" s="21">
        <f>IF(OR(G917="",P917=""),"",G917/P917-1)</f>
        <v/>
      </c>
      <c r="S917" s="19" t="n">
        <v>0.3534</v>
      </c>
      <c r="T917" s="22" t="n">
        <v>0.0165</v>
      </c>
      <c r="U917" s="16" t="inlineStr">
        <is>
          <t>Yes</t>
        </is>
      </c>
      <c r="V917" s="16" t="inlineStr">
        <is>
          <t>Yes</t>
        </is>
      </c>
      <c r="W917" s="16" t="inlineStr">
        <is>
          <t>No</t>
        </is>
      </c>
      <c r="X917" s="16" t="inlineStr">
        <is>
          <t>Yes</t>
        </is>
      </c>
      <c r="Y917" s="20" t="n">
        <v>70</v>
      </c>
      <c r="Z917" s="19" t="n">
        <v>0.1081</v>
      </c>
      <c r="AA917" s="18" t="n">
        <v>48.79</v>
      </c>
      <c r="AB917" s="16" t="inlineStr">
        <is>
          <t>Average</t>
        </is>
      </c>
      <c r="AC917" s="16" t="inlineStr">
        <is>
          <t>No</t>
        </is>
      </c>
      <c r="AD917" s="19" t="n">
        <v>0.1484</v>
      </c>
      <c r="AE917" s="19" t="n">
        <v>0.1433</v>
      </c>
      <c r="AF917" s="19" t="n">
        <v>0.2174</v>
      </c>
      <c r="AG917" s="19" t="n">
        <v>0.2102</v>
      </c>
      <c r="AH917" s="23" t="n">
        <v>0.82</v>
      </c>
      <c r="AI917" s="23" t="n">
        <v>1.8</v>
      </c>
      <c r="AJ917" s="19" t="n">
        <v>0.047</v>
      </c>
    </row>
    <row r="918">
      <c r="A918" s="16" t="inlineStr">
        <is>
          <t>RALLIS</t>
        </is>
      </c>
      <c r="B918" s="16" t="inlineStr">
        <is>
          <t>Rallis India Ltd.</t>
        </is>
      </c>
      <c r="C918" s="16" t="inlineStr">
        <is>
          <t>Agrochemicals</t>
        </is>
      </c>
      <c r="D918" s="16" t="inlineStr">
        <is>
          <t>Chemicals &amp; Petrochemicals</t>
        </is>
      </c>
      <c r="E918" s="16" t="inlineStr">
        <is>
          <t>INE613A01020</t>
        </is>
      </c>
      <c r="F918" s="17" t="n">
        <v>4060.9</v>
      </c>
      <c r="G918" s="18" t="n">
        <v>208.82</v>
      </c>
      <c r="H918" s="19" t="n">
        <v>-0.0048</v>
      </c>
      <c r="I918" s="20" t="n">
        <v>8</v>
      </c>
      <c r="J918" s="16" t="inlineStr">
        <is>
          <t>red</t>
        </is>
      </c>
      <c r="K918" s="20" t="n">
        <v>100</v>
      </c>
      <c r="L918" s="18" t="n">
        <v>37.79</v>
      </c>
      <c r="M918" s="18" t="n">
        <v>209.54</v>
      </c>
      <c r="N918" s="18" t="n">
        <v>219.26</v>
      </c>
      <c r="O918" s="18" t="n">
        <v>244.8</v>
      </c>
      <c r="P918" s="18" t="n">
        <v>356.93</v>
      </c>
      <c r="Q918" s="18" t="n">
        <v>207.17</v>
      </c>
      <c r="R918" s="21">
        <f>IF(OR(G918="",P918=""),"",G918/P918-1)</f>
        <v/>
      </c>
      <c r="S918" s="19" t="n">
        <v>0.463</v>
      </c>
      <c r="T918" s="22" t="n">
        <v>-0.0177</v>
      </c>
      <c r="U918" s="16" t="inlineStr">
        <is>
          <t>No</t>
        </is>
      </c>
      <c r="V918" s="16" t="inlineStr">
        <is>
          <t>No</t>
        </is>
      </c>
      <c r="W918" s="16" t="inlineStr">
        <is>
          <t>No</t>
        </is>
      </c>
      <c r="X918" s="16" t="inlineStr">
        <is>
          <t>No</t>
        </is>
      </c>
      <c r="Y918" s="20" t="n">
        <v>197</v>
      </c>
      <c r="Z918" s="19" t="n">
        <v>-0.1044</v>
      </c>
      <c r="AA918" s="18" t="n">
        <v>47.55</v>
      </c>
      <c r="AB918" s="16" t="inlineStr">
        <is>
          <t>Average</t>
        </is>
      </c>
      <c r="AC918" s="16" t="inlineStr">
        <is>
          <t>No</t>
        </is>
      </c>
      <c r="AD918" s="19" t="n">
        <v>0.0788</v>
      </c>
      <c r="AE918" s="19" t="n">
        <v>0.1113</v>
      </c>
      <c r="AF918" s="19" t="n">
        <v>0.3083</v>
      </c>
      <c r="AG918" s="19" t="n">
        <v>-0.0061</v>
      </c>
      <c r="AH918" s="23" t="n">
        <v>0.03</v>
      </c>
      <c r="AI918" s="23" t="n">
        <v>4.49</v>
      </c>
      <c r="AJ918" s="19" t="n">
        <v>0.0181</v>
      </c>
    </row>
    <row r="919">
      <c r="A919" s="16" t="inlineStr">
        <is>
          <t>COCKERILL</t>
        </is>
      </c>
      <c r="B919" s="16" t="inlineStr">
        <is>
          <t>John Cockerill India Ltd.</t>
        </is>
      </c>
      <c r="C919" s="16" t="inlineStr">
        <is>
          <t>Industrial Machinery</t>
        </is>
      </c>
      <c r="D919" s="16" t="inlineStr">
        <is>
          <t>General Industrials</t>
        </is>
      </c>
      <c r="E919" s="16" t="inlineStr">
        <is>
          <t>INE515A01019</t>
        </is>
      </c>
      <c r="F919" s="17" t="n">
        <v>4046.58</v>
      </c>
      <c r="G919" s="18" t="n">
        <v>8195.1</v>
      </c>
      <c r="H919" s="19" t="n">
        <v>0.0123</v>
      </c>
      <c r="I919" s="20" t="n">
        <v>80</v>
      </c>
      <c r="J919" s="16" t="inlineStr">
        <is>
          <t>green</t>
        </is>
      </c>
      <c r="K919" s="20" t="n">
        <v>2</v>
      </c>
      <c r="L919" s="18" t="n">
        <v>44.22</v>
      </c>
      <c r="M919" s="18" t="n">
        <v>8078.99</v>
      </c>
      <c r="N919" s="18" t="n">
        <v>8813.610000000001</v>
      </c>
      <c r="O919" s="18" t="n">
        <v>6417.99</v>
      </c>
      <c r="P919" s="18" t="n">
        <v>10294.65</v>
      </c>
      <c r="Q919" s="18" t="n">
        <v>4082.2</v>
      </c>
      <c r="R919" s="21">
        <f>IF(OR(G919="",P919=""),"",G919/P919-1)</f>
        <v/>
      </c>
      <c r="S919" s="19" t="n">
        <v>0.4211</v>
      </c>
      <c r="T919" s="22" t="n">
        <v>0.0509</v>
      </c>
      <c r="U919" s="16" t="inlineStr">
        <is>
          <t>Yes</t>
        </is>
      </c>
      <c r="V919" s="16" t="inlineStr">
        <is>
          <t>No</t>
        </is>
      </c>
      <c r="W919" s="16" t="inlineStr">
        <is>
          <t>Yes</t>
        </is>
      </c>
      <c r="X919" s="16" t="inlineStr">
        <is>
          <t>Yes</t>
        </is>
      </c>
      <c r="Y919" s="20" t="n">
        <v>76</v>
      </c>
      <c r="Z919" s="19" t="n">
        <v>0.3733</v>
      </c>
      <c r="AA919" s="18" t="n"/>
      <c r="AB919" s="16" t="n"/>
      <c r="AC919" s="16" t="inlineStr">
        <is>
          <t>No</t>
        </is>
      </c>
      <c r="AD919" s="19" t="n"/>
      <c r="AE919" s="19" t="n"/>
      <c r="AF919" s="19" t="n"/>
      <c r="AG919" s="19" t="n"/>
      <c r="AH919" s="23" t="n"/>
      <c r="AI919" s="23" t="n"/>
      <c r="AJ919" s="19" t="n"/>
    </row>
    <row r="920">
      <c r="A920" s="16" t="inlineStr">
        <is>
          <t>RAYMONDLSL</t>
        </is>
      </c>
      <c r="B920" s="16" t="inlineStr">
        <is>
          <t>Raymond Lifestyle Ltd.</t>
        </is>
      </c>
      <c r="C920" s="16" t="inlineStr">
        <is>
          <t>Textiles</t>
        </is>
      </c>
      <c r="D920" s="16" t="inlineStr">
        <is>
          <t>Textiles Apparels &amp; Accessories</t>
        </is>
      </c>
      <c r="E920" s="16" t="inlineStr">
        <is>
          <t>INE02ID01020</t>
        </is>
      </c>
      <c r="F920" s="17" t="n">
        <v>4043.19</v>
      </c>
      <c r="G920" s="18" t="n">
        <v>663.65</v>
      </c>
      <c r="H920" s="19" t="n">
        <v>0.0244</v>
      </c>
      <c r="I920" s="20" t="n">
        <v>4</v>
      </c>
      <c r="J920" s="16" t="inlineStr">
        <is>
          <t>red</t>
        </is>
      </c>
      <c r="K920" s="20" t="n">
        <v>437</v>
      </c>
      <c r="L920" s="18" t="n">
        <v>19.81</v>
      </c>
      <c r="M920" s="18" t="n">
        <v>669.37</v>
      </c>
      <c r="N920" s="18" t="n">
        <v>725.91</v>
      </c>
      <c r="O920" s="18" t="n">
        <v>848.29</v>
      </c>
      <c r="P920" s="18" t="n">
        <v>1328.13</v>
      </c>
      <c r="Q920" s="18" t="n">
        <v>637.15</v>
      </c>
      <c r="R920" s="21">
        <f>IF(OR(G920="",P920=""),"",G920/P920-1)</f>
        <v/>
      </c>
      <c r="S920" s="19" t="n">
        <v>1.64</v>
      </c>
      <c r="T920" s="22" t="n">
        <v>-0.0509</v>
      </c>
      <c r="U920" s="16" t="inlineStr">
        <is>
          <t>No</t>
        </is>
      </c>
      <c r="V920" s="16" t="inlineStr">
        <is>
          <t>No</t>
        </is>
      </c>
      <c r="W920" s="16" t="inlineStr">
        <is>
          <t>No</t>
        </is>
      </c>
      <c r="X920" s="16" t="inlineStr">
        <is>
          <t>No</t>
        </is>
      </c>
      <c r="Y920" s="20" t="n">
        <v>173</v>
      </c>
      <c r="Z920" s="19" t="n">
        <v>-0.1443</v>
      </c>
      <c r="AA920" s="18" t="n">
        <v>54.82</v>
      </c>
      <c r="AB920" s="16" t="inlineStr">
        <is>
          <t>Good</t>
        </is>
      </c>
      <c r="AC920" s="16" t="inlineStr">
        <is>
          <t>No</t>
        </is>
      </c>
      <c r="AD920" s="19" t="n">
        <v>0.09420000000000001</v>
      </c>
      <c r="AE920" s="19" t="n">
        <v>0.0407</v>
      </c>
      <c r="AF920" s="19" t="n">
        <v>23.8922</v>
      </c>
      <c r="AG920" s="19" t="n">
        <v>16.5699</v>
      </c>
      <c r="AH920" s="23" t="n">
        <v>0.23</v>
      </c>
      <c r="AI920" s="23" t="n">
        <v>2.69</v>
      </c>
      <c r="AJ920" s="19" t="n">
        <v>0.0545</v>
      </c>
    </row>
    <row r="921">
      <c r="A921" s="16" t="inlineStr">
        <is>
          <t>NOVARTIND</t>
        </is>
      </c>
      <c r="B921" s="16" t="inlineStr">
        <is>
          <t>Novartis India Ltd.</t>
        </is>
      </c>
      <c r="C921" s="16" t="inlineStr">
        <is>
          <t>Pharmaceuticals</t>
        </is>
      </c>
      <c r="D921" s="16" t="inlineStr">
        <is>
          <t>Pharmaceuticals &amp; Biotechnology</t>
        </is>
      </c>
      <c r="E921" s="16" t="inlineStr">
        <is>
          <t>INE234A01025</t>
        </is>
      </c>
      <c r="F921" s="17" t="n">
        <v>4042.13</v>
      </c>
      <c r="G921" s="18" t="n">
        <v>1637.1</v>
      </c>
      <c r="H921" s="19" t="n">
        <v>0.0137</v>
      </c>
      <c r="I921" s="20" t="n">
        <v>88</v>
      </c>
      <c r="J921" s="16" t="inlineStr">
        <is>
          <t>green</t>
        </is>
      </c>
      <c r="K921" s="20" t="n">
        <v>85</v>
      </c>
      <c r="L921" s="18" t="n">
        <v>55.39</v>
      </c>
      <c r="M921" s="18" t="n">
        <v>1558.27</v>
      </c>
      <c r="N921" s="18" t="n">
        <v>1559.76</v>
      </c>
      <c r="O921" s="18" t="n">
        <v>1123.77</v>
      </c>
      <c r="P921" s="18" t="n">
        <v>1699.35</v>
      </c>
      <c r="Q921" s="18" t="n">
        <v>759.3</v>
      </c>
      <c r="R921" s="21">
        <f>IF(OR(G921="",P921=""),"",G921/P921-1)</f>
        <v/>
      </c>
      <c r="S921" s="19" t="n">
        <v>1.046</v>
      </c>
      <c r="T921" s="22" t="n">
        <v>0.065</v>
      </c>
      <c r="U921" s="16" t="inlineStr">
        <is>
          <t>Yes</t>
        </is>
      </c>
      <c r="V921" s="16" t="inlineStr">
        <is>
          <t>Yes</t>
        </is>
      </c>
      <c r="W921" s="16" t="inlineStr">
        <is>
          <t>Yes</t>
        </is>
      </c>
      <c r="X921" s="16" t="inlineStr">
        <is>
          <t>Yes</t>
        </is>
      </c>
      <c r="Y921" s="20" t="n">
        <v>102</v>
      </c>
      <c r="Z921" s="19" t="n">
        <v>0.388</v>
      </c>
      <c r="AA921" s="18" t="n"/>
      <c r="AB921" s="16" t="n"/>
      <c r="AC921" s="16" t="inlineStr">
        <is>
          <t>No</t>
        </is>
      </c>
      <c r="AD921" s="19" t="n"/>
      <c r="AE921" s="19" t="n"/>
      <c r="AF921" s="19" t="n"/>
      <c r="AG921" s="19" t="n"/>
      <c r="AH921" s="23" t="n"/>
      <c r="AI921" s="23" t="n"/>
      <c r="AJ921" s="19" t="n"/>
    </row>
    <row r="922">
      <c r="A922" s="16" t="inlineStr">
        <is>
          <t>63MOONS</t>
        </is>
      </c>
      <c r="B922" s="16" t="inlineStr">
        <is>
          <t>63 Moons Technologies Ltd.</t>
        </is>
      </c>
      <c r="C922" s="16" t="inlineStr">
        <is>
          <t>IT Consulting &amp; Software</t>
        </is>
      </c>
      <c r="D922" s="16" t="inlineStr">
        <is>
          <t>Software &amp; Services</t>
        </is>
      </c>
      <c r="E922" s="16" t="inlineStr">
        <is>
          <t>INE111B01023</t>
        </is>
      </c>
      <c r="F922" s="17" t="n">
        <v>4038.78</v>
      </c>
      <c r="G922" s="18" t="n">
        <v>876.5</v>
      </c>
      <c r="H922" s="19" t="n">
        <v>0.0297</v>
      </c>
      <c r="I922" s="20" t="n">
        <v>71</v>
      </c>
      <c r="J922" s="16" t="inlineStr">
        <is>
          <t>amber</t>
        </is>
      </c>
      <c r="K922" s="20" t="n">
        <v>3</v>
      </c>
      <c r="L922" s="18" t="n">
        <v>66.38</v>
      </c>
      <c r="M922" s="18" t="n">
        <v>798.33</v>
      </c>
      <c r="N922" s="18" t="n">
        <v>766.4</v>
      </c>
      <c r="O922" s="18" t="n">
        <v>689.52</v>
      </c>
      <c r="P922" s="18" t="n">
        <v>940.39</v>
      </c>
      <c r="Q922" s="18" t="n">
        <v>470.3</v>
      </c>
      <c r="R922" s="21">
        <f>IF(OR(G922="",P922=""),"",G922/P922-1)</f>
        <v/>
      </c>
      <c r="S922" s="19" t="n">
        <v>0.9215000000000001</v>
      </c>
      <c r="T922" s="22" t="n">
        <v>0.0049</v>
      </c>
      <c r="U922" s="16" t="inlineStr">
        <is>
          <t>Yes</t>
        </is>
      </c>
      <c r="V922" s="16" t="inlineStr">
        <is>
          <t>Yes</t>
        </is>
      </c>
      <c r="W922" s="16" t="inlineStr">
        <is>
          <t>Yes</t>
        </is>
      </c>
      <c r="X922" s="16" t="inlineStr">
        <is>
          <t>Yes</t>
        </is>
      </c>
      <c r="Y922" s="20" t="n">
        <v>25</v>
      </c>
      <c r="Z922" s="19" t="n">
        <v>0.1115</v>
      </c>
      <c r="AA922" s="18" t="n">
        <v>54.1</v>
      </c>
      <c r="AB922" s="16" t="inlineStr">
        <is>
          <t>Good</t>
        </is>
      </c>
      <c r="AC922" s="16" t="inlineStr">
        <is>
          <t>No</t>
        </is>
      </c>
      <c r="AD922" s="19" t="n">
        <v>0.0168</v>
      </c>
      <c r="AE922" s="19" t="n">
        <v>0.0117</v>
      </c>
      <c r="AF922" s="19" t="n">
        <v>4.6053</v>
      </c>
      <c r="AG922" s="19" t="n">
        <v>0.9719</v>
      </c>
      <c r="AH922" s="23" t="n">
        <v>0</v>
      </c>
      <c r="AI922" s="23" t="n">
        <v>0.9</v>
      </c>
      <c r="AJ922" s="19" t="n">
        <v>0.0277</v>
      </c>
    </row>
    <row r="923">
      <c r="A923" s="16" t="inlineStr">
        <is>
          <t>MAHLOG</t>
        </is>
      </c>
      <c r="B923" s="16" t="inlineStr">
        <is>
          <t>Mahindra Logistics Ltd.</t>
        </is>
      </c>
      <c r="C923" s="16" t="inlineStr">
        <is>
          <t>Warehousing &amp; Logistics</t>
        </is>
      </c>
      <c r="D923" s="16" t="inlineStr">
        <is>
          <t>Transportation</t>
        </is>
      </c>
      <c r="E923" s="16" t="inlineStr">
        <is>
          <t>INE766P01016</t>
        </is>
      </c>
      <c r="F923" s="17" t="n">
        <v>4024.21</v>
      </c>
      <c r="G923" s="18" t="n">
        <v>405.35</v>
      </c>
      <c r="H923" s="19" t="n">
        <v>0.0126</v>
      </c>
      <c r="I923" s="20" t="n">
        <v>66</v>
      </c>
      <c r="J923" s="16" t="inlineStr">
        <is>
          <t>amber</t>
        </is>
      </c>
      <c r="K923" s="20" t="n">
        <v>33</v>
      </c>
      <c r="L923" s="18" t="n">
        <v>50.43</v>
      </c>
      <c r="M923" s="18" t="n">
        <v>395.06</v>
      </c>
      <c r="N923" s="18" t="n">
        <v>398.13</v>
      </c>
      <c r="O923" s="18" t="n">
        <v>366.29</v>
      </c>
      <c r="P923" s="18" t="n">
        <v>439.85</v>
      </c>
      <c r="Q923" s="18" t="n">
        <v>277.75</v>
      </c>
      <c r="R923" s="21">
        <f>IF(OR(G923="",P923=""),"",G923/P923-1)</f>
        <v/>
      </c>
      <c r="S923" s="19" t="n">
        <v>0.6734</v>
      </c>
      <c r="T923" s="22" t="n">
        <v>0.0161</v>
      </c>
      <c r="U923" s="16" t="inlineStr">
        <is>
          <t>Yes</t>
        </is>
      </c>
      <c r="V923" s="16" t="inlineStr">
        <is>
          <t>Yes</t>
        </is>
      </c>
      <c r="W923" s="16" t="inlineStr">
        <is>
          <t>Yes</t>
        </is>
      </c>
      <c r="X923" s="16" t="inlineStr">
        <is>
          <t>Yes</t>
        </is>
      </c>
      <c r="Y923" s="20" t="n">
        <v>136</v>
      </c>
      <c r="Z923" s="19" t="n">
        <v>0.08689999999999999</v>
      </c>
      <c r="AA923" s="18" t="n">
        <v>27</v>
      </c>
      <c r="AB923" s="16" t="inlineStr">
        <is>
          <t>Poor</t>
        </is>
      </c>
      <c r="AC923" s="16" t="inlineStr">
        <is>
          <t>No</t>
        </is>
      </c>
      <c r="AD923" s="19" t="n">
        <v>-0.06370000000000001</v>
      </c>
      <c r="AE923" s="19" t="n">
        <v>0.0496</v>
      </c>
      <c r="AF923" s="19" t="n">
        <v>-0.5756</v>
      </c>
      <c r="AG923" s="19" t="n">
        <v>0.1102</v>
      </c>
      <c r="AH923" s="23" t="n">
        <v>0.55</v>
      </c>
      <c r="AI923" s="23" t="n">
        <v>7.57</v>
      </c>
      <c r="AJ923" s="19" t="n">
        <v>0.0384</v>
      </c>
    </row>
    <row r="924">
      <c r="A924" s="16" t="inlineStr">
        <is>
          <t>GHCL</t>
        </is>
      </c>
      <c r="B924" s="16" t="inlineStr">
        <is>
          <t>GHCL Ltd.</t>
        </is>
      </c>
      <c r="C924" s="16" t="inlineStr">
        <is>
          <t>Commodity Chemicals</t>
        </is>
      </c>
      <c r="D924" s="16" t="inlineStr">
        <is>
          <t>Chemicals &amp; Petrochemicals</t>
        </is>
      </c>
      <c r="E924" s="16" t="inlineStr">
        <is>
          <t>INE539A01019</t>
        </is>
      </c>
      <c r="F924" s="17" t="n">
        <v>4022.43</v>
      </c>
      <c r="G924" s="18" t="n">
        <v>436.6</v>
      </c>
      <c r="H924" s="19" t="n">
        <v>-0.0022</v>
      </c>
      <c r="I924" s="20" t="n">
        <v>22</v>
      </c>
      <c r="J924" s="16" t="inlineStr">
        <is>
          <t>red</t>
        </is>
      </c>
      <c r="K924" s="20" t="n">
        <v>185</v>
      </c>
      <c r="L924" s="18" t="n">
        <v>56.18</v>
      </c>
      <c r="M924" s="18" t="n">
        <v>437.76</v>
      </c>
      <c r="N924" s="18" t="n">
        <v>435.89</v>
      </c>
      <c r="O924" s="18" t="n">
        <v>476.97</v>
      </c>
      <c r="P924" s="18" t="n">
        <v>639.3099999999999</v>
      </c>
      <c r="Q924" s="18" t="n">
        <v>408.39</v>
      </c>
      <c r="R924" s="21">
        <f>IF(OR(G924="",P924=""),"",G924/P924-1)</f>
        <v/>
      </c>
      <c r="S924" s="19" t="n">
        <v>0.5717</v>
      </c>
      <c r="T924" s="22" t="n">
        <v>-0.035</v>
      </c>
      <c r="U924" s="16" t="inlineStr">
        <is>
          <t>No</t>
        </is>
      </c>
      <c r="V924" s="16" t="inlineStr">
        <is>
          <t>Yes</t>
        </is>
      </c>
      <c r="W924" s="16" t="inlineStr">
        <is>
          <t>No</t>
        </is>
      </c>
      <c r="X924" s="16" t="inlineStr">
        <is>
          <t>No</t>
        </is>
      </c>
      <c r="Y924" s="20" t="n">
        <v>169</v>
      </c>
      <c r="Z924" s="19" t="n">
        <v>-0.0861</v>
      </c>
      <c r="AA924" s="18" t="n">
        <v>40</v>
      </c>
      <c r="AB924" s="16" t="inlineStr">
        <is>
          <t>Weak</t>
        </is>
      </c>
      <c r="AC924" s="16" t="inlineStr">
        <is>
          <t>No</t>
        </is>
      </c>
      <c r="AD924" s="19" t="n">
        <v>0.1928</v>
      </c>
      <c r="AE924" s="19" t="n">
        <v>0.2445</v>
      </c>
      <c r="AF924" s="19" t="n">
        <v>-0.2514</v>
      </c>
      <c r="AG924" s="19" t="n">
        <v>-0.1185</v>
      </c>
      <c r="AH924" s="23" t="n">
        <v>0.02</v>
      </c>
      <c r="AI924" s="23" t="n">
        <v>1.34</v>
      </c>
      <c r="AJ924" s="19" t="n">
        <v>0.2023</v>
      </c>
    </row>
    <row r="925">
      <c r="A925" s="16" t="inlineStr">
        <is>
          <t>AHLUCONT</t>
        </is>
      </c>
      <c r="B925" s="16" t="inlineStr">
        <is>
          <t>Ahluwalia Contracts (India) Ltd.</t>
        </is>
      </c>
      <c r="C925" s="16" t="inlineStr">
        <is>
          <t>Construction &amp; Engineering</t>
        </is>
      </c>
      <c r="D925" s="16" t="inlineStr">
        <is>
          <t>Cement and Construction</t>
        </is>
      </c>
      <c r="E925" s="16" t="inlineStr">
        <is>
          <t>INE758C01029</t>
        </is>
      </c>
      <c r="F925" s="17" t="n">
        <v>4012.89</v>
      </c>
      <c r="G925" s="18" t="n">
        <v>599.05</v>
      </c>
      <c r="H925" s="19" t="n">
        <v>0.006</v>
      </c>
      <c r="I925" s="20" t="n">
        <v>3</v>
      </c>
      <c r="J925" s="16" t="inlineStr">
        <is>
          <t>red</t>
        </is>
      </c>
      <c r="K925" s="20" t="n">
        <v>140</v>
      </c>
      <c r="L925" s="18" t="n">
        <v>6.46</v>
      </c>
      <c r="M925" s="18" t="n">
        <v>617.65</v>
      </c>
      <c r="N925" s="18" t="n">
        <v>782.59</v>
      </c>
      <c r="O925" s="18" t="n">
        <v>834.48</v>
      </c>
      <c r="P925" s="18" t="n">
        <v>1053.7</v>
      </c>
      <c r="Q925" s="18" t="n">
        <v>595.45</v>
      </c>
      <c r="R925" s="21">
        <f>IF(OR(G925="",P925=""),"",G925/P925-1)</f>
        <v/>
      </c>
      <c r="S925" s="19" t="n">
        <v>2.4385</v>
      </c>
      <c r="T925" s="22" t="n">
        <v>-0.0268</v>
      </c>
      <c r="U925" s="16" t="inlineStr">
        <is>
          <t>No</t>
        </is>
      </c>
      <c r="V925" s="16" t="inlineStr">
        <is>
          <t>No</t>
        </is>
      </c>
      <c r="W925" s="16" t="inlineStr">
        <is>
          <t>No</t>
        </is>
      </c>
      <c r="X925" s="16" t="inlineStr">
        <is>
          <t>No</t>
        </is>
      </c>
      <c r="Y925" s="20" t="n">
        <v>151</v>
      </c>
      <c r="Z925" s="19" t="n">
        <v>-0.0622</v>
      </c>
      <c r="AA925" s="18" t="n">
        <v>40</v>
      </c>
      <c r="AB925" s="16" t="inlineStr">
        <is>
          <t>Weak</t>
        </is>
      </c>
      <c r="AC925" s="16" t="inlineStr">
        <is>
          <t>No</t>
        </is>
      </c>
      <c r="AD925" s="19" t="n">
        <v>0.1586</v>
      </c>
      <c r="AE925" s="19" t="n">
        <v>0.2275</v>
      </c>
      <c r="AF925" s="19" t="n">
        <v>-0.1763</v>
      </c>
      <c r="AG925" s="19" t="n">
        <v>0.1838</v>
      </c>
      <c r="AH925" s="23" t="n">
        <v>0.04</v>
      </c>
      <c r="AI925" s="23" t="n">
        <v>8.32</v>
      </c>
      <c r="AJ925" s="19" t="n">
        <v>0.0118</v>
      </c>
    </row>
    <row r="926">
      <c r="A926" s="16" t="inlineStr">
        <is>
          <t>TVSSRICHAK</t>
        </is>
      </c>
      <c r="B926" s="16" t="inlineStr">
        <is>
          <t>TVS Srichakra Ltd.</t>
        </is>
      </c>
      <c r="C926" s="16" t="inlineStr">
        <is>
          <t>Auto Tyres &amp; Rubber Products</t>
        </is>
      </c>
      <c r="D926" s="16" t="inlineStr">
        <is>
          <t>Automobiles &amp; Auto Components</t>
        </is>
      </c>
      <c r="E926" s="16" t="inlineStr">
        <is>
          <t>INE421C01016</t>
        </is>
      </c>
      <c r="F926" s="17" t="n">
        <v>4010.35</v>
      </c>
      <c r="G926" s="18" t="n">
        <v>5237.5</v>
      </c>
      <c r="H926" s="19" t="n">
        <v>-0.0022</v>
      </c>
      <c r="I926" s="20" t="n">
        <v>81</v>
      </c>
      <c r="J926" s="16" t="inlineStr">
        <is>
          <t>green</t>
        </is>
      </c>
      <c r="K926" s="20" t="n">
        <v>8</v>
      </c>
      <c r="L926" s="18" t="n">
        <v>61.5</v>
      </c>
      <c r="M926" s="18" t="n">
        <v>5350.77</v>
      </c>
      <c r="N926" s="18" t="n">
        <v>4384.59</v>
      </c>
      <c r="O926" s="18" t="n">
        <v>4099.31</v>
      </c>
      <c r="P926" s="18" t="n">
        <v>5525.5</v>
      </c>
      <c r="Q926" s="18" t="n">
        <v>2890.5</v>
      </c>
      <c r="R926" s="21">
        <f>IF(OR(G926="",P926=""),"",G926/P926-1)</f>
        <v/>
      </c>
      <c r="S926" s="19" t="n">
        <v>0.1887</v>
      </c>
      <c r="T926" s="22" t="n">
        <v>0.0163</v>
      </c>
      <c r="U926" s="16" t="inlineStr">
        <is>
          <t>Yes</t>
        </is>
      </c>
      <c r="V926" s="16" t="inlineStr">
        <is>
          <t>Yes</t>
        </is>
      </c>
      <c r="W926" s="16" t="inlineStr">
        <is>
          <t>No</t>
        </is>
      </c>
      <c r="X926" s="16" t="inlineStr">
        <is>
          <t>Yes</t>
        </is>
      </c>
      <c r="Y926" s="20" t="n">
        <v>28</v>
      </c>
      <c r="Z926" s="19" t="n">
        <v>0.0696</v>
      </c>
      <c r="AA926" s="18" t="n">
        <v>25.98</v>
      </c>
      <c r="AB926" s="16" t="inlineStr">
        <is>
          <t>Poor</t>
        </is>
      </c>
      <c r="AC926" s="16" t="inlineStr">
        <is>
          <t>No</t>
        </is>
      </c>
      <c r="AD926" s="19" t="n">
        <v>0.0581</v>
      </c>
      <c r="AE926" s="19" t="n">
        <v>0.0733</v>
      </c>
      <c r="AF926" s="19" t="n">
        <v>-0.475</v>
      </c>
      <c r="AG926" s="19" t="n">
        <v>0.0723</v>
      </c>
      <c r="AH926" s="23" t="n">
        <v>0.64</v>
      </c>
      <c r="AI926" s="23" t="n">
        <v>3.33</v>
      </c>
      <c r="AJ926" s="19" t="n">
        <v>0.03700000000000001</v>
      </c>
    </row>
    <row r="927">
      <c r="A927" s="16" t="inlineStr">
        <is>
          <t>SYMPHONY</t>
        </is>
      </c>
      <c r="B927" s="16" t="inlineStr">
        <is>
          <t>Symphony Ltd.</t>
        </is>
      </c>
      <c r="C927" s="16" t="inlineStr">
        <is>
          <t>Consumer Electronics</t>
        </is>
      </c>
      <c r="D927" s="16" t="inlineStr">
        <is>
          <t>Consumer Durables</t>
        </is>
      </c>
      <c r="E927" s="16" t="inlineStr">
        <is>
          <t>INE225D01027</t>
        </is>
      </c>
      <c r="F927" s="17" t="n">
        <v>3985.34</v>
      </c>
      <c r="G927" s="18" t="n">
        <v>580.35</v>
      </c>
      <c r="H927" s="19" t="n">
        <v>0.0132</v>
      </c>
      <c r="I927" s="20" t="n">
        <v>5</v>
      </c>
      <c r="J927" s="16" t="inlineStr">
        <is>
          <t>red</t>
        </is>
      </c>
      <c r="K927" s="20" t="n">
        <v>329</v>
      </c>
      <c r="L927" s="18" t="n">
        <v>31.34</v>
      </c>
      <c r="M927" s="18" t="n">
        <v>584.3099999999999</v>
      </c>
      <c r="N927" s="18" t="n">
        <v>654.13</v>
      </c>
      <c r="O927" s="18" t="n">
        <v>765.04</v>
      </c>
      <c r="P927" s="18" t="n">
        <v>949.4400000000001</v>
      </c>
      <c r="Q927" s="18" t="n">
        <v>567.75</v>
      </c>
      <c r="R927" s="21">
        <f>IF(OR(G927="",P927=""),"",G927/P927-1)</f>
        <v/>
      </c>
      <c r="S927" s="19" t="n">
        <v>0.3923</v>
      </c>
      <c r="T927" s="22" t="n">
        <v>-0.0367</v>
      </c>
      <c r="U927" s="16" t="inlineStr">
        <is>
          <t>No</t>
        </is>
      </c>
      <c r="V927" s="16" t="inlineStr">
        <is>
          <t>No</t>
        </is>
      </c>
      <c r="W927" s="16" t="inlineStr">
        <is>
          <t>No</t>
        </is>
      </c>
      <c r="X927" s="16" t="inlineStr">
        <is>
          <t>No</t>
        </is>
      </c>
      <c r="Y927" s="20" t="n">
        <v>400</v>
      </c>
      <c r="Z927" s="19" t="n">
        <v>-0.145</v>
      </c>
      <c r="AA927" s="18" t="n">
        <v>38.46</v>
      </c>
      <c r="AB927" s="16" t="inlineStr">
        <is>
          <t>Weak</t>
        </is>
      </c>
      <c r="AC927" s="16" t="inlineStr">
        <is>
          <t>No</t>
        </is>
      </c>
      <c r="AD927" s="19" t="n">
        <v>0.0728</v>
      </c>
      <c r="AE927" s="19" t="n">
        <v>0.1565</v>
      </c>
      <c r="AF927" s="19" t="n">
        <v>-0.3119</v>
      </c>
      <c r="AG927" s="19" t="n">
        <v>0.0178</v>
      </c>
      <c r="AH927" s="23" t="n">
        <v>0.32</v>
      </c>
      <c r="AI927" s="23" t="n">
        <v>8.130000000000001</v>
      </c>
      <c r="AJ927" s="19" t="n">
        <v>0.016</v>
      </c>
    </row>
    <row r="928">
      <c r="A928" s="16" t="inlineStr">
        <is>
          <t>RTNPOWER</t>
        </is>
      </c>
      <c r="B928" s="16" t="inlineStr">
        <is>
          <t>RattanIndia Power Ltd.</t>
        </is>
      </c>
      <c r="C928" s="16" t="inlineStr">
        <is>
          <t>Power - Electric Utilities</t>
        </is>
      </c>
      <c r="D928" s="16" t="inlineStr">
        <is>
          <t>Utilities</t>
        </is>
      </c>
      <c r="E928" s="16" t="inlineStr">
        <is>
          <t>INE399K01017</t>
        </is>
      </c>
      <c r="F928" s="17" t="n">
        <v>3952.4</v>
      </c>
      <c r="G928" s="18" t="n">
        <v>7.36</v>
      </c>
      <c r="H928" s="19" t="n">
        <v>0.0166</v>
      </c>
      <c r="I928" s="20" t="n">
        <v>6</v>
      </c>
      <c r="J928" s="16" t="inlineStr">
        <is>
          <t>red</t>
        </is>
      </c>
      <c r="K928" s="20" t="n">
        <v>250</v>
      </c>
      <c r="L928" s="18" t="n">
        <v>24.87</v>
      </c>
      <c r="M928" s="18" t="n">
        <v>7.58</v>
      </c>
      <c r="N928" s="18" t="n">
        <v>8.460000000000001</v>
      </c>
      <c r="O928" s="18" t="n">
        <v>8.960000000000001</v>
      </c>
      <c r="P928" s="18" t="n">
        <v>12.5</v>
      </c>
      <c r="Q928" s="18" t="n">
        <v>7.24</v>
      </c>
      <c r="R928" s="21">
        <f>IF(OR(G928="",P928=""),"",G928/P928-1)</f>
        <v/>
      </c>
      <c r="S928" s="19" t="n">
        <v>0.7371</v>
      </c>
      <c r="T928" s="22" t="n">
        <v>-0.0299</v>
      </c>
      <c r="U928" s="16" t="inlineStr">
        <is>
          <t>No</t>
        </is>
      </c>
      <c r="V928" s="16" t="inlineStr">
        <is>
          <t>No</t>
        </is>
      </c>
      <c r="W928" s="16" t="inlineStr">
        <is>
          <t>No</t>
        </is>
      </c>
      <c r="X928" s="16" t="inlineStr">
        <is>
          <t>No</t>
        </is>
      </c>
      <c r="Y928" s="20" t="n">
        <v>210</v>
      </c>
      <c r="Z928" s="19" t="n">
        <v>-0.0557</v>
      </c>
      <c r="AA928" s="18" t="n">
        <v>54.55</v>
      </c>
      <c r="AB928" s="16" t="inlineStr">
        <is>
          <t>Good</t>
        </is>
      </c>
      <c r="AC928" s="16" t="inlineStr">
        <is>
          <t>No</t>
        </is>
      </c>
      <c r="AD928" s="19" t="n">
        <v>0.6995</v>
      </c>
      <c r="AE928" s="19" t="n">
        <v>0.4732</v>
      </c>
      <c r="AF928" s="19" t="n">
        <v>1.3434</v>
      </c>
      <c r="AG928" s="19" t="n">
        <v>-0.0239</v>
      </c>
      <c r="AH928" s="23" t="n">
        <v>0.8</v>
      </c>
      <c r="AI928" s="23" t="n">
        <v>0.49</v>
      </c>
      <c r="AJ928" s="19" t="n">
        <v>0.0033</v>
      </c>
    </row>
    <row r="929">
      <c r="A929" s="16" t="inlineStr">
        <is>
          <t>UNIPARTS</t>
        </is>
      </c>
      <c r="B929" s="16" t="inlineStr">
        <is>
          <t>Uniparts India Ltd.</t>
        </is>
      </c>
      <c r="C929" s="16" t="inlineStr">
        <is>
          <t>Heavy Electrical Equipment</t>
        </is>
      </c>
      <c r="D929" s="16" t="inlineStr">
        <is>
          <t>General Industrials</t>
        </is>
      </c>
      <c r="E929" s="16" t="inlineStr">
        <is>
          <t>INE244O01017</t>
        </is>
      </c>
      <c r="F929" s="17" t="n">
        <v>3947.3</v>
      </c>
      <c r="G929" s="18" t="n">
        <v>874.05</v>
      </c>
      <c r="H929" s="19" t="n">
        <v>-0.0287</v>
      </c>
      <c r="I929" s="20" t="n">
        <v>92</v>
      </c>
      <c r="J929" s="16" t="inlineStr">
        <is>
          <t>green</t>
        </is>
      </c>
      <c r="K929" s="20" t="n">
        <v>155</v>
      </c>
      <c r="L929" s="18" t="n">
        <v>65.28</v>
      </c>
      <c r="M929" s="18" t="n">
        <v>867.8200000000001</v>
      </c>
      <c r="N929" s="18" t="n">
        <v>748.6799999999999</v>
      </c>
      <c r="O929" s="18" t="n">
        <v>563.99</v>
      </c>
      <c r="P929" s="18" t="n">
        <v>901.15</v>
      </c>
      <c r="Q929" s="18" t="n">
        <v>378.57</v>
      </c>
      <c r="R929" s="21">
        <f>IF(OR(G929="",P929=""),"",G929/P929-1)</f>
        <v/>
      </c>
      <c r="S929" s="19" t="n">
        <v>1.3084</v>
      </c>
      <c r="T929" s="22" t="n">
        <v>0.0675</v>
      </c>
      <c r="U929" s="16" t="inlineStr">
        <is>
          <t>Yes</t>
        </is>
      </c>
      <c r="V929" s="16" t="inlineStr">
        <is>
          <t>Yes</t>
        </is>
      </c>
      <c r="W929" s="16" t="inlineStr">
        <is>
          <t>Yes</t>
        </is>
      </c>
      <c r="X929" s="16" t="inlineStr">
        <is>
          <t>Yes</t>
        </is>
      </c>
      <c r="Y929" s="20" t="n">
        <v>282</v>
      </c>
      <c r="Z929" s="19" t="n">
        <v>0.3275</v>
      </c>
      <c r="AA929" s="18" t="n">
        <v>40</v>
      </c>
      <c r="AB929" s="16" t="inlineStr">
        <is>
          <t>Weak</t>
        </is>
      </c>
      <c r="AC929" s="16" t="inlineStr">
        <is>
          <t>No</t>
        </is>
      </c>
      <c r="AD929" s="19" t="n">
        <v>0.1416</v>
      </c>
      <c r="AE929" s="19" t="n">
        <v>0.1684</v>
      </c>
      <c r="AF929" s="19" t="n">
        <v>-0.5619</v>
      </c>
      <c r="AG929" s="19" t="n">
        <v>-0.0238</v>
      </c>
      <c r="AH929" s="23" t="n">
        <v>0.18</v>
      </c>
      <c r="AI929" s="23" t="n">
        <v>4.12</v>
      </c>
      <c r="AJ929" s="19" t="n">
        <v>0.0117</v>
      </c>
    </row>
    <row r="930">
      <c r="A930" s="16" t="inlineStr">
        <is>
          <t>WELSPLSOL</t>
        </is>
      </c>
      <c r="B930" s="16" t="inlineStr">
        <is>
          <t>Welspun Specialty Solutions Ltd.</t>
        </is>
      </c>
      <c r="C930" s="16" t="inlineStr">
        <is>
          <t>Iron &amp; Steel/Interm.Products</t>
        </is>
      </c>
      <c r="D930" s="16" t="inlineStr">
        <is>
          <t>Metals &amp; Mining</t>
        </is>
      </c>
      <c r="E930" s="16" t="inlineStr">
        <is>
          <t>INE731F01037</t>
        </is>
      </c>
      <c r="F930" s="17" t="n">
        <v>3943.86</v>
      </c>
      <c r="G930" s="18" t="n">
        <v>59.52</v>
      </c>
      <c r="H930" s="19" t="n">
        <v>0.0585</v>
      </c>
      <c r="I930" s="20" t="n">
        <v>83</v>
      </c>
      <c r="J930" s="16" t="inlineStr">
        <is>
          <t>green</t>
        </is>
      </c>
      <c r="K930" s="20" t="n">
        <v>2</v>
      </c>
      <c r="L930" s="18" t="n">
        <v>75.77</v>
      </c>
      <c r="M930" s="18" t="n">
        <v>54.4</v>
      </c>
      <c r="N930" s="18" t="n">
        <v>51.84</v>
      </c>
      <c r="O930" s="18" t="n">
        <v>42.83</v>
      </c>
      <c r="P930" s="18" t="n">
        <v>60.41</v>
      </c>
      <c r="Q930" s="18" t="n">
        <v>30.74</v>
      </c>
      <c r="R930" s="21">
        <f>IF(OR(G930="",P930=""),"",G930/P930-1)</f>
        <v/>
      </c>
      <c r="S930" s="19" t="n">
        <v>4.4522</v>
      </c>
      <c r="T930" s="22" t="n">
        <v>0.0302</v>
      </c>
      <c r="U930" s="16" t="inlineStr">
        <is>
          <t>Yes</t>
        </is>
      </c>
      <c r="V930" s="16" t="inlineStr">
        <is>
          <t>Yes</t>
        </is>
      </c>
      <c r="W930" s="16" t="inlineStr">
        <is>
          <t>Yes</t>
        </is>
      </c>
      <c r="X930" s="16" t="inlineStr">
        <is>
          <t>Yes</t>
        </is>
      </c>
      <c r="Y930" s="20" t="n">
        <v>216</v>
      </c>
      <c r="Z930" s="19" t="n">
        <v>0.2105</v>
      </c>
      <c r="AA930" s="18" t="n"/>
      <c r="AB930" s="16" t="n"/>
      <c r="AC930" s="16" t="inlineStr">
        <is>
          <t>No</t>
        </is>
      </c>
      <c r="AD930" s="19" t="n"/>
      <c r="AE930" s="19" t="n"/>
      <c r="AF930" s="19" t="n"/>
      <c r="AG930" s="19" t="n"/>
      <c r="AH930" s="23" t="n"/>
      <c r="AI930" s="23" t="n"/>
      <c r="AJ930" s="19" t="n"/>
    </row>
    <row r="931">
      <c r="A931" s="16" t="inlineStr">
        <is>
          <t>AARTIDRUGS</t>
        </is>
      </c>
      <c r="B931" s="16" t="inlineStr">
        <is>
          <t>Aarti Drugs Ltd.</t>
        </is>
      </c>
      <c r="C931" s="16" t="inlineStr">
        <is>
          <t>Pharmaceuticals</t>
        </is>
      </c>
      <c r="D931" s="16" t="inlineStr">
        <is>
          <t>Pharmaceuticals &amp; Biotechnology</t>
        </is>
      </c>
      <c r="E931" s="16" t="inlineStr">
        <is>
          <t>INE767A01016</t>
        </is>
      </c>
      <c r="F931" s="17" t="n">
        <v>3939.67</v>
      </c>
      <c r="G931" s="18" t="n">
        <v>431.65</v>
      </c>
      <c r="H931" s="19" t="n">
        <v>0.0136</v>
      </c>
      <c r="I931" s="20" t="n">
        <v>54</v>
      </c>
      <c r="J931" s="16" t="inlineStr">
        <is>
          <t>red</t>
        </is>
      </c>
      <c r="K931" s="20" t="n">
        <v>207</v>
      </c>
      <c r="L931" s="18" t="n">
        <v>64.81999999999999</v>
      </c>
      <c r="M931" s="18" t="n">
        <v>421.07</v>
      </c>
      <c r="N931" s="18" t="n">
        <v>410.45</v>
      </c>
      <c r="O931" s="18" t="n">
        <v>386.31</v>
      </c>
      <c r="P931" s="18" t="n">
        <v>522.55</v>
      </c>
      <c r="Q931" s="18" t="n">
        <v>319.75</v>
      </c>
      <c r="R931" s="21">
        <f>IF(OR(G931="",P931=""),"",G931/P931-1)</f>
        <v/>
      </c>
      <c r="S931" s="19" t="n">
        <v>1.228</v>
      </c>
      <c r="T931" s="22" t="n">
        <v>-0.0161</v>
      </c>
      <c r="U931" s="16" t="inlineStr">
        <is>
          <t>No</t>
        </is>
      </c>
      <c r="V931" s="16" t="inlineStr">
        <is>
          <t>Yes</t>
        </is>
      </c>
      <c r="W931" s="16" t="inlineStr">
        <is>
          <t>Yes</t>
        </is>
      </c>
      <c r="X931" s="16" t="inlineStr">
        <is>
          <t>Yes</t>
        </is>
      </c>
      <c r="Y931" s="20" t="n">
        <v>20</v>
      </c>
      <c r="Z931" s="19" t="n">
        <v>0.0625</v>
      </c>
      <c r="AA931" s="18" t="n">
        <v>39.6</v>
      </c>
      <c r="AB931" s="16" t="inlineStr">
        <is>
          <t>Weak</t>
        </is>
      </c>
      <c r="AC931" s="16" t="inlineStr">
        <is>
          <t>No</t>
        </is>
      </c>
      <c r="AD931" s="19" t="n">
        <v>0.1275</v>
      </c>
      <c r="AE931" s="19" t="n">
        <v>0.1286</v>
      </c>
      <c r="AF931" s="19" t="n">
        <v>0.0619</v>
      </c>
      <c r="AG931" s="19" t="n">
        <v>-0.0155</v>
      </c>
      <c r="AH931" s="23" t="n">
        <v>0.37</v>
      </c>
      <c r="AI931" s="23" t="n">
        <v>2</v>
      </c>
      <c r="AJ931" s="19" t="n">
        <v>0.1665</v>
      </c>
    </row>
    <row r="932">
      <c r="A932" s="16" t="inlineStr">
        <is>
          <t>TATVA</t>
        </is>
      </c>
      <c r="B932" s="16" t="inlineStr">
        <is>
          <t>Tatva Chintan Pharma Chem Ltd.</t>
        </is>
      </c>
      <c r="C932" s="16" t="inlineStr">
        <is>
          <t>Specialty Chemicals</t>
        </is>
      </c>
      <c r="D932" s="16" t="inlineStr">
        <is>
          <t>Chemicals &amp; Petrochemicals</t>
        </is>
      </c>
      <c r="E932" s="16" t="inlineStr">
        <is>
          <t>INE0GK401011</t>
        </is>
      </c>
      <c r="F932" s="17" t="n">
        <v>3926.36</v>
      </c>
      <c r="G932" s="18" t="n">
        <v>1678.5</v>
      </c>
      <c r="H932" s="19" t="n">
        <v>0.0516</v>
      </c>
      <c r="I932" s="20" t="n">
        <v>82</v>
      </c>
      <c r="J932" s="16" t="inlineStr">
        <is>
          <t>green</t>
        </is>
      </c>
      <c r="K932" s="20" t="n">
        <v>1</v>
      </c>
      <c r="L932" s="18" t="n">
        <v>48.82</v>
      </c>
      <c r="M932" s="18" t="n">
        <v>1619.86</v>
      </c>
      <c r="N932" s="18" t="n">
        <v>1568.48</v>
      </c>
      <c r="O932" s="18" t="n">
        <v>1335.62</v>
      </c>
      <c r="P932" s="18" t="n">
        <v>1800.1</v>
      </c>
      <c r="Q932" s="18" t="n">
        <v>981.13</v>
      </c>
      <c r="R932" s="21">
        <f>IF(OR(G932="",P932=""),"",G932/P932-1)</f>
        <v/>
      </c>
      <c r="S932" s="19" t="n">
        <v>1.2008</v>
      </c>
      <c r="T932" s="22" t="n">
        <v>0.0156</v>
      </c>
      <c r="U932" s="16" t="inlineStr">
        <is>
          <t>Yes</t>
        </is>
      </c>
      <c r="V932" s="16" t="inlineStr">
        <is>
          <t>Yes</t>
        </is>
      </c>
      <c r="W932" s="16" t="inlineStr">
        <is>
          <t>Yes</t>
        </is>
      </c>
      <c r="X932" s="16" t="inlineStr">
        <is>
          <t>Yes</t>
        </is>
      </c>
      <c r="Y932" s="20" t="n">
        <v>28</v>
      </c>
      <c r="Z932" s="19" t="n">
        <v>0.1743</v>
      </c>
      <c r="AA932" s="18" t="n">
        <v>39.63</v>
      </c>
      <c r="AB932" s="16" t="inlineStr">
        <is>
          <t>Weak</t>
        </is>
      </c>
      <c r="AC932" s="16" t="inlineStr">
        <is>
          <t>No</t>
        </is>
      </c>
      <c r="AD932" s="19" t="n">
        <v>0.0342</v>
      </c>
      <c r="AE932" s="19" t="n">
        <v>0.048</v>
      </c>
      <c r="AF932" s="19" t="n">
        <v>1.733</v>
      </c>
      <c r="AG932" s="19" t="n">
        <v>0.0765</v>
      </c>
      <c r="AH932" s="23" t="n">
        <v>0.15</v>
      </c>
      <c r="AI932" s="23" t="n">
        <v>0.8100000000000001</v>
      </c>
      <c r="AJ932" s="19" t="n">
        <v>0.0372</v>
      </c>
    </row>
    <row r="933">
      <c r="A933" s="16" t="inlineStr">
        <is>
          <t>ZOTA</t>
        </is>
      </c>
      <c r="B933" s="16" t="inlineStr">
        <is>
          <t>Zota Healthcare Ltd.</t>
        </is>
      </c>
      <c r="C933" s="16" t="inlineStr">
        <is>
          <t>Pharmaceuticals</t>
        </is>
      </c>
      <c r="D933" s="16" t="inlineStr">
        <is>
          <t>Pharmaceuticals &amp; Biotechnology</t>
        </is>
      </c>
      <c r="E933" s="16" t="inlineStr">
        <is>
          <t>INE358U01012</t>
        </is>
      </c>
      <c r="F933" s="17" t="n">
        <v>3921.8</v>
      </c>
      <c r="G933" s="18" t="n">
        <v>1132.4</v>
      </c>
      <c r="H933" s="19" t="n">
        <v>0.0283</v>
      </c>
      <c r="I933" s="20" t="n">
        <v>20</v>
      </c>
      <c r="J933" s="16" t="inlineStr">
        <is>
          <t>red</t>
        </is>
      </c>
      <c r="K933" s="20" t="n">
        <v>42</v>
      </c>
      <c r="L933" s="18" t="n">
        <v>53.57</v>
      </c>
      <c r="M933" s="18" t="n">
        <v>1079.32</v>
      </c>
      <c r="N933" s="18" t="n">
        <v>1252.7</v>
      </c>
      <c r="O933" s="18" t="n">
        <v>1310</v>
      </c>
      <c r="P933" s="18" t="n">
        <v>1687</v>
      </c>
      <c r="Q933" s="18" t="n">
        <v>1028.1</v>
      </c>
      <c r="R933" s="21">
        <f>IF(OR(G933="",P933=""),"",G933/P933-1)</f>
        <v/>
      </c>
      <c r="S933" s="19" t="n">
        <v>1.0999</v>
      </c>
      <c r="T933" s="22" t="n">
        <v>-0.0318</v>
      </c>
      <c r="U933" s="16" t="inlineStr">
        <is>
          <t>No</t>
        </is>
      </c>
      <c r="V933" s="16" t="inlineStr">
        <is>
          <t>No</t>
        </is>
      </c>
      <c r="W933" s="16" t="inlineStr">
        <is>
          <t>Yes</t>
        </is>
      </c>
      <c r="X933" s="16" t="inlineStr">
        <is>
          <t>No</t>
        </is>
      </c>
      <c r="Y933" s="20" t="n">
        <v>124</v>
      </c>
      <c r="Z933" s="19" t="n">
        <v>-0.0437</v>
      </c>
      <c r="AA933" s="18" t="n">
        <v>26.27</v>
      </c>
      <c r="AB933" s="16" t="inlineStr">
        <is>
          <t>Poor</t>
        </is>
      </c>
      <c r="AC933" s="16" t="inlineStr">
        <is>
          <t>No</t>
        </is>
      </c>
      <c r="AD933" s="19" t="n">
        <v>-0.1727</v>
      </c>
      <c r="AE933" s="19" t="n">
        <v>-0.0861</v>
      </c>
      <c r="AF933" s="19" t="n">
        <v>-1.0468</v>
      </c>
      <c r="AG933" s="19" t="n">
        <v>0.5838</v>
      </c>
      <c r="AH933" s="23" t="n">
        <v>0.39</v>
      </c>
      <c r="AI933" s="23" t="n">
        <v>1.47</v>
      </c>
      <c r="AJ933" s="19" t="n">
        <v>0.004699999999999999</v>
      </c>
    </row>
    <row r="934">
      <c r="A934" s="16" t="inlineStr">
        <is>
          <t>KIRLOSIND</t>
        </is>
      </c>
      <c r="B934" s="16" t="inlineStr">
        <is>
          <t>Kirloskar Industries Ltd.</t>
        </is>
      </c>
      <c r="C934" s="16" t="inlineStr">
        <is>
          <t>Other Industrial Products</t>
        </is>
      </c>
      <c r="D934" s="16" t="inlineStr">
        <is>
          <t>General Industrials</t>
        </is>
      </c>
      <c r="E934" s="16" t="inlineStr">
        <is>
          <t>INE250A01039</t>
        </is>
      </c>
      <c r="F934" s="17" t="n">
        <v>3921.66</v>
      </c>
      <c r="G934" s="18" t="n">
        <v>3731.5</v>
      </c>
      <c r="H934" s="19" t="n">
        <v>0.0018</v>
      </c>
      <c r="I934" s="20" t="n">
        <v>61</v>
      </c>
      <c r="J934" s="16" t="inlineStr">
        <is>
          <t>amber</t>
        </is>
      </c>
      <c r="K934" s="20" t="n">
        <v>8</v>
      </c>
      <c r="L934" s="18" t="n">
        <v>38.13</v>
      </c>
      <c r="M934" s="18" t="n">
        <v>3728.35</v>
      </c>
      <c r="N934" s="18" t="n">
        <v>3836.22</v>
      </c>
      <c r="O934" s="18" t="n">
        <v>3323.89</v>
      </c>
      <c r="P934" s="18" t="n">
        <v>4298.53</v>
      </c>
      <c r="Q934" s="18" t="n">
        <v>2463.88</v>
      </c>
      <c r="R934" s="21">
        <f>IF(OR(G934="",P934=""),"",G934/P934-1)</f>
        <v/>
      </c>
      <c r="S934" s="19" t="n">
        <v>0.9434</v>
      </c>
      <c r="T934" s="22" t="n">
        <v>-0.0007000000000000001</v>
      </c>
      <c r="U934" s="16" t="inlineStr">
        <is>
          <t>No</t>
        </is>
      </c>
      <c r="V934" s="16" t="inlineStr">
        <is>
          <t>No</t>
        </is>
      </c>
      <c r="W934" s="16" t="inlineStr">
        <is>
          <t>Yes</t>
        </is>
      </c>
      <c r="X934" s="16" t="inlineStr">
        <is>
          <t>Yes</t>
        </is>
      </c>
      <c r="Y934" s="20" t="n">
        <v>49</v>
      </c>
      <c r="Z934" s="19" t="n">
        <v>0.1541</v>
      </c>
      <c r="AA934" s="18" t="n">
        <v>33.68</v>
      </c>
      <c r="AB934" s="16" t="inlineStr">
        <is>
          <t>Poor</t>
        </is>
      </c>
      <c r="AC934" s="16" t="inlineStr">
        <is>
          <t>No</t>
        </is>
      </c>
      <c r="AD934" s="19" t="n">
        <v>0.0334</v>
      </c>
      <c r="AE934" s="19" t="n">
        <v>0.0911</v>
      </c>
      <c r="AF934" s="19" t="n">
        <v>0.0467</v>
      </c>
      <c r="AG934" s="19" t="n">
        <v>0.0149</v>
      </c>
      <c r="AH934" s="23" t="n">
        <v>0.18</v>
      </c>
      <c r="AI934" s="23" t="n">
        <v>1.53</v>
      </c>
      <c r="AJ934" s="19" t="n">
        <v>0.1677</v>
      </c>
    </row>
    <row r="935">
      <c r="A935" s="16" t="inlineStr">
        <is>
          <t>KOLTEPATIL</t>
        </is>
      </c>
      <c r="B935" s="16" t="inlineStr">
        <is>
          <t>Kolte-Patil Developers Ltd.</t>
        </is>
      </c>
      <c r="C935" s="16" t="inlineStr">
        <is>
          <t>Realty</t>
        </is>
      </c>
      <c r="D935" s="16" t="inlineStr">
        <is>
          <t>Realty</t>
        </is>
      </c>
      <c r="E935" s="16" t="inlineStr">
        <is>
          <t>INE094I01018</t>
        </is>
      </c>
      <c r="F935" s="17" t="n">
        <v>3918.33</v>
      </c>
      <c r="G935" s="18" t="n">
        <v>441.85</v>
      </c>
      <c r="H935" s="19" t="n">
        <v>-0.0171</v>
      </c>
      <c r="I935" s="20" t="n">
        <v>64</v>
      </c>
      <c r="J935" s="16" t="inlineStr">
        <is>
          <t>amber</t>
        </is>
      </c>
      <c r="K935" s="20" t="n">
        <v>18</v>
      </c>
      <c r="L935" s="18" t="n">
        <v>35.1</v>
      </c>
      <c r="M935" s="18" t="n">
        <v>446.01</v>
      </c>
      <c r="N935" s="18" t="n">
        <v>415.02</v>
      </c>
      <c r="O935" s="18" t="n">
        <v>378.21</v>
      </c>
      <c r="P935" s="18" t="n">
        <v>516.6</v>
      </c>
      <c r="Q935" s="18" t="n">
        <v>295.9</v>
      </c>
      <c r="R935" s="21">
        <f>IF(OR(G935="",P935=""),"",G935/P935-1)</f>
        <v/>
      </c>
      <c r="S935" s="19" t="n">
        <v>0.1198</v>
      </c>
      <c r="T935" s="22" t="n">
        <v>0.0097</v>
      </c>
      <c r="U935" s="16" t="inlineStr">
        <is>
          <t>Yes</t>
        </is>
      </c>
      <c r="V935" s="16" t="inlineStr">
        <is>
          <t>Yes</t>
        </is>
      </c>
      <c r="W935" s="16" t="inlineStr">
        <is>
          <t>No</t>
        </is>
      </c>
      <c r="X935" s="16" t="inlineStr">
        <is>
          <t>Yes</t>
        </is>
      </c>
      <c r="Y935" s="20" t="n">
        <v>22</v>
      </c>
      <c r="Z935" s="19" t="n">
        <v>0.0973</v>
      </c>
      <c r="AA935" s="18" t="n">
        <v>36.82</v>
      </c>
      <c r="AB935" s="16" t="inlineStr">
        <is>
          <t>Weak</t>
        </is>
      </c>
      <c r="AC935" s="16" t="inlineStr">
        <is>
          <t>No</t>
        </is>
      </c>
      <c r="AD935" s="19" t="n">
        <v>0.0512</v>
      </c>
      <c r="AE935" s="19" t="n">
        <v>0.0866</v>
      </c>
      <c r="AF935" s="19" t="n">
        <v>0.4339</v>
      </c>
      <c r="AG935" s="19" t="n">
        <v>0.08689999999999999</v>
      </c>
      <c r="AH935" s="23" t="n">
        <v>1.37</v>
      </c>
      <c r="AI935" s="23" t="n">
        <v>11.33</v>
      </c>
      <c r="AJ935" s="19" t="n">
        <v>0.009000000000000001</v>
      </c>
    </row>
    <row r="936">
      <c r="A936" s="16" t="inlineStr">
        <is>
          <t>NACLIND</t>
        </is>
      </c>
      <c r="B936" s="16" t="inlineStr">
        <is>
          <t>NACL Industries Ltd.</t>
        </is>
      </c>
      <c r="C936" s="16" t="inlineStr">
        <is>
          <t>Agrochemicals</t>
        </is>
      </c>
      <c r="D936" s="16" t="inlineStr">
        <is>
          <t>Chemicals &amp; Petrochemicals</t>
        </is>
      </c>
      <c r="E936" s="16" t="inlineStr">
        <is>
          <t>INE295D01020</t>
        </is>
      </c>
      <c r="F936" s="17" t="n">
        <v>3908.12</v>
      </c>
      <c r="G936" s="18" t="n">
        <v>166.84</v>
      </c>
      <c r="H936" s="19" t="n">
        <v>0.0023</v>
      </c>
      <c r="I936" s="20" t="n">
        <v>38</v>
      </c>
      <c r="J936" s="16" t="inlineStr">
        <is>
          <t>red</t>
        </is>
      </c>
      <c r="K936" s="20" t="n">
        <v>32</v>
      </c>
      <c r="L936" s="18" t="n">
        <v>40.26</v>
      </c>
      <c r="M936" s="18" t="n">
        <v>170.45</v>
      </c>
      <c r="N936" s="18" t="n">
        <v>192.48</v>
      </c>
      <c r="O936" s="18" t="n">
        <v>167.35</v>
      </c>
      <c r="P936" s="18" t="n">
        <v>269.1</v>
      </c>
      <c r="Q936" s="18" t="n">
        <v>115.93</v>
      </c>
      <c r="R936" s="21">
        <f>IF(OR(G936="",P936=""),"",G936/P936-1)</f>
        <v/>
      </c>
      <c r="S936" s="19" t="n">
        <v>0.4128</v>
      </c>
      <c r="T936" s="22" t="n">
        <v>-0.0136</v>
      </c>
      <c r="U936" s="16" t="inlineStr">
        <is>
          <t>No</t>
        </is>
      </c>
      <c r="V936" s="16" t="inlineStr">
        <is>
          <t>No</t>
        </is>
      </c>
      <c r="W936" s="16" t="inlineStr">
        <is>
          <t>No</t>
        </is>
      </c>
      <c r="X936" s="16" t="inlineStr">
        <is>
          <t>Yes</t>
        </is>
      </c>
      <c r="Y936" s="20" t="n">
        <v>47</v>
      </c>
      <c r="Z936" s="19" t="n">
        <v>0.1501</v>
      </c>
      <c r="AA936" s="18" t="n">
        <v>17.47</v>
      </c>
      <c r="AB936" s="16" t="inlineStr">
        <is>
          <t>Poor</t>
        </is>
      </c>
      <c r="AC936" s="16" t="inlineStr">
        <is>
          <t>No</t>
        </is>
      </c>
      <c r="AD936" s="19" t="n">
        <v>-0.1081</v>
      </c>
      <c r="AE936" s="19" t="n">
        <v>-0.0143</v>
      </c>
      <c r="AF936" s="19" t="n">
        <v>-0.3817</v>
      </c>
      <c r="AG936" s="19" t="n">
        <v>-0.0584</v>
      </c>
      <c r="AH936" s="23" t="n">
        <v>0.46</v>
      </c>
      <c r="AI936" s="23" t="n">
        <v>3.43</v>
      </c>
      <c r="AJ936" s="19" t="n">
        <v>0.0216</v>
      </c>
    </row>
    <row r="937">
      <c r="A937" s="16" t="inlineStr">
        <is>
          <t>CAPILLARY</t>
        </is>
      </c>
      <c r="B937" s="16" t="inlineStr">
        <is>
          <t>Capillary Technologies India Ltd.</t>
        </is>
      </c>
      <c r="C937" s="16" t="inlineStr">
        <is>
          <t>IT Software Products</t>
        </is>
      </c>
      <c r="D937" s="16" t="inlineStr">
        <is>
          <t>Software &amp; Services</t>
        </is>
      </c>
      <c r="E937" s="16" t="inlineStr">
        <is>
          <t>INE0ILV01024</t>
        </is>
      </c>
      <c r="F937" s="17" t="n">
        <v>3900.24</v>
      </c>
      <c r="G937" s="18" t="n">
        <v>490.05</v>
      </c>
      <c r="H937" s="19" t="n">
        <v>0.0208</v>
      </c>
      <c r="I937" s="20" t="n">
        <v>21</v>
      </c>
      <c r="J937" s="16" t="inlineStr">
        <is>
          <t>red</t>
        </is>
      </c>
      <c r="K937" s="20" t="n">
        <v>136</v>
      </c>
      <c r="L937" s="18" t="n">
        <v>26.98</v>
      </c>
      <c r="M937" s="18" t="n">
        <v>494.61</v>
      </c>
      <c r="N937" s="18" t="n">
        <v>509.91</v>
      </c>
      <c r="O937" s="18" t="n"/>
      <c r="P937" s="18" t="n">
        <v>732.15</v>
      </c>
      <c r="Q937" s="18" t="n">
        <v>471</v>
      </c>
      <c r="R937" s="21">
        <f>IF(OR(G937="",P937=""),"",G937/P937-1)</f>
        <v/>
      </c>
      <c r="S937" s="19" t="n">
        <v>0.0941</v>
      </c>
      <c r="T937" s="22" t="n"/>
      <c r="U937" s="16" t="n"/>
      <c r="V937" s="16" t="inlineStr">
        <is>
          <t>No</t>
        </is>
      </c>
      <c r="W937" s="16" t="inlineStr">
        <is>
          <t>No</t>
        </is>
      </c>
      <c r="X937" s="16" t="n"/>
      <c r="Y937" s="20" t="n"/>
      <c r="Z937" s="19" t="n"/>
      <c r="AA937" s="18" t="n">
        <v>49.21</v>
      </c>
      <c r="AB937" s="16" t="inlineStr">
        <is>
          <t>Average</t>
        </is>
      </c>
      <c r="AC937" s="16" t="inlineStr">
        <is>
          <t>No</t>
        </is>
      </c>
      <c r="AD937" s="19" t="n">
        <v>-0.0119</v>
      </c>
      <c r="AE937" s="19" t="n">
        <v>-0.005600000000000001</v>
      </c>
      <c r="AF937" s="19" t="n">
        <v>0.1819</v>
      </c>
      <c r="AG937" s="19" t="n">
        <v>0.4745</v>
      </c>
      <c r="AH937" s="23" t="n">
        <v>0.05</v>
      </c>
      <c r="AI937" s="23" t="n">
        <v>60.61</v>
      </c>
      <c r="AJ937" s="19" t="n">
        <v>0</v>
      </c>
    </row>
    <row r="938">
      <c r="A938" s="16" t="inlineStr">
        <is>
          <t>SINDHUTRAD</t>
        </is>
      </c>
      <c r="B938" s="16" t="inlineStr">
        <is>
          <t>Sindhu Trade Links Ltd.</t>
        </is>
      </c>
      <c r="C938" s="16" t="inlineStr">
        <is>
          <t>Diversified</t>
        </is>
      </c>
      <c r="D938" s="16" t="inlineStr">
        <is>
          <t>Diversified</t>
        </is>
      </c>
      <c r="E938" s="16" t="inlineStr">
        <is>
          <t>INE325D01025</t>
        </is>
      </c>
      <c r="F938" s="17" t="n">
        <v>3898</v>
      </c>
      <c r="G938" s="18" t="n">
        <v>25.28</v>
      </c>
      <c r="H938" s="19" t="n">
        <v>0.0555</v>
      </c>
      <c r="I938" s="20" t="n">
        <v>45</v>
      </c>
      <c r="J938" s="16" t="inlineStr">
        <is>
          <t>red</t>
        </is>
      </c>
      <c r="K938" s="20" t="n">
        <v>43</v>
      </c>
      <c r="L938" s="18" t="n">
        <v>60.03</v>
      </c>
      <c r="M938" s="18" t="n">
        <v>24.73</v>
      </c>
      <c r="N938" s="18" t="n">
        <v>24.85</v>
      </c>
      <c r="O938" s="18" t="n">
        <v>23.61</v>
      </c>
      <c r="P938" s="18" t="n">
        <v>31.1</v>
      </c>
      <c r="Q938" s="18" t="n">
        <v>17.92</v>
      </c>
      <c r="R938" s="21">
        <f>IF(OR(G938="",P938=""),"",G938/P938-1)</f>
        <v/>
      </c>
      <c r="S938" s="19" t="n">
        <v>6.882999999999999</v>
      </c>
      <c r="T938" s="22" t="n">
        <v>0.0008</v>
      </c>
      <c r="U938" s="16" t="inlineStr">
        <is>
          <t>Yes</t>
        </is>
      </c>
      <c r="V938" s="16" t="inlineStr">
        <is>
          <t>Yes</t>
        </is>
      </c>
      <c r="W938" s="16" t="inlineStr">
        <is>
          <t>Yes</t>
        </is>
      </c>
      <c r="X938" s="16" t="inlineStr">
        <is>
          <t>Yes</t>
        </is>
      </c>
      <c r="Y938" s="20" t="n">
        <v>70</v>
      </c>
      <c r="Z938" s="19" t="n">
        <v>0.05230000000000001</v>
      </c>
      <c r="AA938" s="18" t="n">
        <v>29.15</v>
      </c>
      <c r="AB938" s="16" t="inlineStr">
        <is>
          <t>Poor</t>
        </is>
      </c>
      <c r="AC938" s="16" t="inlineStr">
        <is>
          <t>No</t>
        </is>
      </c>
      <c r="AD938" s="19" t="n">
        <v>0.0259</v>
      </c>
      <c r="AE938" s="19" t="n">
        <v>0.09619999999999999</v>
      </c>
      <c r="AF938" s="19" t="n">
        <v>-0.7703</v>
      </c>
      <c r="AG938" s="19" t="n">
        <v>-0.07820000000000001</v>
      </c>
      <c r="AH938" s="23" t="n">
        <v>0.26</v>
      </c>
      <c r="AI938" s="23" t="n">
        <v>9.609999999999999</v>
      </c>
      <c r="AJ938" s="19" t="n">
        <v>0.0227</v>
      </c>
    </row>
    <row r="939">
      <c r="A939" s="16" t="inlineStr">
        <is>
          <t>CMSINFO</t>
        </is>
      </c>
      <c r="B939" s="16" t="inlineStr">
        <is>
          <t>CMS Info Systems Ltd.</t>
        </is>
      </c>
      <c r="C939" s="16" t="inlineStr">
        <is>
          <t>Other Financial Services</t>
        </is>
      </c>
      <c r="D939" s="16" t="inlineStr">
        <is>
          <t>Banking and Finance</t>
        </is>
      </c>
      <c r="E939" s="16" t="inlineStr">
        <is>
          <t>INE925R01014</t>
        </is>
      </c>
      <c r="F939" s="17" t="n">
        <v>3896.9</v>
      </c>
      <c r="G939" s="18" t="n">
        <v>243.46</v>
      </c>
      <c r="H939" s="19" t="n">
        <v>-0.005699999999999999</v>
      </c>
      <c r="I939" s="20" t="n">
        <v>5</v>
      </c>
      <c r="J939" s="16" t="inlineStr">
        <is>
          <t>red</t>
        </is>
      </c>
      <c r="K939" s="20" t="n">
        <v>282</v>
      </c>
      <c r="L939" s="18" t="n">
        <v>37.3</v>
      </c>
      <c r="M939" s="18" t="n">
        <v>244.69</v>
      </c>
      <c r="N939" s="18" t="n">
        <v>264.29</v>
      </c>
      <c r="O939" s="18" t="n">
        <v>301.33</v>
      </c>
      <c r="P939" s="18" t="n">
        <v>422.83</v>
      </c>
      <c r="Q939" s="18" t="n">
        <v>239.95</v>
      </c>
      <c r="R939" s="21">
        <f>IF(OR(G939="",P939=""),"",G939/P939-1)</f>
        <v/>
      </c>
      <c r="S939" s="19" t="n">
        <v>0.5909</v>
      </c>
      <c r="T939" s="22" t="n">
        <v>-0.0356</v>
      </c>
      <c r="U939" s="16" t="inlineStr">
        <is>
          <t>No</t>
        </is>
      </c>
      <c r="V939" s="16" t="inlineStr">
        <is>
          <t>No</t>
        </is>
      </c>
      <c r="W939" s="16" t="inlineStr">
        <is>
          <t>No</t>
        </is>
      </c>
      <c r="X939" s="16" t="inlineStr">
        <is>
          <t>No</t>
        </is>
      </c>
      <c r="Y939" s="20" t="n">
        <v>246</v>
      </c>
      <c r="Z939" s="19" t="n">
        <v>-0.1229</v>
      </c>
      <c r="AA939" s="18" t="n">
        <v>52.47</v>
      </c>
      <c r="AB939" s="16" t="inlineStr">
        <is>
          <t>Good</t>
        </is>
      </c>
      <c r="AC939" s="16" t="inlineStr">
        <is>
          <t>Yes</t>
        </is>
      </c>
      <c r="AD939" s="19" t="n">
        <v>0.1558</v>
      </c>
      <c r="AE939" s="19" t="n">
        <v>0.1991</v>
      </c>
      <c r="AF939" s="19" t="n">
        <v>0.0026</v>
      </c>
      <c r="AG939" s="19" t="n">
        <v>0.0931</v>
      </c>
      <c r="AH939" s="23" t="n">
        <v>0.09</v>
      </c>
      <c r="AI939" s="23" t="n">
        <v>2.41</v>
      </c>
      <c r="AJ939" s="19" t="n">
        <v>0.11</v>
      </c>
    </row>
    <row r="940">
      <c r="A940" s="16" t="inlineStr">
        <is>
          <t>INDOTECH</t>
        </is>
      </c>
      <c r="B940" s="16" t="inlineStr">
        <is>
          <t>Indo Tech Transformers Ltd.</t>
        </is>
      </c>
      <c r="C940" s="16" t="inlineStr">
        <is>
          <t>Heavy Electrical Equipment</t>
        </is>
      </c>
      <c r="D940" s="16" t="inlineStr">
        <is>
          <t>General Industrials</t>
        </is>
      </c>
      <c r="E940" s="16" t="inlineStr">
        <is>
          <t>INE332H01014</t>
        </is>
      </c>
      <c r="F940" s="17" t="n">
        <v>3890.21</v>
      </c>
      <c r="G940" s="18" t="n">
        <v>3663.1</v>
      </c>
      <c r="H940" s="19" t="n">
        <v>0.0145</v>
      </c>
      <c r="I940" s="20" t="n">
        <v>94</v>
      </c>
      <c r="J940" s="16" t="inlineStr">
        <is>
          <t>green</t>
        </is>
      </c>
      <c r="K940" s="20" t="n">
        <v>99</v>
      </c>
      <c r="L940" s="18" t="n">
        <v>52.85</v>
      </c>
      <c r="M940" s="18" t="n">
        <v>3683.96</v>
      </c>
      <c r="N940" s="18" t="n">
        <v>3500.04</v>
      </c>
      <c r="O940" s="18" t="n">
        <v>2251.22</v>
      </c>
      <c r="P940" s="18" t="n">
        <v>3902.5</v>
      </c>
      <c r="Q940" s="18" t="n">
        <v>1104.9</v>
      </c>
      <c r="R940" s="21">
        <f>IF(OR(G940="",P940=""),"",G940/P940-1)</f>
        <v/>
      </c>
      <c r="S940" s="19" t="n">
        <v>0.3279</v>
      </c>
      <c r="T940" s="22" t="n">
        <v>0.09720000000000001</v>
      </c>
      <c r="U940" s="16" t="inlineStr">
        <is>
          <t>Yes</t>
        </is>
      </c>
      <c r="V940" s="16" t="inlineStr">
        <is>
          <t>Yes</t>
        </is>
      </c>
      <c r="W940" s="16" t="inlineStr">
        <is>
          <t>No</t>
        </is>
      </c>
      <c r="X940" s="16" t="inlineStr">
        <is>
          <t>Yes</t>
        </is>
      </c>
      <c r="Y940" s="20" t="n">
        <v>88</v>
      </c>
      <c r="Z940" s="19" t="n">
        <v>0.5547</v>
      </c>
      <c r="AA940" s="18" t="n">
        <v>84.42</v>
      </c>
      <c r="AB940" s="16" t="inlineStr">
        <is>
          <t>High</t>
        </is>
      </c>
      <c r="AC940" s="16" t="inlineStr">
        <is>
          <t>No</t>
        </is>
      </c>
      <c r="AD940" s="19" t="n">
        <v>0.2305</v>
      </c>
      <c r="AE940" s="19" t="n">
        <v>0.3025</v>
      </c>
      <c r="AF940" s="19" t="n">
        <v>0.5463</v>
      </c>
      <c r="AG940" s="19" t="n">
        <v>0.2871</v>
      </c>
      <c r="AH940" s="23" t="n">
        <v>0.01</v>
      </c>
      <c r="AI940" s="23" t="n">
        <v>9.17</v>
      </c>
      <c r="AJ940" s="19" t="n">
        <v>0.1397</v>
      </c>
    </row>
    <row r="941">
      <c r="A941" s="16" t="inlineStr">
        <is>
          <t>ALOKINDS</t>
        </is>
      </c>
      <c r="B941" s="16" t="inlineStr">
        <is>
          <t>Alok Industries Ltd.</t>
        </is>
      </c>
      <c r="C941" s="16" t="inlineStr">
        <is>
          <t>Textiles</t>
        </is>
      </c>
      <c r="D941" s="16" t="inlineStr">
        <is>
          <t>Textiles Apparels &amp; Accessories</t>
        </is>
      </c>
      <c r="E941" s="16" t="inlineStr">
        <is>
          <t>INE270A01029</t>
        </is>
      </c>
      <c r="F941" s="17" t="n">
        <v>3887.78</v>
      </c>
      <c r="G941" s="18" t="n">
        <v>7.83</v>
      </c>
      <c r="H941" s="19" t="n">
        <v>0.0398</v>
      </c>
      <c r="I941" s="20" t="n">
        <v>1</v>
      </c>
      <c r="J941" s="16" t="inlineStr">
        <is>
          <t>red</t>
        </is>
      </c>
      <c r="K941" s="20" t="n">
        <v>284</v>
      </c>
      <c r="L941" s="18" t="n">
        <v>11.13</v>
      </c>
      <c r="M941" s="18" t="n">
        <v>8.779999999999999</v>
      </c>
      <c r="N941" s="18" t="n">
        <v>11.6</v>
      </c>
      <c r="O941" s="18" t="n">
        <v>13.67</v>
      </c>
      <c r="P941" s="18" t="n">
        <v>18.92</v>
      </c>
      <c r="Q941" s="18" t="n">
        <v>7.53</v>
      </c>
      <c r="R941" s="21">
        <f>IF(OR(G941="",P941=""),"",G941/P941-1)</f>
        <v/>
      </c>
      <c r="S941" s="19" t="n">
        <v>3.3229</v>
      </c>
      <c r="T941" s="22" t="n">
        <v>-0.0479</v>
      </c>
      <c r="U941" s="16" t="inlineStr">
        <is>
          <t>No</t>
        </is>
      </c>
      <c r="V941" s="16" t="inlineStr">
        <is>
          <t>No</t>
        </is>
      </c>
      <c r="W941" s="16" t="inlineStr">
        <is>
          <t>No</t>
        </is>
      </c>
      <c r="X941" s="16" t="inlineStr">
        <is>
          <t>No</t>
        </is>
      </c>
      <c r="Y941" s="20" t="n">
        <v>235</v>
      </c>
      <c r="Z941" s="19" t="n">
        <v>-0.1509</v>
      </c>
      <c r="AA941" s="18" t="n">
        <v>30.96</v>
      </c>
      <c r="AB941" s="16" t="inlineStr">
        <is>
          <t>Poor</t>
        </is>
      </c>
      <c r="AC941" s="16" t="inlineStr">
        <is>
          <t>No</t>
        </is>
      </c>
      <c r="AD941" s="19" t="n">
        <v>0.039</v>
      </c>
      <c r="AE941" s="19" t="n">
        <v>-0.2826</v>
      </c>
      <c r="AF941" s="19" t="n">
        <v>0.0534</v>
      </c>
      <c r="AG941" s="19" t="n">
        <v>-0.1802</v>
      </c>
      <c r="AH941" s="23" t="n">
        <v>-1.05</v>
      </c>
      <c r="AI941" s="23" t="n">
        <v>0.79</v>
      </c>
      <c r="AJ941" s="19" t="n">
        <v>0.0272</v>
      </c>
    </row>
    <row r="942">
      <c r="A942" s="16" t="inlineStr">
        <is>
          <t>REFEX</t>
        </is>
      </c>
      <c r="B942" s="16" t="inlineStr">
        <is>
          <t>Refex Industries Ltd.</t>
        </is>
      </c>
      <c r="C942" s="16" t="inlineStr">
        <is>
          <t>Industrial Gases</t>
        </is>
      </c>
      <c r="D942" s="16" t="inlineStr">
        <is>
          <t>General Industrials</t>
        </is>
      </c>
      <c r="E942" s="16" t="inlineStr">
        <is>
          <t>INE056I01025</t>
        </is>
      </c>
      <c r="F942" s="17" t="n">
        <v>3877.39</v>
      </c>
      <c r="G942" s="18" t="n">
        <v>282.55</v>
      </c>
      <c r="H942" s="19" t="n">
        <v>0.0118</v>
      </c>
      <c r="I942" s="20" t="n">
        <v>31</v>
      </c>
      <c r="J942" s="16" t="inlineStr">
        <is>
          <t>red</t>
        </is>
      </c>
      <c r="K942" s="20" t="n">
        <v>28</v>
      </c>
      <c r="L942" s="18" t="n">
        <v>30.54</v>
      </c>
      <c r="M942" s="18" t="n">
        <v>284.14</v>
      </c>
      <c r="N942" s="18" t="n">
        <v>311.43</v>
      </c>
      <c r="O942" s="18" t="n">
        <v>274.8</v>
      </c>
      <c r="P942" s="18" t="n">
        <v>399.17</v>
      </c>
      <c r="Q942" s="18" t="n">
        <v>188.51</v>
      </c>
      <c r="R942" s="21">
        <f>IF(OR(G942="",P942=""),"",G942/P942-1)</f>
        <v/>
      </c>
      <c r="S942" s="19" t="n">
        <v>0.5326</v>
      </c>
      <c r="T942" s="22" t="n">
        <v>-0.0237</v>
      </c>
      <c r="U942" s="16" t="inlineStr">
        <is>
          <t>No</t>
        </is>
      </c>
      <c r="V942" s="16" t="inlineStr">
        <is>
          <t>No</t>
        </is>
      </c>
      <c r="W942" s="16" t="inlineStr">
        <is>
          <t>No</t>
        </is>
      </c>
      <c r="X942" s="16" t="inlineStr">
        <is>
          <t>Yes</t>
        </is>
      </c>
      <c r="Y942" s="20" t="n">
        <v>52</v>
      </c>
      <c r="Z942" s="19" t="n">
        <v>0.1333</v>
      </c>
      <c r="AA942" s="18" t="n">
        <v>63.96</v>
      </c>
      <c r="AB942" s="16" t="inlineStr">
        <is>
          <t>High</t>
        </is>
      </c>
      <c r="AC942" s="16" t="inlineStr">
        <is>
          <t>No</t>
        </is>
      </c>
      <c r="AD942" s="19" t="n">
        <v>0.1559</v>
      </c>
      <c r="AE942" s="19" t="n">
        <v>0.1908</v>
      </c>
      <c r="AF942" s="19" t="n">
        <v>0.1578</v>
      </c>
      <c r="AG942" s="19" t="n">
        <v>0.1656</v>
      </c>
      <c r="AH942" s="23" t="n">
        <v>0.15</v>
      </c>
      <c r="AI942" s="23" t="n">
        <v>10.58</v>
      </c>
      <c r="AJ942" s="19" t="n">
        <v>0.0556</v>
      </c>
    </row>
    <row r="943">
      <c r="A943" s="16" t="inlineStr">
        <is>
          <t>UNICHEMLAB</t>
        </is>
      </c>
      <c r="B943" s="16" t="inlineStr">
        <is>
          <t>Unichem Laboratories Ltd.</t>
        </is>
      </c>
      <c r="C943" s="16" t="inlineStr">
        <is>
          <t>Pharmaceuticals</t>
        </is>
      </c>
      <c r="D943" s="16" t="inlineStr">
        <is>
          <t>Pharmaceuticals &amp; Biotechnology</t>
        </is>
      </c>
      <c r="E943" s="16" t="inlineStr">
        <is>
          <t>INE351A01035</t>
        </is>
      </c>
      <c r="F943" s="17" t="n">
        <v>3873.73</v>
      </c>
      <c r="G943" s="18" t="n">
        <v>550.2</v>
      </c>
      <c r="H943" s="19" t="n">
        <v>0.004099999999999999</v>
      </c>
      <c r="I943" s="20" t="n">
        <v>80</v>
      </c>
      <c r="J943" s="16" t="inlineStr">
        <is>
          <t>green</t>
        </is>
      </c>
      <c r="K943" s="20" t="n">
        <v>9</v>
      </c>
      <c r="L943" s="18" t="n">
        <v>52.47</v>
      </c>
      <c r="M943" s="18" t="n">
        <v>550.62</v>
      </c>
      <c r="N943" s="18" t="n">
        <v>535.76</v>
      </c>
      <c r="O943" s="18" t="n">
        <v>425.06</v>
      </c>
      <c r="P943" s="18" t="n">
        <v>650.6</v>
      </c>
      <c r="Q943" s="18" t="n">
        <v>284.05</v>
      </c>
      <c r="R943" s="21">
        <f>IF(OR(G943="",P943=""),"",G943/P943-1)</f>
        <v/>
      </c>
      <c r="S943" s="19" t="n">
        <v>0.2213</v>
      </c>
      <c r="T943" s="22" t="n">
        <v>0.0162</v>
      </c>
      <c r="U943" s="16" t="inlineStr">
        <is>
          <t>Yes</t>
        </is>
      </c>
      <c r="V943" s="16" t="inlineStr">
        <is>
          <t>Yes</t>
        </is>
      </c>
      <c r="W943" s="16" t="inlineStr">
        <is>
          <t>No</t>
        </is>
      </c>
      <c r="X943" s="16" t="inlineStr">
        <is>
          <t>Yes</t>
        </is>
      </c>
      <c r="Y943" s="20" t="n">
        <v>42</v>
      </c>
      <c r="Z943" s="19" t="n">
        <v>0.2604</v>
      </c>
      <c r="AA943" s="18" t="n">
        <v>45.42</v>
      </c>
      <c r="AB943" s="16" t="inlineStr">
        <is>
          <t>Average</t>
        </is>
      </c>
      <c r="AC943" s="16" t="inlineStr">
        <is>
          <t>No</t>
        </is>
      </c>
      <c r="AD943" s="19" t="n">
        <v>0.0369</v>
      </c>
      <c r="AE943" s="19" t="n">
        <v>0.0458</v>
      </c>
      <c r="AF943" s="19" t="n">
        <v>1.2797</v>
      </c>
      <c r="AG943" s="19" t="n">
        <v>0.1894</v>
      </c>
      <c r="AH943" s="23" t="n">
        <v>0.18</v>
      </c>
      <c r="AI943" s="23" t="n">
        <v>1.64</v>
      </c>
      <c r="AJ943" s="19" t="n">
        <v>0.08740000000000001</v>
      </c>
    </row>
    <row r="944">
      <c r="A944" s="16" t="inlineStr">
        <is>
          <t>IDEAFORGE</t>
        </is>
      </c>
      <c r="B944" s="16" t="inlineStr">
        <is>
          <t>ideaForge Technology Ltd.</t>
        </is>
      </c>
      <c r="C944" s="16" t="inlineStr">
        <is>
          <t>Aerospace &amp; Defence</t>
        </is>
      </c>
      <c r="D944" s="16" t="inlineStr">
        <is>
          <t>General Industrials</t>
        </is>
      </c>
      <c r="E944" s="16" t="inlineStr">
        <is>
          <t>INE349Y01013</t>
        </is>
      </c>
      <c r="F944" s="17" t="n">
        <v>3862.6</v>
      </c>
      <c r="G944" s="18" t="n">
        <v>777.05</v>
      </c>
      <c r="H944" s="19" t="n">
        <v>0.0005999999999999999</v>
      </c>
      <c r="I944" s="20" t="n">
        <v>76</v>
      </c>
      <c r="J944" s="16" t="inlineStr">
        <is>
          <t>amber</t>
        </is>
      </c>
      <c r="K944" s="20" t="n">
        <v>3</v>
      </c>
      <c r="L944" s="18" t="n">
        <v>44.48</v>
      </c>
      <c r="M944" s="18" t="n">
        <v>790.1</v>
      </c>
      <c r="N944" s="18" t="n">
        <v>840.9400000000001</v>
      </c>
      <c r="O944" s="18" t="n">
        <v>624.59</v>
      </c>
      <c r="P944" s="18" t="n">
        <v>964.9</v>
      </c>
      <c r="Q944" s="18" t="n">
        <v>371.75</v>
      </c>
      <c r="R944" s="21">
        <f>IF(OR(G944="",P944=""),"",G944/P944-1)</f>
        <v/>
      </c>
      <c r="S944" s="19" t="n">
        <v>0.5493</v>
      </c>
      <c r="T944" s="22" t="n">
        <v>0.0556</v>
      </c>
      <c r="U944" s="16" t="inlineStr">
        <is>
          <t>Yes</t>
        </is>
      </c>
      <c r="V944" s="16" t="inlineStr">
        <is>
          <t>No</t>
        </is>
      </c>
      <c r="W944" s="16" t="inlineStr">
        <is>
          <t>No</t>
        </is>
      </c>
      <c r="X944" s="16" t="inlineStr">
        <is>
          <t>Yes</t>
        </is>
      </c>
      <c r="Y944" s="20" t="n">
        <v>87</v>
      </c>
      <c r="Z944" s="19" t="n">
        <v>0.3464</v>
      </c>
      <c r="AA944" s="18" t="n">
        <v>34.61</v>
      </c>
      <c r="AB944" s="16" t="inlineStr">
        <is>
          <t>Weak</t>
        </is>
      </c>
      <c r="AC944" s="16" t="inlineStr">
        <is>
          <t>No</t>
        </is>
      </c>
      <c r="AD944" s="19" t="n">
        <v>-0.0207</v>
      </c>
      <c r="AE944" s="19" t="n">
        <v>-0.008699999999999999</v>
      </c>
      <c r="AF944" s="19" t="n">
        <v>-0.4021</v>
      </c>
      <c r="AG944" s="19" t="n">
        <v>0.2418</v>
      </c>
      <c r="AH944" s="23" t="n">
        <v>0.14</v>
      </c>
      <c r="AI944" s="23" t="n">
        <v>5.16</v>
      </c>
      <c r="AJ944" s="19" t="n">
        <v>0.0039</v>
      </c>
    </row>
    <row r="945">
      <c r="A945" s="16" t="inlineStr">
        <is>
          <t>DHENUBUILD</t>
        </is>
      </c>
      <c r="B945" s="16" t="inlineStr">
        <is>
          <t>Dhenu Buildcon Infra Ltd.</t>
        </is>
      </c>
      <c r="C945" s="16" t="inlineStr">
        <is>
          <t>Finance (including NBFCs)</t>
        </is>
      </c>
      <c r="D945" s="16" t="inlineStr">
        <is>
          <t>Banking and Finance</t>
        </is>
      </c>
      <c r="E945" s="16" t="inlineStr">
        <is>
          <t>INE758D01027</t>
        </is>
      </c>
      <c r="F945" s="17" t="n">
        <v>3856.97</v>
      </c>
      <c r="G945" s="18" t="n">
        <v>6.5</v>
      </c>
      <c r="H945" s="19" t="n">
        <v>0.0236</v>
      </c>
      <c r="I945" s="20" t="n">
        <v>16</v>
      </c>
      <c r="J945" s="16" t="inlineStr">
        <is>
          <t>red</t>
        </is>
      </c>
      <c r="K945" s="20" t="n">
        <v>16</v>
      </c>
      <c r="L945" s="18" t="n">
        <v>30.03</v>
      </c>
      <c r="M945" s="18" t="n">
        <v>6.05</v>
      </c>
      <c r="N945" s="18" t="n">
        <v>8.33</v>
      </c>
      <c r="O945" s="18" t="n">
        <v>8.01</v>
      </c>
      <c r="P945" s="18" t="n">
        <v>11.37</v>
      </c>
      <c r="Q945" s="18" t="n">
        <v>5.78</v>
      </c>
      <c r="R945" s="21">
        <f>IF(OR(G945="",P945=""),"",G945/P945-1)</f>
        <v/>
      </c>
      <c r="S945" s="19" t="n">
        <v>1.238</v>
      </c>
      <c r="T945" s="22" t="n">
        <v>0.0135</v>
      </c>
      <c r="U945" s="16" t="inlineStr">
        <is>
          <t>Yes</t>
        </is>
      </c>
      <c r="V945" s="16" t="inlineStr">
        <is>
          <t>No</t>
        </is>
      </c>
      <c r="W945" s="16" t="inlineStr">
        <is>
          <t>Yes</t>
        </is>
      </c>
      <c r="X945" s="16" t="inlineStr">
        <is>
          <t>Yes</t>
        </is>
      </c>
      <c r="Y945" s="20" t="n">
        <v>241</v>
      </c>
      <c r="Z945" s="19" t="n">
        <v>0.0403</v>
      </c>
      <c r="AA945" s="18" t="n"/>
      <c r="AB945" s="16" t="n"/>
      <c r="AC945" s="16" t="inlineStr">
        <is>
          <t>No</t>
        </is>
      </c>
      <c r="AD945" s="19" t="n"/>
      <c r="AE945" s="19" t="n"/>
      <c r="AF945" s="19" t="n"/>
      <c r="AG945" s="19" t="n"/>
      <c r="AH945" s="23" t="n"/>
      <c r="AI945" s="23" t="n"/>
      <c r="AJ945" s="19" t="n"/>
    </row>
    <row r="946">
      <c r="A946" s="16" t="inlineStr">
        <is>
          <t>CIANAGRO</t>
        </is>
      </c>
      <c r="B946" s="16" t="inlineStr">
        <is>
          <t>CIAN Agro Industries &amp; Infrastructure Ltd.</t>
        </is>
      </c>
      <c r="C946" s="16" t="inlineStr">
        <is>
          <t>Edible Oils</t>
        </is>
      </c>
      <c r="D946" s="16" t="inlineStr">
        <is>
          <t>FMCG</t>
        </is>
      </c>
      <c r="E946" s="16" t="inlineStr">
        <is>
          <t>INE052V01019</t>
        </is>
      </c>
      <c r="F946" s="17" t="n">
        <v>3850.72</v>
      </c>
      <c r="G946" s="18" t="n">
        <v>1375.95</v>
      </c>
      <c r="H946" s="19" t="n">
        <v>-0.0282</v>
      </c>
      <c r="I946" s="20" t="n">
        <v>67</v>
      </c>
      <c r="J946" s="16" t="inlineStr">
        <is>
          <t>amber</t>
        </is>
      </c>
      <c r="K946" s="20" t="n">
        <v>10</v>
      </c>
      <c r="L946" s="18" t="n">
        <v>29.44</v>
      </c>
      <c r="M946" s="18" t="n">
        <v>1380.15</v>
      </c>
      <c r="N946" s="18" t="n">
        <v>1477.98</v>
      </c>
      <c r="O946" s="18" t="n">
        <v>1383.16</v>
      </c>
      <c r="P946" s="18" t="n">
        <v>3460.15</v>
      </c>
      <c r="Q946" s="18" t="n">
        <v>677.45</v>
      </c>
      <c r="R946" s="21">
        <f>IF(OR(G946="",P946=""),"",G946/P946-1)</f>
        <v/>
      </c>
      <c r="S946" s="19" t="n">
        <v>1.1641</v>
      </c>
      <c r="T946" s="22" t="n">
        <v>-0.0434</v>
      </c>
      <c r="U946" s="16" t="inlineStr">
        <is>
          <t>No</t>
        </is>
      </c>
      <c r="V946" s="16" t="inlineStr">
        <is>
          <t>No</t>
        </is>
      </c>
      <c r="W946" s="16" t="inlineStr">
        <is>
          <t>No</t>
        </is>
      </c>
      <c r="X946" s="16" t="inlineStr">
        <is>
          <t>Yes</t>
        </is>
      </c>
      <c r="Y946" s="20" t="n">
        <v>57</v>
      </c>
      <c r="Z946" s="19" t="n">
        <v>0.06849999999999999</v>
      </c>
      <c r="AA946" s="18" t="n"/>
      <c r="AB946" s="16" t="n"/>
      <c r="AC946" s="16" t="inlineStr">
        <is>
          <t>No</t>
        </is>
      </c>
      <c r="AD946" s="19" t="n"/>
      <c r="AE946" s="19" t="n"/>
      <c r="AF946" s="19" t="n"/>
      <c r="AG946" s="19" t="n"/>
      <c r="AH946" s="23" t="n"/>
      <c r="AI946" s="23" t="n"/>
      <c r="AJ946" s="19" t="n"/>
    </row>
    <row r="947">
      <c r="A947" s="16" t="inlineStr">
        <is>
          <t>SANATHAN</t>
        </is>
      </c>
      <c r="B947" s="16" t="inlineStr">
        <is>
          <t>Sanathan Textiles Ltd.</t>
        </is>
      </c>
      <c r="C947" s="16" t="inlineStr">
        <is>
          <t>Textiles</t>
        </is>
      </c>
      <c r="D947" s="16" t="inlineStr">
        <is>
          <t>Textiles Apparels &amp; Accessories</t>
        </is>
      </c>
      <c r="E947" s="16" t="inlineStr">
        <is>
          <t>INE0JPD01013</t>
        </is>
      </c>
      <c r="F947" s="17" t="n">
        <v>3850.52</v>
      </c>
      <c r="G947" s="18" t="n">
        <v>456.2</v>
      </c>
      <c r="H947" s="19" t="n">
        <v>0.0535</v>
      </c>
      <c r="I947" s="20" t="n">
        <v>45</v>
      </c>
      <c r="J947" s="16" t="inlineStr">
        <is>
          <t>red</t>
        </is>
      </c>
      <c r="K947" s="20" t="n">
        <v>105</v>
      </c>
      <c r="L947" s="18" t="n">
        <v>47.07</v>
      </c>
      <c r="M947" s="18" t="n">
        <v>448.42</v>
      </c>
      <c r="N947" s="18" t="n">
        <v>460.49</v>
      </c>
      <c r="O947" s="18" t="n">
        <v>435.92</v>
      </c>
      <c r="P947" s="18" t="n">
        <v>533.75</v>
      </c>
      <c r="Q947" s="18" t="n">
        <v>365.9</v>
      </c>
      <c r="R947" s="21">
        <f>IF(OR(G947="",P947=""),"",G947/P947-1)</f>
        <v/>
      </c>
      <c r="S947" s="19" t="n">
        <v>4.803500000000001</v>
      </c>
      <c r="T947" s="22" t="n">
        <v>-0.0054</v>
      </c>
      <c r="U947" s="16" t="inlineStr">
        <is>
          <t>No</t>
        </is>
      </c>
      <c r="V947" s="16" t="inlineStr">
        <is>
          <t>No</t>
        </is>
      </c>
      <c r="W947" s="16" t="inlineStr">
        <is>
          <t>Yes</t>
        </is>
      </c>
      <c r="X947" s="16" t="inlineStr">
        <is>
          <t>Yes</t>
        </is>
      </c>
      <c r="Y947" s="20" t="n">
        <v>25</v>
      </c>
      <c r="Z947" s="19" t="n">
        <v>0.0564</v>
      </c>
      <c r="AA947" s="18" t="n">
        <v>25.66</v>
      </c>
      <c r="AB947" s="16" t="inlineStr">
        <is>
          <t>Poor</t>
        </is>
      </c>
      <c r="AC947" s="16" t="inlineStr">
        <is>
          <t>No</t>
        </is>
      </c>
      <c r="AD947" s="19" t="n">
        <v>0.07829999999999999</v>
      </c>
      <c r="AE947" s="19" t="n">
        <v>0.08890000000000001</v>
      </c>
      <c r="AF947" s="19" t="n">
        <v>-0.2603</v>
      </c>
      <c r="AG947" s="19" t="n">
        <v>0.06519999999999999</v>
      </c>
      <c r="AH947" s="23" t="n">
        <v>0.8100000000000001</v>
      </c>
      <c r="AI947" s="23" t="n">
        <v>1.24</v>
      </c>
      <c r="AJ947" s="19" t="n">
        <v>0.08210000000000001</v>
      </c>
    </row>
    <row r="948">
      <c r="A948" s="16" t="inlineStr">
        <is>
          <t>RTNINDIA</t>
        </is>
      </c>
      <c r="B948" s="16" t="inlineStr">
        <is>
          <t>RattanIndia Enterprises Ltd.</t>
        </is>
      </c>
      <c r="C948" s="16" t="inlineStr">
        <is>
          <t>Power - Electric Utilities</t>
        </is>
      </c>
      <c r="D948" s="16" t="inlineStr">
        <is>
          <t>Utilities</t>
        </is>
      </c>
      <c r="E948" s="16" t="inlineStr">
        <is>
          <t>INE834M01019</t>
        </is>
      </c>
      <c r="F948" s="17" t="n">
        <v>3845.47</v>
      </c>
      <c r="G948" s="18" t="n">
        <v>27.82</v>
      </c>
      <c r="H948" s="19" t="n">
        <v>0.0142</v>
      </c>
      <c r="I948" s="20" t="n">
        <v>4</v>
      </c>
      <c r="J948" s="16" t="inlineStr">
        <is>
          <t>red</t>
        </is>
      </c>
      <c r="K948" s="20" t="n">
        <v>65</v>
      </c>
      <c r="L948" s="18" t="n">
        <v>25.19</v>
      </c>
      <c r="M948" s="18" t="n">
        <v>29.43</v>
      </c>
      <c r="N948" s="18" t="n">
        <v>31.45</v>
      </c>
      <c r="O948" s="18" t="n">
        <v>34.45</v>
      </c>
      <c r="P948" s="18" t="n">
        <v>61.97</v>
      </c>
      <c r="Q948" s="18" t="n">
        <v>24.82</v>
      </c>
      <c r="R948" s="21">
        <f>IF(OR(G948="",P948=""),"",G948/P948-1)</f>
        <v/>
      </c>
      <c r="S948" s="19" t="n">
        <v>1.1536</v>
      </c>
      <c r="T948" s="22" t="n">
        <v>-0.0546</v>
      </c>
      <c r="U948" s="16" t="inlineStr">
        <is>
          <t>No</t>
        </is>
      </c>
      <c r="V948" s="16" t="inlineStr">
        <is>
          <t>No</t>
        </is>
      </c>
      <c r="W948" s="16" t="inlineStr">
        <is>
          <t>No</t>
        </is>
      </c>
      <c r="X948" s="16" t="inlineStr">
        <is>
          <t>No</t>
        </is>
      </c>
      <c r="Y948" s="20" t="n">
        <v>195</v>
      </c>
      <c r="Z948" s="19" t="n">
        <v>-0.0872</v>
      </c>
      <c r="AA948" s="18" t="n">
        <v>40</v>
      </c>
      <c r="AB948" s="16" t="inlineStr">
        <is>
          <t>Weak</t>
        </is>
      </c>
      <c r="AC948" s="16" t="inlineStr">
        <is>
          <t>No</t>
        </is>
      </c>
      <c r="AD948" s="19" t="n">
        <v>0.128</v>
      </c>
      <c r="AE948" s="19" t="n">
        <v>0.1209</v>
      </c>
      <c r="AF948" s="19" t="n">
        <v>-0.4233</v>
      </c>
      <c r="AG948" s="19" t="n">
        <v>0.2316</v>
      </c>
      <c r="AH948" s="23" t="n">
        <v>1.43</v>
      </c>
      <c r="AI948" s="23" t="n">
        <v>176.63</v>
      </c>
      <c r="AJ948" s="19" t="n">
        <v>0</v>
      </c>
    </row>
    <row r="949">
      <c r="A949" s="16" t="inlineStr">
        <is>
          <t>MIDWESTLTD</t>
        </is>
      </c>
      <c r="B949" s="16" t="inlineStr">
        <is>
          <t>Midwest Ltd.</t>
        </is>
      </c>
      <c r="C949" s="16" t="inlineStr">
        <is>
          <t>Construction Materials</t>
        </is>
      </c>
      <c r="D949" s="16" t="inlineStr">
        <is>
          <t>Cement and Construction</t>
        </is>
      </c>
      <c r="E949" s="16" t="inlineStr">
        <is>
          <t>INE0XAD01024</t>
        </is>
      </c>
      <c r="F949" s="17" t="n">
        <v>3840.64</v>
      </c>
      <c r="G949" s="18" t="n">
        <v>1062.1</v>
      </c>
      <c r="H949" s="19" t="n">
        <v>0.0074</v>
      </c>
      <c r="I949" s="20" t="n">
        <v>11</v>
      </c>
      <c r="J949" s="16" t="inlineStr">
        <is>
          <t>red</t>
        </is>
      </c>
      <c r="K949" s="20" t="n">
        <v>76</v>
      </c>
      <c r="L949" s="18" t="n">
        <v>39.51</v>
      </c>
      <c r="M949" s="18" t="n">
        <v>1083.1</v>
      </c>
      <c r="N949" s="18" t="n">
        <v>1207.21</v>
      </c>
      <c r="O949" s="18" t="n">
        <v>1316.28</v>
      </c>
      <c r="P949" s="18" t="n">
        <v>1803.6</v>
      </c>
      <c r="Q949" s="18" t="n">
        <v>1036.9</v>
      </c>
      <c r="R949" s="21">
        <f>IF(OR(G949="",P949=""),"",G949/P949-1)</f>
        <v/>
      </c>
      <c r="S949" s="19" t="n">
        <v>0.3572</v>
      </c>
      <c r="T949" s="22" t="n"/>
      <c r="U949" s="16" t="n"/>
      <c r="V949" s="16" t="inlineStr">
        <is>
          <t>No</t>
        </is>
      </c>
      <c r="W949" s="16" t="inlineStr">
        <is>
          <t>No</t>
        </is>
      </c>
      <c r="X949" s="16" t="inlineStr">
        <is>
          <t>No</t>
        </is>
      </c>
      <c r="Y949" s="20" t="n">
        <v>18</v>
      </c>
      <c r="Z949" s="19" t="n">
        <v>-0.08289999999999999</v>
      </c>
      <c r="AA949" s="18" t="n">
        <v>48.1</v>
      </c>
      <c r="AB949" s="16" t="inlineStr">
        <is>
          <t>Average</t>
        </is>
      </c>
      <c r="AC949" s="16" t="inlineStr">
        <is>
          <t>No</t>
        </is>
      </c>
      <c r="AD949" s="19" t="n">
        <v>0.1089</v>
      </c>
      <c r="AE949" s="19" t="n">
        <v>0.1364</v>
      </c>
      <c r="AF949" s="19" t="n"/>
      <c r="AG949" s="19" t="n"/>
      <c r="AH949" s="23" t="n">
        <v>0.2</v>
      </c>
      <c r="AI949" s="23" t="n">
        <v>1.26</v>
      </c>
      <c r="AJ949" s="19" t="n">
        <v>0.1764</v>
      </c>
    </row>
    <row r="950">
      <c r="A950" s="16" t="inlineStr">
        <is>
          <t>KSCL</t>
        </is>
      </c>
      <c r="B950" s="16" t="inlineStr">
        <is>
          <t>Kaveri Seed Company Ltd.</t>
        </is>
      </c>
      <c r="C950" s="16" t="inlineStr">
        <is>
          <t>Other Agricultural Products</t>
        </is>
      </c>
      <c r="D950" s="16" t="inlineStr">
        <is>
          <t>Food, Beverages &amp; Tobacco</t>
        </is>
      </c>
      <c r="E950" s="16" t="inlineStr">
        <is>
          <t>INE455I01029</t>
        </is>
      </c>
      <c r="F950" s="17" t="n">
        <v>3827.58</v>
      </c>
      <c r="G950" s="18" t="n">
        <v>744.1</v>
      </c>
      <c r="H950" s="19" t="n">
        <v>-0.0009</v>
      </c>
      <c r="I950" s="20" t="n">
        <v>10</v>
      </c>
      <c r="J950" s="16" t="inlineStr">
        <is>
          <t>red</t>
        </is>
      </c>
      <c r="K950" s="20" t="n">
        <v>241</v>
      </c>
      <c r="L950" s="18" t="n">
        <v>36.23</v>
      </c>
      <c r="M950" s="18" t="n">
        <v>763.97</v>
      </c>
      <c r="N950" s="18" t="n">
        <v>814.98</v>
      </c>
      <c r="O950" s="18" t="n">
        <v>877.1900000000001</v>
      </c>
      <c r="P950" s="18" t="n">
        <v>1195.93</v>
      </c>
      <c r="Q950" s="18" t="n">
        <v>714.6</v>
      </c>
      <c r="R950" s="21">
        <f>IF(OR(G950="",P950=""),"",G950/P950-1)</f>
        <v/>
      </c>
      <c r="S950" s="19" t="n">
        <v>0.3243</v>
      </c>
      <c r="T950" s="22" t="n">
        <v>-0.0296</v>
      </c>
      <c r="U950" s="16" t="inlineStr">
        <is>
          <t>No</t>
        </is>
      </c>
      <c r="V950" s="16" t="inlineStr">
        <is>
          <t>No</t>
        </is>
      </c>
      <c r="W950" s="16" t="inlineStr">
        <is>
          <t>No</t>
        </is>
      </c>
      <c r="X950" s="16" t="inlineStr">
        <is>
          <t>No</t>
        </is>
      </c>
      <c r="Y950" s="20" t="n">
        <v>247</v>
      </c>
      <c r="Z950" s="19" t="n">
        <v>-0.0709</v>
      </c>
      <c r="AA950" s="18" t="n">
        <v>66.28</v>
      </c>
      <c r="AB950" s="16" t="inlineStr">
        <is>
          <t>High</t>
        </is>
      </c>
      <c r="AC950" s="16" t="inlineStr">
        <is>
          <t>No</t>
        </is>
      </c>
      <c r="AD950" s="19" t="n">
        <v>0.1995</v>
      </c>
      <c r="AE950" s="19" t="n">
        <v>0.2109</v>
      </c>
      <c r="AF950" s="19" t="n">
        <v>0.0609</v>
      </c>
      <c r="AG950" s="19" t="n">
        <v>0.094</v>
      </c>
      <c r="AH950" s="23" t="n">
        <v>0</v>
      </c>
      <c r="AI950" s="23" t="n">
        <v>2.49</v>
      </c>
      <c r="AJ950" s="19" t="n">
        <v>0.2316</v>
      </c>
    </row>
    <row r="951">
      <c r="A951" s="16" t="inlineStr">
        <is>
          <t>ORIENTELEC</t>
        </is>
      </c>
      <c r="B951" s="16" t="inlineStr">
        <is>
          <t>Orient Electric Ltd.</t>
        </is>
      </c>
      <c r="C951" s="16" t="inlineStr">
        <is>
          <t>Consumer Electronics</t>
        </is>
      </c>
      <c r="D951" s="16" t="inlineStr">
        <is>
          <t>Consumer Durables</t>
        </is>
      </c>
      <c r="E951" s="16" t="inlineStr">
        <is>
          <t>INE142Z01019</t>
        </is>
      </c>
      <c r="F951" s="17" t="n">
        <v>3823.3</v>
      </c>
      <c r="G951" s="18" t="n">
        <v>179.19</v>
      </c>
      <c r="H951" s="19" t="n">
        <v>0.0058</v>
      </c>
      <c r="I951" s="20" t="n">
        <v>34</v>
      </c>
      <c r="J951" s="16" t="inlineStr">
        <is>
          <t>red</t>
        </is>
      </c>
      <c r="K951" s="20" t="n">
        <v>330</v>
      </c>
      <c r="L951" s="18" t="n">
        <v>37.99</v>
      </c>
      <c r="M951" s="18" t="n">
        <v>179.97</v>
      </c>
      <c r="N951" s="18" t="n">
        <v>178.65</v>
      </c>
      <c r="O951" s="18" t="n">
        <v>177.1</v>
      </c>
      <c r="P951" s="18" t="n">
        <v>212.01</v>
      </c>
      <c r="Q951" s="18" t="n">
        <v>153.97</v>
      </c>
      <c r="R951" s="21">
        <f>IF(OR(G951="",P951=""),"",G951/P951-1)</f>
        <v/>
      </c>
      <c r="S951" s="19" t="n">
        <v>0.149</v>
      </c>
      <c r="T951" s="22" t="n">
        <v>-0.0131</v>
      </c>
      <c r="U951" s="16" t="inlineStr">
        <is>
          <t>No</t>
        </is>
      </c>
      <c r="V951" s="16" t="inlineStr">
        <is>
          <t>Yes</t>
        </is>
      </c>
      <c r="W951" s="16" t="inlineStr">
        <is>
          <t>No</t>
        </is>
      </c>
      <c r="X951" s="16" t="inlineStr">
        <is>
          <t>Yes</t>
        </is>
      </c>
      <c r="Y951" s="20" t="n">
        <v>11</v>
      </c>
      <c r="Z951" s="19" t="n">
        <v>0.008800000000000001</v>
      </c>
      <c r="AA951" s="18" t="n">
        <v>54.62</v>
      </c>
      <c r="AB951" s="16" t="inlineStr">
        <is>
          <t>Good</t>
        </is>
      </c>
      <c r="AC951" s="16" t="inlineStr">
        <is>
          <t>No</t>
        </is>
      </c>
      <c r="AD951" s="19" t="n">
        <v>0.1212</v>
      </c>
      <c r="AE951" s="19" t="n">
        <v>0.1636</v>
      </c>
      <c r="AF951" s="19" t="n">
        <v>0.08259999999999999</v>
      </c>
      <c r="AG951" s="19" t="n">
        <v>0.09609999999999999</v>
      </c>
      <c r="AH951" s="23" t="n">
        <v>0.12</v>
      </c>
      <c r="AI951" s="23" t="n">
        <v>7.97</v>
      </c>
      <c r="AJ951" s="19" t="n">
        <v>0.0319</v>
      </c>
    </row>
    <row r="952">
      <c r="A952" s="16" t="inlineStr">
        <is>
          <t>BAJAJELEC</t>
        </is>
      </c>
      <c r="B952" s="16" t="inlineStr">
        <is>
          <t>Bajaj Electricals Ltd.</t>
        </is>
      </c>
      <c r="C952" s="16" t="inlineStr">
        <is>
          <t>Household Appliances</t>
        </is>
      </c>
      <c r="D952" s="16" t="inlineStr">
        <is>
          <t>Consumer Durables</t>
        </is>
      </c>
      <c r="E952" s="16" t="inlineStr">
        <is>
          <t>INE193E01025</t>
        </is>
      </c>
      <c r="F952" s="17" t="n">
        <v>3821.23</v>
      </c>
      <c r="G952" s="18" t="n">
        <v>331.15</v>
      </c>
      <c r="H952" s="19" t="n">
        <v>-0.0091</v>
      </c>
      <c r="I952" s="20" t="n">
        <v>16</v>
      </c>
      <c r="J952" s="16" t="inlineStr">
        <is>
          <t>red</t>
        </is>
      </c>
      <c r="K952" s="20" t="n">
        <v>501</v>
      </c>
      <c r="L952" s="18" t="n">
        <v>29.36</v>
      </c>
      <c r="M952" s="18" t="n">
        <v>330.97</v>
      </c>
      <c r="N952" s="18" t="n">
        <v>337.39</v>
      </c>
      <c r="O952" s="18" t="n">
        <v>378.56</v>
      </c>
      <c r="P952" s="18" t="n">
        <v>599.45</v>
      </c>
      <c r="Q952" s="18" t="n">
        <v>301.04</v>
      </c>
      <c r="R952" s="21">
        <f>IF(OR(G952="",P952=""),"",G952/P952-1)</f>
        <v/>
      </c>
      <c r="S952" s="19" t="n">
        <v>0.1073</v>
      </c>
      <c r="T952" s="22" t="n">
        <v>-0.0413</v>
      </c>
      <c r="U952" s="16" t="inlineStr">
        <is>
          <t>No</t>
        </is>
      </c>
      <c r="V952" s="16" t="inlineStr">
        <is>
          <t>No</t>
        </is>
      </c>
      <c r="W952" s="16" t="inlineStr">
        <is>
          <t>Yes</t>
        </is>
      </c>
      <c r="X952" s="16" t="inlineStr">
        <is>
          <t>No</t>
        </is>
      </c>
      <c r="Y952" s="20" t="n">
        <v>490</v>
      </c>
      <c r="Z952" s="19" t="n">
        <v>-0.1088</v>
      </c>
      <c r="AA952" s="18" t="n">
        <v>32.56</v>
      </c>
      <c r="AB952" s="16" t="inlineStr">
        <is>
          <t>Poor</t>
        </is>
      </c>
      <c r="AC952" s="16" t="inlineStr">
        <is>
          <t>No</t>
        </is>
      </c>
      <c r="AD952" s="19" t="n">
        <v>0.0371</v>
      </c>
      <c r="AE952" s="19" t="n">
        <v>0.0801</v>
      </c>
      <c r="AF952" s="19" t="n">
        <v>-0.4592</v>
      </c>
      <c r="AG952" s="19" t="n">
        <v>-0.0283</v>
      </c>
      <c r="AH952" s="23" t="n">
        <v>0.1</v>
      </c>
      <c r="AI952" s="23" t="n">
        <v>10.26</v>
      </c>
      <c r="AJ952" s="19" t="n">
        <v>0.0046</v>
      </c>
    </row>
    <row r="953">
      <c r="A953" s="16" t="inlineStr">
        <is>
          <t>AURIONPRO</t>
        </is>
      </c>
      <c r="B953" s="16" t="inlineStr">
        <is>
          <t>Aurionpro Solutions Ltd.</t>
        </is>
      </c>
      <c r="C953" s="16" t="inlineStr">
        <is>
          <t>IT Software Products</t>
        </is>
      </c>
      <c r="D953" s="16" t="inlineStr">
        <is>
          <t>Software &amp; Services</t>
        </is>
      </c>
      <c r="E953" s="16" t="inlineStr">
        <is>
          <t>INE132H01018</t>
        </is>
      </c>
      <c r="F953" s="17" t="n">
        <v>3811.4</v>
      </c>
      <c r="G953" s="18" t="n">
        <v>689.7</v>
      </c>
      <c r="H953" s="19" t="n">
        <v>0.004699999999999999</v>
      </c>
      <c r="I953" s="20" t="n">
        <v>5</v>
      </c>
      <c r="J953" s="16" t="inlineStr">
        <is>
          <t>red</t>
        </is>
      </c>
      <c r="K953" s="20" t="n">
        <v>341</v>
      </c>
      <c r="L953" s="18" t="n">
        <v>37.83</v>
      </c>
      <c r="M953" s="18" t="n">
        <v>696.17</v>
      </c>
      <c r="N953" s="18" t="n">
        <v>771.9299999999999</v>
      </c>
      <c r="O953" s="18" t="n">
        <v>884.48</v>
      </c>
      <c r="P953" s="18" t="n">
        <v>1285.72</v>
      </c>
      <c r="Q953" s="18" t="n">
        <v>684.45</v>
      </c>
      <c r="R953" s="21">
        <f>IF(OR(G953="",P953=""),"",G953/P953-1)</f>
        <v/>
      </c>
      <c r="S953" s="19" t="n">
        <v>0.4071</v>
      </c>
      <c r="T953" s="22" t="n">
        <v>-0.04769999999999999</v>
      </c>
      <c r="U953" s="16" t="inlineStr">
        <is>
          <t>No</t>
        </is>
      </c>
      <c r="V953" s="16" t="inlineStr">
        <is>
          <t>No</t>
        </is>
      </c>
      <c r="W953" s="16" t="inlineStr">
        <is>
          <t>No</t>
        </is>
      </c>
      <c r="X953" s="16" t="inlineStr">
        <is>
          <t>No</t>
        </is>
      </c>
      <c r="Y953" s="20" t="n">
        <v>379</v>
      </c>
      <c r="Z953" s="19" t="n">
        <v>-0.1272</v>
      </c>
      <c r="AA953" s="18" t="n">
        <v>65.65000000000001</v>
      </c>
      <c r="AB953" s="16" t="inlineStr">
        <is>
          <t>High</t>
        </is>
      </c>
      <c r="AC953" s="16" t="inlineStr">
        <is>
          <t>No</t>
        </is>
      </c>
      <c r="AD953" s="19" t="n">
        <v>0.132</v>
      </c>
      <c r="AE953" s="19" t="n">
        <v>0.1593</v>
      </c>
      <c r="AF953" s="19" t="n">
        <v>0.2133</v>
      </c>
      <c r="AG953" s="19" t="n">
        <v>0.2902</v>
      </c>
      <c r="AH953" s="23" t="n">
        <v>0.03</v>
      </c>
      <c r="AI953" s="23" t="n">
        <v>9.789999999999999</v>
      </c>
      <c r="AJ953" s="19" t="n">
        <v>0</v>
      </c>
    </row>
    <row r="954">
      <c r="A954" s="16" t="inlineStr">
        <is>
          <t>GREENPLY</t>
        </is>
      </c>
      <c r="B954" s="16" t="inlineStr">
        <is>
          <t>Greenply Industries Ltd.</t>
        </is>
      </c>
      <c r="C954" s="16" t="inlineStr">
        <is>
          <t>Forest Products</t>
        </is>
      </c>
      <c r="D954" s="16" t="inlineStr">
        <is>
          <t>Forest Materials</t>
        </is>
      </c>
      <c r="E954" s="16" t="inlineStr">
        <is>
          <t>INE461C01038</t>
        </is>
      </c>
      <c r="F954" s="17" t="n">
        <v>3805.76</v>
      </c>
      <c r="G954" s="18" t="n">
        <v>304.7</v>
      </c>
      <c r="H954" s="19" t="n">
        <v>0.0399</v>
      </c>
      <c r="I954" s="20" t="n">
        <v>61</v>
      </c>
      <c r="J954" s="16" t="inlineStr">
        <is>
          <t>amber</t>
        </is>
      </c>
      <c r="K954" s="20" t="n">
        <v>1</v>
      </c>
      <c r="L954" s="18" t="n">
        <v>64.94</v>
      </c>
      <c r="M954" s="18" t="n">
        <v>290.93</v>
      </c>
      <c r="N954" s="18" t="n">
        <v>297.88</v>
      </c>
      <c r="O954" s="18" t="n">
        <v>259.05</v>
      </c>
      <c r="P954" s="18" t="n">
        <v>329.08</v>
      </c>
      <c r="Q954" s="18" t="n">
        <v>180</v>
      </c>
      <c r="R954" s="21">
        <f>IF(OR(G954="",P954=""),"",G954/P954-1)</f>
        <v/>
      </c>
      <c r="S954" s="19" t="n">
        <v>2.4847</v>
      </c>
      <c r="T954" s="22" t="n">
        <v>-0.004500000000000001</v>
      </c>
      <c r="U954" s="16" t="inlineStr">
        <is>
          <t>No</t>
        </is>
      </c>
      <c r="V954" s="16" t="inlineStr">
        <is>
          <t>Yes</t>
        </is>
      </c>
      <c r="W954" s="16" t="inlineStr">
        <is>
          <t>Yes</t>
        </is>
      </c>
      <c r="X954" s="16" t="inlineStr">
        <is>
          <t>Yes</t>
        </is>
      </c>
      <c r="Y954" s="20" t="n">
        <v>56</v>
      </c>
      <c r="Z954" s="19" t="n">
        <v>0.1499</v>
      </c>
      <c r="AA954" s="18" t="n">
        <v>41.89</v>
      </c>
      <c r="AB954" s="16" t="inlineStr">
        <is>
          <t>Average</t>
        </is>
      </c>
      <c r="AC954" s="16" t="inlineStr">
        <is>
          <t>No</t>
        </is>
      </c>
      <c r="AD954" s="19" t="n">
        <v>0.104</v>
      </c>
      <c r="AE954" s="19" t="n">
        <v>0.1177</v>
      </c>
      <c r="AF954" s="19" t="n">
        <v>0.0159</v>
      </c>
      <c r="AG954" s="19" t="n">
        <v>0.1851</v>
      </c>
      <c r="AH954" s="23" t="n">
        <v>0.59</v>
      </c>
      <c r="AI954" s="23" t="n">
        <v>2.78</v>
      </c>
      <c r="AJ954" s="19" t="n">
        <v>0.09820000000000001</v>
      </c>
    </row>
    <row r="955">
      <c r="A955" s="16" t="inlineStr">
        <is>
          <t>SANGHVIMOV</t>
        </is>
      </c>
      <c r="B955" s="16" t="inlineStr">
        <is>
          <t>Sanghvi Movers Ltd.</t>
        </is>
      </c>
      <c r="C955" s="16" t="inlineStr">
        <is>
          <t>Transport Related Services</t>
        </is>
      </c>
      <c r="D955" s="16" t="inlineStr">
        <is>
          <t>Transportation</t>
        </is>
      </c>
      <c r="E955" s="16" t="inlineStr">
        <is>
          <t>INE989A01032</t>
        </is>
      </c>
      <c r="F955" s="17" t="n">
        <v>3802.42</v>
      </c>
      <c r="G955" s="18" t="n">
        <v>439.2</v>
      </c>
      <c r="H955" s="19" t="n">
        <v>-0.0305</v>
      </c>
      <c r="I955" s="20" t="n">
        <v>79</v>
      </c>
      <c r="J955" s="16" t="inlineStr">
        <is>
          <t>amber</t>
        </is>
      </c>
      <c r="K955" s="20" t="n">
        <v>1</v>
      </c>
      <c r="L955" s="18" t="n">
        <v>22.87</v>
      </c>
      <c r="M955" s="18" t="n">
        <v>450.88</v>
      </c>
      <c r="N955" s="18" t="n">
        <v>456.08</v>
      </c>
      <c r="O955" s="18" t="n">
        <v>350.08</v>
      </c>
      <c r="P955" s="18" t="n">
        <v>520.75</v>
      </c>
      <c r="Q955" s="18" t="n">
        <v>225.54</v>
      </c>
      <c r="R955" s="21">
        <f>IF(OR(G955="",P955=""),"",G955/P955-1)</f>
        <v/>
      </c>
      <c r="S955" s="19" t="n">
        <v>0.8604000000000001</v>
      </c>
      <c r="T955" s="22" t="n">
        <v>0.0307</v>
      </c>
      <c r="U955" s="16" t="inlineStr">
        <is>
          <t>Yes</t>
        </is>
      </c>
      <c r="V955" s="16" t="inlineStr">
        <is>
          <t>No</t>
        </is>
      </c>
      <c r="W955" s="16" t="inlineStr">
        <is>
          <t>No</t>
        </is>
      </c>
      <c r="X955" s="16" t="inlineStr">
        <is>
          <t>Yes</t>
        </is>
      </c>
      <c r="Y955" s="20" t="n">
        <v>62</v>
      </c>
      <c r="Z955" s="19" t="n">
        <v>0.3028</v>
      </c>
      <c r="AA955" s="18" t="n">
        <v>52.96</v>
      </c>
      <c r="AB955" s="16" t="inlineStr">
        <is>
          <t>Good</t>
        </is>
      </c>
      <c r="AC955" s="16" t="inlineStr">
        <is>
          <t>No</t>
        </is>
      </c>
      <c r="AD955" s="19" t="n">
        <v>0.1544</v>
      </c>
      <c r="AE955" s="19" t="n">
        <v>0.169</v>
      </c>
      <c r="AF955" s="19" t="n">
        <v>0.2294</v>
      </c>
      <c r="AG955" s="19" t="n">
        <v>0.3301</v>
      </c>
      <c r="AH955" s="23" t="n">
        <v>0.51</v>
      </c>
      <c r="AI955" s="23" t="n">
        <v>0.75</v>
      </c>
      <c r="AJ955" s="19" t="n">
        <v>0.0089</v>
      </c>
    </row>
    <row r="956">
      <c r="A956" s="16" t="inlineStr">
        <is>
          <t>SAMBHV</t>
        </is>
      </c>
      <c r="B956" s="16" t="inlineStr">
        <is>
          <t>Sambhv Steel Tubes Ltd.</t>
        </is>
      </c>
      <c r="C956" s="16" t="inlineStr">
        <is>
          <t>Iron &amp; Steel Products</t>
        </is>
      </c>
      <c r="D956" s="16" t="inlineStr">
        <is>
          <t>Metals &amp; Mining</t>
        </is>
      </c>
      <c r="E956" s="16" t="inlineStr">
        <is>
          <t>INE12NJ01018</t>
        </is>
      </c>
      <c r="F956" s="17" t="n">
        <v>3792.13</v>
      </c>
      <c r="G956" s="18" t="n">
        <v>128.69</v>
      </c>
      <c r="H956" s="19" t="n">
        <v>-0.0073</v>
      </c>
      <c r="I956" s="20" t="n">
        <v>69</v>
      </c>
      <c r="J956" s="16" t="inlineStr">
        <is>
          <t>amber</t>
        </is>
      </c>
      <c r="K956" s="20" t="n">
        <v>14</v>
      </c>
      <c r="L956" s="18" t="n">
        <v>62.52</v>
      </c>
      <c r="M956" s="18" t="n">
        <v>127.42</v>
      </c>
      <c r="N956" s="18" t="n">
        <v>120.5</v>
      </c>
      <c r="O956" s="18" t="n">
        <v>106.84</v>
      </c>
      <c r="P956" s="18" t="n">
        <v>131.38</v>
      </c>
      <c r="Q956" s="18" t="n">
        <v>82.3</v>
      </c>
      <c r="R956" s="21">
        <f>IF(OR(G956="",P956=""),"",G956/P956-1)</f>
        <v/>
      </c>
      <c r="S956" s="19" t="n">
        <v>0.6967</v>
      </c>
      <c r="T956" s="22" t="n">
        <v>0.012</v>
      </c>
      <c r="U956" s="16" t="inlineStr">
        <is>
          <t>Yes</t>
        </is>
      </c>
      <c r="V956" s="16" t="inlineStr">
        <is>
          <t>Yes</t>
        </is>
      </c>
      <c r="W956" s="16" t="inlineStr">
        <is>
          <t>Yes</t>
        </is>
      </c>
      <c r="X956" s="16" t="inlineStr">
        <is>
          <t>Yes</t>
        </is>
      </c>
      <c r="Y956" s="20" t="n">
        <v>79</v>
      </c>
      <c r="Z956" s="19" t="n">
        <v>0.1278</v>
      </c>
      <c r="AA956" s="18" t="n">
        <v>68.39</v>
      </c>
      <c r="AB956" s="16" t="inlineStr">
        <is>
          <t>High</t>
        </is>
      </c>
      <c r="AC956" s="16" t="inlineStr">
        <is>
          <t>No</t>
        </is>
      </c>
      <c r="AD956" s="19" t="n">
        <v>0.2033</v>
      </c>
      <c r="AE956" s="19" t="n">
        <v>0.1827</v>
      </c>
      <c r="AF956" s="19" t="n">
        <v>0.5847</v>
      </c>
      <c r="AG956" s="19" t="n">
        <v>0.6259</v>
      </c>
      <c r="AH956" s="23" t="n">
        <v>0.35</v>
      </c>
      <c r="AI956" s="23" t="n">
        <v>2.62</v>
      </c>
      <c r="AJ956" s="19" t="n">
        <v>0.2079</v>
      </c>
    </row>
    <row r="957">
      <c r="A957" s="16" t="inlineStr">
        <is>
          <t>DIVGIITTS</t>
        </is>
      </c>
      <c r="B957" s="16" t="inlineStr">
        <is>
          <t>Divgi Torqtransfer Systems Ltd.</t>
        </is>
      </c>
      <c r="C957" s="16" t="inlineStr">
        <is>
          <t>Auto Parts &amp; Equipment</t>
        </is>
      </c>
      <c r="D957" s="16" t="inlineStr">
        <is>
          <t>Automobiles &amp; Auto Components</t>
        </is>
      </c>
      <c r="E957" s="16" t="inlineStr">
        <is>
          <t>INE753U01022</t>
        </is>
      </c>
      <c r="F957" s="17" t="n">
        <v>3779.43</v>
      </c>
      <c r="G957" s="18" t="n">
        <v>1235.8</v>
      </c>
      <c r="H957" s="19" t="n">
        <v>0.0005</v>
      </c>
      <c r="I957" s="20" t="n">
        <v>92</v>
      </c>
      <c r="J957" s="16" t="inlineStr">
        <is>
          <t>green</t>
        </is>
      </c>
      <c r="K957" s="20" t="n">
        <v>50</v>
      </c>
      <c r="L957" s="18" t="n">
        <v>41.88</v>
      </c>
      <c r="M957" s="18" t="n">
        <v>1214.68</v>
      </c>
      <c r="N957" s="18" t="n">
        <v>1063.64</v>
      </c>
      <c r="O957" s="18" t="n">
        <v>779.6</v>
      </c>
      <c r="P957" s="18" t="n">
        <v>1301.05</v>
      </c>
      <c r="Q957" s="18" t="n">
        <v>581.75</v>
      </c>
      <c r="R957" s="21">
        <f>IF(OR(G957="",P957=""),"",G957/P957-1)</f>
        <v/>
      </c>
      <c r="S957" s="19" t="n">
        <v>0.3933</v>
      </c>
      <c r="T957" s="22" t="n">
        <v>0.08130000000000001</v>
      </c>
      <c r="U957" s="16" t="inlineStr">
        <is>
          <t>Yes</t>
        </is>
      </c>
      <c r="V957" s="16" t="inlineStr">
        <is>
          <t>Yes</t>
        </is>
      </c>
      <c r="W957" s="16" t="inlineStr">
        <is>
          <t>Yes</t>
        </is>
      </c>
      <c r="X957" s="16" t="inlineStr">
        <is>
          <t>Yes</t>
        </is>
      </c>
      <c r="Y957" s="20" t="n">
        <v>137</v>
      </c>
      <c r="Z957" s="19" t="n">
        <v>0.3643</v>
      </c>
      <c r="AA957" s="18" t="n">
        <v>46.18</v>
      </c>
      <c r="AB957" s="16" t="inlineStr">
        <is>
          <t>Average</t>
        </is>
      </c>
      <c r="AC957" s="16" t="inlineStr">
        <is>
          <t>No</t>
        </is>
      </c>
      <c r="AD957" s="19" t="n">
        <v>0.0611</v>
      </c>
      <c r="AE957" s="19" t="n">
        <v>0.0825</v>
      </c>
      <c r="AF957" s="19" t="n">
        <v>0.08019999999999999</v>
      </c>
      <c r="AG957" s="19" t="n">
        <v>0.1412</v>
      </c>
      <c r="AH957" s="23" t="n">
        <v>0</v>
      </c>
      <c r="AI957" s="23" t="n">
        <v>1.32</v>
      </c>
      <c r="AJ957" s="19" t="n">
        <v>0.0665</v>
      </c>
    </row>
    <row r="958">
      <c r="A958" s="16" t="inlineStr">
        <is>
          <t>SANDHAR</t>
        </is>
      </c>
      <c r="B958" s="16" t="inlineStr">
        <is>
          <t>Sandhar Technologies Ltd.</t>
        </is>
      </c>
      <c r="C958" s="16" t="inlineStr">
        <is>
          <t>Auto Parts &amp; Equipment</t>
        </is>
      </c>
      <c r="D958" s="16" t="inlineStr">
        <is>
          <t>Automobiles &amp; Auto Components</t>
        </is>
      </c>
      <c r="E958" s="16" t="inlineStr">
        <is>
          <t>INE278H01035</t>
        </is>
      </c>
      <c r="F958" s="17" t="n">
        <v>3755.9</v>
      </c>
      <c r="G958" s="18" t="n">
        <v>624</v>
      </c>
      <c r="H958" s="19" t="n">
        <v>-0.0061</v>
      </c>
      <c r="I958" s="20" t="n">
        <v>54</v>
      </c>
      <c r="J958" s="16" t="inlineStr">
        <is>
          <t>red</t>
        </is>
      </c>
      <c r="K958" s="20" t="n">
        <v>3</v>
      </c>
      <c r="L958" s="18" t="n">
        <v>46.27</v>
      </c>
      <c r="M958" s="18" t="n">
        <v>644.29</v>
      </c>
      <c r="N958" s="18" t="n">
        <v>643.67</v>
      </c>
      <c r="O958" s="18" t="n">
        <v>572.9299999999999</v>
      </c>
      <c r="P958" s="18" t="n">
        <v>734.65</v>
      </c>
      <c r="Q958" s="18" t="n">
        <v>437</v>
      </c>
      <c r="R958" s="21">
        <f>IF(OR(G958="",P958=""),"",G958/P958-1)</f>
        <v/>
      </c>
      <c r="S958" s="19" t="n">
        <v>0.5302</v>
      </c>
      <c r="T958" s="22" t="n">
        <v>0.0189</v>
      </c>
      <c r="U958" s="16" t="inlineStr">
        <is>
          <t>Yes</t>
        </is>
      </c>
      <c r="V958" s="16" t="inlineStr">
        <is>
          <t>No</t>
        </is>
      </c>
      <c r="W958" s="16" t="inlineStr">
        <is>
          <t>No</t>
        </is>
      </c>
      <c r="X958" s="16" t="inlineStr">
        <is>
          <t>Yes</t>
        </is>
      </c>
      <c r="Y958" s="20" t="n">
        <v>73</v>
      </c>
      <c r="Z958" s="19" t="n">
        <v>0.1235</v>
      </c>
      <c r="AA958" s="18" t="n">
        <v>48.14</v>
      </c>
      <c r="AB958" s="16" t="inlineStr">
        <is>
          <t>Average</t>
        </is>
      </c>
      <c r="AC958" s="16" t="inlineStr">
        <is>
          <t>No</t>
        </is>
      </c>
      <c r="AD958" s="19" t="n">
        <v>0.1271</v>
      </c>
      <c r="AE958" s="19" t="n">
        <v>0.1208</v>
      </c>
      <c r="AF958" s="19" t="n">
        <v>0.3991</v>
      </c>
      <c r="AG958" s="19" t="n">
        <v>0.1931</v>
      </c>
      <c r="AH958" s="23" t="n">
        <v>0.86</v>
      </c>
      <c r="AI958" s="23" t="n">
        <v>3.02</v>
      </c>
      <c r="AJ958" s="19" t="n">
        <v>0.0625</v>
      </c>
    </row>
    <row r="959">
      <c r="A959" s="16" t="inlineStr">
        <is>
          <t>TARC</t>
        </is>
      </c>
      <c r="B959" s="16" t="inlineStr">
        <is>
          <t>TARC Ltd.</t>
        </is>
      </c>
      <c r="C959" s="16" t="inlineStr">
        <is>
          <t>Realty</t>
        </is>
      </c>
      <c r="D959" s="16" t="inlineStr">
        <is>
          <t>Realty</t>
        </is>
      </c>
      <c r="E959" s="16" t="inlineStr">
        <is>
          <t>INE0EK901012</t>
        </is>
      </c>
      <c r="F959" s="17" t="n">
        <v>3747.43</v>
      </c>
      <c r="G959" s="18" t="n">
        <v>126.99</v>
      </c>
      <c r="H959" s="19" t="n">
        <v>0.0225</v>
      </c>
      <c r="I959" s="20" t="n">
        <v>23</v>
      </c>
      <c r="J959" s="16" t="inlineStr">
        <is>
          <t>red</t>
        </is>
      </c>
      <c r="K959" s="20" t="n">
        <v>128</v>
      </c>
      <c r="L959" s="18" t="n">
        <v>54.84</v>
      </c>
      <c r="M959" s="18" t="n">
        <v>121.03</v>
      </c>
      <c r="N959" s="18" t="n">
        <v>125.57</v>
      </c>
      <c r="O959" s="18" t="n">
        <v>137.71</v>
      </c>
      <c r="P959" s="18" t="n">
        <v>182.57</v>
      </c>
      <c r="Q959" s="18" t="n">
        <v>111.59</v>
      </c>
      <c r="R959" s="21">
        <f>IF(OR(G959="",P959=""),"",G959/P959-1)</f>
        <v/>
      </c>
      <c r="S959" s="19" t="n">
        <v>0.5832999999999999</v>
      </c>
      <c r="T959" s="22" t="n">
        <v>-0.0173</v>
      </c>
      <c r="U959" s="16" t="inlineStr">
        <is>
          <t>No</t>
        </is>
      </c>
      <c r="V959" s="16" t="inlineStr">
        <is>
          <t>Yes</t>
        </is>
      </c>
      <c r="W959" s="16" t="inlineStr">
        <is>
          <t>Yes</t>
        </is>
      </c>
      <c r="X959" s="16" t="inlineStr">
        <is>
          <t>No</t>
        </is>
      </c>
      <c r="Y959" s="20" t="n">
        <v>206</v>
      </c>
      <c r="Z959" s="19" t="n">
        <v>-0.0882</v>
      </c>
      <c r="AA959" s="18" t="n">
        <v>19.13</v>
      </c>
      <c r="AB959" s="16" t="inlineStr">
        <is>
          <t>Poor</t>
        </is>
      </c>
      <c r="AC959" s="16" t="inlineStr">
        <is>
          <t>No</t>
        </is>
      </c>
      <c r="AD959" s="19" t="n">
        <v>-0.08800000000000001</v>
      </c>
      <c r="AE959" s="19" t="n">
        <v>-0.0107</v>
      </c>
      <c r="AF959" s="19" t="n">
        <v>-1.9016</v>
      </c>
      <c r="AG959" s="19" t="n">
        <v>2.5549</v>
      </c>
      <c r="AH959" s="23" t="n">
        <v>1.78</v>
      </c>
      <c r="AI959" s="23" t="n">
        <v>0.8</v>
      </c>
      <c r="AJ959" s="19" t="n">
        <v>0</v>
      </c>
    </row>
    <row r="960">
      <c r="A960" s="16" t="inlineStr">
        <is>
          <t>POLYPLEX</t>
        </is>
      </c>
      <c r="B960" s="16" t="inlineStr">
        <is>
          <t>Polyplex Corporation Ltd.</t>
        </is>
      </c>
      <c r="C960" s="16" t="inlineStr">
        <is>
          <t>Containers &amp; Packaging</t>
        </is>
      </c>
      <c r="D960" s="16" t="inlineStr">
        <is>
          <t>Commercial Services &amp; Supplies</t>
        </is>
      </c>
      <c r="E960" s="16" t="inlineStr">
        <is>
          <t>INE633B01018</t>
        </is>
      </c>
      <c r="F960" s="17" t="n">
        <v>3738.85</v>
      </c>
      <c r="G960" s="18" t="n">
        <v>1191</v>
      </c>
      <c r="H960" s="19" t="n">
        <v>-0.0097</v>
      </c>
      <c r="I960" s="20" t="n">
        <v>78</v>
      </c>
      <c r="J960" s="16" t="inlineStr">
        <is>
          <t>amber</t>
        </is>
      </c>
      <c r="K960" s="20" t="n">
        <v>42</v>
      </c>
      <c r="L960" s="18" t="n">
        <v>44.98</v>
      </c>
      <c r="M960" s="18" t="n">
        <v>1182.92</v>
      </c>
      <c r="N960" s="18" t="n">
        <v>1116.38</v>
      </c>
      <c r="O960" s="18" t="n">
        <v>925.96</v>
      </c>
      <c r="P960" s="18" t="n">
        <v>1229.6</v>
      </c>
      <c r="Q960" s="18" t="n">
        <v>747.8</v>
      </c>
      <c r="R960" s="21">
        <f>IF(OR(G960="",P960=""),"",G960/P960-1)</f>
        <v/>
      </c>
      <c r="S960" s="19" t="n">
        <v>0.6939</v>
      </c>
      <c r="T960" s="22" t="n">
        <v>0.0272</v>
      </c>
      <c r="U960" s="16" t="inlineStr">
        <is>
          <t>Yes</t>
        </is>
      </c>
      <c r="V960" s="16" t="inlineStr">
        <is>
          <t>Yes</t>
        </is>
      </c>
      <c r="W960" s="16" t="inlineStr">
        <is>
          <t>Yes</t>
        </is>
      </c>
      <c r="X960" s="16" t="inlineStr">
        <is>
          <t>Yes</t>
        </is>
      </c>
      <c r="Y960" s="20" t="n">
        <v>62</v>
      </c>
      <c r="Z960" s="19" t="n">
        <v>0.2056</v>
      </c>
      <c r="AA960" s="18" t="n">
        <v>34.2</v>
      </c>
      <c r="AB960" s="16" t="inlineStr">
        <is>
          <t>Poor</t>
        </is>
      </c>
      <c r="AC960" s="16" t="inlineStr">
        <is>
          <t>No</t>
        </is>
      </c>
      <c r="AD960" s="19" t="n">
        <v>0.0257</v>
      </c>
      <c r="AE960" s="19" t="n">
        <v>0.049</v>
      </c>
      <c r="AF960" s="19" t="n">
        <v>0.9512999999999999</v>
      </c>
      <c r="AG960" s="19" t="n">
        <v>-0.0177</v>
      </c>
      <c r="AH960" s="23" t="n">
        <v>0.22</v>
      </c>
      <c r="AI960" s="23" t="n">
        <v>1.65</v>
      </c>
      <c r="AJ960" s="19" t="n">
        <v>0.0163</v>
      </c>
    </row>
    <row r="961">
      <c r="A961" s="16" t="inlineStr">
        <is>
          <t>TCPLPACK</t>
        </is>
      </c>
      <c r="B961" s="16" t="inlineStr">
        <is>
          <t>TCPL Packaging Ltd.</t>
        </is>
      </c>
      <c r="C961" s="16" t="inlineStr">
        <is>
          <t>Containers &amp; Packaging</t>
        </is>
      </c>
      <c r="D961" s="16" t="inlineStr">
        <is>
          <t>Commercial Services &amp; Supplies</t>
        </is>
      </c>
      <c r="E961" s="16" t="inlineStr">
        <is>
          <t>INE822C01015</t>
        </is>
      </c>
      <c r="F961" s="17" t="n">
        <v>3723.63</v>
      </c>
      <c r="G961" s="18" t="n">
        <v>4091.9</v>
      </c>
      <c r="H961" s="19" t="n">
        <v>0.0342</v>
      </c>
      <c r="I961" s="20" t="n">
        <v>84</v>
      </c>
      <c r="J961" s="16" t="inlineStr">
        <is>
          <t>green</t>
        </is>
      </c>
      <c r="K961" s="20" t="n">
        <v>18</v>
      </c>
      <c r="L961" s="18" t="n">
        <v>52.52</v>
      </c>
      <c r="M961" s="18" t="n">
        <v>3920.29</v>
      </c>
      <c r="N961" s="18" t="n">
        <v>3454.66</v>
      </c>
      <c r="O961" s="18" t="n">
        <v>2903.43</v>
      </c>
      <c r="P961" s="18" t="n">
        <v>4394.9</v>
      </c>
      <c r="Q961" s="18" t="n">
        <v>2197.07</v>
      </c>
      <c r="R961" s="21">
        <f>IF(OR(G961="",P961=""),"",G961/P961-1)</f>
        <v/>
      </c>
      <c r="S961" s="19" t="n">
        <v>0.5236999999999999</v>
      </c>
      <c r="T961" s="22" t="n">
        <v>0.0235</v>
      </c>
      <c r="U961" s="16" t="inlineStr">
        <is>
          <t>Yes</t>
        </is>
      </c>
      <c r="V961" s="16" t="inlineStr">
        <is>
          <t>Yes</t>
        </is>
      </c>
      <c r="W961" s="16" t="inlineStr">
        <is>
          <t>Yes</t>
        </is>
      </c>
      <c r="X961" s="16" t="inlineStr">
        <is>
          <t>Yes</t>
        </is>
      </c>
      <c r="Y961" s="20" t="n">
        <v>29</v>
      </c>
      <c r="Z961" s="19" t="n">
        <v>0.1899</v>
      </c>
      <c r="AA961" s="18" t="n">
        <v>40</v>
      </c>
      <c r="AB961" s="16" t="inlineStr">
        <is>
          <t>Weak</t>
        </is>
      </c>
      <c r="AC961" s="16" t="inlineStr">
        <is>
          <t>No</t>
        </is>
      </c>
      <c r="AD961" s="19" t="n">
        <v>0.1828</v>
      </c>
      <c r="AE961" s="19" t="n">
        <v>0.1685</v>
      </c>
      <c r="AF961" s="19" t="n">
        <v>-0.2221</v>
      </c>
      <c r="AG961" s="19" t="n">
        <v>0.0745</v>
      </c>
      <c r="AH961" s="23" t="n">
        <v>0.88</v>
      </c>
      <c r="AI961" s="23" t="n">
        <v>1.99</v>
      </c>
      <c r="AJ961" s="19" t="n">
        <v>0.0197</v>
      </c>
    </row>
    <row r="962">
      <c r="A962" s="16" t="inlineStr">
        <is>
          <t>SPECTRUM</t>
        </is>
      </c>
      <c r="B962" s="16" t="inlineStr">
        <is>
          <t>Spectrum Electrical Industries Ltd.</t>
        </is>
      </c>
      <c r="C962" s="16" t="inlineStr">
        <is>
          <t>Other Electrical Equipment/Products</t>
        </is>
      </c>
      <c r="D962" s="16" t="inlineStr">
        <is>
          <t>Consumer Durables</t>
        </is>
      </c>
      <c r="E962" s="16" t="inlineStr">
        <is>
          <t>INE01EO01010</t>
        </is>
      </c>
      <c r="F962" s="17" t="n">
        <v>3721.66</v>
      </c>
      <c r="G962" s="18" t="n">
        <v>2368.4</v>
      </c>
      <c r="H962" s="19" t="n">
        <v>0.05</v>
      </c>
      <c r="I962" s="20" t="n">
        <v>89</v>
      </c>
      <c r="J962" s="16" t="inlineStr">
        <is>
          <t>green</t>
        </is>
      </c>
      <c r="K962" s="20" t="n">
        <v>45</v>
      </c>
      <c r="L962" s="18" t="n">
        <v>66.52</v>
      </c>
      <c r="M962" s="18" t="n">
        <v>2177.3</v>
      </c>
      <c r="N962" s="18" t="n">
        <v>2174.61</v>
      </c>
      <c r="O962" s="18" t="n">
        <v>1540.83</v>
      </c>
      <c r="P962" s="18" t="n">
        <v>2568</v>
      </c>
      <c r="Q962" s="18" t="n">
        <v>1057.2</v>
      </c>
      <c r="R962" s="21">
        <f>IF(OR(G962="",P962=""),"",G962/P962-1)</f>
        <v/>
      </c>
      <c r="S962" s="19" t="n">
        <v>0.605</v>
      </c>
      <c r="T962" s="22" t="n">
        <v>0.0547</v>
      </c>
      <c r="U962" s="16" t="inlineStr">
        <is>
          <t>Yes</t>
        </is>
      </c>
      <c r="V962" s="16" t="inlineStr">
        <is>
          <t>Yes</t>
        </is>
      </c>
      <c r="W962" s="16" t="inlineStr">
        <is>
          <t>Yes</t>
        </is>
      </c>
      <c r="X962" s="16" t="inlineStr">
        <is>
          <t>Yes</t>
        </is>
      </c>
      <c r="Y962" s="20" t="n">
        <v>68</v>
      </c>
      <c r="Z962" s="19" t="n">
        <v>0.4113</v>
      </c>
      <c r="AA962" s="18" t="n">
        <v>56.24</v>
      </c>
      <c r="AB962" s="16" t="inlineStr">
        <is>
          <t>Good</t>
        </is>
      </c>
      <c r="AC962" s="16" t="inlineStr">
        <is>
          <t>No</t>
        </is>
      </c>
      <c r="AD962" s="19" t="n">
        <v>0.178</v>
      </c>
      <c r="AE962" s="19" t="n">
        <v>0.136</v>
      </c>
      <c r="AF962" s="19" t="n">
        <v>0.8356</v>
      </c>
      <c r="AG962" s="19" t="n">
        <v>0.276</v>
      </c>
      <c r="AH962" s="23" t="n">
        <v>1.02</v>
      </c>
      <c r="AI962" s="23" t="n">
        <v>1.66</v>
      </c>
      <c r="AJ962" s="19" t="n">
        <v>0.5428999999999999</v>
      </c>
    </row>
    <row r="963">
      <c r="A963" s="16" t="inlineStr">
        <is>
          <t>SHAREINDIA</t>
        </is>
      </c>
      <c r="B963" s="16" t="inlineStr">
        <is>
          <t>Share India Securities Ltd.</t>
        </is>
      </c>
      <c r="C963" s="16" t="inlineStr">
        <is>
          <t>Capital Markets</t>
        </is>
      </c>
      <c r="D963" s="16" t="inlineStr">
        <is>
          <t>Banking and Finance</t>
        </is>
      </c>
      <c r="E963" s="16" t="inlineStr">
        <is>
          <t>INE932X01026</t>
        </is>
      </c>
      <c r="F963" s="17" t="n">
        <v>3720.64</v>
      </c>
      <c r="G963" s="18" t="n">
        <v>170.5</v>
      </c>
      <c r="H963" s="19" t="n">
        <v>0.0073</v>
      </c>
      <c r="I963" s="20" t="n">
        <v>68</v>
      </c>
      <c r="J963" s="16" t="inlineStr">
        <is>
          <t>amber</t>
        </is>
      </c>
      <c r="K963" s="20" t="n">
        <v>17</v>
      </c>
      <c r="L963" s="18" t="n">
        <v>40.84</v>
      </c>
      <c r="M963" s="18" t="n">
        <v>169.97</v>
      </c>
      <c r="N963" s="18" t="n">
        <v>170.72</v>
      </c>
      <c r="O963" s="18" t="n">
        <v>151.33</v>
      </c>
      <c r="P963" s="18" t="n">
        <v>204.73</v>
      </c>
      <c r="Q963" s="18" t="n">
        <v>117.04</v>
      </c>
      <c r="R963" s="21">
        <f>IF(OR(G963="",P963=""),"",G963/P963-1)</f>
        <v/>
      </c>
      <c r="S963" s="19" t="n">
        <v>0.718</v>
      </c>
      <c r="T963" s="22" t="n">
        <v>-0.008100000000000001</v>
      </c>
      <c r="U963" s="16" t="inlineStr">
        <is>
          <t>No</t>
        </is>
      </c>
      <c r="V963" s="16" t="inlineStr">
        <is>
          <t>No</t>
        </is>
      </c>
      <c r="W963" s="16" t="inlineStr">
        <is>
          <t>Yes</t>
        </is>
      </c>
      <c r="X963" s="16" t="inlineStr">
        <is>
          <t>Yes</t>
        </is>
      </c>
      <c r="Y963" s="20" t="n">
        <v>26</v>
      </c>
      <c r="Z963" s="19" t="n">
        <v>0.1281</v>
      </c>
      <c r="AA963" s="18" t="n">
        <v>40</v>
      </c>
      <c r="AB963" s="16" t="inlineStr">
        <is>
          <t>Weak</t>
        </is>
      </c>
      <c r="AC963" s="16" t="inlineStr">
        <is>
          <t>Yes</t>
        </is>
      </c>
      <c r="AD963" s="19" t="n">
        <v>0.1689</v>
      </c>
      <c r="AE963" s="19" t="n">
        <v>0.2158</v>
      </c>
      <c r="AF963" s="19" t="n">
        <v>-0.0346</v>
      </c>
      <c r="AG963" s="19" t="n">
        <v>-0.06570000000000001</v>
      </c>
      <c r="AH963" s="23" t="n">
        <v>0.26</v>
      </c>
      <c r="AI963" s="23" t="n">
        <v>10.2</v>
      </c>
      <c r="AJ963" s="19" t="n">
        <v>0.0066</v>
      </c>
    </row>
    <row r="964">
      <c r="A964" s="16" t="inlineStr">
        <is>
          <t>JKIL</t>
        </is>
      </c>
      <c r="B964" s="16" t="inlineStr">
        <is>
          <t>J Kumar Infraprojects Ltd.</t>
        </is>
      </c>
      <c r="C964" s="16" t="inlineStr">
        <is>
          <t>Construction &amp; Engineering</t>
        </is>
      </c>
      <c r="D964" s="16" t="inlineStr">
        <is>
          <t>Cement and Construction</t>
        </is>
      </c>
      <c r="E964" s="16" t="inlineStr">
        <is>
          <t>INE576I01022</t>
        </is>
      </c>
      <c r="F964" s="17" t="n">
        <v>3687.56</v>
      </c>
      <c r="G964" s="18" t="n">
        <v>487.35</v>
      </c>
      <c r="H964" s="19" t="n">
        <v>-0.0007000000000000001</v>
      </c>
      <c r="I964" s="20" t="n">
        <v>28</v>
      </c>
      <c r="J964" s="16" t="inlineStr">
        <is>
          <t>red</t>
        </is>
      </c>
      <c r="K964" s="20" t="n">
        <v>347</v>
      </c>
      <c r="L964" s="18" t="n">
        <v>29.35</v>
      </c>
      <c r="M964" s="18" t="n">
        <v>492.54</v>
      </c>
      <c r="N964" s="18" t="n">
        <v>494.25</v>
      </c>
      <c r="O964" s="18" t="n">
        <v>519.25</v>
      </c>
      <c r="P964" s="18" t="n">
        <v>658.95</v>
      </c>
      <c r="Q964" s="18" t="n">
        <v>427.7</v>
      </c>
      <c r="R964" s="21">
        <f>IF(OR(G964="",P964=""),"",G964/P964-1)</f>
        <v/>
      </c>
      <c r="S964" s="19" t="n">
        <v>0.2935</v>
      </c>
      <c r="T964" s="22" t="n">
        <v>-0.0247</v>
      </c>
      <c r="U964" s="16" t="inlineStr">
        <is>
          <t>No</t>
        </is>
      </c>
      <c r="V964" s="16" t="inlineStr">
        <is>
          <t>No</t>
        </is>
      </c>
      <c r="W964" s="16" t="inlineStr">
        <is>
          <t>No</t>
        </is>
      </c>
      <c r="X964" s="16" t="inlineStr">
        <is>
          <t>No</t>
        </is>
      </c>
      <c r="Y964" s="20" t="n">
        <v>261</v>
      </c>
      <c r="Z964" s="19" t="n">
        <v>-0.0481</v>
      </c>
      <c r="AA964" s="18" t="n">
        <v>55.66</v>
      </c>
      <c r="AB964" s="16" t="inlineStr">
        <is>
          <t>Good</t>
        </is>
      </c>
      <c r="AC964" s="16" t="inlineStr">
        <is>
          <t>No</t>
        </is>
      </c>
      <c r="AD964" s="19" t="n">
        <v>0.1233</v>
      </c>
      <c r="AE964" s="19" t="n">
        <v>0.1718</v>
      </c>
      <c r="AF964" s="19" t="n">
        <v>0.1257</v>
      </c>
      <c r="AG964" s="19" t="n">
        <v>0.111</v>
      </c>
      <c r="AH964" s="23" t="n">
        <v>0.18</v>
      </c>
      <c r="AI964" s="23" t="n">
        <v>3.92</v>
      </c>
      <c r="AJ964" s="19" t="n">
        <v>0.2021</v>
      </c>
    </row>
    <row r="965">
      <c r="A965" s="16" t="inlineStr">
        <is>
          <t>LORDSMARK</t>
        </is>
      </c>
      <c r="B965" s="16" t="inlineStr">
        <is>
          <t>Lords Mark Industries Ltd.</t>
        </is>
      </c>
      <c r="C965" s="16" t="inlineStr">
        <is>
          <t>Other Financial Services</t>
        </is>
      </c>
      <c r="D965" s="16" t="inlineStr">
        <is>
          <t>Banking and Finance</t>
        </is>
      </c>
      <c r="E965" s="16" t="inlineStr">
        <is>
          <t>INE567L01025</t>
        </is>
      </c>
      <c r="F965" s="17" t="n">
        <v>3685.59</v>
      </c>
      <c r="G965" s="18" t="n">
        <v>86.39</v>
      </c>
      <c r="H965" s="19" t="n">
        <v>0.0144</v>
      </c>
      <c r="I965" s="20" t="n">
        <v>1</v>
      </c>
      <c r="J965" s="16" t="inlineStr">
        <is>
          <t>red</t>
        </is>
      </c>
      <c r="K965" s="20" t="n">
        <v>41</v>
      </c>
      <c r="L965" s="18" t="n">
        <v>50.06</v>
      </c>
      <c r="M965" s="18" t="n">
        <v>80.92</v>
      </c>
      <c r="N965" s="18" t="n">
        <v>2366.09</v>
      </c>
      <c r="O965" s="18" t="n">
        <v>10159.27</v>
      </c>
      <c r="P965" s="18" t="n">
        <v>12757</v>
      </c>
      <c r="Q965" s="18" t="n">
        <v>63</v>
      </c>
      <c r="R965" s="21">
        <f>IF(OR(G965="",P965=""),"",G965/P965-1)</f>
        <v/>
      </c>
      <c r="S965" s="19" t="n">
        <v>1.146</v>
      </c>
      <c r="T965" s="22" t="n">
        <v>-0.0451</v>
      </c>
      <c r="U965" s="16" t="inlineStr">
        <is>
          <t>No</t>
        </is>
      </c>
      <c r="V965" s="16" t="inlineStr">
        <is>
          <t>No</t>
        </is>
      </c>
      <c r="W965" s="16" t="inlineStr">
        <is>
          <t>Yes</t>
        </is>
      </c>
      <c r="X965" s="16" t="inlineStr">
        <is>
          <t>No</t>
        </is>
      </c>
      <c r="Y965" s="20" t="n">
        <v>33</v>
      </c>
      <c r="Z965" s="19" t="n">
        <v>-0.7670999999999999</v>
      </c>
      <c r="AA965" s="18" t="n"/>
      <c r="AB965" s="16" t="n"/>
      <c r="AC965" s="16" t="inlineStr">
        <is>
          <t>No</t>
        </is>
      </c>
      <c r="AD965" s="19" t="n"/>
      <c r="AE965" s="19" t="n"/>
      <c r="AF965" s="19" t="n"/>
      <c r="AG965" s="19" t="n"/>
      <c r="AH965" s="23" t="n"/>
      <c r="AI965" s="23" t="n"/>
      <c r="AJ965" s="19" t="n"/>
    </row>
    <row r="966">
      <c r="A966" s="16" t="inlineStr">
        <is>
          <t>VAIBHAVGBL</t>
        </is>
      </c>
      <c r="B966" s="16" t="inlineStr">
        <is>
          <t>Vaibhav Global Ltd.</t>
        </is>
      </c>
      <c r="C966" s="16" t="inlineStr">
        <is>
          <t>Other Apparels &amp; Accessories</t>
        </is>
      </c>
      <c r="D966" s="16" t="inlineStr">
        <is>
          <t>Textiles Apparels &amp; Accessories</t>
        </is>
      </c>
      <c r="E966" s="16" t="inlineStr">
        <is>
          <t>INE884A01027</t>
        </is>
      </c>
      <c r="F966" s="17" t="n">
        <v>3666.47</v>
      </c>
      <c r="G966" s="18" t="n">
        <v>218.74</v>
      </c>
      <c r="H966" s="19" t="n">
        <v>0.016</v>
      </c>
      <c r="I966" s="20" t="n">
        <v>36</v>
      </c>
      <c r="J966" s="16" t="inlineStr">
        <is>
          <t>red</t>
        </is>
      </c>
      <c r="K966" s="20" t="n">
        <v>23</v>
      </c>
      <c r="L966" s="18" t="n">
        <v>39.14</v>
      </c>
      <c r="M966" s="18" t="n">
        <v>219.22</v>
      </c>
      <c r="N966" s="18" t="n">
        <v>239.82</v>
      </c>
      <c r="O966" s="18" t="n">
        <v>227.19</v>
      </c>
      <c r="P966" s="18" t="n">
        <v>274.37</v>
      </c>
      <c r="Q966" s="18" t="n">
        <v>173.17</v>
      </c>
      <c r="R966" s="21">
        <f>IF(OR(G966="",P966=""),"",G966/P966-1)</f>
        <v/>
      </c>
      <c r="S966" s="19" t="n">
        <v>0.7039</v>
      </c>
      <c r="T966" s="22" t="n">
        <v>-0.0114</v>
      </c>
      <c r="U966" s="16" t="inlineStr">
        <is>
          <t>No</t>
        </is>
      </c>
      <c r="V966" s="16" t="inlineStr">
        <is>
          <t>No</t>
        </is>
      </c>
      <c r="W966" s="16" t="inlineStr">
        <is>
          <t>No</t>
        </is>
      </c>
      <c r="X966" s="16" t="inlineStr">
        <is>
          <t>Yes</t>
        </is>
      </c>
      <c r="Y966" s="20" t="n">
        <v>44</v>
      </c>
      <c r="Z966" s="19" t="n">
        <v>0.0556</v>
      </c>
      <c r="AA966" s="18" t="n">
        <v>55.19</v>
      </c>
      <c r="AB966" s="16" t="inlineStr">
        <is>
          <t>Good</t>
        </is>
      </c>
      <c r="AC966" s="16" t="inlineStr">
        <is>
          <t>No</t>
        </is>
      </c>
      <c r="AD966" s="19" t="n">
        <v>0.1256</v>
      </c>
      <c r="AE966" s="19" t="n">
        <v>0.1361</v>
      </c>
      <c r="AF966" s="19" t="n">
        <v>0.3788</v>
      </c>
      <c r="AG966" s="19" t="n">
        <v>0.1109</v>
      </c>
      <c r="AH966" s="23" t="n">
        <v>0.25</v>
      </c>
      <c r="AI966" s="23" t="n">
        <v>7.12</v>
      </c>
      <c r="AJ966" s="19" t="n">
        <v>0.0269</v>
      </c>
    </row>
    <row r="967">
      <c r="A967" s="16" t="inlineStr">
        <is>
          <t>TRUALT</t>
        </is>
      </c>
      <c r="B967" s="16" t="inlineStr">
        <is>
          <t>TruAlt Bioenergy Ltd.</t>
        </is>
      </c>
      <c r="C967" s="16" t="inlineStr">
        <is>
          <t>Sugar</t>
        </is>
      </c>
      <c r="D967" s="16" t="inlineStr">
        <is>
          <t>Food, Beverages &amp; Tobacco</t>
        </is>
      </c>
      <c r="E967" s="16" t="inlineStr">
        <is>
          <t>INE0MWH01014</t>
        </is>
      </c>
      <c r="F967" s="17" t="n">
        <v>3646.63</v>
      </c>
      <c r="G967" s="18" t="n">
        <v>425.25</v>
      </c>
      <c r="H967" s="19" t="n">
        <v>-0.0027</v>
      </c>
      <c r="I967" s="20" t="n">
        <v>27</v>
      </c>
      <c r="J967" s="16" t="inlineStr">
        <is>
          <t>red</t>
        </is>
      </c>
      <c r="K967" s="20" t="n">
        <v>46</v>
      </c>
      <c r="L967" s="18" t="n">
        <v>11.04</v>
      </c>
      <c r="M967" s="18" t="n">
        <v>431.06</v>
      </c>
      <c r="N967" s="18" t="n">
        <v>445.75</v>
      </c>
      <c r="O967" s="18" t="n">
        <v>433.29</v>
      </c>
      <c r="P967" s="18" t="n">
        <v>531.95</v>
      </c>
      <c r="Q967" s="18" t="n">
        <v>319.65</v>
      </c>
      <c r="R967" s="21">
        <f>IF(OR(G967="",P967=""),"",G967/P967-1)</f>
        <v/>
      </c>
      <c r="S967" s="19" t="n">
        <v>0.3449</v>
      </c>
      <c r="T967" s="22" t="n">
        <v>-0.0003</v>
      </c>
      <c r="U967" s="16" t="inlineStr">
        <is>
          <t>No</t>
        </is>
      </c>
      <c r="V967" s="16" t="inlineStr">
        <is>
          <t>No</t>
        </is>
      </c>
      <c r="W967" s="16" t="inlineStr">
        <is>
          <t>No</t>
        </is>
      </c>
      <c r="X967" s="16" t="inlineStr">
        <is>
          <t>Yes</t>
        </is>
      </c>
      <c r="Y967" s="20" t="n">
        <v>32</v>
      </c>
      <c r="Z967" s="19" t="n">
        <v>0.0287</v>
      </c>
      <c r="AA967" s="18" t="n">
        <v>35.66</v>
      </c>
      <c r="AB967" s="16" t="inlineStr">
        <is>
          <t>Weak</t>
        </is>
      </c>
      <c r="AC967" s="16" t="inlineStr">
        <is>
          <t>No</t>
        </is>
      </c>
      <c r="AD967" s="19" t="n">
        <v>0.1249</v>
      </c>
      <c r="AE967" s="19" t="n">
        <v>0.1109</v>
      </c>
      <c r="AF967" s="19" t="n"/>
      <c r="AG967" s="19" t="n">
        <v>0.1731</v>
      </c>
      <c r="AH967" s="23" t="n">
        <v>1.09</v>
      </c>
      <c r="AI967" s="23" t="n">
        <v>0.8100000000000001</v>
      </c>
      <c r="AJ967" s="19" t="n">
        <v>0.0319</v>
      </c>
    </row>
    <row r="968">
      <c r="A968" s="16" t="inlineStr">
        <is>
          <t>POCL</t>
        </is>
      </c>
      <c r="B968" s="16" t="inlineStr">
        <is>
          <t>Pondy Oxides &amp; Chemicals Ltd.</t>
        </is>
      </c>
      <c r="C968" s="16" t="inlineStr">
        <is>
          <t>Other Non-Ferrous Metals</t>
        </is>
      </c>
      <c r="D968" s="16" t="inlineStr">
        <is>
          <t>Metals &amp; Mining</t>
        </is>
      </c>
      <c r="E968" s="16" t="inlineStr">
        <is>
          <t>INE063E01061</t>
        </is>
      </c>
      <c r="F968" s="17" t="n">
        <v>3644.57</v>
      </c>
      <c r="G968" s="18" t="n">
        <v>477.8</v>
      </c>
      <c r="H968" s="19" t="n">
        <v>0.0036</v>
      </c>
      <c r="I968" s="20" t="n">
        <v>39</v>
      </c>
      <c r="J968" s="16" t="inlineStr">
        <is>
          <t>red</t>
        </is>
      </c>
      <c r="K968" s="20" t="n">
        <v>30</v>
      </c>
      <c r="L968" s="18" t="n">
        <v>43.28</v>
      </c>
      <c r="M968" s="18" t="n">
        <v>493.3</v>
      </c>
      <c r="N968" s="18" t="n">
        <v>524.04</v>
      </c>
      <c r="O968" s="18" t="n">
        <v>514.16</v>
      </c>
      <c r="P968" s="18" t="n">
        <v>617.92</v>
      </c>
      <c r="Q968" s="18" t="n">
        <v>404.48</v>
      </c>
      <c r="R968" s="21">
        <f>IF(OR(G968="",P968=""),"",G968/P968-1)</f>
        <v/>
      </c>
      <c r="S968" s="19" t="n">
        <v>0.6174000000000001</v>
      </c>
      <c r="T968" s="22" t="n">
        <v>-0.0107</v>
      </c>
      <c r="U968" s="16" t="inlineStr">
        <is>
          <t>No</t>
        </is>
      </c>
      <c r="V968" s="16" t="inlineStr">
        <is>
          <t>No</t>
        </is>
      </c>
      <c r="W968" s="16" t="inlineStr">
        <is>
          <t>No</t>
        </is>
      </c>
      <c r="X968" s="16" t="inlineStr">
        <is>
          <t>Yes</t>
        </is>
      </c>
      <c r="Y968" s="20" t="n">
        <v>70</v>
      </c>
      <c r="Z968" s="19" t="n">
        <v>0.0192</v>
      </c>
      <c r="AA968" s="18" t="n">
        <v>40</v>
      </c>
      <c r="AB968" s="16" t="inlineStr">
        <is>
          <t>Weak</t>
        </is>
      </c>
      <c r="AC968" s="16" t="inlineStr">
        <is>
          <t>No</t>
        </is>
      </c>
      <c r="AD968" s="19" t="n">
        <v>0.1181</v>
      </c>
      <c r="AE968" s="19" t="n">
        <v>0.1546</v>
      </c>
      <c r="AF968" s="19" t="n">
        <v>-0.3416</v>
      </c>
      <c r="AG968" s="19" t="n">
        <v>0.2726</v>
      </c>
      <c r="AH968" s="23" t="n">
        <v>0.19</v>
      </c>
      <c r="AI968" s="23" t="n">
        <v>12.13</v>
      </c>
      <c r="AJ968" s="19" t="n">
        <v>0.0105</v>
      </c>
    </row>
    <row r="969">
      <c r="A969" s="16" t="inlineStr">
        <is>
          <t>KIRIINDUS</t>
        </is>
      </c>
      <c r="B969" s="16" t="inlineStr">
        <is>
          <t>Kiri Industries Ltd.</t>
        </is>
      </c>
      <c r="C969" s="16" t="inlineStr">
        <is>
          <t>Dyes &amp; Pigments</t>
        </is>
      </c>
      <c r="D969" s="16" t="inlineStr">
        <is>
          <t>Chemicals &amp; Petrochemicals</t>
        </is>
      </c>
      <c r="E969" s="16" t="inlineStr">
        <is>
          <t>INE415I01015</t>
        </is>
      </c>
      <c r="F969" s="17" t="n">
        <v>3643.54</v>
      </c>
      <c r="G969" s="18" t="n">
        <v>559.1</v>
      </c>
      <c r="H969" s="19" t="n">
        <v>-0.0343</v>
      </c>
      <c r="I969" s="20" t="n">
        <v>69</v>
      </c>
      <c r="J969" s="16" t="inlineStr">
        <is>
          <t>amber</t>
        </is>
      </c>
      <c r="K969" s="20" t="n">
        <v>5</v>
      </c>
      <c r="L969" s="18" t="n">
        <v>74.87</v>
      </c>
      <c r="M969" s="18" t="n">
        <v>524.84</v>
      </c>
      <c r="N969" s="18" t="n">
        <v>430.66</v>
      </c>
      <c r="O969" s="18" t="n">
        <v>452.52</v>
      </c>
      <c r="P969" s="18" t="n">
        <v>725.3</v>
      </c>
      <c r="Q969" s="18" t="n">
        <v>338.3</v>
      </c>
      <c r="R969" s="21">
        <f>IF(OR(G969="",P969=""),"",G969/P969-1)</f>
        <v/>
      </c>
      <c r="S969" s="19" t="n">
        <v>1.8457</v>
      </c>
      <c r="T969" s="22" t="n">
        <v>-0.0154</v>
      </c>
      <c r="U969" s="16" t="inlineStr">
        <is>
          <t>No</t>
        </is>
      </c>
      <c r="V969" s="16" t="inlineStr">
        <is>
          <t>Yes</t>
        </is>
      </c>
      <c r="W969" s="16" t="inlineStr">
        <is>
          <t>Yes</t>
        </is>
      </c>
      <c r="X969" s="16" t="inlineStr">
        <is>
          <t>No</t>
        </is>
      </c>
      <c r="Y969" s="20" t="n">
        <v>269</v>
      </c>
      <c r="Z969" s="19" t="n">
        <v>-0.0483</v>
      </c>
      <c r="AA969" s="18" t="n">
        <v>69.98</v>
      </c>
      <c r="AB969" s="16" t="inlineStr">
        <is>
          <t>High</t>
        </is>
      </c>
      <c r="AC969" s="16" t="inlineStr">
        <is>
          <t>No</t>
        </is>
      </c>
      <c r="AD969" s="19" t="n">
        <v>0.3354</v>
      </c>
      <c r="AE969" s="19" t="n">
        <v>0.3207</v>
      </c>
      <c r="AF969" s="19" t="n">
        <v>6.976699999999999</v>
      </c>
      <c r="AG969" s="19" t="n">
        <v>-0.0139</v>
      </c>
      <c r="AH969" s="23" t="n">
        <v>0.01</v>
      </c>
      <c r="AI969" s="23" t="n">
        <v>0.76</v>
      </c>
      <c r="AJ969" s="19" t="n">
        <v>0.03759999999999999</v>
      </c>
    </row>
    <row r="970">
      <c r="A970" s="16" t="inlineStr">
        <is>
          <t>HEIDELBERG</t>
        </is>
      </c>
      <c r="B970" s="16" t="inlineStr">
        <is>
          <t>Heidelberg Cement India Ltd.</t>
        </is>
      </c>
      <c r="C970" s="16" t="inlineStr">
        <is>
          <t>Cement &amp; Cement Products</t>
        </is>
      </c>
      <c r="D970" s="16" t="inlineStr">
        <is>
          <t>Cement and Construction</t>
        </is>
      </c>
      <c r="E970" s="16" t="inlineStr">
        <is>
          <t>INE578A01017</t>
        </is>
      </c>
      <c r="F970" s="17" t="n">
        <v>3629.66</v>
      </c>
      <c r="G970" s="18" t="n">
        <v>160.17</v>
      </c>
      <c r="H970" s="19" t="n">
        <v>0.0125</v>
      </c>
      <c r="I970" s="20" t="n">
        <v>33</v>
      </c>
      <c r="J970" s="16" t="inlineStr">
        <is>
          <t>red</t>
        </is>
      </c>
      <c r="K970" s="20" t="n">
        <v>238</v>
      </c>
      <c r="L970" s="18" t="n">
        <v>49.84</v>
      </c>
      <c r="M970" s="18" t="n">
        <v>159.54</v>
      </c>
      <c r="N970" s="18" t="n">
        <v>157.68</v>
      </c>
      <c r="O970" s="18" t="n">
        <v>161.39</v>
      </c>
      <c r="P970" s="18" t="n">
        <v>215.31</v>
      </c>
      <c r="Q970" s="18" t="n">
        <v>137.55</v>
      </c>
      <c r="R970" s="21">
        <f>IF(OR(G970="",P970=""),"",G970/P970-1)</f>
        <v/>
      </c>
      <c r="S970" s="19" t="n">
        <v>2.0097</v>
      </c>
      <c r="T970" s="22" t="n">
        <v>-0.0197</v>
      </c>
      <c r="U970" s="16" t="inlineStr">
        <is>
          <t>No</t>
        </is>
      </c>
      <c r="V970" s="16" t="inlineStr">
        <is>
          <t>Yes</t>
        </is>
      </c>
      <c r="W970" s="16" t="inlineStr">
        <is>
          <t>Yes</t>
        </is>
      </c>
      <c r="X970" s="16" t="inlineStr">
        <is>
          <t>No</t>
        </is>
      </c>
      <c r="Y970" s="20" t="n">
        <v>196</v>
      </c>
      <c r="Z970" s="19" t="n">
        <v>-0.023</v>
      </c>
      <c r="AA970" s="18" t="n">
        <v>48.73</v>
      </c>
      <c r="AB970" s="16" t="inlineStr">
        <is>
          <t>Average</t>
        </is>
      </c>
      <c r="AC970" s="16" t="inlineStr">
        <is>
          <t>No</t>
        </is>
      </c>
      <c r="AD970" s="19" t="n">
        <v>0.09609999999999999</v>
      </c>
      <c r="AE970" s="19" t="n">
        <v>0.1418</v>
      </c>
      <c r="AF970" s="19" t="n">
        <v>0.1936</v>
      </c>
      <c r="AG970" s="19" t="n">
        <v>0.0209</v>
      </c>
      <c r="AH970" s="23" t="n">
        <v>0.01</v>
      </c>
      <c r="AI970" s="23" t="n">
        <v>1.66</v>
      </c>
      <c r="AJ970" s="19" t="n">
        <v>0.0073</v>
      </c>
    </row>
    <row r="971">
      <c r="A971" s="16" t="inlineStr">
        <is>
          <t>VSTTILLERS</t>
        </is>
      </c>
      <c r="B971" s="16" t="inlineStr">
        <is>
          <t>VST Tillers Tractors Ltd.</t>
        </is>
      </c>
      <c r="C971" s="16" t="inlineStr">
        <is>
          <t>Commercial Vehicles</t>
        </is>
      </c>
      <c r="D971" s="16" t="inlineStr">
        <is>
          <t>Automobiles &amp; Auto Components</t>
        </is>
      </c>
      <c r="E971" s="16" t="inlineStr">
        <is>
          <t>INE764D01017</t>
        </is>
      </c>
      <c r="F971" s="17" t="n">
        <v>3619.51</v>
      </c>
      <c r="G971" s="18" t="n">
        <v>4187.6</v>
      </c>
      <c r="H971" s="19" t="n">
        <v>0.0029</v>
      </c>
      <c r="I971" s="20" t="n">
        <v>11</v>
      </c>
      <c r="J971" s="16" t="inlineStr">
        <is>
          <t>red</t>
        </is>
      </c>
      <c r="K971" s="20" t="n">
        <v>87</v>
      </c>
      <c r="L971" s="18" t="n">
        <v>19.27</v>
      </c>
      <c r="M971" s="18" t="n">
        <v>4283.65</v>
      </c>
      <c r="N971" s="18" t="n">
        <v>4462.15</v>
      </c>
      <c r="O971" s="18" t="n">
        <v>5108.05</v>
      </c>
      <c r="P971" s="18" t="n">
        <v>6262.5</v>
      </c>
      <c r="Q971" s="18" t="n">
        <v>4164.6</v>
      </c>
      <c r="R971" s="21">
        <f>IF(OR(G971="",P971=""),"",G971/P971-1)</f>
        <v/>
      </c>
      <c r="S971" s="19" t="n">
        <v>0.3851</v>
      </c>
      <c r="T971" s="22" t="n">
        <v>-0.0268</v>
      </c>
      <c r="U971" s="16" t="inlineStr">
        <is>
          <t>No</t>
        </is>
      </c>
      <c r="V971" s="16" t="inlineStr">
        <is>
          <t>No</t>
        </is>
      </c>
      <c r="W971" s="16" t="inlineStr">
        <is>
          <t>No</t>
        </is>
      </c>
      <c r="X971" s="16" t="inlineStr">
        <is>
          <t>No</t>
        </is>
      </c>
      <c r="Y971" s="20" t="n">
        <v>93</v>
      </c>
      <c r="Z971" s="19" t="n">
        <v>-0.1264</v>
      </c>
      <c r="AA971" s="18" t="n">
        <v>56.43</v>
      </c>
      <c r="AB971" s="16" t="inlineStr">
        <is>
          <t>Good</t>
        </is>
      </c>
      <c r="AC971" s="16" t="inlineStr">
        <is>
          <t>No</t>
        </is>
      </c>
      <c r="AD971" s="19" t="n">
        <v>0.1065</v>
      </c>
      <c r="AE971" s="19" t="n">
        <v>0.141</v>
      </c>
      <c r="AF971" s="19" t="n">
        <v>0.0669</v>
      </c>
      <c r="AG971" s="19" t="n">
        <v>0.0803</v>
      </c>
      <c r="AH971" s="23" t="n">
        <v>0</v>
      </c>
      <c r="AI971" s="23" t="n">
        <v>5.47</v>
      </c>
      <c r="AJ971" s="19" t="n">
        <v>0.0784</v>
      </c>
    </row>
    <row r="972">
      <c r="A972" s="16" t="inlineStr">
        <is>
          <t>PACEDIGITK</t>
        </is>
      </c>
      <c r="B972" s="16" t="inlineStr">
        <is>
          <t>Pace Digitek Ltd.</t>
        </is>
      </c>
      <c r="C972" s="16" t="inlineStr">
        <is>
          <t>Telecom Cables</t>
        </is>
      </c>
      <c r="D972" s="16" t="inlineStr">
        <is>
          <t>Telecommunications Equipment</t>
        </is>
      </c>
      <c r="E972" s="16" t="inlineStr">
        <is>
          <t>INE0S3G01027</t>
        </is>
      </c>
      <c r="F972" s="17" t="n">
        <v>3617.45</v>
      </c>
      <c r="G972" s="18" t="n">
        <v>167.59</v>
      </c>
      <c r="H972" s="19" t="n">
        <v>0.008199999999999999</v>
      </c>
      <c r="I972" s="20" t="n">
        <v>24</v>
      </c>
      <c r="J972" s="16" t="inlineStr">
        <is>
          <t>red</t>
        </is>
      </c>
      <c r="K972" s="20" t="n">
        <v>25</v>
      </c>
      <c r="L972" s="18" t="n">
        <v>34.42</v>
      </c>
      <c r="M972" s="18" t="n">
        <v>171.68</v>
      </c>
      <c r="N972" s="18" t="n">
        <v>192.49</v>
      </c>
      <c r="O972" s="18" t="n">
        <v>184.81</v>
      </c>
      <c r="P972" s="18" t="n">
        <v>227.93</v>
      </c>
      <c r="Q972" s="18" t="n">
        <v>141.72</v>
      </c>
      <c r="R972" s="21">
        <f>IF(OR(G972="",P972=""),"",G972/P972-1)</f>
        <v/>
      </c>
      <c r="S972" s="19" t="n">
        <v>0.5754</v>
      </c>
      <c r="T972" s="22" t="n">
        <v>-0.0217</v>
      </c>
      <c r="U972" s="16" t="inlineStr">
        <is>
          <t>No</t>
        </is>
      </c>
      <c r="V972" s="16" t="inlineStr">
        <is>
          <t>No</t>
        </is>
      </c>
      <c r="W972" s="16" t="inlineStr">
        <is>
          <t>No</t>
        </is>
      </c>
      <c r="X972" s="16" t="inlineStr">
        <is>
          <t>Yes</t>
        </is>
      </c>
      <c r="Y972" s="20" t="n">
        <v>32</v>
      </c>
      <c r="Z972" s="19" t="n">
        <v>0.0416</v>
      </c>
      <c r="AA972" s="18" t="n">
        <v>80.41</v>
      </c>
      <c r="AB972" s="16" t="inlineStr">
        <is>
          <t>High</t>
        </is>
      </c>
      <c r="AC972" s="16" t="inlineStr">
        <is>
          <t>No</t>
        </is>
      </c>
      <c r="AD972" s="19" t="n">
        <v>0.2567</v>
      </c>
      <c r="AE972" s="19" t="n">
        <v>0.2995</v>
      </c>
      <c r="AF972" s="19" t="n">
        <v>4.5356</v>
      </c>
      <c r="AG972" s="19" t="n">
        <v>1.3089</v>
      </c>
      <c r="AH972" s="23" t="n">
        <v>0.44</v>
      </c>
      <c r="AI972" s="23" t="n">
        <v>12.28</v>
      </c>
      <c r="AJ972" s="19" t="n">
        <v>0.178</v>
      </c>
    </row>
    <row r="973">
      <c r="A973" s="16" t="inlineStr">
        <is>
          <t>ASHIANA</t>
        </is>
      </c>
      <c r="B973" s="16" t="inlineStr">
        <is>
          <t>Ashiana Housing Ltd.</t>
        </is>
      </c>
      <c r="C973" s="16" t="inlineStr">
        <is>
          <t>Realty</t>
        </is>
      </c>
      <c r="D973" s="16" t="inlineStr">
        <is>
          <t>Realty</t>
        </is>
      </c>
      <c r="E973" s="16" t="inlineStr">
        <is>
          <t>INE365D01021</t>
        </is>
      </c>
      <c r="F973" s="17" t="n">
        <v>3614.37</v>
      </c>
      <c r="G973" s="18" t="n">
        <v>359.55</v>
      </c>
      <c r="H973" s="19" t="n">
        <v>-0.0191</v>
      </c>
      <c r="I973" s="20" t="n">
        <v>56</v>
      </c>
      <c r="J973" s="16" t="inlineStr">
        <is>
          <t>red</t>
        </is>
      </c>
      <c r="K973" s="20" t="n">
        <v>2</v>
      </c>
      <c r="L973" s="18" t="n">
        <v>43.84</v>
      </c>
      <c r="M973" s="18" t="n">
        <v>366</v>
      </c>
      <c r="N973" s="18" t="n">
        <v>376.87</v>
      </c>
      <c r="O973" s="18" t="n">
        <v>335.78</v>
      </c>
      <c r="P973" s="18" t="n">
        <v>396.05</v>
      </c>
      <c r="Q973" s="18" t="n">
        <v>272.18</v>
      </c>
      <c r="R973" s="21">
        <f>IF(OR(G973="",P973=""),"",G973/P973-1)</f>
        <v/>
      </c>
      <c r="S973" s="19" t="n">
        <v>0.9229999999999999</v>
      </c>
      <c r="T973" s="22" t="n">
        <v>0.0256</v>
      </c>
      <c r="U973" s="16" t="inlineStr">
        <is>
          <t>Yes</t>
        </is>
      </c>
      <c r="V973" s="16" t="inlineStr">
        <is>
          <t>No</t>
        </is>
      </c>
      <c r="W973" s="16" t="inlineStr">
        <is>
          <t>No</t>
        </is>
      </c>
      <c r="X973" s="16" t="inlineStr">
        <is>
          <t>Yes</t>
        </is>
      </c>
      <c r="Y973" s="20" t="n">
        <v>114</v>
      </c>
      <c r="Z973" s="19" t="n">
        <v>0.1224</v>
      </c>
      <c r="AA973" s="18" t="n">
        <v>47.84</v>
      </c>
      <c r="AB973" s="16" t="inlineStr">
        <is>
          <t>Average</t>
        </is>
      </c>
      <c r="AC973" s="16" t="inlineStr">
        <is>
          <t>No</t>
        </is>
      </c>
      <c r="AD973" s="19" t="n">
        <v>0.0898</v>
      </c>
      <c r="AE973" s="19" t="n">
        <v>0.09420000000000001</v>
      </c>
      <c r="AF973" s="19" t="n">
        <v>0.09609999999999999</v>
      </c>
      <c r="AG973" s="19" t="n">
        <v>0.6889</v>
      </c>
      <c r="AH973" s="23" t="n">
        <v>0.38</v>
      </c>
      <c r="AI973" s="23" t="n">
        <v>10.78</v>
      </c>
      <c r="AJ973" s="19" t="n">
        <v>0</v>
      </c>
    </row>
    <row r="974">
      <c r="A974" s="16" t="inlineStr">
        <is>
          <t>HEMIPROP</t>
        </is>
      </c>
      <c r="B974" s="16" t="inlineStr">
        <is>
          <t>Hemisphere Properties India Ltd.</t>
        </is>
      </c>
      <c r="C974" s="16" t="inlineStr">
        <is>
          <t>Realty</t>
        </is>
      </c>
      <c r="D974" s="16" t="inlineStr">
        <is>
          <t>Realty</t>
        </is>
      </c>
      <c r="E974" s="16" t="inlineStr">
        <is>
          <t>INE0AJG01018</t>
        </is>
      </c>
      <c r="F974" s="17" t="n">
        <v>3606.68</v>
      </c>
      <c r="G974" s="18" t="n">
        <v>126.55</v>
      </c>
      <c r="H974" s="19" t="n">
        <v>0.0049</v>
      </c>
      <c r="I974" s="20" t="n">
        <v>17</v>
      </c>
      <c r="J974" s="16" t="inlineStr">
        <is>
          <t>red</t>
        </is>
      </c>
      <c r="K974" s="20" t="n">
        <v>74</v>
      </c>
      <c r="L974" s="18" t="n">
        <v>24.57</v>
      </c>
      <c r="M974" s="18" t="n">
        <v>128.14</v>
      </c>
      <c r="N974" s="18" t="n">
        <v>134.68</v>
      </c>
      <c r="O974" s="18" t="n">
        <v>135.49</v>
      </c>
      <c r="P974" s="18" t="n">
        <v>184</v>
      </c>
      <c r="Q974" s="18" t="n">
        <v>111.72</v>
      </c>
      <c r="R974" s="21">
        <f>IF(OR(G974="",P974=""),"",G974/P974-1)</f>
        <v/>
      </c>
      <c r="S974" s="19" t="n">
        <v>0.8210999999999999</v>
      </c>
      <c r="T974" s="22" t="n">
        <v>-0.0071</v>
      </c>
      <c r="U974" s="16" t="inlineStr">
        <is>
          <t>No</t>
        </is>
      </c>
      <c r="V974" s="16" t="inlineStr">
        <is>
          <t>No</t>
        </is>
      </c>
      <c r="W974" s="16" t="inlineStr">
        <is>
          <t>No</t>
        </is>
      </c>
      <c r="X974" s="16" t="inlineStr">
        <is>
          <t>No</t>
        </is>
      </c>
      <c r="Y974" s="20" t="n">
        <v>6</v>
      </c>
      <c r="Z974" s="19" t="n">
        <v>-0.006</v>
      </c>
      <c r="AA974" s="18" t="n">
        <v>35.75</v>
      </c>
      <c r="AB974" s="16" t="inlineStr">
        <is>
          <t>Weak</t>
        </is>
      </c>
      <c r="AC974" s="16" t="inlineStr">
        <is>
          <t>No</t>
        </is>
      </c>
      <c r="AD974" s="19" t="n">
        <v>-0.0241</v>
      </c>
      <c r="AE974" s="19" t="n">
        <v>-0.0106</v>
      </c>
      <c r="AF974" s="19" t="n">
        <v>0.2523</v>
      </c>
      <c r="AG974" s="19" t="n">
        <v>0.0326</v>
      </c>
      <c r="AH974" s="23" t="n">
        <v>0.2</v>
      </c>
      <c r="AI974" s="23" t="n">
        <v>99</v>
      </c>
      <c r="AJ974" s="19" t="n">
        <v>0</v>
      </c>
    </row>
    <row r="975">
      <c r="A975" s="16" t="inlineStr">
        <is>
          <t>JTLIND</t>
        </is>
      </c>
      <c r="B975" s="16" t="inlineStr">
        <is>
          <t>JTL Industries Ltd.</t>
        </is>
      </c>
      <c r="C975" s="16" t="inlineStr">
        <is>
          <t>Iron &amp; Steel Products</t>
        </is>
      </c>
      <c r="D975" s="16" t="inlineStr">
        <is>
          <t>Metals &amp; Mining</t>
        </is>
      </c>
      <c r="E975" s="16" t="inlineStr">
        <is>
          <t>INE391J01032</t>
        </is>
      </c>
      <c r="F975" s="17" t="n">
        <v>3603.38</v>
      </c>
      <c r="G975" s="18" t="n">
        <v>91.67</v>
      </c>
      <c r="H975" s="19" t="n">
        <v>0.0223</v>
      </c>
      <c r="I975" s="20" t="n">
        <v>79</v>
      </c>
      <c r="J975" s="16" t="inlineStr">
        <is>
          <t>amber</t>
        </is>
      </c>
      <c r="K975" s="20" t="n">
        <v>2</v>
      </c>
      <c r="L975" s="18" t="n">
        <v>74.45</v>
      </c>
      <c r="M975" s="18" t="n">
        <v>88.14</v>
      </c>
      <c r="N975" s="18" t="n">
        <v>78.63</v>
      </c>
      <c r="O975" s="18" t="n">
        <v>68.94</v>
      </c>
      <c r="P975" s="18" t="n">
        <v>92.40000000000001</v>
      </c>
      <c r="Q975" s="18" t="n">
        <v>40.8</v>
      </c>
      <c r="R975" s="21">
        <f>IF(OR(G975="",P975=""),"",G975/P975-1)</f>
        <v/>
      </c>
      <c r="S975" s="19" t="n">
        <v>0.8277</v>
      </c>
      <c r="T975" s="22" t="n">
        <v>0.0243</v>
      </c>
      <c r="U975" s="16" t="inlineStr">
        <is>
          <t>Yes</t>
        </is>
      </c>
      <c r="V975" s="16" t="inlineStr">
        <is>
          <t>Yes</t>
        </is>
      </c>
      <c r="W975" s="16" t="inlineStr">
        <is>
          <t>Yes</t>
        </is>
      </c>
      <c r="X975" s="16" t="inlineStr">
        <is>
          <t>Yes</t>
        </is>
      </c>
      <c r="Y975" s="20" t="n">
        <v>70</v>
      </c>
      <c r="Z975" s="19" t="n">
        <v>0.1406</v>
      </c>
      <c r="AA975" s="18" t="n">
        <v>49.6</v>
      </c>
      <c r="AB975" s="16" t="inlineStr">
        <is>
          <t>Average</t>
        </is>
      </c>
      <c r="AC975" s="16" t="inlineStr">
        <is>
          <t>No</t>
        </is>
      </c>
      <c r="AD975" s="19" t="n">
        <v>0.0977</v>
      </c>
      <c r="AE975" s="19" t="n">
        <v>0.1279</v>
      </c>
      <c r="AF975" s="19" t="n">
        <v>0.0833</v>
      </c>
      <c r="AG975" s="19" t="n">
        <v>0.1235</v>
      </c>
      <c r="AH975" s="23" t="n">
        <v>0.16</v>
      </c>
      <c r="AI975" s="23" t="n">
        <v>3.24</v>
      </c>
      <c r="AJ975" s="19" t="n">
        <v>0.241</v>
      </c>
    </row>
    <row r="976">
      <c r="A976" s="16" t="inlineStr">
        <is>
          <t>STYRENIX</t>
        </is>
      </c>
      <c r="B976" s="16" t="inlineStr">
        <is>
          <t>Styrenix Performance Materials Ltd.</t>
        </is>
      </c>
      <c r="C976" s="16" t="inlineStr">
        <is>
          <t>Specialty Chemicals</t>
        </is>
      </c>
      <c r="D976" s="16" t="inlineStr">
        <is>
          <t>Chemicals &amp; Petrochemicals</t>
        </is>
      </c>
      <c r="E976" s="16" t="inlineStr">
        <is>
          <t>INE189B01011</t>
        </is>
      </c>
      <c r="F976" s="17" t="n">
        <v>3593.09</v>
      </c>
      <c r="G976" s="18" t="n">
        <v>2043.2</v>
      </c>
      <c r="H976" s="19" t="n">
        <v>0.018</v>
      </c>
      <c r="I976" s="20" t="n">
        <v>32</v>
      </c>
      <c r="J976" s="16" t="inlineStr">
        <is>
          <t>red</t>
        </is>
      </c>
      <c r="K976" s="20" t="n">
        <v>70</v>
      </c>
      <c r="L976" s="18" t="n">
        <v>27.24</v>
      </c>
      <c r="M976" s="18" t="n">
        <v>2019.79</v>
      </c>
      <c r="N976" s="18" t="n">
        <v>2238.42</v>
      </c>
      <c r="O976" s="18" t="n">
        <v>2088.82</v>
      </c>
      <c r="P976" s="18" t="n">
        <v>2625.7</v>
      </c>
      <c r="Q976" s="18" t="n">
        <v>1779.68</v>
      </c>
      <c r="R976" s="21">
        <f>IF(OR(G976="",P976=""),"",G976/P976-1)</f>
        <v/>
      </c>
      <c r="S976" s="19" t="n">
        <v>0.4262</v>
      </c>
      <c r="T976" s="22" t="n">
        <v>-0.009599999999999999</v>
      </c>
      <c r="U976" s="16" t="inlineStr">
        <is>
          <t>No</t>
        </is>
      </c>
      <c r="V976" s="16" t="inlineStr">
        <is>
          <t>No</t>
        </is>
      </c>
      <c r="W976" s="16" t="inlineStr">
        <is>
          <t>Yes</t>
        </is>
      </c>
      <c r="X976" s="16" t="inlineStr">
        <is>
          <t>Yes</t>
        </is>
      </c>
      <c r="Y976" s="20" t="n">
        <v>66</v>
      </c>
      <c r="Z976" s="19" t="n">
        <v>0.0716</v>
      </c>
      <c r="AA976" s="18" t="n">
        <v>56.47</v>
      </c>
      <c r="AB976" s="16" t="inlineStr">
        <is>
          <t>Good</t>
        </is>
      </c>
      <c r="AC976" s="16" t="inlineStr">
        <is>
          <t>No</t>
        </is>
      </c>
      <c r="AD976" s="19" t="n">
        <v>0.1912</v>
      </c>
      <c r="AE976" s="19" t="n">
        <v>0.2127</v>
      </c>
      <c r="AF976" s="19" t="n">
        <v>0.0261</v>
      </c>
      <c r="AG976" s="19" t="n">
        <v>0.1445</v>
      </c>
      <c r="AH976" s="23" t="n">
        <v>0.4</v>
      </c>
      <c r="AI976" s="23" t="n">
        <v>3.26</v>
      </c>
      <c r="AJ976" s="19" t="n">
        <v>0.09949999999999999</v>
      </c>
    </row>
    <row r="977">
      <c r="A977" s="16" t="inlineStr">
        <is>
          <t>NITINSPIN</t>
        </is>
      </c>
      <c r="B977" s="16" t="inlineStr">
        <is>
          <t>Nitin Spinners Ltd.</t>
        </is>
      </c>
      <c r="C977" s="16" t="inlineStr">
        <is>
          <t>Textiles</t>
        </is>
      </c>
      <c r="D977" s="16" t="inlineStr">
        <is>
          <t>Textiles Apparels &amp; Accessories</t>
        </is>
      </c>
      <c r="E977" s="16" t="inlineStr">
        <is>
          <t>INE229H01012</t>
        </is>
      </c>
      <c r="F977" s="17" t="n">
        <v>3592.74</v>
      </c>
      <c r="G977" s="18" t="n">
        <v>639.05</v>
      </c>
      <c r="H977" s="19" t="n">
        <v>-0.0019</v>
      </c>
      <c r="I977" s="20" t="n">
        <v>89</v>
      </c>
      <c r="J977" s="16" t="inlineStr">
        <is>
          <t>green</t>
        </is>
      </c>
      <c r="K977" s="20" t="n">
        <v>111</v>
      </c>
      <c r="L977" s="18" t="n">
        <v>73.97</v>
      </c>
      <c r="M977" s="18" t="n">
        <v>629.39</v>
      </c>
      <c r="N977" s="18" t="n">
        <v>569.36</v>
      </c>
      <c r="O977" s="18" t="n">
        <v>439.88</v>
      </c>
      <c r="P977" s="18" t="n">
        <v>640.25</v>
      </c>
      <c r="Q977" s="18" t="n">
        <v>305.35</v>
      </c>
      <c r="R977" s="21">
        <f>IF(OR(G977="",P977=""),"",G977/P977-1)</f>
        <v/>
      </c>
      <c r="S977" s="19" t="n">
        <v>0.233</v>
      </c>
      <c r="T977" s="22" t="n">
        <v>0.0646</v>
      </c>
      <c r="U977" s="16" t="inlineStr">
        <is>
          <t>Yes</t>
        </is>
      </c>
      <c r="V977" s="16" t="inlineStr">
        <is>
          <t>Yes</t>
        </is>
      </c>
      <c r="W977" s="16" t="inlineStr">
        <is>
          <t>Yes</t>
        </is>
      </c>
      <c r="X977" s="16" t="inlineStr">
        <is>
          <t>Yes</t>
        </is>
      </c>
      <c r="Y977" s="20" t="n">
        <v>117</v>
      </c>
      <c r="Z977" s="19" t="n">
        <v>0.2944</v>
      </c>
      <c r="AA977" s="18" t="n">
        <v>38.06</v>
      </c>
      <c r="AB977" s="16" t="inlineStr">
        <is>
          <t>Weak</t>
        </is>
      </c>
      <c r="AC977" s="16" t="inlineStr">
        <is>
          <t>No</t>
        </is>
      </c>
      <c r="AD977" s="19" t="n">
        <v>0.1231</v>
      </c>
      <c r="AE977" s="19" t="n">
        <v>0.118</v>
      </c>
      <c r="AF977" s="19" t="n">
        <v>0.0479</v>
      </c>
      <c r="AG977" s="19" t="n">
        <v>0.1094</v>
      </c>
      <c r="AH977" s="23" t="n">
        <v>0.76</v>
      </c>
      <c r="AI977" s="23" t="n">
        <v>2.02</v>
      </c>
      <c r="AJ977" s="19" t="n">
        <v>0.0644</v>
      </c>
    </row>
    <row r="978">
      <c r="A978" s="16" t="inlineStr">
        <is>
          <t>NPST</t>
        </is>
      </c>
      <c r="B978" s="16" t="inlineStr">
        <is>
          <t>Network People Services Technologies Ltd.</t>
        </is>
      </c>
      <c r="C978" s="16" t="inlineStr">
        <is>
          <t>Misc. Commercial Services</t>
        </is>
      </c>
      <c r="D978" s="16" t="inlineStr">
        <is>
          <t>Commercial Services &amp; Supplies</t>
        </is>
      </c>
      <c r="E978" s="16" t="inlineStr">
        <is>
          <t>INE0FFK01017</t>
        </is>
      </c>
      <c r="F978" s="17" t="n">
        <v>3586.02</v>
      </c>
      <c r="G978" s="18" t="n">
        <v>1718.8</v>
      </c>
      <c r="H978" s="19" t="n">
        <v>0.0002</v>
      </c>
      <c r="I978" s="20" t="n">
        <v>60</v>
      </c>
      <c r="J978" s="16" t="inlineStr">
        <is>
          <t>amber</t>
        </is>
      </c>
      <c r="K978" s="20" t="n">
        <v>3</v>
      </c>
      <c r="L978" s="18" t="n">
        <v>62.51</v>
      </c>
      <c r="M978" s="18" t="n">
        <v>1681.69</v>
      </c>
      <c r="N978" s="18" t="n">
        <v>1595.61</v>
      </c>
      <c r="O978" s="18" t="n">
        <v>1372.29</v>
      </c>
      <c r="P978" s="18" t="n">
        <v>2149.25</v>
      </c>
      <c r="Q978" s="18" t="n">
        <v>878.6</v>
      </c>
      <c r="R978" s="21">
        <f>IF(OR(G978="",P978=""),"",G978/P978-1)</f>
        <v/>
      </c>
      <c r="S978" s="19" t="n">
        <v>1.089</v>
      </c>
      <c r="T978" s="22" t="n">
        <v>-0.0153</v>
      </c>
      <c r="U978" s="16" t="inlineStr">
        <is>
          <t>No</t>
        </is>
      </c>
      <c r="V978" s="16" t="inlineStr">
        <is>
          <t>Yes</t>
        </is>
      </c>
      <c r="W978" s="16" t="inlineStr">
        <is>
          <t>Yes</t>
        </is>
      </c>
      <c r="X978" s="16" t="inlineStr">
        <is>
          <t>Yes</t>
        </is>
      </c>
      <c r="Y978" s="20" t="n">
        <v>35</v>
      </c>
      <c r="Z978" s="19" t="n">
        <v>0.1627</v>
      </c>
      <c r="AA978" s="18" t="n">
        <v>86.08</v>
      </c>
      <c r="AB978" s="16" t="inlineStr">
        <is>
          <t>High</t>
        </is>
      </c>
      <c r="AC978" s="16" t="inlineStr">
        <is>
          <t>No</t>
        </is>
      </c>
      <c r="AD978" s="19" t="n">
        <v>0.3362</v>
      </c>
      <c r="AE978" s="19" t="n">
        <v>0.4172</v>
      </c>
      <c r="AF978" s="19" t="n">
        <v>1.2248</v>
      </c>
      <c r="AG978" s="19" t="n">
        <v>0.8687999999999999</v>
      </c>
      <c r="AH978" s="23" t="n">
        <v>0.03</v>
      </c>
      <c r="AI978" s="23" t="n">
        <v>13.27</v>
      </c>
      <c r="AJ978" s="19" t="n">
        <v>0</v>
      </c>
    </row>
    <row r="979">
      <c r="A979" s="16" t="inlineStr">
        <is>
          <t>RML</t>
        </is>
      </c>
      <c r="B979" s="16" t="inlineStr">
        <is>
          <t>Rane (Madras) Ltd.</t>
        </is>
      </c>
      <c r="C979" s="16" t="inlineStr">
        <is>
          <t>Auto Parts &amp; Equipment</t>
        </is>
      </c>
      <c r="D979" s="16" t="inlineStr">
        <is>
          <t>Automobiles &amp; Auto Components</t>
        </is>
      </c>
      <c r="E979" s="16" t="inlineStr">
        <is>
          <t>INE050H01012</t>
        </is>
      </c>
      <c r="F979" s="17" t="n">
        <v>3581.49</v>
      </c>
      <c r="G979" s="18" t="n">
        <v>1295.9</v>
      </c>
      <c r="H979" s="19" t="n">
        <v>0.1495</v>
      </c>
      <c r="I979" s="20" t="n">
        <v>87</v>
      </c>
      <c r="J979" s="16" t="inlineStr">
        <is>
          <t>green</t>
        </is>
      </c>
      <c r="K979" s="20" t="n">
        <v>1</v>
      </c>
      <c r="L979" s="18" t="n">
        <v>76.13</v>
      </c>
      <c r="M979" s="18" t="n">
        <v>1146</v>
      </c>
      <c r="N979" s="18" t="n">
        <v>1148.98</v>
      </c>
      <c r="O979" s="18" t="n">
        <v>890.09</v>
      </c>
      <c r="P979" s="18" t="n">
        <v>1295.9</v>
      </c>
      <c r="Q979" s="18" t="n">
        <v>611.1900000000001</v>
      </c>
      <c r="R979" s="21">
        <f>IF(OR(G979="",P979=""),"",G979/P979-1)</f>
        <v/>
      </c>
      <c r="S979" s="19" t="n">
        <v>17.6995</v>
      </c>
      <c r="T979" s="22" t="n">
        <v>0.0359</v>
      </c>
      <c r="U979" s="16" t="inlineStr">
        <is>
          <t>Yes</t>
        </is>
      </c>
      <c r="V979" s="16" t="inlineStr">
        <is>
          <t>Yes</t>
        </is>
      </c>
      <c r="W979" s="16" t="inlineStr">
        <is>
          <t>Yes</t>
        </is>
      </c>
      <c r="X979" s="16" t="inlineStr">
        <is>
          <t>Yes</t>
        </is>
      </c>
      <c r="Y979" s="20" t="n">
        <v>68</v>
      </c>
      <c r="Z979" s="19" t="n">
        <v>0.2909</v>
      </c>
      <c r="AA979" s="18" t="n">
        <v>35.23</v>
      </c>
      <c r="AB979" s="16" t="inlineStr">
        <is>
          <t>Weak</t>
        </is>
      </c>
      <c r="AC979" s="16" t="inlineStr">
        <is>
          <t>No</t>
        </is>
      </c>
      <c r="AD979" s="19" t="n">
        <v>0.09420000000000001</v>
      </c>
      <c r="AE979" s="19" t="n">
        <v>0.08650000000000001</v>
      </c>
      <c r="AF979" s="19" t="n">
        <v>-0.4131</v>
      </c>
      <c r="AG979" s="19" t="n">
        <v>0.1986</v>
      </c>
      <c r="AH979" s="23" t="n">
        <v>1</v>
      </c>
      <c r="AI979" s="23" t="n">
        <v>4.44</v>
      </c>
      <c r="AJ979" s="19" t="n">
        <v>0.144</v>
      </c>
    </row>
    <row r="980">
      <c r="A980" s="16" t="inlineStr">
        <is>
          <t>ANUP</t>
        </is>
      </c>
      <c r="B980" s="16" t="inlineStr">
        <is>
          <t>The Anup Engineering Ltd.</t>
        </is>
      </c>
      <c r="C980" s="16" t="inlineStr">
        <is>
          <t>Industrial Machinery</t>
        </is>
      </c>
      <c r="D980" s="16" t="inlineStr">
        <is>
          <t>General Industrials</t>
        </is>
      </c>
      <c r="E980" s="16" t="inlineStr">
        <is>
          <t>INE294Z01018</t>
        </is>
      </c>
      <c r="F980" s="17" t="n">
        <v>3577.23</v>
      </c>
      <c r="G980" s="18" t="n">
        <v>1785.8</v>
      </c>
      <c r="H980" s="19" t="n">
        <v>-0.0123</v>
      </c>
      <c r="I980" s="20" t="n">
        <v>30</v>
      </c>
      <c r="J980" s="16" t="inlineStr">
        <is>
          <t>red</t>
        </is>
      </c>
      <c r="K980" s="20" t="n">
        <v>47</v>
      </c>
      <c r="L980" s="18" t="n">
        <v>35.7</v>
      </c>
      <c r="M980" s="18" t="n">
        <v>1798.16</v>
      </c>
      <c r="N980" s="18" t="n">
        <v>2022.26</v>
      </c>
      <c r="O980" s="18" t="n">
        <v>1977.89</v>
      </c>
      <c r="P980" s="18" t="n">
        <v>2520.34</v>
      </c>
      <c r="Q980" s="18" t="n">
        <v>1440.25</v>
      </c>
      <c r="R980" s="21">
        <f>IF(OR(G980="",P980=""),"",G980/P980-1)</f>
        <v/>
      </c>
      <c r="S980" s="19" t="n">
        <v>0.2228</v>
      </c>
      <c r="T980" s="22" t="n">
        <v>-0.0259</v>
      </c>
      <c r="U980" s="16" t="inlineStr">
        <is>
          <t>No</t>
        </is>
      </c>
      <c r="V980" s="16" t="inlineStr">
        <is>
          <t>No</t>
        </is>
      </c>
      <c r="W980" s="16" t="inlineStr">
        <is>
          <t>No</t>
        </is>
      </c>
      <c r="X980" s="16" t="inlineStr">
        <is>
          <t>Yes</t>
        </is>
      </c>
      <c r="Y980" s="20" t="n">
        <v>40</v>
      </c>
      <c r="Z980" s="19" t="n">
        <v>0.0224</v>
      </c>
      <c r="AA980" s="18" t="n">
        <v>60.89</v>
      </c>
      <c r="AB980" s="16" t="inlineStr">
        <is>
          <t>Good</t>
        </is>
      </c>
      <c r="AC980" s="16" t="inlineStr">
        <is>
          <t>No</t>
        </is>
      </c>
      <c r="AD980" s="19" t="n">
        <v>0.183</v>
      </c>
      <c r="AE980" s="19" t="n">
        <v>0.208</v>
      </c>
      <c r="AF980" s="19" t="n">
        <v>0.0484</v>
      </c>
      <c r="AG980" s="19" t="n">
        <v>0.2748</v>
      </c>
      <c r="AH980" s="23" t="n">
        <v>0.16</v>
      </c>
      <c r="AI980" s="23" t="n">
        <v>2.17</v>
      </c>
      <c r="AJ980" s="19" t="n">
        <v>0.0074</v>
      </c>
    </row>
    <row r="981">
      <c r="A981" s="16" t="inlineStr">
        <is>
          <t>PREMEXPLN</t>
        </is>
      </c>
      <c r="B981" s="16" t="inlineStr">
        <is>
          <t>Premier Explosives Ltd.</t>
        </is>
      </c>
      <c r="C981" s="16" t="inlineStr">
        <is>
          <t>Other Industrial Products</t>
        </is>
      </c>
      <c r="D981" s="16" t="inlineStr">
        <is>
          <t>General Industrials</t>
        </is>
      </c>
      <c r="E981" s="16" t="inlineStr">
        <is>
          <t>INE863B01029</t>
        </is>
      </c>
      <c r="F981" s="17" t="n">
        <v>3569.74</v>
      </c>
      <c r="G981" s="18" t="n">
        <v>664</v>
      </c>
      <c r="H981" s="19" t="n">
        <v>-0.0035</v>
      </c>
      <c r="I981" s="20" t="n">
        <v>58</v>
      </c>
      <c r="J981" s="16" t="inlineStr">
        <is>
          <t>red</t>
        </is>
      </c>
      <c r="K981" s="20" t="n">
        <v>1</v>
      </c>
      <c r="L981" s="18" t="n">
        <v>39.33</v>
      </c>
      <c r="M981" s="18" t="n">
        <v>665.76</v>
      </c>
      <c r="N981" s="18" t="n">
        <v>680.16</v>
      </c>
      <c r="O981" s="18" t="n">
        <v>572.34</v>
      </c>
      <c r="P981" s="18" t="n">
        <v>808.5</v>
      </c>
      <c r="Q981" s="18" t="n">
        <v>381.5</v>
      </c>
      <c r="R981" s="21">
        <f>IF(OR(G981="",P981=""),"",G981/P981-1)</f>
        <v/>
      </c>
      <c r="S981" s="19" t="n">
        <v>1.2171</v>
      </c>
      <c r="T981" s="22" t="n">
        <v>0.0101</v>
      </c>
      <c r="U981" s="16" t="inlineStr">
        <is>
          <t>Yes</t>
        </is>
      </c>
      <c r="V981" s="16" t="inlineStr">
        <is>
          <t>No</t>
        </is>
      </c>
      <c r="W981" s="16" t="inlineStr">
        <is>
          <t>No</t>
        </is>
      </c>
      <c r="X981" s="16" t="inlineStr">
        <is>
          <t>Yes</t>
        </is>
      </c>
      <c r="Y981" s="20" t="n">
        <v>66</v>
      </c>
      <c r="Z981" s="19" t="n">
        <v>0.1884</v>
      </c>
      <c r="AA981" s="18" t="n">
        <v>65.95999999999999</v>
      </c>
      <c r="AB981" s="16" t="inlineStr">
        <is>
          <t>High</t>
        </is>
      </c>
      <c r="AC981" s="16" t="inlineStr">
        <is>
          <t>No</t>
        </is>
      </c>
      <c r="AD981" s="19" t="n">
        <v>0.1347</v>
      </c>
      <c r="AE981" s="19" t="n">
        <v>0.1791</v>
      </c>
      <c r="AF981" s="19" t="n">
        <v>0.7101999999999999</v>
      </c>
      <c r="AG981" s="19" t="n">
        <v>0.2719</v>
      </c>
      <c r="AH981" s="23" t="n">
        <v>0.11</v>
      </c>
      <c r="AI981" s="23" t="n">
        <v>1.87</v>
      </c>
      <c r="AJ981" s="19" t="n">
        <v>0.1268</v>
      </c>
    </row>
    <row r="982">
      <c r="A982" s="16" t="inlineStr">
        <is>
          <t>DALMIASUG</t>
        </is>
      </c>
      <c r="B982" s="16" t="inlineStr">
        <is>
          <t>Dalmia Bharat Sugar and Industries Ltd.</t>
        </is>
      </c>
      <c r="C982" s="16" t="inlineStr">
        <is>
          <t>Sugar</t>
        </is>
      </c>
      <c r="D982" s="16" t="inlineStr">
        <is>
          <t>Food, Beverages &amp; Tobacco</t>
        </is>
      </c>
      <c r="E982" s="16" t="inlineStr">
        <is>
          <t>INE495A01022</t>
        </is>
      </c>
      <c r="F982" s="17" t="n">
        <v>3549.59</v>
      </c>
      <c r="G982" s="18" t="n">
        <v>438.55</v>
      </c>
      <c r="H982" s="19" t="n">
        <v>-0.0488</v>
      </c>
      <c r="I982" s="20" t="n">
        <v>78</v>
      </c>
      <c r="J982" s="16" t="inlineStr">
        <is>
          <t>amber</t>
        </is>
      </c>
      <c r="K982" s="20" t="n">
        <v>1</v>
      </c>
      <c r="L982" s="18" t="n">
        <v>44.21</v>
      </c>
      <c r="M982" s="18" t="n">
        <v>467.72</v>
      </c>
      <c r="N982" s="18" t="n">
        <v>401.47</v>
      </c>
      <c r="O982" s="18" t="n">
        <v>339.73</v>
      </c>
      <c r="P982" s="18" t="n">
        <v>508.1</v>
      </c>
      <c r="Q982" s="18" t="n">
        <v>259.44</v>
      </c>
      <c r="R982" s="21">
        <f>IF(OR(G982="",P982=""),"",G982/P982-1)</f>
        <v/>
      </c>
      <c r="S982" s="19" t="n">
        <v>0.3405</v>
      </c>
      <c r="T982" s="22" t="n">
        <v>0.0384</v>
      </c>
      <c r="U982" s="16" t="inlineStr">
        <is>
          <t>Yes</t>
        </is>
      </c>
      <c r="V982" s="16" t="inlineStr">
        <is>
          <t>Yes</t>
        </is>
      </c>
      <c r="W982" s="16" t="inlineStr">
        <is>
          <t>No</t>
        </is>
      </c>
      <c r="X982" s="16" t="inlineStr">
        <is>
          <t>Yes</t>
        </is>
      </c>
      <c r="Y982" s="20" t="n">
        <v>92</v>
      </c>
      <c r="Z982" s="19" t="n">
        <v>0.1817</v>
      </c>
      <c r="AA982" s="18" t="n">
        <v>30.66</v>
      </c>
      <c r="AB982" s="16" t="inlineStr">
        <is>
          <t>Poor</t>
        </is>
      </c>
      <c r="AC982" s="16" t="inlineStr">
        <is>
          <t>No</t>
        </is>
      </c>
      <c r="AD982" s="19" t="n">
        <v>0.09300000000000001</v>
      </c>
      <c r="AE982" s="19" t="n">
        <v>0.0886</v>
      </c>
      <c r="AF982" s="19" t="n">
        <v>0.0252</v>
      </c>
      <c r="AG982" s="19" t="n">
        <v>0.0498</v>
      </c>
      <c r="AH982" s="23" t="n">
        <v>0.5600000000000001</v>
      </c>
      <c r="AI982" s="23" t="n">
        <v>2.01</v>
      </c>
      <c r="AJ982" s="19" t="n">
        <v>0.0259</v>
      </c>
    </row>
    <row r="983">
      <c r="A983" s="16" t="inlineStr">
        <is>
          <t>HERITGFOOD</t>
        </is>
      </c>
      <c r="B983" s="16" t="inlineStr">
        <is>
          <t>Heritage Foods Ltd.</t>
        </is>
      </c>
      <c r="C983" s="16" t="inlineStr">
        <is>
          <t>Packaged Foods</t>
        </is>
      </c>
      <c r="D983" s="16" t="inlineStr">
        <is>
          <t>FMCG</t>
        </is>
      </c>
      <c r="E983" s="16" t="inlineStr">
        <is>
          <t>INE978A01027</t>
        </is>
      </c>
      <c r="F983" s="17" t="n">
        <v>3548.06</v>
      </c>
      <c r="G983" s="18" t="n">
        <v>382.35</v>
      </c>
      <c r="H983" s="19" t="n">
        <v>0.0291</v>
      </c>
      <c r="I983" s="20" t="n">
        <v>47</v>
      </c>
      <c r="J983" s="16" t="inlineStr">
        <is>
          <t>red</t>
        </is>
      </c>
      <c r="K983" s="20" t="n">
        <v>158</v>
      </c>
      <c r="L983" s="18" t="n">
        <v>58.24</v>
      </c>
      <c r="M983" s="18" t="n">
        <v>372.46</v>
      </c>
      <c r="N983" s="18" t="n">
        <v>347.91</v>
      </c>
      <c r="O983" s="18" t="n">
        <v>364.82</v>
      </c>
      <c r="P983" s="18" t="n">
        <v>529.45</v>
      </c>
      <c r="Q983" s="18" t="n">
        <v>291.75</v>
      </c>
      <c r="R983" s="21">
        <f>IF(OR(G983="",P983=""),"",G983/P983-1)</f>
        <v/>
      </c>
      <c r="S983" s="19" t="n">
        <v>2.0452</v>
      </c>
      <c r="T983" s="22" t="n">
        <v>-0.029</v>
      </c>
      <c r="U983" s="16" t="inlineStr">
        <is>
          <t>No</t>
        </is>
      </c>
      <c r="V983" s="16" t="inlineStr">
        <is>
          <t>Yes</t>
        </is>
      </c>
      <c r="W983" s="16" t="inlineStr">
        <is>
          <t>Yes</t>
        </is>
      </c>
      <c r="X983" s="16" t="inlineStr">
        <is>
          <t>No</t>
        </is>
      </c>
      <c r="Y983" s="20" t="n">
        <v>155</v>
      </c>
      <c r="Z983" s="19" t="n">
        <v>-0.0464</v>
      </c>
      <c r="AA983" s="18" t="n">
        <v>58.65</v>
      </c>
      <c r="AB983" s="16" t="inlineStr">
        <is>
          <t>Good</t>
        </is>
      </c>
      <c r="AC983" s="16" t="inlineStr">
        <is>
          <t>No</t>
        </is>
      </c>
      <c r="AD983" s="19" t="n">
        <v>0.1539</v>
      </c>
      <c r="AE983" s="19" t="n">
        <v>0.1833</v>
      </c>
      <c r="AF983" s="19" t="n">
        <v>0.4601</v>
      </c>
      <c r="AG983" s="19" t="n">
        <v>0.1183</v>
      </c>
      <c r="AH983" s="23" t="n">
        <v>0.33</v>
      </c>
      <c r="AI983" s="23" t="n">
        <v>3.77</v>
      </c>
      <c r="AJ983" s="19" t="n">
        <v>0.0507</v>
      </c>
    </row>
    <row r="984">
      <c r="A984" s="16" t="inlineStr">
        <is>
          <t>VSTIND</t>
        </is>
      </c>
      <c r="B984" s="16" t="inlineStr">
        <is>
          <t>VST Industries Ltd.</t>
        </is>
      </c>
      <c r="C984" s="16" t="inlineStr">
        <is>
          <t>Cigarettes-Tobacco Products</t>
        </is>
      </c>
      <c r="D984" s="16" t="inlineStr">
        <is>
          <t>Food, Beverages &amp; Tobacco</t>
        </is>
      </c>
      <c r="E984" s="16" t="inlineStr">
        <is>
          <t>INE710A01016</t>
        </is>
      </c>
      <c r="F984" s="17" t="n">
        <v>3535.66</v>
      </c>
      <c r="G984" s="18" t="n">
        <v>208.15</v>
      </c>
      <c r="H984" s="19" t="n">
        <v>0.0009</v>
      </c>
      <c r="I984" s="20" t="n">
        <v>15</v>
      </c>
      <c r="J984" s="16" t="inlineStr">
        <is>
          <t>red</t>
        </is>
      </c>
      <c r="K984" s="20" t="n">
        <v>100</v>
      </c>
      <c r="L984" s="18" t="n">
        <v>27.37</v>
      </c>
      <c r="M984" s="18" t="n">
        <v>209.26</v>
      </c>
      <c r="N984" s="18" t="n">
        <v>226.62</v>
      </c>
      <c r="O984" s="18" t="n">
        <v>231.9</v>
      </c>
      <c r="P984" s="18" t="n">
        <v>260.87</v>
      </c>
      <c r="Q984" s="18" t="n">
        <v>191.01</v>
      </c>
      <c r="R984" s="21">
        <f>IF(OR(G984="",P984=""),"",G984/P984-1)</f>
        <v/>
      </c>
      <c r="S984" s="19" t="n">
        <v>0.5035000000000001</v>
      </c>
      <c r="T984" s="22" t="n">
        <v>-0.0138</v>
      </c>
      <c r="U984" s="16" t="inlineStr">
        <is>
          <t>No</t>
        </is>
      </c>
      <c r="V984" s="16" t="inlineStr">
        <is>
          <t>No</t>
        </is>
      </c>
      <c r="W984" s="16" t="inlineStr">
        <is>
          <t>No</t>
        </is>
      </c>
      <c r="X984" s="16" t="inlineStr">
        <is>
          <t>No</t>
        </is>
      </c>
      <c r="Y984" s="20" t="n">
        <v>9</v>
      </c>
      <c r="Z984" s="19" t="n">
        <v>-0.0227</v>
      </c>
      <c r="AA984" s="18" t="n">
        <v>40</v>
      </c>
      <c r="AB984" s="16" t="inlineStr">
        <is>
          <t>Weak</t>
        </is>
      </c>
      <c r="AC984" s="16" t="inlineStr">
        <is>
          <t>No</t>
        </is>
      </c>
      <c r="AD984" s="19" t="n">
        <v>0.2208</v>
      </c>
      <c r="AE984" s="19" t="n">
        <v>0.2323</v>
      </c>
      <c r="AF984" s="19" t="n">
        <v>-0.036</v>
      </c>
      <c r="AG984" s="19" t="n">
        <v>0.0433</v>
      </c>
      <c r="AH984" s="23" t="n">
        <v>0</v>
      </c>
      <c r="AI984" s="23" t="n">
        <v>5.93</v>
      </c>
      <c r="AJ984" s="19" t="n">
        <v>0.009399999999999999</v>
      </c>
    </row>
    <row r="985">
      <c r="A985" s="16" t="inlineStr">
        <is>
          <t>LUXIND</t>
        </is>
      </c>
      <c r="B985" s="16" t="inlineStr">
        <is>
          <t>Lux Industries Ltd.</t>
        </is>
      </c>
      <c r="C985" s="16" t="inlineStr">
        <is>
          <t>Other Apparels &amp; Accessories</t>
        </is>
      </c>
      <c r="D985" s="16" t="inlineStr">
        <is>
          <t>Textiles Apparels &amp; Accessories</t>
        </is>
      </c>
      <c r="E985" s="16" t="inlineStr">
        <is>
          <t>INE150G01020</t>
        </is>
      </c>
      <c r="F985" s="17" t="n">
        <v>3533.73</v>
      </c>
      <c r="G985" s="18" t="n">
        <v>1175.1</v>
      </c>
      <c r="H985" s="19" t="n">
        <v>0.0029</v>
      </c>
      <c r="I985" s="20" t="n">
        <v>39</v>
      </c>
      <c r="J985" s="16" t="inlineStr">
        <is>
          <t>red</t>
        </is>
      </c>
      <c r="K985" s="20" t="n">
        <v>48</v>
      </c>
      <c r="L985" s="18" t="n">
        <v>39.89</v>
      </c>
      <c r="M985" s="18" t="n">
        <v>1190.29</v>
      </c>
      <c r="N985" s="18" t="n">
        <v>1236.42</v>
      </c>
      <c r="O985" s="18" t="n">
        <v>1172.97</v>
      </c>
      <c r="P985" s="18" t="n">
        <v>1747.05</v>
      </c>
      <c r="Q985" s="18" t="n">
        <v>825.9</v>
      </c>
      <c r="R985" s="21">
        <f>IF(OR(G985="",P985=""),"",G985/P985-1)</f>
        <v/>
      </c>
      <c r="S985" s="19" t="n">
        <v>0.4297</v>
      </c>
      <c r="T985" s="22" t="n">
        <v>-0.0029</v>
      </c>
      <c r="U985" s="16" t="inlineStr">
        <is>
          <t>No</t>
        </is>
      </c>
      <c r="V985" s="16" t="inlineStr">
        <is>
          <t>No</t>
        </is>
      </c>
      <c r="W985" s="16" t="inlineStr">
        <is>
          <t>No</t>
        </is>
      </c>
      <c r="X985" s="16" t="inlineStr">
        <is>
          <t>Yes</t>
        </is>
      </c>
      <c r="Y985" s="20" t="n">
        <v>83</v>
      </c>
      <c r="Z985" s="19" t="n">
        <v>0.0541</v>
      </c>
      <c r="AA985" s="18" t="n">
        <v>38.11</v>
      </c>
      <c r="AB985" s="16" t="inlineStr">
        <is>
          <t>Weak</t>
        </is>
      </c>
      <c r="AC985" s="16" t="inlineStr">
        <is>
          <t>No</t>
        </is>
      </c>
      <c r="AD985" s="19" t="n">
        <v>0.07829999999999999</v>
      </c>
      <c r="AE985" s="19" t="n">
        <v>0.0992</v>
      </c>
      <c r="AF985" s="19" t="n">
        <v>-0.0613</v>
      </c>
      <c r="AG985" s="19" t="n">
        <v>0.0745</v>
      </c>
      <c r="AH985" s="23" t="n">
        <v>0.34</v>
      </c>
      <c r="AI985" s="23" t="n">
        <v>7.16</v>
      </c>
      <c r="AJ985" s="19" t="n">
        <v>0.0416</v>
      </c>
    </row>
    <row r="986">
      <c r="A986" s="16" t="inlineStr">
        <is>
          <t>RAYMONDREL</t>
        </is>
      </c>
      <c r="B986" s="16" t="inlineStr">
        <is>
          <t>Raymond Realty Ltd.</t>
        </is>
      </c>
      <c r="C986" s="16" t="inlineStr">
        <is>
          <t>Realty</t>
        </is>
      </c>
      <c r="D986" s="16" t="inlineStr">
        <is>
          <t>Realty</t>
        </is>
      </c>
      <c r="E986" s="16" t="inlineStr">
        <is>
          <t>INE1SY401010</t>
        </is>
      </c>
      <c r="F986" s="17" t="n">
        <v>3522.75</v>
      </c>
      <c r="G986" s="18" t="n">
        <v>529.15</v>
      </c>
      <c r="H986" s="19" t="n">
        <v>-0.0142</v>
      </c>
      <c r="I986" s="20" t="n">
        <v>43</v>
      </c>
      <c r="J986" s="16" t="inlineStr">
        <is>
          <t>red</t>
        </is>
      </c>
      <c r="K986" s="20" t="n">
        <v>20</v>
      </c>
      <c r="L986" s="18" t="n">
        <v>33.44</v>
      </c>
      <c r="M986" s="18" t="n">
        <v>539.8200000000001</v>
      </c>
      <c r="N986" s="18" t="n">
        <v>630.3099999999999</v>
      </c>
      <c r="O986" s="18" t="n">
        <v>523.34</v>
      </c>
      <c r="P986" s="18" t="n">
        <v>722.75</v>
      </c>
      <c r="Q986" s="18" t="n">
        <v>356.22</v>
      </c>
      <c r="R986" s="21">
        <f>IF(OR(G986="",P986=""),"",G986/P986-1)</f>
        <v/>
      </c>
      <c r="S986" s="19" t="n">
        <v>2.5869</v>
      </c>
      <c r="T986" s="22" t="n">
        <v>-0.0061</v>
      </c>
      <c r="U986" s="16" t="inlineStr">
        <is>
          <t>No</t>
        </is>
      </c>
      <c r="V986" s="16" t="inlineStr">
        <is>
          <t>No</t>
        </is>
      </c>
      <c r="W986" s="16" t="inlineStr">
        <is>
          <t>No</t>
        </is>
      </c>
      <c r="X986" s="16" t="inlineStr">
        <is>
          <t>Yes</t>
        </is>
      </c>
      <c r="Y986" s="20" t="n">
        <v>61</v>
      </c>
      <c r="Z986" s="19" t="n">
        <v>0.2044</v>
      </c>
      <c r="AA986" s="18" t="n">
        <v>72.15000000000001</v>
      </c>
      <c r="AB986" s="16" t="inlineStr">
        <is>
          <t>High</t>
        </is>
      </c>
      <c r="AC986" s="16" t="inlineStr">
        <is>
          <t>No</t>
        </is>
      </c>
      <c r="AD986" s="19" t="n">
        <v>0.284</v>
      </c>
      <c r="AE986" s="19" t="n">
        <v>0.1512</v>
      </c>
      <c r="AF986" s="19" t="n">
        <v>16.0487</v>
      </c>
      <c r="AG986" s="19" t="n">
        <v>4.2714</v>
      </c>
      <c r="AH986" s="23" t="n">
        <v>0.65</v>
      </c>
      <c r="AI986" s="23" t="n">
        <v>31.72</v>
      </c>
      <c r="AJ986" s="19" t="n">
        <v>0.0562</v>
      </c>
    </row>
    <row r="987">
      <c r="A987" s="16" t="inlineStr">
        <is>
          <t>VSSL</t>
        </is>
      </c>
      <c r="B987" s="16" t="inlineStr">
        <is>
          <t>Vardhman Special Steels Ltd.</t>
        </is>
      </c>
      <c r="C987" s="16" t="inlineStr">
        <is>
          <t>Iron &amp; Steel Products</t>
        </is>
      </c>
      <c r="D987" s="16" t="inlineStr">
        <is>
          <t>Metals &amp; Mining</t>
        </is>
      </c>
      <c r="E987" s="16" t="inlineStr">
        <is>
          <t>INE050M01012</t>
        </is>
      </c>
      <c r="F987" s="17" t="n">
        <v>3521.37</v>
      </c>
      <c r="G987" s="18" t="n">
        <v>364.15</v>
      </c>
      <c r="H987" s="19" t="n">
        <v>0.0005</v>
      </c>
      <c r="I987" s="20" t="n">
        <v>81</v>
      </c>
      <c r="J987" s="16" t="inlineStr">
        <is>
          <t>green</t>
        </is>
      </c>
      <c r="K987" s="20" t="n">
        <v>3</v>
      </c>
      <c r="L987" s="18" t="n">
        <v>53.88</v>
      </c>
      <c r="M987" s="18" t="n">
        <v>358.56</v>
      </c>
      <c r="N987" s="18" t="n">
        <v>315.12</v>
      </c>
      <c r="O987" s="18" t="n">
        <v>276.31</v>
      </c>
      <c r="P987" s="18" t="n">
        <v>364.16</v>
      </c>
      <c r="Q987" s="18" t="n">
        <v>206.36</v>
      </c>
      <c r="R987" s="21">
        <f>IF(OR(G987="",P987=""),"",G987/P987-1)</f>
        <v/>
      </c>
      <c r="S987" s="19" t="n">
        <v>0.6647</v>
      </c>
      <c r="T987" s="22" t="n">
        <v>0.0224</v>
      </c>
      <c r="U987" s="16" t="inlineStr">
        <is>
          <t>Yes</t>
        </is>
      </c>
      <c r="V987" s="16" t="inlineStr">
        <is>
          <t>Yes</t>
        </is>
      </c>
      <c r="W987" s="16" t="inlineStr">
        <is>
          <t>Yes</t>
        </is>
      </c>
      <c r="X987" s="16" t="inlineStr">
        <is>
          <t>Yes</t>
        </is>
      </c>
      <c r="Y987" s="20" t="n">
        <v>58</v>
      </c>
      <c r="Z987" s="19" t="n">
        <v>0.1405</v>
      </c>
      <c r="AA987" s="18" t="n">
        <v>47.12</v>
      </c>
      <c r="AB987" s="16" t="inlineStr">
        <is>
          <t>Average</t>
        </is>
      </c>
      <c r="AC987" s="16" t="inlineStr">
        <is>
          <t>No</t>
        </is>
      </c>
      <c r="AD987" s="19" t="n">
        <v>0.1132</v>
      </c>
      <c r="AE987" s="19" t="n">
        <v>0.1536</v>
      </c>
      <c r="AF987" s="19" t="n">
        <v>0.0267</v>
      </c>
      <c r="AG987" s="19" t="n">
        <v>0.0073</v>
      </c>
      <c r="AH987" s="23" t="n">
        <v>0.07000000000000001</v>
      </c>
      <c r="AI987" s="23" t="n">
        <v>2.87</v>
      </c>
      <c r="AJ987" s="19" t="n">
        <v>0.0433</v>
      </c>
    </row>
    <row r="988">
      <c r="A988" s="16" t="inlineStr">
        <is>
          <t>KNRCON</t>
        </is>
      </c>
      <c r="B988" s="16" t="inlineStr">
        <is>
          <t>KNR Constructions Ltd.</t>
        </is>
      </c>
      <c r="C988" s="16" t="inlineStr">
        <is>
          <t>Construction &amp; Engineering</t>
        </is>
      </c>
      <c r="D988" s="16" t="inlineStr">
        <is>
          <t>Cement and Construction</t>
        </is>
      </c>
      <c r="E988" s="16" t="inlineStr">
        <is>
          <t>INE634I01029</t>
        </is>
      </c>
      <c r="F988" s="17" t="n">
        <v>3505.87</v>
      </c>
      <c r="G988" s="18" t="n">
        <v>124.66</v>
      </c>
      <c r="H988" s="19" t="n">
        <v>0.0452</v>
      </c>
      <c r="I988" s="20" t="n">
        <v>19</v>
      </c>
      <c r="J988" s="16" t="inlineStr">
        <is>
          <t>red</t>
        </is>
      </c>
      <c r="K988" s="20" t="n">
        <v>406</v>
      </c>
      <c r="L988" s="18" t="n">
        <v>33.22</v>
      </c>
      <c r="M988" s="18" t="n">
        <v>121.29</v>
      </c>
      <c r="N988" s="18" t="n">
        <v>127.21</v>
      </c>
      <c r="O988" s="18" t="n">
        <v>134.5</v>
      </c>
      <c r="P988" s="18" t="n">
        <v>209.71</v>
      </c>
      <c r="Q988" s="18" t="n">
        <v>109.62</v>
      </c>
      <c r="R988" s="21">
        <f>IF(OR(G988="",P988=""),"",G988/P988-1)</f>
        <v/>
      </c>
      <c r="S988" s="19" t="n">
        <v>1.5774</v>
      </c>
      <c r="T988" s="22" t="n">
        <v>-0.03759999999999999</v>
      </c>
      <c r="U988" s="16" t="inlineStr">
        <is>
          <t>No</t>
        </is>
      </c>
      <c r="V988" s="16" t="inlineStr">
        <is>
          <t>No</t>
        </is>
      </c>
      <c r="W988" s="16" t="inlineStr">
        <is>
          <t>Yes</t>
        </is>
      </c>
      <c r="X988" s="16" t="inlineStr">
        <is>
          <t>No</t>
        </is>
      </c>
      <c r="Y988" s="20" t="n">
        <v>396</v>
      </c>
      <c r="Z988" s="19" t="n">
        <v>-0.0542</v>
      </c>
      <c r="AA988" s="18" t="n">
        <v>40</v>
      </c>
      <c r="AB988" s="16" t="inlineStr">
        <is>
          <t>Weak</t>
        </is>
      </c>
      <c r="AC988" s="16" t="inlineStr">
        <is>
          <t>No</t>
        </is>
      </c>
      <c r="AD988" s="19" t="n">
        <v>0.1757</v>
      </c>
      <c r="AE988" s="19" t="n">
        <v>0.1823</v>
      </c>
      <c r="AF988" s="19" t="n">
        <v>-0.0048</v>
      </c>
      <c r="AG988" s="19" t="n">
        <v>-0.0623</v>
      </c>
      <c r="AH988" s="23" t="n">
        <v>0.49</v>
      </c>
      <c r="AI988" s="23" t="n">
        <v>9.58</v>
      </c>
      <c r="AJ988" s="19" t="n">
        <v>0.0004</v>
      </c>
    </row>
    <row r="989">
      <c r="A989" s="16" t="inlineStr">
        <is>
          <t>MUTHOOTMF</t>
        </is>
      </c>
      <c r="B989" s="16" t="inlineStr">
        <is>
          <t>Muthoot Microfin Ltd.</t>
        </is>
      </c>
      <c r="C989" s="16" t="inlineStr">
        <is>
          <t>Microfinance Institutions</t>
        </is>
      </c>
      <c r="D989" s="16" t="inlineStr">
        <is>
          <t>Banking and Finance</t>
        </is>
      </c>
      <c r="E989" s="16" t="inlineStr">
        <is>
          <t>INE046W01019</t>
        </is>
      </c>
      <c r="F989" s="17" t="n">
        <v>3500.03</v>
      </c>
      <c r="G989" s="18" t="n">
        <v>205.29</v>
      </c>
      <c r="H989" s="19" t="n">
        <v>-0.0077</v>
      </c>
      <c r="I989" s="20" t="n">
        <v>65</v>
      </c>
      <c r="J989" s="16" t="inlineStr">
        <is>
          <t>amber</t>
        </is>
      </c>
      <c r="K989" s="20" t="n">
        <v>25</v>
      </c>
      <c r="L989" s="18" t="n">
        <v>47.21</v>
      </c>
      <c r="M989" s="18" t="n">
        <v>205.34</v>
      </c>
      <c r="N989" s="18" t="n">
        <v>223.97</v>
      </c>
      <c r="O989" s="18" t="n">
        <v>190.63</v>
      </c>
      <c r="P989" s="18" t="n">
        <v>255.81</v>
      </c>
      <c r="Q989" s="18" t="n">
        <v>145.46</v>
      </c>
      <c r="R989" s="21">
        <f>IF(OR(G989="",P989=""),"",G989/P989-1)</f>
        <v/>
      </c>
      <c r="S989" s="19" t="n">
        <v>0.2962</v>
      </c>
      <c r="T989" s="22" t="n">
        <v>0.0225</v>
      </c>
      <c r="U989" s="16" t="inlineStr">
        <is>
          <t>Yes</t>
        </is>
      </c>
      <c r="V989" s="16" t="inlineStr">
        <is>
          <t>No</t>
        </is>
      </c>
      <c r="W989" s="16" t="inlineStr">
        <is>
          <t>No</t>
        </is>
      </c>
      <c r="X989" s="16" t="inlineStr">
        <is>
          <t>Yes</t>
        </is>
      </c>
      <c r="Y989" s="20" t="n">
        <v>78</v>
      </c>
      <c r="Z989" s="19" t="n">
        <v>0.1749</v>
      </c>
      <c r="AA989" s="18" t="n">
        <v>45.52</v>
      </c>
      <c r="AB989" s="16" t="inlineStr">
        <is>
          <t>Average</t>
        </is>
      </c>
      <c r="AC989" s="16" t="inlineStr">
        <is>
          <t>Yes</t>
        </is>
      </c>
      <c r="AD989" s="19" t="n">
        <v>0.0452</v>
      </c>
      <c r="AE989" s="19" t="n">
        <v>0.0151</v>
      </c>
      <c r="AF989" s="19" t="n">
        <v>0.8240999999999999</v>
      </c>
      <c r="AG989" s="19" t="n">
        <v>0.2231</v>
      </c>
      <c r="AH989" s="23" t="n">
        <v>3.4</v>
      </c>
      <c r="AI989" s="23" t="n">
        <v>11.09</v>
      </c>
      <c r="AJ989" s="19" t="n">
        <v>0</v>
      </c>
    </row>
    <row r="990">
      <c r="A990" s="16" t="inlineStr">
        <is>
          <t>EIEL</t>
        </is>
      </c>
      <c r="B990" s="16" t="inlineStr">
        <is>
          <t>Enviro Infra Engineers Ltd.</t>
        </is>
      </c>
      <c r="C990" s="16" t="inlineStr">
        <is>
          <t>Utilities:Non-Electrical</t>
        </is>
      </c>
      <c r="D990" s="16" t="inlineStr">
        <is>
          <t>Utilities</t>
        </is>
      </c>
      <c r="E990" s="16" t="inlineStr">
        <is>
          <t>INE0LLY01014</t>
        </is>
      </c>
      <c r="F990" s="17" t="n">
        <v>3496.03</v>
      </c>
      <c r="G990" s="18" t="n">
        <v>199.17</v>
      </c>
      <c r="H990" s="19" t="n">
        <v>0.0179</v>
      </c>
      <c r="I990" s="20" t="n">
        <v>50</v>
      </c>
      <c r="J990" s="16" t="inlineStr">
        <is>
          <t>red</t>
        </is>
      </c>
      <c r="K990" s="20" t="n">
        <v>40</v>
      </c>
      <c r="L990" s="18" t="n">
        <v>48.67</v>
      </c>
      <c r="M990" s="18" t="n">
        <v>196.99</v>
      </c>
      <c r="N990" s="18" t="n">
        <v>214.45</v>
      </c>
      <c r="O990" s="18" t="n">
        <v>194.43</v>
      </c>
      <c r="P990" s="18" t="n">
        <v>271.52</v>
      </c>
      <c r="Q990" s="18" t="n">
        <v>137.14</v>
      </c>
      <c r="R990" s="21">
        <f>IF(OR(G990="",P990=""),"",G990/P990-1)</f>
        <v/>
      </c>
      <c r="S990" s="19" t="n">
        <v>0.9639</v>
      </c>
      <c r="T990" s="22" t="n">
        <v>-0.0191</v>
      </c>
      <c r="U990" s="16" t="inlineStr">
        <is>
          <t>No</t>
        </is>
      </c>
      <c r="V990" s="16" t="inlineStr">
        <is>
          <t>No</t>
        </is>
      </c>
      <c r="W990" s="16" t="inlineStr">
        <is>
          <t>Yes</t>
        </is>
      </c>
      <c r="X990" s="16" t="inlineStr">
        <is>
          <t>Yes</t>
        </is>
      </c>
      <c r="Y990" s="20" t="n">
        <v>50</v>
      </c>
      <c r="Z990" s="19" t="n">
        <v>0.103</v>
      </c>
      <c r="AA990" s="18" t="n">
        <v>71.04000000000001</v>
      </c>
      <c r="AB990" s="16" t="inlineStr">
        <is>
          <t>High</t>
        </is>
      </c>
      <c r="AC990" s="16" t="inlineStr">
        <is>
          <t>No</t>
        </is>
      </c>
      <c r="AD990" s="19" t="n">
        <v>0.2323</v>
      </c>
      <c r="AE990" s="19" t="n">
        <v>0.2368</v>
      </c>
      <c r="AF990" s="19" t="n">
        <v>0.2925</v>
      </c>
      <c r="AG990" s="19" t="n">
        <v>0.5644</v>
      </c>
      <c r="AH990" s="23" t="n">
        <v>0.34</v>
      </c>
      <c r="AI990" s="23" t="n">
        <v>3.12</v>
      </c>
      <c r="AJ990" s="19" t="n">
        <v>0.3116</v>
      </c>
    </row>
    <row r="991">
      <c r="A991" s="16" t="inlineStr">
        <is>
          <t>DBCORP</t>
        </is>
      </c>
      <c r="B991" s="16" t="inlineStr">
        <is>
          <t>DB Corp Ltd.</t>
        </is>
      </c>
      <c r="C991" s="16" t="inlineStr">
        <is>
          <t>Publishing</t>
        </is>
      </c>
      <c r="D991" s="16" t="inlineStr">
        <is>
          <t>Commercial Services &amp; Supplies</t>
        </is>
      </c>
      <c r="E991" s="16" t="inlineStr">
        <is>
          <t>INE950I01011</t>
        </is>
      </c>
      <c r="F991" s="17" t="n">
        <v>3487.55</v>
      </c>
      <c r="G991" s="18" t="n">
        <v>195.65</v>
      </c>
      <c r="H991" s="19" t="n">
        <v>0.0097</v>
      </c>
      <c r="I991" s="20" t="n">
        <v>19</v>
      </c>
      <c r="J991" s="16" t="inlineStr">
        <is>
          <t>red</t>
        </is>
      </c>
      <c r="K991" s="20" t="n">
        <v>153</v>
      </c>
      <c r="L991" s="18" t="n">
        <v>17.07</v>
      </c>
      <c r="M991" s="18" t="n">
        <v>199.01</v>
      </c>
      <c r="N991" s="18" t="n">
        <v>203.89</v>
      </c>
      <c r="O991" s="18" t="n">
        <v>217.02</v>
      </c>
      <c r="P991" s="18" t="n">
        <v>275.27</v>
      </c>
      <c r="Q991" s="18" t="n">
        <v>181.62</v>
      </c>
      <c r="R991" s="21">
        <f>IF(OR(G991="",P991=""),"",G991/P991-1)</f>
        <v/>
      </c>
      <c r="S991" s="19" t="n">
        <v>0.5117</v>
      </c>
      <c r="T991" s="22" t="n">
        <v>-0.0215</v>
      </c>
      <c r="U991" s="16" t="inlineStr">
        <is>
          <t>No</t>
        </is>
      </c>
      <c r="V991" s="16" t="inlineStr">
        <is>
          <t>No</t>
        </is>
      </c>
      <c r="W991" s="16" t="inlineStr">
        <is>
          <t>No</t>
        </is>
      </c>
      <c r="X991" s="16" t="inlineStr">
        <is>
          <t>No</t>
        </is>
      </c>
      <c r="Y991" s="20" t="n">
        <v>163</v>
      </c>
      <c r="Z991" s="19" t="n">
        <v>-0.0605</v>
      </c>
      <c r="AA991" s="18" t="n">
        <v>58.47</v>
      </c>
      <c r="AB991" s="16" t="inlineStr">
        <is>
          <t>Good</t>
        </is>
      </c>
      <c r="AC991" s="16" t="inlineStr">
        <is>
          <t>No</t>
        </is>
      </c>
      <c r="AD991" s="19" t="n">
        <v>0.165</v>
      </c>
      <c r="AE991" s="19" t="n">
        <v>0.2076</v>
      </c>
      <c r="AF991" s="19" t="n">
        <v>0.4246</v>
      </c>
      <c r="AG991" s="19" t="n">
        <v>0.0447</v>
      </c>
      <c r="AH991" s="23" t="n">
        <v>0.11</v>
      </c>
      <c r="AI991" s="23" t="n">
        <v>2.37</v>
      </c>
      <c r="AJ991" s="19" t="n">
        <v>0.0028</v>
      </c>
    </row>
    <row r="992">
      <c r="A992" s="16" t="inlineStr">
        <is>
          <t>LUMINO</t>
        </is>
      </c>
      <c r="B992" s="16" t="inlineStr">
        <is>
          <t>Lumino Industries Ltd.</t>
        </is>
      </c>
      <c r="C992" s="16" t="inlineStr">
        <is>
          <t>Wires &amp; Cables</t>
        </is>
      </c>
      <c r="D992" s="16" t="inlineStr">
        <is>
          <t>Consumer Durables</t>
        </is>
      </c>
      <c r="E992" s="16" t="inlineStr">
        <is>
          <t>INE185Q01025</t>
        </is>
      </c>
      <c r="F992" s="17" t="n">
        <v>3487.14</v>
      </c>
      <c r="G992" s="18" t="n">
        <v>114.5</v>
      </c>
      <c r="H992" s="19" t="n">
        <v>0.0379</v>
      </c>
      <c r="I992" s="20" t="n"/>
      <c r="J992" s="16" t="n"/>
      <c r="K992" s="20" t="n"/>
      <c r="L992" s="18" t="n"/>
      <c r="M992" s="18" t="n"/>
      <c r="N992" s="18" t="n"/>
      <c r="O992" s="18" t="n"/>
      <c r="P992" s="18" t="n">
        <v>114.5</v>
      </c>
      <c r="Q992" s="18" t="n">
        <v>110.32</v>
      </c>
      <c r="R992" s="21">
        <f>IF(OR(G992="",P992=""),"",G992/P992-1)</f>
        <v/>
      </c>
      <c r="S992" s="19" t="n">
        <v>0.8763</v>
      </c>
      <c r="T992" s="22" t="n"/>
      <c r="U992" s="16" t="n"/>
      <c r="V992" s="16" t="n"/>
      <c r="W992" s="16" t="n"/>
      <c r="X992" s="16" t="n"/>
      <c r="Y992" s="20" t="n"/>
      <c r="Z992" s="19" t="n"/>
      <c r="AA992" s="18" t="n"/>
      <c r="AB992" s="16" t="n"/>
      <c r="AC992" s="16" t="inlineStr">
        <is>
          <t>No</t>
        </is>
      </c>
      <c r="AD992" s="19" t="n"/>
      <c r="AE992" s="19" t="n"/>
      <c r="AF992" s="19" t="n"/>
      <c r="AG992" s="19" t="n"/>
      <c r="AH992" s="23" t="n"/>
      <c r="AI992" s="23" t="n"/>
      <c r="AJ992" s="19" t="n"/>
    </row>
    <row r="993">
      <c r="A993" s="16" t="inlineStr">
        <is>
          <t>SMSPHARMA</t>
        </is>
      </c>
      <c r="B993" s="16" t="inlineStr">
        <is>
          <t>SMS Pharmaceuticals Ltd.</t>
        </is>
      </c>
      <c r="C993" s="16" t="inlineStr">
        <is>
          <t>Pharmaceuticals</t>
        </is>
      </c>
      <c r="D993" s="16" t="inlineStr">
        <is>
          <t>Pharmaceuticals &amp; Biotechnology</t>
        </is>
      </c>
      <c r="E993" s="16" t="inlineStr">
        <is>
          <t>INE812G01025</t>
        </is>
      </c>
      <c r="F993" s="17" t="n">
        <v>3479.59</v>
      </c>
      <c r="G993" s="18" t="n">
        <v>392.5</v>
      </c>
      <c r="H993" s="19" t="n">
        <v>0.049</v>
      </c>
      <c r="I993" s="20" t="n">
        <v>67</v>
      </c>
      <c r="J993" s="16" t="inlineStr">
        <is>
          <t>amber</t>
        </is>
      </c>
      <c r="K993" s="20" t="n">
        <v>5</v>
      </c>
      <c r="L993" s="18" t="n">
        <v>75.67</v>
      </c>
      <c r="M993" s="18" t="n">
        <v>369.44</v>
      </c>
      <c r="N993" s="18" t="n">
        <v>380.68</v>
      </c>
      <c r="O993" s="18" t="n">
        <v>364.96</v>
      </c>
      <c r="P993" s="18" t="n">
        <v>438.3</v>
      </c>
      <c r="Q993" s="18" t="n">
        <v>232.85</v>
      </c>
      <c r="R993" s="21">
        <f>IF(OR(G993="",P993=""),"",G993/P993-1)</f>
        <v/>
      </c>
      <c r="S993" s="19" t="n">
        <v>2.4684</v>
      </c>
      <c r="T993" s="22" t="n">
        <v>0.0213</v>
      </c>
      <c r="U993" s="16" t="inlineStr">
        <is>
          <t>Yes</t>
        </is>
      </c>
      <c r="V993" s="16" t="inlineStr">
        <is>
          <t>Yes</t>
        </is>
      </c>
      <c r="W993" s="16" t="inlineStr">
        <is>
          <t>Yes</t>
        </is>
      </c>
      <c r="X993" s="16" t="inlineStr">
        <is>
          <t>Yes</t>
        </is>
      </c>
      <c r="Y993" s="20" t="n">
        <v>291</v>
      </c>
      <c r="Z993" s="19" t="n">
        <v>0.0431</v>
      </c>
      <c r="AA993" s="18" t="n">
        <v>52.24</v>
      </c>
      <c r="AB993" s="16" t="inlineStr">
        <is>
          <t>Average</t>
        </is>
      </c>
      <c r="AC993" s="16" t="inlineStr">
        <is>
          <t>No</t>
        </is>
      </c>
      <c r="AD993" s="19" t="n">
        <v>0.1103</v>
      </c>
      <c r="AE993" s="19" t="n">
        <v>0.1156</v>
      </c>
      <c r="AF993" s="19" t="n">
        <v>2.9494</v>
      </c>
      <c r="AG993" s="19" t="n">
        <v>0.2001</v>
      </c>
      <c r="AH993" s="23" t="n">
        <v>0.46</v>
      </c>
      <c r="AI993" s="23" t="n">
        <v>1.36</v>
      </c>
      <c r="AJ993" s="19" t="n">
        <v>0.1863</v>
      </c>
    </row>
    <row r="994">
      <c r="A994" s="16" t="inlineStr">
        <is>
          <t>PSPPROJECT</t>
        </is>
      </c>
      <c r="B994" s="16" t="inlineStr">
        <is>
          <t>PSP Projects Ltd.</t>
        </is>
      </c>
      <c r="C994" s="16" t="inlineStr">
        <is>
          <t>Construction &amp; Engineering</t>
        </is>
      </c>
      <c r="D994" s="16" t="inlineStr">
        <is>
          <t>Cement and Construction</t>
        </is>
      </c>
      <c r="E994" s="16" t="inlineStr">
        <is>
          <t>INE488V01015</t>
        </is>
      </c>
      <c r="F994" s="17" t="n">
        <v>3470.64</v>
      </c>
      <c r="G994" s="18" t="n">
        <v>875.5</v>
      </c>
      <c r="H994" s="19" t="n">
        <v>0.0157</v>
      </c>
      <c r="I994" s="20" t="n">
        <v>52</v>
      </c>
      <c r="J994" s="16" t="inlineStr">
        <is>
          <t>red</t>
        </is>
      </c>
      <c r="K994" s="20" t="n">
        <v>6</v>
      </c>
      <c r="L994" s="18" t="n">
        <v>19.05</v>
      </c>
      <c r="M994" s="18" t="n">
        <v>880.1900000000001</v>
      </c>
      <c r="N994" s="18" t="n">
        <v>978.22</v>
      </c>
      <c r="O994" s="18" t="n">
        <v>845.39</v>
      </c>
      <c r="P994" s="18" t="n">
        <v>1099</v>
      </c>
      <c r="Q994" s="18" t="n">
        <v>575.5</v>
      </c>
      <c r="R994" s="21">
        <f>IF(OR(G994="",P994=""),"",G994/P994-1)</f>
        <v/>
      </c>
      <c r="S994" s="19" t="n">
        <v>0.626</v>
      </c>
      <c r="T994" s="22" t="n">
        <v>-0.0007000000000000001</v>
      </c>
      <c r="U994" s="16" t="inlineStr">
        <is>
          <t>No</t>
        </is>
      </c>
      <c r="V994" s="16" t="inlineStr">
        <is>
          <t>No</t>
        </is>
      </c>
      <c r="W994" s="16" t="inlineStr">
        <is>
          <t>No</t>
        </is>
      </c>
      <c r="X994" s="16" t="inlineStr">
        <is>
          <t>Yes</t>
        </is>
      </c>
      <c r="Y994" s="20" t="n">
        <v>57</v>
      </c>
      <c r="Z994" s="19" t="n">
        <v>0.1571</v>
      </c>
      <c r="AA994" s="18" t="n">
        <v>40</v>
      </c>
      <c r="AB994" s="16" t="inlineStr">
        <is>
          <t>Weak</t>
        </is>
      </c>
      <c r="AC994" s="16" t="inlineStr">
        <is>
          <t>No</t>
        </is>
      </c>
      <c r="AD994" s="19" t="n">
        <v>0.075</v>
      </c>
      <c r="AE994" s="19" t="n">
        <v>0.09970000000000001</v>
      </c>
      <c r="AF994" s="19" t="n">
        <v>-0.2237</v>
      </c>
      <c r="AG994" s="19" t="n">
        <v>0.1818</v>
      </c>
      <c r="AH994" s="23" t="n">
        <v>0.26</v>
      </c>
      <c r="AI994" s="23" t="n">
        <v>7.56</v>
      </c>
      <c r="AJ994" s="19" t="n">
        <v>0.0021</v>
      </c>
    </row>
    <row r="995">
      <c r="A995" s="16" t="inlineStr">
        <is>
          <t>AGIIL</t>
        </is>
      </c>
      <c r="B995" s="16" t="inlineStr">
        <is>
          <t>AGI Infra Ltd.</t>
        </is>
      </c>
      <c r="C995" s="16" t="inlineStr">
        <is>
          <t>Realty</t>
        </is>
      </c>
      <c r="D995" s="16" t="inlineStr">
        <is>
          <t>Realty</t>
        </is>
      </c>
      <c r="E995" s="16" t="inlineStr">
        <is>
          <t>INE976R01033</t>
        </is>
      </c>
      <c r="F995" s="17" t="n">
        <v>3465.88</v>
      </c>
      <c r="G995" s="18" t="n">
        <v>283.7</v>
      </c>
      <c r="H995" s="19" t="n">
        <v>0.0194</v>
      </c>
      <c r="I995" s="20" t="n">
        <v>29</v>
      </c>
      <c r="J995" s="16" t="inlineStr">
        <is>
          <t>red</t>
        </is>
      </c>
      <c r="K995" s="20" t="n">
        <v>23</v>
      </c>
      <c r="L995" s="18" t="n">
        <v>30.57</v>
      </c>
      <c r="M995" s="18" t="n">
        <v>284.96</v>
      </c>
      <c r="N995" s="18" t="n">
        <v>314.45</v>
      </c>
      <c r="O995" s="18" t="n">
        <v>313.36</v>
      </c>
      <c r="P995" s="18" t="n">
        <v>419.15</v>
      </c>
      <c r="Q995" s="18" t="n">
        <v>231.68</v>
      </c>
      <c r="R995" s="21">
        <f>IF(OR(G995="",P995=""),"",G995/P995-1)</f>
        <v/>
      </c>
      <c r="S995" s="19" t="n">
        <v>0.2232</v>
      </c>
      <c r="T995" s="22" t="n">
        <v>0.0097</v>
      </c>
      <c r="U995" s="16" t="inlineStr">
        <is>
          <t>Yes</t>
        </is>
      </c>
      <c r="V995" s="16" t="inlineStr">
        <is>
          <t>No</t>
        </is>
      </c>
      <c r="W995" s="16" t="inlineStr">
        <is>
          <t>No</t>
        </is>
      </c>
      <c r="X995" s="16" t="inlineStr">
        <is>
          <t>Yes</t>
        </is>
      </c>
      <c r="Y995" s="20" t="n">
        <v>337</v>
      </c>
      <c r="Z995" s="19" t="n">
        <v>0.0035</v>
      </c>
      <c r="AA995" s="18" t="n">
        <v>40</v>
      </c>
      <c r="AB995" s="16" t="inlineStr">
        <is>
          <t>Weak</t>
        </is>
      </c>
      <c r="AC995" s="16" t="inlineStr">
        <is>
          <t>No</t>
        </is>
      </c>
      <c r="AD995" s="19" t="n">
        <v>0.2207</v>
      </c>
      <c r="AE995" s="19" t="n">
        <v>0.1909</v>
      </c>
      <c r="AF995" s="19" t="n">
        <v>-0.2124</v>
      </c>
      <c r="AG995" s="19" t="n">
        <v>0.1363</v>
      </c>
      <c r="AH995" s="23" t="n">
        <v>0.4</v>
      </c>
      <c r="AI995" s="23" t="n">
        <v>4.28</v>
      </c>
      <c r="AJ995" s="19" t="n">
        <v>0</v>
      </c>
    </row>
    <row r="996">
      <c r="A996" s="16" t="inlineStr">
        <is>
          <t>NFL</t>
        </is>
      </c>
      <c r="B996" s="16" t="inlineStr">
        <is>
          <t>National Fertilizers Ltd.</t>
        </is>
      </c>
      <c r="C996" s="16" t="inlineStr">
        <is>
          <t>Fertilizers</t>
        </is>
      </c>
      <c r="D996" s="16" t="inlineStr">
        <is>
          <t>Fertilizers</t>
        </is>
      </c>
      <c r="E996" s="16" t="inlineStr">
        <is>
          <t>INE870D01012</t>
        </is>
      </c>
      <c r="F996" s="17" t="n">
        <v>3459.07</v>
      </c>
      <c r="G996" s="18" t="n">
        <v>70.51000000000001</v>
      </c>
      <c r="H996" s="19" t="n">
        <v>0.0026</v>
      </c>
      <c r="I996" s="20" t="n">
        <v>18</v>
      </c>
      <c r="J996" s="16" t="inlineStr">
        <is>
          <t>red</t>
        </is>
      </c>
      <c r="K996" s="20" t="n">
        <v>434</v>
      </c>
      <c r="L996" s="18" t="n">
        <v>42.72</v>
      </c>
      <c r="M996" s="18" t="n">
        <v>70.75</v>
      </c>
      <c r="N996" s="18" t="n">
        <v>72.09</v>
      </c>
      <c r="O996" s="18" t="n">
        <v>77.14</v>
      </c>
      <c r="P996" s="18" t="n">
        <v>97.78</v>
      </c>
      <c r="Q996" s="18" t="n">
        <v>64.52</v>
      </c>
      <c r="R996" s="21">
        <f>IF(OR(G996="",P996=""),"",G996/P996-1)</f>
        <v/>
      </c>
      <c r="S996" s="19" t="n">
        <v>0.5177</v>
      </c>
      <c r="T996" s="22" t="n">
        <v>-0.028</v>
      </c>
      <c r="U996" s="16" t="inlineStr">
        <is>
          <t>No</t>
        </is>
      </c>
      <c r="V996" s="16" t="inlineStr">
        <is>
          <t>No</t>
        </is>
      </c>
      <c r="W996" s="16" t="inlineStr">
        <is>
          <t>No</t>
        </is>
      </c>
      <c r="X996" s="16" t="inlineStr">
        <is>
          <t>No</t>
        </is>
      </c>
      <c r="Y996" s="20" t="n">
        <v>186</v>
      </c>
      <c r="Z996" s="19" t="n">
        <v>-0.06559999999999999</v>
      </c>
      <c r="AA996" s="18" t="n">
        <v>36.88</v>
      </c>
      <c r="AB996" s="16" t="inlineStr">
        <is>
          <t>Weak</t>
        </is>
      </c>
      <c r="AC996" s="16" t="inlineStr">
        <is>
          <t>No</t>
        </is>
      </c>
      <c r="AD996" s="19" t="n">
        <v>0.067</v>
      </c>
      <c r="AE996" s="19" t="n">
        <v>0.0788</v>
      </c>
      <c r="AF996" s="19" t="n">
        <v>-0.0992</v>
      </c>
      <c r="AG996" s="19" t="n">
        <v>0.59</v>
      </c>
      <c r="AH996" s="23" t="n">
        <v>1.4</v>
      </c>
      <c r="AI996" s="23" t="n">
        <v>5.89</v>
      </c>
      <c r="AJ996" s="19" t="n">
        <v>0.044</v>
      </c>
    </row>
    <row r="997">
      <c r="A997" s="16" t="inlineStr">
        <is>
          <t>FILATEX</t>
        </is>
      </c>
      <c r="B997" s="16" t="inlineStr">
        <is>
          <t>Filatex India Ltd.</t>
        </is>
      </c>
      <c r="C997" s="16" t="inlineStr">
        <is>
          <t>Textiles</t>
        </is>
      </c>
      <c r="D997" s="16" t="inlineStr">
        <is>
          <t>Textiles Apparels &amp; Accessories</t>
        </is>
      </c>
      <c r="E997" s="16" t="inlineStr">
        <is>
          <t>INE816B01035</t>
        </is>
      </c>
      <c r="F997" s="17" t="n">
        <v>3451.22</v>
      </c>
      <c r="G997" s="18" t="n">
        <v>77.72</v>
      </c>
      <c r="H997" s="19" t="n">
        <v>0.013</v>
      </c>
      <c r="I997" s="20" t="n">
        <v>88</v>
      </c>
      <c r="J997" s="16" t="inlineStr">
        <is>
          <t>green</t>
        </is>
      </c>
      <c r="K997" s="20" t="n">
        <v>38</v>
      </c>
      <c r="L997" s="18" t="n">
        <v>42.72</v>
      </c>
      <c r="M997" s="18" t="n">
        <v>76.13</v>
      </c>
      <c r="N997" s="18" t="n">
        <v>72.67</v>
      </c>
      <c r="O997" s="18" t="n">
        <v>53.19</v>
      </c>
      <c r="P997" s="18" t="n">
        <v>86.75</v>
      </c>
      <c r="Q997" s="18" t="n">
        <v>36.9</v>
      </c>
      <c r="R997" s="21">
        <f>IF(OR(G997="",P997=""),"",G997/P997-1)</f>
        <v/>
      </c>
      <c r="S997" s="19" t="n">
        <v>0.3055</v>
      </c>
      <c r="T997" s="22" t="n">
        <v>0.0414</v>
      </c>
      <c r="U997" s="16" t="inlineStr">
        <is>
          <t>Yes</t>
        </is>
      </c>
      <c r="V997" s="16" t="inlineStr">
        <is>
          <t>Yes</t>
        </is>
      </c>
      <c r="W997" s="16" t="inlineStr">
        <is>
          <t>Yes</t>
        </is>
      </c>
      <c r="X997" s="16" t="inlineStr">
        <is>
          <t>Yes</t>
        </is>
      </c>
      <c r="Y997" s="20" t="n">
        <v>41</v>
      </c>
      <c r="Z997" s="19" t="n">
        <v>0.3661</v>
      </c>
      <c r="AA997" s="18" t="n">
        <v>48.83</v>
      </c>
      <c r="AB997" s="16" t="inlineStr">
        <is>
          <t>Average</t>
        </is>
      </c>
      <c r="AC997" s="16" t="inlineStr">
        <is>
          <t>No</t>
        </is>
      </c>
      <c r="AD997" s="19" t="n">
        <v>0.1048</v>
      </c>
      <c r="AE997" s="19" t="n">
        <v>0.1378</v>
      </c>
      <c r="AF997" s="19" t="n">
        <v>0.2712</v>
      </c>
      <c r="AG997" s="19" t="n">
        <v>-0.0102</v>
      </c>
      <c r="AH997" s="23" t="n">
        <v>0.1</v>
      </c>
      <c r="AI997" s="23" t="n">
        <v>2.95</v>
      </c>
      <c r="AJ997" s="19" t="n">
        <v>0.06900000000000001</v>
      </c>
    </row>
    <row r="998">
      <c r="A998" s="16" t="inlineStr">
        <is>
          <t>BHAGCHEM</t>
        </is>
      </c>
      <c r="B998" s="16" t="inlineStr">
        <is>
          <t>Bhagiradha Chemicals &amp; Industries Ltd.</t>
        </is>
      </c>
      <c r="C998" s="16" t="inlineStr">
        <is>
          <t>Agrochemicals</t>
        </is>
      </c>
      <c r="D998" s="16" t="inlineStr">
        <is>
          <t>Chemicals &amp; Petrochemicals</t>
        </is>
      </c>
      <c r="E998" s="16" t="inlineStr">
        <is>
          <t>INE414D01027</t>
        </is>
      </c>
      <c r="F998" s="17" t="n">
        <v>3431.04</v>
      </c>
      <c r="G998" s="18" t="n">
        <v>264.6</v>
      </c>
      <c r="H998" s="19" t="n">
        <v>-0.0064</v>
      </c>
      <c r="I998" s="20" t="n">
        <v>54</v>
      </c>
      <c r="J998" s="16" t="inlineStr">
        <is>
          <t>red</t>
        </is>
      </c>
      <c r="K998" s="20" t="n">
        <v>2</v>
      </c>
      <c r="L998" s="18" t="n">
        <v>22.53</v>
      </c>
      <c r="M998" s="18" t="n">
        <v>274.49</v>
      </c>
      <c r="N998" s="18" t="n">
        <v>280.3</v>
      </c>
      <c r="O998" s="18" t="n">
        <v>242.3</v>
      </c>
      <c r="P998" s="18" t="n">
        <v>301.08</v>
      </c>
      <c r="Q998" s="18" t="n">
        <v>171.37</v>
      </c>
      <c r="R998" s="21">
        <f>IF(OR(G998="",P998=""),"",G998/P998-1)</f>
        <v/>
      </c>
      <c r="S998" s="19" t="n">
        <v>0.2467</v>
      </c>
      <c r="T998" s="22" t="n">
        <v>0.0133</v>
      </c>
      <c r="U998" s="16" t="inlineStr">
        <is>
          <t>Yes</t>
        </is>
      </c>
      <c r="V998" s="16" t="inlineStr">
        <is>
          <t>No</t>
        </is>
      </c>
      <c r="W998" s="16" t="inlineStr">
        <is>
          <t>No</t>
        </is>
      </c>
      <c r="X998" s="16" t="inlineStr">
        <is>
          <t>Yes</t>
        </is>
      </c>
      <c r="Y998" s="20" t="n">
        <v>66</v>
      </c>
      <c r="Z998" s="19" t="n">
        <v>0.1568</v>
      </c>
      <c r="AA998" s="18" t="n">
        <v>24.05</v>
      </c>
      <c r="AB998" s="16" t="inlineStr">
        <is>
          <t>Poor</t>
        </is>
      </c>
      <c r="AC998" s="16" t="inlineStr">
        <is>
          <t>No</t>
        </is>
      </c>
      <c r="AD998" s="19" t="n">
        <v>0.0301</v>
      </c>
      <c r="AE998" s="19" t="n">
        <v>0.0479</v>
      </c>
      <c r="AF998" s="19" t="n">
        <v>-0.2335</v>
      </c>
      <c r="AG998" s="19" t="n">
        <v>0.0364</v>
      </c>
      <c r="AH998" s="23" t="n">
        <v>0.34</v>
      </c>
      <c r="AI998" s="23" t="n">
        <v>0.8</v>
      </c>
      <c r="AJ998" s="19" t="n">
        <v>0.1419</v>
      </c>
    </row>
    <row r="999">
      <c r="A999" s="16" t="inlineStr">
        <is>
          <t>SAMHI</t>
        </is>
      </c>
      <c r="B999" s="16" t="inlineStr">
        <is>
          <t>Samhi Hotels Ltd.</t>
        </is>
      </c>
      <c r="C999" s="16" t="inlineStr">
        <is>
          <t>Hotels</t>
        </is>
      </c>
      <c r="D999" s="16" t="inlineStr">
        <is>
          <t>Hotels Restaurants &amp; Tourism</t>
        </is>
      </c>
      <c r="E999" s="16" t="inlineStr">
        <is>
          <t>INE08U801020</t>
        </is>
      </c>
      <c r="F999" s="17" t="n">
        <v>3424.12</v>
      </c>
      <c r="G999" s="18" t="n">
        <v>153.99</v>
      </c>
      <c r="H999" s="19" t="n">
        <v>0.0092</v>
      </c>
      <c r="I999" s="20" t="n">
        <v>21</v>
      </c>
      <c r="J999" s="16" t="inlineStr">
        <is>
          <t>red</t>
        </is>
      </c>
      <c r="K999" s="20" t="n">
        <v>160</v>
      </c>
      <c r="L999" s="18" t="n">
        <v>31.96</v>
      </c>
      <c r="M999" s="18" t="n">
        <v>155.01</v>
      </c>
      <c r="N999" s="18" t="n">
        <v>168.13</v>
      </c>
      <c r="O999" s="18" t="n">
        <v>167.17</v>
      </c>
      <c r="P999" s="18" t="n">
        <v>219.47</v>
      </c>
      <c r="Q999" s="18" t="n">
        <v>128.15</v>
      </c>
      <c r="R999" s="21">
        <f>IF(OR(G999="",P999=""),"",G999/P999-1)</f>
        <v/>
      </c>
      <c r="S999" s="19" t="n">
        <v>0.4562</v>
      </c>
      <c r="T999" s="22" t="n">
        <v>-0.0208</v>
      </c>
      <c r="U999" s="16" t="inlineStr">
        <is>
          <t>No</t>
        </is>
      </c>
      <c r="V999" s="16" t="inlineStr">
        <is>
          <t>No</t>
        </is>
      </c>
      <c r="W999" s="16" t="inlineStr">
        <is>
          <t>No</t>
        </is>
      </c>
      <c r="X999" s="16" t="inlineStr">
        <is>
          <t>Yes</t>
        </is>
      </c>
      <c r="Y999" s="20" t="n">
        <v>26</v>
      </c>
      <c r="Z999" s="19" t="n">
        <v>0.0058</v>
      </c>
      <c r="AA999" s="18" t="n">
        <v>29.65</v>
      </c>
      <c r="AB999" s="16" t="inlineStr">
        <is>
          <t>Poor</t>
        </is>
      </c>
      <c r="AC999" s="16" t="inlineStr">
        <is>
          <t>No</t>
        </is>
      </c>
      <c r="AD999" s="19" t="n">
        <v>0.0265</v>
      </c>
      <c r="AE999" s="19" t="n">
        <v>0.07580000000000001</v>
      </c>
      <c r="AF999" s="19" t="n">
        <v>0.1057</v>
      </c>
      <c r="AG999" s="19" t="n">
        <v>0.1934</v>
      </c>
      <c r="AH999" s="23" t="n">
        <v>0.85</v>
      </c>
      <c r="AI999" s="23" t="n">
        <v>0.4</v>
      </c>
      <c r="AJ999" s="19" t="n">
        <v>0.0452</v>
      </c>
    </row>
    <row r="1000">
      <c r="A1000" s="16" t="inlineStr">
        <is>
          <t>KPL</t>
        </is>
      </c>
      <c r="B1000" s="16" t="inlineStr">
        <is>
          <t>Kwality Pharmaceuticals Ltd.</t>
        </is>
      </c>
      <c r="C1000" s="16" t="inlineStr">
        <is>
          <t>Pharmaceuticals</t>
        </is>
      </c>
      <c r="D1000" s="16" t="inlineStr">
        <is>
          <t>Pharmaceuticals &amp; Biotechnology</t>
        </is>
      </c>
      <c r="E1000" s="16" t="inlineStr">
        <is>
          <t>INE552U01010</t>
        </is>
      </c>
      <c r="F1000" s="17" t="n">
        <v>3417.82</v>
      </c>
      <c r="G1000" s="18" t="n">
        <v>3293.9</v>
      </c>
      <c r="H1000" s="19" t="n">
        <v>-0.0147</v>
      </c>
      <c r="I1000" s="20" t="n">
        <v>97</v>
      </c>
      <c r="J1000" s="16" t="inlineStr">
        <is>
          <t>green</t>
        </is>
      </c>
      <c r="K1000" s="20" t="n">
        <v>177</v>
      </c>
      <c r="L1000" s="18" t="n">
        <v>37.11</v>
      </c>
      <c r="M1000" s="18" t="n">
        <v>3325.09</v>
      </c>
      <c r="N1000" s="18" t="n">
        <v>2943.7</v>
      </c>
      <c r="O1000" s="18" t="n">
        <v>1858.87</v>
      </c>
      <c r="P1000" s="18" t="n">
        <v>3627.25</v>
      </c>
      <c r="Q1000" s="18" t="n">
        <v>838.2</v>
      </c>
      <c r="R1000" s="21">
        <f>IF(OR(G1000="",P1000=""),"",G1000/P1000-1)</f>
        <v/>
      </c>
      <c r="S1000" s="19" t="n">
        <v>0.4076</v>
      </c>
      <c r="T1000" s="22" t="n">
        <v>0.1539</v>
      </c>
      <c r="U1000" s="16" t="inlineStr">
        <is>
          <t>Yes</t>
        </is>
      </c>
      <c r="V1000" s="16" t="inlineStr">
        <is>
          <t>Yes</t>
        </is>
      </c>
      <c r="W1000" s="16" t="inlineStr">
        <is>
          <t>No</t>
        </is>
      </c>
      <c r="X1000" s="16" t="inlineStr">
        <is>
          <t>Yes</t>
        </is>
      </c>
      <c r="Y1000" s="20" t="n">
        <v>169</v>
      </c>
      <c r="Z1000" s="19" t="n">
        <v>0.5836</v>
      </c>
      <c r="AA1000" s="18" t="n"/>
      <c r="AB1000" s="16" t="n"/>
      <c r="AC1000" s="16" t="inlineStr">
        <is>
          <t>No</t>
        </is>
      </c>
      <c r="AD1000" s="19" t="n"/>
      <c r="AE1000" s="19" t="n"/>
      <c r="AF1000" s="19" t="n"/>
      <c r="AG1000" s="19" t="n"/>
      <c r="AH1000" s="23" t="n"/>
      <c r="AI1000" s="23" t="n"/>
      <c r="AJ1000" s="19" t="n"/>
    </row>
    <row r="1001">
      <c r="A1001" s="16" t="inlineStr">
        <is>
          <t>WONDERLA</t>
        </is>
      </c>
      <c r="B1001" s="16" t="inlineStr">
        <is>
          <t>Wonderla Holidays Ltd.</t>
        </is>
      </c>
      <c r="C1001" s="16" t="inlineStr">
        <is>
          <t>Other Leisure Facilities</t>
        </is>
      </c>
      <c r="D1001" s="16" t="inlineStr">
        <is>
          <t>Diversified Consumer Services</t>
        </is>
      </c>
      <c r="E1001" s="16" t="inlineStr">
        <is>
          <t>INE066O01014</t>
        </is>
      </c>
      <c r="F1001" s="17" t="n">
        <v>3387.76</v>
      </c>
      <c r="G1001" s="18" t="n">
        <v>533.9</v>
      </c>
      <c r="H1001" s="19" t="n">
        <v>0.0165</v>
      </c>
      <c r="I1001" s="20" t="n">
        <v>43</v>
      </c>
      <c r="J1001" s="16" t="inlineStr">
        <is>
          <t>red</t>
        </is>
      </c>
      <c r="K1001" s="20" t="n">
        <v>109</v>
      </c>
      <c r="L1001" s="18" t="n">
        <v>78.59999999999999</v>
      </c>
      <c r="M1001" s="18" t="n">
        <v>532.2</v>
      </c>
      <c r="N1001" s="18" t="n">
        <v>488.73</v>
      </c>
      <c r="O1001" s="18" t="n">
        <v>505.1</v>
      </c>
      <c r="P1001" s="18" t="n">
        <v>644.6799999999999</v>
      </c>
      <c r="Q1001" s="18" t="n">
        <v>459.7</v>
      </c>
      <c r="R1001" s="21">
        <f>IF(OR(G1001="",P1001=""),"",G1001/P1001-1)</f>
        <v/>
      </c>
      <c r="S1001" s="19" t="n">
        <v>0.4122999999999999</v>
      </c>
      <c r="T1001" s="22" t="n">
        <v>-0.0109</v>
      </c>
      <c r="U1001" s="16" t="inlineStr">
        <is>
          <t>No</t>
        </is>
      </c>
      <c r="V1001" s="16" t="inlineStr">
        <is>
          <t>Yes</t>
        </is>
      </c>
      <c r="W1001" s="16" t="inlineStr">
        <is>
          <t>Yes</t>
        </is>
      </c>
      <c r="X1001" s="16" t="inlineStr">
        <is>
          <t>No</t>
        </is>
      </c>
      <c r="Y1001" s="20" t="n">
        <v>531</v>
      </c>
      <c r="Z1001" s="19" t="n">
        <v>-0.03240000000000001</v>
      </c>
      <c r="AA1001" s="18" t="n">
        <v>40</v>
      </c>
      <c r="AB1001" s="16" t="inlineStr">
        <is>
          <t>Weak</t>
        </is>
      </c>
      <c r="AC1001" s="16" t="inlineStr">
        <is>
          <t>No</t>
        </is>
      </c>
      <c r="AD1001" s="19" t="n">
        <v>0.08439999999999999</v>
      </c>
      <c r="AE1001" s="19" t="n">
        <v>0.1064</v>
      </c>
      <c r="AF1001" s="19" t="n">
        <v>-0.1949</v>
      </c>
      <c r="AG1001" s="19" t="n">
        <v>0.0679</v>
      </c>
      <c r="AH1001" s="23" t="n">
        <v>0</v>
      </c>
      <c r="AI1001" s="23" t="n">
        <v>0.36</v>
      </c>
      <c r="AJ1001" s="19" t="n">
        <v>0.0808</v>
      </c>
    </row>
    <row r="1002">
      <c r="A1002" s="16" t="inlineStr">
        <is>
          <t>VENUSPIPES</t>
        </is>
      </c>
      <c r="B1002" s="16" t="inlineStr">
        <is>
          <t>Venus Pipes &amp; Tubes Ltd.</t>
        </is>
      </c>
      <c r="C1002" s="16" t="inlineStr">
        <is>
          <t>Iron &amp; Steel Products</t>
        </is>
      </c>
      <c r="D1002" s="16" t="inlineStr">
        <is>
          <t>Metals &amp; Mining</t>
        </is>
      </c>
      <c r="E1002" s="16" t="inlineStr">
        <is>
          <t>INE0JA001018</t>
        </is>
      </c>
      <c r="F1002" s="17" t="n">
        <v>3378.8</v>
      </c>
      <c r="G1002" s="18" t="n">
        <v>1631</v>
      </c>
      <c r="H1002" s="19" t="n">
        <v>0.023</v>
      </c>
      <c r="I1002" s="20" t="n">
        <v>75</v>
      </c>
      <c r="J1002" s="16" t="inlineStr">
        <is>
          <t>amber</t>
        </is>
      </c>
      <c r="K1002" s="20" t="n">
        <v>25</v>
      </c>
      <c r="L1002" s="18" t="n">
        <v>55.93</v>
      </c>
      <c r="M1002" s="18" t="n">
        <v>1625.22</v>
      </c>
      <c r="N1002" s="18" t="n">
        <v>1667.36</v>
      </c>
      <c r="O1002" s="18" t="n">
        <v>1333.97</v>
      </c>
      <c r="P1002" s="18" t="n">
        <v>1844.82</v>
      </c>
      <c r="Q1002" s="18" t="n">
        <v>893.72</v>
      </c>
      <c r="R1002" s="21">
        <f>IF(OR(G1002="",P1002=""),"",G1002/P1002-1)</f>
        <v/>
      </c>
      <c r="S1002" s="19" t="n">
        <v>0.8425</v>
      </c>
      <c r="T1002" s="22" t="n">
        <v>0.0235</v>
      </c>
      <c r="U1002" s="16" t="inlineStr">
        <is>
          <t>Yes</t>
        </is>
      </c>
      <c r="V1002" s="16" t="inlineStr">
        <is>
          <t>No</t>
        </is>
      </c>
      <c r="W1002" s="16" t="inlineStr">
        <is>
          <t>Yes</t>
        </is>
      </c>
      <c r="X1002" s="16" t="inlineStr">
        <is>
          <t>Yes</t>
        </is>
      </c>
      <c r="Y1002" s="20" t="n">
        <v>72</v>
      </c>
      <c r="Z1002" s="19" t="n">
        <v>0.2499</v>
      </c>
      <c r="AA1002" s="18" t="n">
        <v>65.02</v>
      </c>
      <c r="AB1002" s="16" t="inlineStr">
        <is>
          <t>High</t>
        </is>
      </c>
      <c r="AC1002" s="16" t="inlineStr">
        <is>
          <t>No</t>
        </is>
      </c>
      <c r="AD1002" s="19" t="n">
        <v>0.1797</v>
      </c>
      <c r="AE1002" s="19" t="n">
        <v>0.2175</v>
      </c>
      <c r="AF1002" s="19" t="n">
        <v>0.345</v>
      </c>
      <c r="AG1002" s="19" t="n">
        <v>0.2916</v>
      </c>
      <c r="AH1002" s="23" t="n">
        <v>0.43</v>
      </c>
      <c r="AI1002" s="23" t="n">
        <v>2.24</v>
      </c>
      <c r="AJ1002" s="19" t="n">
        <v>0.2371</v>
      </c>
    </row>
    <row r="1003">
      <c r="A1003" s="16" t="inlineStr">
        <is>
          <t>JUBLCPL</t>
        </is>
      </c>
      <c r="B1003" s="16" t="inlineStr">
        <is>
          <t>Jubilant Agri and Consumer Products Ltd.</t>
        </is>
      </c>
      <c r="C1003" s="16" t="inlineStr">
        <is>
          <t>Other Agricultural Products</t>
        </is>
      </c>
      <c r="D1003" s="16" t="inlineStr">
        <is>
          <t>Food, Beverages &amp; Tobacco</t>
        </is>
      </c>
      <c r="E1003" s="16" t="inlineStr">
        <is>
          <t>INE03CC01015</t>
        </is>
      </c>
      <c r="F1003" s="17" t="n">
        <v>3367.79</v>
      </c>
      <c r="G1003" s="18" t="n">
        <v>2222.6</v>
      </c>
      <c r="H1003" s="19" t="n">
        <v>-0.0357</v>
      </c>
      <c r="I1003" s="20" t="n">
        <v>52</v>
      </c>
      <c r="J1003" s="16" t="inlineStr">
        <is>
          <t>red</t>
        </is>
      </c>
      <c r="K1003" s="20" t="n">
        <v>4</v>
      </c>
      <c r="L1003" s="18" t="n">
        <v>43.59</v>
      </c>
      <c r="M1003" s="18" t="n">
        <v>2210.96</v>
      </c>
      <c r="N1003" s="18" t="n">
        <v>2048.55</v>
      </c>
      <c r="O1003" s="18" t="n">
        <v>1978.43</v>
      </c>
      <c r="P1003" s="18" t="n">
        <v>2872</v>
      </c>
      <c r="Q1003" s="18" t="n">
        <v>1483</v>
      </c>
      <c r="R1003" s="21">
        <f>IF(OR(G1003="",P1003=""),"",G1003/P1003-1)</f>
        <v/>
      </c>
      <c r="S1003" s="19" t="n">
        <v>0.2754</v>
      </c>
      <c r="T1003" s="22" t="n">
        <v>-0.0145</v>
      </c>
      <c r="U1003" s="16" t="inlineStr">
        <is>
          <t>No</t>
        </is>
      </c>
      <c r="V1003" s="16" t="inlineStr">
        <is>
          <t>Yes</t>
        </is>
      </c>
      <c r="W1003" s="16" t="inlineStr">
        <is>
          <t>Yes</t>
        </is>
      </c>
      <c r="X1003" s="16" t="inlineStr">
        <is>
          <t>Yes</t>
        </is>
      </c>
      <c r="Y1003" s="20" t="n">
        <v>11</v>
      </c>
      <c r="Z1003" s="19" t="n">
        <v>0.0354</v>
      </c>
      <c r="AA1003" s="18" t="n">
        <v>79.31</v>
      </c>
      <c r="AB1003" s="16" t="inlineStr">
        <is>
          <t>High</t>
        </is>
      </c>
      <c r="AC1003" s="16" t="inlineStr">
        <is>
          <t>No</t>
        </is>
      </c>
      <c r="AD1003" s="19" t="n">
        <v>0.2246</v>
      </c>
      <c r="AE1003" s="19" t="n">
        <v>0.2736</v>
      </c>
      <c r="AF1003" s="19" t="n">
        <v>1.1782</v>
      </c>
      <c r="AG1003" s="19" t="n">
        <v>0.2282</v>
      </c>
      <c r="AH1003" s="23" t="n">
        <v>0.11</v>
      </c>
      <c r="AI1003" s="23" t="n">
        <v>8.369999999999999</v>
      </c>
      <c r="AJ1003" s="19" t="n">
        <v>0.1199</v>
      </c>
    </row>
    <row r="1004">
      <c r="A1004" s="16" t="inlineStr">
        <is>
          <t>AIMTRON</t>
        </is>
      </c>
      <c r="B1004" s="16" t="inlineStr">
        <is>
          <t>Aimtron Electronics Ltd.</t>
        </is>
      </c>
      <c r="C1004" s="16" t="inlineStr">
        <is>
          <t>Electronic Components</t>
        </is>
      </c>
      <c r="D1004" s="16" t="inlineStr">
        <is>
          <t>Commercial Services &amp; Supplies</t>
        </is>
      </c>
      <c r="E1004" s="16" t="inlineStr">
        <is>
          <t>INE0RUV01018</t>
        </is>
      </c>
      <c r="F1004" s="17" t="n">
        <v>3366.9</v>
      </c>
      <c r="G1004" s="18" t="n">
        <v>1582.6</v>
      </c>
      <c r="H1004" s="19" t="n">
        <v>-0.0233</v>
      </c>
      <c r="I1004" s="20" t="n">
        <v>92</v>
      </c>
      <c r="J1004" s="16" t="inlineStr">
        <is>
          <t>green</t>
        </is>
      </c>
      <c r="K1004" s="20" t="n">
        <v>127</v>
      </c>
      <c r="L1004" s="18" t="n">
        <v>37.73</v>
      </c>
      <c r="M1004" s="18" t="n">
        <v>1620.62</v>
      </c>
      <c r="N1004" s="18" t="n">
        <v>1486.15</v>
      </c>
      <c r="O1004" s="18" t="n">
        <v>1076.73</v>
      </c>
      <c r="P1004" s="18" t="n">
        <v>1742.6</v>
      </c>
      <c r="Q1004" s="18" t="n">
        <v>667.15</v>
      </c>
      <c r="R1004" s="21">
        <f>IF(OR(G1004="",P1004=""),"",G1004/P1004-1)</f>
        <v/>
      </c>
      <c r="S1004" s="19" t="n">
        <v>0.3995</v>
      </c>
      <c r="T1004" s="22" t="n">
        <v>0.0833</v>
      </c>
      <c r="U1004" s="16" t="inlineStr">
        <is>
          <t>Yes</t>
        </is>
      </c>
      <c r="V1004" s="16" t="inlineStr">
        <is>
          <t>Yes</t>
        </is>
      </c>
      <c r="W1004" s="16" t="inlineStr">
        <is>
          <t>No</t>
        </is>
      </c>
      <c r="X1004" s="16" t="inlineStr">
        <is>
          <t>Yes</t>
        </is>
      </c>
      <c r="Y1004" s="20" t="n">
        <v>318</v>
      </c>
      <c r="Z1004" s="19" t="n">
        <v>0.3802</v>
      </c>
      <c r="AA1004" s="18" t="n"/>
      <c r="AB1004" s="16" t="n"/>
      <c r="AC1004" s="16" t="inlineStr">
        <is>
          <t>No</t>
        </is>
      </c>
      <c r="AD1004" s="19" t="n"/>
      <c r="AE1004" s="19" t="n"/>
      <c r="AF1004" s="19" t="n"/>
      <c r="AG1004" s="19" t="n"/>
      <c r="AH1004" s="23" t="n"/>
      <c r="AI1004" s="23" t="n"/>
      <c r="AJ1004" s="19" t="n"/>
    </row>
    <row r="1005">
      <c r="A1005" s="16" t="inlineStr">
        <is>
          <t>ANTELOPUS</t>
        </is>
      </c>
      <c r="B1005" s="16" t="inlineStr">
        <is>
          <t>Antelopus Selan Energy Ltd.</t>
        </is>
      </c>
      <c r="C1005" s="16" t="inlineStr">
        <is>
          <t>Exploration &amp; Production</t>
        </is>
      </c>
      <c r="D1005" s="16" t="inlineStr">
        <is>
          <t>Oil &amp; Gas</t>
        </is>
      </c>
      <c r="E1005" s="16" t="inlineStr">
        <is>
          <t>INE818A01017</t>
        </is>
      </c>
      <c r="F1005" s="17" t="n">
        <v>3365.57</v>
      </c>
      <c r="G1005" s="18" t="n">
        <v>957.15</v>
      </c>
      <c r="H1005" s="19" t="n">
        <v>-0.0554</v>
      </c>
      <c r="I1005" s="20" t="n">
        <v>89</v>
      </c>
      <c r="J1005" s="16" t="inlineStr">
        <is>
          <t>green</t>
        </is>
      </c>
      <c r="K1005" s="20" t="n">
        <v>3</v>
      </c>
      <c r="L1005" s="18" t="n">
        <v>67.63</v>
      </c>
      <c r="M1005" s="18" t="n">
        <v>857.39</v>
      </c>
      <c r="N1005" s="18" t="n">
        <v>829.27</v>
      </c>
      <c r="O1005" s="18" t="n">
        <v>644.87</v>
      </c>
      <c r="P1005" s="18" t="n">
        <v>1013.3</v>
      </c>
      <c r="Q1005" s="18" t="n">
        <v>359.5</v>
      </c>
      <c r="R1005" s="21">
        <f>IF(OR(G1005="",P1005=""),"",G1005/P1005-1)</f>
        <v/>
      </c>
      <c r="S1005" s="19" t="n">
        <v>3.5491</v>
      </c>
      <c r="T1005" s="22" t="n">
        <v>0.0458</v>
      </c>
      <c r="U1005" s="16" t="inlineStr">
        <is>
          <t>Yes</t>
        </is>
      </c>
      <c r="V1005" s="16" t="inlineStr">
        <is>
          <t>Yes</t>
        </is>
      </c>
      <c r="W1005" s="16" t="inlineStr">
        <is>
          <t>Yes</t>
        </is>
      </c>
      <c r="X1005" s="16" t="inlineStr">
        <is>
          <t>Yes</t>
        </is>
      </c>
      <c r="Y1005" s="20" t="n">
        <v>113</v>
      </c>
      <c r="Z1005" s="19" t="n">
        <v>0.286</v>
      </c>
      <c r="AA1005" s="18" t="n">
        <v>62.23</v>
      </c>
      <c r="AB1005" s="16" t="inlineStr">
        <is>
          <t>Good</t>
        </is>
      </c>
      <c r="AC1005" s="16" t="inlineStr">
        <is>
          <t>No</t>
        </is>
      </c>
      <c r="AD1005" s="19" t="n">
        <v>0.1233</v>
      </c>
      <c r="AE1005" s="19" t="n">
        <v>0.1673</v>
      </c>
      <c r="AF1005" s="19" t="n">
        <v>0.0858</v>
      </c>
      <c r="AG1005" s="19" t="n">
        <v>0.3477</v>
      </c>
      <c r="AH1005" s="23" t="n">
        <v>0.01</v>
      </c>
      <c r="AI1005" s="23" t="n">
        <v>0.47</v>
      </c>
      <c r="AJ1005" s="19" t="n">
        <v>0.3578</v>
      </c>
    </row>
    <row r="1006">
      <c r="A1006" s="16" t="inlineStr">
        <is>
          <t>JTEKTINDIA</t>
        </is>
      </c>
      <c r="B1006" s="16" t="inlineStr">
        <is>
          <t>JTEKT India Ltd.</t>
        </is>
      </c>
      <c r="C1006" s="16" t="inlineStr">
        <is>
          <t>Auto Parts &amp; Equipment</t>
        </is>
      </c>
      <c r="D1006" s="16" t="inlineStr">
        <is>
          <t>Automobiles &amp; Auto Components</t>
        </is>
      </c>
      <c r="E1006" s="16" t="inlineStr">
        <is>
          <t>INE643A01035</t>
        </is>
      </c>
      <c r="F1006" s="17" t="n">
        <v>3363.99</v>
      </c>
      <c r="G1006" s="18" t="n">
        <v>121.27</v>
      </c>
      <c r="H1006" s="19" t="n">
        <v>-0.004500000000000001</v>
      </c>
      <c r="I1006" s="20" t="n">
        <v>26</v>
      </c>
      <c r="J1006" s="16" t="inlineStr">
        <is>
          <t>red</t>
        </is>
      </c>
      <c r="K1006" s="20" t="n">
        <v>110</v>
      </c>
      <c r="L1006" s="18" t="n">
        <v>22.31</v>
      </c>
      <c r="M1006" s="18" t="n">
        <v>124.24</v>
      </c>
      <c r="N1006" s="18" t="n">
        <v>134.91</v>
      </c>
      <c r="O1006" s="18" t="n">
        <v>135.91</v>
      </c>
      <c r="P1006" s="18" t="n">
        <v>183.88</v>
      </c>
      <c r="Q1006" s="18" t="n">
        <v>116.93</v>
      </c>
      <c r="R1006" s="21">
        <f>IF(OR(G1006="",P1006=""),"",G1006/P1006-1)</f>
        <v/>
      </c>
      <c r="S1006" s="19" t="n">
        <v>0.5881000000000001</v>
      </c>
      <c r="T1006" s="22" t="n">
        <v>-0.0207</v>
      </c>
      <c r="U1006" s="16" t="inlineStr">
        <is>
          <t>No</t>
        </is>
      </c>
      <c r="V1006" s="16" t="inlineStr">
        <is>
          <t>No</t>
        </is>
      </c>
      <c r="W1006" s="16" t="inlineStr">
        <is>
          <t>No</t>
        </is>
      </c>
      <c r="X1006" s="16" t="inlineStr">
        <is>
          <t>No</t>
        </is>
      </c>
      <c r="Y1006" s="20" t="n">
        <v>152</v>
      </c>
      <c r="Z1006" s="19" t="n">
        <v>-0.0074</v>
      </c>
      <c r="AA1006" s="18" t="n">
        <v>40</v>
      </c>
      <c r="AB1006" s="16" t="inlineStr">
        <is>
          <t>Weak</t>
        </is>
      </c>
      <c r="AC1006" s="16" t="inlineStr">
        <is>
          <t>No</t>
        </is>
      </c>
      <c r="AD1006" s="19" t="n">
        <v>0.0935</v>
      </c>
      <c r="AE1006" s="19" t="n">
        <v>0.1166</v>
      </c>
      <c r="AF1006" s="19" t="n">
        <v>-0.0306</v>
      </c>
      <c r="AG1006" s="19" t="n">
        <v>0.09329999999999999</v>
      </c>
      <c r="AH1006" s="23" t="n">
        <v>0.29</v>
      </c>
      <c r="AI1006" s="23" t="n">
        <v>2.15</v>
      </c>
      <c r="AJ1006" s="19" t="n">
        <v>0.3427</v>
      </c>
    </row>
    <row r="1007">
      <c r="A1007" s="16" t="inlineStr">
        <is>
          <t>STEELCAS</t>
        </is>
      </c>
      <c r="B1007" s="16" t="inlineStr">
        <is>
          <t>Steel Cast Ltd.</t>
        </is>
      </c>
      <c r="C1007" s="16" t="inlineStr">
        <is>
          <t>Castings &amp; Forgings</t>
        </is>
      </c>
      <c r="D1007" s="16" t="inlineStr">
        <is>
          <t>General Industrials</t>
        </is>
      </c>
      <c r="E1007" s="16" t="inlineStr">
        <is>
          <t>INE124E01038</t>
        </is>
      </c>
      <c r="F1007" s="17" t="n">
        <v>3319.87</v>
      </c>
      <c r="G1007" s="18" t="n">
        <v>328.05</v>
      </c>
      <c r="H1007" s="19" t="n">
        <v>0.0321</v>
      </c>
      <c r="I1007" s="20" t="n">
        <v>79</v>
      </c>
      <c r="J1007" s="16" t="inlineStr">
        <is>
          <t>amber</t>
        </is>
      </c>
      <c r="K1007" s="20" t="n">
        <v>2</v>
      </c>
      <c r="L1007" s="18" t="n">
        <v>36.3</v>
      </c>
      <c r="M1007" s="18" t="n">
        <v>336.51</v>
      </c>
      <c r="N1007" s="18" t="n">
        <v>323.64</v>
      </c>
      <c r="O1007" s="18" t="n">
        <v>263.41</v>
      </c>
      <c r="P1007" s="18" t="n">
        <v>358.7</v>
      </c>
      <c r="Q1007" s="18" t="n">
        <v>181.45</v>
      </c>
      <c r="R1007" s="21">
        <f>IF(OR(G1007="",P1007=""),"",G1007/P1007-1)</f>
        <v/>
      </c>
      <c r="S1007" s="19" t="n">
        <v>0.8290000000000001</v>
      </c>
      <c r="T1007" s="22" t="n">
        <v>0.04969999999999999</v>
      </c>
      <c r="U1007" s="16" t="inlineStr">
        <is>
          <t>Yes</t>
        </is>
      </c>
      <c r="V1007" s="16" t="inlineStr">
        <is>
          <t>Yes</t>
        </is>
      </c>
      <c r="W1007" s="16" t="inlineStr">
        <is>
          <t>No</t>
        </is>
      </c>
      <c r="X1007" s="16" t="inlineStr">
        <is>
          <t>Yes</t>
        </is>
      </c>
      <c r="Y1007" s="20" t="n">
        <v>118</v>
      </c>
      <c r="Z1007" s="19" t="n">
        <v>0.2287</v>
      </c>
      <c r="AA1007" s="18" t="n">
        <v>40</v>
      </c>
      <c r="AB1007" s="16" t="inlineStr">
        <is>
          <t>Weak</t>
        </is>
      </c>
      <c r="AC1007" s="16" t="inlineStr">
        <is>
          <t>No</t>
        </is>
      </c>
      <c r="AD1007" s="19" t="n">
        <v>0.2399</v>
      </c>
      <c r="AE1007" s="19" t="n">
        <v>0.3247</v>
      </c>
      <c r="AF1007" s="19" t="n">
        <v>-0.1802</v>
      </c>
      <c r="AG1007" s="19" t="n">
        <v>-0.0283</v>
      </c>
      <c r="AH1007" s="23" t="n">
        <v>0</v>
      </c>
      <c r="AI1007" s="23" t="n">
        <v>2.41</v>
      </c>
      <c r="AJ1007" s="19" t="n">
        <v>0.08740000000000001</v>
      </c>
    </row>
    <row r="1008">
      <c r="A1008" s="16" t="inlineStr">
        <is>
          <t>GOPAL</t>
        </is>
      </c>
      <c r="B1008" s="16" t="inlineStr">
        <is>
          <t>Gopal Snacks Ltd.</t>
        </is>
      </c>
      <c r="C1008" s="16" t="inlineStr">
        <is>
          <t>Packaged Foods</t>
        </is>
      </c>
      <c r="D1008" s="16" t="inlineStr">
        <is>
          <t>FMCG</t>
        </is>
      </c>
      <c r="E1008" s="16" t="inlineStr">
        <is>
          <t>INE0L9R01028</t>
        </is>
      </c>
      <c r="F1008" s="17" t="n">
        <v>3304.92</v>
      </c>
      <c r="G1008" s="18" t="n">
        <v>265.1</v>
      </c>
      <c r="H1008" s="19" t="n">
        <v>-0.0011</v>
      </c>
      <c r="I1008" s="20" t="n">
        <v>15</v>
      </c>
      <c r="J1008" s="16" t="inlineStr">
        <is>
          <t>red</t>
        </is>
      </c>
      <c r="K1008" s="20" t="n">
        <v>160</v>
      </c>
      <c r="L1008" s="18" t="n">
        <v>44.81</v>
      </c>
      <c r="M1008" s="18" t="n">
        <v>272.59</v>
      </c>
      <c r="N1008" s="18" t="n">
        <v>271.54</v>
      </c>
      <c r="O1008" s="18" t="n">
        <v>290.93</v>
      </c>
      <c r="P1008" s="18" t="n">
        <v>385.39</v>
      </c>
      <c r="Q1008" s="18" t="n">
        <v>250.81</v>
      </c>
      <c r="R1008" s="21">
        <f>IF(OR(G1008="",P1008=""),"",G1008/P1008-1)</f>
        <v/>
      </c>
      <c r="S1008" s="19" t="n">
        <v>0.4206</v>
      </c>
      <c r="T1008" s="22" t="n">
        <v>-0.0231</v>
      </c>
      <c r="U1008" s="16" t="inlineStr">
        <is>
          <t>No</t>
        </is>
      </c>
      <c r="V1008" s="16" t="inlineStr">
        <is>
          <t>No</t>
        </is>
      </c>
      <c r="W1008" s="16" t="inlineStr">
        <is>
          <t>No</t>
        </is>
      </c>
      <c r="X1008" s="16" t="inlineStr">
        <is>
          <t>No</t>
        </is>
      </c>
      <c r="Y1008" s="20" t="n">
        <v>173</v>
      </c>
      <c r="Z1008" s="19" t="n">
        <v>-0.06660000000000001</v>
      </c>
      <c r="AA1008" s="18" t="n">
        <v>40</v>
      </c>
      <c r="AB1008" s="16" t="inlineStr">
        <is>
          <t>Weak</t>
        </is>
      </c>
      <c r="AC1008" s="16" t="inlineStr">
        <is>
          <t>No</t>
        </is>
      </c>
      <c r="AD1008" s="19" t="n">
        <v>0.1519</v>
      </c>
      <c r="AE1008" s="19" t="n">
        <v>0.1767</v>
      </c>
      <c r="AF1008" s="19" t="n">
        <v>-0.6413</v>
      </c>
      <c r="AG1008" s="19" t="n">
        <v>0.0255</v>
      </c>
      <c r="AH1008" s="23" t="n">
        <v>0.32</v>
      </c>
      <c r="AI1008" s="23" t="n">
        <v>3.94</v>
      </c>
      <c r="AJ1008" s="19" t="n">
        <v>0.2054</v>
      </c>
    </row>
    <row r="1009">
      <c r="A1009" s="16" t="inlineStr">
        <is>
          <t>PRABHA</t>
        </is>
      </c>
      <c r="B1009" s="16" t="inlineStr">
        <is>
          <t>Prabha Energy Ltd.</t>
        </is>
      </c>
      <c r="C1009" s="16" t="inlineStr">
        <is>
          <t>Exploration &amp; Production</t>
        </is>
      </c>
      <c r="D1009" s="16" t="inlineStr">
        <is>
          <t>Oil &amp; Gas</t>
        </is>
      </c>
      <c r="E1009" s="16" t="inlineStr">
        <is>
          <t>INE0I0M01023</t>
        </is>
      </c>
      <c r="F1009" s="17" t="n">
        <v>3300.54</v>
      </c>
      <c r="G1009" s="18" t="n">
        <v>230.6</v>
      </c>
      <c r="H1009" s="19" t="n">
        <v>0.0436</v>
      </c>
      <c r="I1009" s="20" t="n">
        <v>76</v>
      </c>
      <c r="J1009" s="16" t="inlineStr">
        <is>
          <t>amber</t>
        </is>
      </c>
      <c r="K1009" s="20" t="n">
        <v>4</v>
      </c>
      <c r="L1009" s="18" t="n">
        <v>83.81</v>
      </c>
      <c r="M1009" s="18" t="n">
        <v>213.6</v>
      </c>
      <c r="N1009" s="18" t="n">
        <v>167.35</v>
      </c>
      <c r="O1009" s="18" t="n">
        <v>167.45</v>
      </c>
      <c r="P1009" s="18" t="n">
        <v>246.94</v>
      </c>
      <c r="Q1009" s="18" t="n">
        <v>139.86</v>
      </c>
      <c r="R1009" s="21">
        <f>IF(OR(G1009="",P1009=""),"",G1009/P1009-1)</f>
        <v/>
      </c>
      <c r="S1009" s="19" t="n">
        <v>13.1866</v>
      </c>
      <c r="T1009" s="22" t="n">
        <v>-0.0086</v>
      </c>
      <c r="U1009" s="16" t="inlineStr">
        <is>
          <t>No</t>
        </is>
      </c>
      <c r="V1009" s="16" t="inlineStr">
        <is>
          <t>Yes</t>
        </is>
      </c>
      <c r="W1009" s="16" t="inlineStr">
        <is>
          <t>Yes</t>
        </is>
      </c>
      <c r="X1009" s="16" t="inlineStr">
        <is>
          <t>No</t>
        </is>
      </c>
      <c r="Y1009" s="20" t="n">
        <v>166</v>
      </c>
      <c r="Z1009" s="19" t="n">
        <v>-0.0005999999999999999</v>
      </c>
      <c r="AA1009" s="18" t="n">
        <v>21.66</v>
      </c>
      <c r="AB1009" s="16" t="inlineStr">
        <is>
          <t>Poor</t>
        </is>
      </c>
      <c r="AC1009" s="16" t="inlineStr">
        <is>
          <t>No</t>
        </is>
      </c>
      <c r="AD1009" s="19" t="n">
        <v>-0.0014</v>
      </c>
      <c r="AE1009" s="19" t="n">
        <v>-0.0015</v>
      </c>
      <c r="AF1009" s="19" t="n">
        <v>-0.1254</v>
      </c>
      <c r="AG1009" s="19" t="n">
        <v>0.0251</v>
      </c>
      <c r="AH1009" s="23" t="n">
        <v>0.38</v>
      </c>
      <c r="AI1009" s="23" t="n">
        <v>0.02</v>
      </c>
      <c r="AJ1009" s="19" t="n">
        <v>0.9906</v>
      </c>
    </row>
    <row r="1010">
      <c r="A1010" s="16" t="inlineStr">
        <is>
          <t>APCOTEXIND</t>
        </is>
      </c>
      <c r="B1010" s="16" t="inlineStr">
        <is>
          <t>Apcotex Industries Ltd.</t>
        </is>
      </c>
      <c r="C1010" s="16" t="inlineStr">
        <is>
          <t>Auto Tyres &amp; Rubber Products</t>
        </is>
      </c>
      <c r="D1010" s="16" t="inlineStr">
        <is>
          <t>Automobiles &amp; Auto Components</t>
        </is>
      </c>
      <c r="E1010" s="16" t="inlineStr">
        <is>
          <t>INE116A01032</t>
        </is>
      </c>
      <c r="F1010" s="17" t="n">
        <v>3294.75</v>
      </c>
      <c r="G1010" s="18" t="n">
        <v>635.5</v>
      </c>
      <c r="H1010" s="19" t="n">
        <v>-0.0229</v>
      </c>
      <c r="I1010" s="20" t="n">
        <v>85</v>
      </c>
      <c r="J1010" s="16" t="inlineStr">
        <is>
          <t>green</t>
        </is>
      </c>
      <c r="K1010" s="20" t="n">
        <v>87</v>
      </c>
      <c r="L1010" s="18" t="n">
        <v>59.36</v>
      </c>
      <c r="M1010" s="18" t="n">
        <v>631.03</v>
      </c>
      <c r="N1010" s="18" t="n">
        <v>582.95</v>
      </c>
      <c r="O1010" s="18" t="n">
        <v>447.09</v>
      </c>
      <c r="P1010" s="18" t="n">
        <v>681.6</v>
      </c>
      <c r="Q1010" s="18" t="n">
        <v>310.79</v>
      </c>
      <c r="R1010" s="21">
        <f>IF(OR(G1010="",P1010=""),"",G1010/P1010-1)</f>
        <v/>
      </c>
      <c r="S1010" s="19" t="n">
        <v>0.3443</v>
      </c>
      <c r="T1010" s="22" t="n">
        <v>0.05980000000000001</v>
      </c>
      <c r="U1010" s="16" t="inlineStr">
        <is>
          <t>Yes</t>
        </is>
      </c>
      <c r="V1010" s="16" t="inlineStr">
        <is>
          <t>Yes</t>
        </is>
      </c>
      <c r="W1010" s="16" t="inlineStr">
        <is>
          <t>Yes</t>
        </is>
      </c>
      <c r="X1010" s="16" t="inlineStr">
        <is>
          <t>Yes</t>
        </is>
      </c>
      <c r="Y1010" s="20" t="n">
        <v>84</v>
      </c>
      <c r="Z1010" s="19" t="n">
        <v>0.3039</v>
      </c>
      <c r="AA1010" s="18" t="n">
        <v>52.01</v>
      </c>
      <c r="AB1010" s="16" t="inlineStr">
        <is>
          <t>Average</t>
        </is>
      </c>
      <c r="AC1010" s="16" t="inlineStr">
        <is>
          <t>No</t>
        </is>
      </c>
      <c r="AD1010" s="19" t="n">
        <v>0.1214</v>
      </c>
      <c r="AE1010" s="19" t="n">
        <v>0.1507</v>
      </c>
      <c r="AF1010" s="19" t="n">
        <v>0.1261</v>
      </c>
      <c r="AG1010" s="19" t="n">
        <v>0.1048</v>
      </c>
      <c r="AH1010" s="23" t="n">
        <v>0.16</v>
      </c>
      <c r="AI1010" s="23" t="n">
        <v>3.82</v>
      </c>
      <c r="AJ1010" s="19" t="n">
        <v>0.0301</v>
      </c>
    </row>
    <row r="1011">
      <c r="A1011" s="16" t="inlineStr">
        <is>
          <t>CMLL</t>
        </is>
      </c>
      <c r="B1011" s="16" t="inlineStr">
        <is>
          <t>Caliber Mining and Logistics Ltd.</t>
        </is>
      </c>
      <c r="C1011" s="16" t="inlineStr">
        <is>
          <t>Diversified</t>
        </is>
      </c>
      <c r="D1011" s="16" t="inlineStr">
        <is>
          <t>Diversified</t>
        </is>
      </c>
      <c r="E1011" s="16" t="inlineStr">
        <is>
          <t>INE11XY01018</t>
        </is>
      </c>
      <c r="F1011" s="17" t="n">
        <v>3288.73</v>
      </c>
      <c r="G1011" s="18" t="n">
        <v>503.05</v>
      </c>
      <c r="H1011" s="19" t="n">
        <v>0.0033</v>
      </c>
      <c r="I1011" s="20" t="n"/>
      <c r="J1011" s="16" t="n"/>
      <c r="K1011" s="20" t="n"/>
      <c r="L1011" s="18" t="n">
        <v>44.93</v>
      </c>
      <c r="M1011" s="18" t="n">
        <v>504.47</v>
      </c>
      <c r="N1011" s="18" t="n"/>
      <c r="O1011" s="18" t="n"/>
      <c r="P1011" s="18" t="n">
        <v>599.45</v>
      </c>
      <c r="Q1011" s="18" t="n">
        <v>495.45</v>
      </c>
      <c r="R1011" s="21">
        <f>IF(OR(G1011="",P1011=""),"",G1011/P1011-1)</f>
        <v/>
      </c>
      <c r="S1011" s="19" t="n">
        <v>0.1261</v>
      </c>
      <c r="T1011" s="22" t="n"/>
      <c r="U1011" s="16" t="n"/>
      <c r="V1011" s="16" t="n"/>
      <c r="W1011" s="16" t="inlineStr">
        <is>
          <t>No</t>
        </is>
      </c>
      <c r="X1011" s="16" t="n"/>
      <c r="Y1011" s="20" t="n"/>
      <c r="Z1011" s="19" t="n"/>
      <c r="AA1011" s="18" t="n">
        <v>52.21</v>
      </c>
      <c r="AB1011" s="16" t="inlineStr">
        <is>
          <t>Average</t>
        </is>
      </c>
      <c r="AC1011" s="16" t="inlineStr">
        <is>
          <t>No</t>
        </is>
      </c>
      <c r="AD1011" s="19" t="n">
        <v>0.2789</v>
      </c>
      <c r="AE1011" s="19" t="n">
        <v>0.1743</v>
      </c>
      <c r="AF1011" s="19" t="n"/>
      <c r="AG1011" s="19" t="n">
        <v>0.3762</v>
      </c>
      <c r="AH1011" s="23" t="n">
        <v>1.73</v>
      </c>
      <c r="AI1011" s="23" t="n">
        <v>1.19</v>
      </c>
      <c r="AJ1011" s="19" t="n">
        <v>0.006999999999999999</v>
      </c>
    </row>
    <row r="1012">
      <c r="A1012" s="16" t="inlineStr">
        <is>
          <t>FUSION</t>
        </is>
      </c>
      <c r="B1012" s="16" t="inlineStr">
        <is>
          <t>Fusion Finance Ltd.</t>
        </is>
      </c>
      <c r="C1012" s="16" t="inlineStr">
        <is>
          <t>Microfinance Institutions</t>
        </is>
      </c>
      <c r="D1012" s="16" t="inlineStr">
        <is>
          <t>Banking and Finance</t>
        </is>
      </c>
      <c r="E1012" s="16" t="inlineStr">
        <is>
          <t>INE139R01012</t>
        </is>
      </c>
      <c r="F1012" s="17" t="n">
        <v>3286.17</v>
      </c>
      <c r="G1012" s="18" t="n">
        <v>203.19</v>
      </c>
      <c r="H1012" s="19" t="n">
        <v>0.0173</v>
      </c>
      <c r="I1012" s="20" t="n">
        <v>66</v>
      </c>
      <c r="J1012" s="16" t="inlineStr">
        <is>
          <t>amber</t>
        </is>
      </c>
      <c r="K1012" s="20" t="n">
        <v>2</v>
      </c>
      <c r="L1012" s="18" t="n">
        <v>56.11</v>
      </c>
      <c r="M1012" s="18" t="n">
        <v>198.98</v>
      </c>
      <c r="N1012" s="18" t="n">
        <v>210.24</v>
      </c>
      <c r="O1012" s="18" t="n">
        <v>183.04</v>
      </c>
      <c r="P1012" s="18" t="n">
        <v>237.14</v>
      </c>
      <c r="Q1012" s="18" t="n">
        <v>138.24</v>
      </c>
      <c r="R1012" s="21">
        <f>IF(OR(G1012="",P1012=""),"",G1012/P1012-1)</f>
        <v/>
      </c>
      <c r="S1012" s="19" t="n">
        <v>1.806</v>
      </c>
      <c r="T1012" s="22" t="n">
        <v>0.0127</v>
      </c>
      <c r="U1012" s="16" t="inlineStr">
        <is>
          <t>Yes</t>
        </is>
      </c>
      <c r="V1012" s="16" t="inlineStr">
        <is>
          <t>No</t>
        </is>
      </c>
      <c r="W1012" s="16" t="inlineStr">
        <is>
          <t>Yes</t>
        </is>
      </c>
      <c r="X1012" s="16" t="inlineStr">
        <is>
          <t>Yes</t>
        </is>
      </c>
      <c r="Y1012" s="20" t="n">
        <v>76</v>
      </c>
      <c r="Z1012" s="19" t="n">
        <v>0.1486</v>
      </c>
      <c r="AA1012" s="18" t="n">
        <v>5.57</v>
      </c>
      <c r="AB1012" s="16" t="inlineStr">
        <is>
          <t>Poor</t>
        </is>
      </c>
      <c r="AC1012" s="16" t="inlineStr">
        <is>
          <t>Yes</t>
        </is>
      </c>
      <c r="AD1012" s="19" t="n">
        <v>-0.1874</v>
      </c>
      <c r="AE1012" s="19" t="n">
        <v>-0.0301</v>
      </c>
      <c r="AF1012" s="19" t="n">
        <v>-0.7734000000000001</v>
      </c>
      <c r="AG1012" s="19" t="n">
        <v>0.0145</v>
      </c>
      <c r="AH1012" s="23" t="n">
        <v>2.27</v>
      </c>
      <c r="AI1012" s="23" t="n">
        <v>61.58</v>
      </c>
      <c r="AJ1012" s="19" t="n">
        <v>0</v>
      </c>
    </row>
    <row r="1013">
      <c r="A1013" s="16" t="inlineStr">
        <is>
          <t>ADVENZYMES</t>
        </is>
      </c>
      <c r="B1013" s="16" t="inlineStr">
        <is>
          <t>Advanced Enzyme Technologies Ltd.</t>
        </is>
      </c>
      <c r="C1013" s="16" t="inlineStr">
        <is>
          <t>Biotechnology</t>
        </is>
      </c>
      <c r="D1013" s="16" t="inlineStr">
        <is>
          <t>Pharmaceuticals &amp; Biotechnology</t>
        </is>
      </c>
      <c r="E1013" s="16" t="inlineStr">
        <is>
          <t>INE837H01020</t>
        </is>
      </c>
      <c r="F1013" s="17" t="n">
        <v>3283.14</v>
      </c>
      <c r="G1013" s="18" t="n">
        <v>293.2</v>
      </c>
      <c r="H1013" s="19" t="n">
        <v>-0.0095</v>
      </c>
      <c r="I1013" s="20" t="n">
        <v>17</v>
      </c>
      <c r="J1013" s="16" t="inlineStr">
        <is>
          <t>red</t>
        </is>
      </c>
      <c r="K1013" s="20" t="n">
        <v>50</v>
      </c>
      <c r="L1013" s="18" t="n">
        <v>32.49</v>
      </c>
      <c r="M1013" s="18" t="n">
        <v>295.77</v>
      </c>
      <c r="N1013" s="18" t="n">
        <v>311.1</v>
      </c>
      <c r="O1013" s="18" t="n">
        <v>314.3</v>
      </c>
      <c r="P1013" s="18" t="n">
        <v>390.42</v>
      </c>
      <c r="Q1013" s="18" t="n">
        <v>254.2</v>
      </c>
      <c r="R1013" s="21">
        <f>IF(OR(G1013="",P1013=""),"",G1013/P1013-1)</f>
        <v/>
      </c>
      <c r="S1013" s="19" t="n">
        <v>0.8384</v>
      </c>
      <c r="T1013" s="22" t="n">
        <v>-0.0052</v>
      </c>
      <c r="U1013" s="16" t="inlineStr">
        <is>
          <t>No</t>
        </is>
      </c>
      <c r="V1013" s="16" t="inlineStr">
        <is>
          <t>No</t>
        </is>
      </c>
      <c r="W1013" s="16" t="inlineStr">
        <is>
          <t>No</t>
        </is>
      </c>
      <c r="X1013" s="16" t="inlineStr">
        <is>
          <t>No</t>
        </is>
      </c>
      <c r="Y1013" s="20" t="n">
        <v>4</v>
      </c>
      <c r="Z1013" s="19" t="n">
        <v>-0.0102</v>
      </c>
      <c r="AA1013" s="18" t="n">
        <v>40</v>
      </c>
      <c r="AB1013" s="16" t="inlineStr">
        <is>
          <t>Weak</t>
        </is>
      </c>
      <c r="AC1013" s="16" t="inlineStr">
        <is>
          <t>No</t>
        </is>
      </c>
      <c r="AD1013" s="19" t="n">
        <v>0.09880000000000001</v>
      </c>
      <c r="AE1013" s="19" t="n">
        <v>0.137</v>
      </c>
      <c r="AF1013" s="19" t="n">
        <v>-0.2521</v>
      </c>
      <c r="AG1013" s="19" t="n">
        <v>0.115</v>
      </c>
      <c r="AH1013" s="23" t="n">
        <v>0.02</v>
      </c>
      <c r="AI1013" s="23" t="n">
        <v>2.28</v>
      </c>
      <c r="AJ1013" s="19" t="n">
        <v>0.1565</v>
      </c>
    </row>
    <row r="1014">
      <c r="A1014" s="16" t="inlineStr">
        <is>
          <t>ARSSBL</t>
        </is>
      </c>
      <c r="B1014" s="16" t="inlineStr">
        <is>
          <t>Anand Rathi Share &amp; Stock Brokers Ltd.</t>
        </is>
      </c>
      <c r="C1014" s="16" t="inlineStr">
        <is>
          <t>Capital Markets</t>
        </is>
      </c>
      <c r="D1014" s="16" t="inlineStr">
        <is>
          <t>Banking and Finance</t>
        </is>
      </c>
      <c r="E1014" s="16" t="inlineStr">
        <is>
          <t>INE549H01021</t>
        </is>
      </c>
      <c r="F1014" s="17" t="n">
        <v>3248.23</v>
      </c>
      <c r="G1014" s="18" t="n">
        <v>515.05</v>
      </c>
      <c r="H1014" s="19" t="n">
        <v>0.0002</v>
      </c>
      <c r="I1014" s="20" t="n">
        <v>33</v>
      </c>
      <c r="J1014" s="16" t="inlineStr">
        <is>
          <t>red</t>
        </is>
      </c>
      <c r="K1014" s="20" t="n">
        <v>44</v>
      </c>
      <c r="L1014" s="18" t="n">
        <v>53.14</v>
      </c>
      <c r="M1014" s="18" t="n">
        <v>513.61</v>
      </c>
      <c r="N1014" s="18" t="n">
        <v>526.62</v>
      </c>
      <c r="O1014" s="18" t="n">
        <v>553.22</v>
      </c>
      <c r="P1014" s="18" t="n">
        <v>767.12</v>
      </c>
      <c r="Q1014" s="18" t="n">
        <v>414.41</v>
      </c>
      <c r="R1014" s="21">
        <f>IF(OR(G1014="",P1014=""),"",G1014/P1014-1)</f>
        <v/>
      </c>
      <c r="S1014" s="19" t="n">
        <v>0.978</v>
      </c>
      <c r="T1014" s="22" t="n">
        <v>-0.013</v>
      </c>
      <c r="U1014" s="16" t="inlineStr">
        <is>
          <t>No</t>
        </is>
      </c>
      <c r="V1014" s="16" t="inlineStr">
        <is>
          <t>No</t>
        </is>
      </c>
      <c r="W1014" s="16" t="inlineStr">
        <is>
          <t>Yes</t>
        </is>
      </c>
      <c r="X1014" s="16" t="inlineStr">
        <is>
          <t>No</t>
        </is>
      </c>
      <c r="Y1014" s="20" t="n">
        <v>35</v>
      </c>
      <c r="Z1014" s="19" t="n">
        <v>-0.0481</v>
      </c>
      <c r="AA1014" s="18" t="n">
        <v>72.56999999999999</v>
      </c>
      <c r="AB1014" s="16" t="inlineStr">
        <is>
          <t>High</t>
        </is>
      </c>
      <c r="AC1014" s="16" t="inlineStr">
        <is>
          <t>Yes</t>
        </is>
      </c>
      <c r="AD1014" s="19" t="n">
        <v>0.1661</v>
      </c>
      <c r="AE1014" s="19" t="n">
        <v>0.172</v>
      </c>
      <c r="AF1014" s="19" t="n">
        <v>0.6013000000000001</v>
      </c>
      <c r="AG1014" s="19" t="n">
        <v>0.212</v>
      </c>
      <c r="AH1014" s="23" t="n">
        <v>0.62</v>
      </c>
      <c r="AI1014" s="23" t="n">
        <v>11.11</v>
      </c>
      <c r="AJ1014" s="19" t="n">
        <v>0</v>
      </c>
    </row>
    <row r="1015">
      <c r="A1015" s="16" t="inlineStr">
        <is>
          <t>CARYSIL</t>
        </is>
      </c>
      <c r="B1015" s="16" t="inlineStr">
        <is>
          <t>Carysil Ltd.</t>
        </is>
      </c>
      <c r="C1015" s="16" t="inlineStr">
        <is>
          <t>Household Products</t>
        </is>
      </c>
      <c r="D1015" s="16" t="inlineStr">
        <is>
          <t>Consumer Durables</t>
        </is>
      </c>
      <c r="E1015" s="16" t="inlineStr">
        <is>
          <t>INE482D01024</t>
        </is>
      </c>
      <c r="F1015" s="17" t="n">
        <v>3244.73</v>
      </c>
      <c r="G1015" s="18" t="n">
        <v>1140.8</v>
      </c>
      <c r="H1015" s="19" t="n">
        <v>-0.014</v>
      </c>
      <c r="I1015" s="20" t="n">
        <v>63</v>
      </c>
      <c r="J1015" s="16" t="inlineStr">
        <is>
          <t>amber</t>
        </is>
      </c>
      <c r="K1015" s="20" t="n">
        <v>18</v>
      </c>
      <c r="L1015" s="18" t="n">
        <v>45.75</v>
      </c>
      <c r="M1015" s="18" t="n">
        <v>1131.54</v>
      </c>
      <c r="N1015" s="18" t="n">
        <v>1166.59</v>
      </c>
      <c r="O1015" s="18" t="n">
        <v>988.85</v>
      </c>
      <c r="P1015" s="18" t="n">
        <v>1251.7</v>
      </c>
      <c r="Q1015" s="18" t="n">
        <v>737.05</v>
      </c>
      <c r="R1015" s="21">
        <f>IF(OR(G1015="",P1015=""),"",G1015/P1015-1)</f>
        <v/>
      </c>
      <c r="S1015" s="19" t="n">
        <v>0.7703</v>
      </c>
      <c r="T1015" s="22" t="n">
        <v>0.0198</v>
      </c>
      <c r="U1015" s="16" t="inlineStr">
        <is>
          <t>Yes</t>
        </is>
      </c>
      <c r="V1015" s="16" t="inlineStr">
        <is>
          <t>No</t>
        </is>
      </c>
      <c r="W1015" s="16" t="inlineStr">
        <is>
          <t>Yes</t>
        </is>
      </c>
      <c r="X1015" s="16" t="inlineStr">
        <is>
          <t>Yes</t>
        </is>
      </c>
      <c r="Y1015" s="20" t="n">
        <v>71</v>
      </c>
      <c r="Z1015" s="19" t="n">
        <v>0.1797</v>
      </c>
      <c r="AA1015" s="18" t="n">
        <v>40</v>
      </c>
      <c r="AB1015" s="16" t="inlineStr">
        <is>
          <t>Weak</t>
        </is>
      </c>
      <c r="AC1015" s="16" t="inlineStr">
        <is>
          <t>No</t>
        </is>
      </c>
      <c r="AD1015" s="19" t="n">
        <v>0.1487</v>
      </c>
      <c r="AE1015" s="19" t="n">
        <v>0.1528</v>
      </c>
      <c r="AF1015" s="19" t="n">
        <v>-0.2854</v>
      </c>
      <c r="AG1015" s="19" t="n">
        <v>0.1632</v>
      </c>
      <c r="AH1015" s="23" t="n">
        <v>0.46</v>
      </c>
      <c r="AI1015" s="23" t="n">
        <v>2.63</v>
      </c>
      <c r="AJ1015" s="19" t="n">
        <v>0.0721</v>
      </c>
    </row>
    <row r="1016">
      <c r="A1016" s="16" t="inlineStr">
        <is>
          <t>ASHOKA</t>
        </is>
      </c>
      <c r="B1016" s="16" t="inlineStr">
        <is>
          <t>Ashoka Buildcon Ltd.</t>
        </is>
      </c>
      <c r="C1016" s="16" t="inlineStr">
        <is>
          <t>Roads &amp; Highways</t>
        </is>
      </c>
      <c r="D1016" s="16" t="inlineStr">
        <is>
          <t>Cement and Construction</t>
        </is>
      </c>
      <c r="E1016" s="16" t="inlineStr">
        <is>
          <t>INE442H01029</t>
        </is>
      </c>
      <c r="F1016" s="17" t="n">
        <v>3243.76</v>
      </c>
      <c r="G1016" s="18" t="n">
        <v>115.55</v>
      </c>
      <c r="H1016" s="19" t="n">
        <v>-0.0151</v>
      </c>
      <c r="I1016" s="20" t="n">
        <v>11</v>
      </c>
      <c r="J1016" s="16" t="inlineStr">
        <is>
          <t>red</t>
        </is>
      </c>
      <c r="K1016" s="20" t="n">
        <v>313</v>
      </c>
      <c r="L1016" s="18" t="n">
        <v>54.99</v>
      </c>
      <c r="M1016" s="18" t="n">
        <v>116.51</v>
      </c>
      <c r="N1016" s="18" t="n">
        <v>121.31</v>
      </c>
      <c r="O1016" s="18" t="n">
        <v>136.4</v>
      </c>
      <c r="P1016" s="18" t="n">
        <v>211.59</v>
      </c>
      <c r="Q1016" s="18" t="n">
        <v>102.13</v>
      </c>
      <c r="R1016" s="21">
        <f>IF(OR(G1016="",P1016=""),"",G1016/P1016-1)</f>
        <v/>
      </c>
      <c r="S1016" s="19" t="n">
        <v>0.2349</v>
      </c>
      <c r="T1016" s="22" t="n">
        <v>-0.0563</v>
      </c>
      <c r="U1016" s="16" t="inlineStr">
        <is>
          <t>No</t>
        </is>
      </c>
      <c r="V1016" s="16" t="inlineStr">
        <is>
          <t>No</t>
        </is>
      </c>
      <c r="W1016" s="16" t="inlineStr">
        <is>
          <t>No</t>
        </is>
      </c>
      <c r="X1016" s="16" t="inlineStr">
        <is>
          <t>No</t>
        </is>
      </c>
      <c r="Y1016" s="20" t="n">
        <v>371</v>
      </c>
      <c r="Z1016" s="19" t="n">
        <v>-0.1106</v>
      </c>
      <c r="AA1016" s="18" t="n">
        <v>71.95</v>
      </c>
      <c r="AB1016" s="16" t="inlineStr">
        <is>
          <t>High</t>
        </is>
      </c>
      <c r="AC1016" s="16" t="inlineStr">
        <is>
          <t>No</t>
        </is>
      </c>
      <c r="AD1016" s="19" t="n">
        <v>0.349</v>
      </c>
      <c r="AE1016" s="19" t="n">
        <v>0.4021</v>
      </c>
      <c r="AF1016" s="19" t="n">
        <v>0.836</v>
      </c>
      <c r="AG1016" s="19" t="n">
        <v>0.0293</v>
      </c>
      <c r="AH1016" s="23" t="n">
        <v>0.24</v>
      </c>
      <c r="AI1016" s="23" t="n">
        <v>15.59</v>
      </c>
      <c r="AJ1016" s="19" t="n">
        <v>0.1113</v>
      </c>
    </row>
    <row r="1017">
      <c r="A1017" s="16" t="inlineStr">
        <is>
          <t>VINDHYATEL</t>
        </is>
      </c>
      <c r="B1017" s="16" t="inlineStr">
        <is>
          <t>Vindhya Telelinks Ltd.</t>
        </is>
      </c>
      <c r="C1017" s="16" t="inlineStr">
        <is>
          <t>Construction &amp; Engineering</t>
        </is>
      </c>
      <c r="D1017" s="16" t="inlineStr">
        <is>
          <t>Cement and Construction</t>
        </is>
      </c>
      <c r="E1017" s="16" t="inlineStr">
        <is>
          <t>INE707A01012</t>
        </is>
      </c>
      <c r="F1017" s="17" t="n">
        <v>3238.5</v>
      </c>
      <c r="G1017" s="18" t="n">
        <v>2732.7</v>
      </c>
      <c r="H1017" s="19" t="n">
        <v>-0.0013</v>
      </c>
      <c r="I1017" s="20" t="n">
        <v>93</v>
      </c>
      <c r="J1017" s="16" t="inlineStr">
        <is>
          <t>green</t>
        </is>
      </c>
      <c r="K1017" s="20" t="n">
        <v>34</v>
      </c>
      <c r="L1017" s="18" t="n">
        <v>70.48</v>
      </c>
      <c r="M1017" s="18" t="n">
        <v>2603.86</v>
      </c>
      <c r="N1017" s="18" t="n">
        <v>2203.43</v>
      </c>
      <c r="O1017" s="18" t="n">
        <v>1627.5</v>
      </c>
      <c r="P1017" s="18" t="n">
        <v>2737.1</v>
      </c>
      <c r="Q1017" s="18" t="n">
        <v>971.9</v>
      </c>
      <c r="R1017" s="21">
        <f>IF(OR(G1017="",P1017=""),"",G1017/P1017-1)</f>
        <v/>
      </c>
      <c r="S1017" s="19" t="n">
        <v>0.8018999999999999</v>
      </c>
      <c r="T1017" s="22" t="n">
        <v>0.0712</v>
      </c>
      <c r="U1017" s="16" t="inlineStr">
        <is>
          <t>Yes</t>
        </is>
      </c>
      <c r="V1017" s="16" t="inlineStr">
        <is>
          <t>Yes</t>
        </is>
      </c>
      <c r="W1017" s="16" t="inlineStr">
        <is>
          <t>Yes</t>
        </is>
      </c>
      <c r="X1017" s="16" t="inlineStr">
        <is>
          <t>Yes</t>
        </is>
      </c>
      <c r="Y1017" s="20" t="n">
        <v>72</v>
      </c>
      <c r="Z1017" s="19" t="n">
        <v>0.3539</v>
      </c>
      <c r="AA1017" s="18" t="n">
        <v>37.01</v>
      </c>
      <c r="AB1017" s="16" t="inlineStr">
        <is>
          <t>Weak</t>
        </is>
      </c>
      <c r="AC1017" s="16" t="inlineStr">
        <is>
          <t>No</t>
        </is>
      </c>
      <c r="AD1017" s="19" t="n">
        <v>0.05769999999999999</v>
      </c>
      <c r="AE1017" s="19" t="n">
        <v>0.08210000000000001</v>
      </c>
      <c r="AF1017" s="19" t="n">
        <v>-0.2523</v>
      </c>
      <c r="AG1017" s="19" t="n">
        <v>0.095</v>
      </c>
      <c r="AH1017" s="23" t="n">
        <v>0.34</v>
      </c>
      <c r="AI1017" s="23" t="n">
        <v>22.09</v>
      </c>
      <c r="AJ1017" s="19" t="n">
        <v>0.0525</v>
      </c>
    </row>
    <row r="1018">
      <c r="A1018" s="16" t="inlineStr">
        <is>
          <t>WEBELSOLAR</t>
        </is>
      </c>
      <c r="B1018" s="16" t="inlineStr">
        <is>
          <t>Websol Energy Systems Ltd.</t>
        </is>
      </c>
      <c r="C1018" s="16" t="inlineStr">
        <is>
          <t>Other Electrical Equipment/Products</t>
        </is>
      </c>
      <c r="D1018" s="16" t="inlineStr">
        <is>
          <t>Consumer Durables</t>
        </is>
      </c>
      <c r="E1018" s="16" t="inlineStr">
        <is>
          <t>INE855C01023</t>
        </is>
      </c>
      <c r="F1018" s="17" t="n">
        <v>3235.82</v>
      </c>
      <c r="G1018" s="18" t="n">
        <v>74.53</v>
      </c>
      <c r="H1018" s="19" t="n">
        <v>-0.0362</v>
      </c>
      <c r="I1018" s="20" t="n">
        <v>9</v>
      </c>
      <c r="J1018" s="16" t="inlineStr">
        <is>
          <t>red</t>
        </is>
      </c>
      <c r="K1018" s="20" t="n">
        <v>48</v>
      </c>
      <c r="L1018" s="18" t="n">
        <v>33.35</v>
      </c>
      <c r="M1018" s="18" t="n">
        <v>76.26000000000001</v>
      </c>
      <c r="N1018" s="18" t="n">
        <v>92.38</v>
      </c>
      <c r="O1018" s="18" t="n">
        <v>89.66</v>
      </c>
      <c r="P1018" s="18" t="n">
        <v>135.28</v>
      </c>
      <c r="Q1018" s="18" t="n">
        <v>51.89</v>
      </c>
      <c r="R1018" s="21">
        <f>IF(OR(G1018="",P1018=""),"",G1018/P1018-1)</f>
        <v/>
      </c>
      <c r="S1018" s="19" t="n">
        <v>1.166</v>
      </c>
      <c r="T1018" s="22" t="n">
        <v>-0.0459</v>
      </c>
      <c r="U1018" s="16" t="inlineStr">
        <is>
          <t>No</t>
        </is>
      </c>
      <c r="V1018" s="16" t="inlineStr">
        <is>
          <t>No</t>
        </is>
      </c>
      <c r="W1018" s="16" t="inlineStr">
        <is>
          <t>No</t>
        </is>
      </c>
      <c r="X1018" s="16" t="inlineStr">
        <is>
          <t>Yes</t>
        </is>
      </c>
      <c r="Y1018" s="20" t="n">
        <v>65</v>
      </c>
      <c r="Z1018" s="19" t="n">
        <v>0.0303</v>
      </c>
      <c r="AA1018" s="18" t="n">
        <v>40</v>
      </c>
      <c r="AB1018" s="16" t="inlineStr">
        <is>
          <t>Weak</t>
        </is>
      </c>
      <c r="AC1018" s="16" t="inlineStr">
        <is>
          <t>No</t>
        </is>
      </c>
      <c r="AD1018" s="19" t="n">
        <v>-0.0287</v>
      </c>
      <c r="AE1018" s="19" t="n">
        <v>0.1602</v>
      </c>
      <c r="AF1018" s="19" t="n">
        <v>-0.209</v>
      </c>
      <c r="AG1018" s="19" t="n">
        <v>7.5261</v>
      </c>
      <c r="AH1018" s="23" t="n">
        <v>0.21</v>
      </c>
      <c r="AI1018" s="23" t="n">
        <v>2.29</v>
      </c>
      <c r="AJ1018" s="19" t="n">
        <v>0.0018</v>
      </c>
    </row>
    <row r="1019">
      <c r="A1019" s="16" t="inlineStr">
        <is>
          <t>SEIL</t>
        </is>
      </c>
      <c r="B1019" s="16" t="inlineStr">
        <is>
          <t>Shanti Educational Initiatives Ltd.</t>
        </is>
      </c>
      <c r="C1019" s="16" t="inlineStr">
        <is>
          <t>Education</t>
        </is>
      </c>
      <c r="D1019" s="16" t="inlineStr">
        <is>
          <t>Diversified Consumer Services</t>
        </is>
      </c>
      <c r="E1019" s="16" t="inlineStr">
        <is>
          <t>INE440T01028</t>
        </is>
      </c>
      <c r="F1019" s="17" t="n">
        <v>3234.83</v>
      </c>
      <c r="G1019" s="18" t="n">
        <v>200.8</v>
      </c>
      <c r="H1019" s="19" t="n">
        <v>-0.0059</v>
      </c>
      <c r="I1019" s="20" t="n">
        <v>67</v>
      </c>
      <c r="J1019" s="16" t="inlineStr">
        <is>
          <t>amber</t>
        </is>
      </c>
      <c r="K1019" s="20" t="n">
        <v>9</v>
      </c>
      <c r="L1019" s="18" t="n">
        <v>37.68</v>
      </c>
      <c r="M1019" s="18" t="n">
        <v>204.26</v>
      </c>
      <c r="N1019" s="18" t="n">
        <v>209.31</v>
      </c>
      <c r="O1019" s="18" t="n">
        <v>187.77</v>
      </c>
      <c r="P1019" s="18" t="n">
        <v>234.25</v>
      </c>
      <c r="Q1019" s="18" t="n">
        <v>108.7</v>
      </c>
      <c r="R1019" s="21">
        <f>IF(OR(G1019="",P1019=""),"",G1019/P1019-1)</f>
        <v/>
      </c>
      <c r="S1019" s="19" t="n">
        <v>0.6158</v>
      </c>
      <c r="T1019" s="22" t="n">
        <v>0.0539</v>
      </c>
      <c r="U1019" s="16" t="inlineStr">
        <is>
          <t>Yes</t>
        </is>
      </c>
      <c r="V1019" s="16" t="inlineStr">
        <is>
          <t>No</t>
        </is>
      </c>
      <c r="W1019" s="16" t="inlineStr">
        <is>
          <t>No</t>
        </is>
      </c>
      <c r="X1019" s="16" t="inlineStr">
        <is>
          <t>Yes</t>
        </is>
      </c>
      <c r="Y1019" s="20" t="n">
        <v>241</v>
      </c>
      <c r="Z1019" s="19" t="n">
        <v>0.1147</v>
      </c>
      <c r="AA1019" s="18" t="n"/>
      <c r="AB1019" s="16" t="n"/>
      <c r="AC1019" s="16" t="inlineStr">
        <is>
          <t>No</t>
        </is>
      </c>
      <c r="AD1019" s="19" t="n"/>
      <c r="AE1019" s="19" t="n"/>
      <c r="AF1019" s="19" t="n"/>
      <c r="AG1019" s="19" t="n"/>
      <c r="AH1019" s="23" t="n"/>
      <c r="AI1019" s="23" t="n"/>
      <c r="AJ1019" s="19" t="n"/>
    </row>
    <row r="1020">
      <c r="A1020" s="16" t="inlineStr">
        <is>
          <t>DPABHUSHAN</t>
        </is>
      </c>
      <c r="B1020" s="16" t="inlineStr">
        <is>
          <t>D P Abhushan Ltd.</t>
        </is>
      </c>
      <c r="C1020" s="16" t="inlineStr">
        <is>
          <t>Gems &amp; Jewellery</t>
        </is>
      </c>
      <c r="D1020" s="16" t="inlineStr">
        <is>
          <t>Textiles Apparels &amp; Accessories</t>
        </is>
      </c>
      <c r="E1020" s="16" t="inlineStr">
        <is>
          <t>INE266Y01019</t>
        </is>
      </c>
      <c r="F1020" s="17" t="n">
        <v>3228.32</v>
      </c>
      <c r="G1020" s="18" t="n">
        <v>1414.2</v>
      </c>
      <c r="H1020" s="19" t="n">
        <v>0.0403</v>
      </c>
      <c r="I1020" s="20" t="n">
        <v>72</v>
      </c>
      <c r="J1020" s="16" t="inlineStr">
        <is>
          <t>amber</t>
        </is>
      </c>
      <c r="K1020" s="20" t="n">
        <v>25</v>
      </c>
      <c r="L1020" s="18" t="n">
        <v>51.05</v>
      </c>
      <c r="M1020" s="18" t="n">
        <v>1443.17</v>
      </c>
      <c r="N1020" s="18" t="n">
        <v>1329.93</v>
      </c>
      <c r="O1020" s="18" t="n">
        <v>1221.44</v>
      </c>
      <c r="P1020" s="18" t="n">
        <v>1643</v>
      </c>
      <c r="Q1020" s="18" t="n">
        <v>887.5</v>
      </c>
      <c r="R1020" s="21">
        <f>IF(OR(G1020="",P1020=""),"",G1020/P1020-1)</f>
        <v/>
      </c>
      <c r="S1020" s="19" t="n">
        <v>0.9998</v>
      </c>
      <c r="T1020" s="22" t="n">
        <v>-0.0001</v>
      </c>
      <c r="U1020" s="16" t="inlineStr">
        <is>
          <t>No</t>
        </is>
      </c>
      <c r="V1020" s="16" t="inlineStr">
        <is>
          <t>Yes</t>
        </is>
      </c>
      <c r="W1020" s="16" t="inlineStr">
        <is>
          <t>No</t>
        </is>
      </c>
      <c r="X1020" s="16" t="inlineStr">
        <is>
          <t>Yes</t>
        </is>
      </c>
      <c r="Y1020" s="20" t="n">
        <v>11</v>
      </c>
      <c r="Z1020" s="19" t="n">
        <v>0.0888</v>
      </c>
      <c r="AA1020" s="18" t="n">
        <v>73.64</v>
      </c>
      <c r="AB1020" s="16" t="inlineStr">
        <is>
          <t>High</t>
        </is>
      </c>
      <c r="AC1020" s="16" t="inlineStr">
        <is>
          <t>No</t>
        </is>
      </c>
      <c r="AD1020" s="19" t="n">
        <v>0.291</v>
      </c>
      <c r="AE1020" s="19" t="n">
        <v>0.2771</v>
      </c>
      <c r="AF1020" s="19" t="n">
        <v>0.6736</v>
      </c>
      <c r="AG1020" s="19" t="n">
        <v>0.2758</v>
      </c>
      <c r="AH1020" s="23" t="n">
        <v>0.48</v>
      </c>
      <c r="AI1020" s="23" t="n">
        <v>54.55</v>
      </c>
      <c r="AJ1020" s="19" t="n">
        <v>0.0074</v>
      </c>
    </row>
    <row r="1021">
      <c r="A1021" s="16" t="inlineStr">
        <is>
          <t>UEL</t>
        </is>
      </c>
      <c r="B1021" s="16" t="inlineStr">
        <is>
          <t>Ujaas Energy Ltd.</t>
        </is>
      </c>
      <c r="C1021" s="16" t="inlineStr">
        <is>
          <t>Heavy Electrical Equipment</t>
        </is>
      </c>
      <c r="D1021" s="16" t="inlineStr">
        <is>
          <t>General Industrials</t>
        </is>
      </c>
      <c r="E1021" s="16" t="inlineStr">
        <is>
          <t>INE899L01030</t>
        </is>
      </c>
      <c r="F1021" s="17" t="n">
        <v>3222.89</v>
      </c>
      <c r="G1021" s="18" t="n">
        <v>241.6</v>
      </c>
      <c r="H1021" s="19" t="n">
        <v>0.05</v>
      </c>
      <c r="I1021" s="20" t="n">
        <v>93</v>
      </c>
      <c r="J1021" s="16" t="inlineStr">
        <is>
          <t>green</t>
        </is>
      </c>
      <c r="K1021" s="20" t="n">
        <v>6</v>
      </c>
      <c r="L1021" s="18" t="n">
        <v>56.98</v>
      </c>
      <c r="M1021" s="18" t="n">
        <v>204.97</v>
      </c>
      <c r="N1021" s="18" t="n">
        <v>171.17</v>
      </c>
      <c r="O1021" s="18" t="n">
        <v>153.37</v>
      </c>
      <c r="P1021" s="18" t="n">
        <v>273.12</v>
      </c>
      <c r="Q1021" s="18" t="n">
        <v>92.42</v>
      </c>
      <c r="R1021" s="21">
        <f>IF(OR(G1021="",P1021=""),"",G1021/P1021-1)</f>
        <v/>
      </c>
      <c r="S1021" s="19" t="n">
        <v>0.5195000000000001</v>
      </c>
      <c r="T1021" s="22" t="n">
        <v>0.06280000000000001</v>
      </c>
      <c r="U1021" s="16" t="inlineStr">
        <is>
          <t>Yes</t>
        </is>
      </c>
      <c r="V1021" s="16" t="inlineStr">
        <is>
          <t>Yes</t>
        </is>
      </c>
      <c r="W1021" s="16" t="inlineStr">
        <is>
          <t>Yes</t>
        </is>
      </c>
      <c r="X1021" s="16" t="inlineStr">
        <is>
          <t>Yes</t>
        </is>
      </c>
      <c r="Y1021" s="20" t="n">
        <v>19</v>
      </c>
      <c r="Z1021" s="19" t="n">
        <v>0.116</v>
      </c>
      <c r="AA1021" s="18" t="n">
        <v>32.19</v>
      </c>
      <c r="AB1021" s="16" t="inlineStr">
        <is>
          <t>Poor</t>
        </is>
      </c>
      <c r="AC1021" s="16" t="inlineStr">
        <is>
          <t>No</t>
        </is>
      </c>
      <c r="AD1021" s="19" t="n">
        <v>0.1547</v>
      </c>
      <c r="AE1021" s="19" t="n">
        <v>0.0757</v>
      </c>
      <c r="AF1021" s="19" t="n">
        <v>0.1168</v>
      </c>
      <c r="AG1021" s="19" t="n">
        <v>-0.1597</v>
      </c>
      <c r="AH1021" s="23" t="n">
        <v>0.27</v>
      </c>
      <c r="AI1021" s="23" t="n">
        <v>0.57</v>
      </c>
      <c r="AJ1021" s="19" t="n">
        <v>0</v>
      </c>
    </row>
    <row r="1022">
      <c r="A1022" s="16" t="inlineStr">
        <is>
          <t>KESAR</t>
        </is>
      </c>
      <c r="B1022" s="16" t="inlineStr">
        <is>
          <t>Kesar India Ltd.</t>
        </is>
      </c>
      <c r="C1022" s="16" t="inlineStr">
        <is>
          <t>Realty</t>
        </is>
      </c>
      <c r="D1022" s="16" t="inlineStr">
        <is>
          <t>Realty</t>
        </is>
      </c>
      <c r="E1022" s="16" t="inlineStr">
        <is>
          <t>INE0L1C01019</t>
        </is>
      </c>
      <c r="F1022" s="17" t="n">
        <v>3219.78</v>
      </c>
      <c r="G1022" s="18" t="n">
        <v>1150</v>
      </c>
      <c r="H1022" s="19" t="n">
        <v>0.008800000000000001</v>
      </c>
      <c r="I1022" s="20" t="n">
        <v>63</v>
      </c>
      <c r="J1022" s="16" t="inlineStr">
        <is>
          <t>amber</t>
        </is>
      </c>
      <c r="K1022" s="20" t="n">
        <v>1</v>
      </c>
      <c r="L1022" s="18" t="n">
        <v>28.16</v>
      </c>
      <c r="M1022" s="18" t="n">
        <v>1157.29</v>
      </c>
      <c r="N1022" s="18" t="n">
        <v>1232.12</v>
      </c>
      <c r="O1022" s="18" t="n">
        <v>1176.92</v>
      </c>
      <c r="P1022" s="18" t="n">
        <v>1284.85</v>
      </c>
      <c r="Q1022" s="18" t="n">
        <v>644.6</v>
      </c>
      <c r="R1022" s="21">
        <f>IF(OR(G1022="",P1022=""),"",G1022/P1022-1)</f>
        <v/>
      </c>
      <c r="S1022" s="19" t="n">
        <v>8.7575</v>
      </c>
      <c r="T1022" s="22" t="n">
        <v>0.033</v>
      </c>
      <c r="U1022" s="16" t="inlineStr">
        <is>
          <t>Yes</t>
        </is>
      </c>
      <c r="V1022" s="16" t="inlineStr">
        <is>
          <t>No</t>
        </is>
      </c>
      <c r="W1022" s="16" t="inlineStr">
        <is>
          <t>No</t>
        </is>
      </c>
      <c r="X1022" s="16" t="inlineStr">
        <is>
          <t>Yes</t>
        </is>
      </c>
      <c r="Y1022" s="20" t="n">
        <v>242</v>
      </c>
      <c r="Z1022" s="19" t="n">
        <v>0.0469</v>
      </c>
      <c r="AA1022" s="18" t="n"/>
      <c r="AB1022" s="16" t="n"/>
      <c r="AC1022" s="16" t="inlineStr">
        <is>
          <t>No</t>
        </is>
      </c>
      <c r="AD1022" s="19" t="n"/>
      <c r="AE1022" s="19" t="n"/>
      <c r="AF1022" s="19" t="n"/>
      <c r="AG1022" s="19" t="n"/>
      <c r="AH1022" s="23" t="n"/>
      <c r="AI1022" s="23" t="n"/>
      <c r="AJ1022" s="19" t="n"/>
    </row>
    <row r="1023">
      <c r="A1023" s="16" t="inlineStr">
        <is>
          <t>TBZ</t>
        </is>
      </c>
      <c r="B1023" s="16" t="inlineStr">
        <is>
          <t>Tribhovandas Bhimji Zaveri Ltd.</t>
        </is>
      </c>
      <c r="C1023" s="16" t="inlineStr">
        <is>
          <t>Gems &amp; Jewellery</t>
        </is>
      </c>
      <c r="D1023" s="16" t="inlineStr">
        <is>
          <t>Textiles Apparels &amp; Accessories</t>
        </is>
      </c>
      <c r="E1023" s="16" t="inlineStr">
        <is>
          <t>INE760L01018</t>
        </is>
      </c>
      <c r="F1023" s="17" t="n">
        <v>3208.74</v>
      </c>
      <c r="G1023" s="18" t="n">
        <v>480.85</v>
      </c>
      <c r="H1023" s="19" t="n">
        <v>0.1</v>
      </c>
      <c r="I1023" s="20" t="n">
        <v>98</v>
      </c>
      <c r="J1023" s="16" t="inlineStr">
        <is>
          <t>green</t>
        </is>
      </c>
      <c r="K1023" s="20" t="n">
        <v>42</v>
      </c>
      <c r="L1023" s="18" t="n">
        <v>95.04000000000001</v>
      </c>
      <c r="M1023" s="18" t="n">
        <v>363.94</v>
      </c>
      <c r="N1023" s="18" t="n">
        <v>266.56</v>
      </c>
      <c r="O1023" s="18" t="n">
        <v>182.79</v>
      </c>
      <c r="P1023" s="18" t="n">
        <v>480.85</v>
      </c>
      <c r="Q1023" s="18" t="n">
        <v>110.75</v>
      </c>
      <c r="R1023" s="21">
        <f>IF(OR(G1023="",P1023=""),"",G1023/P1023-1)</f>
        <v/>
      </c>
      <c r="S1023" s="19" t="n">
        <v>1.0286</v>
      </c>
      <c r="T1023" s="22" t="n">
        <v>0.068</v>
      </c>
      <c r="U1023" s="16" t="inlineStr">
        <is>
          <t>Yes</t>
        </is>
      </c>
      <c r="V1023" s="16" t="inlineStr">
        <is>
          <t>Yes</t>
        </is>
      </c>
      <c r="W1023" s="16" t="inlineStr">
        <is>
          <t>Yes</t>
        </is>
      </c>
      <c r="X1023" s="16" t="inlineStr">
        <is>
          <t>Yes</t>
        </is>
      </c>
      <c r="Y1023" s="20" t="n">
        <v>44</v>
      </c>
      <c r="Z1023" s="19" t="n">
        <v>0.4583</v>
      </c>
      <c r="AA1023" s="18" t="n">
        <v>40</v>
      </c>
      <c r="AB1023" s="16" t="inlineStr">
        <is>
          <t>Weak</t>
        </is>
      </c>
      <c r="AC1023" s="16" t="inlineStr">
        <is>
          <t>No</t>
        </is>
      </c>
      <c r="AD1023" s="19" t="n">
        <v>0.1453</v>
      </c>
      <c r="AE1023" s="19" t="n">
        <v>0.1328</v>
      </c>
      <c r="AF1023" s="19" t="n">
        <v>-0.1295</v>
      </c>
      <c r="AG1023" s="19" t="n">
        <v>0.1075</v>
      </c>
      <c r="AH1023" s="23" t="n">
        <v>1.06</v>
      </c>
      <c r="AI1023" s="23" t="n">
        <v>17.62</v>
      </c>
      <c r="AJ1023" s="19" t="n">
        <v>0.0003</v>
      </c>
    </row>
    <row r="1024">
      <c r="A1024" s="16" t="inlineStr">
        <is>
          <t>INDRAMEDCO</t>
        </is>
      </c>
      <c r="B1024" s="16" t="inlineStr">
        <is>
          <t>Indraprastha Medical Corporation Ltd.</t>
        </is>
      </c>
      <c r="C1024" s="16" t="inlineStr">
        <is>
          <t>Healthcare Facilities</t>
        </is>
      </c>
      <c r="D1024" s="16" t="inlineStr">
        <is>
          <t>Healthcare</t>
        </is>
      </c>
      <c r="E1024" s="16" t="inlineStr">
        <is>
          <t>INE681B01017</t>
        </is>
      </c>
      <c r="F1024" s="17" t="n">
        <v>3205.8</v>
      </c>
      <c r="G1024" s="18" t="n">
        <v>349.7</v>
      </c>
      <c r="H1024" s="19" t="n">
        <v>-0.0187</v>
      </c>
      <c r="I1024" s="20" t="n">
        <v>10</v>
      </c>
      <c r="J1024" s="16" t="inlineStr">
        <is>
          <t>red</t>
        </is>
      </c>
      <c r="K1024" s="20" t="n">
        <v>104</v>
      </c>
      <c r="L1024" s="18" t="n">
        <v>30.05</v>
      </c>
      <c r="M1024" s="18" t="n">
        <v>360.74</v>
      </c>
      <c r="N1024" s="18" t="n">
        <v>372.23</v>
      </c>
      <c r="O1024" s="18" t="n">
        <v>403.51</v>
      </c>
      <c r="P1024" s="18" t="n">
        <v>622.8</v>
      </c>
      <c r="Q1024" s="18" t="n">
        <v>349.5</v>
      </c>
      <c r="R1024" s="21">
        <f>IF(OR(G1024="",P1024=""),"",G1024/P1024-1)</f>
        <v/>
      </c>
      <c r="S1024" s="19" t="n">
        <v>0.6596</v>
      </c>
      <c r="T1024" s="22" t="n">
        <v>-0.04650000000000001</v>
      </c>
      <c r="U1024" s="16" t="inlineStr">
        <is>
          <t>No</t>
        </is>
      </c>
      <c r="V1024" s="16" t="inlineStr">
        <is>
          <t>No</t>
        </is>
      </c>
      <c r="W1024" s="16" t="inlineStr">
        <is>
          <t>No</t>
        </is>
      </c>
      <c r="X1024" s="16" t="inlineStr">
        <is>
          <t>No</t>
        </is>
      </c>
      <c r="Y1024" s="20" t="n">
        <v>155</v>
      </c>
      <c r="Z1024" s="19" t="n">
        <v>-0.0775</v>
      </c>
      <c r="AA1024" s="18" t="n">
        <v>71.59</v>
      </c>
      <c r="AB1024" s="16" t="inlineStr">
        <is>
          <t>High</t>
        </is>
      </c>
      <c r="AC1024" s="16" t="inlineStr">
        <is>
          <t>No</t>
        </is>
      </c>
      <c r="AD1024" s="19" t="n">
        <v>0.2591</v>
      </c>
      <c r="AE1024" s="19" t="n">
        <v>0.3349</v>
      </c>
      <c r="AF1024" s="19" t="n">
        <v>0.2926</v>
      </c>
      <c r="AG1024" s="19" t="n">
        <v>0.1167</v>
      </c>
      <c r="AH1024" s="23" t="n">
        <v>0.05</v>
      </c>
      <c r="AI1024" s="23" t="n">
        <v>4.04</v>
      </c>
      <c r="AJ1024" s="19" t="n">
        <v>0.0076</v>
      </c>
    </row>
    <row r="1025">
      <c r="A1025" s="16" t="inlineStr">
        <is>
          <t>RELTD</t>
        </is>
      </c>
      <c r="B1025" s="16" t="inlineStr">
        <is>
          <t>Ravindra Energy Ltd.</t>
        </is>
      </c>
      <c r="C1025" s="16" t="inlineStr">
        <is>
          <t>Power - Electric Utilities</t>
        </is>
      </c>
      <c r="D1025" s="16" t="inlineStr">
        <is>
          <t>Utilities</t>
        </is>
      </c>
      <c r="E1025" s="16" t="inlineStr">
        <is>
          <t>INE206N01018</t>
        </is>
      </c>
      <c r="F1025" s="17" t="n">
        <v>3204.19</v>
      </c>
      <c r="G1025" s="18" t="n">
        <v>161.37</v>
      </c>
      <c r="H1025" s="19" t="n">
        <v>0.0139</v>
      </c>
      <c r="I1025" s="20" t="n">
        <v>64</v>
      </c>
      <c r="J1025" s="16" t="inlineStr">
        <is>
          <t>amber</t>
        </is>
      </c>
      <c r="K1025" s="20" t="n">
        <v>2</v>
      </c>
      <c r="L1025" s="18" t="n">
        <v>51.87</v>
      </c>
      <c r="M1025" s="18" t="n">
        <v>156.95</v>
      </c>
      <c r="N1025" s="18" t="n">
        <v>167.95</v>
      </c>
      <c r="O1025" s="18" t="n">
        <v>150.06</v>
      </c>
      <c r="P1025" s="18" t="n">
        <v>183.08</v>
      </c>
      <c r="Q1025" s="18" t="n">
        <v>119.75</v>
      </c>
      <c r="R1025" s="21">
        <f>IF(OR(G1025="",P1025=""),"",G1025/P1025-1)</f>
        <v/>
      </c>
      <c r="S1025" s="19" t="n">
        <v>0.6546</v>
      </c>
      <c r="T1025" s="22" t="n">
        <v>0.0014</v>
      </c>
      <c r="U1025" s="16" t="inlineStr">
        <is>
          <t>Yes</t>
        </is>
      </c>
      <c r="V1025" s="16" t="inlineStr">
        <is>
          <t>No</t>
        </is>
      </c>
      <c r="W1025" s="16" t="inlineStr">
        <is>
          <t>Yes</t>
        </is>
      </c>
      <c r="X1025" s="16" t="inlineStr">
        <is>
          <t>Yes</t>
        </is>
      </c>
      <c r="Y1025" s="20" t="n">
        <v>33</v>
      </c>
      <c r="Z1025" s="19" t="n">
        <v>0.1193</v>
      </c>
      <c r="AA1025" s="18" t="n">
        <v>23.89</v>
      </c>
      <c r="AB1025" s="16" t="inlineStr">
        <is>
          <t>Poor</t>
        </is>
      </c>
      <c r="AC1025" s="16" t="inlineStr">
        <is>
          <t>No</t>
        </is>
      </c>
      <c r="AD1025" s="19" t="n">
        <v>-0.0682</v>
      </c>
      <c r="AE1025" s="19" t="n">
        <v>0.0256</v>
      </c>
      <c r="AF1025" s="19" t="n">
        <v>-1.341</v>
      </c>
      <c r="AG1025" s="19" t="n">
        <v>0.2152</v>
      </c>
      <c r="AH1025" s="23" t="n">
        <v>0.66</v>
      </c>
      <c r="AI1025" s="23" t="n">
        <v>0.5600000000000001</v>
      </c>
      <c r="AJ1025" s="19" t="n">
        <v>0.2932</v>
      </c>
    </row>
    <row r="1026">
      <c r="A1026" s="16" t="inlineStr">
        <is>
          <t>GRAUWEIL</t>
        </is>
      </c>
      <c r="B1026" s="16" t="inlineStr">
        <is>
          <t>Grauer &amp; Weil (India) Ltd.</t>
        </is>
      </c>
      <c r="C1026" s="16" t="inlineStr">
        <is>
          <t>Commodity Chemicals</t>
        </is>
      </c>
      <c r="D1026" s="16" t="inlineStr">
        <is>
          <t>Chemicals &amp; Petrochemicals</t>
        </is>
      </c>
      <c r="E1026" s="16" t="inlineStr">
        <is>
          <t>INE266D01021</t>
        </is>
      </c>
      <c r="F1026" s="17" t="n">
        <v>3199.72</v>
      </c>
      <c r="G1026" s="18" t="n">
        <v>70.59</v>
      </c>
      <c r="H1026" s="19" t="n">
        <v>-0.0035</v>
      </c>
      <c r="I1026" s="20" t="n">
        <v>5</v>
      </c>
      <c r="J1026" s="16" t="inlineStr">
        <is>
          <t>red</t>
        </is>
      </c>
      <c r="K1026" s="20" t="n">
        <v>102</v>
      </c>
      <c r="L1026" s="18" t="n">
        <v>56.17</v>
      </c>
      <c r="M1026" s="18" t="n">
        <v>69.73</v>
      </c>
      <c r="N1026" s="18" t="n">
        <v>73.45</v>
      </c>
      <c r="O1026" s="18" t="n">
        <v>97.12</v>
      </c>
      <c r="P1026" s="18" t="n">
        <v>138.85</v>
      </c>
      <c r="Q1026" s="18" t="n">
        <v>63.49</v>
      </c>
      <c r="R1026" s="21">
        <f>IF(OR(G1026="",P1026=""),"",G1026/P1026-1)</f>
        <v/>
      </c>
      <c r="S1026" s="19" t="n">
        <v>0.4941</v>
      </c>
      <c r="T1026" s="22" t="n">
        <v>-0.0396</v>
      </c>
      <c r="U1026" s="16" t="inlineStr">
        <is>
          <t>No</t>
        </is>
      </c>
      <c r="V1026" s="16" t="inlineStr">
        <is>
          <t>No</t>
        </is>
      </c>
      <c r="W1026" s="16" t="inlineStr">
        <is>
          <t>Yes</t>
        </is>
      </c>
      <c r="X1026" s="16" t="inlineStr">
        <is>
          <t>No</t>
        </is>
      </c>
      <c r="Y1026" s="20" t="n">
        <v>95</v>
      </c>
      <c r="Z1026" s="19" t="n">
        <v>-0.2437</v>
      </c>
      <c r="AA1026" s="18" t="n"/>
      <c r="AB1026" s="16" t="n"/>
      <c r="AC1026" s="16" t="inlineStr">
        <is>
          <t>No</t>
        </is>
      </c>
      <c r="AD1026" s="19" t="n"/>
      <c r="AE1026" s="19" t="n"/>
      <c r="AF1026" s="19" t="n"/>
      <c r="AG1026" s="19" t="n"/>
      <c r="AH1026" s="23" t="n"/>
      <c r="AI1026" s="23" t="n"/>
      <c r="AJ1026" s="19" t="n"/>
    </row>
    <row r="1027">
      <c r="A1027" s="16" t="inlineStr">
        <is>
          <t>MAYURUNIQ</t>
        </is>
      </c>
      <c r="B1027" s="16" t="inlineStr">
        <is>
          <t>Mayur Uniquoters Ltd.</t>
        </is>
      </c>
      <c r="C1027" s="16" t="inlineStr">
        <is>
          <t>Textiles</t>
        </is>
      </c>
      <c r="D1027" s="16" t="inlineStr">
        <is>
          <t>Textiles Apparels &amp; Accessories</t>
        </is>
      </c>
      <c r="E1027" s="16" t="inlineStr">
        <is>
          <t>INE040D01038</t>
        </is>
      </c>
      <c r="F1027" s="17" t="n">
        <v>3193.11</v>
      </c>
      <c r="G1027" s="18" t="n">
        <v>734.85</v>
      </c>
      <c r="H1027" s="19" t="n">
        <v>0.0083</v>
      </c>
      <c r="I1027" s="20" t="n">
        <v>70</v>
      </c>
      <c r="J1027" s="16" t="inlineStr">
        <is>
          <t>amber</t>
        </is>
      </c>
      <c r="K1027" s="20" t="n">
        <v>18</v>
      </c>
      <c r="L1027" s="18" t="n">
        <v>52.42</v>
      </c>
      <c r="M1027" s="18" t="n">
        <v>743.53</v>
      </c>
      <c r="N1027" s="18" t="n">
        <v>783.6900000000001</v>
      </c>
      <c r="O1027" s="18" t="n">
        <v>623.88</v>
      </c>
      <c r="P1027" s="18" t="n">
        <v>876.97</v>
      </c>
      <c r="Q1027" s="18" t="n">
        <v>474.21</v>
      </c>
      <c r="R1027" s="21">
        <f>IF(OR(G1027="",P1027=""),"",G1027/P1027-1)</f>
        <v/>
      </c>
      <c r="S1027" s="19" t="n">
        <v>0.2598</v>
      </c>
      <c r="T1027" s="22" t="n">
        <v>0.03759999999999999</v>
      </c>
      <c r="U1027" s="16" t="inlineStr">
        <is>
          <t>Yes</t>
        </is>
      </c>
      <c r="V1027" s="16" t="inlineStr">
        <is>
          <t>No</t>
        </is>
      </c>
      <c r="W1027" s="16" t="inlineStr">
        <is>
          <t>No</t>
        </is>
      </c>
      <c r="X1027" s="16" t="inlineStr">
        <is>
          <t>Yes</t>
        </is>
      </c>
      <c r="Y1027" s="20" t="n">
        <v>113</v>
      </c>
      <c r="Z1027" s="19" t="n">
        <v>0.2562</v>
      </c>
      <c r="AA1027" s="18" t="n">
        <v>64.65000000000001</v>
      </c>
      <c r="AB1027" s="16" t="inlineStr">
        <is>
          <t>High</t>
        </is>
      </c>
      <c r="AC1027" s="16" t="inlineStr">
        <is>
          <t>No</t>
        </is>
      </c>
      <c r="AD1027" s="19" t="n">
        <v>0.1556</v>
      </c>
      <c r="AE1027" s="19" t="n">
        <v>0.207</v>
      </c>
      <c r="AF1027" s="19" t="n">
        <v>0.2313</v>
      </c>
      <c r="AG1027" s="19" t="n">
        <v>0.0805</v>
      </c>
      <c r="AH1027" s="23" t="n">
        <v>0.01</v>
      </c>
      <c r="AI1027" s="23" t="n">
        <v>4.49</v>
      </c>
      <c r="AJ1027" s="19" t="n">
        <v>0.0118</v>
      </c>
    </row>
    <row r="1028">
      <c r="A1028" s="16" t="inlineStr">
        <is>
          <t>GIPCL</t>
        </is>
      </c>
      <c r="B1028" s="16" t="inlineStr">
        <is>
          <t>Gujarat Industries Power Company Ltd.</t>
        </is>
      </c>
      <c r="C1028" s="16" t="inlineStr">
        <is>
          <t>Power - Electric Utilities</t>
        </is>
      </c>
      <c r="D1028" s="16" t="inlineStr">
        <is>
          <t>Utilities</t>
        </is>
      </c>
      <c r="E1028" s="16" t="inlineStr">
        <is>
          <t>INE162A01010</t>
        </is>
      </c>
      <c r="F1028" s="17" t="n">
        <v>3184.72</v>
      </c>
      <c r="G1028" s="18" t="n">
        <v>205.18</v>
      </c>
      <c r="H1028" s="19" t="n">
        <v>-0.0137</v>
      </c>
      <c r="I1028" s="20" t="n">
        <v>73</v>
      </c>
      <c r="J1028" s="16" t="inlineStr">
        <is>
          <t>amber</t>
        </is>
      </c>
      <c r="K1028" s="20" t="n">
        <v>9</v>
      </c>
      <c r="L1028" s="18" t="n">
        <v>74.84999999999999</v>
      </c>
      <c r="M1028" s="18" t="n">
        <v>203.15</v>
      </c>
      <c r="N1028" s="18" t="n">
        <v>170.97</v>
      </c>
      <c r="O1028" s="18" t="n">
        <v>154.62</v>
      </c>
      <c r="P1028" s="18" t="n">
        <v>208.04</v>
      </c>
      <c r="Q1028" s="18" t="n">
        <v>120.8</v>
      </c>
      <c r="R1028" s="21">
        <f>IF(OR(G1028="",P1028=""),"",G1028/P1028-1)</f>
        <v/>
      </c>
      <c r="S1028" s="19" t="n">
        <v>0.3896</v>
      </c>
      <c r="T1028" s="22" t="n">
        <v>0.0046</v>
      </c>
      <c r="U1028" s="16" t="inlineStr">
        <is>
          <t>Yes</t>
        </is>
      </c>
      <c r="V1028" s="16" t="inlineStr">
        <is>
          <t>Yes</t>
        </is>
      </c>
      <c r="W1028" s="16" t="inlineStr">
        <is>
          <t>Yes</t>
        </is>
      </c>
      <c r="X1028" s="16" t="inlineStr">
        <is>
          <t>Yes</t>
        </is>
      </c>
      <c r="Y1028" s="20" t="n">
        <v>52</v>
      </c>
      <c r="Z1028" s="19" t="n">
        <v>0.1057</v>
      </c>
      <c r="AA1028" s="18" t="n">
        <v>20.91</v>
      </c>
      <c r="AB1028" s="16" t="inlineStr">
        <is>
          <t>Poor</t>
        </is>
      </c>
      <c r="AC1028" s="16" t="inlineStr">
        <is>
          <t>No</t>
        </is>
      </c>
      <c r="AD1028" s="19" t="n">
        <v>0.075</v>
      </c>
      <c r="AE1028" s="19" t="n">
        <v>0.05889999999999999</v>
      </c>
      <c r="AF1028" s="19" t="n">
        <v>-0.2946</v>
      </c>
      <c r="AG1028" s="19" t="n">
        <v>0.0394</v>
      </c>
      <c r="AH1028" s="23" t="n">
        <v>0.9399999999999999</v>
      </c>
      <c r="AI1028" s="23" t="n">
        <v>0.18</v>
      </c>
      <c r="AJ1028" s="19" t="n">
        <v>0.2556</v>
      </c>
    </row>
    <row r="1029">
      <c r="A1029" s="16" t="inlineStr">
        <is>
          <t>OSWALPUMPS</t>
        </is>
      </c>
      <c r="B1029" s="16" t="inlineStr">
        <is>
          <t>Oswal Pumps Ltd.</t>
        </is>
      </c>
      <c r="C1029" s="16" t="inlineStr">
        <is>
          <t>Compressors &amp; Pumps</t>
        </is>
      </c>
      <c r="D1029" s="16" t="inlineStr">
        <is>
          <t>General Industrials</t>
        </is>
      </c>
      <c r="E1029" s="16" t="inlineStr">
        <is>
          <t>INE0BYP01024</t>
        </is>
      </c>
      <c r="F1029" s="17" t="n">
        <v>3183.02</v>
      </c>
      <c r="G1029" s="18" t="n">
        <v>279.2</v>
      </c>
      <c r="H1029" s="19" t="n">
        <v>-0.0013</v>
      </c>
      <c r="I1029" s="20" t="n">
        <v>2</v>
      </c>
      <c r="J1029" s="16" t="inlineStr">
        <is>
          <t>red</t>
        </is>
      </c>
      <c r="K1029" s="20" t="n">
        <v>219</v>
      </c>
      <c r="L1029" s="18" t="n">
        <v>30.66</v>
      </c>
      <c r="M1029" s="18" t="n">
        <v>288.75</v>
      </c>
      <c r="N1029" s="18" t="n">
        <v>345.71</v>
      </c>
      <c r="O1029" s="18" t="n">
        <v>396.28</v>
      </c>
      <c r="P1029" s="18" t="n">
        <v>825.35</v>
      </c>
      <c r="Q1029" s="18" t="n">
        <v>278.3</v>
      </c>
      <c r="R1029" s="21">
        <f>IF(OR(G1029="",P1029=""),"",G1029/P1029-1)</f>
        <v/>
      </c>
      <c r="S1029" s="19" t="n">
        <v>1.3852</v>
      </c>
      <c r="T1029" s="22" t="n">
        <v>-0.09210000000000002</v>
      </c>
      <c r="U1029" s="16" t="inlineStr">
        <is>
          <t>No</t>
        </is>
      </c>
      <c r="V1029" s="16" t="inlineStr">
        <is>
          <t>No</t>
        </is>
      </c>
      <c r="W1029" s="16" t="inlineStr">
        <is>
          <t>No</t>
        </is>
      </c>
      <c r="X1029" s="16" t="inlineStr">
        <is>
          <t>No</t>
        </is>
      </c>
      <c r="Y1029" s="20" t="n">
        <v>105</v>
      </c>
      <c r="Z1029" s="19" t="n">
        <v>-0.1276</v>
      </c>
      <c r="AA1029" s="18" t="n">
        <v>83.64</v>
      </c>
      <c r="AB1029" s="16" t="inlineStr">
        <is>
          <t>High</t>
        </is>
      </c>
      <c r="AC1029" s="16" t="inlineStr">
        <is>
          <t>No</t>
        </is>
      </c>
      <c r="AD1029" s="19" t="n">
        <v>0.4003</v>
      </c>
      <c r="AE1029" s="19" t="n">
        <v>0.3277</v>
      </c>
      <c r="AF1029" s="19" t="n">
        <v>0.4283</v>
      </c>
      <c r="AG1029" s="19" t="n">
        <v>1.3928</v>
      </c>
      <c r="AH1029" s="23" t="n">
        <v>0.14</v>
      </c>
      <c r="AI1029" s="23" t="n">
        <v>10.11</v>
      </c>
      <c r="AJ1029" s="19" t="n">
        <v>0.2133</v>
      </c>
    </row>
    <row r="1030">
      <c r="A1030" s="16" t="inlineStr">
        <is>
          <t>MAITHANALL</t>
        </is>
      </c>
      <c r="B1030" s="16" t="inlineStr">
        <is>
          <t>Maithan Alloys Ltd.</t>
        </is>
      </c>
      <c r="C1030" s="16" t="inlineStr">
        <is>
          <t>Iron &amp; Steel/Interm.Products</t>
        </is>
      </c>
      <c r="D1030" s="16" t="inlineStr">
        <is>
          <t>Metals &amp; Mining</t>
        </is>
      </c>
      <c r="E1030" s="16" t="inlineStr">
        <is>
          <t>INE683C01011</t>
        </is>
      </c>
      <c r="F1030" s="17" t="n">
        <v>3174.77</v>
      </c>
      <c r="G1030" s="18" t="n">
        <v>1090.55</v>
      </c>
      <c r="H1030" s="19" t="n">
        <v>0.0501</v>
      </c>
      <c r="I1030" s="20" t="n">
        <v>55</v>
      </c>
      <c r="J1030" s="16" t="inlineStr">
        <is>
          <t>red</t>
        </is>
      </c>
      <c r="K1030" s="20" t="n">
        <v>56</v>
      </c>
      <c r="L1030" s="18" t="n">
        <v>76.29000000000001</v>
      </c>
      <c r="M1030" s="18" t="n">
        <v>1009.98</v>
      </c>
      <c r="N1030" s="18" t="n">
        <v>993.49</v>
      </c>
      <c r="O1030" s="18" t="n">
        <v>984.16</v>
      </c>
      <c r="P1030" s="18" t="n">
        <v>1167.36</v>
      </c>
      <c r="Q1030" s="18" t="n">
        <v>823.48</v>
      </c>
      <c r="R1030" s="21">
        <f>IF(OR(G1030="",P1030=""),"",G1030/P1030-1)</f>
        <v/>
      </c>
      <c r="S1030" s="19" t="n">
        <v>6.4052</v>
      </c>
      <c r="T1030" s="22" t="n">
        <v>-0.0074</v>
      </c>
      <c r="U1030" s="16" t="inlineStr">
        <is>
          <t>No</t>
        </is>
      </c>
      <c r="V1030" s="16" t="inlineStr">
        <is>
          <t>Yes</t>
        </is>
      </c>
      <c r="W1030" s="16" t="inlineStr">
        <is>
          <t>Yes</t>
        </is>
      </c>
      <c r="X1030" s="16" t="inlineStr">
        <is>
          <t>Yes</t>
        </is>
      </c>
      <c r="Y1030" s="20" t="n">
        <v>44</v>
      </c>
      <c r="Z1030" s="19" t="n">
        <v>0.0095</v>
      </c>
      <c r="AA1030" s="18" t="n">
        <v>50.57</v>
      </c>
      <c r="AB1030" s="16" t="inlineStr">
        <is>
          <t>Average</t>
        </is>
      </c>
      <c r="AC1030" s="16" t="inlineStr">
        <is>
          <t>No</t>
        </is>
      </c>
      <c r="AD1030" s="19" t="n">
        <v>0.128</v>
      </c>
      <c r="AE1030" s="19" t="n">
        <v>0.1642</v>
      </c>
      <c r="AF1030" s="19" t="n">
        <v>0.0644</v>
      </c>
      <c r="AG1030" s="19" t="n">
        <v>-0.0452</v>
      </c>
      <c r="AH1030" s="23" t="n">
        <v>0.06</v>
      </c>
      <c r="AI1030" s="23" t="n">
        <v>7.51</v>
      </c>
      <c r="AJ1030" s="19" t="n">
        <v>0.0051</v>
      </c>
    </row>
    <row r="1031">
      <c r="A1031" s="16" t="inlineStr">
        <is>
          <t>BEPL</t>
        </is>
      </c>
      <c r="B1031" s="16" t="inlineStr">
        <is>
          <t>Bhansali Engineering Polymers Ltd.</t>
        </is>
      </c>
      <c r="C1031" s="16" t="inlineStr">
        <is>
          <t>Specialty Chemicals</t>
        </is>
      </c>
      <c r="D1031" s="16" t="inlineStr">
        <is>
          <t>Chemicals &amp; Petrochemicals</t>
        </is>
      </c>
      <c r="E1031" s="16" t="inlineStr">
        <is>
          <t>INE922A01025</t>
        </is>
      </c>
      <c r="F1031" s="17" t="n">
        <v>3172.95</v>
      </c>
      <c r="G1031" s="18" t="n">
        <v>127.5</v>
      </c>
      <c r="H1031" s="19" t="n">
        <v>-0.0173</v>
      </c>
      <c r="I1031" s="20" t="n">
        <v>81</v>
      </c>
      <c r="J1031" s="16" t="inlineStr">
        <is>
          <t>green</t>
        </is>
      </c>
      <c r="K1031" s="20" t="n">
        <v>4</v>
      </c>
      <c r="L1031" s="18" t="n">
        <v>55.89</v>
      </c>
      <c r="M1031" s="18" t="n">
        <v>125.76</v>
      </c>
      <c r="N1031" s="18" t="n">
        <v>116</v>
      </c>
      <c r="O1031" s="18" t="n">
        <v>95.18000000000001</v>
      </c>
      <c r="P1031" s="18" t="n">
        <v>129.74</v>
      </c>
      <c r="Q1031" s="18" t="n">
        <v>75.91</v>
      </c>
      <c r="R1031" s="21">
        <f>IF(OR(G1031="",P1031=""),"",G1031/P1031-1)</f>
        <v/>
      </c>
      <c r="S1031" s="19" t="n">
        <v>0.6522</v>
      </c>
      <c r="T1031" s="22" t="n">
        <v>0.0329</v>
      </c>
      <c r="U1031" s="16" t="inlineStr">
        <is>
          <t>Yes</t>
        </is>
      </c>
      <c r="V1031" s="16" t="inlineStr">
        <is>
          <t>Yes</t>
        </is>
      </c>
      <c r="W1031" s="16" t="inlineStr">
        <is>
          <t>Yes</t>
        </is>
      </c>
      <c r="X1031" s="16" t="inlineStr">
        <is>
          <t>Yes</t>
        </is>
      </c>
      <c r="Y1031" s="20" t="n">
        <v>73</v>
      </c>
      <c r="Z1031" s="19" t="n">
        <v>0.2187</v>
      </c>
      <c r="AA1031" s="18" t="n">
        <v>70.67</v>
      </c>
      <c r="AB1031" s="16" t="inlineStr">
        <is>
          <t>High</t>
        </is>
      </c>
      <c r="AC1031" s="16" t="inlineStr">
        <is>
          <t>No</t>
        </is>
      </c>
      <c r="AD1031" s="19" t="n">
        <v>0.1801</v>
      </c>
      <c r="AE1031" s="19" t="n">
        <v>0.2448</v>
      </c>
      <c r="AF1031" s="19" t="n">
        <v>0.3229</v>
      </c>
      <c r="AG1031" s="19" t="n">
        <v>-0.0155</v>
      </c>
      <c r="AH1031" s="23" t="n">
        <v>0</v>
      </c>
      <c r="AI1031" s="23" t="n">
        <v>7.82</v>
      </c>
      <c r="AJ1031" s="19" t="n">
        <v>0.1881</v>
      </c>
    </row>
    <row r="1032">
      <c r="A1032" s="16" t="inlineStr">
        <is>
          <t>KKCL</t>
        </is>
      </c>
      <c r="B1032" s="16" t="inlineStr">
        <is>
          <t>Kewal Kiran Clothing Ltd.</t>
        </is>
      </c>
      <c r="C1032" s="16" t="inlineStr">
        <is>
          <t>Other Apparels &amp; Accessories</t>
        </is>
      </c>
      <c r="D1032" s="16" t="inlineStr">
        <is>
          <t>Textiles Apparels &amp; Accessories</t>
        </is>
      </c>
      <c r="E1032" s="16" t="inlineStr">
        <is>
          <t>INE401H01017</t>
        </is>
      </c>
      <c r="F1032" s="17" t="n">
        <v>3169.38</v>
      </c>
      <c r="G1032" s="18" t="n">
        <v>514.3</v>
      </c>
      <c r="H1032" s="19" t="n">
        <v>0.0208</v>
      </c>
      <c r="I1032" s="20" t="n">
        <v>55</v>
      </c>
      <c r="J1032" s="16" t="inlineStr">
        <is>
          <t>red</t>
        </is>
      </c>
      <c r="K1032" s="20" t="n">
        <v>22</v>
      </c>
      <c r="L1032" s="18" t="n">
        <v>46.13</v>
      </c>
      <c r="M1032" s="18" t="n">
        <v>506.47</v>
      </c>
      <c r="N1032" s="18" t="n">
        <v>508.7</v>
      </c>
      <c r="O1032" s="18" t="n">
        <v>481.99</v>
      </c>
      <c r="P1032" s="18" t="n">
        <v>587.1799999999999</v>
      </c>
      <c r="Q1032" s="18" t="n">
        <v>411.25</v>
      </c>
      <c r="R1032" s="21">
        <f>IF(OR(G1032="",P1032=""),"",G1032/P1032-1)</f>
        <v/>
      </c>
      <c r="S1032" s="19" t="n">
        <v>0.6008</v>
      </c>
      <c r="T1032" s="22" t="n">
        <v>-0.0007000000000000001</v>
      </c>
      <c r="U1032" s="16" t="inlineStr">
        <is>
          <t>No</t>
        </is>
      </c>
      <c r="V1032" s="16" t="inlineStr">
        <is>
          <t>Yes</t>
        </is>
      </c>
      <c r="W1032" s="16" t="inlineStr">
        <is>
          <t>Yes</t>
        </is>
      </c>
      <c r="X1032" s="16" t="inlineStr">
        <is>
          <t>Yes</t>
        </is>
      </c>
      <c r="Y1032" s="20" t="n">
        <v>24</v>
      </c>
      <c r="Z1032" s="19" t="n">
        <v>0.0554</v>
      </c>
      <c r="AA1032" s="18" t="n">
        <v>40</v>
      </c>
      <c r="AB1032" s="16" t="inlineStr">
        <is>
          <t>Weak</t>
        </is>
      </c>
      <c r="AC1032" s="16" t="inlineStr">
        <is>
          <t>No</t>
        </is>
      </c>
      <c r="AD1032" s="19" t="n">
        <v>0.1851</v>
      </c>
      <c r="AE1032" s="19" t="n">
        <v>0.2357</v>
      </c>
      <c r="AF1032" s="19" t="n">
        <v>-0.2559</v>
      </c>
      <c r="AG1032" s="19" t="n">
        <v>0.1622</v>
      </c>
      <c r="AH1032" s="23" t="n">
        <v>0.14</v>
      </c>
      <c r="AI1032" s="23" t="n">
        <v>4.54</v>
      </c>
      <c r="AJ1032" s="19" t="n">
        <v>0.04269999999999999</v>
      </c>
    </row>
    <row r="1033">
      <c r="A1033" s="16" t="inlineStr">
        <is>
          <t>ROUTE</t>
        </is>
      </c>
      <c r="B1033" s="16" t="inlineStr">
        <is>
          <t>Route Mobile Ltd.</t>
        </is>
      </c>
      <c r="C1033" s="16" t="inlineStr">
        <is>
          <t>Internet Software &amp; Services</t>
        </is>
      </c>
      <c r="D1033" s="16" t="inlineStr">
        <is>
          <t>Software &amp; Services</t>
        </is>
      </c>
      <c r="E1033" s="16" t="inlineStr">
        <is>
          <t>INE450U01017</t>
        </is>
      </c>
      <c r="F1033" s="17" t="n">
        <v>3159.92</v>
      </c>
      <c r="G1033" s="18" t="n">
        <v>501.55</v>
      </c>
      <c r="H1033" s="19" t="n">
        <v>-0.0042</v>
      </c>
      <c r="I1033" s="20" t="n">
        <v>14</v>
      </c>
      <c r="J1033" s="16" t="inlineStr">
        <is>
          <t>red</t>
        </is>
      </c>
      <c r="K1033" s="20" t="n">
        <v>501</v>
      </c>
      <c r="L1033" s="18" t="n">
        <v>47.06</v>
      </c>
      <c r="M1033" s="18" t="n">
        <v>506.08</v>
      </c>
      <c r="N1033" s="18" t="n">
        <v>530.37</v>
      </c>
      <c r="O1033" s="18" t="n">
        <v>550.62</v>
      </c>
      <c r="P1033" s="18" t="n">
        <v>857.35</v>
      </c>
      <c r="Q1033" s="18" t="n">
        <v>410.96</v>
      </c>
      <c r="R1033" s="21">
        <f>IF(OR(G1033="",P1033=""),"",G1033/P1033-1)</f>
        <v/>
      </c>
      <c r="S1033" s="19" t="n">
        <v>0.2805</v>
      </c>
      <c r="T1033" s="22" t="n">
        <v>-0.033</v>
      </c>
      <c r="U1033" s="16" t="inlineStr">
        <is>
          <t>No</t>
        </is>
      </c>
      <c r="V1033" s="16" t="inlineStr">
        <is>
          <t>No</t>
        </is>
      </c>
      <c r="W1033" s="16" t="inlineStr">
        <is>
          <t>No</t>
        </is>
      </c>
      <c r="X1033" s="16" t="inlineStr">
        <is>
          <t>No</t>
        </is>
      </c>
      <c r="Y1033" s="20" t="n">
        <v>479</v>
      </c>
      <c r="Z1033" s="19" t="n">
        <v>-0.0368</v>
      </c>
      <c r="AA1033" s="18" t="n">
        <v>40</v>
      </c>
      <c r="AB1033" s="16" t="inlineStr">
        <is>
          <t>Weak</t>
        </is>
      </c>
      <c r="AC1033" s="16" t="inlineStr">
        <is>
          <t>No</t>
        </is>
      </c>
      <c r="AD1033" s="19" t="n">
        <v>0.1306</v>
      </c>
      <c r="AE1033" s="19" t="n">
        <v>0.1603</v>
      </c>
      <c r="AF1033" s="19" t="n">
        <v>-0.08789999999999999</v>
      </c>
      <c r="AG1033" s="19" t="n">
        <v>0.076</v>
      </c>
      <c r="AH1033" s="23" t="n">
        <v>0.02</v>
      </c>
      <c r="AI1033" s="23" t="n">
        <v>60.24</v>
      </c>
      <c r="AJ1033" s="19" t="n">
        <v>0.0209</v>
      </c>
    </row>
    <row r="1034">
      <c r="A1034" s="16" t="inlineStr">
        <is>
          <t>NILKAMAL</t>
        </is>
      </c>
      <c r="B1034" s="16" t="inlineStr">
        <is>
          <t>Nilkamal Ltd.</t>
        </is>
      </c>
      <c r="C1034" s="16" t="inlineStr">
        <is>
          <t>Plastic Products</t>
        </is>
      </c>
      <c r="D1034" s="16" t="inlineStr">
        <is>
          <t>General Industrials</t>
        </is>
      </c>
      <c r="E1034" s="16" t="inlineStr">
        <is>
          <t>INE310A01015</t>
        </is>
      </c>
      <c r="F1034" s="17" t="n">
        <v>3158.35</v>
      </c>
      <c r="G1034" s="18" t="n">
        <v>2116.5</v>
      </c>
      <c r="H1034" s="19" t="n">
        <v>0.0026</v>
      </c>
      <c r="I1034" s="20" t="n">
        <v>88</v>
      </c>
      <c r="J1034" s="16" t="inlineStr">
        <is>
          <t>green</t>
        </is>
      </c>
      <c r="K1034" s="20" t="n">
        <v>14</v>
      </c>
      <c r="L1034" s="18" t="n">
        <v>77.22</v>
      </c>
      <c r="M1034" s="18" t="n">
        <v>2072.65</v>
      </c>
      <c r="N1034" s="18" t="n">
        <v>1701.58</v>
      </c>
      <c r="O1034" s="18" t="n">
        <v>1412.93</v>
      </c>
      <c r="P1034" s="18" t="n">
        <v>2116.5</v>
      </c>
      <c r="Q1034" s="18" t="n">
        <v>1050.42</v>
      </c>
      <c r="R1034" s="21">
        <f>IF(OR(G1034="",P1034=""),"",G1034/P1034-1)</f>
        <v/>
      </c>
      <c r="S1034" s="19" t="n">
        <v>0.1499</v>
      </c>
      <c r="T1034" s="22" t="n">
        <v>0.0356</v>
      </c>
      <c r="U1034" s="16" t="inlineStr">
        <is>
          <t>Yes</t>
        </is>
      </c>
      <c r="V1034" s="16" t="inlineStr">
        <is>
          <t>Yes</t>
        </is>
      </c>
      <c r="W1034" s="16" t="inlineStr">
        <is>
          <t>Yes</t>
        </is>
      </c>
      <c r="X1034" s="16" t="inlineStr">
        <is>
          <t>Yes</t>
        </is>
      </c>
      <c r="Y1034" s="20" t="n">
        <v>26</v>
      </c>
      <c r="Z1034" s="19" t="n">
        <v>0.2043</v>
      </c>
      <c r="AA1034" s="18" t="n">
        <v>36.16</v>
      </c>
      <c r="AB1034" s="16" t="inlineStr">
        <is>
          <t>Weak</t>
        </is>
      </c>
      <c r="AC1034" s="16" t="inlineStr">
        <is>
          <t>No</t>
        </is>
      </c>
      <c r="AD1034" s="19" t="n">
        <v>0.07719999999999999</v>
      </c>
      <c r="AE1034" s="19" t="n">
        <v>0.0983</v>
      </c>
      <c r="AF1034" s="19" t="n">
        <v>-0.0436</v>
      </c>
      <c r="AG1034" s="19" t="n">
        <v>0.06619999999999999</v>
      </c>
      <c r="AH1034" s="23" t="n">
        <v>0.27</v>
      </c>
      <c r="AI1034" s="23" t="n">
        <v>3.59</v>
      </c>
      <c r="AJ1034" s="19" t="n">
        <v>0.0181</v>
      </c>
    </row>
    <row r="1035">
      <c r="A1035" s="16" t="inlineStr">
        <is>
          <t>BONDADA</t>
        </is>
      </c>
      <c r="B1035" s="16" t="inlineStr">
        <is>
          <t>Bondada Engineering Ltd.</t>
        </is>
      </c>
      <c r="C1035" s="16" t="inlineStr">
        <is>
          <t>Construction &amp; Engineering</t>
        </is>
      </c>
      <c r="D1035" s="16" t="inlineStr">
        <is>
          <t>Cement and Construction</t>
        </is>
      </c>
      <c r="E1035" s="16" t="inlineStr">
        <is>
          <t>INE0Q8P01029</t>
        </is>
      </c>
      <c r="F1035" s="17" t="n">
        <v>3151.93</v>
      </c>
      <c r="G1035" s="18" t="n">
        <v>282.25</v>
      </c>
      <c r="H1035" s="19" t="n">
        <v>0.0089</v>
      </c>
      <c r="I1035" s="20" t="n">
        <v>12</v>
      </c>
      <c r="J1035" s="16" t="inlineStr">
        <is>
          <t>red</t>
        </is>
      </c>
      <c r="K1035" s="20" t="n">
        <v>490</v>
      </c>
      <c r="L1035" s="18" t="n">
        <v>54.29</v>
      </c>
      <c r="M1035" s="18" t="n">
        <v>280.61</v>
      </c>
      <c r="N1035" s="18" t="n">
        <v>296.72</v>
      </c>
      <c r="O1035" s="18" t="n">
        <v>324.4</v>
      </c>
      <c r="P1035" s="18" t="n">
        <v>488.27</v>
      </c>
      <c r="Q1035" s="18" t="n">
        <v>221.18</v>
      </c>
      <c r="R1035" s="21">
        <f>IF(OR(G1035="",P1035=""),"",G1035/P1035-1)</f>
        <v/>
      </c>
      <c r="S1035" s="19" t="n">
        <v>0.6426000000000001</v>
      </c>
      <c r="T1035" s="22" t="n">
        <v>-0.0433</v>
      </c>
      <c r="U1035" s="16" t="inlineStr">
        <is>
          <t>No</t>
        </is>
      </c>
      <c r="V1035" s="16" t="inlineStr">
        <is>
          <t>No</t>
        </is>
      </c>
      <c r="W1035" s="16" t="inlineStr">
        <is>
          <t>Yes</t>
        </is>
      </c>
      <c r="X1035" s="16" t="inlineStr">
        <is>
          <t>No</t>
        </is>
      </c>
      <c r="Y1035" s="20" t="n">
        <v>474</v>
      </c>
      <c r="Z1035" s="19" t="n">
        <v>-0.08529999999999999</v>
      </c>
      <c r="AA1035" s="18" t="n"/>
      <c r="AB1035" s="16" t="n"/>
      <c r="AC1035" s="16" t="inlineStr">
        <is>
          <t>No</t>
        </is>
      </c>
      <c r="AD1035" s="19" t="n"/>
      <c r="AE1035" s="19" t="n"/>
      <c r="AF1035" s="19" t="n"/>
      <c r="AG1035" s="19" t="n"/>
      <c r="AH1035" s="23" t="n"/>
      <c r="AI1035" s="23" t="n"/>
      <c r="AJ1035" s="19" t="n"/>
    </row>
    <row r="1036">
      <c r="A1036" s="16" t="inlineStr">
        <is>
          <t>BUILDPRO</t>
        </is>
      </c>
      <c r="B1036" s="16" t="inlineStr">
        <is>
          <t>Shankara Buildpro Ltd.</t>
        </is>
      </c>
      <c r="C1036" s="16" t="inlineStr">
        <is>
          <t>Construction Materials</t>
        </is>
      </c>
      <c r="D1036" s="16" t="inlineStr">
        <is>
          <t>Cement and Construction</t>
        </is>
      </c>
      <c r="E1036" s="16" t="inlineStr">
        <is>
          <t>INE24OJ01011</t>
        </is>
      </c>
      <c r="F1036" s="17" t="n">
        <v>3148.04</v>
      </c>
      <c r="G1036" s="18" t="n">
        <v>1298.2</v>
      </c>
      <c r="H1036" s="19" t="n">
        <v>0.0073</v>
      </c>
      <c r="I1036" s="20" t="n">
        <v>70</v>
      </c>
      <c r="J1036" s="16" t="inlineStr">
        <is>
          <t>amber</t>
        </is>
      </c>
      <c r="K1036" s="20" t="n">
        <v>20</v>
      </c>
      <c r="L1036" s="18" t="n">
        <v>64.98</v>
      </c>
      <c r="M1036" s="18" t="n">
        <v>1265.49</v>
      </c>
      <c r="N1036" s="18" t="n">
        <v>1221.45</v>
      </c>
      <c r="O1036" s="18" t="n"/>
      <c r="P1036" s="18" t="n">
        <v>1347.8</v>
      </c>
      <c r="Q1036" s="18" t="n">
        <v>650.4299999999999</v>
      </c>
      <c r="R1036" s="21">
        <f>IF(OR(G1036="",P1036=""),"",G1036/P1036-1)</f>
        <v/>
      </c>
      <c r="S1036" s="19" t="n">
        <v>3.8914</v>
      </c>
      <c r="T1036" s="22" t="n"/>
      <c r="U1036" s="16" t="n"/>
      <c r="V1036" s="16" t="inlineStr">
        <is>
          <t>Yes</t>
        </is>
      </c>
      <c r="W1036" s="16" t="inlineStr">
        <is>
          <t>Yes</t>
        </is>
      </c>
      <c r="X1036" s="16" t="n"/>
      <c r="Y1036" s="20" t="n"/>
      <c r="Z1036" s="19" t="n"/>
      <c r="AA1036" s="18" t="n">
        <v>80.09999999999999</v>
      </c>
      <c r="AB1036" s="16" t="inlineStr">
        <is>
          <t>High</t>
        </is>
      </c>
      <c r="AC1036" s="16" t="inlineStr">
        <is>
          <t>No</t>
        </is>
      </c>
      <c r="AD1036" s="19" t="n">
        <v>0.2026</v>
      </c>
      <c r="AE1036" s="19" t="n">
        <v>0.3106</v>
      </c>
      <c r="AF1036" s="19" t="n">
        <v>0.6379</v>
      </c>
      <c r="AG1036" s="19" t="n">
        <v>0.2957</v>
      </c>
      <c r="AH1036" s="23" t="n">
        <v>0.11</v>
      </c>
      <c r="AI1036" s="23" t="n">
        <v>166.88</v>
      </c>
      <c r="AJ1036" s="19" t="n">
        <v>0.0191</v>
      </c>
    </row>
    <row r="1037">
      <c r="A1037" s="16" t="inlineStr">
        <is>
          <t>WINDMACHIN</t>
        </is>
      </c>
      <c r="B1037" s="16" t="inlineStr">
        <is>
          <t>Windsor Machines Ltd.</t>
        </is>
      </c>
      <c r="C1037" s="16" t="inlineStr">
        <is>
          <t>Industrial Machinery</t>
        </is>
      </c>
      <c r="D1037" s="16" t="inlineStr">
        <is>
          <t>General Industrials</t>
        </is>
      </c>
      <c r="E1037" s="16" t="inlineStr">
        <is>
          <t>INE052A01021</t>
        </is>
      </c>
      <c r="F1037" s="17" t="n">
        <v>3147.75</v>
      </c>
      <c r="G1037" s="18" t="n">
        <v>304.25</v>
      </c>
      <c r="H1037" s="19" t="n">
        <v>-0.0252</v>
      </c>
      <c r="I1037" s="20" t="n">
        <v>48</v>
      </c>
      <c r="J1037" s="16" t="inlineStr">
        <is>
          <t>red</t>
        </is>
      </c>
      <c r="K1037" s="20" t="n">
        <v>11</v>
      </c>
      <c r="L1037" s="18" t="n">
        <v>52.53</v>
      </c>
      <c r="M1037" s="18" t="n">
        <v>306.42</v>
      </c>
      <c r="N1037" s="18" t="n">
        <v>302.2</v>
      </c>
      <c r="O1037" s="18" t="n">
        <v>278.68</v>
      </c>
      <c r="P1037" s="18" t="n">
        <v>328.45</v>
      </c>
      <c r="Q1037" s="18" t="n">
        <v>205.55</v>
      </c>
      <c r="R1037" s="21">
        <f>IF(OR(G1037="",P1037=""),"",G1037/P1037-1)</f>
        <v/>
      </c>
      <c r="S1037" s="19" t="n">
        <v>0.1961</v>
      </c>
      <c r="T1037" s="22" t="n">
        <v>0.006500000000000001</v>
      </c>
      <c r="U1037" s="16" t="inlineStr">
        <is>
          <t>Yes</t>
        </is>
      </c>
      <c r="V1037" s="16" t="inlineStr">
        <is>
          <t>Yes</t>
        </is>
      </c>
      <c r="W1037" s="16" t="inlineStr">
        <is>
          <t>No</t>
        </is>
      </c>
      <c r="X1037" s="16" t="inlineStr">
        <is>
          <t>Yes</t>
        </is>
      </c>
      <c r="Y1037" s="20" t="n">
        <v>66</v>
      </c>
      <c r="Z1037" s="19" t="n">
        <v>0.08439999999999999</v>
      </c>
      <c r="AA1037" s="18" t="n">
        <v>32.67</v>
      </c>
      <c r="AB1037" s="16" t="inlineStr">
        <is>
          <t>Poor</t>
        </is>
      </c>
      <c r="AC1037" s="16" t="inlineStr">
        <is>
          <t>No</t>
        </is>
      </c>
      <c r="AD1037" s="19" t="n">
        <v>-0.0058</v>
      </c>
      <c r="AE1037" s="19" t="n">
        <v>0.017</v>
      </c>
      <c r="AF1037" s="19" t="n">
        <v>-0.3492</v>
      </c>
      <c r="AG1037" s="19" t="n">
        <v>0.1794</v>
      </c>
      <c r="AH1037" s="23" t="n">
        <v>0.17</v>
      </c>
      <c r="AI1037" s="23" t="n">
        <v>2.49</v>
      </c>
      <c r="AJ1037" s="19" t="n">
        <v>0.0699</v>
      </c>
    </row>
    <row r="1038">
      <c r="A1038" s="16" t="inlineStr">
        <is>
          <t>HGINFRA</t>
        </is>
      </c>
      <c r="B1038" s="16" t="inlineStr">
        <is>
          <t>HG Infra Engineering Ltd.</t>
        </is>
      </c>
      <c r="C1038" s="16" t="inlineStr">
        <is>
          <t>Construction &amp; Engineering</t>
        </is>
      </c>
      <c r="D1038" s="16" t="inlineStr">
        <is>
          <t>Cement and Construction</t>
        </is>
      </c>
      <c r="E1038" s="16" t="inlineStr">
        <is>
          <t>INE926X01010</t>
        </is>
      </c>
      <c r="F1038" s="17" t="n">
        <v>3141.25</v>
      </c>
      <c r="G1038" s="18" t="n">
        <v>482</v>
      </c>
      <c r="H1038" s="19" t="n">
        <v>0.0044</v>
      </c>
      <c r="I1038" s="20" t="n">
        <v>5</v>
      </c>
      <c r="J1038" s="16" t="inlineStr">
        <is>
          <t>red</t>
        </is>
      </c>
      <c r="K1038" s="20" t="n">
        <v>391</v>
      </c>
      <c r="L1038" s="18" t="n">
        <v>28.36</v>
      </c>
      <c r="M1038" s="18" t="n">
        <v>488.27</v>
      </c>
      <c r="N1038" s="18" t="n">
        <v>534.36</v>
      </c>
      <c r="O1038" s="18" t="n">
        <v>608.13</v>
      </c>
      <c r="P1038" s="18" t="n">
        <v>1029.83</v>
      </c>
      <c r="Q1038" s="18" t="n">
        <v>429.92</v>
      </c>
      <c r="R1038" s="21">
        <f>IF(OR(G1038="",P1038=""),"",G1038/P1038-1)</f>
        <v/>
      </c>
      <c r="S1038" s="19" t="n">
        <v>0.2209</v>
      </c>
      <c r="T1038" s="22" t="n">
        <v>-0.0607</v>
      </c>
      <c r="U1038" s="16" t="inlineStr">
        <is>
          <t>No</t>
        </is>
      </c>
      <c r="V1038" s="16" t="inlineStr">
        <is>
          <t>No</t>
        </is>
      </c>
      <c r="W1038" s="16" t="inlineStr">
        <is>
          <t>No</t>
        </is>
      </c>
      <c r="X1038" s="16" t="inlineStr">
        <is>
          <t>No</t>
        </is>
      </c>
      <c r="Y1038" s="20" t="n">
        <v>433</v>
      </c>
      <c r="Z1038" s="19" t="n">
        <v>-0.1213</v>
      </c>
      <c r="AA1038" s="18" t="n">
        <v>37.64</v>
      </c>
      <c r="AB1038" s="16" t="inlineStr">
        <is>
          <t>Weak</t>
        </is>
      </c>
      <c r="AC1038" s="16" t="inlineStr">
        <is>
          <t>No</t>
        </is>
      </c>
      <c r="AD1038" s="19" t="n">
        <v>0.164</v>
      </c>
      <c r="AE1038" s="19" t="n">
        <v>0.1553</v>
      </c>
      <c r="AF1038" s="19" t="n">
        <v>-0.1053</v>
      </c>
      <c r="AG1038" s="19" t="n">
        <v>0.0379</v>
      </c>
      <c r="AH1038" s="23" t="n">
        <v>1.54</v>
      </c>
      <c r="AI1038" s="23" t="n">
        <v>1.63</v>
      </c>
      <c r="AJ1038" s="19" t="n">
        <v>0.2446</v>
      </c>
    </row>
    <row r="1039">
      <c r="A1039" s="16" t="inlineStr">
        <is>
          <t>PARAGMILK</t>
        </is>
      </c>
      <c r="B1039" s="16" t="inlineStr">
        <is>
          <t>Parag Milk Foods Ltd.</t>
        </is>
      </c>
      <c r="C1039" s="16" t="inlineStr">
        <is>
          <t>Packaged Foods</t>
        </is>
      </c>
      <c r="D1039" s="16" t="inlineStr">
        <is>
          <t>FMCG</t>
        </is>
      </c>
      <c r="E1039" s="16" t="inlineStr">
        <is>
          <t>INE883N01014</t>
        </is>
      </c>
      <c r="F1039" s="17" t="n">
        <v>3135.22</v>
      </c>
      <c r="G1039" s="18" t="n">
        <v>249.6</v>
      </c>
      <c r="H1039" s="19" t="n">
        <v>-0.0181</v>
      </c>
      <c r="I1039" s="20" t="n">
        <v>43</v>
      </c>
      <c r="J1039" s="16" t="inlineStr">
        <is>
          <t>red</t>
        </is>
      </c>
      <c r="K1039" s="20" t="n">
        <v>63</v>
      </c>
      <c r="L1039" s="18" t="n">
        <v>72.95</v>
      </c>
      <c r="M1039" s="18" t="n">
        <v>249.48</v>
      </c>
      <c r="N1039" s="18" t="n">
        <v>227.78</v>
      </c>
      <c r="O1039" s="18" t="n">
        <v>239.58</v>
      </c>
      <c r="P1039" s="18" t="n">
        <v>371.6</v>
      </c>
      <c r="Q1039" s="18" t="n">
        <v>179.86</v>
      </c>
      <c r="R1039" s="21">
        <f>IF(OR(G1039="",P1039=""),"",G1039/P1039-1)</f>
        <v/>
      </c>
      <c r="S1039" s="19" t="n">
        <v>0.5931999999999999</v>
      </c>
      <c r="T1039" s="22" t="n">
        <v>-0.038</v>
      </c>
      <c r="U1039" s="16" t="inlineStr">
        <is>
          <t>No</t>
        </is>
      </c>
      <c r="V1039" s="16" t="inlineStr">
        <is>
          <t>Yes</t>
        </is>
      </c>
      <c r="W1039" s="16" t="inlineStr">
        <is>
          <t>Yes</t>
        </is>
      </c>
      <c r="X1039" s="16" t="inlineStr">
        <is>
          <t>No</t>
        </is>
      </c>
      <c r="Y1039" s="20" t="n">
        <v>133</v>
      </c>
      <c r="Z1039" s="19" t="n">
        <v>-0.0492</v>
      </c>
      <c r="AA1039" s="18" t="n">
        <v>47.77</v>
      </c>
      <c r="AB1039" s="16" t="inlineStr">
        <is>
          <t>Average</t>
        </is>
      </c>
      <c r="AC1039" s="16" t="inlineStr">
        <is>
          <t>No</t>
        </is>
      </c>
      <c r="AD1039" s="19" t="n">
        <v>0.1076</v>
      </c>
      <c r="AE1039" s="19" t="n">
        <v>0.1226</v>
      </c>
      <c r="AF1039" s="19" t="n">
        <v>0.2969</v>
      </c>
      <c r="AG1039" s="19" t="n">
        <v>0.102</v>
      </c>
      <c r="AH1039" s="23" t="n">
        <v>0.48</v>
      </c>
      <c r="AI1039" s="23" t="n">
        <v>6.73</v>
      </c>
      <c r="AJ1039" s="19" t="n">
        <v>0.0658</v>
      </c>
    </row>
    <row r="1040">
      <c r="A1040" s="16" t="inlineStr">
        <is>
          <t>IMAGICAA</t>
        </is>
      </c>
      <c r="B1040" s="16" t="inlineStr">
        <is>
          <t>Imagicaaworld Entertainment Ltd.</t>
        </is>
      </c>
      <c r="C1040" s="16" t="inlineStr">
        <is>
          <t>Other Leisure Facilities</t>
        </is>
      </c>
      <c r="D1040" s="16" t="inlineStr">
        <is>
          <t>Diversified Consumer Services</t>
        </is>
      </c>
      <c r="E1040" s="16" t="inlineStr">
        <is>
          <t>INE172N01012</t>
        </is>
      </c>
      <c r="F1040" s="17" t="n">
        <v>3133.74</v>
      </c>
      <c r="G1040" s="18" t="n">
        <v>55.38</v>
      </c>
      <c r="H1040" s="19" t="n">
        <v>0.0152</v>
      </c>
      <c r="I1040" s="20" t="n">
        <v>68</v>
      </c>
      <c r="J1040" s="16" t="inlineStr">
        <is>
          <t>amber</t>
        </is>
      </c>
      <c r="K1040" s="20" t="n">
        <v>7</v>
      </c>
      <c r="L1040" s="18" t="n">
        <v>67.61</v>
      </c>
      <c r="M1040" s="18" t="n">
        <v>55.54</v>
      </c>
      <c r="N1040" s="18" t="n">
        <v>48.9</v>
      </c>
      <c r="O1040" s="18" t="n">
        <v>46.89</v>
      </c>
      <c r="P1040" s="18" t="n">
        <v>60.21</v>
      </c>
      <c r="Q1040" s="18" t="n">
        <v>37.46</v>
      </c>
      <c r="R1040" s="21">
        <f>IF(OR(G1040="",P1040=""),"",G1040/P1040-1)</f>
        <v/>
      </c>
      <c r="S1040" s="19" t="n">
        <v>0.9818000000000001</v>
      </c>
      <c r="T1040" s="22" t="n">
        <v>-0.0023</v>
      </c>
      <c r="U1040" s="16" t="inlineStr">
        <is>
          <t>No</t>
        </is>
      </c>
      <c r="V1040" s="16" t="inlineStr">
        <is>
          <t>Yes</t>
        </is>
      </c>
      <c r="W1040" s="16" t="inlineStr">
        <is>
          <t>No</t>
        </is>
      </c>
      <c r="X1040" s="16" t="inlineStr">
        <is>
          <t>Yes</t>
        </is>
      </c>
      <c r="Y1040" s="20" t="n">
        <v>15</v>
      </c>
      <c r="Z1040" s="19" t="n">
        <v>0.0428</v>
      </c>
      <c r="AA1040" s="18" t="n">
        <v>40</v>
      </c>
      <c r="AB1040" s="16" t="inlineStr">
        <is>
          <t>Weak</t>
        </is>
      </c>
      <c r="AC1040" s="16" t="inlineStr">
        <is>
          <t>No</t>
        </is>
      </c>
      <c r="AD1040" s="19" t="n">
        <v>0.2646</v>
      </c>
      <c r="AE1040" s="19" t="n">
        <v>0.1961</v>
      </c>
      <c r="AF1040" s="19" t="n">
        <v>-0.5877</v>
      </c>
      <c r="AG1040" s="19" t="n">
        <v>0.2072</v>
      </c>
      <c r="AH1040" s="23" t="n">
        <v>0.27</v>
      </c>
      <c r="AI1040" s="23" t="n">
        <v>0.27</v>
      </c>
      <c r="AJ1040" s="19" t="n">
        <v>0.0028</v>
      </c>
    </row>
    <row r="1041">
      <c r="A1041" s="16" t="inlineStr">
        <is>
          <t>PRINCEPIPE</t>
        </is>
      </c>
      <c r="B1041" s="16" t="inlineStr">
        <is>
          <t>Prince Pipes &amp; Fittings Ltd.</t>
        </is>
      </c>
      <c r="C1041" s="16" t="inlineStr">
        <is>
          <t>Plastic Products</t>
        </is>
      </c>
      <c r="D1041" s="16" t="inlineStr">
        <is>
          <t>General Industrials</t>
        </is>
      </c>
      <c r="E1041" s="16" t="inlineStr">
        <is>
          <t>INE689W01016</t>
        </is>
      </c>
      <c r="F1041" s="17" t="n">
        <v>3128.88</v>
      </c>
      <c r="G1041" s="18" t="n">
        <v>283</v>
      </c>
      <c r="H1041" s="19" t="n">
        <v>-0.0225</v>
      </c>
      <c r="I1041" s="20" t="n">
        <v>42</v>
      </c>
      <c r="J1041" s="16" t="inlineStr">
        <is>
          <t>red</t>
        </is>
      </c>
      <c r="K1041" s="20" t="n">
        <v>501</v>
      </c>
      <c r="L1041" s="18" t="n">
        <v>48.84</v>
      </c>
      <c r="M1041" s="18" t="n">
        <v>291.36</v>
      </c>
      <c r="N1041" s="18" t="n">
        <v>275.69</v>
      </c>
      <c r="O1041" s="18" t="n">
        <v>261.26</v>
      </c>
      <c r="P1041" s="18" t="n">
        <v>344.95</v>
      </c>
      <c r="Q1041" s="18" t="n">
        <v>206.05</v>
      </c>
      <c r="R1041" s="21">
        <f>IF(OR(G1041="",P1041=""),"",G1041/P1041-1)</f>
        <v/>
      </c>
      <c r="S1041" s="19" t="n">
        <v>0.5687</v>
      </c>
      <c r="T1041" s="22" t="n">
        <v>-0.012</v>
      </c>
      <c r="U1041" s="16" t="inlineStr">
        <is>
          <t>No</t>
        </is>
      </c>
      <c r="V1041" s="16" t="inlineStr">
        <is>
          <t>Yes</t>
        </is>
      </c>
      <c r="W1041" s="16" t="inlineStr">
        <is>
          <t>No</t>
        </is>
      </c>
      <c r="X1041" s="16" t="inlineStr">
        <is>
          <t>Yes</t>
        </is>
      </c>
      <c r="Y1041" s="20" t="n">
        <v>39</v>
      </c>
      <c r="Z1041" s="19" t="n">
        <v>0.0552</v>
      </c>
      <c r="AA1041" s="18" t="n">
        <v>37.07</v>
      </c>
      <c r="AB1041" s="16" t="inlineStr">
        <is>
          <t>Weak</t>
        </is>
      </c>
      <c r="AC1041" s="16" t="inlineStr">
        <is>
          <t>No</t>
        </is>
      </c>
      <c r="AD1041" s="19" t="n">
        <v>0.0638</v>
      </c>
      <c r="AE1041" s="19" t="n">
        <v>0.0827</v>
      </c>
      <c r="AF1041" s="19" t="n">
        <v>0.1458</v>
      </c>
      <c r="AG1041" s="19" t="n">
        <v>-0.0126</v>
      </c>
      <c r="AH1041" s="23" t="n">
        <v>0.09</v>
      </c>
      <c r="AI1041" s="23" t="n">
        <v>2.39</v>
      </c>
      <c r="AJ1041" s="19" t="n">
        <v>0.0219</v>
      </c>
    </row>
    <row r="1042">
      <c r="A1042" s="16" t="inlineStr">
        <is>
          <t>NIITMTS</t>
        </is>
      </c>
      <c r="B1042" s="16" t="inlineStr">
        <is>
          <t>NIIT Learning Systems Ltd.</t>
        </is>
      </c>
      <c r="C1042" s="16" t="inlineStr">
        <is>
          <t>Education</t>
        </is>
      </c>
      <c r="D1042" s="16" t="inlineStr">
        <is>
          <t>Diversified Consumer Services</t>
        </is>
      </c>
      <c r="E1042" s="16" t="inlineStr">
        <is>
          <t>INE342G01023</t>
        </is>
      </c>
      <c r="F1042" s="17" t="n">
        <v>3118.04</v>
      </c>
      <c r="G1042" s="18" t="n">
        <v>225.94</v>
      </c>
      <c r="H1042" s="19" t="n">
        <v>0.0136</v>
      </c>
      <c r="I1042" s="20" t="n">
        <v>8</v>
      </c>
      <c r="J1042" s="16" t="inlineStr">
        <is>
          <t>red</t>
        </is>
      </c>
      <c r="K1042" s="20" t="n">
        <v>137</v>
      </c>
      <c r="L1042" s="18" t="n">
        <v>38.78</v>
      </c>
      <c r="M1042" s="18" t="n">
        <v>228.12</v>
      </c>
      <c r="N1042" s="18" t="n">
        <v>234.46</v>
      </c>
      <c r="O1042" s="18" t="n">
        <v>300.62</v>
      </c>
      <c r="P1042" s="18" t="n">
        <v>430.99</v>
      </c>
      <c r="Q1042" s="18" t="n">
        <v>204.6</v>
      </c>
      <c r="R1042" s="21">
        <f>IF(OR(G1042="",P1042=""),"",G1042/P1042-1)</f>
        <v/>
      </c>
      <c r="S1042" s="19" t="n">
        <v>0.742</v>
      </c>
      <c r="T1042" s="22" t="n">
        <v>-0.0305</v>
      </c>
      <c r="U1042" s="16" t="inlineStr">
        <is>
          <t>No</t>
        </is>
      </c>
      <c r="V1042" s="16" t="inlineStr">
        <is>
          <t>No</t>
        </is>
      </c>
      <c r="W1042" s="16" t="inlineStr">
        <is>
          <t>No</t>
        </is>
      </c>
      <c r="X1042" s="16" t="inlineStr">
        <is>
          <t>No</t>
        </is>
      </c>
      <c r="Y1042" s="20" t="n">
        <v>112</v>
      </c>
      <c r="Z1042" s="19" t="n">
        <v>-0.2201</v>
      </c>
      <c r="AA1042" s="18" t="n">
        <v>62.71</v>
      </c>
      <c r="AB1042" s="16" t="inlineStr">
        <is>
          <t>Good</t>
        </is>
      </c>
      <c r="AC1042" s="16" t="inlineStr">
        <is>
          <t>No</t>
        </is>
      </c>
      <c r="AD1042" s="19" t="n">
        <v>0.1889</v>
      </c>
      <c r="AE1042" s="19" t="n">
        <v>0.2391</v>
      </c>
      <c r="AF1042" s="19" t="n">
        <v>0.0735</v>
      </c>
      <c r="AG1042" s="19" t="n">
        <v>0.1286</v>
      </c>
      <c r="AH1042" s="23" t="n">
        <v>0.21</v>
      </c>
      <c r="AI1042" s="23" t="n">
        <v>25.78</v>
      </c>
      <c r="AJ1042" s="19" t="n">
        <v>0</v>
      </c>
    </row>
    <row r="1043">
      <c r="A1043" s="16" t="inlineStr">
        <is>
          <t>ASHIKA</t>
        </is>
      </c>
      <c r="B1043" s="16" t="inlineStr">
        <is>
          <t>Ashika Global Securities Ltd.</t>
        </is>
      </c>
      <c r="C1043" s="16" t="inlineStr">
        <is>
          <t>Finance (including NBFCs)</t>
        </is>
      </c>
      <c r="D1043" s="16" t="inlineStr">
        <is>
          <t>Banking and Finance</t>
        </is>
      </c>
      <c r="E1043" s="16" t="inlineStr">
        <is>
          <t>INE094B01013</t>
        </is>
      </c>
      <c r="F1043" s="17" t="n">
        <v>3111.96</v>
      </c>
      <c r="G1043" s="18" t="n">
        <v>422.1</v>
      </c>
      <c r="H1043" s="19" t="n">
        <v>-0.0048</v>
      </c>
      <c r="I1043" s="20" t="n">
        <v>63</v>
      </c>
      <c r="J1043" s="16" t="inlineStr">
        <is>
          <t>amber</t>
        </is>
      </c>
      <c r="K1043" s="20" t="n">
        <v>25</v>
      </c>
      <c r="L1043" s="18" t="n">
        <v>38.1</v>
      </c>
      <c r="M1043" s="18" t="n">
        <v>429.69</v>
      </c>
      <c r="N1043" s="18" t="n">
        <v>425.42</v>
      </c>
      <c r="O1043" s="18" t="n">
        <v>378.6</v>
      </c>
      <c r="P1043" s="18" t="n">
        <v>498.8</v>
      </c>
      <c r="Q1043" s="18" t="n">
        <v>307.2</v>
      </c>
      <c r="R1043" s="21">
        <f>IF(OR(G1043="",P1043=""),"",G1043/P1043-1)</f>
        <v/>
      </c>
      <c r="S1043" s="19" t="n">
        <v>0.0617</v>
      </c>
      <c r="T1043" s="22" t="n">
        <v>0.0216</v>
      </c>
      <c r="U1043" s="16" t="inlineStr">
        <is>
          <t>Yes</t>
        </is>
      </c>
      <c r="V1043" s="16" t="inlineStr">
        <is>
          <t>No</t>
        </is>
      </c>
      <c r="W1043" s="16" t="inlineStr">
        <is>
          <t>No</t>
        </is>
      </c>
      <c r="X1043" s="16" t="inlineStr">
        <is>
          <t>Yes</t>
        </is>
      </c>
      <c r="Y1043" s="20" t="n">
        <v>75</v>
      </c>
      <c r="Z1043" s="19" t="n">
        <v>0.1236</v>
      </c>
      <c r="AA1043" s="18" t="n"/>
      <c r="AB1043" s="16" t="n"/>
      <c r="AC1043" s="16" t="inlineStr">
        <is>
          <t>No</t>
        </is>
      </c>
      <c r="AD1043" s="19" t="n"/>
      <c r="AE1043" s="19" t="n"/>
      <c r="AF1043" s="19" t="n"/>
      <c r="AG1043" s="19" t="n"/>
      <c r="AH1043" s="23" t="n"/>
      <c r="AI1043" s="23" t="n"/>
      <c r="AJ1043" s="19" t="n"/>
    </row>
    <row r="1044">
      <c r="A1044" s="16" t="inlineStr">
        <is>
          <t>XPROINDIA</t>
        </is>
      </c>
      <c r="B1044" s="16" t="inlineStr">
        <is>
          <t>Xpro India Ltd.</t>
        </is>
      </c>
      <c r="C1044" s="16" t="inlineStr">
        <is>
          <t>Containers &amp; Packaging</t>
        </is>
      </c>
      <c r="D1044" s="16" t="inlineStr">
        <is>
          <t>Commercial Services &amp; Supplies</t>
        </is>
      </c>
      <c r="E1044" s="16" t="inlineStr">
        <is>
          <t>INE445C01015</t>
        </is>
      </c>
      <c r="F1044" s="17" t="n">
        <v>3110.06</v>
      </c>
      <c r="G1044" s="18" t="n">
        <v>1325.1</v>
      </c>
      <c r="H1044" s="19" t="n">
        <v>0.035</v>
      </c>
      <c r="I1044" s="20" t="n">
        <v>70</v>
      </c>
      <c r="J1044" s="16" t="inlineStr">
        <is>
          <t>amber</t>
        </is>
      </c>
      <c r="K1044" s="20" t="n">
        <v>3</v>
      </c>
      <c r="L1044" s="18" t="n">
        <v>78.69</v>
      </c>
      <c r="M1044" s="18" t="n">
        <v>1203.48</v>
      </c>
      <c r="N1044" s="18" t="n">
        <v>1282.26</v>
      </c>
      <c r="O1044" s="18" t="n">
        <v>1091.25</v>
      </c>
      <c r="P1044" s="18" t="n">
        <v>1501.54</v>
      </c>
      <c r="Q1044" s="18" t="n">
        <v>811.88</v>
      </c>
      <c r="R1044" s="21">
        <f>IF(OR(G1044="",P1044=""),"",G1044/P1044-1)</f>
        <v/>
      </c>
      <c r="S1044" s="19" t="n">
        <v>1.0091</v>
      </c>
      <c r="T1044" s="22" t="n">
        <v>0.0074</v>
      </c>
      <c r="U1044" s="16" t="inlineStr">
        <is>
          <t>Yes</t>
        </is>
      </c>
      <c r="V1044" s="16" t="inlineStr">
        <is>
          <t>Yes</t>
        </is>
      </c>
      <c r="W1044" s="16" t="inlineStr">
        <is>
          <t>Yes</t>
        </is>
      </c>
      <c r="X1044" s="16" t="inlineStr">
        <is>
          <t>Yes</t>
        </is>
      </c>
      <c r="Y1044" s="20" t="n">
        <v>73</v>
      </c>
      <c r="Z1044" s="19" t="n">
        <v>0.175</v>
      </c>
      <c r="AA1044" s="18" t="n">
        <v>24.46</v>
      </c>
      <c r="AB1044" s="16" t="inlineStr">
        <is>
          <t>Poor</t>
        </is>
      </c>
      <c r="AC1044" s="16" t="inlineStr">
        <is>
          <t>No</t>
        </is>
      </c>
      <c r="AD1044" s="19" t="n">
        <v>0.0553</v>
      </c>
      <c r="AE1044" s="19" t="n">
        <v>0.0683</v>
      </c>
      <c r="AF1044" s="19" t="n">
        <v>-0.2787</v>
      </c>
      <c r="AG1044" s="19" t="n">
        <v>0.004</v>
      </c>
      <c r="AH1044" s="23" t="n">
        <v>0.43</v>
      </c>
      <c r="AI1044" s="23" t="n">
        <v>0.71</v>
      </c>
      <c r="AJ1044" s="19" t="n">
        <v>0.4453</v>
      </c>
    </row>
    <row r="1045">
      <c r="A1045" s="16" t="inlineStr">
        <is>
          <t>BOROLTD</t>
        </is>
      </c>
      <c r="B1045" s="16" t="inlineStr">
        <is>
          <t>Borosil Ltd.</t>
        </is>
      </c>
      <c r="C1045" s="16" t="inlineStr">
        <is>
          <t>Houseware</t>
        </is>
      </c>
      <c r="D1045" s="16" t="inlineStr">
        <is>
          <t>Consumer Durables</t>
        </is>
      </c>
      <c r="E1045" s="16" t="inlineStr">
        <is>
          <t>INE02PY01013</t>
        </is>
      </c>
      <c r="F1045" s="17" t="n">
        <v>3096.84</v>
      </c>
      <c r="G1045" s="18" t="n">
        <v>258.96</v>
      </c>
      <c r="H1045" s="19" t="n">
        <v>0.0415</v>
      </c>
      <c r="I1045" s="20" t="n">
        <v>43</v>
      </c>
      <c r="J1045" s="16" t="inlineStr">
        <is>
          <t>red</t>
        </is>
      </c>
      <c r="K1045" s="20" t="n">
        <v>433</v>
      </c>
      <c r="L1045" s="18" t="n">
        <v>58.84</v>
      </c>
      <c r="M1045" s="18" t="n">
        <v>248.06</v>
      </c>
      <c r="N1045" s="18" t="n">
        <v>242.27</v>
      </c>
      <c r="O1045" s="18" t="n">
        <v>251.84</v>
      </c>
      <c r="P1045" s="18" t="n">
        <v>373.6</v>
      </c>
      <c r="Q1045" s="18" t="n">
        <v>215.6</v>
      </c>
      <c r="R1045" s="21">
        <f>IF(OR(G1045="",P1045=""),"",G1045/P1045-1)</f>
        <v/>
      </c>
      <c r="S1045" s="19" t="n">
        <v>0.3121</v>
      </c>
      <c r="T1045" s="22" t="n">
        <v>-0.0356</v>
      </c>
      <c r="U1045" s="16" t="inlineStr">
        <is>
          <t>No</t>
        </is>
      </c>
      <c r="V1045" s="16" t="inlineStr">
        <is>
          <t>Yes</t>
        </is>
      </c>
      <c r="W1045" s="16" t="inlineStr">
        <is>
          <t>Yes</t>
        </is>
      </c>
      <c r="X1045" s="16" t="inlineStr">
        <is>
          <t>No</t>
        </is>
      </c>
      <c r="Y1045" s="20" t="n">
        <v>189</v>
      </c>
      <c r="Z1045" s="19" t="n">
        <v>-0.038</v>
      </c>
      <c r="AA1045" s="18" t="n">
        <v>48.3</v>
      </c>
      <c r="AB1045" s="16" t="inlineStr">
        <is>
          <t>Average</t>
        </is>
      </c>
      <c r="AC1045" s="16" t="inlineStr">
        <is>
          <t>No</t>
        </is>
      </c>
      <c r="AD1045" s="19" t="n">
        <v>0.09660000000000001</v>
      </c>
      <c r="AE1045" s="19" t="n">
        <v>0.1157</v>
      </c>
      <c r="AF1045" s="19" t="n">
        <v>0.1174</v>
      </c>
      <c r="AG1045" s="19" t="n">
        <v>0.1753</v>
      </c>
      <c r="AH1045" s="23" t="n">
        <v>0.17</v>
      </c>
      <c r="AI1045" s="23" t="n">
        <v>1.88</v>
      </c>
      <c r="AJ1045" s="19" t="n">
        <v>0.1659</v>
      </c>
    </row>
    <row r="1046">
      <c r="A1046" s="16" t="inlineStr">
        <is>
          <t>INDSWFTLAB</t>
        </is>
      </c>
      <c r="B1046" s="16" t="inlineStr">
        <is>
          <t>Ind-Swift Laboratories Ltd.</t>
        </is>
      </c>
      <c r="C1046" s="16" t="inlineStr">
        <is>
          <t>Pharmaceuticals</t>
        </is>
      </c>
      <c r="D1046" s="16" t="inlineStr">
        <is>
          <t>Pharmaceuticals &amp; Biotechnology</t>
        </is>
      </c>
      <c r="E1046" s="16" t="inlineStr">
        <is>
          <t>INE915B01019</t>
        </is>
      </c>
      <c r="F1046" s="17" t="n">
        <v>3095.4</v>
      </c>
      <c r="G1046" s="18" t="n">
        <v>355.95</v>
      </c>
      <c r="H1046" s="19" t="n">
        <v>-0.0449</v>
      </c>
      <c r="I1046" s="20" t="n">
        <v>98</v>
      </c>
      <c r="J1046" s="16" t="inlineStr">
        <is>
          <t>green</t>
        </is>
      </c>
      <c r="K1046" s="20" t="n">
        <v>153</v>
      </c>
      <c r="L1046" s="18" t="n">
        <v>62.95</v>
      </c>
      <c r="M1046" s="18" t="n">
        <v>364.62</v>
      </c>
      <c r="N1046" s="18" t="n">
        <v>268.33</v>
      </c>
      <c r="O1046" s="18" t="n">
        <v>163.62</v>
      </c>
      <c r="P1046" s="18" t="n">
        <v>372.7</v>
      </c>
      <c r="Q1046" s="18" t="n">
        <v>88.15000000000001</v>
      </c>
      <c r="R1046" s="21">
        <f>IF(OR(G1046="",P1046=""),"",G1046/P1046-1)</f>
        <v/>
      </c>
      <c r="S1046" s="19" t="n">
        <v>0.4312</v>
      </c>
      <c r="T1046" s="22" t="n">
        <v>0.163</v>
      </c>
      <c r="U1046" s="16" t="inlineStr">
        <is>
          <t>Yes</t>
        </is>
      </c>
      <c r="V1046" s="16" t="inlineStr">
        <is>
          <t>Yes</t>
        </is>
      </c>
      <c r="W1046" s="16" t="inlineStr">
        <is>
          <t>No</t>
        </is>
      </c>
      <c r="X1046" s="16" t="inlineStr">
        <is>
          <t>Yes</t>
        </is>
      </c>
      <c r="Y1046" s="20" t="n">
        <v>147</v>
      </c>
      <c r="Z1046" s="19" t="n">
        <v>0.64</v>
      </c>
      <c r="AA1046" s="18" t="n">
        <v>71.31999999999999</v>
      </c>
      <c r="AB1046" s="16" t="inlineStr">
        <is>
          <t>High</t>
        </is>
      </c>
      <c r="AC1046" s="16" t="inlineStr">
        <is>
          <t>No</t>
        </is>
      </c>
      <c r="AD1046" s="19" t="n">
        <v>0.3023</v>
      </c>
      <c r="AE1046" s="19" t="n">
        <v>0.3091</v>
      </c>
      <c r="AF1046" s="19" t="n">
        <v>6.896599999999999</v>
      </c>
      <c r="AG1046" s="19" t="n">
        <v>-0.04389999999999999</v>
      </c>
      <c r="AH1046" s="23" t="n">
        <v>0.01</v>
      </c>
      <c r="AI1046" s="23" t="n">
        <v>2.24</v>
      </c>
      <c r="AJ1046" s="19" t="n">
        <v>0.0356</v>
      </c>
    </row>
    <row r="1047">
      <c r="A1047" s="16" t="inlineStr">
        <is>
          <t>TECHNVISN</t>
        </is>
      </c>
      <c r="B1047" s="16" t="inlineStr">
        <is>
          <t>TechNVision Ventures Ltd.</t>
        </is>
      </c>
      <c r="C1047" s="16" t="inlineStr">
        <is>
          <t>IT Consulting &amp; Software</t>
        </is>
      </c>
      <c r="D1047" s="16" t="inlineStr">
        <is>
          <t>Software &amp; Services</t>
        </is>
      </c>
      <c r="E1047" s="16" t="inlineStr">
        <is>
          <t>INE314H01012</t>
        </is>
      </c>
      <c r="F1047" s="17" t="n">
        <v>3076.76</v>
      </c>
      <c r="G1047" s="18" t="n">
        <v>4903.2</v>
      </c>
      <c r="H1047" s="19" t="n">
        <v>-0.0386</v>
      </c>
      <c r="I1047" s="20" t="n">
        <v>10</v>
      </c>
      <c r="J1047" s="16" t="inlineStr">
        <is>
          <t>red</t>
        </is>
      </c>
      <c r="K1047" s="20" t="n">
        <v>20</v>
      </c>
      <c r="L1047" s="18" t="n">
        <v>42.16</v>
      </c>
      <c r="M1047" s="18" t="n">
        <v>5126.72</v>
      </c>
      <c r="N1047" s="18" t="n">
        <v>4551.17</v>
      </c>
      <c r="O1047" s="18" t="n">
        <v>5717.8</v>
      </c>
      <c r="P1047" s="18" t="n">
        <v>7914.65</v>
      </c>
      <c r="Q1047" s="18" t="n">
        <v>3303.9</v>
      </c>
      <c r="R1047" s="21">
        <f>IF(OR(G1047="",P1047=""),"",G1047/P1047-1)</f>
        <v/>
      </c>
      <c r="S1047" s="19" t="n">
        <v>0.8896999999999999</v>
      </c>
      <c r="T1047" s="22" t="n">
        <v>0.0036</v>
      </c>
      <c r="U1047" s="16" t="inlineStr">
        <is>
          <t>Yes</t>
        </is>
      </c>
      <c r="V1047" s="16" t="inlineStr">
        <is>
          <t>Yes</t>
        </is>
      </c>
      <c r="W1047" s="16" t="inlineStr">
        <is>
          <t>No</t>
        </is>
      </c>
      <c r="X1047" s="16" t="inlineStr">
        <is>
          <t>No</t>
        </is>
      </c>
      <c r="Y1047" s="20" t="n">
        <v>78</v>
      </c>
      <c r="Z1047" s="19" t="n">
        <v>-0.204</v>
      </c>
      <c r="AA1047" s="18" t="n"/>
      <c r="AB1047" s="16" t="n"/>
      <c r="AC1047" s="16" t="inlineStr">
        <is>
          <t>No</t>
        </is>
      </c>
      <c r="AD1047" s="19" t="n"/>
      <c r="AE1047" s="19" t="n"/>
      <c r="AF1047" s="19" t="n"/>
      <c r="AG1047" s="19" t="n"/>
      <c r="AH1047" s="23" t="n"/>
      <c r="AI1047" s="23" t="n"/>
      <c r="AJ1047" s="19" t="n"/>
    </row>
    <row r="1048">
      <c r="A1048" s="16" t="inlineStr">
        <is>
          <t>SOLARA</t>
        </is>
      </c>
      <c r="B1048" s="16" t="inlineStr">
        <is>
          <t>Solara Active Pharma Sciences Ltd.</t>
        </is>
      </c>
      <c r="C1048" s="16" t="inlineStr">
        <is>
          <t>Pharmaceuticals</t>
        </is>
      </c>
      <c r="D1048" s="16" t="inlineStr">
        <is>
          <t>Pharmaceuticals &amp; Biotechnology</t>
        </is>
      </c>
      <c r="E1048" s="16" t="inlineStr">
        <is>
          <t>INE624Z01016</t>
        </is>
      </c>
      <c r="F1048" s="17" t="n">
        <v>3071.63</v>
      </c>
      <c r="G1048" s="18" t="n">
        <v>639.15</v>
      </c>
      <c r="H1048" s="19" t="n">
        <v>0.0148</v>
      </c>
      <c r="I1048" s="20" t="n">
        <v>60</v>
      </c>
      <c r="J1048" s="16" t="inlineStr">
        <is>
          <t>amber</t>
        </is>
      </c>
      <c r="K1048" s="20" t="n">
        <v>10</v>
      </c>
      <c r="L1048" s="18" t="n">
        <v>77.33</v>
      </c>
      <c r="M1048" s="18" t="n">
        <v>629.79</v>
      </c>
      <c r="N1048" s="18" t="n">
        <v>561.41</v>
      </c>
      <c r="O1048" s="18" t="n">
        <v>531.1799999999999</v>
      </c>
      <c r="P1048" s="18" t="n">
        <v>686.5</v>
      </c>
      <c r="Q1048" s="18" t="n">
        <v>425.55</v>
      </c>
      <c r="R1048" s="21">
        <f>IF(OR(G1048="",P1048=""),"",G1048/P1048-1)</f>
        <v/>
      </c>
      <c r="S1048" s="19" t="n">
        <v>0.8047</v>
      </c>
      <c r="T1048" s="22" t="n">
        <v>0.0007000000000000001</v>
      </c>
      <c r="U1048" s="16" t="inlineStr">
        <is>
          <t>Yes</t>
        </is>
      </c>
      <c r="V1048" s="16" t="inlineStr">
        <is>
          <t>Yes</t>
        </is>
      </c>
      <c r="W1048" s="16" t="inlineStr">
        <is>
          <t>Yes</t>
        </is>
      </c>
      <c r="X1048" s="16" t="inlineStr">
        <is>
          <t>Yes</t>
        </is>
      </c>
      <c r="Y1048" s="20" t="n">
        <v>49</v>
      </c>
      <c r="Z1048" s="19" t="n">
        <v>0.05690000000000001</v>
      </c>
      <c r="AA1048" s="18" t="n">
        <v>14.93</v>
      </c>
      <c r="AB1048" s="16" t="inlineStr">
        <is>
          <t>Poor</t>
        </is>
      </c>
      <c r="AC1048" s="16" t="inlineStr">
        <is>
          <t>No</t>
        </is>
      </c>
      <c r="AD1048" s="19" t="n">
        <v>-0.2043</v>
      </c>
      <c r="AE1048" s="19" t="n">
        <v>-0.0313</v>
      </c>
      <c r="AF1048" s="19" t="n">
        <v>-12.3817</v>
      </c>
      <c r="AG1048" s="19" t="n">
        <v>0.0003</v>
      </c>
      <c r="AH1048" s="23" t="n">
        <v>0.55</v>
      </c>
      <c r="AI1048" s="23" t="n">
        <v>1.3</v>
      </c>
      <c r="AJ1048" s="19" t="n">
        <v>0.1941</v>
      </c>
    </row>
    <row r="1049">
      <c r="A1049" s="16" t="inlineStr">
        <is>
          <t>KERNEX</t>
        </is>
      </c>
      <c r="B1049" s="16" t="inlineStr">
        <is>
          <t>Kernex Microsystems (India) Ltd.</t>
        </is>
      </c>
      <c r="C1049" s="16" t="inlineStr">
        <is>
          <t>Transport Related Services</t>
        </is>
      </c>
      <c r="D1049" s="16" t="inlineStr">
        <is>
          <t>Transportation</t>
        </is>
      </c>
      <c r="E1049" s="16" t="inlineStr">
        <is>
          <t>INE202H01019</t>
        </is>
      </c>
      <c r="F1049" s="17" t="n">
        <v>3053.21</v>
      </c>
      <c r="G1049" s="18" t="n">
        <v>1817</v>
      </c>
      <c r="H1049" s="19" t="n">
        <v>0.06280000000000001</v>
      </c>
      <c r="I1049" s="20" t="n">
        <v>82</v>
      </c>
      <c r="J1049" s="16" t="inlineStr">
        <is>
          <t>green</t>
        </is>
      </c>
      <c r="K1049" s="20" t="n">
        <v>1</v>
      </c>
      <c r="L1049" s="18" t="n">
        <v>53.57</v>
      </c>
      <c r="M1049" s="18" t="n">
        <v>1761.85</v>
      </c>
      <c r="N1049" s="18" t="n">
        <v>2113.24</v>
      </c>
      <c r="O1049" s="18" t="n">
        <v>1493.23</v>
      </c>
      <c r="P1049" s="18" t="n">
        <v>2549.2</v>
      </c>
      <c r="Q1049" s="18" t="n">
        <v>857</v>
      </c>
      <c r="R1049" s="21">
        <f>IF(OR(G1049="",P1049=""),"",G1049/P1049-1)</f>
        <v/>
      </c>
      <c r="S1049" s="19" t="n">
        <v>1.8811</v>
      </c>
      <c r="T1049" s="22" t="n">
        <v>0.0441</v>
      </c>
      <c r="U1049" s="16" t="inlineStr">
        <is>
          <t>Yes</t>
        </is>
      </c>
      <c r="V1049" s="16" t="inlineStr">
        <is>
          <t>No</t>
        </is>
      </c>
      <c r="W1049" s="16" t="inlineStr">
        <is>
          <t>Yes</t>
        </is>
      </c>
      <c r="X1049" s="16" t="inlineStr">
        <is>
          <t>Yes</t>
        </is>
      </c>
      <c r="Y1049" s="20" t="n">
        <v>79</v>
      </c>
      <c r="Z1049" s="19" t="n">
        <v>0.4152</v>
      </c>
      <c r="AA1049" s="18" t="n">
        <v>59.66</v>
      </c>
      <c r="AB1049" s="16" t="inlineStr">
        <is>
          <t>Good</t>
        </is>
      </c>
      <c r="AC1049" s="16" t="inlineStr">
        <is>
          <t>No</t>
        </is>
      </c>
      <c r="AD1049" s="19" t="n">
        <v>0.1421</v>
      </c>
      <c r="AE1049" s="19" t="n">
        <v>0.123</v>
      </c>
      <c r="AF1049" s="19" t="n">
        <v>1.1424</v>
      </c>
      <c r="AG1049" s="19" t="n">
        <v>4.6002</v>
      </c>
      <c r="AH1049" s="23" t="n">
        <v>0.65</v>
      </c>
      <c r="AI1049" s="23" t="n">
        <v>15.83</v>
      </c>
      <c r="AJ1049" s="19" t="n">
        <v>0</v>
      </c>
    </row>
    <row r="1050">
      <c r="A1050" s="16" t="inlineStr">
        <is>
          <t>STYLEBAAZA</t>
        </is>
      </c>
      <c r="B1050" s="16" t="inlineStr">
        <is>
          <t>Baazar Style Retail Ltd.</t>
        </is>
      </c>
      <c r="C1050" s="16" t="inlineStr">
        <is>
          <t>Department Stores</t>
        </is>
      </c>
      <c r="D1050" s="16" t="inlineStr">
        <is>
          <t>Retailing</t>
        </is>
      </c>
      <c r="E1050" s="16" t="inlineStr">
        <is>
          <t>INE01FR01028</t>
        </is>
      </c>
      <c r="F1050" s="17" t="n">
        <v>3046.6</v>
      </c>
      <c r="G1050" s="18" t="n">
        <v>400.25</v>
      </c>
      <c r="H1050" s="19" t="n">
        <v>0.0137</v>
      </c>
      <c r="I1050" s="20" t="n">
        <v>75</v>
      </c>
      <c r="J1050" s="16" t="inlineStr">
        <is>
          <t>amber</t>
        </is>
      </c>
      <c r="K1050" s="20" t="n">
        <v>11</v>
      </c>
      <c r="L1050" s="18" t="n">
        <v>55.48</v>
      </c>
      <c r="M1050" s="18" t="n">
        <v>401.4</v>
      </c>
      <c r="N1050" s="18" t="n">
        <v>331.81</v>
      </c>
      <c r="O1050" s="18" t="n">
        <v>318.02</v>
      </c>
      <c r="P1050" s="18" t="n">
        <v>439.6</v>
      </c>
      <c r="Q1050" s="18" t="n">
        <v>237.15</v>
      </c>
      <c r="R1050" s="21">
        <f>IF(OR(G1050="",P1050=""),"",G1050/P1050-1)</f>
        <v/>
      </c>
      <c r="S1050" s="19" t="n">
        <v>0.4337</v>
      </c>
      <c r="T1050" s="22" t="n">
        <v>0.0227</v>
      </c>
      <c r="U1050" s="16" t="inlineStr">
        <is>
          <t>Yes</t>
        </is>
      </c>
      <c r="V1050" s="16" t="inlineStr">
        <is>
          <t>Yes</t>
        </is>
      </c>
      <c r="W1050" s="16" t="inlineStr">
        <is>
          <t>No</t>
        </is>
      </c>
      <c r="X1050" s="16" t="inlineStr">
        <is>
          <t>Yes</t>
        </is>
      </c>
      <c r="Y1050" s="20" t="n">
        <v>12</v>
      </c>
      <c r="Z1050" s="19" t="n">
        <v>0.0433</v>
      </c>
      <c r="AA1050" s="18" t="n">
        <v>21.43</v>
      </c>
      <c r="AB1050" s="16" t="inlineStr">
        <is>
          <t>Poor</t>
        </is>
      </c>
      <c r="AC1050" s="16" t="inlineStr">
        <is>
          <t>No</t>
        </is>
      </c>
      <c r="AD1050" s="19" t="n">
        <v>0.0808</v>
      </c>
      <c r="AE1050" s="19" t="n">
        <v>0.0827</v>
      </c>
      <c r="AF1050" s="19" t="n">
        <v>1.7065</v>
      </c>
      <c r="AG1050" s="19" t="n">
        <v>0.3290999999999999</v>
      </c>
      <c r="AH1050" s="23" t="n">
        <v>2.21</v>
      </c>
      <c r="AI1050" s="23" t="n">
        <v>1.92</v>
      </c>
      <c r="AJ1050" s="19" t="n">
        <v>0.013</v>
      </c>
    </row>
    <row r="1051">
      <c r="A1051" s="16" t="inlineStr">
        <is>
          <t>DREDGECORP</t>
        </is>
      </c>
      <c r="B1051" s="16" t="inlineStr">
        <is>
          <t>Dredging Corporation Of India Ltd.</t>
        </is>
      </c>
      <c r="C1051" s="16" t="inlineStr">
        <is>
          <t>Shipping</t>
        </is>
      </c>
      <c r="D1051" s="16" t="inlineStr">
        <is>
          <t>Transportation</t>
        </is>
      </c>
      <c r="E1051" s="16" t="inlineStr">
        <is>
          <t>INE506A01018</t>
        </is>
      </c>
      <c r="F1051" s="17" t="n">
        <v>3045.56</v>
      </c>
      <c r="G1051" s="18" t="n">
        <v>1087.7</v>
      </c>
      <c r="H1051" s="19" t="n">
        <v>0.0121</v>
      </c>
      <c r="I1051" s="20" t="n">
        <v>66</v>
      </c>
      <c r="J1051" s="16" t="inlineStr">
        <is>
          <t>amber</t>
        </is>
      </c>
      <c r="K1051" s="20" t="n">
        <v>12</v>
      </c>
      <c r="L1051" s="18" t="n">
        <v>35.71</v>
      </c>
      <c r="M1051" s="18" t="n">
        <v>1096.2</v>
      </c>
      <c r="N1051" s="18" t="n">
        <v>1078.91</v>
      </c>
      <c r="O1051" s="18" t="n">
        <v>1009.86</v>
      </c>
      <c r="P1051" s="18" t="n">
        <v>1232.5</v>
      </c>
      <c r="Q1051" s="18" t="n">
        <v>597.45</v>
      </c>
      <c r="R1051" s="21">
        <f>IF(OR(G1051="",P1051=""),"",G1051/P1051-1)</f>
        <v/>
      </c>
      <c r="S1051" s="19" t="n">
        <v>0.6866</v>
      </c>
      <c r="T1051" s="22" t="n">
        <v>0.0344</v>
      </c>
      <c r="U1051" s="16" t="inlineStr">
        <is>
          <t>Yes</t>
        </is>
      </c>
      <c r="V1051" s="16" t="inlineStr">
        <is>
          <t>Yes</t>
        </is>
      </c>
      <c r="W1051" s="16" t="inlineStr">
        <is>
          <t>No</t>
        </is>
      </c>
      <c r="X1051" s="16" t="inlineStr">
        <is>
          <t>Yes</t>
        </is>
      </c>
      <c r="Y1051" s="20" t="n">
        <v>209</v>
      </c>
      <c r="Z1051" s="19" t="n">
        <v>0.0684</v>
      </c>
      <c r="AA1051" s="18" t="n">
        <v>20.3</v>
      </c>
      <c r="AB1051" s="16" t="inlineStr">
        <is>
          <t>Poor</t>
        </is>
      </c>
      <c r="AC1051" s="16" t="inlineStr">
        <is>
          <t>No</t>
        </is>
      </c>
      <c r="AD1051" s="19" t="n">
        <v>0.0026</v>
      </c>
      <c r="AE1051" s="19" t="n">
        <v>0.0264</v>
      </c>
      <c r="AF1051" s="19" t="n">
        <v>0.0339</v>
      </c>
      <c r="AG1051" s="19" t="n">
        <v>0.0271</v>
      </c>
      <c r="AH1051" s="23" t="n">
        <v>0.88</v>
      </c>
      <c r="AI1051" s="23" t="n">
        <v>0.58</v>
      </c>
      <c r="AJ1051" s="19" t="n">
        <v>0.4257</v>
      </c>
    </row>
    <row r="1052">
      <c r="A1052" s="16" t="inlineStr">
        <is>
          <t>BALMLAWRIE</t>
        </is>
      </c>
      <c r="B1052" s="16" t="inlineStr">
        <is>
          <t>Balmer Lawrie &amp; Company Ltd.</t>
        </is>
      </c>
      <c r="C1052" s="16" t="inlineStr">
        <is>
          <t>Diversified</t>
        </is>
      </c>
      <c r="D1052" s="16" t="inlineStr">
        <is>
          <t>Diversified</t>
        </is>
      </c>
      <c r="E1052" s="16" t="inlineStr">
        <is>
          <t>INE164A01016</t>
        </is>
      </c>
      <c r="F1052" s="17" t="n">
        <v>3043.53</v>
      </c>
      <c r="G1052" s="18" t="n">
        <v>177.98</v>
      </c>
      <c r="H1052" s="19" t="n">
        <v>0.0059</v>
      </c>
      <c r="I1052" s="20" t="n">
        <v>35</v>
      </c>
      <c r="J1052" s="16" t="inlineStr">
        <is>
          <t>red</t>
        </is>
      </c>
      <c r="K1052" s="20" t="n">
        <v>80</v>
      </c>
      <c r="L1052" s="18" t="n">
        <v>60.22</v>
      </c>
      <c r="M1052" s="18" t="n">
        <v>176.45</v>
      </c>
      <c r="N1052" s="18" t="n">
        <v>176.78</v>
      </c>
      <c r="O1052" s="18" t="n">
        <v>175.98</v>
      </c>
      <c r="P1052" s="18" t="n">
        <v>221.78</v>
      </c>
      <c r="Q1052" s="18" t="n">
        <v>149.08</v>
      </c>
      <c r="R1052" s="21">
        <f>IF(OR(G1052="",P1052=""),"",G1052/P1052-1)</f>
        <v/>
      </c>
      <c r="S1052" s="19" t="n">
        <v>0.7421</v>
      </c>
      <c r="T1052" s="22" t="n">
        <v>-0.01</v>
      </c>
      <c r="U1052" s="16" t="inlineStr">
        <is>
          <t>No</t>
        </is>
      </c>
      <c r="V1052" s="16" t="inlineStr">
        <is>
          <t>Yes</t>
        </is>
      </c>
      <c r="W1052" s="16" t="inlineStr">
        <is>
          <t>Yes</t>
        </is>
      </c>
      <c r="X1052" s="16" t="inlineStr">
        <is>
          <t>Yes</t>
        </is>
      </c>
      <c r="Y1052" s="20" t="n">
        <v>54</v>
      </c>
      <c r="Z1052" s="19" t="n">
        <v>0.004500000000000001</v>
      </c>
      <c r="AA1052" s="18" t="n">
        <v>52.49</v>
      </c>
      <c r="AB1052" s="16" t="inlineStr">
        <is>
          <t>Good</t>
        </is>
      </c>
      <c r="AC1052" s="16" t="inlineStr">
        <is>
          <t>No</t>
        </is>
      </c>
      <c r="AD1052" s="19" t="n">
        <v>0.1335</v>
      </c>
      <c r="AE1052" s="19" t="n">
        <v>0.1453</v>
      </c>
      <c r="AF1052" s="19" t="n">
        <v>0.1816</v>
      </c>
      <c r="AG1052" s="19" t="n">
        <v>0.0731</v>
      </c>
      <c r="AH1052" s="23" t="n">
        <v>0.11</v>
      </c>
      <c r="AI1052" s="23" t="n">
        <v>3.01</v>
      </c>
      <c r="AJ1052" s="19" t="n">
        <v>0.038</v>
      </c>
    </row>
    <row r="1053">
      <c r="A1053" s="16" t="inlineStr">
        <is>
          <t>MMFL</t>
        </is>
      </c>
      <c r="B1053" s="16" t="inlineStr">
        <is>
          <t>M M Forgings Ltd.</t>
        </is>
      </c>
      <c r="C1053" s="16" t="inlineStr">
        <is>
          <t>Castings &amp; Forgings</t>
        </is>
      </c>
      <c r="D1053" s="16" t="inlineStr">
        <is>
          <t>General Industrials</t>
        </is>
      </c>
      <c r="E1053" s="16" t="inlineStr">
        <is>
          <t>INE227C01017</t>
        </is>
      </c>
      <c r="F1053" s="17" t="n">
        <v>3042.22</v>
      </c>
      <c r="G1053" s="18" t="n">
        <v>630.1</v>
      </c>
      <c r="H1053" s="19" t="n">
        <v>-0.0182</v>
      </c>
      <c r="I1053" s="20" t="n">
        <v>89</v>
      </c>
      <c r="J1053" s="16" t="inlineStr">
        <is>
          <t>green</t>
        </is>
      </c>
      <c r="K1053" s="20" t="n">
        <v>43</v>
      </c>
      <c r="L1053" s="18" t="n">
        <v>49.42</v>
      </c>
      <c r="M1053" s="18" t="n">
        <v>640.4400000000001</v>
      </c>
      <c r="N1053" s="18" t="n">
        <v>573.71</v>
      </c>
      <c r="O1053" s="18" t="n">
        <v>461.07</v>
      </c>
      <c r="P1053" s="18" t="n">
        <v>680.2</v>
      </c>
      <c r="Q1053" s="18" t="n">
        <v>295.42</v>
      </c>
      <c r="R1053" s="21">
        <f>IF(OR(G1053="",P1053=""),"",G1053/P1053-1)</f>
        <v/>
      </c>
      <c r="S1053" s="19" t="n">
        <v>0.8156</v>
      </c>
      <c r="T1053" s="22" t="n">
        <v>0.0788</v>
      </c>
      <c r="U1053" s="16" t="inlineStr">
        <is>
          <t>Yes</t>
        </is>
      </c>
      <c r="V1053" s="16" t="inlineStr">
        <is>
          <t>Yes</t>
        </is>
      </c>
      <c r="W1053" s="16" t="inlineStr">
        <is>
          <t>No</t>
        </is>
      </c>
      <c r="X1053" s="16" t="inlineStr">
        <is>
          <t>Yes</t>
        </is>
      </c>
      <c r="Y1053" s="20" t="n">
        <v>167</v>
      </c>
      <c r="Z1053" s="19" t="n">
        <v>0.2443</v>
      </c>
      <c r="AA1053" s="18" t="n">
        <v>30.12</v>
      </c>
      <c r="AB1053" s="16" t="inlineStr">
        <is>
          <t>Poor</t>
        </is>
      </c>
      <c r="AC1053" s="16" t="inlineStr">
        <is>
          <t>No</t>
        </is>
      </c>
      <c r="AD1053" s="19" t="n">
        <v>0.1368</v>
      </c>
      <c r="AE1053" s="19" t="n">
        <v>0.1102</v>
      </c>
      <c r="AF1053" s="19" t="n">
        <v>-0.1443</v>
      </c>
      <c r="AG1053" s="19" t="n">
        <v>0.0291</v>
      </c>
      <c r="AH1053" s="23" t="n">
        <v>1.27</v>
      </c>
      <c r="AI1053" s="23" t="n">
        <v>1.11</v>
      </c>
      <c r="AJ1053" s="19" t="n">
        <v>0.2337</v>
      </c>
    </row>
    <row r="1054">
      <c r="A1054" s="16" t="inlineStr">
        <is>
          <t>RSYSTEMS</t>
        </is>
      </c>
      <c r="B1054" s="16" t="inlineStr">
        <is>
          <t>R Systems International Ltd.</t>
        </is>
      </c>
      <c r="C1054" s="16" t="inlineStr">
        <is>
          <t>IT Consulting &amp; Software</t>
        </is>
      </c>
      <c r="D1054" s="16" t="inlineStr">
        <is>
          <t>Software &amp; Services</t>
        </is>
      </c>
      <c r="E1054" s="16" t="inlineStr">
        <is>
          <t>INE411H01032</t>
        </is>
      </c>
      <c r="F1054" s="17" t="n">
        <v>3034.92</v>
      </c>
      <c r="G1054" s="18" t="n">
        <v>256.12</v>
      </c>
      <c r="H1054" s="19" t="n">
        <v>0.0138</v>
      </c>
      <c r="I1054" s="20" t="n">
        <v>13</v>
      </c>
      <c r="J1054" s="16" t="inlineStr">
        <is>
          <t>red</t>
        </is>
      </c>
      <c r="K1054" s="20" t="n">
        <v>148</v>
      </c>
      <c r="L1054" s="18" t="n">
        <v>67.84</v>
      </c>
      <c r="M1054" s="18" t="n">
        <v>248.71</v>
      </c>
      <c r="N1054" s="18" t="n">
        <v>246.08</v>
      </c>
      <c r="O1054" s="18" t="n">
        <v>298.5</v>
      </c>
      <c r="P1054" s="18" t="n">
        <v>453.43</v>
      </c>
      <c r="Q1054" s="18" t="n">
        <v>220.16</v>
      </c>
      <c r="R1054" s="21">
        <f>IF(OR(G1054="",P1054=""),"",G1054/P1054-1)</f>
        <v/>
      </c>
      <c r="S1054" s="19" t="n">
        <v>0.6789000000000001</v>
      </c>
      <c r="T1054" s="22" t="n">
        <v>-0.0517</v>
      </c>
      <c r="U1054" s="16" t="inlineStr">
        <is>
          <t>No</t>
        </is>
      </c>
      <c r="V1054" s="16" t="inlineStr">
        <is>
          <t>Yes</t>
        </is>
      </c>
      <c r="W1054" s="16" t="inlineStr">
        <is>
          <t>Yes</t>
        </is>
      </c>
      <c r="X1054" s="16" t="inlineStr">
        <is>
          <t>No</t>
        </is>
      </c>
      <c r="Y1054" s="20" t="n">
        <v>159</v>
      </c>
      <c r="Z1054" s="19" t="n">
        <v>-0.1756</v>
      </c>
      <c r="AA1054" s="18" t="n">
        <v>59.09</v>
      </c>
      <c r="AB1054" s="16" t="inlineStr">
        <is>
          <t>Good</t>
        </is>
      </c>
      <c r="AC1054" s="16" t="inlineStr">
        <is>
          <t>No</t>
        </is>
      </c>
      <c r="AD1054" s="19" t="n">
        <v>0.2248</v>
      </c>
      <c r="AE1054" s="19" t="n">
        <v>0.2641</v>
      </c>
      <c r="AF1054" s="19" t="n">
        <v>0.1559</v>
      </c>
      <c r="AG1054" s="19" t="n">
        <v>0.0791</v>
      </c>
      <c r="AH1054" s="23" t="n">
        <v>0.52</v>
      </c>
      <c r="AI1054" s="23" t="n">
        <v>13.87</v>
      </c>
      <c r="AJ1054" s="19" t="n">
        <v>0.0009</v>
      </c>
    </row>
    <row r="1055">
      <c r="A1055" s="16" t="inlineStr">
        <is>
          <t>CARRARO</t>
        </is>
      </c>
      <c r="B1055" s="16" t="inlineStr">
        <is>
          <t>Carraro India Ltd.</t>
        </is>
      </c>
      <c r="C1055" s="16" t="inlineStr">
        <is>
          <t>Commercial Vehicles</t>
        </is>
      </c>
      <c r="D1055" s="16" t="inlineStr">
        <is>
          <t>Automobiles &amp; Auto Components</t>
        </is>
      </c>
      <c r="E1055" s="16" t="inlineStr">
        <is>
          <t>INE0V7W01012</t>
        </is>
      </c>
      <c r="F1055" s="17" t="n">
        <v>3033.88</v>
      </c>
      <c r="G1055" s="18" t="n">
        <v>533.65</v>
      </c>
      <c r="H1055" s="19" t="n">
        <v>-0.0005999999999999999</v>
      </c>
      <c r="I1055" s="20" t="n">
        <v>53</v>
      </c>
      <c r="J1055" s="16" t="inlineStr">
        <is>
          <t>red</t>
        </is>
      </c>
      <c r="K1055" s="20" t="n">
        <v>34</v>
      </c>
      <c r="L1055" s="18" t="n">
        <v>69</v>
      </c>
      <c r="M1055" s="18" t="n">
        <v>538.79</v>
      </c>
      <c r="N1055" s="18" t="n">
        <v>532.03</v>
      </c>
      <c r="O1055" s="18" t="n">
        <v>526.48</v>
      </c>
      <c r="P1055" s="18" t="n">
        <v>600.92</v>
      </c>
      <c r="Q1055" s="18" t="n">
        <v>417.83</v>
      </c>
      <c r="R1055" s="21">
        <f>IF(OR(G1055="",P1055=""),"",G1055/P1055-1)</f>
        <v/>
      </c>
      <c r="S1055" s="19" t="n">
        <v>0.4392</v>
      </c>
      <c r="T1055" s="22" t="n">
        <v>0.0032</v>
      </c>
      <c r="U1055" s="16" t="inlineStr">
        <is>
          <t>Yes</t>
        </is>
      </c>
      <c r="V1055" s="16" t="inlineStr">
        <is>
          <t>Yes</t>
        </is>
      </c>
      <c r="W1055" s="16" t="inlineStr">
        <is>
          <t>No</t>
        </is>
      </c>
      <c r="X1055" s="16" t="inlineStr">
        <is>
          <t>Yes</t>
        </is>
      </c>
      <c r="Y1055" s="20" t="n">
        <v>221</v>
      </c>
      <c r="Z1055" s="19" t="n">
        <v>0.0105</v>
      </c>
      <c r="AA1055" s="18" t="n">
        <v>62.99</v>
      </c>
      <c r="AB1055" s="16" t="inlineStr">
        <is>
          <t>Good</t>
        </is>
      </c>
      <c r="AC1055" s="16" t="inlineStr">
        <is>
          <t>No</t>
        </is>
      </c>
      <c r="AD1055" s="19" t="n">
        <v>0.1976</v>
      </c>
      <c r="AE1055" s="19" t="n">
        <v>0.2223</v>
      </c>
      <c r="AF1055" s="19" t="n">
        <v>0.3938</v>
      </c>
      <c r="AG1055" s="19" t="n">
        <v>0.1027</v>
      </c>
      <c r="AH1055" s="23" t="n">
        <v>0.27</v>
      </c>
      <c r="AI1055" s="23" t="n">
        <v>6.42</v>
      </c>
      <c r="AJ1055" s="19" t="n">
        <v>0.0007000000000000001</v>
      </c>
    </row>
    <row r="1056">
      <c r="A1056" s="16" t="inlineStr">
        <is>
          <t>JASH</t>
        </is>
      </c>
      <c r="B1056" s="16" t="inlineStr">
        <is>
          <t>Jash Engineering Ltd.</t>
        </is>
      </c>
      <c r="C1056" s="16" t="inlineStr">
        <is>
          <t>Iron &amp; Steel Products</t>
        </is>
      </c>
      <c r="D1056" s="16" t="inlineStr">
        <is>
          <t>Metals &amp; Mining</t>
        </is>
      </c>
      <c r="E1056" s="16" t="inlineStr">
        <is>
          <t>INE039O01029</t>
        </is>
      </c>
      <c r="F1056" s="17" t="n">
        <v>3023.82</v>
      </c>
      <c r="G1056" s="18" t="n">
        <v>478.5</v>
      </c>
      <c r="H1056" s="19" t="n">
        <v>0.0309</v>
      </c>
      <c r="I1056" s="20" t="n">
        <v>51</v>
      </c>
      <c r="J1056" s="16" t="inlineStr">
        <is>
          <t>red</t>
        </is>
      </c>
      <c r="K1056" s="20" t="n">
        <v>7</v>
      </c>
      <c r="L1056" s="18" t="n">
        <v>49.12</v>
      </c>
      <c r="M1056" s="18" t="n">
        <v>473.62</v>
      </c>
      <c r="N1056" s="18" t="n">
        <v>497.88</v>
      </c>
      <c r="O1056" s="18" t="n">
        <v>436.35</v>
      </c>
      <c r="P1056" s="18" t="n">
        <v>559.8</v>
      </c>
      <c r="Q1056" s="18" t="n">
        <v>339.19</v>
      </c>
      <c r="R1056" s="21">
        <f>IF(OR(G1056="",P1056=""),"",G1056/P1056-1)</f>
        <v/>
      </c>
      <c r="S1056" s="19" t="n">
        <v>2.6925</v>
      </c>
      <c r="T1056" s="22" t="n">
        <v>-0.0004</v>
      </c>
      <c r="U1056" s="16" t="inlineStr">
        <is>
          <t>No</t>
        </is>
      </c>
      <c r="V1056" s="16" t="inlineStr">
        <is>
          <t>No</t>
        </is>
      </c>
      <c r="W1056" s="16" t="inlineStr">
        <is>
          <t>Yes</t>
        </is>
      </c>
      <c r="X1056" s="16" t="inlineStr">
        <is>
          <t>Yes</t>
        </is>
      </c>
      <c r="Y1056" s="20" t="n">
        <v>51</v>
      </c>
      <c r="Z1056" s="19" t="n">
        <v>0.141</v>
      </c>
      <c r="AA1056" s="18" t="n">
        <v>40</v>
      </c>
      <c r="AB1056" s="16" t="inlineStr">
        <is>
          <t>Weak</t>
        </is>
      </c>
      <c r="AC1056" s="16" t="inlineStr">
        <is>
          <t>No</t>
        </is>
      </c>
      <c r="AD1056" s="19" t="n">
        <v>0.1798</v>
      </c>
      <c r="AE1056" s="19" t="n">
        <v>0.2016</v>
      </c>
      <c r="AF1056" s="19" t="n">
        <v>-0.1491</v>
      </c>
      <c r="AG1056" s="19" t="n">
        <v>0.2449</v>
      </c>
      <c r="AH1056" s="23" t="n">
        <v>0.2</v>
      </c>
      <c r="AI1056" s="23" t="n">
        <v>4.3</v>
      </c>
      <c r="AJ1056" s="19" t="n">
        <v>0.1267</v>
      </c>
    </row>
    <row r="1057">
      <c r="A1057" s="16" t="inlineStr">
        <is>
          <t>MANGLMCEM</t>
        </is>
      </c>
      <c r="B1057" s="16" t="inlineStr">
        <is>
          <t>Mangalam Cement Ltd.</t>
        </is>
      </c>
      <c r="C1057" s="16" t="inlineStr">
        <is>
          <t>Cement &amp; Cement Products</t>
        </is>
      </c>
      <c r="D1057" s="16" t="inlineStr">
        <is>
          <t>Cement and Construction</t>
        </is>
      </c>
      <c r="E1057" s="16" t="inlineStr">
        <is>
          <t>INE347A01017</t>
        </is>
      </c>
      <c r="F1057" s="17" t="n">
        <v>3011.5</v>
      </c>
      <c r="G1057" s="18" t="n">
        <v>1095.2</v>
      </c>
      <c r="H1057" s="19" t="n">
        <v>-0.0027</v>
      </c>
      <c r="I1057" s="20" t="n">
        <v>80</v>
      </c>
      <c r="J1057" s="16" t="inlineStr">
        <is>
          <t>green</t>
        </is>
      </c>
      <c r="K1057" s="20" t="n">
        <v>7</v>
      </c>
      <c r="L1057" s="18" t="n">
        <v>93.58</v>
      </c>
      <c r="M1057" s="18" t="n">
        <v>1077.61</v>
      </c>
      <c r="N1057" s="18" t="n">
        <v>967.64</v>
      </c>
      <c r="O1057" s="18" t="n">
        <v>855.62</v>
      </c>
      <c r="P1057" s="18" t="n">
        <v>1098.2</v>
      </c>
      <c r="Q1057" s="18" t="n">
        <v>683.86</v>
      </c>
      <c r="R1057" s="21">
        <f>IF(OR(G1057="",P1057=""),"",G1057/P1057-1)</f>
        <v/>
      </c>
      <c r="S1057" s="19" t="n">
        <v>0.3301</v>
      </c>
      <c r="T1057" s="22" t="n">
        <v>0.0277</v>
      </c>
      <c r="U1057" s="16" t="inlineStr">
        <is>
          <t>Yes</t>
        </is>
      </c>
      <c r="V1057" s="16" t="inlineStr">
        <is>
          <t>Yes</t>
        </is>
      </c>
      <c r="W1057" s="16" t="inlineStr">
        <is>
          <t>Yes</t>
        </is>
      </c>
      <c r="X1057" s="16" t="inlineStr">
        <is>
          <t>Yes</t>
        </is>
      </c>
      <c r="Y1057" s="20" t="n">
        <v>146</v>
      </c>
      <c r="Z1057" s="19" t="n">
        <v>0.1309</v>
      </c>
      <c r="AA1057" s="18" t="n">
        <v>34.07</v>
      </c>
      <c r="AB1057" s="16" t="inlineStr">
        <is>
          <t>Poor</t>
        </is>
      </c>
      <c r="AC1057" s="16" t="inlineStr">
        <is>
          <t>No</t>
        </is>
      </c>
      <c r="AD1057" s="19" t="n">
        <v>0.0861</v>
      </c>
      <c r="AE1057" s="19" t="n">
        <v>0.08449999999999999</v>
      </c>
      <c r="AF1057" s="19" t="n">
        <v>1.3675</v>
      </c>
      <c r="AG1057" s="19" t="n">
        <v>-0.0059</v>
      </c>
      <c r="AH1057" s="23" t="n">
        <v>0.91</v>
      </c>
      <c r="AI1057" s="23" t="n">
        <v>1.12</v>
      </c>
      <c r="AJ1057" s="19" t="n">
        <v>0.1775</v>
      </c>
    </row>
    <row r="1058">
      <c r="A1058" s="16" t="inlineStr">
        <is>
          <t>PANAMAPET</t>
        </is>
      </c>
      <c r="B1058" s="16" t="inlineStr">
        <is>
          <t>Panama Petrochem Ltd.</t>
        </is>
      </c>
      <c r="C1058" s="16" t="inlineStr">
        <is>
          <t>Refineries/Petro-Products</t>
        </is>
      </c>
      <c r="D1058" s="16" t="inlineStr">
        <is>
          <t>Oil &amp; Gas</t>
        </is>
      </c>
      <c r="E1058" s="16" t="inlineStr">
        <is>
          <t>INE305C01029</t>
        </is>
      </c>
      <c r="F1058" s="17" t="n">
        <v>2997.16</v>
      </c>
      <c r="G1058" s="18" t="n">
        <v>495.45</v>
      </c>
      <c r="H1058" s="19" t="n">
        <v>0.0225</v>
      </c>
      <c r="I1058" s="20" t="n">
        <v>89</v>
      </c>
      <c r="J1058" s="16" t="inlineStr">
        <is>
          <t>green</t>
        </is>
      </c>
      <c r="K1058" s="20" t="n">
        <v>57</v>
      </c>
      <c r="L1058" s="18" t="n">
        <v>54.15</v>
      </c>
      <c r="M1058" s="18" t="n">
        <v>480.55</v>
      </c>
      <c r="N1058" s="18" t="n">
        <v>460.74</v>
      </c>
      <c r="O1058" s="18" t="n">
        <v>339.01</v>
      </c>
      <c r="P1058" s="18" t="n">
        <v>542.11</v>
      </c>
      <c r="Q1058" s="18" t="n">
        <v>230.66</v>
      </c>
      <c r="R1058" s="21">
        <f>IF(OR(G1058="",P1058=""),"",G1058/P1058-1)</f>
        <v/>
      </c>
      <c r="S1058" s="19" t="n">
        <v>0.2727</v>
      </c>
      <c r="T1058" s="22" t="n">
        <v>0.06619999999999999</v>
      </c>
      <c r="U1058" s="16" t="inlineStr">
        <is>
          <t>Yes</t>
        </is>
      </c>
      <c r="V1058" s="16" t="inlineStr">
        <is>
          <t>Yes</t>
        </is>
      </c>
      <c r="W1058" s="16" t="inlineStr">
        <is>
          <t>Yes</t>
        </is>
      </c>
      <c r="X1058" s="16" t="inlineStr">
        <is>
          <t>Yes</t>
        </is>
      </c>
      <c r="Y1058" s="20" t="n">
        <v>66</v>
      </c>
      <c r="Z1058" s="19" t="n">
        <v>0.3591</v>
      </c>
      <c r="AA1058" s="18" t="n">
        <v>40</v>
      </c>
      <c r="AB1058" s="16" t="inlineStr">
        <is>
          <t>Weak</t>
        </is>
      </c>
      <c r="AC1058" s="16" t="inlineStr">
        <is>
          <t>No</t>
        </is>
      </c>
      <c r="AD1058" s="19" t="n">
        <v>0.1569</v>
      </c>
      <c r="AE1058" s="19" t="n">
        <v>0.1953</v>
      </c>
      <c r="AF1058" s="19" t="n">
        <v>-0.0226</v>
      </c>
      <c r="AG1058" s="19" t="n">
        <v>0.1101</v>
      </c>
      <c r="AH1058" s="23" t="n">
        <v>0.08</v>
      </c>
      <c r="AI1058" s="23" t="n">
        <v>8.99</v>
      </c>
      <c r="AJ1058" s="19" t="n">
        <v>0.1634</v>
      </c>
    </row>
    <row r="1059">
      <c r="A1059" s="16" t="inlineStr">
        <is>
          <t>MONARCH</t>
        </is>
      </c>
      <c r="B1059" s="16" t="inlineStr">
        <is>
          <t>Monarch Networth Capital Ltd.</t>
        </is>
      </c>
      <c r="C1059" s="16" t="inlineStr">
        <is>
          <t>Capital Markets</t>
        </is>
      </c>
      <c r="D1059" s="16" t="inlineStr">
        <is>
          <t>Banking and Finance</t>
        </is>
      </c>
      <c r="E1059" s="16" t="inlineStr">
        <is>
          <t>INE903D01011</t>
        </is>
      </c>
      <c r="F1059" s="17" t="n">
        <v>2997.06</v>
      </c>
      <c r="G1059" s="18" t="n">
        <v>377.9</v>
      </c>
      <c r="H1059" s="19" t="n">
        <v>-0.0089</v>
      </c>
      <c r="I1059" s="20" t="n">
        <v>70</v>
      </c>
      <c r="J1059" s="16" t="inlineStr">
        <is>
          <t>amber</t>
        </is>
      </c>
      <c r="K1059" s="20" t="n">
        <v>76</v>
      </c>
      <c r="L1059" s="18" t="n">
        <v>40.44</v>
      </c>
      <c r="M1059" s="18" t="n">
        <v>377.23</v>
      </c>
      <c r="N1059" s="18" t="n">
        <v>371.43</v>
      </c>
      <c r="O1059" s="18" t="n">
        <v>317.54</v>
      </c>
      <c r="P1059" s="18" t="n">
        <v>396.59</v>
      </c>
      <c r="Q1059" s="18" t="n">
        <v>241.88</v>
      </c>
      <c r="R1059" s="21">
        <f>IF(OR(G1059="",P1059=""),"",G1059/P1059-1)</f>
        <v/>
      </c>
      <c r="S1059" s="19" t="n">
        <v>0.2344</v>
      </c>
      <c r="T1059" s="22" t="n">
        <v>0.023</v>
      </c>
      <c r="U1059" s="16" t="inlineStr">
        <is>
          <t>Yes</t>
        </is>
      </c>
      <c r="V1059" s="16" t="inlineStr">
        <is>
          <t>Yes</t>
        </is>
      </c>
      <c r="W1059" s="16" t="inlineStr">
        <is>
          <t>Yes</t>
        </is>
      </c>
      <c r="X1059" s="16" t="inlineStr">
        <is>
          <t>Yes</t>
        </is>
      </c>
      <c r="Y1059" s="20" t="n">
        <v>65</v>
      </c>
      <c r="Z1059" s="19" t="n">
        <v>0.1697</v>
      </c>
      <c r="AA1059" s="18" t="n">
        <v>84.29000000000001</v>
      </c>
      <c r="AB1059" s="16" t="inlineStr">
        <is>
          <t>High</t>
        </is>
      </c>
      <c r="AC1059" s="16" t="inlineStr">
        <is>
          <t>Yes</t>
        </is>
      </c>
      <c r="AD1059" s="19" t="n">
        <v>0.2433</v>
      </c>
      <c r="AE1059" s="19" t="n">
        <v>0.2972</v>
      </c>
      <c r="AF1059" s="19" t="n">
        <v>0.5896</v>
      </c>
      <c r="AG1059" s="19" t="n">
        <v>0.2472</v>
      </c>
      <c r="AH1059" s="23" t="n">
        <v>0.04</v>
      </c>
      <c r="AI1059" s="23" t="n">
        <v>12.56</v>
      </c>
      <c r="AJ1059" s="19" t="n">
        <v>0</v>
      </c>
    </row>
    <row r="1060">
      <c r="A1060" s="16" t="inlineStr">
        <is>
          <t>ELPROINTL</t>
        </is>
      </c>
      <c r="B1060" s="16" t="inlineStr">
        <is>
          <t>Elpro International Ltd.</t>
        </is>
      </c>
      <c r="C1060" s="16" t="inlineStr">
        <is>
          <t>Realty</t>
        </is>
      </c>
      <c r="D1060" s="16" t="inlineStr">
        <is>
          <t>Realty</t>
        </is>
      </c>
      <c r="E1060" s="16" t="inlineStr">
        <is>
          <t>INE579B01039</t>
        </is>
      </c>
      <c r="F1060" s="17" t="n">
        <v>2965.88</v>
      </c>
      <c r="G1060" s="18" t="n">
        <v>175</v>
      </c>
      <c r="H1060" s="19" t="n">
        <v>0.011</v>
      </c>
      <c r="I1060" s="20" t="n">
        <v>91</v>
      </c>
      <c r="J1060" s="16" t="inlineStr">
        <is>
          <t>green</t>
        </is>
      </c>
      <c r="K1060" s="20" t="n">
        <v>99</v>
      </c>
      <c r="L1060" s="18" t="n">
        <v>49.41</v>
      </c>
      <c r="M1060" s="18" t="n">
        <v>174.09</v>
      </c>
      <c r="N1060" s="18" t="n">
        <v>174.95</v>
      </c>
      <c r="O1060" s="18" t="n">
        <v>123.46</v>
      </c>
      <c r="P1060" s="18" t="n">
        <v>179.75</v>
      </c>
      <c r="Q1060" s="18" t="n">
        <v>75.03</v>
      </c>
      <c r="R1060" s="21">
        <f>IF(OR(G1060="",P1060=""),"",G1060/P1060-1)</f>
        <v/>
      </c>
      <c r="S1060" s="19" t="n">
        <v>0.2015</v>
      </c>
      <c r="T1060" s="22" t="n">
        <v>0.077</v>
      </c>
      <c r="U1060" s="16" t="inlineStr">
        <is>
          <t>Yes</t>
        </is>
      </c>
      <c r="V1060" s="16" t="inlineStr">
        <is>
          <t>Yes</t>
        </is>
      </c>
      <c r="W1060" s="16" t="inlineStr">
        <is>
          <t>Yes</t>
        </is>
      </c>
      <c r="X1060" s="16" t="inlineStr">
        <is>
          <t>Yes</t>
        </is>
      </c>
      <c r="Y1060" s="20" t="n">
        <v>96</v>
      </c>
      <c r="Z1060" s="19" t="n">
        <v>0.417</v>
      </c>
      <c r="AA1060" s="18" t="n"/>
      <c r="AB1060" s="16" t="n"/>
      <c r="AC1060" s="16" t="inlineStr">
        <is>
          <t>No</t>
        </is>
      </c>
      <c r="AD1060" s="19" t="n"/>
      <c r="AE1060" s="19" t="n"/>
      <c r="AF1060" s="19" t="n"/>
      <c r="AG1060" s="19" t="n"/>
      <c r="AH1060" s="23" t="n"/>
      <c r="AI1060" s="23" t="n"/>
      <c r="AJ1060" s="19" t="n"/>
    </row>
    <row r="1061">
      <c r="A1061" s="16" t="inlineStr">
        <is>
          <t>MARATHON</t>
        </is>
      </c>
      <c r="B1061" s="16" t="inlineStr">
        <is>
          <t>Marathon Nextgen Realty Ltd.</t>
        </is>
      </c>
      <c r="C1061" s="16" t="inlineStr">
        <is>
          <t>Realty</t>
        </is>
      </c>
      <c r="D1061" s="16" t="inlineStr">
        <is>
          <t>Realty</t>
        </is>
      </c>
      <c r="E1061" s="16" t="inlineStr">
        <is>
          <t>INE182D01020</t>
        </is>
      </c>
      <c r="F1061" s="17" t="n">
        <v>2953.4</v>
      </c>
      <c r="G1061" s="18" t="n">
        <v>437.9</v>
      </c>
      <c r="H1061" s="19" t="n">
        <v>0.0068</v>
      </c>
      <c r="I1061" s="20" t="n">
        <v>27</v>
      </c>
      <c r="J1061" s="16" t="inlineStr">
        <is>
          <t>red</t>
        </is>
      </c>
      <c r="K1061" s="20" t="n">
        <v>180</v>
      </c>
      <c r="L1061" s="18" t="n">
        <v>70.76000000000001</v>
      </c>
      <c r="M1061" s="18" t="n">
        <v>427.99</v>
      </c>
      <c r="N1061" s="18" t="n">
        <v>396.31</v>
      </c>
      <c r="O1061" s="18" t="n">
        <v>455.77</v>
      </c>
      <c r="P1061" s="18" t="n">
        <v>673.2</v>
      </c>
      <c r="Q1061" s="18" t="n">
        <v>346.85</v>
      </c>
      <c r="R1061" s="21">
        <f>IF(OR(G1061="",P1061=""),"",G1061/P1061-1)</f>
        <v/>
      </c>
      <c r="S1061" s="19" t="n">
        <v>1.1287</v>
      </c>
      <c r="T1061" s="22" t="n">
        <v>-0.04190000000000001</v>
      </c>
      <c r="U1061" s="16" t="inlineStr">
        <is>
          <t>No</t>
        </is>
      </c>
      <c r="V1061" s="16" t="inlineStr">
        <is>
          <t>Yes</t>
        </is>
      </c>
      <c r="W1061" s="16" t="inlineStr">
        <is>
          <t>Yes</t>
        </is>
      </c>
      <c r="X1061" s="16" t="inlineStr">
        <is>
          <t>No</t>
        </is>
      </c>
      <c r="Y1061" s="20" t="n">
        <v>179</v>
      </c>
      <c r="Z1061" s="19" t="n">
        <v>-0.1304</v>
      </c>
      <c r="AA1061" s="18" t="n">
        <v>51.46</v>
      </c>
      <c r="AB1061" s="16" t="inlineStr">
        <is>
          <t>Average</t>
        </is>
      </c>
      <c r="AC1061" s="16" t="inlineStr">
        <is>
          <t>No</t>
        </is>
      </c>
      <c r="AD1061" s="19" t="n">
        <v>0.1373</v>
      </c>
      <c r="AE1061" s="19" t="n">
        <v>0.1385</v>
      </c>
      <c r="AF1061" s="19" t="n">
        <v>0.08529999999999999</v>
      </c>
      <c r="AG1061" s="19" t="n">
        <v>-0.1042</v>
      </c>
      <c r="AH1061" s="23" t="n">
        <v>0.04</v>
      </c>
      <c r="AI1061" s="23" t="n">
        <v>35.04</v>
      </c>
      <c r="AJ1061" s="19" t="n">
        <v>0</v>
      </c>
    </row>
    <row r="1062">
      <c r="A1062" s="16" t="inlineStr">
        <is>
          <t>ARVSMART</t>
        </is>
      </c>
      <c r="B1062" s="16" t="inlineStr">
        <is>
          <t>Arvind SmartSpaces Ltd.</t>
        </is>
      </c>
      <c r="C1062" s="16" t="inlineStr">
        <is>
          <t>Realty</t>
        </is>
      </c>
      <c r="D1062" s="16" t="inlineStr">
        <is>
          <t>Realty</t>
        </is>
      </c>
      <c r="E1062" s="16" t="inlineStr">
        <is>
          <t>INE034S01021</t>
        </is>
      </c>
      <c r="F1062" s="17" t="n">
        <v>2946.95</v>
      </c>
      <c r="G1062" s="18" t="n">
        <v>642.5</v>
      </c>
      <c r="H1062" s="19" t="n">
        <v>0.005500000000000001</v>
      </c>
      <c r="I1062" s="20" t="n">
        <v>58</v>
      </c>
      <c r="J1062" s="16" t="inlineStr">
        <is>
          <t>red</t>
        </is>
      </c>
      <c r="K1062" s="20" t="n">
        <v>3</v>
      </c>
      <c r="L1062" s="18" t="n">
        <v>40.48</v>
      </c>
      <c r="M1062" s="18" t="n">
        <v>653.2</v>
      </c>
      <c r="N1062" s="18" t="n">
        <v>624.2</v>
      </c>
      <c r="O1062" s="18" t="n">
        <v>588.0599999999999</v>
      </c>
      <c r="P1062" s="18" t="n">
        <v>692.45</v>
      </c>
      <c r="Q1062" s="18" t="n">
        <v>499.62</v>
      </c>
      <c r="R1062" s="21">
        <f>IF(OR(G1062="",P1062=""),"",G1062/P1062-1)</f>
        <v/>
      </c>
      <c r="S1062" s="19" t="n">
        <v>0.0839</v>
      </c>
      <c r="T1062" s="22" t="n">
        <v>0.0073</v>
      </c>
      <c r="U1062" s="16" t="inlineStr">
        <is>
          <t>Yes</t>
        </is>
      </c>
      <c r="V1062" s="16" t="inlineStr">
        <is>
          <t>Yes</t>
        </is>
      </c>
      <c r="W1062" s="16" t="inlineStr">
        <is>
          <t>No</t>
        </is>
      </c>
      <c r="X1062" s="16" t="inlineStr">
        <is>
          <t>Yes</t>
        </is>
      </c>
      <c r="Y1062" s="20" t="n">
        <v>65</v>
      </c>
      <c r="Z1062" s="19" t="n">
        <v>0.06150000000000001</v>
      </c>
      <c r="AA1062" s="18" t="n">
        <v>60.89</v>
      </c>
      <c r="AB1062" s="16" t="inlineStr">
        <is>
          <t>Good</t>
        </is>
      </c>
      <c r="AC1062" s="16" t="inlineStr">
        <is>
          <t>No</t>
        </is>
      </c>
      <c r="AD1062" s="19" t="n">
        <v>0.1392</v>
      </c>
      <c r="AE1062" s="19" t="n">
        <v>0.1794</v>
      </c>
      <c r="AF1062" s="19" t="n">
        <v>0.4183</v>
      </c>
      <c r="AG1062" s="19" t="n">
        <v>0.4315</v>
      </c>
      <c r="AH1062" s="23" t="n">
        <v>0.9</v>
      </c>
      <c r="AI1062" s="23" t="n">
        <v>4.65</v>
      </c>
      <c r="AJ1062" s="19" t="n">
        <v>0.5094</v>
      </c>
    </row>
    <row r="1063">
      <c r="A1063" s="16" t="inlineStr">
        <is>
          <t>JINDALPOLY</t>
        </is>
      </c>
      <c r="B1063" s="16" t="inlineStr">
        <is>
          <t>Jindal Poly Films Ltd.</t>
        </is>
      </c>
      <c r="C1063" s="16" t="inlineStr">
        <is>
          <t>Containers &amp; Packaging</t>
        </is>
      </c>
      <c r="D1063" s="16" t="inlineStr">
        <is>
          <t>Commercial Services &amp; Supplies</t>
        </is>
      </c>
      <c r="E1063" s="16" t="inlineStr">
        <is>
          <t>INE197D01010</t>
        </is>
      </c>
      <c r="F1063" s="17" t="n">
        <v>2943.98</v>
      </c>
      <c r="G1063" s="18" t="n">
        <v>672.35</v>
      </c>
      <c r="H1063" s="19" t="n">
        <v>-0.0166</v>
      </c>
      <c r="I1063" s="20" t="n">
        <v>50</v>
      </c>
      <c r="J1063" s="16" t="inlineStr">
        <is>
          <t>red</t>
        </is>
      </c>
      <c r="K1063" s="20" t="n">
        <v>3</v>
      </c>
      <c r="L1063" s="18" t="n">
        <v>52.39</v>
      </c>
      <c r="M1063" s="18" t="n">
        <v>660.36</v>
      </c>
      <c r="N1063" s="18" t="n">
        <v>646.9299999999999</v>
      </c>
      <c r="O1063" s="18" t="n">
        <v>623.9299999999999</v>
      </c>
      <c r="P1063" s="18" t="n">
        <v>1007.6</v>
      </c>
      <c r="Q1063" s="18" t="n">
        <v>367.2</v>
      </c>
      <c r="R1063" s="21">
        <f>IF(OR(G1063="",P1063=""),"",G1063/P1063-1)</f>
        <v/>
      </c>
      <c r="S1063" s="19" t="n">
        <v>0.4322</v>
      </c>
      <c r="T1063" s="22" t="n">
        <v>0.0151</v>
      </c>
      <c r="U1063" s="16" t="inlineStr">
        <is>
          <t>Yes</t>
        </is>
      </c>
      <c r="V1063" s="16" t="inlineStr">
        <is>
          <t>Yes</t>
        </is>
      </c>
      <c r="W1063" s="16" t="inlineStr">
        <is>
          <t>Yes</t>
        </is>
      </c>
      <c r="X1063" s="16" t="inlineStr">
        <is>
          <t>Yes</t>
        </is>
      </c>
      <c r="Y1063" s="20" t="n">
        <v>117</v>
      </c>
      <c r="Z1063" s="19" t="n">
        <v>0.0369</v>
      </c>
      <c r="AA1063" s="18" t="n">
        <v>22.81</v>
      </c>
      <c r="AB1063" s="16" t="inlineStr">
        <is>
          <t>Poor</t>
        </is>
      </c>
      <c r="AC1063" s="16" t="inlineStr">
        <is>
          <t>No</t>
        </is>
      </c>
      <c r="AD1063" s="19" t="n">
        <v>0.0401</v>
      </c>
      <c r="AE1063" s="19" t="n">
        <v>0.04190000000000001</v>
      </c>
      <c r="AF1063" s="19" t="n">
        <v>-0.1203</v>
      </c>
      <c r="AG1063" s="19" t="n">
        <v>0.0977</v>
      </c>
      <c r="AH1063" s="23" t="n">
        <v>1.07</v>
      </c>
      <c r="AI1063" s="23" t="n">
        <v>1.57</v>
      </c>
      <c r="AJ1063" s="19" t="n">
        <v>0.09939999999999999</v>
      </c>
    </row>
    <row r="1064">
      <c r="A1064" s="16" t="inlineStr">
        <is>
          <t>NSIL</t>
        </is>
      </c>
      <c r="B1064" s="16" t="inlineStr">
        <is>
          <t>Nalwa Sons Investments Ltd.</t>
        </is>
      </c>
      <c r="C1064" s="16" t="inlineStr">
        <is>
          <t>Finance (including NBFCs)</t>
        </is>
      </c>
      <c r="D1064" s="16" t="inlineStr">
        <is>
          <t>Banking and Finance</t>
        </is>
      </c>
      <c r="E1064" s="16" t="inlineStr">
        <is>
          <t>INE023A01030</t>
        </is>
      </c>
      <c r="F1064" s="17" t="n">
        <v>2938.68</v>
      </c>
      <c r="G1064" s="18" t="n">
        <v>5721.5</v>
      </c>
      <c r="H1064" s="19" t="n">
        <v>0.0068</v>
      </c>
      <c r="I1064" s="20" t="n">
        <v>31</v>
      </c>
      <c r="J1064" s="16" t="inlineStr">
        <is>
          <t>red</t>
        </is>
      </c>
      <c r="K1064" s="20" t="n">
        <v>182</v>
      </c>
      <c r="L1064" s="18" t="n">
        <v>62.18</v>
      </c>
      <c r="M1064" s="18" t="n">
        <v>5711.37</v>
      </c>
      <c r="N1064" s="18" t="n">
        <v>5549.53</v>
      </c>
      <c r="O1064" s="18" t="n">
        <v>5830.62</v>
      </c>
      <c r="P1064" s="18" t="n">
        <v>8373</v>
      </c>
      <c r="Q1064" s="18" t="n">
        <v>4730.5</v>
      </c>
      <c r="R1064" s="21">
        <f>IF(OR(G1064="",P1064=""),"",G1064/P1064-1)</f>
        <v/>
      </c>
      <c r="S1064" s="19" t="n">
        <v>2.0199</v>
      </c>
      <c r="T1064" s="22" t="n">
        <v>-0.0293</v>
      </c>
      <c r="U1064" s="16" t="inlineStr">
        <is>
          <t>No</t>
        </is>
      </c>
      <c r="V1064" s="16" t="inlineStr">
        <is>
          <t>Yes</t>
        </is>
      </c>
      <c r="W1064" s="16" t="inlineStr">
        <is>
          <t>Yes</t>
        </is>
      </c>
      <c r="X1064" s="16" t="inlineStr">
        <is>
          <t>No</t>
        </is>
      </c>
      <c r="Y1064" s="20" t="n">
        <v>170</v>
      </c>
      <c r="Z1064" s="19" t="n">
        <v>-0.0482</v>
      </c>
      <c r="AA1064" s="18" t="n">
        <v>12.15</v>
      </c>
      <c r="AB1064" s="16" t="inlineStr">
        <is>
          <t>Poor</t>
        </is>
      </c>
      <c r="AC1064" s="16" t="inlineStr">
        <is>
          <t>Yes</t>
        </is>
      </c>
      <c r="AD1064" s="19" t="n">
        <v>0.0036</v>
      </c>
      <c r="AE1064" s="19" t="n">
        <v>0.005</v>
      </c>
      <c r="AF1064" s="19" t="n">
        <v>-0.1317</v>
      </c>
      <c r="AG1064" s="19" t="n">
        <v>-0.0694</v>
      </c>
      <c r="AH1064" s="23" t="n">
        <v>0</v>
      </c>
      <c r="AI1064" s="23" t="n">
        <v>4534</v>
      </c>
      <c r="AJ1064" s="19" t="n">
        <v>0</v>
      </c>
    </row>
    <row r="1065">
      <c r="A1065" s="16" t="inlineStr">
        <is>
          <t>ADOR</t>
        </is>
      </c>
      <c r="B1065" s="16" t="inlineStr">
        <is>
          <t>Ador Welding Ltd.</t>
        </is>
      </c>
      <c r="C1065" s="16" t="inlineStr">
        <is>
          <t>Other Industrial Goods</t>
        </is>
      </c>
      <c r="D1065" s="16" t="inlineStr">
        <is>
          <t>General Industrials</t>
        </is>
      </c>
      <c r="E1065" s="16" t="inlineStr">
        <is>
          <t>INE045A01017</t>
        </is>
      </c>
      <c r="F1065" s="17" t="n">
        <v>2913.92</v>
      </c>
      <c r="G1065" s="18" t="n">
        <v>1674.4</v>
      </c>
      <c r="H1065" s="19" t="n">
        <v>-0.0234</v>
      </c>
      <c r="I1065" s="20" t="n">
        <v>89</v>
      </c>
      <c r="J1065" s="16" t="inlineStr">
        <is>
          <t>green</t>
        </is>
      </c>
      <c r="K1065" s="20" t="n">
        <v>38</v>
      </c>
      <c r="L1065" s="18" t="n">
        <v>62.62</v>
      </c>
      <c r="M1065" s="18" t="n">
        <v>1654.25</v>
      </c>
      <c r="N1065" s="18" t="n">
        <v>1472.27</v>
      </c>
      <c r="O1065" s="18" t="n">
        <v>1141.8</v>
      </c>
      <c r="P1065" s="18" t="n">
        <v>1730.3</v>
      </c>
      <c r="Q1065" s="18" t="n">
        <v>837.42</v>
      </c>
      <c r="R1065" s="21">
        <f>IF(OR(G1065="",P1065=""),"",G1065/P1065-1)</f>
        <v/>
      </c>
      <c r="S1065" s="19" t="n">
        <v>0.4711</v>
      </c>
      <c r="T1065" s="22" t="n">
        <v>0.0489</v>
      </c>
      <c r="U1065" s="16" t="inlineStr">
        <is>
          <t>Yes</t>
        </is>
      </c>
      <c r="V1065" s="16" t="inlineStr">
        <is>
          <t>Yes</t>
        </is>
      </c>
      <c r="W1065" s="16" t="inlineStr">
        <is>
          <t>Yes</t>
        </is>
      </c>
      <c r="X1065" s="16" t="inlineStr">
        <is>
          <t>Yes</t>
        </is>
      </c>
      <c r="Y1065" s="20" t="n">
        <v>64</v>
      </c>
      <c r="Z1065" s="19" t="n">
        <v>0.2894</v>
      </c>
      <c r="AA1065" s="18" t="n">
        <v>65.14</v>
      </c>
      <c r="AB1065" s="16" t="inlineStr">
        <is>
          <t>High</t>
        </is>
      </c>
      <c r="AC1065" s="16" t="inlineStr">
        <is>
          <t>No</t>
        </is>
      </c>
      <c r="AD1065" s="19" t="n">
        <v>0.1497</v>
      </c>
      <c r="AE1065" s="19" t="n">
        <v>0.2076</v>
      </c>
      <c r="AF1065" s="19" t="n">
        <v>0.0659</v>
      </c>
      <c r="AG1065" s="19" t="n">
        <v>0.1482</v>
      </c>
      <c r="AH1065" s="23" t="n">
        <v>0.01</v>
      </c>
      <c r="AI1065" s="23" t="n">
        <v>5.72</v>
      </c>
      <c r="AJ1065" s="19" t="n">
        <v>0.0244</v>
      </c>
    </row>
    <row r="1066">
      <c r="A1066" s="16" t="inlineStr">
        <is>
          <t>SPORTKING</t>
        </is>
      </c>
      <c r="B1066" s="16" t="inlineStr">
        <is>
          <t>Sportking India Ltd.</t>
        </is>
      </c>
      <c r="C1066" s="16" t="inlineStr">
        <is>
          <t>Textiles</t>
        </is>
      </c>
      <c r="D1066" s="16" t="inlineStr">
        <is>
          <t>Textiles Apparels &amp; Accessories</t>
        </is>
      </c>
      <c r="E1066" s="16" t="inlineStr">
        <is>
          <t>INE885H01029</t>
        </is>
      </c>
      <c r="F1066" s="17" t="n">
        <v>2912.74</v>
      </c>
      <c r="G1066" s="18" t="n">
        <v>229.22</v>
      </c>
      <c r="H1066" s="19" t="n">
        <v>-0.0017</v>
      </c>
      <c r="I1066" s="20" t="n">
        <v>93</v>
      </c>
      <c r="J1066" s="16" t="inlineStr">
        <is>
          <t>green</t>
        </is>
      </c>
      <c r="K1066" s="20" t="n">
        <v>138</v>
      </c>
      <c r="L1066" s="18" t="n">
        <v>70.16</v>
      </c>
      <c r="M1066" s="18" t="n">
        <v>226.22</v>
      </c>
      <c r="N1066" s="18" t="n">
        <v>204.04</v>
      </c>
      <c r="O1066" s="18" t="n">
        <v>142.78</v>
      </c>
      <c r="P1066" s="18" t="n">
        <v>229.6</v>
      </c>
      <c r="Q1066" s="18" t="n">
        <v>79.34</v>
      </c>
      <c r="R1066" s="21">
        <f>IF(OR(G1066="",P1066=""),"",G1066/P1066-1)</f>
        <v/>
      </c>
      <c r="S1066" s="19" t="n">
        <v>0.2942</v>
      </c>
      <c r="T1066" s="22" t="n">
        <v>0.08869999999999999</v>
      </c>
      <c r="U1066" s="16" t="inlineStr">
        <is>
          <t>Yes</t>
        </is>
      </c>
      <c r="V1066" s="16" t="inlineStr">
        <is>
          <t>Yes</t>
        </is>
      </c>
      <c r="W1066" s="16" t="inlineStr">
        <is>
          <t>Yes</t>
        </is>
      </c>
      <c r="X1066" s="16" t="inlineStr">
        <is>
          <t>Yes</t>
        </is>
      </c>
      <c r="Y1066" s="20" t="n">
        <v>113</v>
      </c>
      <c r="Z1066" s="19" t="n">
        <v>0.4291</v>
      </c>
      <c r="AA1066" s="18" t="n">
        <v>37.41</v>
      </c>
      <c r="AB1066" s="16" t="inlineStr">
        <is>
          <t>Weak</t>
        </is>
      </c>
      <c r="AC1066" s="16" t="inlineStr">
        <is>
          <t>No</t>
        </is>
      </c>
      <c r="AD1066" s="19" t="n">
        <v>0.0993</v>
      </c>
      <c r="AE1066" s="19" t="n">
        <v>0.1131</v>
      </c>
      <c r="AF1066" s="19" t="n">
        <v>0.07530000000000001</v>
      </c>
      <c r="AG1066" s="19" t="n">
        <v>0.0507</v>
      </c>
      <c r="AH1066" s="23" t="n">
        <v>0.42</v>
      </c>
      <c r="AI1066" s="23" t="n">
        <v>3.35</v>
      </c>
      <c r="AJ1066" s="19" t="n">
        <v>0.0198</v>
      </c>
    </row>
    <row r="1067">
      <c r="A1067" s="16" t="inlineStr">
        <is>
          <t>ADFFOODS</t>
        </is>
      </c>
      <c r="B1067" s="16" t="inlineStr">
        <is>
          <t>ADF Foods Ltd.</t>
        </is>
      </c>
      <c r="C1067" s="16" t="inlineStr">
        <is>
          <t>Packaged Foods</t>
        </is>
      </c>
      <c r="D1067" s="16" t="inlineStr">
        <is>
          <t>FMCG</t>
        </is>
      </c>
      <c r="E1067" s="16" t="inlineStr">
        <is>
          <t>INE982B01027</t>
        </is>
      </c>
      <c r="F1067" s="17" t="n">
        <v>2909.19</v>
      </c>
      <c r="G1067" s="18" t="n">
        <v>264.8</v>
      </c>
      <c r="H1067" s="19" t="n">
        <v>-0.0101</v>
      </c>
      <c r="I1067" s="20" t="n">
        <v>61</v>
      </c>
      <c r="J1067" s="16" t="inlineStr">
        <is>
          <t>amber</t>
        </is>
      </c>
      <c r="K1067" s="20" t="n">
        <v>10</v>
      </c>
      <c r="L1067" s="18" t="n">
        <v>51.85</v>
      </c>
      <c r="M1067" s="18" t="n">
        <v>270.54</v>
      </c>
      <c r="N1067" s="18" t="n">
        <v>285.95</v>
      </c>
      <c r="O1067" s="18" t="n">
        <v>239</v>
      </c>
      <c r="P1067" s="18" t="n">
        <v>319.7</v>
      </c>
      <c r="Q1067" s="18" t="n">
        <v>157.54</v>
      </c>
      <c r="R1067" s="21">
        <f>IF(OR(G1067="",P1067=""),"",G1067/P1067-1)</f>
        <v/>
      </c>
      <c r="S1067" s="19" t="n">
        <v>0.4434</v>
      </c>
      <c r="T1067" s="22" t="n">
        <v>0.0215</v>
      </c>
      <c r="U1067" s="16" t="inlineStr">
        <is>
          <t>Yes</t>
        </is>
      </c>
      <c r="V1067" s="16" t="inlineStr">
        <is>
          <t>No</t>
        </is>
      </c>
      <c r="W1067" s="16" t="inlineStr">
        <is>
          <t>No</t>
        </is>
      </c>
      <c r="X1067" s="16" t="inlineStr">
        <is>
          <t>Yes</t>
        </is>
      </c>
      <c r="Y1067" s="20" t="n">
        <v>79</v>
      </c>
      <c r="Z1067" s="19" t="n">
        <v>0.1964</v>
      </c>
      <c r="AA1067" s="18" t="n">
        <v>61.21</v>
      </c>
      <c r="AB1067" s="16" t="inlineStr">
        <is>
          <t>Good</t>
        </is>
      </c>
      <c r="AC1067" s="16" t="inlineStr">
        <is>
          <t>No</t>
        </is>
      </c>
      <c r="AD1067" s="19" t="n">
        <v>0.1562</v>
      </c>
      <c r="AE1067" s="19" t="n">
        <v>0.1895</v>
      </c>
      <c r="AF1067" s="19" t="n">
        <v>0.1859</v>
      </c>
      <c r="AG1067" s="19" t="n">
        <v>0.1303</v>
      </c>
      <c r="AH1067" s="23" t="n">
        <v>0.1</v>
      </c>
      <c r="AI1067" s="23" t="n">
        <v>2.59</v>
      </c>
      <c r="AJ1067" s="19" t="n">
        <v>0.1195</v>
      </c>
    </row>
    <row r="1068">
      <c r="A1068" s="16" t="inlineStr">
        <is>
          <t>SANGAMIND</t>
        </is>
      </c>
      <c r="B1068" s="16" t="inlineStr">
        <is>
          <t>Sangam (India) Ltd.</t>
        </is>
      </c>
      <c r="C1068" s="16" t="inlineStr">
        <is>
          <t>Textiles</t>
        </is>
      </c>
      <c r="D1068" s="16" t="inlineStr">
        <is>
          <t>Textiles Apparels &amp; Accessories</t>
        </is>
      </c>
      <c r="E1068" s="16" t="inlineStr">
        <is>
          <t>INE495C01010</t>
        </is>
      </c>
      <c r="F1068" s="17" t="n">
        <v>2908.27</v>
      </c>
      <c r="G1068" s="18" t="n">
        <v>578.8</v>
      </c>
      <c r="H1068" s="19" t="n">
        <v>0.0122</v>
      </c>
      <c r="I1068" s="20" t="n">
        <v>74</v>
      </c>
      <c r="J1068" s="16" t="inlineStr">
        <is>
          <t>amber</t>
        </is>
      </c>
      <c r="K1068" s="20" t="n">
        <v>14</v>
      </c>
      <c r="L1068" s="18" t="n">
        <v>44.18</v>
      </c>
      <c r="M1068" s="18" t="n">
        <v>582.65</v>
      </c>
      <c r="N1068" s="18" t="n">
        <v>589.5700000000001</v>
      </c>
      <c r="O1068" s="18" t="n">
        <v>500.36</v>
      </c>
      <c r="P1068" s="18" t="n">
        <v>636.95</v>
      </c>
      <c r="Q1068" s="18" t="n">
        <v>361.89</v>
      </c>
      <c r="R1068" s="21">
        <f>IF(OR(G1068="",P1068=""),"",G1068/P1068-1)</f>
        <v/>
      </c>
      <c r="S1068" s="19" t="n">
        <v>0.2758</v>
      </c>
      <c r="T1068" s="22" t="n">
        <v>0.0281</v>
      </c>
      <c r="U1068" s="16" t="inlineStr">
        <is>
          <t>Yes</t>
        </is>
      </c>
      <c r="V1068" s="16" t="inlineStr">
        <is>
          <t>No</t>
        </is>
      </c>
      <c r="W1068" s="16" t="inlineStr">
        <is>
          <t>No</t>
        </is>
      </c>
      <c r="X1068" s="16" t="inlineStr">
        <is>
          <t>Yes</t>
        </is>
      </c>
      <c r="Y1068" s="20" t="n">
        <v>213</v>
      </c>
      <c r="Z1068" s="19" t="n">
        <v>0.1783</v>
      </c>
      <c r="AA1068" s="18" t="n">
        <v>28.83</v>
      </c>
      <c r="AB1068" s="16" t="inlineStr">
        <is>
          <t>Poor</t>
        </is>
      </c>
      <c r="AC1068" s="16" t="inlineStr">
        <is>
          <t>No</t>
        </is>
      </c>
      <c r="AD1068" s="19" t="n">
        <v>0.0499</v>
      </c>
      <c r="AE1068" s="19" t="n">
        <v>0.0704</v>
      </c>
      <c r="AF1068" s="19" t="n">
        <v>0.2231</v>
      </c>
      <c r="AG1068" s="19" t="n">
        <v>0.0624</v>
      </c>
      <c r="AH1068" s="23" t="n">
        <v>1.19</v>
      </c>
      <c r="AI1068" s="23" t="n">
        <v>1.93</v>
      </c>
      <c r="AJ1068" s="19" t="n">
        <v>0.08400000000000001</v>
      </c>
    </row>
    <row r="1069">
      <c r="A1069" s="16" t="inlineStr">
        <is>
          <t>BLSE</t>
        </is>
      </c>
      <c r="B1069" s="16" t="inlineStr">
        <is>
          <t>BLS E-Services Ltd.</t>
        </is>
      </c>
      <c r="C1069" s="16" t="inlineStr">
        <is>
          <t>Misc. Commercial Services</t>
        </is>
      </c>
      <c r="D1069" s="16" t="inlineStr">
        <is>
          <t>Commercial Services &amp; Supplies</t>
        </is>
      </c>
      <c r="E1069" s="16" t="inlineStr">
        <is>
          <t>INE0NLT01010</t>
        </is>
      </c>
      <c r="F1069" s="17" t="n">
        <v>2907.86</v>
      </c>
      <c r="G1069" s="18" t="n">
        <v>320.05</v>
      </c>
      <c r="H1069" s="19" t="n">
        <v>-0.0111</v>
      </c>
      <c r="I1069" s="20" t="n">
        <v>92</v>
      </c>
      <c r="J1069" s="16" t="inlineStr">
        <is>
          <t>green</t>
        </is>
      </c>
      <c r="K1069" s="20" t="n">
        <v>48</v>
      </c>
      <c r="L1069" s="18" t="n">
        <v>58.22</v>
      </c>
      <c r="M1069" s="18" t="n">
        <v>322.77</v>
      </c>
      <c r="N1069" s="18" t="n">
        <v>292.83</v>
      </c>
      <c r="O1069" s="18" t="n">
        <v>213.98</v>
      </c>
      <c r="P1069" s="18" t="n">
        <v>327.9</v>
      </c>
      <c r="Q1069" s="18" t="n">
        <v>128.58</v>
      </c>
      <c r="R1069" s="21">
        <f>IF(OR(G1069="",P1069=""),"",G1069/P1069-1)</f>
        <v/>
      </c>
      <c r="S1069" s="19" t="n">
        <v>0.2568</v>
      </c>
      <c r="T1069" s="22" t="n">
        <v>0.0622</v>
      </c>
      <c r="U1069" s="16" t="inlineStr">
        <is>
          <t>Yes</t>
        </is>
      </c>
      <c r="V1069" s="16" t="inlineStr">
        <is>
          <t>Yes</t>
        </is>
      </c>
      <c r="W1069" s="16" t="inlineStr">
        <is>
          <t>No</t>
        </is>
      </c>
      <c r="X1069" s="16" t="inlineStr">
        <is>
          <t>Yes</t>
        </is>
      </c>
      <c r="Y1069" s="20" t="n">
        <v>70</v>
      </c>
      <c r="Z1069" s="19" t="n">
        <v>0.3685</v>
      </c>
      <c r="AA1069" s="18" t="n">
        <v>70.45</v>
      </c>
      <c r="AB1069" s="16" t="inlineStr">
        <is>
          <t>High</t>
        </is>
      </c>
      <c r="AC1069" s="16" t="inlineStr">
        <is>
          <t>No</t>
        </is>
      </c>
      <c r="AD1069" s="19" t="n">
        <v>0.09720000000000001</v>
      </c>
      <c r="AE1069" s="19" t="n">
        <v>0.1488</v>
      </c>
      <c r="AF1069" s="19" t="n">
        <v>0.1462</v>
      </c>
      <c r="AG1069" s="19" t="n">
        <v>0.7051000000000001</v>
      </c>
      <c r="AH1069" s="23" t="n">
        <v>0.01</v>
      </c>
      <c r="AI1069" s="23" t="n">
        <v>40.44</v>
      </c>
      <c r="AJ1069" s="19" t="n">
        <v>0.5344</v>
      </c>
    </row>
    <row r="1070">
      <c r="A1070" s="16" t="inlineStr">
        <is>
          <t>NAVNETEDUL</t>
        </is>
      </c>
      <c r="B1070" s="16" t="inlineStr">
        <is>
          <t>Navneet Education Ltd.</t>
        </is>
      </c>
      <c r="C1070" s="16" t="inlineStr">
        <is>
          <t>Publishing</t>
        </is>
      </c>
      <c r="D1070" s="16" t="inlineStr">
        <is>
          <t>Commercial Services &amp; Supplies</t>
        </is>
      </c>
      <c r="E1070" s="16" t="inlineStr">
        <is>
          <t>INE060A01024</t>
        </is>
      </c>
      <c r="F1070" s="17" t="n">
        <v>2902.54</v>
      </c>
      <c r="G1070" s="18" t="n">
        <v>131.21</v>
      </c>
      <c r="H1070" s="19" t="n">
        <v>-0.0066</v>
      </c>
      <c r="I1070" s="20" t="n">
        <v>25</v>
      </c>
      <c r="J1070" s="16" t="inlineStr">
        <is>
          <t>red</t>
        </is>
      </c>
      <c r="K1070" s="20" t="n">
        <v>98</v>
      </c>
      <c r="L1070" s="18" t="n">
        <v>23.7</v>
      </c>
      <c r="M1070" s="18" t="n">
        <v>133.37</v>
      </c>
      <c r="N1070" s="18" t="n">
        <v>139.26</v>
      </c>
      <c r="O1070" s="18" t="n">
        <v>141.3</v>
      </c>
      <c r="P1070" s="18" t="n">
        <v>161.58</v>
      </c>
      <c r="Q1070" s="18" t="n">
        <v>120.93</v>
      </c>
      <c r="R1070" s="21">
        <f>IF(OR(G1070="",P1070=""),"",G1070/P1070-1)</f>
        <v/>
      </c>
      <c r="S1070" s="19" t="n">
        <v>0.3664</v>
      </c>
      <c r="T1070" s="22" t="n">
        <v>-0.0143</v>
      </c>
      <c r="U1070" s="16" t="inlineStr">
        <is>
          <t>No</t>
        </is>
      </c>
      <c r="V1070" s="16" t="inlineStr">
        <is>
          <t>No</t>
        </is>
      </c>
      <c r="W1070" s="16" t="inlineStr">
        <is>
          <t>No</t>
        </is>
      </c>
      <c r="X1070" s="16" t="inlineStr">
        <is>
          <t>No</t>
        </is>
      </c>
      <c r="Y1070" s="20" t="n">
        <v>121</v>
      </c>
      <c r="Z1070" s="19" t="n">
        <v>-0.0145</v>
      </c>
      <c r="AA1070" s="18" t="n">
        <v>70.18000000000001</v>
      </c>
      <c r="AB1070" s="16" t="inlineStr">
        <is>
          <t>High</t>
        </is>
      </c>
      <c r="AC1070" s="16" t="inlineStr">
        <is>
          <t>No</t>
        </is>
      </c>
      <c r="AD1070" s="19" t="n">
        <v>0.2602</v>
      </c>
      <c r="AE1070" s="19" t="n">
        <v>0.2974</v>
      </c>
      <c r="AF1070" s="19" t="n">
        <v>0.5853</v>
      </c>
      <c r="AG1070" s="19" t="n">
        <v>0.0052</v>
      </c>
      <c r="AH1070" s="23" t="n">
        <v>0.05</v>
      </c>
      <c r="AI1070" s="23" t="n">
        <v>4.38</v>
      </c>
      <c r="AJ1070" s="19" t="n">
        <v>0.09669999999999999</v>
      </c>
    </row>
    <row r="1071">
      <c r="A1071" s="16" t="inlineStr">
        <is>
          <t>GSPCROP</t>
        </is>
      </c>
      <c r="B1071" s="16" t="inlineStr">
        <is>
          <t>GSP Crop Science Ltd.</t>
        </is>
      </c>
      <c r="C1071" s="16" t="inlineStr">
        <is>
          <t>Agrochemicals</t>
        </is>
      </c>
      <c r="D1071" s="16" t="inlineStr">
        <is>
          <t>Chemicals &amp; Petrochemicals</t>
        </is>
      </c>
      <c r="E1071" s="16" t="inlineStr">
        <is>
          <t>INE713R01022</t>
        </is>
      </c>
      <c r="F1071" s="17" t="n">
        <v>2880.68</v>
      </c>
      <c r="G1071" s="18" t="n">
        <v>619.25</v>
      </c>
      <c r="H1071" s="19" t="n">
        <v>-0.0106</v>
      </c>
      <c r="I1071" s="20" t="n">
        <v>82</v>
      </c>
      <c r="J1071" s="16" t="inlineStr">
        <is>
          <t>green</t>
        </is>
      </c>
      <c r="K1071" s="20" t="n">
        <v>10</v>
      </c>
      <c r="L1071" s="18" t="n">
        <v>62.42</v>
      </c>
      <c r="M1071" s="18" t="n">
        <v>628.73</v>
      </c>
      <c r="N1071" s="18" t="n">
        <v>537.75</v>
      </c>
      <c r="O1071" s="18" t="n"/>
      <c r="P1071" s="18" t="n">
        <v>643.15</v>
      </c>
      <c r="Q1071" s="18" t="n">
        <v>337.9</v>
      </c>
      <c r="R1071" s="21">
        <f>IF(OR(G1071="",P1071=""),"",G1071/P1071-1)</f>
        <v/>
      </c>
      <c r="S1071" s="19" t="n">
        <v>0.4002000000000001</v>
      </c>
      <c r="T1071" s="22" t="n"/>
      <c r="U1071" s="16" t="n"/>
      <c r="V1071" s="16" t="inlineStr">
        <is>
          <t>Yes</t>
        </is>
      </c>
      <c r="W1071" s="16" t="inlineStr">
        <is>
          <t>No</t>
        </is>
      </c>
      <c r="X1071" s="16" t="n"/>
      <c r="Y1071" s="20" t="n"/>
      <c r="Z1071" s="19" t="n"/>
      <c r="AA1071" s="18" t="n">
        <v>60.96</v>
      </c>
      <c r="AB1071" s="16" t="inlineStr">
        <is>
          <t>Good</t>
        </is>
      </c>
      <c r="AC1071" s="16" t="inlineStr">
        <is>
          <t>No</t>
        </is>
      </c>
      <c r="AD1071" s="19" t="n">
        <v>0.1593</v>
      </c>
      <c r="AE1071" s="19" t="n">
        <v>0.1745</v>
      </c>
      <c r="AF1071" s="19" t="n">
        <v>0.872</v>
      </c>
      <c r="AG1071" s="19" t="n">
        <v>0.08529999999999999</v>
      </c>
      <c r="AH1071" s="23" t="n">
        <v>0.34</v>
      </c>
      <c r="AI1071" s="23" t="n">
        <v>5.77</v>
      </c>
      <c r="AJ1071" s="19" t="n">
        <v>0.1822</v>
      </c>
    </row>
    <row r="1072">
      <c r="A1072" s="16" t="inlineStr">
        <is>
          <t>NOCIL</t>
        </is>
      </c>
      <c r="B1072" s="16" t="inlineStr">
        <is>
          <t>NOCIL Ltd.</t>
        </is>
      </c>
      <c r="C1072" s="16" t="inlineStr">
        <is>
          <t>Specialty Chemicals</t>
        </is>
      </c>
      <c r="D1072" s="16" t="inlineStr">
        <is>
          <t>Chemicals &amp; Petrochemicals</t>
        </is>
      </c>
      <c r="E1072" s="16" t="inlineStr">
        <is>
          <t>INE163A01018</t>
        </is>
      </c>
      <c r="F1072" s="17" t="n">
        <v>2880.18</v>
      </c>
      <c r="G1072" s="18" t="n">
        <v>172.44</v>
      </c>
      <c r="H1072" s="19" t="n">
        <v>0.0037</v>
      </c>
      <c r="I1072" s="20" t="n">
        <v>55</v>
      </c>
      <c r="J1072" s="16" t="inlineStr">
        <is>
          <t>red</t>
        </is>
      </c>
      <c r="K1072" s="20" t="n">
        <v>53</v>
      </c>
      <c r="L1072" s="18" t="n">
        <v>68.81999999999999</v>
      </c>
      <c r="M1072" s="18" t="n">
        <v>168.81</v>
      </c>
      <c r="N1072" s="18" t="n">
        <v>168.02</v>
      </c>
      <c r="O1072" s="18" t="n">
        <v>159.43</v>
      </c>
      <c r="P1072" s="18" t="n">
        <v>189.05</v>
      </c>
      <c r="Q1072" s="18" t="n">
        <v>127.04</v>
      </c>
      <c r="R1072" s="21">
        <f>IF(OR(G1072="",P1072=""),"",G1072/P1072-1)</f>
        <v/>
      </c>
      <c r="S1072" s="19" t="n">
        <v>0.4327</v>
      </c>
      <c r="T1072" s="22" t="n">
        <v>-0.0071</v>
      </c>
      <c r="U1072" s="16" t="inlineStr">
        <is>
          <t>No</t>
        </is>
      </c>
      <c r="V1072" s="16" t="inlineStr">
        <is>
          <t>Yes</t>
        </is>
      </c>
      <c r="W1072" s="16" t="inlineStr">
        <is>
          <t>Yes</t>
        </is>
      </c>
      <c r="X1072" s="16" t="inlineStr">
        <is>
          <t>Yes</t>
        </is>
      </c>
      <c r="Y1072" s="20" t="n">
        <v>76</v>
      </c>
      <c r="Z1072" s="19" t="n">
        <v>0.0539</v>
      </c>
      <c r="AA1072" s="18" t="n">
        <v>35.11</v>
      </c>
      <c r="AB1072" s="16" t="inlineStr">
        <is>
          <t>Weak</t>
        </is>
      </c>
      <c r="AC1072" s="16" t="inlineStr">
        <is>
          <t>No</t>
        </is>
      </c>
      <c r="AD1072" s="19" t="n">
        <v>0.05599999999999999</v>
      </c>
      <c r="AE1072" s="19" t="n">
        <v>0.0717</v>
      </c>
      <c r="AF1072" s="19" t="n">
        <v>-0.2651</v>
      </c>
      <c r="AG1072" s="19" t="n">
        <v>-0.0735</v>
      </c>
      <c r="AH1072" s="23" t="n">
        <v>0</v>
      </c>
      <c r="AI1072" s="23" t="n">
        <v>1.18</v>
      </c>
      <c r="AJ1072" s="19" t="n">
        <v>0.2373</v>
      </c>
    </row>
    <row r="1073">
      <c r="A1073" s="16" t="inlineStr">
        <is>
          <t>GLOBUSSPR</t>
        </is>
      </c>
      <c r="B1073" s="16" t="inlineStr">
        <is>
          <t>Globus Spirits Ltd.</t>
        </is>
      </c>
      <c r="C1073" s="16" t="inlineStr">
        <is>
          <t>Breweries &amp; Distilleries</t>
        </is>
      </c>
      <c r="D1073" s="16" t="inlineStr">
        <is>
          <t>Food, Beverages &amp; Tobacco</t>
        </is>
      </c>
      <c r="E1073" s="16" t="inlineStr">
        <is>
          <t>INE615I01010</t>
        </is>
      </c>
      <c r="F1073" s="17" t="n">
        <v>2876.51</v>
      </c>
      <c r="G1073" s="18" t="n">
        <v>914.3</v>
      </c>
      <c r="H1073" s="19" t="n">
        <v>-0.0058</v>
      </c>
      <c r="I1073" s="20" t="n">
        <v>35</v>
      </c>
      <c r="J1073" s="16" t="inlineStr">
        <is>
          <t>red</t>
        </is>
      </c>
      <c r="K1073" s="20" t="n">
        <v>88</v>
      </c>
      <c r="L1073" s="18" t="n">
        <v>72.81</v>
      </c>
      <c r="M1073" s="18" t="n">
        <v>914.85</v>
      </c>
      <c r="N1073" s="18" t="n">
        <v>904.0599999999999</v>
      </c>
      <c r="O1073" s="18" t="n">
        <v>937.92</v>
      </c>
      <c r="P1073" s="18" t="n">
        <v>1193.3</v>
      </c>
      <c r="Q1073" s="18" t="n">
        <v>802.55</v>
      </c>
      <c r="R1073" s="21">
        <f>IF(OR(G1073="",P1073=""),"",G1073/P1073-1)</f>
        <v/>
      </c>
      <c r="S1073" s="19" t="n">
        <v>0.4937</v>
      </c>
      <c r="T1073" s="22" t="n">
        <v>-0.0239</v>
      </c>
      <c r="U1073" s="16" t="inlineStr">
        <is>
          <t>No</t>
        </is>
      </c>
      <c r="V1073" s="16" t="inlineStr">
        <is>
          <t>Yes</t>
        </is>
      </c>
      <c r="W1073" s="16" t="inlineStr">
        <is>
          <t>No</t>
        </is>
      </c>
      <c r="X1073" s="16" t="inlineStr">
        <is>
          <t>No</t>
        </is>
      </c>
      <c r="Y1073" s="20" t="n">
        <v>169</v>
      </c>
      <c r="Z1073" s="19" t="n">
        <v>-0.0361</v>
      </c>
      <c r="AA1073" s="18" t="n">
        <v>27.4</v>
      </c>
      <c r="AB1073" s="16" t="inlineStr">
        <is>
          <t>Poor</t>
        </is>
      </c>
      <c r="AC1073" s="16" t="inlineStr">
        <is>
          <t>No</t>
        </is>
      </c>
      <c r="AD1073" s="19" t="n">
        <v>0.06900000000000001</v>
      </c>
      <c r="AE1073" s="19" t="n">
        <v>0.0832</v>
      </c>
      <c r="AF1073" s="19" t="n">
        <v>-0.5779</v>
      </c>
      <c r="AG1073" s="19" t="n">
        <v>0.08810000000000001</v>
      </c>
      <c r="AH1073" s="23" t="n">
        <v>0.48</v>
      </c>
      <c r="AI1073" s="23" t="n">
        <v>2.11</v>
      </c>
      <c r="AJ1073" s="19" t="n">
        <v>0.0287</v>
      </c>
    </row>
    <row r="1074">
      <c r="A1074" s="16" t="inlineStr">
        <is>
          <t>SUNCLAY</t>
        </is>
      </c>
      <c r="B1074" s="16" t="inlineStr">
        <is>
          <t>Sundaram-Clayton Ltd.</t>
        </is>
      </c>
      <c r="C1074" s="16" t="inlineStr">
        <is>
          <t>Auto Parts &amp; Equipment</t>
        </is>
      </c>
      <c r="D1074" s="16" t="inlineStr">
        <is>
          <t>Automobiles &amp; Auto Components</t>
        </is>
      </c>
      <c r="E1074" s="16" t="inlineStr">
        <is>
          <t>INE0Q3R01026</t>
        </is>
      </c>
      <c r="F1074" s="17" t="n">
        <v>2875.71</v>
      </c>
      <c r="G1074" s="18" t="n">
        <v>1304.4</v>
      </c>
      <c r="H1074" s="19" t="n">
        <v>0.0101</v>
      </c>
      <c r="I1074" s="20" t="n">
        <v>31</v>
      </c>
      <c r="J1074" s="16" t="inlineStr">
        <is>
          <t>red</t>
        </is>
      </c>
      <c r="K1074" s="20" t="n">
        <v>304</v>
      </c>
      <c r="L1074" s="18" t="n">
        <v>54.27</v>
      </c>
      <c r="M1074" s="18" t="n">
        <v>1286.4</v>
      </c>
      <c r="N1074" s="18" t="n">
        <v>1308.23</v>
      </c>
      <c r="O1074" s="18" t="n">
        <v>1309.2</v>
      </c>
      <c r="P1074" s="18" t="n">
        <v>1782.11</v>
      </c>
      <c r="Q1074" s="18" t="n">
        <v>1130.08</v>
      </c>
      <c r="R1074" s="21">
        <f>IF(OR(G1074="",P1074=""),"",G1074/P1074-1)</f>
        <v/>
      </c>
      <c r="S1074" s="19" t="n">
        <v>0.2939</v>
      </c>
      <c r="T1074" s="22" t="n">
        <v>-0.0136</v>
      </c>
      <c r="U1074" s="16" t="inlineStr">
        <is>
          <t>No</t>
        </is>
      </c>
      <c r="V1074" s="16" t="inlineStr">
        <is>
          <t>No</t>
        </is>
      </c>
      <c r="W1074" s="16" t="inlineStr">
        <is>
          <t>Yes</t>
        </is>
      </c>
      <c r="X1074" s="16" t="inlineStr">
        <is>
          <t>No</t>
        </is>
      </c>
      <c r="Y1074" s="20" t="n">
        <v>2</v>
      </c>
      <c r="Z1074" s="19" t="n">
        <v>-0.0007000000000000001</v>
      </c>
      <c r="AA1074" s="18" t="n">
        <v>30.84</v>
      </c>
      <c r="AB1074" s="16" t="inlineStr">
        <is>
          <t>Poor</t>
        </is>
      </c>
      <c r="AC1074" s="16" t="inlineStr">
        <is>
          <t>No</t>
        </is>
      </c>
      <c r="AD1074" s="19" t="n">
        <v>-0.005500000000000001</v>
      </c>
      <c r="AE1074" s="19" t="n">
        <v>0.06860000000000001</v>
      </c>
      <c r="AF1074" s="19" t="n">
        <v>8.156699999999999</v>
      </c>
      <c r="AG1074" s="19" t="n">
        <v>0.06269999999999999</v>
      </c>
      <c r="AH1074" s="23" t="n">
        <v>1</v>
      </c>
      <c r="AI1074" s="23" t="n">
        <v>0.88</v>
      </c>
      <c r="AJ1074" s="19" t="n">
        <v>0.0336</v>
      </c>
    </row>
    <row r="1075">
      <c r="A1075" s="16" t="inlineStr">
        <is>
          <t>INTERARCH</t>
        </is>
      </c>
      <c r="B1075" s="16" t="inlineStr">
        <is>
          <t>Interarch Building Solutions Ltd.</t>
        </is>
      </c>
      <c r="C1075" s="16" t="inlineStr">
        <is>
          <t>Construction &amp; Engineering</t>
        </is>
      </c>
      <c r="D1075" s="16" t="inlineStr">
        <is>
          <t>Cement and Construction</t>
        </is>
      </c>
      <c r="E1075" s="16" t="inlineStr">
        <is>
          <t>INE00M901018</t>
        </is>
      </c>
      <c r="F1075" s="17" t="n">
        <v>2870.71</v>
      </c>
      <c r="G1075" s="18" t="n">
        <v>1707</v>
      </c>
      <c r="H1075" s="19" t="n">
        <v>0.0034</v>
      </c>
      <c r="I1075" s="20" t="n">
        <v>20</v>
      </c>
      <c r="J1075" s="16" t="inlineStr">
        <is>
          <t>red</t>
        </is>
      </c>
      <c r="K1075" s="20" t="n">
        <v>85</v>
      </c>
      <c r="L1075" s="18" t="n">
        <v>45.19</v>
      </c>
      <c r="M1075" s="18" t="n">
        <v>1690.69</v>
      </c>
      <c r="N1075" s="18" t="n">
        <v>1772.33</v>
      </c>
      <c r="O1075" s="18" t="n">
        <v>1944.14</v>
      </c>
      <c r="P1075" s="18" t="n">
        <v>2603.97</v>
      </c>
      <c r="Q1075" s="18" t="n">
        <v>1619.91</v>
      </c>
      <c r="R1075" s="21">
        <f>IF(OR(G1075="",P1075=""),"",G1075/P1075-1)</f>
        <v/>
      </c>
      <c r="S1075" s="19" t="n">
        <v>0.5826</v>
      </c>
      <c r="T1075" s="22" t="n">
        <v>-0.0275</v>
      </c>
      <c r="U1075" s="16" t="inlineStr">
        <is>
          <t>No</t>
        </is>
      </c>
      <c r="V1075" s="16" t="inlineStr">
        <is>
          <t>No</t>
        </is>
      </c>
      <c r="W1075" s="16" t="inlineStr">
        <is>
          <t>Yes</t>
        </is>
      </c>
      <c r="X1075" s="16" t="inlineStr">
        <is>
          <t>No</t>
        </is>
      </c>
      <c r="Y1075" s="20" t="n">
        <v>135</v>
      </c>
      <c r="Z1075" s="19" t="n">
        <v>-0.08839999999999999</v>
      </c>
      <c r="AA1075" s="18" t="n">
        <v>70.65000000000001</v>
      </c>
      <c r="AB1075" s="16" t="inlineStr">
        <is>
          <t>High</t>
        </is>
      </c>
      <c r="AC1075" s="16" t="inlineStr">
        <is>
          <t>No</t>
        </is>
      </c>
      <c r="AD1075" s="19" t="n">
        <v>0.1634</v>
      </c>
      <c r="AE1075" s="19" t="n">
        <v>0.2171</v>
      </c>
      <c r="AF1075" s="19" t="n">
        <v>0.1232</v>
      </c>
      <c r="AG1075" s="19" t="n">
        <v>0.1993</v>
      </c>
      <c r="AH1075" s="23" t="n">
        <v>0.02</v>
      </c>
      <c r="AI1075" s="23" t="n">
        <v>5.57</v>
      </c>
      <c r="AJ1075" s="19" t="n">
        <v>0.1659</v>
      </c>
    </row>
    <row r="1076">
      <c r="A1076" s="16" t="inlineStr">
        <is>
          <t>ALEMBICLTD</t>
        </is>
      </c>
      <c r="B1076" s="16" t="inlineStr">
        <is>
          <t>Alembic Ltd.</t>
        </is>
      </c>
      <c r="C1076" s="16" t="inlineStr">
        <is>
          <t>Pharmaceuticals</t>
        </is>
      </c>
      <c r="D1076" s="16" t="inlineStr">
        <is>
          <t>Pharmaceuticals &amp; Biotechnology</t>
        </is>
      </c>
      <c r="E1076" s="16" t="inlineStr">
        <is>
          <t>INE426A01027</t>
        </is>
      </c>
      <c r="F1076" s="17" t="n">
        <v>2860.81</v>
      </c>
      <c r="G1076" s="18" t="n">
        <v>111.41</v>
      </c>
      <c r="H1076" s="19" t="n">
        <v>0.0174</v>
      </c>
      <c r="I1076" s="20" t="n">
        <v>70</v>
      </c>
      <c r="J1076" s="16" t="inlineStr">
        <is>
          <t>amber</t>
        </is>
      </c>
      <c r="K1076" s="20" t="n">
        <v>2</v>
      </c>
      <c r="L1076" s="18" t="n">
        <v>80.42</v>
      </c>
      <c r="M1076" s="18" t="n">
        <v>102.52</v>
      </c>
      <c r="N1076" s="18" t="n">
        <v>90.28</v>
      </c>
      <c r="O1076" s="18" t="n">
        <v>89.8</v>
      </c>
      <c r="P1076" s="18" t="n">
        <v>111.41</v>
      </c>
      <c r="Q1076" s="18" t="n">
        <v>69.04000000000001</v>
      </c>
      <c r="R1076" s="21">
        <f>IF(OR(G1076="",P1076=""),"",G1076/P1076-1)</f>
        <v/>
      </c>
      <c r="S1076" s="19" t="n">
        <v>2.8049</v>
      </c>
      <c r="T1076" s="22" t="n">
        <v>-0.004</v>
      </c>
      <c r="U1076" s="16" t="inlineStr">
        <is>
          <t>No</t>
        </is>
      </c>
      <c r="V1076" s="16" t="inlineStr">
        <is>
          <t>Yes</t>
        </is>
      </c>
      <c r="W1076" s="16" t="inlineStr">
        <is>
          <t>Yes</t>
        </is>
      </c>
      <c r="X1076" s="16" t="inlineStr">
        <is>
          <t>Yes</t>
        </is>
      </c>
      <c r="Y1076" s="20" t="n">
        <v>2</v>
      </c>
      <c r="Z1076" s="19" t="n">
        <v>0.0053</v>
      </c>
      <c r="AA1076" s="18" t="n">
        <v>53.69</v>
      </c>
      <c r="AB1076" s="16" t="inlineStr">
        <is>
          <t>Good</t>
        </is>
      </c>
      <c r="AC1076" s="16" t="inlineStr">
        <is>
          <t>No</t>
        </is>
      </c>
      <c r="AD1076" s="19" t="n">
        <v>0.1285</v>
      </c>
      <c r="AE1076" s="19" t="n">
        <v>0.05860000000000001</v>
      </c>
      <c r="AF1076" s="19" t="n">
        <v>0.196</v>
      </c>
      <c r="AG1076" s="19" t="n">
        <v>0.2559</v>
      </c>
      <c r="AH1076" s="23" t="n">
        <v>0</v>
      </c>
      <c r="AI1076" s="23" t="n">
        <v>1.34</v>
      </c>
      <c r="AJ1076" s="19" t="n">
        <v>0.008699999999999999</v>
      </c>
    </row>
    <row r="1077">
      <c r="A1077" s="16" t="inlineStr">
        <is>
          <t>EFCIL</t>
        </is>
      </c>
      <c r="B1077" s="16" t="inlineStr">
        <is>
          <t>EFC (I) Ltd.</t>
        </is>
      </c>
      <c r="C1077" s="16" t="inlineStr">
        <is>
          <t>Realty</t>
        </is>
      </c>
      <c r="D1077" s="16" t="inlineStr">
        <is>
          <t>Realty</t>
        </is>
      </c>
      <c r="E1077" s="16" t="inlineStr">
        <is>
          <t>INE886D01026</t>
        </is>
      </c>
      <c r="F1077" s="17" t="n">
        <v>2858.91</v>
      </c>
      <c r="G1077" s="18" t="n">
        <v>193.24</v>
      </c>
      <c r="H1077" s="19" t="n">
        <v>-0.0378</v>
      </c>
      <c r="I1077" s="20" t="n">
        <v>13</v>
      </c>
      <c r="J1077" s="16" t="inlineStr">
        <is>
          <t>red</t>
        </is>
      </c>
      <c r="K1077" s="20" t="n">
        <v>145</v>
      </c>
      <c r="L1077" s="18" t="n">
        <v>64.73999999999999</v>
      </c>
      <c r="M1077" s="18" t="n">
        <v>200.76</v>
      </c>
      <c r="N1077" s="18" t="n">
        <v>192.38</v>
      </c>
      <c r="O1077" s="18" t="n">
        <v>220.96</v>
      </c>
      <c r="P1077" s="18" t="n">
        <v>329.85</v>
      </c>
      <c r="Q1077" s="18" t="n">
        <v>173.82</v>
      </c>
      <c r="R1077" s="21">
        <f>IF(OR(G1077="",P1077=""),"",G1077/P1077-1)</f>
        <v/>
      </c>
      <c r="S1077" s="19" t="n">
        <v>0.5948</v>
      </c>
      <c r="T1077" s="22" t="n">
        <v>-0.0452</v>
      </c>
      <c r="U1077" s="16" t="inlineStr">
        <is>
          <t>No</t>
        </is>
      </c>
      <c r="V1077" s="16" t="inlineStr">
        <is>
          <t>Yes</t>
        </is>
      </c>
      <c r="W1077" s="16" t="inlineStr">
        <is>
          <t>No</t>
        </is>
      </c>
      <c r="X1077" s="16" t="inlineStr">
        <is>
          <t>No</t>
        </is>
      </c>
      <c r="Y1077" s="20" t="n">
        <v>63</v>
      </c>
      <c r="Z1077" s="19" t="n">
        <v>-0.1293</v>
      </c>
      <c r="AA1077" s="18" t="n">
        <v>57.55</v>
      </c>
      <c r="AB1077" s="16" t="inlineStr">
        <is>
          <t>Good</t>
        </is>
      </c>
      <c r="AC1077" s="16" t="inlineStr">
        <is>
          <t>No</t>
        </is>
      </c>
      <c r="AD1077" s="19" t="n">
        <v>0.2281</v>
      </c>
      <c r="AE1077" s="19" t="n">
        <v>0.1566</v>
      </c>
      <c r="AF1077" s="19" t="n">
        <v>2.4654</v>
      </c>
      <c r="AG1077" s="19" t="n">
        <v>1.4028</v>
      </c>
      <c r="AH1077" s="23" t="n">
        <v>1.74</v>
      </c>
      <c r="AI1077" s="23" t="n">
        <v>1.48</v>
      </c>
      <c r="AJ1077" s="19" t="n">
        <v>0</v>
      </c>
    </row>
    <row r="1078">
      <c r="A1078" s="16" t="inlineStr">
        <is>
          <t>RISHABH</t>
        </is>
      </c>
      <c r="B1078" s="16" t="inlineStr">
        <is>
          <t>Rishabh Instruments Ltd.</t>
        </is>
      </c>
      <c r="C1078" s="16" t="inlineStr">
        <is>
          <t>Other Electrical Equipment/Products</t>
        </is>
      </c>
      <c r="D1078" s="16" t="inlineStr">
        <is>
          <t>Consumer Durables</t>
        </is>
      </c>
      <c r="E1078" s="16" t="inlineStr">
        <is>
          <t>INE0N2P01017</t>
        </is>
      </c>
      <c r="F1078" s="17" t="n">
        <v>2857.58</v>
      </c>
      <c r="G1078" s="18" t="n">
        <v>738.45</v>
      </c>
      <c r="H1078" s="19" t="n">
        <v>0.0048</v>
      </c>
      <c r="I1078" s="20" t="n">
        <v>90</v>
      </c>
      <c r="J1078" s="16" t="inlineStr">
        <is>
          <t>green</t>
        </is>
      </c>
      <c r="K1078" s="20" t="n">
        <v>151</v>
      </c>
      <c r="L1078" s="18" t="n">
        <v>60.05</v>
      </c>
      <c r="M1078" s="18" t="n">
        <v>711.29</v>
      </c>
      <c r="N1078" s="18" t="n">
        <v>656.7</v>
      </c>
      <c r="O1078" s="18" t="n">
        <v>494.37</v>
      </c>
      <c r="P1078" s="18" t="n">
        <v>746</v>
      </c>
      <c r="Q1078" s="18" t="n">
        <v>318.79</v>
      </c>
      <c r="R1078" s="21">
        <f>IF(OR(G1078="",P1078=""),"",G1078/P1078-1)</f>
        <v/>
      </c>
      <c r="S1078" s="19" t="n">
        <v>0.6041</v>
      </c>
      <c r="T1078" s="22" t="n">
        <v>0.0654</v>
      </c>
      <c r="U1078" s="16" t="inlineStr">
        <is>
          <t>Yes</t>
        </is>
      </c>
      <c r="V1078" s="16" t="inlineStr">
        <is>
          <t>Yes</t>
        </is>
      </c>
      <c r="W1078" s="16" t="inlineStr">
        <is>
          <t>Yes</t>
        </is>
      </c>
      <c r="X1078" s="16" t="inlineStr">
        <is>
          <t>Yes</t>
        </is>
      </c>
      <c r="Y1078" s="20" t="n">
        <v>268</v>
      </c>
      <c r="Z1078" s="19" t="n">
        <v>0.3283</v>
      </c>
      <c r="AA1078" s="18" t="n">
        <v>48.6</v>
      </c>
      <c r="AB1078" s="16" t="inlineStr">
        <is>
          <t>Average</t>
        </is>
      </c>
      <c r="AC1078" s="16" t="inlineStr">
        <is>
          <t>No</t>
        </is>
      </c>
      <c r="AD1078" s="19" t="n">
        <v>0.0723</v>
      </c>
      <c r="AE1078" s="19" t="n">
        <v>0.09130000000000001</v>
      </c>
      <c r="AF1078" s="19" t="n">
        <v>0.6723</v>
      </c>
      <c r="AG1078" s="19" t="n">
        <v>0.1067</v>
      </c>
      <c r="AH1078" s="23" t="n">
        <v>0.11</v>
      </c>
      <c r="AI1078" s="23" t="n">
        <v>2.05</v>
      </c>
      <c r="AJ1078" s="19" t="n">
        <v>0.1187</v>
      </c>
    </row>
    <row r="1079">
      <c r="A1079" s="16" t="inlineStr">
        <is>
          <t>SASKEN</t>
        </is>
      </c>
      <c r="B1079" s="16" t="inlineStr">
        <is>
          <t>Sasken Technologies Ltd.</t>
        </is>
      </c>
      <c r="C1079" s="16" t="inlineStr">
        <is>
          <t>IT Consulting &amp; Software</t>
        </is>
      </c>
      <c r="D1079" s="16" t="inlineStr">
        <is>
          <t>Software &amp; Services</t>
        </is>
      </c>
      <c r="E1079" s="16" t="inlineStr">
        <is>
          <t>INE231F01020</t>
        </is>
      </c>
      <c r="F1079" s="17" t="n">
        <v>2857.04</v>
      </c>
      <c r="G1079" s="18" t="n">
        <v>1881.3</v>
      </c>
      <c r="H1079" s="19" t="n">
        <v>-0.0111</v>
      </c>
      <c r="I1079" s="20" t="n">
        <v>70</v>
      </c>
      <c r="J1079" s="16" t="inlineStr">
        <is>
          <t>amber</t>
        </is>
      </c>
      <c r="K1079" s="20" t="n">
        <v>18</v>
      </c>
      <c r="L1079" s="18" t="n">
        <v>44.66</v>
      </c>
      <c r="M1079" s="18" t="n">
        <v>1887.3</v>
      </c>
      <c r="N1079" s="18" t="n">
        <v>1935.81</v>
      </c>
      <c r="O1079" s="18" t="n">
        <v>1574.91</v>
      </c>
      <c r="P1079" s="18" t="n">
        <v>2629.13</v>
      </c>
      <c r="Q1079" s="18" t="n">
        <v>996.29</v>
      </c>
      <c r="R1079" s="21">
        <f>IF(OR(G1079="",P1079=""),"",G1079/P1079-1)</f>
        <v/>
      </c>
      <c r="S1079" s="19" t="n">
        <v>0.5372</v>
      </c>
      <c r="T1079" s="22" t="n">
        <v>0.0349</v>
      </c>
      <c r="U1079" s="16" t="inlineStr">
        <is>
          <t>Yes</t>
        </is>
      </c>
      <c r="V1079" s="16" t="inlineStr">
        <is>
          <t>No</t>
        </is>
      </c>
      <c r="W1079" s="16" t="inlineStr">
        <is>
          <t>No</t>
        </is>
      </c>
      <c r="X1079" s="16" t="inlineStr">
        <is>
          <t>Yes</t>
        </is>
      </c>
      <c r="Y1079" s="20" t="n">
        <v>74</v>
      </c>
      <c r="Z1079" s="19" t="n">
        <v>0.2292</v>
      </c>
      <c r="AA1079" s="18" t="n">
        <v>40</v>
      </c>
      <c r="AB1079" s="16" t="inlineStr">
        <is>
          <t>Weak</t>
        </is>
      </c>
      <c r="AC1079" s="16" t="inlineStr">
        <is>
          <t>No</t>
        </is>
      </c>
      <c r="AD1079" s="19" t="n">
        <v>0.0764</v>
      </c>
      <c r="AE1079" s="19" t="n">
        <v>0.09710000000000001</v>
      </c>
      <c r="AF1079" s="19" t="n">
        <v>-0.1669</v>
      </c>
      <c r="AG1079" s="19" t="n">
        <v>0.4285</v>
      </c>
      <c r="AH1079" s="23" t="n">
        <v>0.03</v>
      </c>
      <c r="AI1079" s="23" t="n">
        <v>15.87</v>
      </c>
      <c r="AJ1079" s="19" t="n">
        <v>0.0024</v>
      </c>
    </row>
    <row r="1080">
      <c r="A1080" s="16" t="inlineStr">
        <is>
          <t>VIMTALABS</t>
        </is>
      </c>
      <c r="B1080" s="16" t="inlineStr">
        <is>
          <t>Vimta Labs Ltd.</t>
        </is>
      </c>
      <c r="C1080" s="16" t="inlineStr">
        <is>
          <t>Healthcare Services</t>
        </is>
      </c>
      <c r="D1080" s="16" t="inlineStr">
        <is>
          <t>Healthcare</t>
        </is>
      </c>
      <c r="E1080" s="16" t="inlineStr">
        <is>
          <t>INE579C01029</t>
        </is>
      </c>
      <c r="F1080" s="17" t="n">
        <v>2840.52</v>
      </c>
      <c r="G1080" s="18" t="n">
        <v>635.65</v>
      </c>
      <c r="H1080" s="19" t="n">
        <v>-0.0255</v>
      </c>
      <c r="I1080" s="20" t="n">
        <v>60</v>
      </c>
      <c r="J1080" s="16" t="inlineStr">
        <is>
          <t>amber</t>
        </is>
      </c>
      <c r="K1080" s="20" t="n">
        <v>34</v>
      </c>
      <c r="L1080" s="18" t="n">
        <v>54.25</v>
      </c>
      <c r="M1080" s="18" t="n">
        <v>638.61</v>
      </c>
      <c r="N1080" s="18" t="n">
        <v>604.61</v>
      </c>
      <c r="O1080" s="18" t="n">
        <v>530.46</v>
      </c>
      <c r="P1080" s="18" t="n">
        <v>873.97</v>
      </c>
      <c r="Q1080" s="18" t="n">
        <v>379.3</v>
      </c>
      <c r="R1080" s="21">
        <f>IF(OR(G1080="",P1080=""),"",G1080/P1080-1)</f>
        <v/>
      </c>
      <c r="S1080" s="19" t="n">
        <v>0.753</v>
      </c>
      <c r="T1080" s="22" t="n">
        <v>-0.004699999999999999</v>
      </c>
      <c r="U1080" s="16" t="inlineStr">
        <is>
          <t>No</t>
        </is>
      </c>
      <c r="V1080" s="16" t="inlineStr">
        <is>
          <t>Yes</t>
        </is>
      </c>
      <c r="W1080" s="16" t="inlineStr">
        <is>
          <t>No</t>
        </is>
      </c>
      <c r="X1080" s="16" t="inlineStr">
        <is>
          <t>Yes</t>
        </is>
      </c>
      <c r="Y1080" s="20" t="n">
        <v>30</v>
      </c>
      <c r="Z1080" s="19" t="n">
        <v>0.1398</v>
      </c>
      <c r="AA1080" s="18" t="n">
        <v>62.98</v>
      </c>
      <c r="AB1080" s="16" t="inlineStr">
        <is>
          <t>Good</t>
        </is>
      </c>
      <c r="AC1080" s="16" t="inlineStr">
        <is>
          <t>No</t>
        </is>
      </c>
      <c r="AD1080" s="19" t="n">
        <v>0.1594</v>
      </c>
      <c r="AE1080" s="19" t="n">
        <v>0.2175</v>
      </c>
      <c r="AF1080" s="19" t="n">
        <v>0.2188</v>
      </c>
      <c r="AG1080" s="19" t="n">
        <v>0.0973</v>
      </c>
      <c r="AH1080" s="23" t="n">
        <v>0.01</v>
      </c>
      <c r="AI1080" s="23" t="n">
        <v>1.28</v>
      </c>
      <c r="AJ1080" s="19" t="n">
        <v>0.0574</v>
      </c>
    </row>
    <row r="1081">
      <c r="A1081" s="16" t="inlineStr">
        <is>
          <t>DDEVPLSTIK</t>
        </is>
      </c>
      <c r="B1081" s="16" t="inlineStr">
        <is>
          <t>Ddev Plastiks Industries Ltd.</t>
        </is>
      </c>
      <c r="C1081" s="16" t="inlineStr">
        <is>
          <t>Plastic Products</t>
        </is>
      </c>
      <c r="D1081" s="16" t="inlineStr">
        <is>
          <t>General Industrials</t>
        </is>
      </c>
      <c r="E1081" s="16" t="inlineStr">
        <is>
          <t>INE0HR601026</t>
        </is>
      </c>
      <c r="F1081" s="17" t="n">
        <v>2825.01</v>
      </c>
      <c r="G1081" s="18" t="n">
        <v>273</v>
      </c>
      <c r="H1081" s="19" t="n">
        <v>0.0018</v>
      </c>
      <c r="I1081" s="20" t="n">
        <v>38</v>
      </c>
      <c r="J1081" s="16" t="inlineStr">
        <is>
          <t>red</t>
        </is>
      </c>
      <c r="K1081" s="20" t="n">
        <v>21</v>
      </c>
      <c r="L1081" s="18" t="n">
        <v>55.73</v>
      </c>
      <c r="M1081" s="18" t="n">
        <v>276.1</v>
      </c>
      <c r="N1081" s="18" t="n">
        <v>280.09</v>
      </c>
      <c r="O1081" s="18" t="n">
        <v>268.19</v>
      </c>
      <c r="P1081" s="18" t="n">
        <v>350.07</v>
      </c>
      <c r="Q1081" s="18" t="n">
        <v>189.35</v>
      </c>
      <c r="R1081" s="21">
        <f>IF(OR(G1081="",P1081=""),"",G1081/P1081-1)</f>
        <v/>
      </c>
      <c r="S1081" s="19" t="n">
        <v>0.2984</v>
      </c>
      <c r="T1081" s="22" t="n">
        <v>-0.006500000000000001</v>
      </c>
      <c r="U1081" s="16" t="inlineStr">
        <is>
          <t>No</t>
        </is>
      </c>
      <c r="V1081" s="16" t="inlineStr">
        <is>
          <t>No</t>
        </is>
      </c>
      <c r="W1081" s="16" t="inlineStr">
        <is>
          <t>No</t>
        </is>
      </c>
      <c r="X1081" s="16" t="inlineStr">
        <is>
          <t>Yes</t>
        </is>
      </c>
      <c r="Y1081" s="20" t="n">
        <v>22</v>
      </c>
      <c r="Z1081" s="19" t="n">
        <v>0.0444</v>
      </c>
      <c r="AA1081" s="18" t="n">
        <v>68.22</v>
      </c>
      <c r="AB1081" s="16" t="inlineStr">
        <is>
          <t>High</t>
        </is>
      </c>
      <c r="AC1081" s="16" t="inlineStr">
        <is>
          <t>No</t>
        </is>
      </c>
      <c r="AD1081" s="19" t="n">
        <v>0.2322</v>
      </c>
      <c r="AE1081" s="19" t="n">
        <v>0.3169</v>
      </c>
      <c r="AF1081" s="19" t="n">
        <v>0.3426</v>
      </c>
      <c r="AG1081" s="19" t="n">
        <v>-0.0572</v>
      </c>
      <c r="AH1081" s="23" t="n">
        <v>0.06</v>
      </c>
      <c r="AI1081" s="23" t="n">
        <v>5.79</v>
      </c>
      <c r="AJ1081" s="19" t="n">
        <v>0.1406</v>
      </c>
    </row>
    <row r="1082">
      <c r="A1082" s="16" t="inlineStr">
        <is>
          <t>RAMCOIND</t>
        </is>
      </c>
      <c r="B1082" s="16" t="inlineStr">
        <is>
          <t>Ramco Industries Ltd.</t>
        </is>
      </c>
      <c r="C1082" s="16" t="inlineStr">
        <is>
          <t>Construction Materials</t>
        </is>
      </c>
      <c r="D1082" s="16" t="inlineStr">
        <is>
          <t>Cement and Construction</t>
        </is>
      </c>
      <c r="E1082" s="16" t="inlineStr">
        <is>
          <t>INE614A01028</t>
        </is>
      </c>
      <c r="F1082" s="17" t="n">
        <v>2807.15</v>
      </c>
      <c r="G1082" s="18" t="n">
        <v>323.25</v>
      </c>
      <c r="H1082" s="19" t="n">
        <v>-0.0023</v>
      </c>
      <c r="I1082" s="20" t="n">
        <v>53</v>
      </c>
      <c r="J1082" s="16" t="inlineStr">
        <is>
          <t>red</t>
        </is>
      </c>
      <c r="K1082" s="20" t="n">
        <v>6</v>
      </c>
      <c r="L1082" s="18" t="n">
        <v>31.94</v>
      </c>
      <c r="M1082" s="18" t="n">
        <v>330.68</v>
      </c>
      <c r="N1082" s="18" t="n">
        <v>343.25</v>
      </c>
      <c r="O1082" s="18" t="n">
        <v>305.96</v>
      </c>
      <c r="P1082" s="18" t="n">
        <v>389.94</v>
      </c>
      <c r="Q1082" s="18" t="n">
        <v>232.99</v>
      </c>
      <c r="R1082" s="21">
        <f>IF(OR(G1082="",P1082=""),"",G1082/P1082-1)</f>
        <v/>
      </c>
      <c r="S1082" s="19" t="n">
        <v>0.1097</v>
      </c>
      <c r="T1082" s="22" t="n">
        <v>0.0039</v>
      </c>
      <c r="U1082" s="16" t="inlineStr">
        <is>
          <t>Yes</t>
        </is>
      </c>
      <c r="V1082" s="16" t="inlineStr">
        <is>
          <t>No</t>
        </is>
      </c>
      <c r="W1082" s="16" t="inlineStr">
        <is>
          <t>No</t>
        </is>
      </c>
      <c r="X1082" s="16" t="inlineStr">
        <is>
          <t>Yes</t>
        </is>
      </c>
      <c r="Y1082" s="20" t="n">
        <v>39</v>
      </c>
      <c r="Z1082" s="19" t="n">
        <v>0.1219</v>
      </c>
      <c r="AA1082" s="18" t="n">
        <v>43.4</v>
      </c>
      <c r="AB1082" s="16" t="inlineStr">
        <is>
          <t>Average</t>
        </is>
      </c>
      <c r="AC1082" s="16" t="inlineStr">
        <is>
          <t>No</t>
        </is>
      </c>
      <c r="AD1082" s="19" t="n">
        <v>0.0455</v>
      </c>
      <c r="AE1082" s="19" t="n">
        <v>0.0369</v>
      </c>
      <c r="AF1082" s="19" t="n">
        <v>0.3987</v>
      </c>
      <c r="AG1082" s="19" t="n">
        <v>0.07190000000000001</v>
      </c>
      <c r="AH1082" s="23" t="n">
        <v>0.04</v>
      </c>
      <c r="AI1082" s="23" t="n">
        <v>3.07</v>
      </c>
      <c r="AJ1082" s="19" t="n">
        <v>0.047</v>
      </c>
    </row>
    <row r="1083">
      <c r="A1083" s="16" t="inlineStr">
        <is>
          <t>CRIZAC</t>
        </is>
      </c>
      <c r="B1083" s="16" t="inlineStr">
        <is>
          <t>Crizac Ltd.</t>
        </is>
      </c>
      <c r="C1083" s="16" t="inlineStr">
        <is>
          <t>Education</t>
        </is>
      </c>
      <c r="D1083" s="16" t="inlineStr">
        <is>
          <t>Diversified Consumer Services</t>
        </is>
      </c>
      <c r="E1083" s="16" t="inlineStr">
        <is>
          <t>INE0S4R01014</t>
        </is>
      </c>
      <c r="F1083" s="17" t="n">
        <v>2804.79</v>
      </c>
      <c r="G1083" s="18" t="n">
        <v>160.29</v>
      </c>
      <c r="H1083" s="19" t="n">
        <v>-0.0122</v>
      </c>
      <c r="I1083" s="20" t="n">
        <v>2</v>
      </c>
      <c r="J1083" s="16" t="inlineStr">
        <is>
          <t>red</t>
        </is>
      </c>
      <c r="K1083" s="20" t="n">
        <v>228</v>
      </c>
      <c r="L1083" s="18" t="n">
        <v>25.33</v>
      </c>
      <c r="M1083" s="18" t="n">
        <v>168.18</v>
      </c>
      <c r="N1083" s="18" t="n">
        <v>185.39</v>
      </c>
      <c r="O1083" s="18" t="n">
        <v>219.78</v>
      </c>
      <c r="P1083" s="18" t="n">
        <v>362.33</v>
      </c>
      <c r="Q1083" s="18" t="n">
        <v>160.29</v>
      </c>
      <c r="R1083" s="21">
        <f>IF(OR(G1083="",P1083=""),"",G1083/P1083-1)</f>
        <v/>
      </c>
      <c r="S1083" s="19" t="n">
        <v>0.884</v>
      </c>
      <c r="T1083" s="22" t="n">
        <v>-0.05139999999999999</v>
      </c>
      <c r="U1083" s="16" t="inlineStr">
        <is>
          <t>No</t>
        </is>
      </c>
      <c r="V1083" s="16" t="inlineStr">
        <is>
          <t>No</t>
        </is>
      </c>
      <c r="W1083" s="16" t="inlineStr">
        <is>
          <t>No</t>
        </is>
      </c>
      <c r="X1083" s="16" t="inlineStr">
        <is>
          <t>No</t>
        </is>
      </c>
      <c r="Y1083" s="20" t="n">
        <v>92</v>
      </c>
      <c r="Z1083" s="19" t="n">
        <v>-0.1565</v>
      </c>
      <c r="AA1083" s="18" t="n">
        <v>84.12</v>
      </c>
      <c r="AB1083" s="16" t="inlineStr">
        <is>
          <t>High</t>
        </is>
      </c>
      <c r="AC1083" s="16" t="inlineStr">
        <is>
          <t>No</t>
        </is>
      </c>
      <c r="AD1083" s="19" t="n">
        <v>0.3435</v>
      </c>
      <c r="AE1083" s="19" t="n">
        <v>0.4822</v>
      </c>
      <c r="AF1083" s="19" t="n">
        <v>0.2591</v>
      </c>
      <c r="AG1083" s="19" t="n">
        <v>0.3024</v>
      </c>
      <c r="AH1083" s="23" t="n">
        <v>0</v>
      </c>
      <c r="AI1083" s="23" t="n">
        <v>24.05</v>
      </c>
      <c r="AJ1083" s="19" t="n">
        <v>0</v>
      </c>
    </row>
    <row r="1084">
      <c r="A1084" s="16" t="inlineStr">
        <is>
          <t>FMGOETZE</t>
        </is>
      </c>
      <c r="B1084" s="16" t="inlineStr">
        <is>
          <t>Federal-Mogul Goetze (India) Ltd.</t>
        </is>
      </c>
      <c r="C1084" s="16" t="inlineStr">
        <is>
          <t>Auto Parts &amp; Equipment</t>
        </is>
      </c>
      <c r="D1084" s="16" t="inlineStr">
        <is>
          <t>Automobiles &amp; Auto Components</t>
        </is>
      </c>
      <c r="E1084" s="16" t="inlineStr">
        <is>
          <t>INE529A01010</t>
        </is>
      </c>
      <c r="F1084" s="17" t="n">
        <v>2789.67</v>
      </c>
      <c r="G1084" s="18" t="n">
        <v>501.45</v>
      </c>
      <c r="H1084" s="19" t="n">
        <v>-0.0351</v>
      </c>
      <c r="I1084" s="20" t="n">
        <v>77</v>
      </c>
      <c r="J1084" s="16" t="inlineStr">
        <is>
          <t>amber</t>
        </is>
      </c>
      <c r="K1084" s="20" t="n">
        <v>1</v>
      </c>
      <c r="L1084" s="18" t="n">
        <v>81.95</v>
      </c>
      <c r="M1084" s="18" t="n">
        <v>504.31</v>
      </c>
      <c r="N1084" s="18" t="n">
        <v>417.45</v>
      </c>
      <c r="O1084" s="18" t="n">
        <v>384.83</v>
      </c>
      <c r="P1084" s="18" t="n">
        <v>529.14</v>
      </c>
      <c r="Q1084" s="18" t="n">
        <v>305.62</v>
      </c>
      <c r="R1084" s="21">
        <f>IF(OR(G1084="",P1084=""),"",G1084/P1084-1)</f>
        <v/>
      </c>
      <c r="S1084" s="19" t="n">
        <v>0.4151</v>
      </c>
      <c r="T1084" s="22" t="n">
        <v>0.008</v>
      </c>
      <c r="U1084" s="16" t="inlineStr">
        <is>
          <t>Yes</t>
        </is>
      </c>
      <c r="V1084" s="16" t="inlineStr">
        <is>
          <t>Yes</t>
        </is>
      </c>
      <c r="W1084" s="16" t="inlineStr">
        <is>
          <t>No</t>
        </is>
      </c>
      <c r="X1084" s="16" t="inlineStr">
        <is>
          <t>Yes</t>
        </is>
      </c>
      <c r="Y1084" s="20" t="n">
        <v>31</v>
      </c>
      <c r="Z1084" s="19" t="n">
        <v>0.0848</v>
      </c>
      <c r="AA1084" s="18" t="n">
        <v>61.49</v>
      </c>
      <c r="AB1084" s="16" t="inlineStr">
        <is>
          <t>Good</t>
        </is>
      </c>
      <c r="AC1084" s="16" t="inlineStr">
        <is>
          <t>No</t>
        </is>
      </c>
      <c r="AD1084" s="19" t="n">
        <v>0.1203</v>
      </c>
      <c r="AE1084" s="19" t="n">
        <v>0.1759</v>
      </c>
      <c r="AF1084" s="19" t="n">
        <v>0.1961</v>
      </c>
      <c r="AG1084" s="19" t="n">
        <v>0.0704</v>
      </c>
      <c r="AH1084" s="23" t="n">
        <v>0</v>
      </c>
      <c r="AI1084" s="23" t="n">
        <v>3.59</v>
      </c>
      <c r="AJ1084" s="19" t="n">
        <v>0.1327</v>
      </c>
    </row>
    <row r="1085">
      <c r="A1085" s="16" t="inlineStr">
        <is>
          <t>DIAMONDYD</t>
        </is>
      </c>
      <c r="B1085" s="16" t="inlineStr">
        <is>
          <t>Prataap Snacks Ltd.</t>
        </is>
      </c>
      <c r="C1085" s="16" t="inlineStr">
        <is>
          <t>Packaged Foods</t>
        </is>
      </c>
      <c r="D1085" s="16" t="inlineStr">
        <is>
          <t>FMCG</t>
        </is>
      </c>
      <c r="E1085" s="16" t="inlineStr">
        <is>
          <t>INE393P01035</t>
        </is>
      </c>
      <c r="F1085" s="17" t="n">
        <v>2771.81</v>
      </c>
      <c r="G1085" s="18" t="n">
        <v>1158.3</v>
      </c>
      <c r="H1085" s="19" t="n">
        <v>-0.0013</v>
      </c>
      <c r="I1085" s="20" t="n">
        <v>56</v>
      </c>
      <c r="J1085" s="16" t="inlineStr">
        <is>
          <t>red</t>
        </is>
      </c>
      <c r="K1085" s="20" t="n">
        <v>5</v>
      </c>
      <c r="L1085" s="18" t="n">
        <v>33.47</v>
      </c>
      <c r="M1085" s="18" t="n">
        <v>1158.79</v>
      </c>
      <c r="N1085" s="18" t="n">
        <v>1167.85</v>
      </c>
      <c r="O1085" s="18" t="n">
        <v>1087.21</v>
      </c>
      <c r="P1085" s="18" t="n">
        <v>1227.4</v>
      </c>
      <c r="Q1085" s="18" t="n">
        <v>879.2</v>
      </c>
      <c r="R1085" s="21">
        <f>IF(OR(G1085="",P1085=""),"",G1085/P1085-1)</f>
        <v/>
      </c>
      <c r="S1085" s="19" t="n">
        <v>0.1033</v>
      </c>
      <c r="T1085" s="22" t="n">
        <v>0.01</v>
      </c>
      <c r="U1085" s="16" t="inlineStr">
        <is>
          <t>Yes</t>
        </is>
      </c>
      <c r="V1085" s="16" t="inlineStr">
        <is>
          <t>No</t>
        </is>
      </c>
      <c r="W1085" s="16" t="inlineStr">
        <is>
          <t>No</t>
        </is>
      </c>
      <c r="X1085" s="16" t="inlineStr">
        <is>
          <t>Yes</t>
        </is>
      </c>
      <c r="Y1085" s="20" t="n">
        <v>51</v>
      </c>
      <c r="Z1085" s="19" t="n">
        <v>0.0742</v>
      </c>
      <c r="AA1085" s="18" t="n">
        <v>38.54</v>
      </c>
      <c r="AB1085" s="16" t="inlineStr">
        <is>
          <t>Weak</t>
        </is>
      </c>
      <c r="AC1085" s="16" t="inlineStr">
        <is>
          <t>No</t>
        </is>
      </c>
      <c r="AD1085" s="19" t="n">
        <v>0.0124</v>
      </c>
      <c r="AE1085" s="19" t="n">
        <v>0.0276</v>
      </c>
      <c r="AF1085" s="19" t="n">
        <v>0.3215999999999999</v>
      </c>
      <c r="AG1085" s="19" t="n">
        <v>0.0153</v>
      </c>
      <c r="AH1085" s="23" t="n">
        <v>0.06</v>
      </c>
      <c r="AI1085" s="23" t="n">
        <v>4.35</v>
      </c>
      <c r="AJ1085" s="19" t="n">
        <v>0.0113</v>
      </c>
    </row>
    <row r="1086">
      <c r="A1086" s="16" t="inlineStr">
        <is>
          <t>STOVEKRAFT</t>
        </is>
      </c>
      <c r="B1086" s="16" t="inlineStr">
        <is>
          <t>Stove Kraft Ltd.</t>
        </is>
      </c>
      <c r="C1086" s="16" t="inlineStr">
        <is>
          <t>Household Appliances</t>
        </is>
      </c>
      <c r="D1086" s="16" t="inlineStr">
        <is>
          <t>Consumer Durables</t>
        </is>
      </c>
      <c r="E1086" s="16" t="inlineStr">
        <is>
          <t>INE00IN01015</t>
        </is>
      </c>
      <c r="F1086" s="17" t="n">
        <v>2756.35</v>
      </c>
      <c r="G1086" s="18" t="n">
        <v>832.55</v>
      </c>
      <c r="H1086" s="19" t="n">
        <v>-0.0044</v>
      </c>
      <c r="I1086" s="20" t="n">
        <v>80</v>
      </c>
      <c r="J1086" s="16" t="inlineStr">
        <is>
          <t>green</t>
        </is>
      </c>
      <c r="K1086" s="20" t="n">
        <v>22</v>
      </c>
      <c r="L1086" s="18" t="n">
        <v>68.22</v>
      </c>
      <c r="M1086" s="18" t="n">
        <v>826.5</v>
      </c>
      <c r="N1086" s="18" t="n">
        <v>784.37</v>
      </c>
      <c r="O1086" s="18" t="n">
        <v>614.97</v>
      </c>
      <c r="P1086" s="18" t="n">
        <v>845.66</v>
      </c>
      <c r="Q1086" s="18" t="n">
        <v>451.61</v>
      </c>
      <c r="R1086" s="21">
        <f>IF(OR(G1086="",P1086=""),"",G1086/P1086-1)</f>
        <v/>
      </c>
      <c r="S1086" s="19" t="n">
        <v>0.2919</v>
      </c>
      <c r="T1086" s="22" t="n">
        <v>0.0177</v>
      </c>
      <c r="U1086" s="16" t="inlineStr">
        <is>
          <t>Yes</t>
        </is>
      </c>
      <c r="V1086" s="16" t="inlineStr">
        <is>
          <t>Yes</t>
        </is>
      </c>
      <c r="W1086" s="16" t="inlineStr">
        <is>
          <t>Yes</t>
        </is>
      </c>
      <c r="X1086" s="16" t="inlineStr">
        <is>
          <t>Yes</t>
        </is>
      </c>
      <c r="Y1086" s="20" t="n">
        <v>54</v>
      </c>
      <c r="Z1086" s="19" t="n">
        <v>0.2755</v>
      </c>
      <c r="AA1086" s="18" t="n">
        <v>38.59</v>
      </c>
      <c r="AB1086" s="16" t="inlineStr">
        <is>
          <t>Weak</t>
        </is>
      </c>
      <c r="AC1086" s="16" t="inlineStr">
        <is>
          <t>No</t>
        </is>
      </c>
      <c r="AD1086" s="19" t="n">
        <v>0.0809</v>
      </c>
      <c r="AE1086" s="19" t="n">
        <v>0.1114</v>
      </c>
      <c r="AF1086" s="19" t="n">
        <v>-0.3072</v>
      </c>
      <c r="AG1086" s="19" t="n">
        <v>0.08539999999999999</v>
      </c>
      <c r="AH1086" s="23" t="n">
        <v>0.12</v>
      </c>
      <c r="AI1086" s="23" t="n">
        <v>2.7</v>
      </c>
      <c r="AJ1086" s="19" t="n">
        <v>0.0249</v>
      </c>
    </row>
    <row r="1087">
      <c r="A1087" s="16" t="inlineStr">
        <is>
          <t>MONOLITH</t>
        </is>
      </c>
      <c r="B1087" s="16" t="inlineStr">
        <is>
          <t>Monolithisch India Ltd.</t>
        </is>
      </c>
      <c r="C1087" s="16" t="inlineStr">
        <is>
          <t>Electrodes &amp; Refractories</t>
        </is>
      </c>
      <c r="D1087" s="16" t="inlineStr">
        <is>
          <t>General Industrials</t>
        </is>
      </c>
      <c r="E1087" s="16" t="inlineStr">
        <is>
          <t>INE1DV401010</t>
        </is>
      </c>
      <c r="F1087" s="17" t="n">
        <v>2751.02</v>
      </c>
      <c r="G1087" s="18" t="n"/>
      <c r="H1087" s="19" t="n"/>
      <c r="I1087" s="20" t="n"/>
      <c r="J1087" s="16" t="n"/>
      <c r="K1087" s="20" t="n"/>
      <c r="L1087" s="18" t="n"/>
      <c r="M1087" s="18" t="n"/>
      <c r="N1087" s="18" t="n"/>
      <c r="O1087" s="18" t="n"/>
      <c r="P1087" s="18" t="n"/>
      <c r="Q1087" s="18" t="n"/>
      <c r="R1087" s="21">
        <f>IF(OR(G1087="",P1087=""),"",G1087/P1087-1)</f>
        <v/>
      </c>
      <c r="S1087" s="19" t="n"/>
      <c r="T1087" s="22" t="n"/>
      <c r="U1087" s="16" t="n"/>
      <c r="V1087" s="16" t="n"/>
      <c r="W1087" s="16" t="n"/>
      <c r="X1087" s="16" t="n"/>
      <c r="Y1087" s="20" t="n"/>
      <c r="Z1087" s="19" t="n"/>
      <c r="AA1087" s="18" t="n"/>
      <c r="AB1087" s="16" t="n"/>
      <c r="AC1087" s="16" t="inlineStr">
        <is>
          <t>No</t>
        </is>
      </c>
      <c r="AD1087" s="19" t="n"/>
      <c r="AE1087" s="19" t="n"/>
      <c r="AF1087" s="19" t="n"/>
      <c r="AG1087" s="19" t="n"/>
      <c r="AH1087" s="23" t="n"/>
      <c r="AI1087" s="23" t="n"/>
      <c r="AJ1087" s="19" t="n"/>
    </row>
    <row r="1088">
      <c r="A1088" s="16" t="inlineStr">
        <is>
          <t>RPSGVENT</t>
        </is>
      </c>
      <c r="B1088" s="16" t="inlineStr">
        <is>
          <t>RPSG Ventures Ltd.</t>
        </is>
      </c>
      <c r="C1088" s="16" t="inlineStr">
        <is>
          <t>IT Consulting &amp; Software</t>
        </is>
      </c>
      <c r="D1088" s="16" t="inlineStr">
        <is>
          <t>Software &amp; Services</t>
        </is>
      </c>
      <c r="E1088" s="16" t="inlineStr">
        <is>
          <t>INE425Y01011</t>
        </is>
      </c>
      <c r="F1088" s="17" t="n">
        <v>2750.8</v>
      </c>
      <c r="G1088" s="18" t="n">
        <v>831.4</v>
      </c>
      <c r="H1088" s="19" t="n">
        <v>-0.0023</v>
      </c>
      <c r="I1088" s="20" t="n">
        <v>45</v>
      </c>
      <c r="J1088" s="16" t="inlineStr">
        <is>
          <t>red</t>
        </is>
      </c>
      <c r="K1088" s="20" t="n">
        <v>24</v>
      </c>
      <c r="L1088" s="18" t="n">
        <v>12.64</v>
      </c>
      <c r="M1088" s="18" t="n">
        <v>847.77</v>
      </c>
      <c r="N1088" s="18" t="n">
        <v>887.54</v>
      </c>
      <c r="O1088" s="18" t="n">
        <v>823.22</v>
      </c>
      <c r="P1088" s="18" t="n">
        <v>1116.45</v>
      </c>
      <c r="Q1088" s="18" t="n">
        <v>559.85</v>
      </c>
      <c r="R1088" s="21">
        <f>IF(OR(G1088="",P1088=""),"",G1088/P1088-1)</f>
        <v/>
      </c>
      <c r="S1088" s="19" t="n">
        <v>0.7926000000000001</v>
      </c>
      <c r="T1088" s="22" t="n">
        <v>0.0043</v>
      </c>
      <c r="U1088" s="16" t="inlineStr">
        <is>
          <t>Yes</t>
        </is>
      </c>
      <c r="V1088" s="16" t="inlineStr">
        <is>
          <t>No</t>
        </is>
      </c>
      <c r="W1088" s="16" t="inlineStr">
        <is>
          <t>No</t>
        </is>
      </c>
      <c r="X1088" s="16" t="inlineStr">
        <is>
          <t>Yes</t>
        </is>
      </c>
      <c r="Y1088" s="20" t="n">
        <v>83</v>
      </c>
      <c r="Z1088" s="19" t="n">
        <v>0.0781</v>
      </c>
      <c r="AA1088" s="18" t="n">
        <v>6.92</v>
      </c>
      <c r="AB1088" s="16" t="inlineStr">
        <is>
          <t>Poor</t>
        </is>
      </c>
      <c r="AC1088" s="16" t="inlineStr">
        <is>
          <t>No</t>
        </is>
      </c>
      <c r="AD1088" s="19" t="n">
        <v>-0.0298</v>
      </c>
      <c r="AE1088" s="19" t="n">
        <v>0.0876</v>
      </c>
      <c r="AF1088" s="19" t="n">
        <v>-0.3728</v>
      </c>
      <c r="AG1088" s="19" t="n">
        <v>0.1655</v>
      </c>
      <c r="AH1088" s="23" t="n">
        <v>3.29</v>
      </c>
      <c r="AI1088" s="23" t="n">
        <v>6.1</v>
      </c>
      <c r="AJ1088" s="19" t="n">
        <v>0.0441</v>
      </c>
    </row>
    <row r="1089">
      <c r="A1089" s="16" t="inlineStr">
        <is>
          <t>HIKAL</t>
        </is>
      </c>
      <c r="B1089" s="16" t="inlineStr">
        <is>
          <t>Hikal Ltd.</t>
        </is>
      </c>
      <c r="C1089" s="16" t="inlineStr">
        <is>
          <t>Pharmaceuticals</t>
        </is>
      </c>
      <c r="D1089" s="16" t="inlineStr">
        <is>
          <t>Pharmaceuticals &amp; Biotechnology</t>
        </is>
      </c>
      <c r="E1089" s="16" t="inlineStr">
        <is>
          <t>INE475B01022</t>
        </is>
      </c>
      <c r="F1089" s="17" t="n">
        <v>2740.98</v>
      </c>
      <c r="G1089" s="18" t="n">
        <v>222.3</v>
      </c>
      <c r="H1089" s="19" t="n">
        <v>-0.0736</v>
      </c>
      <c r="I1089" s="20" t="n">
        <v>53</v>
      </c>
      <c r="J1089" s="16" t="inlineStr">
        <is>
          <t>red</t>
        </is>
      </c>
      <c r="K1089" s="20" t="n">
        <v>1</v>
      </c>
      <c r="L1089" s="18" t="n">
        <v>55.53</v>
      </c>
      <c r="M1089" s="18" t="n">
        <v>209.66</v>
      </c>
      <c r="N1089" s="18" t="n">
        <v>220.19</v>
      </c>
      <c r="O1089" s="18" t="n">
        <v>206.37</v>
      </c>
      <c r="P1089" s="18" t="n">
        <v>269.09</v>
      </c>
      <c r="Q1089" s="18" t="n">
        <v>146.84</v>
      </c>
      <c r="R1089" s="21">
        <f>IF(OR(G1089="",P1089=""),"",G1089/P1089-1)</f>
        <v/>
      </c>
      <c r="S1089" s="19" t="n">
        <v>4.5655</v>
      </c>
      <c r="T1089" s="22" t="n">
        <v>-0.0119</v>
      </c>
      <c r="U1089" s="16" t="inlineStr">
        <is>
          <t>No</t>
        </is>
      </c>
      <c r="V1089" s="16" t="inlineStr">
        <is>
          <t>Yes</t>
        </is>
      </c>
      <c r="W1089" s="16" t="inlineStr">
        <is>
          <t>Yes</t>
        </is>
      </c>
      <c r="X1089" s="16" t="inlineStr">
        <is>
          <t>Yes</t>
        </is>
      </c>
      <c r="Y1089" s="20" t="n">
        <v>31</v>
      </c>
      <c r="Z1089" s="19" t="n">
        <v>0.0669</v>
      </c>
      <c r="AA1089" s="18" t="n">
        <v>18.73</v>
      </c>
      <c r="AB1089" s="16" t="inlineStr">
        <is>
          <t>Poor</t>
        </is>
      </c>
      <c r="AC1089" s="16" t="inlineStr">
        <is>
          <t>No</t>
        </is>
      </c>
      <c r="AD1089" s="19" t="n">
        <v>0.0299</v>
      </c>
      <c r="AE1089" s="19" t="n">
        <v>0.0546</v>
      </c>
      <c r="AF1089" s="19" t="n">
        <v>-0.2694</v>
      </c>
      <c r="AG1089" s="19" t="n">
        <v>-0.052</v>
      </c>
      <c r="AH1089" s="23" t="n">
        <v>0.57</v>
      </c>
      <c r="AI1089" s="23" t="n">
        <v>1.19</v>
      </c>
      <c r="AJ1089" s="19" t="n">
        <v>0.0665</v>
      </c>
    </row>
    <row r="1090">
      <c r="A1090" s="16" t="inlineStr">
        <is>
          <t>CONFIPET</t>
        </is>
      </c>
      <c r="B1090" s="16" t="inlineStr">
        <is>
          <t>Confidence Petroleum India Ltd.</t>
        </is>
      </c>
      <c r="C1090" s="16" t="inlineStr">
        <is>
          <t>Oil Marketing &amp; Distribution</t>
        </is>
      </c>
      <c r="D1090" s="16" t="inlineStr">
        <is>
          <t>Oil &amp; Gas</t>
        </is>
      </c>
      <c r="E1090" s="16" t="inlineStr">
        <is>
          <t>INE552D01024</t>
        </is>
      </c>
      <c r="F1090" s="17" t="n">
        <v>2740.32</v>
      </c>
      <c r="G1090" s="18" t="n">
        <v>82.48</v>
      </c>
      <c r="H1090" s="19" t="n">
        <v>-0.0214</v>
      </c>
      <c r="I1090" s="20" t="n">
        <v>93</v>
      </c>
      <c r="J1090" s="16" t="inlineStr">
        <is>
          <t>green</t>
        </is>
      </c>
      <c r="K1090" s="20" t="n">
        <v>110</v>
      </c>
      <c r="L1090" s="18" t="n">
        <v>67.59</v>
      </c>
      <c r="M1090" s="18" t="n">
        <v>81.2</v>
      </c>
      <c r="N1090" s="18" t="n">
        <v>76.65000000000001</v>
      </c>
      <c r="O1090" s="18" t="n">
        <v>53.32</v>
      </c>
      <c r="P1090" s="18" t="n">
        <v>84.28</v>
      </c>
      <c r="Q1090" s="18" t="n">
        <v>28.81</v>
      </c>
      <c r="R1090" s="21">
        <f>IF(OR(G1090="",P1090=""),"",G1090/P1090-1)</f>
        <v/>
      </c>
      <c r="S1090" s="19" t="n">
        <v>0.617</v>
      </c>
      <c r="T1090" s="22" t="n">
        <v>0.0722</v>
      </c>
      <c r="U1090" s="16" t="inlineStr">
        <is>
          <t>Yes</t>
        </is>
      </c>
      <c r="V1090" s="16" t="inlineStr">
        <is>
          <t>Yes</t>
        </is>
      </c>
      <c r="W1090" s="16" t="inlineStr">
        <is>
          <t>Yes</t>
        </is>
      </c>
      <c r="X1090" s="16" t="inlineStr">
        <is>
          <t>Yes</t>
        </is>
      </c>
      <c r="Y1090" s="20" t="n">
        <v>90</v>
      </c>
      <c r="Z1090" s="19" t="n">
        <v>0.4375</v>
      </c>
      <c r="AA1090" s="18" t="n">
        <v>38.43</v>
      </c>
      <c r="AB1090" s="16" t="inlineStr">
        <is>
          <t>Weak</t>
        </is>
      </c>
      <c r="AC1090" s="16" t="inlineStr">
        <is>
          <t>No</t>
        </is>
      </c>
      <c r="AD1090" s="19" t="n">
        <v>0.0721</v>
      </c>
      <c r="AE1090" s="19" t="n">
        <v>0.1012</v>
      </c>
      <c r="AF1090" s="19" t="n">
        <v>-0.3445</v>
      </c>
      <c r="AG1090" s="19" t="n">
        <v>0.2951</v>
      </c>
      <c r="AH1090" s="23" t="n">
        <v>0.54</v>
      </c>
      <c r="AI1090" s="23" t="n">
        <v>4.56</v>
      </c>
      <c r="AJ1090" s="19" t="n">
        <v>0.0269</v>
      </c>
    </row>
    <row r="1091">
      <c r="A1091" s="16" t="inlineStr">
        <is>
          <t>UFBL</t>
        </is>
      </c>
      <c r="B1091" s="16" t="inlineStr">
        <is>
          <t>United Foodbrands Ltd.</t>
        </is>
      </c>
      <c r="C1091" s="16" t="inlineStr">
        <is>
          <t>Restaurants</t>
        </is>
      </c>
      <c r="D1091" s="16" t="inlineStr">
        <is>
          <t>Hotels Restaurants &amp; Tourism</t>
        </is>
      </c>
      <c r="E1091" s="16" t="inlineStr">
        <is>
          <t>INE382M01027</t>
        </is>
      </c>
      <c r="F1091" s="17" t="n">
        <v>2739.61</v>
      </c>
      <c r="G1091" s="18" t="n">
        <v>700.35</v>
      </c>
      <c r="H1091" s="19" t="n">
        <v>-0.0262</v>
      </c>
      <c r="I1091" s="20" t="n">
        <v>97</v>
      </c>
      <c r="J1091" s="16" t="inlineStr">
        <is>
          <t>green</t>
        </is>
      </c>
      <c r="K1091" s="20" t="n">
        <v>104</v>
      </c>
      <c r="L1091" s="18" t="n">
        <v>40.59</v>
      </c>
      <c r="M1091" s="18" t="n">
        <v>728.47</v>
      </c>
      <c r="N1091" s="18" t="n">
        <v>729.9</v>
      </c>
      <c r="O1091" s="18" t="n">
        <v>405.7</v>
      </c>
      <c r="P1091" s="18" t="n">
        <v>837.95</v>
      </c>
      <c r="Q1091" s="18" t="n">
        <v>173.89</v>
      </c>
      <c r="R1091" s="21">
        <f>IF(OR(G1091="",P1091=""),"",G1091/P1091-1)</f>
        <v/>
      </c>
      <c r="S1091" s="19" t="n">
        <v>0.6198</v>
      </c>
      <c r="T1091" s="22" t="n">
        <v>0.1612</v>
      </c>
      <c r="U1091" s="16" t="inlineStr">
        <is>
          <t>Yes</t>
        </is>
      </c>
      <c r="V1091" s="16" t="inlineStr">
        <is>
          <t>No</t>
        </is>
      </c>
      <c r="W1091" s="16" t="inlineStr">
        <is>
          <t>No</t>
        </is>
      </c>
      <c r="X1091" s="16" t="inlineStr">
        <is>
          <t>Yes</t>
        </is>
      </c>
      <c r="Y1091" s="20" t="n">
        <v>102</v>
      </c>
      <c r="Z1091" s="19" t="n">
        <v>0.7990999999999999</v>
      </c>
      <c r="AA1091" s="18" t="n">
        <v>0</v>
      </c>
      <c r="AB1091" s="16" t="inlineStr">
        <is>
          <t>Poor</t>
        </is>
      </c>
      <c r="AC1091" s="16" t="inlineStr">
        <is>
          <t>No</t>
        </is>
      </c>
      <c r="AD1091" s="19" t="n">
        <v>-0.1004</v>
      </c>
      <c r="AE1091" s="19" t="n">
        <v>0.0384</v>
      </c>
      <c r="AF1091" s="19" t="n">
        <v>-1.3304</v>
      </c>
      <c r="AG1091" s="19" t="n">
        <v>0.0291</v>
      </c>
      <c r="AH1091" s="23" t="n">
        <v>2.85</v>
      </c>
      <c r="AI1091" s="23" t="n">
        <v>1.26</v>
      </c>
      <c r="AJ1091" s="19" t="n">
        <v>0.0128</v>
      </c>
    </row>
    <row r="1092">
      <c r="A1092" s="16" t="inlineStr">
        <is>
          <t>DCAL</t>
        </is>
      </c>
      <c r="B1092" s="16" t="inlineStr">
        <is>
          <t>Dishman Carbogen Amcis Ltd.</t>
        </is>
      </c>
      <c r="C1092" s="16" t="inlineStr">
        <is>
          <t>Pharmaceuticals</t>
        </is>
      </c>
      <c r="D1092" s="16" t="inlineStr">
        <is>
          <t>Pharmaceuticals &amp; Biotechnology</t>
        </is>
      </c>
      <c r="E1092" s="16" t="inlineStr">
        <is>
          <t>INE385W01011</t>
        </is>
      </c>
      <c r="F1092" s="17" t="n">
        <v>2733.98</v>
      </c>
      <c r="G1092" s="18" t="n">
        <v>174.38</v>
      </c>
      <c r="H1092" s="19" t="n">
        <v>-0.0147</v>
      </c>
      <c r="I1092" s="20" t="n">
        <v>14</v>
      </c>
      <c r="J1092" s="16" t="inlineStr">
        <is>
          <t>red</t>
        </is>
      </c>
      <c r="K1092" s="20" t="n">
        <v>157</v>
      </c>
      <c r="L1092" s="18" t="n">
        <v>47.93</v>
      </c>
      <c r="M1092" s="18" t="n">
        <v>176.96</v>
      </c>
      <c r="N1092" s="18" t="n">
        <v>185.05</v>
      </c>
      <c r="O1092" s="18" t="n">
        <v>195.88</v>
      </c>
      <c r="P1092" s="18" t="n">
        <v>314.4</v>
      </c>
      <c r="Q1092" s="18" t="n">
        <v>129.97</v>
      </c>
      <c r="R1092" s="21">
        <f>IF(OR(G1092="",P1092=""),"",G1092/P1092-1)</f>
        <v/>
      </c>
      <c r="S1092" s="19" t="n">
        <v>0.3426</v>
      </c>
      <c r="T1092" s="22" t="n">
        <v>-0.0457</v>
      </c>
      <c r="U1092" s="16" t="inlineStr">
        <is>
          <t>No</t>
        </is>
      </c>
      <c r="V1092" s="16" t="inlineStr">
        <is>
          <t>No</t>
        </is>
      </c>
      <c r="W1092" s="16" t="inlineStr">
        <is>
          <t>No</t>
        </is>
      </c>
      <c r="X1092" s="16" t="inlineStr">
        <is>
          <t>No</t>
        </is>
      </c>
      <c r="Y1092" s="20" t="n">
        <v>168</v>
      </c>
      <c r="Z1092" s="19" t="n">
        <v>-0.0553</v>
      </c>
      <c r="AA1092" s="18" t="n">
        <v>34.14</v>
      </c>
      <c r="AB1092" s="16" t="inlineStr">
        <is>
          <t>Poor</t>
        </is>
      </c>
      <c r="AC1092" s="16" t="inlineStr">
        <is>
          <t>No</t>
        </is>
      </c>
      <c r="AD1092" s="19" t="n">
        <v>-0.004</v>
      </c>
      <c r="AE1092" s="19" t="n">
        <v>0.0164</v>
      </c>
      <c r="AF1092" s="19" t="n">
        <v>8.496</v>
      </c>
      <c r="AG1092" s="19" t="n">
        <v>0.08199999999999999</v>
      </c>
      <c r="AH1092" s="23" t="n">
        <v>0.46</v>
      </c>
      <c r="AI1092" s="23" t="n">
        <v>0.85</v>
      </c>
      <c r="AJ1092" s="19" t="n">
        <v>0.0799</v>
      </c>
    </row>
    <row r="1093">
      <c r="A1093" s="16" t="inlineStr">
        <is>
          <t>GATEWAY</t>
        </is>
      </c>
      <c r="B1093" s="16" t="inlineStr">
        <is>
          <t>Gateway Distriparks Ltd.</t>
        </is>
      </c>
      <c r="C1093" s="16" t="inlineStr">
        <is>
          <t>Warehousing &amp; Logistics</t>
        </is>
      </c>
      <c r="D1093" s="16" t="inlineStr">
        <is>
          <t>Transportation</t>
        </is>
      </c>
      <c r="E1093" s="16" t="inlineStr">
        <is>
          <t>INE079J01017</t>
        </is>
      </c>
      <c r="F1093" s="17" t="n">
        <v>2732.55</v>
      </c>
      <c r="G1093" s="18" t="n">
        <v>54.69</v>
      </c>
      <c r="H1093" s="19" t="n">
        <v>0.0035</v>
      </c>
      <c r="I1093" s="20" t="n">
        <v>30</v>
      </c>
      <c r="J1093" s="16" t="inlineStr">
        <is>
          <t>red</t>
        </is>
      </c>
      <c r="K1093" s="20" t="n">
        <v>104</v>
      </c>
      <c r="L1093" s="18" t="n">
        <v>47.1</v>
      </c>
      <c r="M1093" s="18" t="n">
        <v>53.72</v>
      </c>
      <c r="N1093" s="18" t="n">
        <v>56.1</v>
      </c>
      <c r="O1093" s="18" t="n">
        <v>55.99</v>
      </c>
      <c r="P1093" s="18" t="n">
        <v>62.42</v>
      </c>
      <c r="Q1093" s="18" t="n">
        <v>47.44</v>
      </c>
      <c r="R1093" s="21">
        <f>IF(OR(G1093="",P1093=""),"",G1093/P1093-1)</f>
        <v/>
      </c>
      <c r="S1093" s="19" t="n">
        <v>0.2844</v>
      </c>
      <c r="T1093" s="22" t="n">
        <v>-0.008</v>
      </c>
      <c r="U1093" s="16" t="inlineStr">
        <is>
          <t>No</t>
        </is>
      </c>
      <c r="V1093" s="16" t="inlineStr">
        <is>
          <t>No</t>
        </is>
      </c>
      <c r="W1093" s="16" t="inlineStr">
        <is>
          <t>Yes</t>
        </is>
      </c>
      <c r="X1093" s="16" t="inlineStr">
        <is>
          <t>Yes</t>
        </is>
      </c>
      <c r="Y1093" s="20" t="n">
        <v>45</v>
      </c>
      <c r="Z1093" s="19" t="n">
        <v>0.0019</v>
      </c>
      <c r="AA1093" s="18" t="n">
        <v>45.71</v>
      </c>
      <c r="AB1093" s="16" t="inlineStr">
        <is>
          <t>Average</t>
        </is>
      </c>
      <c r="AC1093" s="16" t="inlineStr">
        <is>
          <t>No</t>
        </is>
      </c>
      <c r="AD1093" s="19" t="n">
        <v>0.1375</v>
      </c>
      <c r="AE1093" s="19" t="n">
        <v>0.1307</v>
      </c>
      <c r="AF1093" s="19" t="n">
        <v>0.06860000000000001</v>
      </c>
      <c r="AG1093" s="19" t="n">
        <v>0.1643</v>
      </c>
      <c r="AH1093" s="23" t="n">
        <v>0.28</v>
      </c>
      <c r="AI1093" s="23" t="n">
        <v>1.01</v>
      </c>
      <c r="AJ1093" s="19" t="n">
        <v>0.0134</v>
      </c>
    </row>
    <row r="1094">
      <c r="A1094" s="16" t="inlineStr">
        <is>
          <t>COLAB</t>
        </is>
      </c>
      <c r="B1094" s="16" t="inlineStr">
        <is>
          <t>Colab Platforms Ltd.</t>
        </is>
      </c>
      <c r="C1094" s="16" t="inlineStr">
        <is>
          <t>Other Financial Services</t>
        </is>
      </c>
      <c r="D1094" s="16" t="inlineStr">
        <is>
          <t>Banking and Finance</t>
        </is>
      </c>
      <c r="E1094" s="16" t="inlineStr">
        <is>
          <t>INE317W01030</t>
        </is>
      </c>
      <c r="F1094" s="17" t="n">
        <v>2727.48</v>
      </c>
      <c r="G1094" s="18" t="n">
        <v>133.7</v>
      </c>
      <c r="H1094" s="19" t="n">
        <v>0</v>
      </c>
      <c r="I1094" s="20" t="n">
        <v>31</v>
      </c>
      <c r="J1094" s="16" t="inlineStr">
        <is>
          <t>red</t>
        </is>
      </c>
      <c r="K1094" s="20" t="n">
        <v>20</v>
      </c>
      <c r="L1094" s="18" t="n">
        <v>0</v>
      </c>
      <c r="M1094" s="18" t="n">
        <v>134.21</v>
      </c>
      <c r="N1094" s="18" t="n">
        <v>139.85</v>
      </c>
      <c r="O1094" s="18" t="n">
        <v>164.13</v>
      </c>
      <c r="P1094" s="18" t="n">
        <v>204.6</v>
      </c>
      <c r="Q1094" s="18" t="n">
        <v>87.7</v>
      </c>
      <c r="R1094" s="21">
        <f>IF(OR(G1094="",P1094=""),"",G1094/P1094-1)</f>
        <v/>
      </c>
      <c r="S1094" s="19" t="n">
        <v>0</v>
      </c>
      <c r="T1094" s="22" t="n">
        <v>-0.0326</v>
      </c>
      <c r="U1094" s="16" t="inlineStr">
        <is>
          <t>No</t>
        </is>
      </c>
      <c r="V1094" s="16" t="inlineStr">
        <is>
          <t>No</t>
        </is>
      </c>
      <c r="W1094" s="16" t="inlineStr">
        <is>
          <t>No</t>
        </is>
      </c>
      <c r="X1094" s="16" t="inlineStr">
        <is>
          <t>No</t>
        </is>
      </c>
      <c r="Y1094" s="20" t="n">
        <v>68</v>
      </c>
      <c r="Z1094" s="19" t="n">
        <v>-0.1479</v>
      </c>
      <c r="AA1094" s="18" t="n"/>
      <c r="AB1094" s="16" t="n"/>
      <c r="AC1094" s="16" t="inlineStr">
        <is>
          <t>No</t>
        </is>
      </c>
      <c r="AD1094" s="19" t="n"/>
      <c r="AE1094" s="19" t="n"/>
      <c r="AF1094" s="19" t="n"/>
      <c r="AG1094" s="19" t="n"/>
      <c r="AH1094" s="23" t="n"/>
      <c r="AI1094" s="23" t="n"/>
      <c r="AJ1094" s="19" t="n"/>
    </row>
    <row r="1095">
      <c r="A1095" s="16" t="inlineStr">
        <is>
          <t>MUFIN</t>
        </is>
      </c>
      <c r="B1095" s="16" t="inlineStr">
        <is>
          <t>Mufin Green Finance Ltd.</t>
        </is>
      </c>
      <c r="C1095" s="16" t="inlineStr">
        <is>
          <t>Finance (including NBFCs)</t>
        </is>
      </c>
      <c r="D1095" s="16" t="inlineStr">
        <is>
          <t>Banking and Finance</t>
        </is>
      </c>
      <c r="E1095" s="16" t="inlineStr">
        <is>
          <t>INE08KJ01020</t>
        </is>
      </c>
      <c r="F1095" s="17" t="n">
        <v>2725.92</v>
      </c>
      <c r="G1095" s="18" t="n">
        <v>137.56</v>
      </c>
      <c r="H1095" s="19" t="n">
        <v>0.004699999999999999</v>
      </c>
      <c r="I1095" s="20" t="n">
        <v>74</v>
      </c>
      <c r="J1095" s="16" t="inlineStr">
        <is>
          <t>amber</t>
        </is>
      </c>
      <c r="K1095" s="20" t="n">
        <v>42</v>
      </c>
      <c r="L1095" s="18" t="n">
        <v>54.81</v>
      </c>
      <c r="M1095" s="18" t="n">
        <v>136.41</v>
      </c>
      <c r="N1095" s="18" t="n">
        <v>132.85</v>
      </c>
      <c r="O1095" s="18" t="n">
        <v>118.91</v>
      </c>
      <c r="P1095" s="18" t="n">
        <v>139.51</v>
      </c>
      <c r="Q1095" s="18" t="n">
        <v>83.73</v>
      </c>
      <c r="R1095" s="21">
        <f>IF(OR(G1095="",P1095=""),"",G1095/P1095-1)</f>
        <v/>
      </c>
      <c r="S1095" s="19" t="n">
        <v>0.9882</v>
      </c>
      <c r="T1095" s="22" t="n">
        <v>0.0237</v>
      </c>
      <c r="U1095" s="16" t="inlineStr">
        <is>
          <t>Yes</t>
        </is>
      </c>
      <c r="V1095" s="16" t="inlineStr">
        <is>
          <t>Yes</t>
        </is>
      </c>
      <c r="W1095" s="16" t="inlineStr">
        <is>
          <t>Yes</t>
        </is>
      </c>
      <c r="X1095" s="16" t="inlineStr">
        <is>
          <t>Yes</t>
        </is>
      </c>
      <c r="Y1095" s="20" t="n">
        <v>250</v>
      </c>
      <c r="Z1095" s="19" t="n">
        <v>0.1173</v>
      </c>
      <c r="AA1095" s="18" t="n">
        <v>33.14</v>
      </c>
      <c r="AB1095" s="16" t="inlineStr">
        <is>
          <t>Poor</t>
        </is>
      </c>
      <c r="AC1095" s="16" t="inlineStr">
        <is>
          <t>Yes</t>
        </is>
      </c>
      <c r="AD1095" s="19" t="n">
        <v>0.0626</v>
      </c>
      <c r="AE1095" s="19" t="n">
        <v>0.0228</v>
      </c>
      <c r="AF1095" s="19" t="n">
        <v>-0.0283</v>
      </c>
      <c r="AG1095" s="19" t="n">
        <v>0.9598</v>
      </c>
      <c r="AH1095" s="23" t="n">
        <v>2.43</v>
      </c>
      <c r="AI1095" s="23" t="n">
        <v>28.67</v>
      </c>
      <c r="AJ1095" s="19" t="n">
        <v>0</v>
      </c>
    </row>
    <row r="1096">
      <c r="A1096" s="16" t="inlineStr">
        <is>
          <t>YASHHV</t>
        </is>
      </c>
      <c r="B1096" s="16" t="inlineStr">
        <is>
          <t>Yash Highvoltage Ltd.</t>
        </is>
      </c>
      <c r="C1096" s="16" t="inlineStr">
        <is>
          <t>Heavy Electrical Equipment</t>
        </is>
      </c>
      <c r="D1096" s="16" t="inlineStr">
        <is>
          <t>General Industrials</t>
        </is>
      </c>
      <c r="E1096" s="16" t="inlineStr">
        <is>
          <t>INE00GK01023</t>
        </is>
      </c>
      <c r="F1096" s="17" t="n">
        <v>2719.81</v>
      </c>
      <c r="G1096" s="18" t="n">
        <v>950.65</v>
      </c>
      <c r="H1096" s="19" t="n">
        <v>-0.0199</v>
      </c>
      <c r="I1096" s="20" t="n">
        <v>92</v>
      </c>
      <c r="J1096" s="16" t="inlineStr">
        <is>
          <t>green</t>
        </is>
      </c>
      <c r="K1096" s="20" t="n">
        <v>161</v>
      </c>
      <c r="L1096" s="18" t="n">
        <v>60.34</v>
      </c>
      <c r="M1096" s="18" t="n">
        <v>959.11</v>
      </c>
      <c r="N1096" s="18" t="n">
        <v>929.23</v>
      </c>
      <c r="O1096" s="18" t="n">
        <v>638.3</v>
      </c>
      <c r="P1096" s="18" t="n">
        <v>1002.17</v>
      </c>
      <c r="Q1096" s="18" t="n">
        <v>368.54</v>
      </c>
      <c r="R1096" s="21">
        <f>IF(OR(G1096="",P1096=""),"",G1096/P1096-1)</f>
        <v/>
      </c>
      <c r="S1096" s="19" t="n">
        <v>1.2117</v>
      </c>
      <c r="T1096" s="22" t="n">
        <v>0.0728</v>
      </c>
      <c r="U1096" s="16" t="inlineStr">
        <is>
          <t>Yes</t>
        </is>
      </c>
      <c r="V1096" s="16" t="inlineStr">
        <is>
          <t>Yes</t>
        </is>
      </c>
      <c r="W1096" s="16" t="inlineStr">
        <is>
          <t>No</t>
        </is>
      </c>
      <c r="X1096" s="16" t="inlineStr">
        <is>
          <t>Yes</t>
        </is>
      </c>
      <c r="Y1096" s="20" t="n">
        <v>96</v>
      </c>
      <c r="Z1096" s="19" t="n">
        <v>0.4558</v>
      </c>
      <c r="AA1096" s="18" t="n"/>
      <c r="AB1096" s="16" t="n"/>
      <c r="AC1096" s="16" t="inlineStr">
        <is>
          <t>No</t>
        </is>
      </c>
      <c r="AD1096" s="19" t="n"/>
      <c r="AE1096" s="19" t="n"/>
      <c r="AF1096" s="19" t="n"/>
      <c r="AG1096" s="19" t="n"/>
      <c r="AH1096" s="23" t="n"/>
      <c r="AI1096" s="23" t="n"/>
      <c r="AJ1096" s="19" t="n"/>
    </row>
    <row r="1097">
      <c r="A1097" s="16" t="inlineStr">
        <is>
          <t>PATELENG</t>
        </is>
      </c>
      <c r="B1097" s="16" t="inlineStr">
        <is>
          <t>Patel Engineering Ltd.</t>
        </is>
      </c>
      <c r="C1097" s="16" t="inlineStr">
        <is>
          <t>Construction &amp; Engineering</t>
        </is>
      </c>
      <c r="D1097" s="16" t="inlineStr">
        <is>
          <t>Cement and Construction</t>
        </is>
      </c>
      <c r="E1097" s="16" t="inlineStr">
        <is>
          <t>INE244B01030</t>
        </is>
      </c>
      <c r="F1097" s="17" t="n">
        <v>2706.56</v>
      </c>
      <c r="G1097" s="18" t="n">
        <v>27.28</v>
      </c>
      <c r="H1097" s="19" t="n">
        <v>0.0063</v>
      </c>
      <c r="I1097" s="20" t="n">
        <v>23</v>
      </c>
      <c r="J1097" s="16" t="inlineStr">
        <is>
          <t>red</t>
        </is>
      </c>
      <c r="K1097" s="20" t="n">
        <v>46</v>
      </c>
      <c r="L1097" s="18" t="n">
        <v>36.96</v>
      </c>
      <c r="M1097" s="18" t="n">
        <v>27.89</v>
      </c>
      <c r="N1097" s="18" t="n">
        <v>29.58</v>
      </c>
      <c r="O1097" s="18" t="n">
        <v>28.66</v>
      </c>
      <c r="P1097" s="18" t="n">
        <v>40.66</v>
      </c>
      <c r="Q1097" s="18" t="n">
        <v>22.2</v>
      </c>
      <c r="R1097" s="21">
        <f>IF(OR(G1097="",P1097=""),"",G1097/P1097-1)</f>
        <v/>
      </c>
      <c r="S1097" s="19" t="n">
        <v>0.7145</v>
      </c>
      <c r="T1097" s="22" t="n">
        <v>-0.0268</v>
      </c>
      <c r="U1097" s="16" t="inlineStr">
        <is>
          <t>No</t>
        </is>
      </c>
      <c r="V1097" s="16" t="inlineStr">
        <is>
          <t>No</t>
        </is>
      </c>
      <c r="W1097" s="16" t="inlineStr">
        <is>
          <t>No</t>
        </is>
      </c>
      <c r="X1097" s="16" t="inlineStr">
        <is>
          <t>Yes</t>
        </is>
      </c>
      <c r="Y1097" s="20" t="n">
        <v>27</v>
      </c>
      <c r="Z1097" s="19" t="n">
        <v>0.03240000000000001</v>
      </c>
      <c r="AA1097" s="18" t="n">
        <v>44.04</v>
      </c>
      <c r="AB1097" s="16" t="inlineStr">
        <is>
          <t>Average</t>
        </is>
      </c>
      <c r="AC1097" s="16" t="inlineStr">
        <is>
          <t>No</t>
        </is>
      </c>
      <c r="AD1097" s="19" t="n">
        <v>0.0727</v>
      </c>
      <c r="AE1097" s="19" t="n">
        <v>0.1204</v>
      </c>
      <c r="AF1097" s="19" t="n">
        <v>0.1001</v>
      </c>
      <c r="AG1097" s="19" t="n">
        <v>0.1211</v>
      </c>
      <c r="AH1097" s="23" t="n">
        <v>0.27</v>
      </c>
      <c r="AI1097" s="23" t="n">
        <v>3.54</v>
      </c>
      <c r="AJ1097" s="19" t="n">
        <v>0.08749999999999999</v>
      </c>
    </row>
    <row r="1098">
      <c r="A1098" s="16" t="inlineStr">
        <is>
          <t>DOLPHIN</t>
        </is>
      </c>
      <c r="B1098" s="16" t="inlineStr">
        <is>
          <t>Dolphin Offshore Enterprises (India) Ltd.</t>
        </is>
      </c>
      <c r="C1098" s="16" t="inlineStr">
        <is>
          <t>Oil Equipment &amp; Services</t>
        </is>
      </c>
      <c r="D1098" s="16" t="inlineStr">
        <is>
          <t>Oil &amp; Gas</t>
        </is>
      </c>
      <c r="E1098" s="16" t="inlineStr">
        <is>
          <t>INE920A01037</t>
        </is>
      </c>
      <c r="F1098" s="17" t="n">
        <v>2696.31</v>
      </c>
      <c r="G1098" s="18" t="n">
        <v>674</v>
      </c>
      <c r="H1098" s="19" t="n">
        <v>0.08779999999999999</v>
      </c>
      <c r="I1098" s="20" t="n">
        <v>91</v>
      </c>
      <c r="J1098" s="16" t="inlineStr">
        <is>
          <t>green</t>
        </is>
      </c>
      <c r="K1098" s="20" t="n">
        <v>15</v>
      </c>
      <c r="L1098" s="18" t="n">
        <v>68.90000000000001</v>
      </c>
      <c r="M1098" s="18" t="n">
        <v>614.71</v>
      </c>
      <c r="N1098" s="18" t="n">
        <v>461.76</v>
      </c>
      <c r="O1098" s="18" t="n">
        <v>421.62</v>
      </c>
      <c r="P1098" s="18" t="n">
        <v>674</v>
      </c>
      <c r="Q1098" s="18" t="n">
        <v>332.9</v>
      </c>
      <c r="R1098" s="21">
        <f>IF(OR(G1098="",P1098=""),"",G1098/P1098-1)</f>
        <v/>
      </c>
      <c r="S1098" s="19" t="n">
        <v>1.5599</v>
      </c>
      <c r="T1098" s="22" t="n">
        <v>0.0475</v>
      </c>
      <c r="U1098" s="16" t="inlineStr">
        <is>
          <t>Yes</t>
        </is>
      </c>
      <c r="V1098" s="16" t="inlineStr">
        <is>
          <t>Yes</t>
        </is>
      </c>
      <c r="W1098" s="16" t="inlineStr">
        <is>
          <t>Yes</t>
        </is>
      </c>
      <c r="X1098" s="16" t="inlineStr">
        <is>
          <t>Yes</t>
        </is>
      </c>
      <c r="Y1098" s="20" t="n">
        <v>12</v>
      </c>
      <c r="Z1098" s="19" t="n">
        <v>0.09519999999999999</v>
      </c>
      <c r="AA1098" s="18" t="n">
        <v>48.47</v>
      </c>
      <c r="AB1098" s="16" t="inlineStr">
        <is>
          <t>Average</t>
        </is>
      </c>
      <c r="AC1098" s="16" t="inlineStr">
        <is>
          <t>No</t>
        </is>
      </c>
      <c r="AD1098" s="19" t="n">
        <v>0.1299</v>
      </c>
      <c r="AE1098" s="19" t="n">
        <v>0.0834</v>
      </c>
      <c r="AF1098" s="19" t="n">
        <v>2.0434</v>
      </c>
      <c r="AG1098" s="19" t="n">
        <v>5.506699999999999</v>
      </c>
      <c r="AH1098" s="23" t="n">
        <v>0.57</v>
      </c>
      <c r="AI1098" s="23" t="n">
        <v>0.38</v>
      </c>
      <c r="AJ1098" s="19" t="n">
        <v>0</v>
      </c>
    </row>
    <row r="1099">
      <c r="A1099" s="16" t="inlineStr">
        <is>
          <t>EUROPRATIK</t>
        </is>
      </c>
      <c r="B1099" s="16" t="inlineStr">
        <is>
          <t>Euro Pratik Sales Ltd.</t>
        </is>
      </c>
      <c r="C1099" s="16" t="inlineStr">
        <is>
          <t>Furniture-Furnishing</t>
        </is>
      </c>
      <c r="D1099" s="16" t="inlineStr">
        <is>
          <t>Diversified Consumer Services</t>
        </is>
      </c>
      <c r="E1099" s="16" t="inlineStr">
        <is>
          <t>INE198501012</t>
        </is>
      </c>
      <c r="F1099" s="17" t="n">
        <v>2695.52</v>
      </c>
      <c r="G1099" s="18" t="n">
        <v>263.75</v>
      </c>
      <c r="H1099" s="19" t="n">
        <v>-0.0122</v>
      </c>
      <c r="I1099" s="20" t="n">
        <v>33</v>
      </c>
      <c r="J1099" s="16" t="inlineStr">
        <is>
          <t>red</t>
        </is>
      </c>
      <c r="K1099" s="20" t="n">
        <v>19</v>
      </c>
      <c r="L1099" s="18" t="n">
        <v>34.15</v>
      </c>
      <c r="M1099" s="18" t="n">
        <v>260.66</v>
      </c>
      <c r="N1099" s="18" t="n">
        <v>292.88</v>
      </c>
      <c r="O1099" s="18" t="n">
        <v>274.4</v>
      </c>
      <c r="P1099" s="18" t="n">
        <v>381.47</v>
      </c>
      <c r="Q1099" s="18" t="n">
        <v>210.15</v>
      </c>
      <c r="R1099" s="21">
        <f>IF(OR(G1099="",P1099=""),"",G1099/P1099-1)</f>
        <v/>
      </c>
      <c r="S1099" s="19" t="n">
        <v>0.9931</v>
      </c>
      <c r="T1099" s="22" t="n">
        <v>-0.016</v>
      </c>
      <c r="U1099" s="16" t="inlineStr">
        <is>
          <t>No</t>
        </is>
      </c>
      <c r="V1099" s="16" t="inlineStr">
        <is>
          <t>No</t>
        </is>
      </c>
      <c r="W1099" s="16" t="inlineStr">
        <is>
          <t>Yes</t>
        </is>
      </c>
      <c r="X1099" s="16" t="inlineStr">
        <is>
          <t>Yes</t>
        </is>
      </c>
      <c r="Y1099" s="20" t="n">
        <v>37</v>
      </c>
      <c r="Z1099" s="19" t="n">
        <v>0.0674</v>
      </c>
      <c r="AA1099" s="18" t="n">
        <v>40</v>
      </c>
      <c r="AB1099" s="16" t="inlineStr">
        <is>
          <t>Weak</t>
        </is>
      </c>
      <c r="AC1099" s="16" t="inlineStr">
        <is>
          <t>No</t>
        </is>
      </c>
      <c r="AD1099" s="19" t="n">
        <v>0.3257</v>
      </c>
      <c r="AE1099" s="19" t="n">
        <v>0.4117</v>
      </c>
      <c r="AF1099" s="19" t="n">
        <v>-0.2441</v>
      </c>
      <c r="AG1099" s="19" t="n">
        <v>0.1005</v>
      </c>
      <c r="AH1099" s="23" t="n">
        <v>0.08</v>
      </c>
      <c r="AI1099" s="23" t="n">
        <v>19.32</v>
      </c>
      <c r="AJ1099" s="19" t="n">
        <v>0</v>
      </c>
    </row>
    <row r="1100">
      <c r="A1100" s="16" t="inlineStr">
        <is>
          <t>SPAL</t>
        </is>
      </c>
      <c r="B1100" s="16" t="inlineStr">
        <is>
          <t>S P Apparels Ltd.</t>
        </is>
      </c>
      <c r="C1100" s="16" t="inlineStr">
        <is>
          <t>Other Apparels &amp; Accessories</t>
        </is>
      </c>
      <c r="D1100" s="16" t="inlineStr">
        <is>
          <t>Textiles Apparels &amp; Accessories</t>
        </is>
      </c>
      <c r="E1100" s="16" t="inlineStr">
        <is>
          <t>INE212I01016</t>
        </is>
      </c>
      <c r="F1100" s="17" t="n">
        <v>2692.63</v>
      </c>
      <c r="G1100" s="18" t="n">
        <v>1071.1</v>
      </c>
      <c r="H1100" s="19" t="n">
        <v>0.0107</v>
      </c>
      <c r="I1100" s="20" t="n">
        <v>81</v>
      </c>
      <c r="J1100" s="16" t="inlineStr">
        <is>
          <t>green</t>
        </is>
      </c>
      <c r="K1100" s="20" t="n">
        <v>3</v>
      </c>
      <c r="L1100" s="18" t="n">
        <v>75.11</v>
      </c>
      <c r="M1100" s="18" t="n">
        <v>1022.8</v>
      </c>
      <c r="N1100" s="18" t="n">
        <v>1027.82</v>
      </c>
      <c r="O1100" s="18" t="n">
        <v>820.62</v>
      </c>
      <c r="P1100" s="18" t="n">
        <v>1175.27</v>
      </c>
      <c r="Q1100" s="18" t="n">
        <v>607.13</v>
      </c>
      <c r="R1100" s="21">
        <f>IF(OR(G1100="",P1100=""),"",G1100/P1100-1)</f>
        <v/>
      </c>
      <c r="S1100" s="19" t="n">
        <v>0.5602</v>
      </c>
      <c r="T1100" s="22" t="n">
        <v>0.0328</v>
      </c>
      <c r="U1100" s="16" t="inlineStr">
        <is>
          <t>Yes</t>
        </is>
      </c>
      <c r="V1100" s="16" t="inlineStr">
        <is>
          <t>Yes</t>
        </is>
      </c>
      <c r="W1100" s="16" t="inlineStr">
        <is>
          <t>Yes</t>
        </is>
      </c>
      <c r="X1100" s="16" t="inlineStr">
        <is>
          <t>Yes</t>
        </is>
      </c>
      <c r="Y1100" s="20" t="n">
        <v>89</v>
      </c>
      <c r="Z1100" s="19" t="n">
        <v>0.2525</v>
      </c>
      <c r="AA1100" s="18" t="n">
        <v>39.68</v>
      </c>
      <c r="AB1100" s="16" t="inlineStr">
        <is>
          <t>Weak</t>
        </is>
      </c>
      <c r="AC1100" s="16" t="inlineStr">
        <is>
          <t>No</t>
        </is>
      </c>
      <c r="AD1100" s="19" t="n">
        <v>0.1117</v>
      </c>
      <c r="AE1100" s="19" t="n">
        <v>0.1319</v>
      </c>
      <c r="AF1100" s="19" t="n">
        <v>-0.2785</v>
      </c>
      <c r="AG1100" s="19" t="n">
        <v>0.1627</v>
      </c>
      <c r="AH1100" s="23" t="n">
        <v>0.44</v>
      </c>
      <c r="AI1100" s="23" t="n">
        <v>2.42</v>
      </c>
      <c r="AJ1100" s="19" t="n">
        <v>0.0059</v>
      </c>
    </row>
    <row r="1101">
      <c r="A1101" s="16" t="inlineStr">
        <is>
          <t>CHEMPLASTS</t>
        </is>
      </c>
      <c r="B1101" s="16" t="inlineStr">
        <is>
          <t>Chemplast Sanmar Ltd.</t>
        </is>
      </c>
      <c r="C1101" s="16" t="inlineStr">
        <is>
          <t>Specialty Chemicals</t>
        </is>
      </c>
      <c r="D1101" s="16" t="inlineStr">
        <is>
          <t>Chemicals &amp; Petrochemicals</t>
        </is>
      </c>
      <c r="E1101" s="16" t="inlineStr">
        <is>
          <t>INE488A01050</t>
        </is>
      </c>
      <c r="F1101" s="17" t="n">
        <v>2692.45</v>
      </c>
      <c r="G1101" s="18" t="n">
        <v>170.29</v>
      </c>
      <c r="H1101" s="19" t="n">
        <v>0.0195</v>
      </c>
      <c r="I1101" s="20" t="n">
        <v>3</v>
      </c>
      <c r="J1101" s="16" t="inlineStr">
        <is>
          <t>red</t>
        </is>
      </c>
      <c r="K1101" s="20" t="n">
        <v>362</v>
      </c>
      <c r="L1101" s="18" t="n">
        <v>35.64</v>
      </c>
      <c r="M1101" s="18" t="n">
        <v>174.15</v>
      </c>
      <c r="N1101" s="18" t="n">
        <v>190.63</v>
      </c>
      <c r="O1101" s="18" t="n">
        <v>235.7</v>
      </c>
      <c r="P1101" s="18" t="n">
        <v>442.3</v>
      </c>
      <c r="Q1101" s="18" t="n">
        <v>167.03</v>
      </c>
      <c r="R1101" s="21">
        <f>IF(OR(G1101="",P1101=""),"",G1101/P1101-1)</f>
        <v/>
      </c>
      <c r="S1101" s="19" t="n">
        <v>0.6192</v>
      </c>
      <c r="T1101" s="22" t="n">
        <v>-0.07769999999999999</v>
      </c>
      <c r="U1101" s="16" t="inlineStr">
        <is>
          <t>No</t>
        </is>
      </c>
      <c r="V1101" s="16" t="inlineStr">
        <is>
          <t>No</t>
        </is>
      </c>
      <c r="W1101" s="16" t="inlineStr">
        <is>
          <t>No</t>
        </is>
      </c>
      <c r="X1101" s="16" t="inlineStr">
        <is>
          <t>No</t>
        </is>
      </c>
      <c r="Y1101" s="20" t="n">
        <v>459</v>
      </c>
      <c r="Z1101" s="19" t="n">
        <v>-0.1912</v>
      </c>
      <c r="AA1101" s="18" t="n">
        <v>11.39</v>
      </c>
      <c r="AB1101" s="16" t="inlineStr">
        <is>
          <t>Poor</t>
        </is>
      </c>
      <c r="AC1101" s="16" t="inlineStr">
        <is>
          <t>No</t>
        </is>
      </c>
      <c r="AD1101" s="19" t="n">
        <v>-0.102</v>
      </c>
      <c r="AE1101" s="19" t="n">
        <v>-0.0392</v>
      </c>
      <c r="AF1101" s="19" t="n">
        <v>-0.2433</v>
      </c>
      <c r="AG1101" s="19" t="n">
        <v>-0.0423</v>
      </c>
      <c r="AH1101" s="23" t="n">
        <v>1.11</v>
      </c>
      <c r="AI1101" s="23" t="n">
        <v>0.89</v>
      </c>
      <c r="AJ1101" s="19" t="n">
        <v>0.07870000000000001</v>
      </c>
    </row>
    <row r="1102">
      <c r="A1102" s="16" t="inlineStr">
        <is>
          <t>HUBTOWN</t>
        </is>
      </c>
      <c r="B1102" s="16" t="inlineStr">
        <is>
          <t>Hubtown Ltd.</t>
        </is>
      </c>
      <c r="C1102" s="16" t="inlineStr">
        <is>
          <t>Realty</t>
        </is>
      </c>
      <c r="D1102" s="16" t="inlineStr">
        <is>
          <t>Realty</t>
        </is>
      </c>
      <c r="E1102" s="16" t="inlineStr">
        <is>
          <t>INE703H01016</t>
        </is>
      </c>
      <c r="F1102" s="17" t="n">
        <v>2689.4</v>
      </c>
      <c r="G1102" s="18" t="n">
        <v>189.26</v>
      </c>
      <c r="H1102" s="19" t="n">
        <v>-0.0153</v>
      </c>
      <c r="I1102" s="20" t="n">
        <v>7</v>
      </c>
      <c r="J1102" s="16" t="inlineStr">
        <is>
          <t>red</t>
        </is>
      </c>
      <c r="K1102" s="20" t="n">
        <v>169</v>
      </c>
      <c r="L1102" s="18" t="n">
        <v>55.52</v>
      </c>
      <c r="M1102" s="18" t="n">
        <v>185.5</v>
      </c>
      <c r="N1102" s="18" t="n">
        <v>194.05</v>
      </c>
      <c r="O1102" s="18" t="n">
        <v>214.79</v>
      </c>
      <c r="P1102" s="18" t="n">
        <v>337.4</v>
      </c>
      <c r="Q1102" s="18" t="n">
        <v>172.03</v>
      </c>
      <c r="R1102" s="21">
        <f>IF(OR(G1102="",P1102=""),"",G1102/P1102-1)</f>
        <v/>
      </c>
      <c r="S1102" s="19" t="n">
        <v>0.9895</v>
      </c>
      <c r="T1102" s="22" t="n">
        <v>-0.05690000000000001</v>
      </c>
      <c r="U1102" s="16" t="inlineStr">
        <is>
          <t>No</t>
        </is>
      </c>
      <c r="V1102" s="16" t="inlineStr">
        <is>
          <t>No</t>
        </is>
      </c>
      <c r="W1102" s="16" t="inlineStr">
        <is>
          <t>Yes</t>
        </is>
      </c>
      <c r="X1102" s="16" t="inlineStr">
        <is>
          <t>No</t>
        </is>
      </c>
      <c r="Y1102" s="20" t="n">
        <v>157</v>
      </c>
      <c r="Z1102" s="19" t="n">
        <v>-0.0965</v>
      </c>
      <c r="AA1102" s="18" t="n">
        <v>40</v>
      </c>
      <c r="AB1102" s="16" t="inlineStr">
        <is>
          <t>Weak</t>
        </is>
      </c>
      <c r="AC1102" s="16" t="inlineStr">
        <is>
          <t>No</t>
        </is>
      </c>
      <c r="AD1102" s="19" t="n">
        <v>0.0024</v>
      </c>
      <c r="AE1102" s="19" t="n">
        <v>0.0535</v>
      </c>
      <c r="AF1102" s="19" t="n">
        <v>-0.2677</v>
      </c>
      <c r="AG1102" s="19" t="n">
        <v>0.4115</v>
      </c>
      <c r="AH1102" s="23" t="n">
        <v>0.46</v>
      </c>
      <c r="AI1102" s="23" t="n">
        <v>14.38</v>
      </c>
      <c r="AJ1102" s="19" t="n">
        <v>0.3726</v>
      </c>
    </row>
    <row r="1103">
      <c r="A1103" s="16" t="inlineStr">
        <is>
          <t>GANECOS</t>
        </is>
      </c>
      <c r="B1103" s="16" t="inlineStr">
        <is>
          <t>Ganesha Ecosphere Ltd.</t>
        </is>
      </c>
      <c r="C1103" s="16" t="inlineStr">
        <is>
          <t>Textiles</t>
        </is>
      </c>
      <c r="D1103" s="16" t="inlineStr">
        <is>
          <t>Textiles Apparels &amp; Accessories</t>
        </is>
      </c>
      <c r="E1103" s="16" t="inlineStr">
        <is>
          <t>INE845D01014</t>
        </is>
      </c>
      <c r="F1103" s="17" t="n">
        <v>2679.33</v>
      </c>
      <c r="G1103" s="18" t="n">
        <v>999.9</v>
      </c>
      <c r="H1103" s="19" t="n">
        <v>-0.0153</v>
      </c>
      <c r="I1103" s="20" t="n">
        <v>53</v>
      </c>
      <c r="J1103" s="16" t="inlineStr">
        <is>
          <t>red</t>
        </is>
      </c>
      <c r="K1103" s="20" t="n">
        <v>9</v>
      </c>
      <c r="L1103" s="18" t="n">
        <v>23.91</v>
      </c>
      <c r="M1103" s="18" t="n">
        <v>1019.96</v>
      </c>
      <c r="N1103" s="18" t="n">
        <v>1091.38</v>
      </c>
      <c r="O1103" s="18" t="n">
        <v>934.53</v>
      </c>
      <c r="P1103" s="18" t="n">
        <v>1334.49</v>
      </c>
      <c r="Q1103" s="18" t="n">
        <v>669.85</v>
      </c>
      <c r="R1103" s="21">
        <f>IF(OR(G1103="",P1103=""),"",G1103/P1103-1)</f>
        <v/>
      </c>
      <c r="S1103" s="19" t="n">
        <v>2.9157</v>
      </c>
      <c r="T1103" s="22" t="n">
        <v>-0.0062</v>
      </c>
      <c r="U1103" s="16" t="inlineStr">
        <is>
          <t>No</t>
        </is>
      </c>
      <c r="V1103" s="16" t="inlineStr">
        <is>
          <t>No</t>
        </is>
      </c>
      <c r="W1103" s="16" t="inlineStr">
        <is>
          <t>No</t>
        </is>
      </c>
      <c r="X1103" s="16" t="inlineStr">
        <is>
          <t>Yes</t>
        </is>
      </c>
      <c r="Y1103" s="20" t="n">
        <v>68</v>
      </c>
      <c r="Z1103" s="19" t="n">
        <v>0.1678</v>
      </c>
      <c r="AA1103" s="18" t="n">
        <v>32.71</v>
      </c>
      <c r="AB1103" s="16" t="inlineStr">
        <is>
          <t>Poor</t>
        </is>
      </c>
      <c r="AC1103" s="16" t="inlineStr">
        <is>
          <t>No</t>
        </is>
      </c>
      <c r="AD1103" s="19" t="n">
        <v>0.0527</v>
      </c>
      <c r="AE1103" s="19" t="n">
        <v>0.07519999999999999</v>
      </c>
      <c r="AF1103" s="19" t="n">
        <v>0.0437</v>
      </c>
      <c r="AG1103" s="19" t="n">
        <v>0.09849999999999999</v>
      </c>
      <c r="AH1103" s="23" t="n">
        <v>0.39</v>
      </c>
      <c r="AI1103" s="23" t="n">
        <v>1.34</v>
      </c>
      <c r="AJ1103" s="19" t="n">
        <v>0.174</v>
      </c>
    </row>
    <row r="1104">
      <c r="A1104" s="16" t="inlineStr">
        <is>
          <t>APOLLOPIPE</t>
        </is>
      </c>
      <c r="B1104" s="16" t="inlineStr">
        <is>
          <t>Apollo Pipes Ltd.</t>
        </is>
      </c>
      <c r="C1104" s="16" t="inlineStr">
        <is>
          <t>Plastic Products</t>
        </is>
      </c>
      <c r="D1104" s="16" t="inlineStr">
        <is>
          <t>General Industrials</t>
        </is>
      </c>
      <c r="E1104" s="16" t="inlineStr">
        <is>
          <t>INE126J01016</t>
        </is>
      </c>
      <c r="F1104" s="17" t="n">
        <v>2665.36</v>
      </c>
      <c r="G1104" s="18" t="n">
        <v>605.1</v>
      </c>
      <c r="H1104" s="19" t="n">
        <v>-0.0154</v>
      </c>
      <c r="I1104" s="20" t="n">
        <v>87</v>
      </c>
      <c r="J1104" s="16" t="inlineStr">
        <is>
          <t>green</t>
        </is>
      </c>
      <c r="K1104" s="20" t="n">
        <v>17</v>
      </c>
      <c r="L1104" s="18" t="n">
        <v>64.14</v>
      </c>
      <c r="M1104" s="18" t="n">
        <v>622.28</v>
      </c>
      <c r="N1104" s="18" t="n">
        <v>532.16</v>
      </c>
      <c r="O1104" s="18" t="n">
        <v>420.07</v>
      </c>
      <c r="P1104" s="18" t="n">
        <v>663.75</v>
      </c>
      <c r="Q1104" s="18" t="n">
        <v>254.1</v>
      </c>
      <c r="R1104" s="21">
        <f>IF(OR(G1104="",P1104=""),"",G1104/P1104-1)</f>
        <v/>
      </c>
      <c r="S1104" s="19" t="n">
        <v>0.1556</v>
      </c>
      <c r="T1104" s="22" t="n">
        <v>0.0709</v>
      </c>
      <c r="U1104" s="16" t="inlineStr">
        <is>
          <t>Yes</t>
        </is>
      </c>
      <c r="V1104" s="16" t="inlineStr">
        <is>
          <t>Yes</t>
        </is>
      </c>
      <c r="W1104" s="16" t="inlineStr">
        <is>
          <t>No</t>
        </is>
      </c>
      <c r="X1104" s="16" t="inlineStr">
        <is>
          <t>Yes</t>
        </is>
      </c>
      <c r="Y1104" s="20" t="n">
        <v>106</v>
      </c>
      <c r="Z1104" s="19" t="n">
        <v>0.2668</v>
      </c>
      <c r="AA1104" s="18" t="n">
        <v>32.99</v>
      </c>
      <c r="AB1104" s="16" t="inlineStr">
        <is>
          <t>Poor</t>
        </is>
      </c>
      <c r="AC1104" s="16" t="inlineStr">
        <is>
          <t>No</t>
        </is>
      </c>
      <c r="AD1104" s="19" t="n">
        <v>0.0415</v>
      </c>
      <c r="AE1104" s="19" t="n">
        <v>0.0578</v>
      </c>
      <c r="AF1104" s="19" t="n">
        <v>-0.1301</v>
      </c>
      <c r="AG1104" s="19" t="n">
        <v>0.0709</v>
      </c>
      <c r="AH1104" s="23" t="n">
        <v>0.15</v>
      </c>
      <c r="AI1104" s="23" t="n">
        <v>1.66</v>
      </c>
      <c r="AJ1104" s="19" t="n">
        <v>0.1851</v>
      </c>
    </row>
    <row r="1105">
      <c r="A1105" s="16" t="inlineStr">
        <is>
          <t>ORIENTCEM</t>
        </is>
      </c>
      <c r="B1105" s="16" t="inlineStr">
        <is>
          <t>Orient Cement Ltd.</t>
        </is>
      </c>
      <c r="C1105" s="16" t="inlineStr">
        <is>
          <t>Cement &amp; Cement Products</t>
        </is>
      </c>
      <c r="D1105" s="16" t="inlineStr">
        <is>
          <t>Cement and Construction</t>
        </is>
      </c>
      <c r="E1105" s="16" t="inlineStr">
        <is>
          <t>INE876N01018</t>
        </is>
      </c>
      <c r="F1105" s="17" t="n">
        <v>2664.4</v>
      </c>
      <c r="G1105" s="18" t="n">
        <v>129.68</v>
      </c>
      <c r="H1105" s="19" t="n">
        <v>0.009300000000000001</v>
      </c>
      <c r="I1105" s="20" t="n">
        <v>12</v>
      </c>
      <c r="J1105" s="16" t="inlineStr">
        <is>
          <t>red</t>
        </is>
      </c>
      <c r="K1105" s="20" t="n">
        <v>310</v>
      </c>
      <c r="L1105" s="18" t="n">
        <v>44.37</v>
      </c>
      <c r="M1105" s="18" t="n">
        <v>130.1</v>
      </c>
      <c r="N1105" s="18" t="n">
        <v>134.7</v>
      </c>
      <c r="O1105" s="18" t="n">
        <v>146.47</v>
      </c>
      <c r="P1105" s="18" t="n">
        <v>233.93</v>
      </c>
      <c r="Q1105" s="18" t="n">
        <v>122.42</v>
      </c>
      <c r="R1105" s="21">
        <f>IF(OR(G1105="",P1105=""),"",G1105/P1105-1)</f>
        <v/>
      </c>
      <c r="S1105" s="19" t="n">
        <v>0.5093</v>
      </c>
      <c r="T1105" s="22" t="n">
        <v>-0.0473</v>
      </c>
      <c r="U1105" s="16" t="inlineStr">
        <is>
          <t>No</t>
        </is>
      </c>
      <c r="V1105" s="16" t="inlineStr">
        <is>
          <t>No</t>
        </is>
      </c>
      <c r="W1105" s="16" t="inlineStr">
        <is>
          <t>No</t>
        </is>
      </c>
      <c r="X1105" s="16" t="inlineStr">
        <is>
          <t>No</t>
        </is>
      </c>
      <c r="Y1105" s="20" t="n">
        <v>299</v>
      </c>
      <c r="Z1105" s="19" t="n">
        <v>-0.0803</v>
      </c>
      <c r="AA1105" s="18" t="n">
        <v>50.53</v>
      </c>
      <c r="AB1105" s="16" t="inlineStr">
        <is>
          <t>Average</t>
        </is>
      </c>
      <c r="AC1105" s="16" t="inlineStr">
        <is>
          <t>No</t>
        </is>
      </c>
      <c r="AD1105" s="19" t="n">
        <v>0.1027</v>
      </c>
      <c r="AE1105" s="19" t="n">
        <v>0.1343</v>
      </c>
      <c r="AF1105" s="19" t="n">
        <v>0.88</v>
      </c>
      <c r="AG1105" s="19" t="n">
        <v>-0.0113</v>
      </c>
      <c r="AH1105" s="23" t="n">
        <v>0.03</v>
      </c>
      <c r="AI1105" s="23" t="n">
        <v>1.59</v>
      </c>
      <c r="AJ1105" s="19" t="n">
        <v>0.0184</v>
      </c>
    </row>
    <row r="1106">
      <c r="A1106" s="16" t="inlineStr">
        <is>
          <t>AXISOL</t>
        </is>
      </c>
      <c r="B1106" s="16" t="inlineStr">
        <is>
          <t>Axis Solutions Ltd.</t>
        </is>
      </c>
      <c r="C1106" s="16" t="inlineStr">
        <is>
          <t>IT Consulting &amp; Software</t>
        </is>
      </c>
      <c r="D1106" s="16" t="inlineStr">
        <is>
          <t>Software &amp; Services</t>
        </is>
      </c>
      <c r="E1106" s="16" t="inlineStr">
        <is>
          <t>INE520G01024</t>
        </is>
      </c>
      <c r="F1106" s="17" t="n">
        <v>2631.45</v>
      </c>
      <c r="G1106" s="18" t="n">
        <v>556.8</v>
      </c>
      <c r="H1106" s="19" t="n">
        <v>0.02</v>
      </c>
      <c r="I1106" s="20" t="n">
        <v>99</v>
      </c>
      <c r="J1106" s="16" t="inlineStr">
        <is>
          <t>green</t>
        </is>
      </c>
      <c r="K1106" s="20" t="n">
        <v>213</v>
      </c>
      <c r="L1106" s="18" t="n">
        <v>40.81</v>
      </c>
      <c r="M1106" s="18" t="n">
        <v>560.23</v>
      </c>
      <c r="N1106" s="18" t="n">
        <v>431.12</v>
      </c>
      <c r="O1106" s="18" t="n">
        <v>247.93</v>
      </c>
      <c r="P1106" s="18" t="n">
        <v>654.7</v>
      </c>
      <c r="Q1106" s="18" t="n">
        <v>25.14</v>
      </c>
      <c r="R1106" s="21">
        <f>IF(OR(G1106="",P1106=""),"",G1106/P1106-1)</f>
        <v/>
      </c>
      <c r="S1106" s="19" t="n">
        <v>0.2062</v>
      </c>
      <c r="T1106" s="22" t="n">
        <v>0.2655</v>
      </c>
      <c r="U1106" s="16" t="inlineStr">
        <is>
          <t>Yes</t>
        </is>
      </c>
      <c r="V1106" s="16" t="inlineStr">
        <is>
          <t>Yes</t>
        </is>
      </c>
      <c r="W1106" s="16" t="inlineStr">
        <is>
          <t>No</t>
        </is>
      </c>
      <c r="X1106" s="16" t="inlineStr">
        <is>
          <t>Yes</t>
        </is>
      </c>
      <c r="Y1106" s="20" t="n">
        <v>180</v>
      </c>
      <c r="Z1106" s="19" t="n">
        <v>0.7387999999999999</v>
      </c>
      <c r="AA1106" s="18" t="n"/>
      <c r="AB1106" s="16" t="n"/>
      <c r="AC1106" s="16" t="inlineStr">
        <is>
          <t>No</t>
        </is>
      </c>
      <c r="AD1106" s="19" t="n"/>
      <c r="AE1106" s="19" t="n"/>
      <c r="AF1106" s="19" t="n"/>
      <c r="AG1106" s="19" t="n"/>
      <c r="AH1106" s="23" t="n"/>
      <c r="AI1106" s="23" t="n"/>
      <c r="AJ1106" s="19" t="n"/>
    </row>
    <row r="1107">
      <c r="A1107" s="16" t="inlineStr">
        <is>
          <t>INDNIPPON</t>
        </is>
      </c>
      <c r="B1107" s="16" t="inlineStr">
        <is>
          <t>India Nippon Electricals Ltd.</t>
        </is>
      </c>
      <c r="C1107" s="16" t="inlineStr">
        <is>
          <t>Auto Parts &amp; Equipment</t>
        </is>
      </c>
      <c r="D1107" s="16" t="inlineStr">
        <is>
          <t>Automobiles &amp; Auto Components</t>
        </is>
      </c>
      <c r="E1107" s="16" t="inlineStr">
        <is>
          <t>INE092B01025</t>
        </is>
      </c>
      <c r="F1107" s="17" t="n">
        <v>2620.01</v>
      </c>
      <c r="G1107" s="18" t="n">
        <v>1158.2</v>
      </c>
      <c r="H1107" s="19" t="n">
        <v>0.044</v>
      </c>
      <c r="I1107" s="20" t="n">
        <v>80</v>
      </c>
      <c r="J1107" s="16" t="inlineStr">
        <is>
          <t>green</t>
        </is>
      </c>
      <c r="K1107" s="20" t="n">
        <v>1</v>
      </c>
      <c r="L1107" s="18" t="n">
        <v>54.46</v>
      </c>
      <c r="M1107" s="18" t="n">
        <v>1080.56</v>
      </c>
      <c r="N1107" s="18" t="n">
        <v>1120.88</v>
      </c>
      <c r="O1107" s="18" t="n">
        <v>880.9400000000001</v>
      </c>
      <c r="P1107" s="18" t="n">
        <v>1241.6</v>
      </c>
      <c r="Q1107" s="18" t="n">
        <v>679.15</v>
      </c>
      <c r="R1107" s="21">
        <f>IF(OR(G1107="",P1107=""),"",G1107/P1107-1)</f>
        <v/>
      </c>
      <c r="S1107" s="19" t="n">
        <v>2.1579</v>
      </c>
      <c r="T1107" s="22" t="n">
        <v>0.0174</v>
      </c>
      <c r="U1107" s="16" t="inlineStr">
        <is>
          <t>Yes</t>
        </is>
      </c>
      <c r="V1107" s="16" t="inlineStr">
        <is>
          <t>Yes</t>
        </is>
      </c>
      <c r="W1107" s="16" t="inlineStr">
        <is>
          <t>Yes</t>
        </is>
      </c>
      <c r="X1107" s="16" t="inlineStr">
        <is>
          <t>Yes</t>
        </is>
      </c>
      <c r="Y1107" s="20" t="n">
        <v>51</v>
      </c>
      <c r="Z1107" s="19" t="n">
        <v>0.2724</v>
      </c>
      <c r="AA1107" s="18" t="n">
        <v>66.16</v>
      </c>
      <c r="AB1107" s="16" t="inlineStr">
        <is>
          <t>High</t>
        </is>
      </c>
      <c r="AC1107" s="16" t="inlineStr">
        <is>
          <t>No</t>
        </is>
      </c>
      <c r="AD1107" s="19" t="n">
        <v>0.1154</v>
      </c>
      <c r="AE1107" s="19" t="n">
        <v>0.148</v>
      </c>
      <c r="AF1107" s="19" t="n">
        <v>0.3227</v>
      </c>
      <c r="AG1107" s="19" t="n">
        <v>0.1785</v>
      </c>
      <c r="AH1107" s="23" t="n">
        <v>0</v>
      </c>
      <c r="AI1107" s="23" t="n">
        <v>5.76</v>
      </c>
      <c r="AJ1107" s="19" t="n">
        <v>0.0544</v>
      </c>
    </row>
    <row r="1108">
      <c r="A1108" s="16" t="inlineStr">
        <is>
          <t>GANDHAR</t>
        </is>
      </c>
      <c r="B1108" s="16" t="inlineStr">
        <is>
          <t>Gandhar Oil Refinery (India) Ltd.</t>
        </is>
      </c>
      <c r="C1108" s="16" t="inlineStr">
        <is>
          <t>Refineries/Petro-Products</t>
        </is>
      </c>
      <c r="D1108" s="16" t="inlineStr">
        <is>
          <t>Oil &amp; Gas</t>
        </is>
      </c>
      <c r="E1108" s="16" t="inlineStr">
        <is>
          <t>INE717W01049</t>
        </is>
      </c>
      <c r="F1108" s="17" t="n">
        <v>2619.26</v>
      </c>
      <c r="G1108" s="18" t="n">
        <v>267.6</v>
      </c>
      <c r="H1108" s="19" t="n">
        <v>0.0007000000000000001</v>
      </c>
      <c r="I1108" s="20" t="n">
        <v>94</v>
      </c>
      <c r="J1108" s="16" t="inlineStr">
        <is>
          <t>green</t>
        </is>
      </c>
      <c r="K1108" s="20" t="n">
        <v>41</v>
      </c>
      <c r="L1108" s="18" t="n">
        <v>75.09</v>
      </c>
      <c r="M1108" s="18" t="n">
        <v>260.9</v>
      </c>
      <c r="N1108" s="18" t="n">
        <v>230.7</v>
      </c>
      <c r="O1108" s="18" t="n">
        <v>165.83</v>
      </c>
      <c r="P1108" s="18" t="n">
        <v>279.86</v>
      </c>
      <c r="Q1108" s="18" t="n">
        <v>115.71</v>
      </c>
      <c r="R1108" s="21">
        <f>IF(OR(G1108="",P1108=""),"",G1108/P1108-1)</f>
        <v/>
      </c>
      <c r="S1108" s="19" t="n">
        <v>0.3092</v>
      </c>
      <c r="T1108" s="22" t="n">
        <v>0.0764</v>
      </c>
      <c r="U1108" s="16" t="inlineStr">
        <is>
          <t>Yes</t>
        </is>
      </c>
      <c r="V1108" s="16" t="inlineStr">
        <is>
          <t>Yes</t>
        </is>
      </c>
      <c r="W1108" s="16" t="inlineStr">
        <is>
          <t>Yes</t>
        </is>
      </c>
      <c r="X1108" s="16" t="inlineStr">
        <is>
          <t>Yes</t>
        </is>
      </c>
      <c r="Y1108" s="20" t="n">
        <v>70</v>
      </c>
      <c r="Z1108" s="19" t="n">
        <v>0.3912</v>
      </c>
      <c r="AA1108" s="18" t="n">
        <v>40</v>
      </c>
      <c r="AB1108" s="16" t="inlineStr">
        <is>
          <t>Weak</t>
        </is>
      </c>
      <c r="AC1108" s="16" t="inlineStr">
        <is>
          <t>No</t>
        </is>
      </c>
      <c r="AD1108" s="19" t="n">
        <v>0.0949</v>
      </c>
      <c r="AE1108" s="19" t="n">
        <v>0.1379</v>
      </c>
      <c r="AF1108" s="19" t="n">
        <v>-0.0415</v>
      </c>
      <c r="AG1108" s="19" t="n">
        <v>0.015</v>
      </c>
      <c r="AH1108" s="23" t="n">
        <v>0.23</v>
      </c>
      <c r="AI1108" s="23" t="n">
        <v>8.07</v>
      </c>
      <c r="AJ1108" s="19" t="n">
        <v>0.0551</v>
      </c>
    </row>
    <row r="1109">
      <c r="A1109" s="16" t="inlineStr">
        <is>
          <t>GKENERGY</t>
        </is>
      </c>
      <c r="B1109" s="16" t="inlineStr">
        <is>
          <t>GK Energy Ltd.</t>
        </is>
      </c>
      <c r="C1109" s="16" t="inlineStr">
        <is>
          <t>Compressors &amp; Pumps</t>
        </is>
      </c>
      <c r="D1109" s="16" t="inlineStr">
        <is>
          <t>General Industrials</t>
        </is>
      </c>
      <c r="E1109" s="16" t="inlineStr">
        <is>
          <t>INE1AG301022</t>
        </is>
      </c>
      <c r="F1109" s="17" t="n">
        <v>2615.53</v>
      </c>
      <c r="G1109" s="18" t="n">
        <v>128.96</v>
      </c>
      <c r="H1109" s="19" t="n">
        <v>-0.0046</v>
      </c>
      <c r="I1109" s="20" t="n">
        <v>37</v>
      </c>
      <c r="J1109" s="16" t="inlineStr">
        <is>
          <t>red</t>
        </is>
      </c>
      <c r="K1109" s="20" t="n">
        <v>41</v>
      </c>
      <c r="L1109" s="18" t="n">
        <v>57.78</v>
      </c>
      <c r="M1109" s="18" t="n">
        <v>133.34</v>
      </c>
      <c r="N1109" s="18" t="n">
        <v>134.06</v>
      </c>
      <c r="O1109" s="18" t="n">
        <v>130.74</v>
      </c>
      <c r="P1109" s="18" t="n">
        <v>232.28</v>
      </c>
      <c r="Q1109" s="18" t="n">
        <v>89.8</v>
      </c>
      <c r="R1109" s="21">
        <f>IF(OR(G1109="",P1109=""),"",G1109/P1109-1)</f>
        <v/>
      </c>
      <c r="S1109" s="19" t="n">
        <v>0.398</v>
      </c>
      <c r="T1109" s="22" t="n">
        <v>-0.0557</v>
      </c>
      <c r="U1109" s="16" t="inlineStr">
        <is>
          <t>No</t>
        </is>
      </c>
      <c r="V1109" s="16" t="inlineStr">
        <is>
          <t>No</t>
        </is>
      </c>
      <c r="W1109" s="16" t="inlineStr">
        <is>
          <t>No</t>
        </is>
      </c>
      <c r="X1109" s="16" t="inlineStr">
        <is>
          <t>Yes</t>
        </is>
      </c>
      <c r="Y1109" s="20" t="n">
        <v>21</v>
      </c>
      <c r="Z1109" s="19" t="n">
        <v>0.0255</v>
      </c>
      <c r="AA1109" s="18" t="n">
        <v>81.58</v>
      </c>
      <c r="AB1109" s="16" t="inlineStr">
        <is>
          <t>High</t>
        </is>
      </c>
      <c r="AC1109" s="16" t="inlineStr">
        <is>
          <t>No</t>
        </is>
      </c>
      <c r="AD1109" s="19" t="n">
        <v>0.5041</v>
      </c>
      <c r="AE1109" s="19" t="n">
        <v>0.4047</v>
      </c>
      <c r="AF1109" s="19" t="n">
        <v>1.417</v>
      </c>
      <c r="AG1109" s="19" t="n">
        <v>0.8906999999999999</v>
      </c>
      <c r="AH1109" s="23" t="n">
        <v>0.23</v>
      </c>
      <c r="AI1109" s="23" t="n">
        <v>15.73</v>
      </c>
      <c r="AJ1109" s="19" t="n">
        <v>0</v>
      </c>
    </row>
    <row r="1110">
      <c r="A1110" s="16" t="inlineStr">
        <is>
          <t>UTKARSHBNK</t>
        </is>
      </c>
      <c r="B1110" s="16" t="inlineStr">
        <is>
          <t>Utkarsh Small Finance Bank Ltd.</t>
        </is>
      </c>
      <c r="C1110" s="16" t="inlineStr">
        <is>
          <t>Microfinance Institutions</t>
        </is>
      </c>
      <c r="D1110" s="16" t="inlineStr">
        <is>
          <t>Banking and Finance</t>
        </is>
      </c>
      <c r="E1110" s="16" t="inlineStr">
        <is>
          <t>INE735W01017</t>
        </is>
      </c>
      <c r="F1110" s="17" t="n">
        <v>2590.99</v>
      </c>
      <c r="G1110" s="18" t="n">
        <v>14.56</v>
      </c>
      <c r="H1110" s="19" t="n">
        <v>-0.0222</v>
      </c>
      <c r="I1110" s="20" t="n">
        <v>37</v>
      </c>
      <c r="J1110" s="16" t="inlineStr">
        <is>
          <t>red</t>
        </is>
      </c>
      <c r="K1110" s="20" t="n">
        <v>501</v>
      </c>
      <c r="L1110" s="18" t="n">
        <v>59.92</v>
      </c>
      <c r="M1110" s="18" t="n">
        <v>14.84</v>
      </c>
      <c r="N1110" s="18" t="n">
        <v>14.54</v>
      </c>
      <c r="O1110" s="18" t="n">
        <v>14.09</v>
      </c>
      <c r="P1110" s="18" t="n">
        <v>22.41</v>
      </c>
      <c r="Q1110" s="18" t="n">
        <v>10.22</v>
      </c>
      <c r="R1110" s="21">
        <f>IF(OR(G1110="",P1110=""),"",G1110/P1110-1)</f>
        <v/>
      </c>
      <c r="S1110" s="19" t="n">
        <v>1.1429</v>
      </c>
      <c r="T1110" s="22" t="n">
        <v>-0.0266</v>
      </c>
      <c r="U1110" s="16" t="inlineStr">
        <is>
          <t>No</t>
        </is>
      </c>
      <c r="V1110" s="16" t="inlineStr">
        <is>
          <t>Yes</t>
        </is>
      </c>
      <c r="W1110" s="16" t="inlineStr">
        <is>
          <t>No</t>
        </is>
      </c>
      <c r="X1110" s="16" t="inlineStr">
        <is>
          <t>Yes</t>
        </is>
      </c>
      <c r="Y1110" s="20" t="n">
        <v>15</v>
      </c>
      <c r="Z1110" s="19" t="n">
        <v>0.0326</v>
      </c>
      <c r="AA1110" s="18" t="n">
        <v>6.16</v>
      </c>
      <c r="AB1110" s="16" t="inlineStr">
        <is>
          <t>Poor</t>
        </is>
      </c>
      <c r="AC1110" s="16" t="inlineStr">
        <is>
          <t>Yes</t>
        </is>
      </c>
      <c r="AD1110" s="19" t="n">
        <v>-0.07980000000000001</v>
      </c>
      <c r="AE1110" s="19" t="n"/>
      <c r="AF1110" s="19" t="n">
        <v>-15.165</v>
      </c>
      <c r="AG1110" s="19" t="n">
        <v>0.0417</v>
      </c>
      <c r="AH1110" s="23" t="n">
        <v>0.91</v>
      </c>
      <c r="AI1110" s="23" t="n">
        <v>4.17</v>
      </c>
      <c r="AJ1110" s="19" t="n">
        <v>0.2733</v>
      </c>
    </row>
    <row r="1111">
      <c r="A1111" s="16" t="inlineStr">
        <is>
          <t>BBL</t>
        </is>
      </c>
      <c r="B1111" s="16" t="inlineStr">
        <is>
          <t>Bharat Bijlee Ltd.</t>
        </is>
      </c>
      <c r="C1111" s="16" t="inlineStr">
        <is>
          <t>Other Electrical Equipment/Products</t>
        </is>
      </c>
      <c r="D1111" s="16" t="inlineStr">
        <is>
          <t>Consumer Durables</t>
        </is>
      </c>
      <c r="E1111" s="16" t="inlineStr">
        <is>
          <t>INE464A01036</t>
        </is>
      </c>
      <c r="F1111" s="17" t="n">
        <v>2587.62</v>
      </c>
      <c r="G1111" s="18" t="n">
        <v>2289.3</v>
      </c>
      <c r="H1111" s="19" t="n">
        <v>-0.0039</v>
      </c>
      <c r="I1111" s="20" t="n">
        <v>12</v>
      </c>
      <c r="J1111" s="16" t="inlineStr">
        <is>
          <t>red</t>
        </is>
      </c>
      <c r="K1111" s="20" t="n">
        <v>63</v>
      </c>
      <c r="L1111" s="18" t="n">
        <v>48.7</v>
      </c>
      <c r="M1111" s="18" t="n">
        <v>2328.32</v>
      </c>
      <c r="N1111" s="18" t="n">
        <v>2494.01</v>
      </c>
      <c r="O1111" s="18" t="n">
        <v>2602.66</v>
      </c>
      <c r="P1111" s="18" t="n">
        <v>3275.72</v>
      </c>
      <c r="Q1111" s="18" t="n">
        <v>2042.23</v>
      </c>
      <c r="R1111" s="21">
        <f>IF(OR(G1111="",P1111=""),"",G1111/P1111-1)</f>
        <v/>
      </c>
      <c r="S1111" s="19" t="n">
        <v>0.8493999999999999</v>
      </c>
      <c r="T1111" s="22" t="n">
        <v>-0.0234</v>
      </c>
      <c r="U1111" s="16" t="inlineStr">
        <is>
          <t>No</t>
        </is>
      </c>
      <c r="V1111" s="16" t="inlineStr">
        <is>
          <t>No</t>
        </is>
      </c>
      <c r="W1111" s="16" t="inlineStr">
        <is>
          <t>No</t>
        </is>
      </c>
      <c r="X1111" s="16" t="inlineStr">
        <is>
          <t>No</t>
        </is>
      </c>
      <c r="Y1111" s="20" t="n">
        <v>19</v>
      </c>
      <c r="Z1111" s="19" t="n">
        <v>-0.0417</v>
      </c>
      <c r="AA1111" s="18" t="n">
        <v>51.39</v>
      </c>
      <c r="AB1111" s="16" t="inlineStr">
        <is>
          <t>Average</t>
        </is>
      </c>
      <c r="AC1111" s="16" t="inlineStr">
        <is>
          <t>No</t>
        </is>
      </c>
      <c r="AD1111" s="19" t="n">
        <v>0.06619999999999999</v>
      </c>
      <c r="AE1111" s="19" t="n">
        <v>0.08779999999999999</v>
      </c>
      <c r="AF1111" s="19" t="n">
        <v>0.1649</v>
      </c>
      <c r="AG1111" s="19" t="n">
        <v>0.1781</v>
      </c>
      <c r="AH1111" s="23" t="n">
        <v>0.15</v>
      </c>
      <c r="AI1111" s="23" t="n">
        <v>9.17</v>
      </c>
      <c r="AJ1111" s="19" t="n">
        <v>0.4158</v>
      </c>
    </row>
    <row r="1112">
      <c r="A1112" s="16" t="inlineStr">
        <is>
          <t>ORISSAMINE</t>
        </is>
      </c>
      <c r="B1112" s="16" t="inlineStr">
        <is>
          <t>The Orissa Minerals Development Company Ltd.</t>
        </is>
      </c>
      <c r="C1112" s="16" t="inlineStr">
        <is>
          <t>Coal &amp; Mining</t>
        </is>
      </c>
      <c r="D1112" s="16" t="inlineStr">
        <is>
          <t>Metals &amp; Mining</t>
        </is>
      </c>
      <c r="E1112" s="16" t="inlineStr">
        <is>
          <t>INE725E01024</t>
        </is>
      </c>
      <c r="F1112" s="17" t="n">
        <v>2587.02</v>
      </c>
      <c r="G1112" s="18" t="n">
        <v>4311.7</v>
      </c>
      <c r="H1112" s="19" t="n">
        <v>0.005</v>
      </c>
      <c r="I1112" s="20" t="n">
        <v>42</v>
      </c>
      <c r="J1112" s="16" t="inlineStr">
        <is>
          <t>red</t>
        </is>
      </c>
      <c r="K1112" s="20" t="n">
        <v>16</v>
      </c>
      <c r="L1112" s="18" t="n">
        <v>16.2</v>
      </c>
      <c r="M1112" s="18" t="n">
        <v>4390.99</v>
      </c>
      <c r="N1112" s="18" t="n">
        <v>4171.47</v>
      </c>
      <c r="O1112" s="18" t="n">
        <v>4249.3</v>
      </c>
      <c r="P1112" s="18" t="n">
        <v>5800</v>
      </c>
      <c r="Q1112" s="18" t="n">
        <v>3125.5</v>
      </c>
      <c r="R1112" s="21">
        <f>IF(OR(G1112="",P1112=""),"",G1112/P1112-1)</f>
        <v/>
      </c>
      <c r="S1112" s="19" t="n">
        <v>0.1095</v>
      </c>
      <c r="T1112" s="22" t="n">
        <v>-0.0159</v>
      </c>
      <c r="U1112" s="16" t="inlineStr">
        <is>
          <t>No</t>
        </is>
      </c>
      <c r="V1112" s="16" t="inlineStr">
        <is>
          <t>Yes</t>
        </is>
      </c>
      <c r="W1112" s="16" t="inlineStr">
        <is>
          <t>No</t>
        </is>
      </c>
      <c r="X1112" s="16" t="inlineStr">
        <is>
          <t>No</t>
        </is>
      </c>
      <c r="Y1112" s="20" t="n">
        <v>174</v>
      </c>
      <c r="Z1112" s="19" t="n">
        <v>-0.0183</v>
      </c>
      <c r="AA1112" s="18" t="n">
        <v>40</v>
      </c>
      <c r="AB1112" s="16" t="inlineStr">
        <is>
          <t>Weak</t>
        </is>
      </c>
      <c r="AC1112" s="16" t="inlineStr">
        <is>
          <t>No</t>
        </is>
      </c>
      <c r="AD1112" s="19" t="n">
        <v>0.1916</v>
      </c>
      <c r="AE1112" s="19" t="n">
        <v>-4.3182</v>
      </c>
      <c r="AF1112" s="19" t="n">
        <v>-4.3645</v>
      </c>
      <c r="AG1112" s="19" t="n">
        <v>0.5191</v>
      </c>
      <c r="AH1112" s="23" t="n">
        <v>-3.88</v>
      </c>
      <c r="AI1112" s="23" t="n">
        <v>0.47</v>
      </c>
      <c r="AJ1112" s="19" t="n">
        <v>0.9370999999999999</v>
      </c>
    </row>
    <row r="1113">
      <c r="A1113" s="16" t="inlineStr">
        <is>
          <t>VEEDOL</t>
        </is>
      </c>
      <c r="B1113" s="16" t="inlineStr">
        <is>
          <t>Veedol Corporation Ltd.</t>
        </is>
      </c>
      <c r="C1113" s="16" t="inlineStr">
        <is>
          <t>Oil Marketing &amp; Distribution</t>
        </is>
      </c>
      <c r="D1113" s="16" t="inlineStr">
        <is>
          <t>Oil &amp; Gas</t>
        </is>
      </c>
      <c r="E1113" s="16" t="inlineStr">
        <is>
          <t>INE484C01030</t>
        </is>
      </c>
      <c r="F1113" s="17" t="n">
        <v>2573.18</v>
      </c>
      <c r="G1113" s="18" t="n">
        <v>1476.8</v>
      </c>
      <c r="H1113" s="19" t="n">
        <v>0.009599999999999999</v>
      </c>
      <c r="I1113" s="20" t="n">
        <v>41</v>
      </c>
      <c r="J1113" s="16" t="inlineStr">
        <is>
          <t>red</t>
        </is>
      </c>
      <c r="K1113" s="20" t="n">
        <v>169</v>
      </c>
      <c r="L1113" s="18" t="n">
        <v>39.36</v>
      </c>
      <c r="M1113" s="18" t="n">
        <v>1484.18</v>
      </c>
      <c r="N1113" s="18" t="n">
        <v>1450.97</v>
      </c>
      <c r="O1113" s="18" t="n">
        <v>1444.71</v>
      </c>
      <c r="P1113" s="18" t="n">
        <v>1910.42</v>
      </c>
      <c r="Q1113" s="18" t="n">
        <v>1227.28</v>
      </c>
      <c r="R1113" s="21">
        <f>IF(OR(G1113="",P1113=""),"",G1113/P1113-1)</f>
        <v/>
      </c>
      <c r="S1113" s="19" t="n">
        <v>0.322</v>
      </c>
      <c r="T1113" s="22" t="n">
        <v>-0.0132</v>
      </c>
      <c r="U1113" s="16" t="inlineStr">
        <is>
          <t>No</t>
        </is>
      </c>
      <c r="V1113" s="16" t="inlineStr">
        <is>
          <t>Yes</t>
        </is>
      </c>
      <c r="W1113" s="16" t="inlineStr">
        <is>
          <t>No</t>
        </is>
      </c>
      <c r="X1113" s="16" t="inlineStr">
        <is>
          <t>Yes</t>
        </is>
      </c>
      <c r="Y1113" s="20" t="n">
        <v>4</v>
      </c>
      <c r="Z1113" s="19" t="n">
        <v>0.0043</v>
      </c>
      <c r="AA1113" s="18" t="n">
        <v>66.54000000000001</v>
      </c>
      <c r="AB1113" s="16" t="inlineStr">
        <is>
          <t>High</t>
        </is>
      </c>
      <c r="AC1113" s="16" t="inlineStr">
        <is>
          <t>No</t>
        </is>
      </c>
      <c r="AD1113" s="19" t="n">
        <v>0.1808</v>
      </c>
      <c r="AE1113" s="19" t="n">
        <v>0.2254</v>
      </c>
      <c r="AF1113" s="19" t="n">
        <v>0.1879</v>
      </c>
      <c r="AG1113" s="19" t="n">
        <v>0.0525</v>
      </c>
      <c r="AH1113" s="23" t="n">
        <v>0.02</v>
      </c>
      <c r="AI1113" s="23" t="n">
        <v>9.44</v>
      </c>
      <c r="AJ1113" s="19" t="n">
        <v>0.0344</v>
      </c>
    </row>
    <row r="1114">
      <c r="A1114" s="16" t="inlineStr">
        <is>
          <t>KITEX</t>
        </is>
      </c>
      <c r="B1114" s="16" t="inlineStr">
        <is>
          <t>Kitex Garments Ltd.</t>
        </is>
      </c>
      <c r="C1114" s="16" t="inlineStr">
        <is>
          <t>Other Apparels &amp; Accessories</t>
        </is>
      </c>
      <c r="D1114" s="16" t="inlineStr">
        <is>
          <t>Textiles Apparels &amp; Accessories</t>
        </is>
      </c>
      <c r="E1114" s="16" t="inlineStr">
        <is>
          <t>INE602G01020</t>
        </is>
      </c>
      <c r="F1114" s="17" t="n">
        <v>2570.56</v>
      </c>
      <c r="G1114" s="18" t="n">
        <v>128.85</v>
      </c>
      <c r="H1114" s="19" t="n">
        <v>0.0421</v>
      </c>
      <c r="I1114" s="20" t="n">
        <v>6</v>
      </c>
      <c r="J1114" s="16" t="inlineStr">
        <is>
          <t>red</t>
        </is>
      </c>
      <c r="K1114" s="20" t="n">
        <v>141</v>
      </c>
      <c r="L1114" s="18" t="n">
        <v>50.09</v>
      </c>
      <c r="M1114" s="18" t="n">
        <v>126.94</v>
      </c>
      <c r="N1114" s="18" t="n">
        <v>142.01</v>
      </c>
      <c r="O1114" s="18" t="n">
        <v>165.67</v>
      </c>
      <c r="P1114" s="18" t="n">
        <v>222.82</v>
      </c>
      <c r="Q1114" s="18" t="n">
        <v>123.64</v>
      </c>
      <c r="R1114" s="21">
        <f>IF(OR(G1114="",P1114=""),"",G1114/P1114-1)</f>
        <v/>
      </c>
      <c r="S1114" s="19" t="n">
        <v>1.2519</v>
      </c>
      <c r="T1114" s="22" t="n">
        <v>-0.0452</v>
      </c>
      <c r="U1114" s="16" t="inlineStr">
        <is>
          <t>No</t>
        </is>
      </c>
      <c r="V1114" s="16" t="inlineStr">
        <is>
          <t>No</t>
        </is>
      </c>
      <c r="W1114" s="16" t="inlineStr">
        <is>
          <t>Yes</t>
        </is>
      </c>
      <c r="X1114" s="16" t="inlineStr">
        <is>
          <t>No</t>
        </is>
      </c>
      <c r="Y1114" s="20" t="n">
        <v>250</v>
      </c>
      <c r="Z1114" s="19" t="n">
        <v>-0.1428</v>
      </c>
      <c r="AA1114" s="18" t="n">
        <v>31.1</v>
      </c>
      <c r="AB1114" s="16" t="inlineStr">
        <is>
          <t>Poor</t>
        </is>
      </c>
      <c r="AC1114" s="16" t="inlineStr">
        <is>
          <t>No</t>
        </is>
      </c>
      <c r="AD1114" s="19" t="n">
        <v>0.0674</v>
      </c>
      <c r="AE1114" s="19" t="n">
        <v>0.0597</v>
      </c>
      <c r="AF1114" s="19" t="n">
        <v>0.1479</v>
      </c>
      <c r="AG1114" s="19" t="n">
        <v>0.1581</v>
      </c>
      <c r="AH1114" s="23" t="n">
        <v>1.16</v>
      </c>
      <c r="AI1114" s="23" t="n">
        <v>0.32</v>
      </c>
      <c r="AJ1114" s="19" t="n">
        <v>0.4532</v>
      </c>
    </row>
    <row r="1115">
      <c r="A1115" s="16" t="inlineStr">
        <is>
          <t>FLAIR</t>
        </is>
      </c>
      <c r="B1115" s="16" t="inlineStr">
        <is>
          <t>Flair Writing Industries Ltd</t>
        </is>
      </c>
      <c r="C1115" s="16" t="inlineStr">
        <is>
          <t>Commodity Printing/Stationery</t>
        </is>
      </c>
      <c r="D1115" s="16" t="inlineStr">
        <is>
          <t>Commercial Services &amp; Supplies</t>
        </is>
      </c>
      <c r="E1115" s="16" t="inlineStr">
        <is>
          <t>INE00Y201027</t>
        </is>
      </c>
      <c r="F1115" s="17" t="n">
        <v>2568.59</v>
      </c>
      <c r="G1115" s="18" t="n">
        <v>243.71</v>
      </c>
      <c r="H1115" s="19" t="n">
        <v>-0.0177</v>
      </c>
      <c r="I1115" s="20" t="n">
        <v>10</v>
      </c>
      <c r="J1115" s="16" t="inlineStr">
        <is>
          <t>red</t>
        </is>
      </c>
      <c r="K1115" s="20" t="n">
        <v>77</v>
      </c>
      <c r="L1115" s="18" t="n">
        <v>32.32</v>
      </c>
      <c r="M1115" s="18" t="n">
        <v>248.14</v>
      </c>
      <c r="N1115" s="18" t="n">
        <v>253.96</v>
      </c>
      <c r="O1115" s="18" t="n">
        <v>291.45</v>
      </c>
      <c r="P1115" s="18" t="n">
        <v>339.03</v>
      </c>
      <c r="Q1115" s="18" t="n">
        <v>243.71</v>
      </c>
      <c r="R1115" s="21">
        <f>IF(OR(G1115="",P1115=""),"",G1115/P1115-1)</f>
        <v/>
      </c>
      <c r="S1115" s="19" t="n">
        <v>0.8690000000000001</v>
      </c>
      <c r="T1115" s="22" t="n">
        <v>-0.0207</v>
      </c>
      <c r="U1115" s="16" t="inlineStr">
        <is>
          <t>No</t>
        </is>
      </c>
      <c r="V1115" s="16" t="inlineStr">
        <is>
          <t>No</t>
        </is>
      </c>
      <c r="W1115" s="16" t="inlineStr">
        <is>
          <t>No</t>
        </is>
      </c>
      <c r="X1115" s="16" t="inlineStr">
        <is>
          <t>No</t>
        </is>
      </c>
      <c r="Y1115" s="20" t="n">
        <v>54</v>
      </c>
      <c r="Z1115" s="19" t="n">
        <v>-0.1286</v>
      </c>
      <c r="AA1115" s="18" t="n">
        <v>47.27</v>
      </c>
      <c r="AB1115" s="16" t="inlineStr">
        <is>
          <t>Average</t>
        </is>
      </c>
      <c r="AC1115" s="16" t="inlineStr">
        <is>
          <t>No</t>
        </is>
      </c>
      <c r="AD1115" s="19" t="n">
        <v>0.1152</v>
      </c>
      <c r="AE1115" s="19" t="n">
        <v>0.1498</v>
      </c>
      <c r="AF1115" s="19" t="n">
        <v>0.0069</v>
      </c>
      <c r="AG1115" s="19" t="n">
        <v>0.0286</v>
      </c>
      <c r="AH1115" s="23" t="n">
        <v>0.06</v>
      </c>
      <c r="AI1115" s="23" t="n">
        <v>1.87</v>
      </c>
      <c r="AJ1115" s="19" t="n">
        <v>0.111</v>
      </c>
    </row>
    <row r="1116">
      <c r="A1116" s="16" t="inlineStr">
        <is>
          <t>TASTYBITE</t>
        </is>
      </c>
      <c r="B1116" s="16" t="inlineStr">
        <is>
          <t>Tasty Bite Eatables Ltd.</t>
        </is>
      </c>
      <c r="C1116" s="16" t="inlineStr">
        <is>
          <t>Packaged Foods</t>
        </is>
      </c>
      <c r="D1116" s="16" t="inlineStr">
        <is>
          <t>FMCG</t>
        </is>
      </c>
      <c r="E1116" s="16" t="inlineStr">
        <is>
          <t>INE488B01017</t>
        </is>
      </c>
      <c r="F1116" s="17" t="n">
        <v>2561.38</v>
      </c>
      <c r="G1116" s="18" t="n">
        <v>9982</v>
      </c>
      <c r="H1116" s="19" t="n">
        <v>-0.006999999999999999</v>
      </c>
      <c r="I1116" s="20" t="n">
        <v>71</v>
      </c>
      <c r="J1116" s="16" t="inlineStr">
        <is>
          <t>amber</t>
        </is>
      </c>
      <c r="K1116" s="20" t="n">
        <v>16</v>
      </c>
      <c r="L1116" s="18" t="n">
        <v>49.05</v>
      </c>
      <c r="M1116" s="18" t="n">
        <v>9991</v>
      </c>
      <c r="N1116" s="18" t="n">
        <v>9343.15</v>
      </c>
      <c r="O1116" s="18" t="n">
        <v>8008.9</v>
      </c>
      <c r="P1116" s="18" t="n">
        <v>10392</v>
      </c>
      <c r="Q1116" s="18" t="n">
        <v>6446.56</v>
      </c>
      <c r="R1116" s="21">
        <f>IF(OR(G1116="",P1116=""),"",G1116/P1116-1)</f>
        <v/>
      </c>
      <c r="S1116" s="19" t="n">
        <v>0.09910000000000001</v>
      </c>
      <c r="T1116" s="22" t="n">
        <v>0.0138</v>
      </c>
      <c r="U1116" s="16" t="inlineStr">
        <is>
          <t>Yes</t>
        </is>
      </c>
      <c r="V1116" s="16" t="inlineStr">
        <is>
          <t>Yes</t>
        </is>
      </c>
      <c r="W1116" s="16" t="inlineStr">
        <is>
          <t>No</t>
        </is>
      </c>
      <c r="X1116" s="16" t="inlineStr">
        <is>
          <t>Yes</t>
        </is>
      </c>
      <c r="Y1116" s="20" t="n">
        <v>44</v>
      </c>
      <c r="Z1116" s="19" t="n">
        <v>0.1666</v>
      </c>
      <c r="AA1116" s="18" t="n">
        <v>46.91</v>
      </c>
      <c r="AB1116" s="16" t="inlineStr">
        <is>
          <t>Average</t>
        </is>
      </c>
      <c r="AC1116" s="16" t="inlineStr">
        <is>
          <t>No</t>
        </is>
      </c>
      <c r="AD1116" s="19" t="n">
        <v>0.1101</v>
      </c>
      <c r="AE1116" s="19" t="n">
        <v>0.1352</v>
      </c>
      <c r="AF1116" s="19" t="n">
        <v>0.1232</v>
      </c>
      <c r="AG1116" s="19" t="n">
        <v>0.051</v>
      </c>
      <c r="AH1116" s="23" t="n">
        <v>0.12</v>
      </c>
      <c r="AI1116" s="23" t="n">
        <v>2.53</v>
      </c>
      <c r="AJ1116" s="19" t="n">
        <v>0.0519</v>
      </c>
    </row>
    <row r="1117">
      <c r="A1117" s="16" t="inlineStr">
        <is>
          <t>AUTOAXLES</t>
        </is>
      </c>
      <c r="B1117" s="16" t="inlineStr">
        <is>
          <t>Automotive Axles Ltd.</t>
        </is>
      </c>
      <c r="C1117" s="16" t="inlineStr">
        <is>
          <t>Auto Parts &amp; Equipment</t>
        </is>
      </c>
      <c r="D1117" s="16" t="inlineStr">
        <is>
          <t>Automobiles &amp; Auto Components</t>
        </is>
      </c>
      <c r="E1117" s="16" t="inlineStr">
        <is>
          <t>INE449A01011</t>
        </is>
      </c>
      <c r="F1117" s="17" t="n">
        <v>2551.96</v>
      </c>
      <c r="G1117" s="18" t="n">
        <v>1688.7</v>
      </c>
      <c r="H1117" s="19" t="n">
        <v>-0.0098</v>
      </c>
      <c r="I1117" s="20" t="n">
        <v>32</v>
      </c>
      <c r="J1117" s="16" t="inlineStr">
        <is>
          <t>red</t>
        </is>
      </c>
      <c r="K1117" s="20" t="n">
        <v>92</v>
      </c>
      <c r="L1117" s="18" t="n">
        <v>30.11</v>
      </c>
      <c r="M1117" s="18" t="n">
        <v>1719.41</v>
      </c>
      <c r="N1117" s="18" t="n">
        <v>1771.24</v>
      </c>
      <c r="O1117" s="18" t="n">
        <v>1785.55</v>
      </c>
      <c r="P1117" s="18" t="n">
        <v>2073.21</v>
      </c>
      <c r="Q1117" s="18" t="n">
        <v>1520.63</v>
      </c>
      <c r="R1117" s="21">
        <f>IF(OR(G1117="",P1117=""),"",G1117/P1117-1)</f>
        <v/>
      </c>
      <c r="S1117" s="19" t="n">
        <v>0.5918</v>
      </c>
      <c r="T1117" s="22" t="n">
        <v>0.005</v>
      </c>
      <c r="U1117" s="16" t="inlineStr">
        <is>
          <t>Yes</t>
        </is>
      </c>
      <c r="V1117" s="16" t="inlineStr">
        <is>
          <t>No</t>
        </is>
      </c>
      <c r="W1117" s="16" t="inlineStr">
        <is>
          <t>No</t>
        </is>
      </c>
      <c r="X1117" s="16" t="inlineStr">
        <is>
          <t>No</t>
        </is>
      </c>
      <c r="Y1117" s="20" t="n">
        <v>84</v>
      </c>
      <c r="Z1117" s="19" t="n">
        <v>-0.008</v>
      </c>
      <c r="AA1117" s="18" t="n">
        <v>61.69</v>
      </c>
      <c r="AB1117" s="16" t="inlineStr">
        <is>
          <t>Good</t>
        </is>
      </c>
      <c r="AC1117" s="16" t="inlineStr">
        <is>
          <t>No</t>
        </is>
      </c>
      <c r="AD1117" s="19" t="n">
        <v>0.1659</v>
      </c>
      <c r="AE1117" s="19" t="n">
        <v>0.2211</v>
      </c>
      <c r="AF1117" s="19" t="n">
        <v>0.0061</v>
      </c>
      <c r="AG1117" s="19" t="n">
        <v>-0.0183</v>
      </c>
      <c r="AH1117" s="23" t="n">
        <v>0.01</v>
      </c>
      <c r="AI1117" s="23" t="n">
        <v>7.98</v>
      </c>
      <c r="AJ1117" s="19" t="n">
        <v>0.1643</v>
      </c>
    </row>
    <row r="1118">
      <c r="A1118" s="16" t="inlineStr">
        <is>
          <t>ROSSARI</t>
        </is>
      </c>
      <c r="B1118" s="16" t="inlineStr">
        <is>
          <t>Rossari Biotech Ltd.</t>
        </is>
      </c>
      <c r="C1118" s="16" t="inlineStr">
        <is>
          <t>Specialty Chemicals</t>
        </is>
      </c>
      <c r="D1118" s="16" t="inlineStr">
        <is>
          <t>Chemicals &amp; Petrochemicals</t>
        </is>
      </c>
      <c r="E1118" s="16" t="inlineStr">
        <is>
          <t>INE02A801020</t>
        </is>
      </c>
      <c r="F1118" s="17" t="n">
        <v>2549.51</v>
      </c>
      <c r="G1118" s="18" t="n">
        <v>460.25</v>
      </c>
      <c r="H1118" s="19" t="n">
        <v>0.0071</v>
      </c>
      <c r="I1118" s="20" t="n">
        <v>14</v>
      </c>
      <c r="J1118" s="16" t="inlineStr">
        <is>
          <t>red</t>
        </is>
      </c>
      <c r="K1118" s="20" t="n">
        <v>501</v>
      </c>
      <c r="L1118" s="18" t="n">
        <v>28.66</v>
      </c>
      <c r="M1118" s="18" t="n">
        <v>481.29</v>
      </c>
      <c r="N1118" s="18" t="n">
        <v>507.77</v>
      </c>
      <c r="O1118" s="18" t="n">
        <v>516.98</v>
      </c>
      <c r="P1118" s="18" t="n">
        <v>674.4</v>
      </c>
      <c r="Q1118" s="18" t="n">
        <v>378.24</v>
      </c>
      <c r="R1118" s="21">
        <f>IF(OR(G1118="",P1118=""),"",G1118/P1118-1)</f>
        <v/>
      </c>
      <c r="S1118" s="19" t="n">
        <v>0.9339</v>
      </c>
      <c r="T1118" s="22" t="n">
        <v>-0.0273</v>
      </c>
      <c r="U1118" s="16" t="inlineStr">
        <is>
          <t>No</t>
        </is>
      </c>
      <c r="V1118" s="16" t="inlineStr">
        <is>
          <t>No</t>
        </is>
      </c>
      <c r="W1118" s="16" t="inlineStr">
        <is>
          <t>No</t>
        </is>
      </c>
      <c r="X1118" s="16" t="inlineStr">
        <is>
          <t>No</t>
        </is>
      </c>
      <c r="Y1118" s="20" t="n">
        <v>408</v>
      </c>
      <c r="Z1118" s="19" t="n">
        <v>-0.0178</v>
      </c>
      <c r="AA1118" s="18" t="n">
        <v>50.81</v>
      </c>
      <c r="AB1118" s="16" t="inlineStr">
        <is>
          <t>Average</t>
        </is>
      </c>
      <c r="AC1118" s="16" t="inlineStr">
        <is>
          <t>No</t>
        </is>
      </c>
      <c r="AD1118" s="19" t="n">
        <v>0.1172</v>
      </c>
      <c r="AE1118" s="19" t="n">
        <v>0.148</v>
      </c>
      <c r="AF1118" s="19" t="n">
        <v>0.1183</v>
      </c>
      <c r="AG1118" s="19" t="n">
        <v>0.1313</v>
      </c>
      <c r="AH1118" s="23" t="n">
        <v>0.33</v>
      </c>
      <c r="AI1118" s="23" t="n">
        <v>3.16</v>
      </c>
      <c r="AJ1118" s="19" t="n">
        <v>0.2582</v>
      </c>
    </row>
    <row r="1119">
      <c r="A1119" s="16" t="inlineStr">
        <is>
          <t>MEDIASSIST</t>
        </is>
      </c>
      <c r="B1119" s="16" t="inlineStr">
        <is>
          <t>Medi Assist Healthcare Services Ltd.</t>
        </is>
      </c>
      <c r="C1119" s="16" t="inlineStr">
        <is>
          <t>Healthcare Services</t>
        </is>
      </c>
      <c r="D1119" s="16" t="inlineStr">
        <is>
          <t>Healthcare</t>
        </is>
      </c>
      <c r="E1119" s="16" t="inlineStr">
        <is>
          <t>INE456Z01021</t>
        </is>
      </c>
      <c r="F1119" s="17" t="n">
        <v>2542.48</v>
      </c>
      <c r="G1119" s="18" t="n">
        <v>340.35</v>
      </c>
      <c r="H1119" s="19" t="n">
        <v>-0.0105</v>
      </c>
      <c r="I1119" s="20" t="n">
        <v>16</v>
      </c>
      <c r="J1119" s="16" t="inlineStr">
        <is>
          <t>red</t>
        </is>
      </c>
      <c r="K1119" s="20" t="n">
        <v>209</v>
      </c>
      <c r="L1119" s="18" t="n">
        <v>47.65</v>
      </c>
      <c r="M1119" s="18" t="n">
        <v>337.67</v>
      </c>
      <c r="N1119" s="18" t="n">
        <v>353.28</v>
      </c>
      <c r="O1119" s="18" t="n">
        <v>382.99</v>
      </c>
      <c r="P1119" s="18" t="n">
        <v>571.15</v>
      </c>
      <c r="Q1119" s="18" t="n">
        <v>296.75</v>
      </c>
      <c r="R1119" s="21">
        <f>IF(OR(G1119="",P1119=""),"",G1119/P1119-1)</f>
        <v/>
      </c>
      <c r="S1119" s="19" t="n">
        <v>2.0793</v>
      </c>
      <c r="T1119" s="22" t="n">
        <v>-0.0432</v>
      </c>
      <c r="U1119" s="16" t="inlineStr">
        <is>
          <t>No</t>
        </is>
      </c>
      <c r="V1119" s="16" t="inlineStr">
        <is>
          <t>No</t>
        </is>
      </c>
      <c r="W1119" s="16" t="inlineStr">
        <is>
          <t>Yes</t>
        </is>
      </c>
      <c r="X1119" s="16" t="inlineStr">
        <is>
          <t>No</t>
        </is>
      </c>
      <c r="Y1119" s="20" t="n">
        <v>177</v>
      </c>
      <c r="Z1119" s="19" t="n">
        <v>-0.0776</v>
      </c>
      <c r="AA1119" s="18" t="n">
        <v>59.93</v>
      </c>
      <c r="AB1119" s="16" t="inlineStr">
        <is>
          <t>Good</t>
        </is>
      </c>
      <c r="AC1119" s="16" t="inlineStr">
        <is>
          <t>No</t>
        </is>
      </c>
      <c r="AD1119" s="19" t="n">
        <v>0.1382</v>
      </c>
      <c r="AE1119" s="19" t="n">
        <v>0.1511</v>
      </c>
      <c r="AF1119" s="19" t="n">
        <v>0.0596</v>
      </c>
      <c r="AG1119" s="19" t="n">
        <v>0.2179</v>
      </c>
      <c r="AH1119" s="23" t="n">
        <v>0.06</v>
      </c>
      <c r="AI1119" s="23" t="n">
        <v>9.65</v>
      </c>
      <c r="AJ1119" s="19" t="n">
        <v>0</v>
      </c>
    </row>
    <row r="1120">
      <c r="A1120" s="16" t="inlineStr">
        <is>
          <t>DRAGARWQ</t>
        </is>
      </c>
      <c r="B1120" s="16" t="inlineStr">
        <is>
          <t>Dr. Agarwal's Eye Hospital Ltd.</t>
        </is>
      </c>
      <c r="C1120" s="16" t="inlineStr">
        <is>
          <t>Healthcare Facilities</t>
        </is>
      </c>
      <c r="D1120" s="16" t="inlineStr">
        <is>
          <t>Healthcare</t>
        </is>
      </c>
      <c r="E1120" s="16" t="inlineStr">
        <is>
          <t>INE934C01018</t>
        </is>
      </c>
      <c r="F1120" s="17" t="n">
        <v>2534.43</v>
      </c>
      <c r="G1120" s="18" t="n">
        <v>5392.4</v>
      </c>
      <c r="H1120" s="19" t="n">
        <v>0.0105</v>
      </c>
      <c r="I1120" s="20" t="n">
        <v>55</v>
      </c>
      <c r="J1120" s="16" t="inlineStr">
        <is>
          <t>red</t>
        </is>
      </c>
      <c r="K1120" s="20" t="n">
        <v>16</v>
      </c>
      <c r="L1120" s="18" t="n">
        <v>55.76</v>
      </c>
      <c r="M1120" s="18" t="n">
        <v>5300.39</v>
      </c>
      <c r="N1120" s="18" t="n">
        <v>5154.28</v>
      </c>
      <c r="O1120" s="18" t="n">
        <v>5037.79</v>
      </c>
      <c r="P1120" s="18" t="n">
        <v>5754.44</v>
      </c>
      <c r="Q1120" s="18" t="n">
        <v>4471.17</v>
      </c>
      <c r="R1120" s="21">
        <f>IF(OR(G1120="",P1120=""),"",G1120/P1120-1)</f>
        <v/>
      </c>
      <c r="S1120" s="19" t="n">
        <v>0.2688</v>
      </c>
      <c r="T1120" s="22" t="n">
        <v>0.0017</v>
      </c>
      <c r="U1120" s="16" t="inlineStr">
        <is>
          <t>Yes</t>
        </is>
      </c>
      <c r="V1120" s="16" t="inlineStr">
        <is>
          <t>Yes</t>
        </is>
      </c>
      <c r="W1120" s="16" t="inlineStr">
        <is>
          <t>Yes</t>
        </is>
      </c>
      <c r="X1120" s="16" t="inlineStr">
        <is>
          <t>Yes</t>
        </is>
      </c>
      <c r="Y1120" s="20" t="n">
        <v>20</v>
      </c>
      <c r="Z1120" s="19" t="n">
        <v>0.0231</v>
      </c>
      <c r="AA1120" s="18" t="n"/>
      <c r="AB1120" s="16" t="n"/>
      <c r="AC1120" s="16" t="inlineStr">
        <is>
          <t>No</t>
        </is>
      </c>
      <c r="AD1120" s="19" t="n"/>
      <c r="AE1120" s="19" t="n"/>
      <c r="AF1120" s="19" t="n"/>
      <c r="AG1120" s="19" t="n"/>
      <c r="AH1120" s="23" t="n"/>
      <c r="AI1120" s="23" t="n"/>
      <c r="AJ1120" s="19" t="n"/>
    </row>
    <row r="1121">
      <c r="A1121" s="16" t="inlineStr">
        <is>
          <t>POKARNA</t>
        </is>
      </c>
      <c r="B1121" s="16" t="inlineStr">
        <is>
          <t>Pokarna Ltd.</t>
        </is>
      </c>
      <c r="C1121" s="16" t="inlineStr">
        <is>
          <t>Construction Materials</t>
        </is>
      </c>
      <c r="D1121" s="16" t="inlineStr">
        <is>
          <t>Cement and Construction</t>
        </is>
      </c>
      <c r="E1121" s="16" t="inlineStr">
        <is>
          <t>INE637C01025</t>
        </is>
      </c>
      <c r="F1121" s="17" t="n">
        <v>2533.49</v>
      </c>
      <c r="G1121" s="18" t="n">
        <v>817.15</v>
      </c>
      <c r="H1121" s="19" t="n">
        <v>-0.0171</v>
      </c>
      <c r="I1121" s="20" t="n">
        <v>33</v>
      </c>
      <c r="J1121" s="16" t="inlineStr">
        <is>
          <t>red</t>
        </is>
      </c>
      <c r="K1121" s="20" t="n">
        <v>25</v>
      </c>
      <c r="L1121" s="18" t="n">
        <v>16.97</v>
      </c>
      <c r="M1121" s="18" t="n">
        <v>848.08</v>
      </c>
      <c r="N1121" s="18" t="n">
        <v>947.09</v>
      </c>
      <c r="O1121" s="18" t="n">
        <v>895.53</v>
      </c>
      <c r="P1121" s="18" t="n">
        <v>1131.7</v>
      </c>
      <c r="Q1121" s="18" t="n">
        <v>704.0599999999999</v>
      </c>
      <c r="R1121" s="21">
        <f>IF(OR(G1121="",P1121=""),"",G1121/P1121-1)</f>
        <v/>
      </c>
      <c r="S1121" s="19" t="n">
        <v>0.5838</v>
      </c>
      <c r="T1121" s="22" t="n">
        <v>0.0004</v>
      </c>
      <c r="U1121" s="16" t="inlineStr">
        <is>
          <t>Yes</t>
        </is>
      </c>
      <c r="V1121" s="16" t="inlineStr">
        <is>
          <t>No</t>
        </is>
      </c>
      <c r="W1121" s="16" t="inlineStr">
        <is>
          <t>No</t>
        </is>
      </c>
      <c r="X1121" s="16" t="inlineStr">
        <is>
          <t>Yes</t>
        </is>
      </c>
      <c r="Y1121" s="20" t="n">
        <v>110</v>
      </c>
      <c r="Z1121" s="19" t="n">
        <v>0.0576</v>
      </c>
      <c r="AA1121" s="18" t="n">
        <v>46.75</v>
      </c>
      <c r="AB1121" s="16" t="inlineStr">
        <is>
          <t>Average</t>
        </is>
      </c>
      <c r="AC1121" s="16" t="inlineStr">
        <is>
          <t>No</t>
        </is>
      </c>
      <c r="AD1121" s="19" t="n">
        <v>0.1609</v>
      </c>
      <c r="AE1121" s="19" t="n">
        <v>0.1836</v>
      </c>
      <c r="AF1121" s="19" t="n">
        <v>0.3012</v>
      </c>
      <c r="AG1121" s="19" t="n">
        <v>-0.0282</v>
      </c>
      <c r="AH1121" s="23" t="n">
        <v>0.53</v>
      </c>
      <c r="AI1121" s="23" t="n">
        <v>0.48</v>
      </c>
      <c r="AJ1121" s="19" t="n">
        <v>0.3421</v>
      </c>
    </row>
    <row r="1122">
      <c r="A1122" s="16" t="inlineStr">
        <is>
          <t>RAJRATAN</t>
        </is>
      </c>
      <c r="B1122" s="16" t="inlineStr">
        <is>
          <t>Rajratan Global Wire Ltd.</t>
        </is>
      </c>
      <c r="C1122" s="16" t="inlineStr">
        <is>
          <t>Auto Parts &amp; Equipment</t>
        </is>
      </c>
      <c r="D1122" s="16" t="inlineStr">
        <is>
          <t>Automobiles &amp; Auto Components</t>
        </is>
      </c>
      <c r="E1122" s="16" t="inlineStr">
        <is>
          <t>INE451D01029</t>
        </is>
      </c>
      <c r="F1122" s="17" t="n">
        <v>2530.17</v>
      </c>
      <c r="G1122" s="18" t="n">
        <v>498.35</v>
      </c>
      <c r="H1122" s="19" t="n">
        <v>0.0066</v>
      </c>
      <c r="I1122" s="20" t="n">
        <v>71</v>
      </c>
      <c r="J1122" s="16" t="inlineStr">
        <is>
          <t>amber</t>
        </is>
      </c>
      <c r="K1122" s="20" t="n">
        <v>67</v>
      </c>
      <c r="L1122" s="18" t="n">
        <v>34.99</v>
      </c>
      <c r="M1122" s="18" t="n">
        <v>494.96</v>
      </c>
      <c r="N1122" s="18" t="n">
        <v>493.26</v>
      </c>
      <c r="O1122" s="18" t="n">
        <v>447.05</v>
      </c>
      <c r="P1122" s="18" t="n">
        <v>540.05</v>
      </c>
      <c r="Q1122" s="18" t="n">
        <v>307.75</v>
      </c>
      <c r="R1122" s="21">
        <f>IF(OR(G1122="",P1122=""),"",G1122/P1122-1)</f>
        <v/>
      </c>
      <c r="S1122" s="19" t="n">
        <v>0.7397</v>
      </c>
      <c r="T1122" s="22" t="n">
        <v>0.0154</v>
      </c>
      <c r="U1122" s="16" t="inlineStr">
        <is>
          <t>Yes</t>
        </is>
      </c>
      <c r="V1122" s="16" t="inlineStr">
        <is>
          <t>Yes</t>
        </is>
      </c>
      <c r="W1122" s="16" t="inlineStr">
        <is>
          <t>Yes</t>
        </is>
      </c>
      <c r="X1122" s="16" t="inlineStr">
        <is>
          <t>Yes</t>
        </is>
      </c>
      <c r="Y1122" s="20" t="n">
        <v>69</v>
      </c>
      <c r="Z1122" s="19" t="n">
        <v>0.1034</v>
      </c>
      <c r="AA1122" s="18" t="n">
        <v>39.97</v>
      </c>
      <c r="AB1122" s="16" t="inlineStr">
        <is>
          <t>Weak</t>
        </is>
      </c>
      <c r="AC1122" s="16" t="inlineStr">
        <is>
          <t>No</t>
        </is>
      </c>
      <c r="AD1122" s="19" t="n">
        <v>0.1196</v>
      </c>
      <c r="AE1122" s="19" t="n">
        <v>0.1367</v>
      </c>
      <c r="AF1122" s="19" t="n">
        <v>-0.09050000000000001</v>
      </c>
      <c r="AG1122" s="19" t="n">
        <v>0.09359999999999999</v>
      </c>
      <c r="AH1122" s="23" t="n">
        <v>0.5</v>
      </c>
      <c r="AI1122" s="23" t="n">
        <v>1.61</v>
      </c>
      <c r="AJ1122" s="19" t="n">
        <v>0.1412</v>
      </c>
    </row>
    <row r="1123">
      <c r="A1123" s="16" t="inlineStr">
        <is>
          <t>TALBROAUTO</t>
        </is>
      </c>
      <c r="B1123" s="16" t="inlineStr">
        <is>
          <t>Talbros Automotive Components Ltd.</t>
        </is>
      </c>
      <c r="C1123" s="16" t="inlineStr">
        <is>
          <t>Auto Parts &amp; Equipment</t>
        </is>
      </c>
      <c r="D1123" s="16" t="inlineStr">
        <is>
          <t>Automobiles &amp; Auto Components</t>
        </is>
      </c>
      <c r="E1123" s="16" t="inlineStr">
        <is>
          <t>INE187D01029</t>
        </is>
      </c>
      <c r="F1123" s="17" t="n">
        <v>2516.97</v>
      </c>
      <c r="G1123" s="18" t="n">
        <v>407.75</v>
      </c>
      <c r="H1123" s="19" t="n">
        <v>-0.0107</v>
      </c>
      <c r="I1123" s="20" t="n">
        <v>80</v>
      </c>
      <c r="J1123" s="16" t="inlineStr">
        <is>
          <t>green</t>
        </is>
      </c>
      <c r="K1123" s="20" t="n">
        <v>76</v>
      </c>
      <c r="L1123" s="18" t="n">
        <v>38.49</v>
      </c>
      <c r="M1123" s="18" t="n">
        <v>408.32</v>
      </c>
      <c r="N1123" s="18" t="n">
        <v>411.42</v>
      </c>
      <c r="O1123" s="18" t="n">
        <v>320.03</v>
      </c>
      <c r="P1123" s="18" t="n">
        <v>439.35</v>
      </c>
      <c r="Q1123" s="18" t="n">
        <v>224.05</v>
      </c>
      <c r="R1123" s="21">
        <f>IF(OR(G1123="",P1123=""),"",G1123/P1123-1)</f>
        <v/>
      </c>
      <c r="S1123" s="19" t="n">
        <v>0.3992</v>
      </c>
      <c r="T1123" s="22" t="n">
        <v>0.0406</v>
      </c>
      <c r="U1123" s="16" t="inlineStr">
        <is>
          <t>Yes</t>
        </is>
      </c>
      <c r="V1123" s="16" t="inlineStr">
        <is>
          <t>No</t>
        </is>
      </c>
      <c r="W1123" s="16" t="inlineStr">
        <is>
          <t>No</t>
        </is>
      </c>
      <c r="X1123" s="16" t="inlineStr">
        <is>
          <t>Yes</t>
        </is>
      </c>
      <c r="Y1123" s="20" t="n">
        <v>77</v>
      </c>
      <c r="Z1123" s="19" t="n">
        <v>0.2856</v>
      </c>
      <c r="AA1123" s="18" t="n">
        <v>64.79000000000001</v>
      </c>
      <c r="AB1123" s="16" t="inlineStr">
        <is>
          <t>High</t>
        </is>
      </c>
      <c r="AC1123" s="16" t="inlineStr">
        <is>
          <t>No</t>
        </is>
      </c>
      <c r="AD1123" s="19" t="n">
        <v>0.1647</v>
      </c>
      <c r="AE1123" s="19" t="n">
        <v>0.2025</v>
      </c>
      <c r="AF1123" s="19" t="n">
        <v>0.3137</v>
      </c>
      <c r="AG1123" s="19" t="n">
        <v>0.1293</v>
      </c>
      <c r="AH1123" s="23" t="n">
        <v>0.11</v>
      </c>
      <c r="AI1123" s="23" t="n">
        <v>3.53</v>
      </c>
      <c r="AJ1123" s="19" t="n">
        <v>0.08810000000000001</v>
      </c>
    </row>
    <row r="1124">
      <c r="A1124" s="16" t="inlineStr">
        <is>
          <t>ASIANENE</t>
        </is>
      </c>
      <c r="B1124" s="16" t="inlineStr">
        <is>
          <t>Asian Energy Services Ltd.</t>
        </is>
      </c>
      <c r="C1124" s="16" t="inlineStr">
        <is>
          <t>Oil Equipment &amp; Services</t>
        </is>
      </c>
      <c r="D1124" s="16" t="inlineStr">
        <is>
          <t>Oil &amp; Gas</t>
        </is>
      </c>
      <c r="E1124" s="16" t="inlineStr">
        <is>
          <t>INE276G01015</t>
        </is>
      </c>
      <c r="F1124" s="17" t="n">
        <v>2515.38</v>
      </c>
      <c r="G1124" s="18" t="n">
        <v>517.45</v>
      </c>
      <c r="H1124" s="19" t="n">
        <v>-0.0106</v>
      </c>
      <c r="I1124" s="20" t="n">
        <v>87</v>
      </c>
      <c r="J1124" s="16" t="inlineStr">
        <is>
          <t>green</t>
        </is>
      </c>
      <c r="K1124" s="20" t="n">
        <v>14</v>
      </c>
      <c r="L1124" s="18" t="n">
        <v>71.67</v>
      </c>
      <c r="M1124" s="18" t="n">
        <v>494.56</v>
      </c>
      <c r="N1124" s="18" t="n">
        <v>402.16</v>
      </c>
      <c r="O1124" s="18" t="n">
        <v>325.14</v>
      </c>
      <c r="P1124" s="18" t="n">
        <v>523</v>
      </c>
      <c r="Q1124" s="18" t="n">
        <v>233.95</v>
      </c>
      <c r="R1124" s="21">
        <f>IF(OR(G1124="",P1124=""),"",G1124/P1124-1)</f>
        <v/>
      </c>
      <c r="S1124" s="19" t="n">
        <v>0.653</v>
      </c>
      <c r="T1124" s="22" t="n">
        <v>0.04019999999999999</v>
      </c>
      <c r="U1124" s="16" t="inlineStr">
        <is>
          <t>Yes</t>
        </is>
      </c>
      <c r="V1124" s="16" t="inlineStr">
        <is>
          <t>Yes</t>
        </is>
      </c>
      <c r="W1124" s="16" t="inlineStr">
        <is>
          <t>Yes</t>
        </is>
      </c>
      <c r="X1124" s="16" t="inlineStr">
        <is>
          <t>Yes</t>
        </is>
      </c>
      <c r="Y1124" s="20" t="n">
        <v>68</v>
      </c>
      <c r="Z1124" s="19" t="n">
        <v>0.2369</v>
      </c>
      <c r="AA1124" s="18" t="n">
        <v>60.75</v>
      </c>
      <c r="AB1124" s="16" t="inlineStr">
        <is>
          <t>Good</t>
        </is>
      </c>
      <c r="AC1124" s="16" t="inlineStr">
        <is>
          <t>No</t>
        </is>
      </c>
      <c r="AD1124" s="19" t="n">
        <v>0.1003</v>
      </c>
      <c r="AE1124" s="19" t="n">
        <v>0.122</v>
      </c>
      <c r="AF1124" s="19" t="n">
        <v>0.7397</v>
      </c>
      <c r="AG1124" s="19" t="n">
        <v>1.0078</v>
      </c>
      <c r="AH1124" s="23" t="n">
        <v>0.32</v>
      </c>
      <c r="AI1124" s="23" t="n">
        <v>4.93</v>
      </c>
      <c r="AJ1124" s="19" t="n">
        <v>0.2877</v>
      </c>
    </row>
    <row r="1125">
      <c r="A1125" s="16" t="inlineStr">
        <is>
          <t>SIYSIL</t>
        </is>
      </c>
      <c r="B1125" s="16" t="inlineStr">
        <is>
          <t>Siyaram Silk Mills Ltd.</t>
        </is>
      </c>
      <c r="C1125" s="16" t="inlineStr">
        <is>
          <t>Textiles</t>
        </is>
      </c>
      <c r="D1125" s="16" t="inlineStr">
        <is>
          <t>Textiles Apparels &amp; Accessories</t>
        </is>
      </c>
      <c r="E1125" s="16" t="inlineStr">
        <is>
          <t>INE076B01028</t>
        </is>
      </c>
      <c r="F1125" s="17" t="n">
        <v>2507.38</v>
      </c>
      <c r="G1125" s="18" t="n">
        <v>552.65</v>
      </c>
      <c r="H1125" s="19" t="n">
        <v>-0.0107</v>
      </c>
      <c r="I1125" s="20" t="n">
        <v>23</v>
      </c>
      <c r="J1125" s="16" t="inlineStr">
        <is>
          <t>red</t>
        </is>
      </c>
      <c r="K1125" s="20" t="n">
        <v>48</v>
      </c>
      <c r="L1125" s="18" t="n">
        <v>25.21</v>
      </c>
      <c r="M1125" s="18" t="n">
        <v>560.36</v>
      </c>
      <c r="N1125" s="18" t="n">
        <v>614.65</v>
      </c>
      <c r="O1125" s="18" t="n">
        <v>585.34</v>
      </c>
      <c r="P1125" s="18" t="n">
        <v>805.29</v>
      </c>
      <c r="Q1125" s="18" t="n">
        <v>429.35</v>
      </c>
      <c r="R1125" s="21">
        <f>IF(OR(G1125="",P1125=""),"",G1125/P1125-1)</f>
        <v/>
      </c>
      <c r="S1125" s="19" t="n">
        <v>0.4994</v>
      </c>
      <c r="T1125" s="22" t="n">
        <v>-0.0256</v>
      </c>
      <c r="U1125" s="16" t="inlineStr">
        <is>
          <t>No</t>
        </is>
      </c>
      <c r="V1125" s="16" t="inlineStr">
        <is>
          <t>No</t>
        </is>
      </c>
      <c r="W1125" s="16" t="inlineStr">
        <is>
          <t>No</t>
        </is>
      </c>
      <c r="X1125" s="16" t="inlineStr">
        <is>
          <t>Yes</t>
        </is>
      </c>
      <c r="Y1125" s="20" t="n">
        <v>36</v>
      </c>
      <c r="Z1125" s="19" t="n">
        <v>0.0501</v>
      </c>
      <c r="AA1125" s="18" t="n">
        <v>51.41</v>
      </c>
      <c r="AB1125" s="16" t="inlineStr">
        <is>
          <t>Average</t>
        </is>
      </c>
      <c r="AC1125" s="16" t="inlineStr">
        <is>
          <t>No</t>
        </is>
      </c>
      <c r="AD1125" s="19" t="n">
        <v>0.1581</v>
      </c>
      <c r="AE1125" s="19" t="n">
        <v>0.1926</v>
      </c>
      <c r="AF1125" s="19" t="n">
        <v>0.0015</v>
      </c>
      <c r="AG1125" s="19" t="n">
        <v>0.0525</v>
      </c>
      <c r="AH1125" s="23" t="n">
        <v>0.24</v>
      </c>
      <c r="AI1125" s="23" t="n">
        <v>4.32</v>
      </c>
      <c r="AJ1125" s="19" t="n">
        <v>0.0286</v>
      </c>
    </row>
    <row r="1126">
      <c r="A1126" s="16" t="inlineStr">
        <is>
          <t>ORIENTHOT</t>
        </is>
      </c>
      <c r="B1126" s="16" t="inlineStr">
        <is>
          <t>Oriental Hotels Ltd.</t>
        </is>
      </c>
      <c r="C1126" s="16" t="inlineStr">
        <is>
          <t>Hotels</t>
        </is>
      </c>
      <c r="D1126" s="16" t="inlineStr">
        <is>
          <t>Hotels Restaurants &amp; Tourism</t>
        </is>
      </c>
      <c r="E1126" s="16" t="inlineStr">
        <is>
          <t>INE750A01020</t>
        </is>
      </c>
      <c r="F1126" s="17" t="n">
        <v>2499.14</v>
      </c>
      <c r="G1126" s="18" t="n">
        <v>139.93</v>
      </c>
      <c r="H1126" s="19" t="n">
        <v>-0.0143</v>
      </c>
      <c r="I1126" s="20" t="n">
        <v>75</v>
      </c>
      <c r="J1126" s="16" t="inlineStr">
        <is>
          <t>amber</t>
        </is>
      </c>
      <c r="K1126" s="20" t="n">
        <v>54</v>
      </c>
      <c r="L1126" s="18" t="n">
        <v>73.33</v>
      </c>
      <c r="M1126" s="18" t="n">
        <v>139.8</v>
      </c>
      <c r="N1126" s="18" t="n">
        <v>134.41</v>
      </c>
      <c r="O1126" s="18" t="n">
        <v>111.05</v>
      </c>
      <c r="P1126" s="18" t="n">
        <v>145.84</v>
      </c>
      <c r="Q1126" s="18" t="n">
        <v>81.62</v>
      </c>
      <c r="R1126" s="21">
        <f>IF(OR(G1126="",P1126=""),"",G1126/P1126-1)</f>
        <v/>
      </c>
      <c r="S1126" s="19" t="n">
        <v>0.113</v>
      </c>
      <c r="T1126" s="22" t="n">
        <v>0.0116</v>
      </c>
      <c r="U1126" s="16" t="inlineStr">
        <is>
          <t>Yes</t>
        </is>
      </c>
      <c r="V1126" s="16" t="inlineStr">
        <is>
          <t>Yes</t>
        </is>
      </c>
      <c r="W1126" s="16" t="inlineStr">
        <is>
          <t>Yes</t>
        </is>
      </c>
      <c r="X1126" s="16" t="inlineStr">
        <is>
          <t>Yes</t>
        </is>
      </c>
      <c r="Y1126" s="20" t="n">
        <v>45</v>
      </c>
      <c r="Z1126" s="19" t="n">
        <v>0.2103</v>
      </c>
      <c r="AA1126" s="18" t="n">
        <v>38.07</v>
      </c>
      <c r="AB1126" s="16" t="inlineStr">
        <is>
          <t>Weak</t>
        </is>
      </c>
      <c r="AC1126" s="16" t="inlineStr">
        <is>
          <t>No</t>
        </is>
      </c>
      <c r="AD1126" s="19" t="n">
        <v>0.0757</v>
      </c>
      <c r="AE1126" s="19" t="n">
        <v>0.1049</v>
      </c>
      <c r="AF1126" s="19" t="n">
        <v>0.1444</v>
      </c>
      <c r="AG1126" s="19" t="n">
        <v>0.0794</v>
      </c>
      <c r="AH1126" s="23" t="n">
        <v>0.17</v>
      </c>
      <c r="AI1126" s="23" t="n">
        <v>1.03</v>
      </c>
      <c r="AJ1126" s="19" t="n">
        <v>0.005500000000000001</v>
      </c>
    </row>
    <row r="1127">
      <c r="A1127" s="16" t="inlineStr">
        <is>
          <t>SUNDROP</t>
        </is>
      </c>
      <c r="B1127" s="16" t="inlineStr">
        <is>
          <t>Sundrop Brands Ltd.</t>
        </is>
      </c>
      <c r="C1127" s="16" t="inlineStr">
        <is>
          <t>Edible Oils</t>
        </is>
      </c>
      <c r="D1127" s="16" t="inlineStr">
        <is>
          <t>FMCG</t>
        </is>
      </c>
      <c r="E1127" s="16" t="inlineStr">
        <is>
          <t>INE209A01019</t>
        </is>
      </c>
      <c r="F1127" s="17" t="n">
        <v>2497.42</v>
      </c>
      <c r="G1127" s="18" t="n">
        <v>662.5</v>
      </c>
      <c r="H1127" s="19" t="n">
        <v>0.009300000000000001</v>
      </c>
      <c r="I1127" s="20" t="n">
        <v>29</v>
      </c>
      <c r="J1127" s="16" t="inlineStr">
        <is>
          <t>red</t>
        </is>
      </c>
      <c r="K1127" s="20" t="n">
        <v>264</v>
      </c>
      <c r="L1127" s="18" t="n">
        <v>59.23</v>
      </c>
      <c r="M1127" s="18" t="n">
        <v>657.16</v>
      </c>
      <c r="N1127" s="18" t="n">
        <v>655.72</v>
      </c>
      <c r="O1127" s="18" t="n">
        <v>662.47</v>
      </c>
      <c r="P1127" s="18" t="n">
        <v>862.35</v>
      </c>
      <c r="Q1127" s="18" t="n">
        <v>560.85</v>
      </c>
      <c r="R1127" s="21">
        <f>IF(OR(G1127="",P1127=""),"",G1127/P1127-1)</f>
        <v/>
      </c>
      <c r="S1127" s="19" t="n">
        <v>0.2604</v>
      </c>
      <c r="T1127" s="22" t="n">
        <v>-0.017</v>
      </c>
      <c r="U1127" s="16" t="inlineStr">
        <is>
          <t>No</t>
        </is>
      </c>
      <c r="V1127" s="16" t="inlineStr">
        <is>
          <t>Yes</t>
        </is>
      </c>
      <c r="W1127" s="16" t="inlineStr">
        <is>
          <t>Yes</t>
        </is>
      </c>
      <c r="X1127" s="16" t="inlineStr">
        <is>
          <t>No</t>
        </is>
      </c>
      <c r="Y1127" s="20" t="n">
        <v>246</v>
      </c>
      <c r="Z1127" s="19" t="n">
        <v>-0.0102</v>
      </c>
      <c r="AA1127" s="18" t="n">
        <v>38.24</v>
      </c>
      <c r="AB1127" s="16" t="inlineStr">
        <is>
          <t>Weak</t>
        </is>
      </c>
      <c r="AC1127" s="16" t="inlineStr">
        <is>
          <t>No</t>
        </is>
      </c>
      <c r="AD1127" s="19" t="n">
        <v>-0.014</v>
      </c>
      <c r="AE1127" s="19" t="n">
        <v>-0.016</v>
      </c>
      <c r="AF1127" s="19" t="n">
        <v>-3.3046</v>
      </c>
      <c r="AG1127" s="19" t="n">
        <v>0.2673</v>
      </c>
      <c r="AH1127" s="23" t="n">
        <v>0.01</v>
      </c>
      <c r="AI1127" s="23" t="n">
        <v>3.91</v>
      </c>
      <c r="AJ1127" s="19" t="n">
        <v>0.0095</v>
      </c>
    </row>
    <row r="1128">
      <c r="A1128" s="16" t="inlineStr">
        <is>
          <t>FISCHER</t>
        </is>
      </c>
      <c r="B1128" s="16" t="inlineStr">
        <is>
          <t>Fischer Medical Ventures Ltd.</t>
        </is>
      </c>
      <c r="C1128" s="16" t="inlineStr">
        <is>
          <t>Commodity Chemicals</t>
        </is>
      </c>
      <c r="D1128" s="16" t="inlineStr">
        <is>
          <t>Chemicals &amp; Petrochemicals</t>
        </is>
      </c>
      <c r="E1128" s="16" t="inlineStr">
        <is>
          <t>INE771F01041</t>
        </is>
      </c>
      <c r="F1128" s="17" t="n">
        <v>2496.44</v>
      </c>
      <c r="G1128" s="18" t="n">
        <v>36.04</v>
      </c>
      <c r="H1128" s="19" t="n">
        <v>-0.0267</v>
      </c>
      <c r="I1128" s="20" t="n">
        <v>19</v>
      </c>
      <c r="J1128" s="16" t="inlineStr">
        <is>
          <t>red</t>
        </is>
      </c>
      <c r="K1128" s="20" t="n">
        <v>211</v>
      </c>
      <c r="L1128" s="18" t="n">
        <v>44.36</v>
      </c>
      <c r="M1128" s="18" t="n">
        <v>36.19</v>
      </c>
      <c r="N1128" s="18" t="n">
        <v>38.04</v>
      </c>
      <c r="O1128" s="18" t="n">
        <v>38.8</v>
      </c>
      <c r="P1128" s="18" t="n">
        <v>117.71</v>
      </c>
      <c r="Q1128" s="18" t="n">
        <v>31.21</v>
      </c>
      <c r="R1128" s="21">
        <f>IF(OR(G1128="",P1128=""),"",G1128/P1128-1)</f>
        <v/>
      </c>
      <c r="S1128" s="19" t="n">
        <v>0.2237</v>
      </c>
      <c r="T1128" s="22" t="n">
        <v>-0.1175</v>
      </c>
      <c r="U1128" s="16" t="inlineStr">
        <is>
          <t>No</t>
        </is>
      </c>
      <c r="V1128" s="16" t="inlineStr">
        <is>
          <t>No</t>
        </is>
      </c>
      <c r="W1128" s="16" t="inlineStr">
        <is>
          <t>No</t>
        </is>
      </c>
      <c r="X1128" s="16" t="inlineStr">
        <is>
          <t>No</t>
        </is>
      </c>
      <c r="Y1128" s="20" t="n">
        <v>91</v>
      </c>
      <c r="Z1128" s="19" t="n">
        <v>-0.0196</v>
      </c>
      <c r="AA1128" s="18" t="n">
        <v>54.32</v>
      </c>
      <c r="AB1128" s="16" t="inlineStr">
        <is>
          <t>Good</t>
        </is>
      </c>
      <c r="AC1128" s="16" t="inlineStr">
        <is>
          <t>No</t>
        </is>
      </c>
      <c r="AD1128" s="19" t="n">
        <v>0.0357</v>
      </c>
      <c r="AE1128" s="19" t="n">
        <v>0.0463</v>
      </c>
      <c r="AF1128" s="19" t="n">
        <v>1.3871</v>
      </c>
      <c r="AG1128" s="19" t="n">
        <v>40.5398</v>
      </c>
      <c r="AH1128" s="23" t="n">
        <v>0.28</v>
      </c>
      <c r="AI1128" s="23" t="n">
        <v>10.52</v>
      </c>
      <c r="AJ1128" s="19" t="n">
        <v>0.0999</v>
      </c>
    </row>
    <row r="1129">
      <c r="A1129" s="16" t="inlineStr">
        <is>
          <t>SIRCA</t>
        </is>
      </c>
      <c r="B1129" s="16" t="inlineStr">
        <is>
          <t>Sirca Paints India Ltd.</t>
        </is>
      </c>
      <c r="C1129" s="16" t="inlineStr">
        <is>
          <t>Paints</t>
        </is>
      </c>
      <c r="D1129" s="16" t="inlineStr">
        <is>
          <t>Consumer Durables</t>
        </is>
      </c>
      <c r="E1129" s="16" t="inlineStr">
        <is>
          <t>INE792Z01011</t>
        </is>
      </c>
      <c r="F1129" s="17" t="n">
        <v>2494.62</v>
      </c>
      <c r="G1129" s="18" t="n">
        <v>439.25</v>
      </c>
      <c r="H1129" s="19" t="n">
        <v>-0.0026</v>
      </c>
      <c r="I1129" s="20" t="n">
        <v>36</v>
      </c>
      <c r="J1129" s="16" t="inlineStr">
        <is>
          <t>red</t>
        </is>
      </c>
      <c r="K1129" s="20" t="n">
        <v>79</v>
      </c>
      <c r="L1129" s="18" t="n">
        <v>49.79</v>
      </c>
      <c r="M1129" s="18" t="n">
        <v>435.54</v>
      </c>
      <c r="N1129" s="18" t="n">
        <v>418.22</v>
      </c>
      <c r="O1129" s="18" t="n">
        <v>441.43</v>
      </c>
      <c r="P1129" s="18" t="n">
        <v>531.97</v>
      </c>
      <c r="Q1129" s="18" t="n">
        <v>389.08</v>
      </c>
      <c r="R1129" s="21">
        <f>IF(OR(G1129="",P1129=""),"",G1129/P1129-1)</f>
        <v/>
      </c>
      <c r="S1129" s="19" t="n">
        <v>0.3385</v>
      </c>
      <c r="T1129" s="22" t="n">
        <v>-0.0162</v>
      </c>
      <c r="U1129" s="16" t="inlineStr">
        <is>
          <t>No</t>
        </is>
      </c>
      <c r="V1129" s="16" t="inlineStr">
        <is>
          <t>Yes</t>
        </is>
      </c>
      <c r="W1129" s="16" t="inlineStr">
        <is>
          <t>Yes</t>
        </is>
      </c>
      <c r="X1129" s="16" t="inlineStr">
        <is>
          <t>No</t>
        </is>
      </c>
      <c r="Y1129" s="20" t="n">
        <v>117</v>
      </c>
      <c r="Z1129" s="19" t="n">
        <v>-0.0526</v>
      </c>
      <c r="AA1129" s="18" t="n">
        <v>66.54000000000001</v>
      </c>
      <c r="AB1129" s="16" t="inlineStr">
        <is>
          <t>High</t>
        </is>
      </c>
      <c r="AC1129" s="16" t="inlineStr">
        <is>
          <t>No</t>
        </is>
      </c>
      <c r="AD1129" s="19" t="n">
        <v>0.1479</v>
      </c>
      <c r="AE1129" s="19" t="n">
        <v>0.1884</v>
      </c>
      <c r="AF1129" s="19" t="n">
        <v>0.123</v>
      </c>
      <c r="AG1129" s="19" t="n">
        <v>0.227</v>
      </c>
      <c r="AH1129" s="23" t="n">
        <v>0.09</v>
      </c>
      <c r="AI1129" s="23" t="n">
        <v>5.76</v>
      </c>
      <c r="AJ1129" s="19" t="n">
        <v>0.218</v>
      </c>
    </row>
    <row r="1130">
      <c r="A1130" s="16" t="inlineStr">
        <is>
          <t>OMAXE</t>
        </is>
      </c>
      <c r="B1130" s="16" t="inlineStr">
        <is>
          <t>Omaxe Ltd.</t>
        </is>
      </c>
      <c r="C1130" s="16" t="inlineStr">
        <is>
          <t>Realty</t>
        </is>
      </c>
      <c r="D1130" s="16" t="inlineStr">
        <is>
          <t>Realty</t>
        </is>
      </c>
      <c r="E1130" s="16" t="inlineStr">
        <is>
          <t>INE800H01010</t>
        </is>
      </c>
      <c r="F1130" s="17" t="n">
        <v>2494.4</v>
      </c>
      <c r="G1130" s="18" t="n">
        <v>136.38</v>
      </c>
      <c r="H1130" s="19" t="n">
        <v>0.07139999999999999</v>
      </c>
      <c r="I1130" s="20" t="n">
        <v>93</v>
      </c>
      <c r="J1130" s="16" t="inlineStr">
        <is>
          <t>green</t>
        </is>
      </c>
      <c r="K1130" s="20" t="n">
        <v>8</v>
      </c>
      <c r="L1130" s="18" t="n">
        <v>75.09</v>
      </c>
      <c r="M1130" s="18" t="n">
        <v>125.39</v>
      </c>
      <c r="N1130" s="18" t="n">
        <v>95.87</v>
      </c>
      <c r="O1130" s="18" t="n">
        <v>80.81</v>
      </c>
      <c r="P1130" s="18" t="n">
        <v>136.38</v>
      </c>
      <c r="Q1130" s="18" t="n">
        <v>64.09</v>
      </c>
      <c r="R1130" s="21">
        <f>IF(OR(G1130="",P1130=""),"",G1130/P1130-1)</f>
        <v/>
      </c>
      <c r="S1130" s="19" t="n">
        <v>0.9102</v>
      </c>
      <c r="T1130" s="22" t="n">
        <v>0.0371</v>
      </c>
      <c r="U1130" s="16" t="inlineStr">
        <is>
          <t>Yes</t>
        </is>
      </c>
      <c r="V1130" s="16" t="inlineStr">
        <is>
          <t>Yes</t>
        </is>
      </c>
      <c r="W1130" s="16" t="inlineStr">
        <is>
          <t>Yes</t>
        </is>
      </c>
      <c r="X1130" s="16" t="inlineStr">
        <is>
          <t>Yes</t>
        </is>
      </c>
      <c r="Y1130" s="20" t="n">
        <v>63</v>
      </c>
      <c r="Z1130" s="19" t="n">
        <v>0.1863</v>
      </c>
      <c r="AA1130" s="18" t="n">
        <v>40</v>
      </c>
      <c r="AB1130" s="16" t="inlineStr">
        <is>
          <t>Weak</t>
        </is>
      </c>
      <c r="AC1130" s="16" t="inlineStr">
        <is>
          <t>No</t>
        </is>
      </c>
      <c r="AD1130" s="19" t="n">
        <v>1.0931</v>
      </c>
      <c r="AE1130" s="19" t="n">
        <v>-0.9136</v>
      </c>
      <c r="AF1130" s="19" t="n">
        <v>-0.2924</v>
      </c>
      <c r="AG1130" s="19" t="n">
        <v>0.3204</v>
      </c>
      <c r="AH1130" s="23" t="n">
        <v>-1.63</v>
      </c>
      <c r="AI1130" s="23" t="n">
        <v>13.37</v>
      </c>
      <c r="AJ1130" s="19" t="n">
        <v>0</v>
      </c>
    </row>
    <row r="1131">
      <c r="A1131" s="16" t="inlineStr">
        <is>
          <t>JNKINDIA</t>
        </is>
      </c>
      <c r="B1131" s="16" t="inlineStr">
        <is>
          <t>JNK India Ltd.</t>
        </is>
      </c>
      <c r="C1131" s="16" t="inlineStr">
        <is>
          <t>Other Industrial Products</t>
        </is>
      </c>
      <c r="D1131" s="16" t="inlineStr">
        <is>
          <t>General Industrials</t>
        </is>
      </c>
      <c r="E1131" s="16" t="inlineStr">
        <is>
          <t>INE0OAF01028</t>
        </is>
      </c>
      <c r="F1131" s="17" t="n">
        <v>2490.23</v>
      </c>
      <c r="G1131" s="18" t="n">
        <v>445.05</v>
      </c>
      <c r="H1131" s="19" t="n">
        <v>0.0315</v>
      </c>
      <c r="I1131" s="20" t="n">
        <v>83</v>
      </c>
      <c r="J1131" s="16" t="inlineStr">
        <is>
          <t>green</t>
        </is>
      </c>
      <c r="K1131" s="20" t="n">
        <v>79</v>
      </c>
      <c r="L1131" s="18" t="n">
        <v>34.47</v>
      </c>
      <c r="M1131" s="18" t="n">
        <v>438.44</v>
      </c>
      <c r="N1131" s="18" t="n">
        <v>460.63</v>
      </c>
      <c r="O1131" s="18" t="n">
        <v>334.81</v>
      </c>
      <c r="P1131" s="18" t="n">
        <v>545.95</v>
      </c>
      <c r="Q1131" s="18" t="n">
        <v>203.78</v>
      </c>
      <c r="R1131" s="21">
        <f>IF(OR(G1131="",P1131=""),"",G1131/P1131-1)</f>
        <v/>
      </c>
      <c r="S1131" s="19" t="n">
        <v>0.4809</v>
      </c>
      <c r="T1131" s="22" t="n">
        <v>0.0479</v>
      </c>
      <c r="U1131" s="16" t="inlineStr">
        <is>
          <t>Yes</t>
        </is>
      </c>
      <c r="V1131" s="16" t="inlineStr">
        <is>
          <t>No</t>
        </is>
      </c>
      <c r="W1131" s="16" t="inlineStr">
        <is>
          <t>Yes</t>
        </is>
      </c>
      <c r="X1131" s="16" t="inlineStr">
        <is>
          <t>Yes</t>
        </is>
      </c>
      <c r="Y1131" s="20" t="n">
        <v>89</v>
      </c>
      <c r="Z1131" s="19" t="n">
        <v>0.3758</v>
      </c>
      <c r="AA1131" s="18" t="n">
        <v>73.77</v>
      </c>
      <c r="AB1131" s="16" t="inlineStr">
        <is>
          <t>High</t>
        </is>
      </c>
      <c r="AC1131" s="16" t="inlineStr">
        <is>
          <t>No</t>
        </is>
      </c>
      <c r="AD1131" s="19" t="n">
        <v>0.1649</v>
      </c>
      <c r="AE1131" s="19" t="n">
        <v>0.2115</v>
      </c>
      <c r="AF1131" s="19" t="n">
        <v>0.32</v>
      </c>
      <c r="AG1131" s="19" t="n">
        <v>0.2963</v>
      </c>
      <c r="AH1131" s="23" t="n">
        <v>0.16</v>
      </c>
      <c r="AI1131" s="23" t="n">
        <v>19.44</v>
      </c>
      <c r="AJ1131" s="19" t="n">
        <v>0.1986</v>
      </c>
    </row>
    <row r="1132">
      <c r="A1132" s="16" t="inlineStr">
        <is>
          <t>EXICOM</t>
        </is>
      </c>
      <c r="B1132" s="16" t="inlineStr">
        <is>
          <t>Exicom Tele-Systems Ltd.</t>
        </is>
      </c>
      <c r="C1132" s="16" t="inlineStr">
        <is>
          <t>Power - Electric Utilities</t>
        </is>
      </c>
      <c r="D1132" s="16" t="inlineStr">
        <is>
          <t>Utilities</t>
        </is>
      </c>
      <c r="E1132" s="16" t="inlineStr">
        <is>
          <t>INE777F01014</t>
        </is>
      </c>
      <c r="F1132" s="17" t="n">
        <v>2473.53</v>
      </c>
      <c r="G1132" s="18" t="n">
        <v>177.85</v>
      </c>
      <c r="H1132" s="19" t="n">
        <v>0.07049999999999999</v>
      </c>
      <c r="I1132" s="20" t="n">
        <v>84</v>
      </c>
      <c r="J1132" s="16" t="inlineStr">
        <is>
          <t>green</t>
        </is>
      </c>
      <c r="K1132" s="20" t="n">
        <v>1</v>
      </c>
      <c r="L1132" s="18" t="n">
        <v>77.63</v>
      </c>
      <c r="M1132" s="18" t="n">
        <v>164.45</v>
      </c>
      <c r="N1132" s="18" t="n">
        <v>162.01</v>
      </c>
      <c r="O1132" s="18" t="n">
        <v>126.04</v>
      </c>
      <c r="P1132" s="18" t="n">
        <v>178.01</v>
      </c>
      <c r="Q1132" s="18" t="n">
        <v>76.26000000000001</v>
      </c>
      <c r="R1132" s="21">
        <f>IF(OR(G1132="",P1132=""),"",G1132/P1132-1)</f>
        <v/>
      </c>
      <c r="S1132" s="19" t="n">
        <v>3.618</v>
      </c>
      <c r="T1132" s="22" t="n">
        <v>0.0175</v>
      </c>
      <c r="U1132" s="16" t="inlineStr">
        <is>
          <t>Yes</t>
        </is>
      </c>
      <c r="V1132" s="16" t="inlineStr">
        <is>
          <t>Yes</t>
        </is>
      </c>
      <c r="W1132" s="16" t="inlineStr">
        <is>
          <t>Yes</t>
        </is>
      </c>
      <c r="X1132" s="16" t="inlineStr">
        <is>
          <t>Yes</t>
        </is>
      </c>
      <c r="Y1132" s="20" t="n">
        <v>64</v>
      </c>
      <c r="Z1132" s="19" t="n">
        <v>0.2854</v>
      </c>
      <c r="AA1132" s="18" t="n">
        <v>32.05</v>
      </c>
      <c r="AB1132" s="16" t="inlineStr">
        <is>
          <t>Poor</t>
        </is>
      </c>
      <c r="AC1132" s="16" t="inlineStr">
        <is>
          <t>No</t>
        </is>
      </c>
      <c r="AD1132" s="19" t="n">
        <v>-0.1705</v>
      </c>
      <c r="AE1132" s="19" t="n">
        <v>-0.0214</v>
      </c>
      <c r="AF1132" s="19" t="n">
        <v>1.8062</v>
      </c>
      <c r="AG1132" s="19" t="n">
        <v>0.2062</v>
      </c>
      <c r="AH1132" s="23" t="n">
        <v>1.09</v>
      </c>
      <c r="AI1132" s="23" t="n">
        <v>1.98</v>
      </c>
      <c r="AJ1132" s="19" t="n">
        <v>0.0005</v>
      </c>
    </row>
    <row r="1133">
      <c r="A1133" s="16" t="inlineStr">
        <is>
          <t>VINCOFE</t>
        </is>
      </c>
      <c r="B1133" s="16" t="inlineStr">
        <is>
          <t>Vintage Coffee And Beverages Ltd.</t>
        </is>
      </c>
      <c r="C1133" s="16" t="inlineStr">
        <is>
          <t>Commodity Trading  &amp; Distribution</t>
        </is>
      </c>
      <c r="D1133" s="16" t="inlineStr">
        <is>
          <t>Commercial Services &amp; Supplies</t>
        </is>
      </c>
      <c r="E1133" s="16" t="inlineStr">
        <is>
          <t>INE498Q01014</t>
        </is>
      </c>
      <c r="F1133" s="17" t="n">
        <v>2464.84</v>
      </c>
      <c r="G1133" s="18" t="n">
        <v>170.65</v>
      </c>
      <c r="H1133" s="19" t="n">
        <v>-0.033</v>
      </c>
      <c r="I1133" s="20" t="n">
        <v>60</v>
      </c>
      <c r="J1133" s="16" t="inlineStr">
        <is>
          <t>amber</t>
        </is>
      </c>
      <c r="K1133" s="20" t="n">
        <v>7</v>
      </c>
      <c r="L1133" s="18" t="n">
        <v>69.73</v>
      </c>
      <c r="M1133" s="18" t="n">
        <v>175.25</v>
      </c>
      <c r="N1133" s="18" t="n">
        <v>158.27</v>
      </c>
      <c r="O1133" s="18" t="n">
        <v>149.7</v>
      </c>
      <c r="P1133" s="18" t="n">
        <v>185.77</v>
      </c>
      <c r="Q1133" s="18" t="n">
        <v>122.35</v>
      </c>
      <c r="R1133" s="21">
        <f>IF(OR(G1133="",P1133=""),"",G1133/P1133-1)</f>
        <v/>
      </c>
      <c r="S1133" s="19" t="n">
        <v>0.7156999999999999</v>
      </c>
      <c r="T1133" s="22" t="n">
        <v>-0.0005999999999999999</v>
      </c>
      <c r="U1133" s="16" t="inlineStr">
        <is>
          <t>No</t>
        </is>
      </c>
      <c r="V1133" s="16" t="inlineStr">
        <is>
          <t>Yes</t>
        </is>
      </c>
      <c r="W1133" s="16" t="inlineStr">
        <is>
          <t>No</t>
        </is>
      </c>
      <c r="X1133" s="16" t="inlineStr">
        <is>
          <t>Yes</t>
        </is>
      </c>
      <c r="Y1133" s="20" t="n">
        <v>37</v>
      </c>
      <c r="Z1133" s="19" t="n">
        <v>0.0573</v>
      </c>
      <c r="AA1133" s="18" t="n">
        <v>56.08</v>
      </c>
      <c r="AB1133" s="16" t="inlineStr">
        <is>
          <t>Good</t>
        </is>
      </c>
      <c r="AC1133" s="16" t="inlineStr">
        <is>
          <t>No</t>
        </is>
      </c>
      <c r="AD1133" s="19" t="n">
        <v>0.1105</v>
      </c>
      <c r="AE1133" s="19" t="n">
        <v>0.1066</v>
      </c>
      <c r="AF1133" s="19" t="n">
        <v>1.1419</v>
      </c>
      <c r="AG1133" s="19" t="n">
        <v>1.0769</v>
      </c>
      <c r="AH1133" s="23" t="n">
        <v>0.22</v>
      </c>
      <c r="AI1133" s="23" t="n">
        <v>2.41</v>
      </c>
      <c r="AJ1133" s="19" t="n">
        <v>0</v>
      </c>
    </row>
    <row r="1134">
      <c r="A1134" s="16" t="inlineStr">
        <is>
          <t>BETA</t>
        </is>
      </c>
      <c r="B1134" s="16" t="inlineStr">
        <is>
          <t>Beta Drugs Ltd.</t>
        </is>
      </c>
      <c r="C1134" s="16" t="inlineStr">
        <is>
          <t>Pharmaceuticals</t>
        </is>
      </c>
      <c r="D1134" s="16" t="inlineStr">
        <is>
          <t>Pharmaceuticals &amp; Biotechnology</t>
        </is>
      </c>
      <c r="E1134" s="16" t="inlineStr">
        <is>
          <t>INE351Y01019</t>
        </is>
      </c>
      <c r="F1134" s="17" t="n">
        <v>2459.41</v>
      </c>
      <c r="G1134" s="18" t="n">
        <v>2218.5</v>
      </c>
      <c r="H1134" s="19" t="n">
        <v>-0.0179</v>
      </c>
      <c r="I1134" s="20" t="n">
        <v>85</v>
      </c>
      <c r="J1134" s="16" t="inlineStr">
        <is>
          <t>green</t>
        </is>
      </c>
      <c r="K1134" s="20" t="n">
        <v>42</v>
      </c>
      <c r="L1134" s="18" t="n">
        <v>35.58</v>
      </c>
      <c r="M1134" s="18" t="n">
        <v>2217.16</v>
      </c>
      <c r="N1134" s="18" t="n">
        <v>2296.79</v>
      </c>
      <c r="O1134" s="18" t="n">
        <v>1657.41</v>
      </c>
      <c r="P1134" s="18" t="n">
        <v>2668.3</v>
      </c>
      <c r="Q1134" s="18" t="n">
        <v>1030.3</v>
      </c>
      <c r="R1134" s="21">
        <f>IF(OR(G1134="",P1134=""),"",G1134/P1134-1)</f>
        <v/>
      </c>
      <c r="S1134" s="19" t="n">
        <v>0.3536</v>
      </c>
      <c r="T1134" s="22" t="n">
        <v>0.0369</v>
      </c>
      <c r="U1134" s="16" t="inlineStr">
        <is>
          <t>Yes</t>
        </is>
      </c>
      <c r="V1134" s="16" t="inlineStr">
        <is>
          <t>No</t>
        </is>
      </c>
      <c r="W1134" s="16" t="inlineStr">
        <is>
          <t>Yes</t>
        </is>
      </c>
      <c r="X1134" s="16" t="inlineStr">
        <is>
          <t>Yes</t>
        </is>
      </c>
      <c r="Y1134" s="20" t="n">
        <v>49</v>
      </c>
      <c r="Z1134" s="19" t="n">
        <v>0.3858</v>
      </c>
      <c r="AA1134" s="18" t="n">
        <v>55.83</v>
      </c>
      <c r="AB1134" s="16" t="inlineStr">
        <is>
          <t>Good</t>
        </is>
      </c>
      <c r="AC1134" s="16" t="inlineStr">
        <is>
          <t>No</t>
        </is>
      </c>
      <c r="AD1134" s="19" t="n">
        <v>0.2055</v>
      </c>
      <c r="AE1134" s="19" t="n">
        <v>0.2226</v>
      </c>
      <c r="AF1134" s="19" t="n">
        <v>0.1093</v>
      </c>
      <c r="AG1134" s="19" t="n">
        <v>0.1965</v>
      </c>
      <c r="AH1134" s="23" t="n">
        <v>0.6</v>
      </c>
      <c r="AI1134" s="23" t="n">
        <v>3.34</v>
      </c>
      <c r="AJ1134" s="19" t="n">
        <v>0</v>
      </c>
    </row>
    <row r="1135">
      <c r="A1135" s="16" t="inlineStr">
        <is>
          <t>RAJESHEXPO</t>
        </is>
      </c>
      <c r="B1135" s="16" t="inlineStr">
        <is>
          <t>Rajesh Exports Ltd.</t>
        </is>
      </c>
      <c r="C1135" s="16" t="inlineStr">
        <is>
          <t>Gems &amp; Jewellery</t>
        </is>
      </c>
      <c r="D1135" s="16" t="inlineStr">
        <is>
          <t>Textiles Apparels &amp; Accessories</t>
        </is>
      </c>
      <c r="E1135" s="16" t="inlineStr">
        <is>
          <t>INE343B01030</t>
        </is>
      </c>
      <c r="F1135" s="17" t="n">
        <v>2451.25</v>
      </c>
      <c r="G1135" s="18" t="n">
        <v>83.02</v>
      </c>
      <c r="H1135" s="19" t="n">
        <v>-0.0053</v>
      </c>
      <c r="I1135" s="20" t="n">
        <v>3</v>
      </c>
      <c r="J1135" s="16" t="inlineStr">
        <is>
          <t>red</t>
        </is>
      </c>
      <c r="K1135" s="20" t="n">
        <v>141</v>
      </c>
      <c r="L1135" s="18" t="n">
        <v>51.36</v>
      </c>
      <c r="M1135" s="18" t="n">
        <v>78.44</v>
      </c>
      <c r="N1135" s="18" t="n">
        <v>85.56</v>
      </c>
      <c r="O1135" s="18" t="n">
        <v>127.16</v>
      </c>
      <c r="P1135" s="18" t="n">
        <v>230.67</v>
      </c>
      <c r="Q1135" s="18" t="n">
        <v>75.70999999999999</v>
      </c>
      <c r="R1135" s="21">
        <f>IF(OR(G1135="",P1135=""),"",G1135/P1135-1)</f>
        <v/>
      </c>
      <c r="S1135" s="19" t="n">
        <v>1.9708</v>
      </c>
      <c r="T1135" s="22" t="n">
        <v>-0.0746</v>
      </c>
      <c r="U1135" s="16" t="inlineStr">
        <is>
          <t>No</t>
        </is>
      </c>
      <c r="V1135" s="16" t="inlineStr">
        <is>
          <t>No</t>
        </is>
      </c>
      <c r="W1135" s="16" t="inlineStr">
        <is>
          <t>Yes</t>
        </is>
      </c>
      <c r="X1135" s="16" t="inlineStr">
        <is>
          <t>No</t>
        </is>
      </c>
      <c r="Y1135" s="20" t="n">
        <v>751</v>
      </c>
      <c r="Z1135" s="19" t="n">
        <v>-0.3271</v>
      </c>
      <c r="AA1135" s="18" t="n">
        <v>40</v>
      </c>
      <c r="AB1135" s="16" t="inlineStr">
        <is>
          <t>Weak</t>
        </is>
      </c>
      <c r="AC1135" s="16" t="inlineStr">
        <is>
          <t>No</t>
        </is>
      </c>
      <c r="AD1135" s="19" t="n">
        <v>0.0115</v>
      </c>
      <c r="AE1135" s="19" t="n">
        <v>0.0214</v>
      </c>
      <c r="AF1135" s="19" t="n">
        <v>-0.8278</v>
      </c>
      <c r="AG1135" s="19" t="n">
        <v>0.3914</v>
      </c>
      <c r="AH1135" s="23" t="n">
        <v>0.06</v>
      </c>
      <c r="AI1135" s="23" t="n">
        <v>1522.36</v>
      </c>
      <c r="AJ1135" s="19" t="n">
        <v>0.0077</v>
      </c>
    </row>
    <row r="1136">
      <c r="A1136" s="16" t="inlineStr">
        <is>
          <t>ORIANA</t>
        </is>
      </c>
      <c r="B1136" s="16" t="inlineStr">
        <is>
          <t>Oriana Power Ltd.</t>
        </is>
      </c>
      <c r="C1136" s="16" t="inlineStr">
        <is>
          <t>Green &amp; Renewable Energy</t>
        </is>
      </c>
      <c r="D1136" s="16" t="inlineStr">
        <is>
          <t>Utilities</t>
        </is>
      </c>
      <c r="E1136" s="16" t="inlineStr">
        <is>
          <t>INE0OUT01019</t>
        </is>
      </c>
      <c r="F1136" s="17" t="n">
        <v>2449.89</v>
      </c>
      <c r="G1136" s="18" t="n">
        <v>1205.7</v>
      </c>
      <c r="H1136" s="19" t="n">
        <v>-0.0274</v>
      </c>
      <c r="I1136" s="20" t="n">
        <v>2</v>
      </c>
      <c r="J1136" s="16" t="inlineStr">
        <is>
          <t>red</t>
        </is>
      </c>
      <c r="K1136" s="20" t="n">
        <v>85</v>
      </c>
      <c r="L1136" s="18" t="n">
        <v>44.44</v>
      </c>
      <c r="M1136" s="18" t="n">
        <v>1258.67</v>
      </c>
      <c r="N1136" s="18" t="n">
        <v>1394.84</v>
      </c>
      <c r="O1136" s="18" t="n">
        <v>1821.16</v>
      </c>
      <c r="P1136" s="18" t="n">
        <v>3001.1</v>
      </c>
      <c r="Q1136" s="18" t="n">
        <v>1192.05</v>
      </c>
      <c r="R1136" s="21">
        <f>IF(OR(G1136="",P1136=""),"",G1136/P1136-1)</f>
        <v/>
      </c>
      <c r="S1136" s="19" t="n">
        <v>1.1238</v>
      </c>
      <c r="T1136" s="22" t="n">
        <v>-0.0806</v>
      </c>
      <c r="U1136" s="16" t="inlineStr">
        <is>
          <t>No</t>
        </is>
      </c>
      <c r="V1136" s="16" t="inlineStr">
        <is>
          <t>No</t>
        </is>
      </c>
      <c r="W1136" s="16" t="inlineStr">
        <is>
          <t>No</t>
        </is>
      </c>
      <c r="X1136" s="16" t="inlineStr">
        <is>
          <t>No</t>
        </is>
      </c>
      <c r="Y1136" s="20" t="n">
        <v>153</v>
      </c>
      <c r="Z1136" s="19" t="n">
        <v>-0.2341</v>
      </c>
      <c r="AA1136" s="18" t="n"/>
      <c r="AB1136" s="16" t="n"/>
      <c r="AC1136" s="16" t="inlineStr">
        <is>
          <t>No</t>
        </is>
      </c>
      <c r="AD1136" s="19" t="n"/>
      <c r="AE1136" s="19" t="n"/>
      <c r="AF1136" s="19" t="n"/>
      <c r="AG1136" s="19" t="n"/>
      <c r="AH1136" s="23" t="n"/>
      <c r="AI1136" s="23" t="n"/>
      <c r="AJ1136" s="19" t="n"/>
    </row>
    <row r="1137">
      <c r="A1137" s="16" t="inlineStr">
        <is>
          <t>HINDOILEXP</t>
        </is>
      </c>
      <c r="B1137" s="16" t="inlineStr">
        <is>
          <t>Hindustan Oil Exploration Company Ltd.</t>
        </is>
      </c>
      <c r="C1137" s="16" t="inlineStr">
        <is>
          <t>Exploration &amp; Production</t>
        </is>
      </c>
      <c r="D1137" s="16" t="inlineStr">
        <is>
          <t>Oil &amp; Gas</t>
        </is>
      </c>
      <c r="E1137" s="16" t="inlineStr">
        <is>
          <t>INE345A01011</t>
        </is>
      </c>
      <c r="F1137" s="17" t="n">
        <v>2446.5</v>
      </c>
      <c r="G1137" s="18" t="n">
        <v>185</v>
      </c>
      <c r="H1137" s="19" t="n">
        <v>0.0034</v>
      </c>
      <c r="I1137" s="20" t="n">
        <v>54</v>
      </c>
      <c r="J1137" s="16" t="inlineStr">
        <is>
          <t>red</t>
        </is>
      </c>
      <c r="K1137" s="20" t="n">
        <v>31</v>
      </c>
      <c r="L1137" s="18" t="n">
        <v>80.73999999999999</v>
      </c>
      <c r="M1137" s="18" t="n">
        <v>168.85</v>
      </c>
      <c r="N1137" s="18" t="n">
        <v>160.2</v>
      </c>
      <c r="O1137" s="18" t="n">
        <v>153.9</v>
      </c>
      <c r="P1137" s="18" t="n">
        <v>185</v>
      </c>
      <c r="Q1137" s="18" t="n">
        <v>118.33</v>
      </c>
      <c r="R1137" s="21">
        <f>IF(OR(G1137="",P1137=""),"",G1137/P1137-1)</f>
        <v/>
      </c>
      <c r="S1137" s="19" t="n">
        <v>1.1144</v>
      </c>
      <c r="T1137" s="22" t="n">
        <v>0.0071</v>
      </c>
      <c r="U1137" s="16" t="inlineStr">
        <is>
          <t>Yes</t>
        </is>
      </c>
      <c r="V1137" s="16" t="inlineStr">
        <is>
          <t>Yes</t>
        </is>
      </c>
      <c r="W1137" s="16" t="inlineStr">
        <is>
          <t>Yes</t>
        </is>
      </c>
      <c r="X1137" s="16" t="inlineStr">
        <is>
          <t>Yes</t>
        </is>
      </c>
      <c r="Y1137" s="20" t="n">
        <v>66</v>
      </c>
      <c r="Z1137" s="19" t="n">
        <v>0.0409</v>
      </c>
      <c r="AA1137" s="18" t="n">
        <v>37.41</v>
      </c>
      <c r="AB1137" s="16" t="inlineStr">
        <is>
          <t>Weak</t>
        </is>
      </c>
      <c r="AC1137" s="16" t="inlineStr">
        <is>
          <t>No</t>
        </is>
      </c>
      <c r="AD1137" s="19" t="n">
        <v>0.1165</v>
      </c>
      <c r="AE1137" s="19" t="n">
        <v>0.127</v>
      </c>
      <c r="AF1137" s="19" t="n">
        <v>-0.2523</v>
      </c>
      <c r="AG1137" s="19" t="n">
        <v>-0.1575</v>
      </c>
      <c r="AH1137" s="23" t="n">
        <v>0.04</v>
      </c>
      <c r="AI1137" s="23" t="n">
        <v>0.17</v>
      </c>
      <c r="AJ1137" s="19" t="n">
        <v>0.0567</v>
      </c>
    </row>
    <row r="1138">
      <c r="A1138" s="16" t="inlineStr">
        <is>
          <t>PIXTRANS</t>
        </is>
      </c>
      <c r="B1138" s="16" t="inlineStr">
        <is>
          <t>Pix Transmissions Ltd.</t>
        </is>
      </c>
      <c r="C1138" s="16" t="inlineStr">
        <is>
          <t>Auto Tyres &amp; Rubber Products</t>
        </is>
      </c>
      <c r="D1138" s="16" t="inlineStr">
        <is>
          <t>Automobiles &amp; Auto Components</t>
        </is>
      </c>
      <c r="E1138" s="16" t="inlineStr">
        <is>
          <t>INE751B01018</t>
        </is>
      </c>
      <c r="F1138" s="17" t="n">
        <v>2441.23</v>
      </c>
      <c r="G1138" s="18" t="n">
        <v>1791.7</v>
      </c>
      <c r="H1138" s="19" t="n">
        <v>-0.0043</v>
      </c>
      <c r="I1138" s="20" t="n">
        <v>67</v>
      </c>
      <c r="J1138" s="16" t="inlineStr">
        <is>
          <t>amber</t>
        </is>
      </c>
      <c r="K1138" s="20" t="n">
        <v>18</v>
      </c>
      <c r="L1138" s="18" t="n">
        <v>30.14</v>
      </c>
      <c r="M1138" s="18" t="n">
        <v>1809.84</v>
      </c>
      <c r="N1138" s="18" t="n">
        <v>1809.94</v>
      </c>
      <c r="O1138" s="18" t="n">
        <v>1551.68</v>
      </c>
      <c r="P1138" s="18" t="n">
        <v>1986.5</v>
      </c>
      <c r="Q1138" s="18" t="n">
        <v>1262.64</v>
      </c>
      <c r="R1138" s="21">
        <f>IF(OR(G1138="",P1138=""),"",G1138/P1138-1)</f>
        <v/>
      </c>
      <c r="S1138" s="19" t="n">
        <v>0.1834</v>
      </c>
      <c r="T1138" s="22" t="n">
        <v>0.0266</v>
      </c>
      <c r="U1138" s="16" t="inlineStr">
        <is>
          <t>Yes</t>
        </is>
      </c>
      <c r="V1138" s="16" t="inlineStr">
        <is>
          <t>No</t>
        </is>
      </c>
      <c r="W1138" s="16" t="inlineStr">
        <is>
          <t>No</t>
        </is>
      </c>
      <c r="X1138" s="16" t="inlineStr">
        <is>
          <t>Yes</t>
        </is>
      </c>
      <c r="Y1138" s="20" t="n">
        <v>102</v>
      </c>
      <c r="Z1138" s="19" t="n">
        <v>0.1664</v>
      </c>
      <c r="AA1138" s="18" t="n">
        <v>60.75</v>
      </c>
      <c r="AB1138" s="16" t="inlineStr">
        <is>
          <t>Good</t>
        </is>
      </c>
      <c r="AC1138" s="16" t="inlineStr">
        <is>
          <t>No</t>
        </is>
      </c>
      <c r="AD1138" s="19" t="n">
        <v>0.1704</v>
      </c>
      <c r="AE1138" s="19" t="n">
        <v>0.2218</v>
      </c>
      <c r="AF1138" s="19" t="n">
        <v>0.1958</v>
      </c>
      <c r="AG1138" s="19" t="n">
        <v>0.0636</v>
      </c>
      <c r="AH1138" s="23" t="n">
        <v>0.03</v>
      </c>
      <c r="AI1138" s="23" t="n">
        <v>2.11</v>
      </c>
      <c r="AJ1138" s="19" t="n">
        <v>0.0148</v>
      </c>
    </row>
    <row r="1139">
      <c r="A1139" s="16" t="inlineStr">
        <is>
          <t>SATIN</t>
        </is>
      </c>
      <c r="B1139" s="16" t="inlineStr">
        <is>
          <t>Satin Creditcare Network Ltd.</t>
        </is>
      </c>
      <c r="C1139" s="16" t="inlineStr">
        <is>
          <t>Microfinance Institutions</t>
        </is>
      </c>
      <c r="D1139" s="16" t="inlineStr">
        <is>
          <t>Banking and Finance</t>
        </is>
      </c>
      <c r="E1139" s="16" t="inlineStr">
        <is>
          <t>INE836B01017</t>
        </is>
      </c>
      <c r="F1139" s="17" t="n">
        <v>2438.65</v>
      </c>
      <c r="G1139" s="18" t="n">
        <v>220.75</v>
      </c>
      <c r="H1139" s="19" t="n">
        <v>0.0063</v>
      </c>
      <c r="I1139" s="20" t="n">
        <v>73</v>
      </c>
      <c r="J1139" s="16" t="inlineStr">
        <is>
          <t>amber</t>
        </is>
      </c>
      <c r="K1139" s="20" t="n">
        <v>7</v>
      </c>
      <c r="L1139" s="18" t="n">
        <v>38.17</v>
      </c>
      <c r="M1139" s="18" t="n">
        <v>221.91</v>
      </c>
      <c r="N1139" s="18" t="n">
        <v>240.93</v>
      </c>
      <c r="O1139" s="18" t="n">
        <v>188.57</v>
      </c>
      <c r="P1139" s="18" t="n">
        <v>268.87</v>
      </c>
      <c r="Q1139" s="18" t="n">
        <v>137.25</v>
      </c>
      <c r="R1139" s="21">
        <f>IF(OR(G1139="",P1139=""),"",G1139/P1139-1)</f>
        <v/>
      </c>
      <c r="S1139" s="19" t="n">
        <v>0.4804</v>
      </c>
      <c r="T1139" s="22" t="n">
        <v>0.0394</v>
      </c>
      <c r="U1139" s="16" t="inlineStr">
        <is>
          <t>Yes</t>
        </is>
      </c>
      <c r="V1139" s="16" t="inlineStr">
        <is>
          <t>No</t>
        </is>
      </c>
      <c r="W1139" s="16" t="inlineStr">
        <is>
          <t>No</t>
        </is>
      </c>
      <c r="X1139" s="16" t="inlineStr">
        <is>
          <t>Yes</t>
        </is>
      </c>
      <c r="Y1139" s="20" t="n">
        <v>128</v>
      </c>
      <c r="Z1139" s="19" t="n">
        <v>0.2776</v>
      </c>
      <c r="AA1139" s="18" t="n">
        <v>62.61</v>
      </c>
      <c r="AB1139" s="16" t="inlineStr">
        <is>
          <t>Good</t>
        </is>
      </c>
      <c r="AC1139" s="16" t="inlineStr">
        <is>
          <t>Yes</t>
        </is>
      </c>
      <c r="AD1139" s="19" t="n">
        <v>0.1236</v>
      </c>
      <c r="AE1139" s="19" t="n">
        <v>0.0364</v>
      </c>
      <c r="AF1139" s="19" t="n">
        <v>24.1716</v>
      </c>
      <c r="AG1139" s="19" t="n">
        <v>0.2453</v>
      </c>
      <c r="AH1139" s="23" t="n">
        <v>3.84</v>
      </c>
      <c r="AI1139" s="23" t="n">
        <v>20.38</v>
      </c>
      <c r="AJ1139" s="19" t="n">
        <v>0.062</v>
      </c>
    </row>
    <row r="1140">
      <c r="A1140" s="16" t="inlineStr">
        <is>
          <t>ZAGGLE</t>
        </is>
      </c>
      <c r="B1140" s="16" t="inlineStr">
        <is>
          <t>Zaggle Prepaid Ocean Services Ltd.</t>
        </is>
      </c>
      <c r="C1140" s="16" t="inlineStr">
        <is>
          <t>IT Software Products</t>
        </is>
      </c>
      <c r="D1140" s="16" t="inlineStr">
        <is>
          <t>Software &amp; Services</t>
        </is>
      </c>
      <c r="E1140" s="16" t="inlineStr">
        <is>
          <t>INE07K301024</t>
        </is>
      </c>
      <c r="F1140" s="17" t="n">
        <v>2430.6</v>
      </c>
      <c r="G1140" s="18" t="n">
        <v>180.77</v>
      </c>
      <c r="H1140" s="19" t="n">
        <v>-0.0102</v>
      </c>
      <c r="I1140" s="20" t="n">
        <v>4</v>
      </c>
      <c r="J1140" s="16" t="inlineStr">
        <is>
          <t>red</t>
        </is>
      </c>
      <c r="K1140" s="20" t="n">
        <v>276</v>
      </c>
      <c r="L1140" s="18" t="n">
        <v>65.98999999999999</v>
      </c>
      <c r="M1140" s="18" t="n">
        <v>185.89</v>
      </c>
      <c r="N1140" s="18" t="n">
        <v>199.9</v>
      </c>
      <c r="O1140" s="18" t="n">
        <v>251.63</v>
      </c>
      <c r="P1140" s="18" t="n">
        <v>401.35</v>
      </c>
      <c r="Q1140" s="18" t="n">
        <v>160.48</v>
      </c>
      <c r="R1140" s="21">
        <f>IF(OR(G1140="",P1140=""),"",G1140/P1140-1)</f>
        <v/>
      </c>
      <c r="S1140" s="19" t="n">
        <v>0.2115</v>
      </c>
      <c r="T1140" s="22" t="n">
        <v>-0.0677</v>
      </c>
      <c r="U1140" s="16" t="inlineStr">
        <is>
          <t>No</t>
        </is>
      </c>
      <c r="V1140" s="16" t="inlineStr">
        <is>
          <t>No</t>
        </is>
      </c>
      <c r="W1140" s="16" t="inlineStr">
        <is>
          <t>No</t>
        </is>
      </c>
      <c r="X1140" s="16" t="inlineStr">
        <is>
          <t>No</t>
        </is>
      </c>
      <c r="Y1140" s="20" t="n">
        <v>363</v>
      </c>
      <c r="Z1140" s="19" t="n">
        <v>-0.2056</v>
      </c>
      <c r="AA1140" s="18" t="n">
        <v>61.4</v>
      </c>
      <c r="AB1140" s="16" t="inlineStr">
        <is>
          <t>Good</t>
        </is>
      </c>
      <c r="AC1140" s="16" t="inlineStr">
        <is>
          <t>No</t>
        </is>
      </c>
      <c r="AD1140" s="19" t="n">
        <v>0.08169999999999999</v>
      </c>
      <c r="AE1140" s="19" t="n">
        <v>0.1131</v>
      </c>
      <c r="AF1140" s="19" t="n">
        <v>0.2902</v>
      </c>
      <c r="AG1140" s="19" t="n">
        <v>0.5152</v>
      </c>
      <c r="AH1140" s="23" t="n">
        <v>0.04</v>
      </c>
      <c r="AI1140" s="23" t="n">
        <v>41.97</v>
      </c>
      <c r="AJ1140" s="19" t="n">
        <v>0</v>
      </c>
    </row>
    <row r="1141">
      <c r="A1141" s="16" t="inlineStr">
        <is>
          <t>NITCO</t>
        </is>
      </c>
      <c r="B1141" s="16" t="inlineStr">
        <is>
          <t>Nitco Ltd.</t>
        </is>
      </c>
      <c r="C1141" s="16" t="inlineStr">
        <is>
          <t>Ceramics</t>
        </is>
      </c>
      <c r="D1141" s="16" t="inlineStr">
        <is>
          <t>Consumer Durables</t>
        </is>
      </c>
      <c r="E1141" s="16" t="inlineStr">
        <is>
          <t>INE858F01012</t>
        </is>
      </c>
      <c r="F1141" s="17" t="n">
        <v>2427.26</v>
      </c>
      <c r="G1141" s="18" t="n">
        <v>96.09999999999999</v>
      </c>
      <c r="H1141" s="19" t="n">
        <v>-0.0019</v>
      </c>
      <c r="I1141" s="20" t="n">
        <v>50</v>
      </c>
      <c r="J1141" s="16" t="inlineStr">
        <is>
          <t>red</t>
        </is>
      </c>
      <c r="K1141" s="20" t="n">
        <v>30</v>
      </c>
      <c r="L1141" s="18" t="n">
        <v>59.35</v>
      </c>
      <c r="M1141" s="18" t="n">
        <v>95.48999999999999</v>
      </c>
      <c r="N1141" s="18" t="n">
        <v>102.16</v>
      </c>
      <c r="O1141" s="18" t="n">
        <v>91.91</v>
      </c>
      <c r="P1141" s="18" t="n">
        <v>121.63</v>
      </c>
      <c r="Q1141" s="18" t="n">
        <v>64.95</v>
      </c>
      <c r="R1141" s="21">
        <f>IF(OR(G1141="",P1141=""),"",G1141/P1141-1)</f>
        <v/>
      </c>
      <c r="S1141" s="19" t="n">
        <v>0.3386</v>
      </c>
      <c r="T1141" s="22" t="n">
        <v>-0.007900000000000001</v>
      </c>
      <c r="U1141" s="16" t="inlineStr">
        <is>
          <t>No</t>
        </is>
      </c>
      <c r="V1141" s="16" t="inlineStr">
        <is>
          <t>No</t>
        </is>
      </c>
      <c r="W1141" s="16" t="inlineStr">
        <is>
          <t>Yes</t>
        </is>
      </c>
      <c r="X1141" s="16" t="inlineStr">
        <is>
          <t>Yes</t>
        </is>
      </c>
      <c r="Y1141" s="20" t="n">
        <v>59</v>
      </c>
      <c r="Z1141" s="19" t="n">
        <v>0.1114</v>
      </c>
      <c r="AA1141" s="18" t="n">
        <v>24.68</v>
      </c>
      <c r="AB1141" s="16" t="inlineStr">
        <is>
          <t>Poor</t>
        </is>
      </c>
      <c r="AC1141" s="16" t="inlineStr">
        <is>
          <t>No</t>
        </is>
      </c>
      <c r="AD1141" s="19" t="n">
        <v>-0.8693000000000001</v>
      </c>
      <c r="AE1141" s="19" t="n">
        <v>-0.4422</v>
      </c>
      <c r="AF1141" s="19" t="n">
        <v>-0.4501</v>
      </c>
      <c r="AG1141" s="19" t="n">
        <v>0.179</v>
      </c>
      <c r="AH1141" s="23" t="n">
        <v>0.86</v>
      </c>
      <c r="AI1141" s="23" t="n">
        <v>5.54</v>
      </c>
      <c r="AJ1141" s="19" t="n">
        <v>0.1183</v>
      </c>
    </row>
    <row r="1142">
      <c r="A1142" s="16" t="inlineStr">
        <is>
          <t>INDOCO</t>
        </is>
      </c>
      <c r="B1142" s="16" t="inlineStr">
        <is>
          <t>Indoco Remedies Ltd.</t>
        </is>
      </c>
      <c r="C1142" s="16" t="inlineStr">
        <is>
          <t>Pharmaceuticals</t>
        </is>
      </c>
      <c r="D1142" s="16" t="inlineStr">
        <is>
          <t>Pharmaceuticals &amp; Biotechnology</t>
        </is>
      </c>
      <c r="E1142" s="16" t="inlineStr">
        <is>
          <t>INE873D01024</t>
        </is>
      </c>
      <c r="F1142" s="17" t="n">
        <v>2423.06</v>
      </c>
      <c r="G1142" s="18" t="n">
        <v>262.51</v>
      </c>
      <c r="H1142" s="19" t="n">
        <v>-0.0369</v>
      </c>
      <c r="I1142" s="20" t="n">
        <v>63</v>
      </c>
      <c r="J1142" s="16" t="inlineStr">
        <is>
          <t>amber</t>
        </is>
      </c>
      <c r="K1142" s="20" t="n">
        <v>3</v>
      </c>
      <c r="L1142" s="18" t="n">
        <v>72.03</v>
      </c>
      <c r="M1142" s="18" t="n">
        <v>253.29</v>
      </c>
      <c r="N1142" s="18" t="n">
        <v>236.45</v>
      </c>
      <c r="O1142" s="18" t="n">
        <v>222.06</v>
      </c>
      <c r="P1142" s="18" t="n">
        <v>308.6</v>
      </c>
      <c r="Q1142" s="18" t="n">
        <v>164</v>
      </c>
      <c r="R1142" s="21">
        <f>IF(OR(G1142="",P1142=""),"",G1142/P1142-1)</f>
        <v/>
      </c>
      <c r="S1142" s="19" t="n">
        <v>0.381</v>
      </c>
      <c r="T1142" s="22" t="n">
        <v>-0.0167</v>
      </c>
      <c r="U1142" s="16" t="inlineStr">
        <is>
          <t>No</t>
        </is>
      </c>
      <c r="V1142" s="16" t="inlineStr">
        <is>
          <t>Yes</t>
        </is>
      </c>
      <c r="W1142" s="16" t="inlineStr">
        <is>
          <t>Yes</t>
        </is>
      </c>
      <c r="X1142" s="16" t="inlineStr">
        <is>
          <t>Yes</t>
        </is>
      </c>
      <c r="Y1142" s="20" t="n">
        <v>30</v>
      </c>
      <c r="Z1142" s="19" t="n">
        <v>0.06480000000000001</v>
      </c>
      <c r="AA1142" s="18" t="n">
        <v>13.68</v>
      </c>
      <c r="AB1142" s="16" t="inlineStr">
        <is>
          <t>Poor</t>
        </is>
      </c>
      <c r="AC1142" s="16" t="inlineStr">
        <is>
          <t>No</t>
        </is>
      </c>
      <c r="AD1142" s="19" t="n">
        <v>-0.0283</v>
      </c>
      <c r="AE1142" s="19" t="n">
        <v>0.0332</v>
      </c>
      <c r="AF1142" s="19" t="n">
        <v>-0.7886</v>
      </c>
      <c r="AG1142" s="19" t="n">
        <v>0.0335</v>
      </c>
      <c r="AH1142" s="23" t="n">
        <v>1.16</v>
      </c>
      <c r="AI1142" s="23" t="n">
        <v>1.66</v>
      </c>
      <c r="AJ1142" s="19" t="n">
        <v>0.0261</v>
      </c>
    </row>
    <row r="1143">
      <c r="A1143" s="16" t="inlineStr">
        <is>
          <t>COSMOFIRST</t>
        </is>
      </c>
      <c r="B1143" s="16" t="inlineStr">
        <is>
          <t>Cosmo First Ltd.</t>
        </is>
      </c>
      <c r="C1143" s="16" t="inlineStr">
        <is>
          <t>Containers &amp; Packaging</t>
        </is>
      </c>
      <c r="D1143" s="16" t="inlineStr">
        <is>
          <t>Commercial Services &amp; Supplies</t>
        </is>
      </c>
      <c r="E1143" s="16" t="inlineStr">
        <is>
          <t>INE757A01017</t>
        </is>
      </c>
      <c r="F1143" s="17" t="n">
        <v>2414.58</v>
      </c>
      <c r="G1143" s="18" t="n">
        <v>919.85</v>
      </c>
      <c r="H1143" s="19" t="n">
        <v>-0.0216</v>
      </c>
      <c r="I1143" s="20" t="n">
        <v>67</v>
      </c>
      <c r="J1143" s="16" t="inlineStr">
        <is>
          <t>amber</t>
        </is>
      </c>
      <c r="K1143" s="20" t="n">
        <v>33</v>
      </c>
      <c r="L1143" s="18" t="n">
        <v>38.08</v>
      </c>
      <c r="M1143" s="18" t="n">
        <v>937.05</v>
      </c>
      <c r="N1143" s="18" t="n">
        <v>884.46</v>
      </c>
      <c r="O1143" s="18" t="n">
        <v>739.34</v>
      </c>
      <c r="P1143" s="18" t="n">
        <v>991.79</v>
      </c>
      <c r="Q1143" s="18" t="n">
        <v>574.62</v>
      </c>
      <c r="R1143" s="21">
        <f>IF(OR(G1143="",P1143=""),"",G1143/P1143-1)</f>
        <v/>
      </c>
      <c r="S1143" s="19" t="n">
        <v>0.4912</v>
      </c>
      <c r="T1143" s="22" t="n">
        <v>0.0127</v>
      </c>
      <c r="U1143" s="16" t="inlineStr">
        <is>
          <t>Yes</t>
        </is>
      </c>
      <c r="V1143" s="16" t="inlineStr">
        <is>
          <t>Yes</t>
        </is>
      </c>
      <c r="W1143" s="16" t="inlineStr">
        <is>
          <t>No</t>
        </is>
      </c>
      <c r="X1143" s="16" t="inlineStr">
        <is>
          <t>Yes</t>
        </is>
      </c>
      <c r="Y1143" s="20" t="n">
        <v>52</v>
      </c>
      <c r="Z1143" s="19" t="n">
        <v>0.1963</v>
      </c>
      <c r="AA1143" s="18" t="n">
        <v>24.66</v>
      </c>
      <c r="AB1143" s="16" t="inlineStr">
        <is>
          <t>Poor</t>
        </is>
      </c>
      <c r="AC1143" s="16" t="inlineStr">
        <is>
          <t>No</t>
        </is>
      </c>
      <c r="AD1143" s="19" t="n">
        <v>0.0779</v>
      </c>
      <c r="AE1143" s="19" t="n">
        <v>0.08449999999999999</v>
      </c>
      <c r="AF1143" s="19" t="n">
        <v>-0.1957</v>
      </c>
      <c r="AG1143" s="19" t="n">
        <v>0.06660000000000001</v>
      </c>
      <c r="AH1143" s="23" t="n">
        <v>1.04</v>
      </c>
      <c r="AI1143" s="23" t="n">
        <v>1.34</v>
      </c>
      <c r="AJ1143" s="19" t="n">
        <v>0.0713</v>
      </c>
    </row>
    <row r="1144">
      <c r="A1144" s="16" t="inlineStr">
        <is>
          <t>RAMKY</t>
        </is>
      </c>
      <c r="B1144" s="16" t="inlineStr">
        <is>
          <t>Ramky Infrastructure Ltd.</t>
        </is>
      </c>
      <c r="C1144" s="16" t="inlineStr">
        <is>
          <t>Construction &amp; Engineering</t>
        </is>
      </c>
      <c r="D1144" s="16" t="inlineStr">
        <is>
          <t>Cement and Construction</t>
        </is>
      </c>
      <c r="E1144" s="16" t="inlineStr">
        <is>
          <t>INE874I01013</t>
        </is>
      </c>
      <c r="F1144" s="17" t="n">
        <v>2403.93</v>
      </c>
      <c r="G1144" s="18" t="n">
        <v>347.4</v>
      </c>
      <c r="H1144" s="19" t="n">
        <v>-0.0112</v>
      </c>
      <c r="I1144" s="20" t="n">
        <v>3</v>
      </c>
      <c r="J1144" s="16" t="inlineStr">
        <is>
          <t>red</t>
        </is>
      </c>
      <c r="K1144" s="20" t="n">
        <v>119</v>
      </c>
      <c r="L1144" s="18" t="n">
        <v>19.16</v>
      </c>
      <c r="M1144" s="18" t="n">
        <v>352.79</v>
      </c>
      <c r="N1144" s="18" t="n">
        <v>384.04</v>
      </c>
      <c r="O1144" s="18" t="n">
        <v>465.17</v>
      </c>
      <c r="P1144" s="18" t="n">
        <v>649.5</v>
      </c>
      <c r="Q1144" s="18" t="n">
        <v>340.85</v>
      </c>
      <c r="R1144" s="21">
        <f>IF(OR(G1144="",P1144=""),"",G1144/P1144-1)</f>
        <v/>
      </c>
      <c r="S1144" s="19" t="n">
        <v>0.8172</v>
      </c>
      <c r="T1144" s="22" t="n">
        <v>-0.0529</v>
      </c>
      <c r="U1144" s="16" t="inlineStr">
        <is>
          <t>No</t>
        </is>
      </c>
      <c r="V1144" s="16" t="inlineStr">
        <is>
          <t>No</t>
        </is>
      </c>
      <c r="W1144" s="16" t="inlineStr">
        <is>
          <t>No</t>
        </is>
      </c>
      <c r="X1144" s="16" t="inlineStr">
        <is>
          <t>No</t>
        </is>
      </c>
      <c r="Y1144" s="20" t="n">
        <v>153</v>
      </c>
      <c r="Z1144" s="19" t="n">
        <v>-0.1744</v>
      </c>
      <c r="AA1144" s="18" t="n">
        <v>40</v>
      </c>
      <c r="AB1144" s="16" t="inlineStr">
        <is>
          <t>Weak</t>
        </is>
      </c>
      <c r="AC1144" s="16" t="inlineStr">
        <is>
          <t>No</t>
        </is>
      </c>
      <c r="AD1144" s="19" t="n">
        <v>0.1348</v>
      </c>
      <c r="AE1144" s="19" t="n">
        <v>0.1925</v>
      </c>
      <c r="AF1144" s="19" t="n">
        <v>-0.7056</v>
      </c>
      <c r="AG1144" s="19" t="n">
        <v>0.0388</v>
      </c>
      <c r="AH1144" s="23" t="n">
        <v>0.27</v>
      </c>
      <c r="AI1144" s="23" t="n">
        <v>9.890000000000001</v>
      </c>
      <c r="AJ1144" s="19" t="n">
        <v>0.006500000000000001</v>
      </c>
    </row>
    <row r="1145">
      <c r="A1145" s="16" t="inlineStr">
        <is>
          <t>STALLION</t>
        </is>
      </c>
      <c r="B1145" s="16" t="inlineStr">
        <is>
          <t>Stallion India Fluorochemicals Ltd.</t>
        </is>
      </c>
      <c r="C1145" s="16" t="inlineStr">
        <is>
          <t>Specialty Chemicals</t>
        </is>
      </c>
      <c r="D1145" s="16" t="inlineStr">
        <is>
          <t>Chemicals &amp; Petrochemicals</t>
        </is>
      </c>
      <c r="E1145" s="16" t="inlineStr">
        <is>
          <t>INE0RYC01010</t>
        </is>
      </c>
      <c r="F1145" s="17" t="n">
        <v>2399.26</v>
      </c>
      <c r="G1145" s="18" t="n">
        <v>206.68</v>
      </c>
      <c r="H1145" s="19" t="n">
        <v>-0.004500000000000001</v>
      </c>
      <c r="I1145" s="20" t="n">
        <v>74</v>
      </c>
      <c r="J1145" s="16" t="inlineStr">
        <is>
          <t>amber</t>
        </is>
      </c>
      <c r="K1145" s="20" t="n">
        <v>5</v>
      </c>
      <c r="L1145" s="18" t="n">
        <v>16.79</v>
      </c>
      <c r="M1145" s="18" t="n">
        <v>212.32</v>
      </c>
      <c r="N1145" s="18" t="n">
        <v>224.63</v>
      </c>
      <c r="O1145" s="18" t="n">
        <v>183.23</v>
      </c>
      <c r="P1145" s="18" t="n">
        <v>414.35</v>
      </c>
      <c r="Q1145" s="18" t="n">
        <v>101.83</v>
      </c>
      <c r="R1145" s="21">
        <f>IF(OR(G1145="",P1145=""),"",G1145/P1145-1)</f>
        <v/>
      </c>
      <c r="S1145" s="19" t="n">
        <v>0.2823</v>
      </c>
      <c r="T1145" s="22" t="n">
        <v>-0.0178</v>
      </c>
      <c r="U1145" s="16" t="inlineStr">
        <is>
          <t>No</t>
        </is>
      </c>
      <c r="V1145" s="16" t="inlineStr">
        <is>
          <t>No</t>
        </is>
      </c>
      <c r="W1145" s="16" t="inlineStr">
        <is>
          <t>No</t>
        </is>
      </c>
      <c r="X1145" s="16" t="inlineStr">
        <is>
          <t>Yes</t>
        </is>
      </c>
      <c r="Y1145" s="20" t="n">
        <v>30</v>
      </c>
      <c r="Z1145" s="19" t="n">
        <v>0.2259</v>
      </c>
      <c r="AA1145" s="18" t="n">
        <v>66.09</v>
      </c>
      <c r="AB1145" s="16" t="inlineStr">
        <is>
          <t>High</t>
        </is>
      </c>
      <c r="AC1145" s="16" t="inlineStr">
        <is>
          <t>No</t>
        </is>
      </c>
      <c r="AD1145" s="19" t="n">
        <v>0.09849999999999999</v>
      </c>
      <c r="AE1145" s="19" t="n">
        <v>0.1251</v>
      </c>
      <c r="AF1145" s="19" t="n">
        <v>0.8129000000000001</v>
      </c>
      <c r="AG1145" s="19" t="n">
        <v>0.2648</v>
      </c>
      <c r="AH1145" s="23" t="n">
        <v>0.05</v>
      </c>
      <c r="AI1145" s="23" t="n">
        <v>6.57</v>
      </c>
      <c r="AJ1145" s="19" t="n">
        <v>0.5288</v>
      </c>
    </row>
    <row r="1146">
      <c r="A1146" s="16" t="inlineStr">
        <is>
          <t>PARKHOTELS</t>
        </is>
      </c>
      <c r="B1146" s="16" t="inlineStr">
        <is>
          <t>Apeejay Surrendra Park Hotels Ltd.</t>
        </is>
      </c>
      <c r="C1146" s="16" t="inlineStr">
        <is>
          <t>Hotels</t>
        </is>
      </c>
      <c r="D1146" s="16" t="inlineStr">
        <is>
          <t>Hotels Restaurants &amp; Tourism</t>
        </is>
      </c>
      <c r="E1146" s="16" t="inlineStr">
        <is>
          <t>INE988S01028</t>
        </is>
      </c>
      <c r="F1146" s="17" t="n">
        <v>2393.63</v>
      </c>
      <c r="G1146" s="18" t="n">
        <v>112.18</v>
      </c>
      <c r="H1146" s="19" t="n">
        <v>-0.008500000000000001</v>
      </c>
      <c r="I1146" s="20" t="n">
        <v>17</v>
      </c>
      <c r="J1146" s="16" t="inlineStr">
        <is>
          <t>red</t>
        </is>
      </c>
      <c r="K1146" s="20" t="n">
        <v>381</v>
      </c>
      <c r="L1146" s="18" t="n">
        <v>33.36</v>
      </c>
      <c r="M1146" s="18" t="n">
        <v>112.73</v>
      </c>
      <c r="N1146" s="18" t="n">
        <v>120.7</v>
      </c>
      <c r="O1146" s="18" t="n">
        <v>122.9</v>
      </c>
      <c r="P1146" s="18" t="n">
        <v>160.4</v>
      </c>
      <c r="Q1146" s="18" t="n">
        <v>96.44</v>
      </c>
      <c r="R1146" s="21">
        <f>IF(OR(G1146="",P1146=""),"",G1146/P1146-1)</f>
        <v/>
      </c>
      <c r="S1146" s="19" t="n">
        <v>1.1246</v>
      </c>
      <c r="T1146" s="22" t="n">
        <v>-0.0243</v>
      </c>
      <c r="U1146" s="16" t="inlineStr">
        <is>
          <t>No</t>
        </is>
      </c>
      <c r="V1146" s="16" t="inlineStr">
        <is>
          <t>No</t>
        </is>
      </c>
      <c r="W1146" s="16" t="inlineStr">
        <is>
          <t>No</t>
        </is>
      </c>
      <c r="X1146" s="16" t="inlineStr">
        <is>
          <t>No</t>
        </is>
      </c>
      <c r="Y1146" s="20" t="n">
        <v>369</v>
      </c>
      <c r="Z1146" s="19" t="n">
        <v>-0.0179</v>
      </c>
      <c r="AA1146" s="18" t="n">
        <v>34.11</v>
      </c>
      <c r="AB1146" s="16" t="inlineStr">
        <is>
          <t>Poor</t>
        </is>
      </c>
      <c r="AC1146" s="16" t="inlineStr">
        <is>
          <t>No</t>
        </is>
      </c>
      <c r="AD1146" s="19" t="n">
        <v>0.0572</v>
      </c>
      <c r="AE1146" s="19" t="n">
        <v>0.1066</v>
      </c>
      <c r="AF1146" s="19" t="n">
        <v>-0.092</v>
      </c>
      <c r="AG1146" s="19" t="n">
        <v>0.1251</v>
      </c>
      <c r="AH1146" s="23" t="n">
        <v>0.28</v>
      </c>
      <c r="AI1146" s="23" t="n">
        <v>0.44</v>
      </c>
      <c r="AJ1146" s="19" t="n">
        <v>0.0501</v>
      </c>
    </row>
    <row r="1147">
      <c r="A1147" s="16" t="inlineStr">
        <is>
          <t>MARSONS</t>
        </is>
      </c>
      <c r="B1147" s="16" t="inlineStr">
        <is>
          <t>Marsons Ltd.</t>
        </is>
      </c>
      <c r="C1147" s="16" t="inlineStr">
        <is>
          <t>Heavy Electrical Equipment</t>
        </is>
      </c>
      <c r="D1147" s="16" t="inlineStr">
        <is>
          <t>General Industrials</t>
        </is>
      </c>
      <c r="E1147" s="16" t="inlineStr">
        <is>
          <t>INE415B01044</t>
        </is>
      </c>
      <c r="F1147" s="17" t="n">
        <v>2366.38</v>
      </c>
      <c r="G1147" s="18" t="n">
        <v>137.5</v>
      </c>
      <c r="H1147" s="19" t="n">
        <v>0.0891</v>
      </c>
      <c r="I1147" s="20" t="n">
        <v>32</v>
      </c>
      <c r="J1147" s="16" t="inlineStr">
        <is>
          <t>red</t>
        </is>
      </c>
      <c r="K1147" s="20" t="n">
        <v>245</v>
      </c>
      <c r="L1147" s="18" t="n">
        <v>77.15000000000001</v>
      </c>
      <c r="M1147" s="18" t="n">
        <v>127.93</v>
      </c>
      <c r="N1147" s="18" t="n">
        <v>113.89</v>
      </c>
      <c r="O1147" s="18" t="n">
        <v>136.36</v>
      </c>
      <c r="P1147" s="18" t="n">
        <v>194.44</v>
      </c>
      <c r="Q1147" s="18" t="n">
        <v>102.05</v>
      </c>
      <c r="R1147" s="21">
        <f>IF(OR(G1147="",P1147=""),"",G1147/P1147-1)</f>
        <v/>
      </c>
      <c r="S1147" s="19" t="n">
        <v>2.9222</v>
      </c>
      <c r="T1147" s="22" t="n">
        <v>-0.0379</v>
      </c>
      <c r="U1147" s="16" t="inlineStr">
        <is>
          <t>No</t>
        </is>
      </c>
      <c r="V1147" s="16" t="inlineStr">
        <is>
          <t>Yes</t>
        </is>
      </c>
      <c r="W1147" s="16" t="inlineStr">
        <is>
          <t>Yes</t>
        </is>
      </c>
      <c r="X1147" s="16" t="inlineStr">
        <is>
          <t>No</t>
        </is>
      </c>
      <c r="Y1147" s="20" t="n">
        <v>230</v>
      </c>
      <c r="Z1147" s="19" t="n">
        <v>-0.1648</v>
      </c>
      <c r="AA1147" s="18" t="n"/>
      <c r="AB1147" s="16" t="n"/>
      <c r="AC1147" s="16" t="inlineStr">
        <is>
          <t>No</t>
        </is>
      </c>
      <c r="AD1147" s="19" t="n"/>
      <c r="AE1147" s="19" t="n"/>
      <c r="AF1147" s="19" t="n"/>
      <c r="AG1147" s="19" t="n"/>
      <c r="AH1147" s="23" t="n"/>
      <c r="AI1147" s="23" t="n"/>
      <c r="AJ1147" s="19" t="n"/>
    </row>
    <row r="1148">
      <c r="A1148" s="16" t="inlineStr">
        <is>
          <t>GNA</t>
        </is>
      </c>
      <c r="B1148" s="16" t="inlineStr">
        <is>
          <t>GNA Axles Ltd.</t>
        </is>
      </c>
      <c r="C1148" s="16" t="inlineStr">
        <is>
          <t>Auto Parts &amp; Equipment</t>
        </is>
      </c>
      <c r="D1148" s="16" t="inlineStr">
        <is>
          <t>Automobiles &amp; Auto Components</t>
        </is>
      </c>
      <c r="E1148" s="16" t="inlineStr">
        <is>
          <t>INE934S01014</t>
        </is>
      </c>
      <c r="F1148" s="17" t="n">
        <v>2365.7</v>
      </c>
      <c r="G1148" s="18" t="n">
        <v>551.05</v>
      </c>
      <c r="H1148" s="19" t="n">
        <v>0.0362</v>
      </c>
      <c r="I1148" s="20" t="n">
        <v>89</v>
      </c>
      <c r="J1148" s="16" t="inlineStr">
        <is>
          <t>green</t>
        </is>
      </c>
      <c r="K1148" s="20" t="n">
        <v>40</v>
      </c>
      <c r="L1148" s="18" t="n">
        <v>44.22</v>
      </c>
      <c r="M1148" s="18" t="n">
        <v>540.35</v>
      </c>
      <c r="N1148" s="18" t="n">
        <v>523.67</v>
      </c>
      <c r="O1148" s="18" t="n">
        <v>412.99</v>
      </c>
      <c r="P1148" s="18" t="n">
        <v>592</v>
      </c>
      <c r="Q1148" s="18" t="n">
        <v>296.03</v>
      </c>
      <c r="R1148" s="21">
        <f>IF(OR(G1148="",P1148=""),"",G1148/P1148-1)</f>
        <v/>
      </c>
      <c r="S1148" s="19" t="n">
        <v>0.674</v>
      </c>
      <c r="T1148" s="22" t="n">
        <v>0.0607</v>
      </c>
      <c r="U1148" s="16" t="inlineStr">
        <is>
          <t>Yes</t>
        </is>
      </c>
      <c r="V1148" s="16" t="inlineStr">
        <is>
          <t>Yes</t>
        </is>
      </c>
      <c r="W1148" s="16" t="inlineStr">
        <is>
          <t>Yes</t>
        </is>
      </c>
      <c r="X1148" s="16" t="inlineStr">
        <is>
          <t>Yes</t>
        </is>
      </c>
      <c r="Y1148" s="20" t="n">
        <v>163</v>
      </c>
      <c r="Z1148" s="19" t="n">
        <v>0.268</v>
      </c>
      <c r="AA1148" s="18" t="n">
        <v>40</v>
      </c>
      <c r="AB1148" s="16" t="inlineStr">
        <is>
          <t>Weak</t>
        </is>
      </c>
      <c r="AC1148" s="16" t="inlineStr">
        <is>
          <t>No</t>
        </is>
      </c>
      <c r="AD1148" s="19" t="n">
        <v>0.1201</v>
      </c>
      <c r="AE1148" s="19" t="n">
        <v>0.1386</v>
      </c>
      <c r="AF1148" s="19" t="n">
        <v>-0.023</v>
      </c>
      <c r="AG1148" s="19" t="n">
        <v>-0.0248</v>
      </c>
      <c r="AH1148" s="23" t="n">
        <v>0.22</v>
      </c>
      <c r="AI1148" s="23" t="n">
        <v>2.86</v>
      </c>
      <c r="AJ1148" s="19" t="n">
        <v>0.0911</v>
      </c>
    </row>
    <row r="1149">
      <c r="A1149" s="16" t="inlineStr">
        <is>
          <t>DYCL</t>
        </is>
      </c>
      <c r="B1149" s="16" t="inlineStr">
        <is>
          <t>Dynamic Cables Ltd.</t>
        </is>
      </c>
      <c r="C1149" s="16" t="inlineStr">
        <is>
          <t>Wires &amp; Cables</t>
        </is>
      </c>
      <c r="D1149" s="16" t="inlineStr">
        <is>
          <t>Consumer Durables</t>
        </is>
      </c>
      <c r="E1149" s="16" t="inlineStr">
        <is>
          <t>INE600Y01019</t>
        </is>
      </c>
      <c r="F1149" s="17" t="n">
        <v>2364.3</v>
      </c>
      <c r="G1149" s="18" t="n">
        <v>487.9</v>
      </c>
      <c r="H1149" s="19" t="n">
        <v>-0.1036</v>
      </c>
      <c r="I1149" s="20" t="n">
        <v>85</v>
      </c>
      <c r="J1149" s="16" t="inlineStr">
        <is>
          <t>green</t>
        </is>
      </c>
      <c r="K1149" s="20" t="n">
        <v>8</v>
      </c>
      <c r="L1149" s="18" t="n">
        <v>54.17</v>
      </c>
      <c r="M1149" s="18" t="n">
        <v>499.76</v>
      </c>
      <c r="N1149" s="18" t="n">
        <v>419.94</v>
      </c>
      <c r="O1149" s="18" t="n">
        <v>344.02</v>
      </c>
      <c r="P1149" s="18" t="n">
        <v>544.3</v>
      </c>
      <c r="Q1149" s="18" t="n">
        <v>240.57</v>
      </c>
      <c r="R1149" s="21">
        <f>IF(OR(G1149="",P1149=""),"",G1149/P1149-1)</f>
        <v/>
      </c>
      <c r="S1149" s="19" t="n">
        <v>1.7212</v>
      </c>
      <c r="T1149" s="22" t="n">
        <v>0.0222</v>
      </c>
      <c r="U1149" s="16" t="inlineStr">
        <is>
          <t>Yes</t>
        </is>
      </c>
      <c r="V1149" s="16" t="inlineStr">
        <is>
          <t>Yes</t>
        </is>
      </c>
      <c r="W1149" s="16" t="inlineStr">
        <is>
          <t>No</t>
        </is>
      </c>
      <c r="X1149" s="16" t="inlineStr">
        <is>
          <t>Yes</t>
        </is>
      </c>
      <c r="Y1149" s="20" t="n">
        <v>54</v>
      </c>
      <c r="Z1149" s="19" t="n">
        <v>0.2207</v>
      </c>
      <c r="AA1149" s="18" t="n">
        <v>76.06999999999999</v>
      </c>
      <c r="AB1149" s="16" t="inlineStr">
        <is>
          <t>High</t>
        </is>
      </c>
      <c r="AC1149" s="16" t="inlineStr">
        <is>
          <t>No</t>
        </is>
      </c>
      <c r="AD1149" s="19" t="n">
        <v>0.1782</v>
      </c>
      <c r="AE1149" s="19" t="n">
        <v>0.2232</v>
      </c>
      <c r="AF1149" s="19" t="n">
        <v>0.5226</v>
      </c>
      <c r="AG1149" s="19" t="n">
        <v>0.2172</v>
      </c>
      <c r="AH1149" s="23" t="n">
        <v>0.09</v>
      </c>
      <c r="AI1149" s="23" t="n">
        <v>9.02</v>
      </c>
      <c r="AJ1149" s="19" t="n">
        <v>0.2732</v>
      </c>
    </row>
    <row r="1150">
      <c r="A1150" s="16" t="inlineStr">
        <is>
          <t>WINDLAS</t>
        </is>
      </c>
      <c r="B1150" s="16" t="inlineStr">
        <is>
          <t>Windlas Biotech Ltd.</t>
        </is>
      </c>
      <c r="C1150" s="16" t="inlineStr">
        <is>
          <t>Pharmaceuticals</t>
        </is>
      </c>
      <c r="D1150" s="16" t="inlineStr">
        <is>
          <t>Pharmaceuticals &amp; Biotechnology</t>
        </is>
      </c>
      <c r="E1150" s="16" t="inlineStr">
        <is>
          <t>INE0H5O01029</t>
        </is>
      </c>
      <c r="F1150" s="17" t="n">
        <v>2364.02</v>
      </c>
      <c r="G1150" s="18" t="n">
        <v>1126.35</v>
      </c>
      <c r="H1150" s="19" t="n">
        <v>-0.0007000000000000001</v>
      </c>
      <c r="I1150" s="20" t="n">
        <v>79</v>
      </c>
      <c r="J1150" s="16" t="inlineStr">
        <is>
          <t>amber</t>
        </is>
      </c>
      <c r="K1150" s="20" t="n">
        <v>17</v>
      </c>
      <c r="L1150" s="18" t="n">
        <v>86.48</v>
      </c>
      <c r="M1150" s="18" t="n">
        <v>1039.59</v>
      </c>
      <c r="N1150" s="18" t="n">
        <v>906.09</v>
      </c>
      <c r="O1150" s="18" t="n">
        <v>820.79</v>
      </c>
      <c r="P1150" s="18" t="n">
        <v>1127.1</v>
      </c>
      <c r="Q1150" s="18" t="n">
        <v>700.46</v>
      </c>
      <c r="R1150" s="21">
        <f>IF(OR(G1150="",P1150=""),"",G1150/P1150-1)</f>
        <v/>
      </c>
      <c r="S1150" s="19" t="n">
        <v>0.8395</v>
      </c>
      <c r="T1150" s="22" t="n">
        <v>0.0112</v>
      </c>
      <c r="U1150" s="16" t="inlineStr">
        <is>
          <t>Yes</t>
        </is>
      </c>
      <c r="V1150" s="16" t="inlineStr">
        <is>
          <t>Yes</t>
        </is>
      </c>
      <c r="W1150" s="16" t="inlineStr">
        <is>
          <t>Yes</t>
        </is>
      </c>
      <c r="X1150" s="16" t="inlineStr">
        <is>
          <t>Yes</t>
        </is>
      </c>
      <c r="Y1150" s="20" t="n">
        <v>41</v>
      </c>
      <c r="Z1150" s="19" t="n">
        <v>0.1039</v>
      </c>
      <c r="AA1150" s="18" t="n">
        <v>40</v>
      </c>
      <c r="AB1150" s="16" t="inlineStr">
        <is>
          <t>Weak</t>
        </is>
      </c>
      <c r="AC1150" s="16" t="inlineStr">
        <is>
          <t>No</t>
        </is>
      </c>
      <c r="AD1150" s="19" t="n">
        <v>0.1214</v>
      </c>
      <c r="AE1150" s="19" t="n">
        <v>0.1592</v>
      </c>
      <c r="AF1150" s="19" t="n">
        <v>-0.1831</v>
      </c>
      <c r="AG1150" s="19" t="n">
        <v>0.2071</v>
      </c>
      <c r="AH1150" s="23" t="n">
        <v>0.06</v>
      </c>
      <c r="AI1150" s="23" t="n">
        <v>3.36</v>
      </c>
      <c r="AJ1150" s="19" t="n">
        <v>0.2136</v>
      </c>
    </row>
    <row r="1151">
      <c r="A1151" s="16" t="inlineStr">
        <is>
          <t>ADVAIT</t>
        </is>
      </c>
      <c r="B1151" s="16" t="inlineStr">
        <is>
          <t>Advait Energy Transitions Ltd.</t>
        </is>
      </c>
      <c r="C1151" s="16" t="inlineStr">
        <is>
          <t>Wires &amp; Cables</t>
        </is>
      </c>
      <c r="D1151" s="16" t="inlineStr">
        <is>
          <t>Consumer Durables</t>
        </is>
      </c>
      <c r="E1151" s="16" t="inlineStr">
        <is>
          <t>INE0ALI01010</t>
        </is>
      </c>
      <c r="F1151" s="17" t="n">
        <v>2362.77</v>
      </c>
      <c r="G1151" s="18" t="n">
        <v>2151.3</v>
      </c>
      <c r="H1151" s="19" t="n">
        <v>-0.027</v>
      </c>
      <c r="I1151" s="20" t="n">
        <v>50</v>
      </c>
      <c r="J1151" s="16" t="inlineStr">
        <is>
          <t>red</t>
        </is>
      </c>
      <c r="K1151" s="20" t="n">
        <v>1</v>
      </c>
      <c r="L1151" s="18" t="n">
        <v>56.18</v>
      </c>
      <c r="M1151" s="18" t="n">
        <v>2156.97</v>
      </c>
      <c r="N1151" s="18" t="n">
        <v>2187.99</v>
      </c>
      <c r="O1151" s="18" t="n"/>
      <c r="P1151" s="18" t="n">
        <v>2450.6</v>
      </c>
      <c r="Q1151" s="18" t="n">
        <v>1375.6</v>
      </c>
      <c r="R1151" s="21">
        <f>IF(OR(G1151="",P1151=""),"",G1151/P1151-1)</f>
        <v/>
      </c>
      <c r="S1151" s="19" t="n">
        <v>1.0759</v>
      </c>
      <c r="T1151" s="22" t="n"/>
      <c r="U1151" s="16" t="n"/>
      <c r="V1151" s="16" t="inlineStr">
        <is>
          <t>No</t>
        </is>
      </c>
      <c r="W1151" s="16" t="inlineStr">
        <is>
          <t>No</t>
        </is>
      </c>
      <c r="X1151" s="16" t="n"/>
      <c r="Y1151" s="20" t="n"/>
      <c r="Z1151" s="19" t="n"/>
      <c r="AA1151" s="18" t="n">
        <v>40</v>
      </c>
      <c r="AB1151" s="16" t="inlineStr">
        <is>
          <t>Weak</t>
        </is>
      </c>
      <c r="AC1151" s="16" t="inlineStr">
        <is>
          <t>No</t>
        </is>
      </c>
      <c r="AD1151" s="19" t="n">
        <v>0.2122</v>
      </c>
      <c r="AE1151" s="19" t="n">
        <v>0.2383</v>
      </c>
      <c r="AF1151" s="19" t="n">
        <v>-0.0091</v>
      </c>
      <c r="AG1151" s="19" t="n">
        <v>0.9147</v>
      </c>
      <c r="AH1151" s="23" t="n">
        <v>0.34</v>
      </c>
      <c r="AI1151" s="23" t="n">
        <v>5.43</v>
      </c>
      <c r="AJ1151" s="19" t="n">
        <v>0.4508</v>
      </c>
    </row>
    <row r="1152">
      <c r="A1152" s="16" t="inlineStr">
        <is>
          <t>RANEHOLDIN</t>
        </is>
      </c>
      <c r="B1152" s="16" t="inlineStr">
        <is>
          <t>Rane Holdings Ltd.</t>
        </is>
      </c>
      <c r="C1152" s="16" t="inlineStr">
        <is>
          <t>Holding Companies</t>
        </is>
      </c>
      <c r="D1152" s="16" t="inlineStr">
        <is>
          <t>Diversified</t>
        </is>
      </c>
      <c r="E1152" s="16" t="inlineStr">
        <is>
          <t>INE384A01010</t>
        </is>
      </c>
      <c r="F1152" s="17" t="n">
        <v>2357.41</v>
      </c>
      <c r="G1152" s="18" t="n">
        <v>1651.1</v>
      </c>
      <c r="H1152" s="19" t="n">
        <v>0.0097</v>
      </c>
      <c r="I1152" s="20" t="n">
        <v>69</v>
      </c>
      <c r="J1152" s="16" t="inlineStr">
        <is>
          <t>amber</t>
        </is>
      </c>
      <c r="K1152" s="20" t="n">
        <v>20</v>
      </c>
      <c r="L1152" s="18" t="n">
        <v>59.53</v>
      </c>
      <c r="M1152" s="18" t="n">
        <v>1599.19</v>
      </c>
      <c r="N1152" s="18" t="n">
        <v>1681.54</v>
      </c>
      <c r="O1152" s="18" t="n">
        <v>1366.42</v>
      </c>
      <c r="P1152" s="18" t="n">
        <v>1824.79</v>
      </c>
      <c r="Q1152" s="18" t="n">
        <v>966.67</v>
      </c>
      <c r="R1152" s="21">
        <f>IF(OR(G1152="",P1152=""),"",G1152/P1152-1)</f>
        <v/>
      </c>
      <c r="S1152" s="19" t="n">
        <v>4.355799999999999</v>
      </c>
      <c r="T1152" s="22" t="n">
        <v>0.0105</v>
      </c>
      <c r="U1152" s="16" t="inlineStr">
        <is>
          <t>Yes</t>
        </is>
      </c>
      <c r="V1152" s="16" t="inlineStr">
        <is>
          <t>No</t>
        </is>
      </c>
      <c r="W1152" s="16" t="inlineStr">
        <is>
          <t>Yes</t>
        </is>
      </c>
      <c r="X1152" s="16" t="inlineStr">
        <is>
          <t>Yes</t>
        </is>
      </c>
      <c r="Y1152" s="20" t="n">
        <v>50</v>
      </c>
      <c r="Z1152" s="19" t="n">
        <v>0.2306</v>
      </c>
      <c r="AA1152" s="18" t="n">
        <v>61.8</v>
      </c>
      <c r="AB1152" s="16" t="inlineStr">
        <is>
          <t>Good</t>
        </is>
      </c>
      <c r="AC1152" s="16" t="inlineStr">
        <is>
          <t>Yes</t>
        </is>
      </c>
      <c r="AD1152" s="19" t="n">
        <v>0.1363</v>
      </c>
      <c r="AE1152" s="19" t="n">
        <v>0.1295</v>
      </c>
      <c r="AF1152" s="19" t="n">
        <v>0.3781</v>
      </c>
      <c r="AG1152" s="19" t="n">
        <v>0.1999</v>
      </c>
      <c r="AH1152" s="23" t="n">
        <v>0.88</v>
      </c>
      <c r="AI1152" s="23" t="n">
        <v>4.45</v>
      </c>
      <c r="AJ1152" s="19" t="n">
        <v>0.1588</v>
      </c>
    </row>
    <row r="1153">
      <c r="A1153" s="16" t="inlineStr">
        <is>
          <t>SELECTRIC</t>
        </is>
      </c>
      <c r="B1153" s="16" t="inlineStr">
        <is>
          <t>Schneider Electric President Systems Ltd.</t>
        </is>
      </c>
      <c r="C1153" s="16" t="inlineStr">
        <is>
          <t>Industrial Machinery</t>
        </is>
      </c>
      <c r="D1153" s="16" t="inlineStr">
        <is>
          <t>General Industrials</t>
        </is>
      </c>
      <c r="E1153" s="16" t="inlineStr">
        <is>
          <t>INE155D01018</t>
        </is>
      </c>
      <c r="F1153" s="17" t="n">
        <v>2350.13</v>
      </c>
      <c r="G1153" s="18" t="n">
        <v>1942.9</v>
      </c>
      <c r="H1153" s="19" t="n">
        <v>-0.0134</v>
      </c>
      <c r="I1153" s="20" t="n"/>
      <c r="J1153" s="16" t="n"/>
      <c r="K1153" s="20" t="n"/>
      <c r="L1153" s="18" t="n">
        <v>41.45</v>
      </c>
      <c r="M1153" s="18" t="n">
        <v>1913.02</v>
      </c>
      <c r="N1153" s="18" t="n"/>
      <c r="O1153" s="18" t="n"/>
      <c r="P1153" s="18" t="n">
        <v>2482.25</v>
      </c>
      <c r="Q1153" s="18" t="n">
        <v>1834.1</v>
      </c>
      <c r="R1153" s="21">
        <f>IF(OR(G1153="",P1153=""),"",G1153/P1153-1)</f>
        <v/>
      </c>
      <c r="S1153" s="19" t="n">
        <v>0.6639</v>
      </c>
      <c r="T1153" s="22" t="n"/>
      <c r="U1153" s="16" t="n"/>
      <c r="V1153" s="16" t="n"/>
      <c r="W1153" s="16" t="inlineStr">
        <is>
          <t>Yes</t>
        </is>
      </c>
      <c r="X1153" s="16" t="n"/>
      <c r="Y1153" s="20" t="n"/>
      <c r="Z1153" s="19" t="n"/>
      <c r="AA1153" s="18" t="n"/>
      <c r="AB1153" s="16" t="n"/>
      <c r="AC1153" s="16" t="inlineStr">
        <is>
          <t>No</t>
        </is>
      </c>
      <c r="AD1153" s="19" t="n"/>
      <c r="AE1153" s="19" t="n"/>
      <c r="AF1153" s="19" t="n"/>
      <c r="AG1153" s="19" t="n"/>
      <c r="AH1153" s="23" t="n"/>
      <c r="AI1153" s="23" t="n"/>
      <c r="AJ1153" s="19" t="n"/>
    </row>
    <row r="1154">
      <c r="A1154" s="16" t="inlineStr">
        <is>
          <t>MOLDTKPAC</t>
        </is>
      </c>
      <c r="B1154" s="16" t="inlineStr">
        <is>
          <t>Mold-Tek Packaging Ltd.</t>
        </is>
      </c>
      <c r="C1154" s="16" t="inlineStr">
        <is>
          <t>Containers &amp; Packaging</t>
        </is>
      </c>
      <c r="D1154" s="16" t="inlineStr">
        <is>
          <t>Commercial Services &amp; Supplies</t>
        </is>
      </c>
      <c r="E1154" s="16" t="inlineStr">
        <is>
          <t>INE893J01029</t>
        </is>
      </c>
      <c r="F1154" s="17" t="n">
        <v>2348.12</v>
      </c>
      <c r="G1154" s="18" t="n">
        <v>706.65</v>
      </c>
      <c r="H1154" s="19" t="n">
        <v>0.0101</v>
      </c>
      <c r="I1154" s="20" t="n">
        <v>49</v>
      </c>
      <c r="J1154" s="16" t="inlineStr">
        <is>
          <t>red</t>
        </is>
      </c>
      <c r="K1154" s="20" t="n">
        <v>24</v>
      </c>
      <c r="L1154" s="18" t="n">
        <v>59.8</v>
      </c>
      <c r="M1154" s="18" t="n">
        <v>701.8099999999999</v>
      </c>
      <c r="N1154" s="18" t="n">
        <v>691.6799999999999</v>
      </c>
      <c r="O1154" s="18" t="n">
        <v>617.51</v>
      </c>
      <c r="P1154" s="18" t="n">
        <v>835.1900000000001</v>
      </c>
      <c r="Q1154" s="18" t="n">
        <v>471.08</v>
      </c>
      <c r="R1154" s="21">
        <f>IF(OR(G1154="",P1154=""),"",G1154/P1154-1)</f>
        <v/>
      </c>
      <c r="S1154" s="19" t="n">
        <v>0.309</v>
      </c>
      <c r="T1154" s="22" t="n">
        <v>-0.002</v>
      </c>
      <c r="U1154" s="16" t="inlineStr">
        <is>
          <t>No</t>
        </is>
      </c>
      <c r="V1154" s="16" t="inlineStr">
        <is>
          <t>Yes</t>
        </is>
      </c>
      <c r="W1154" s="16" t="inlineStr">
        <is>
          <t>Yes</t>
        </is>
      </c>
      <c r="X1154" s="16" t="inlineStr">
        <is>
          <t>Yes</t>
        </is>
      </c>
      <c r="Y1154" s="20" t="n">
        <v>56</v>
      </c>
      <c r="Z1154" s="19" t="n">
        <v>0.1201</v>
      </c>
      <c r="AA1154" s="18" t="n">
        <v>37.35</v>
      </c>
      <c r="AB1154" s="16" t="inlineStr">
        <is>
          <t>Weak</t>
        </is>
      </c>
      <c r="AC1154" s="16" t="inlineStr">
        <is>
          <t>No</t>
        </is>
      </c>
      <c r="AD1154" s="19" t="n">
        <v>0.1042</v>
      </c>
      <c r="AE1154" s="19" t="n">
        <v>0.1258</v>
      </c>
      <c r="AF1154" s="19" t="n">
        <v>-0.0217</v>
      </c>
      <c r="AG1154" s="19" t="n">
        <v>0.0721</v>
      </c>
      <c r="AH1154" s="23" t="n">
        <v>0.31</v>
      </c>
      <c r="AI1154" s="23" t="n">
        <v>1.4</v>
      </c>
      <c r="AJ1154" s="19" t="n">
        <v>0.0218</v>
      </c>
    </row>
    <row r="1155">
      <c r="A1155" s="16" t="inlineStr">
        <is>
          <t>JGCHEM</t>
        </is>
      </c>
      <c r="B1155" s="16" t="inlineStr">
        <is>
          <t>J G Chemicals Ltd.</t>
        </is>
      </c>
      <c r="C1155" s="16" t="inlineStr">
        <is>
          <t>Specialty Chemicals</t>
        </is>
      </c>
      <c r="D1155" s="16" t="inlineStr">
        <is>
          <t>Chemicals &amp; Petrochemicals</t>
        </is>
      </c>
      <c r="E1155" s="16" t="inlineStr">
        <is>
          <t>INE0MB501011</t>
        </is>
      </c>
      <c r="F1155" s="17" t="n">
        <v>2343.92</v>
      </c>
      <c r="G1155" s="18" t="n">
        <v>598.15</v>
      </c>
      <c r="H1155" s="19" t="n">
        <v>-0.0229</v>
      </c>
      <c r="I1155" s="20" t="n">
        <v>83</v>
      </c>
      <c r="J1155" s="16" t="inlineStr">
        <is>
          <t>green</t>
        </is>
      </c>
      <c r="K1155" s="20" t="n">
        <v>23</v>
      </c>
      <c r="L1155" s="18" t="n">
        <v>49.54</v>
      </c>
      <c r="M1155" s="18" t="n">
        <v>613.1900000000001</v>
      </c>
      <c r="N1155" s="18" t="n">
        <v>528.58</v>
      </c>
      <c r="O1155" s="18" t="n">
        <v>412.81</v>
      </c>
      <c r="P1155" s="18" t="n">
        <v>651.3</v>
      </c>
      <c r="Q1155" s="18" t="n">
        <v>305.2</v>
      </c>
      <c r="R1155" s="21">
        <f>IF(OR(G1155="",P1155=""),"",G1155/P1155-1)</f>
        <v/>
      </c>
      <c r="S1155" s="19" t="n">
        <v>0.2234</v>
      </c>
      <c r="T1155" s="22" t="n">
        <v>0.0487</v>
      </c>
      <c r="U1155" s="16" t="inlineStr">
        <is>
          <t>Yes</t>
        </is>
      </c>
      <c r="V1155" s="16" t="inlineStr">
        <is>
          <t>Yes</t>
        </is>
      </c>
      <c r="W1155" s="16" t="inlineStr">
        <is>
          <t>No</t>
        </is>
      </c>
      <c r="X1155" s="16" t="inlineStr">
        <is>
          <t>Yes</t>
        </is>
      </c>
      <c r="Y1155" s="20" t="n">
        <v>63</v>
      </c>
      <c r="Z1155" s="19" t="n">
        <v>0.2804</v>
      </c>
      <c r="AA1155" s="18" t="n">
        <v>40</v>
      </c>
      <c r="AB1155" s="16" t="inlineStr">
        <is>
          <t>Weak</t>
        </is>
      </c>
      <c r="AC1155" s="16" t="inlineStr">
        <is>
          <t>No</t>
        </is>
      </c>
      <c r="AD1155" s="19" t="n">
        <v>0.1133</v>
      </c>
      <c r="AE1155" s="19" t="n">
        <v>0.1603</v>
      </c>
      <c r="AF1155" s="19" t="n">
        <v>-0.2044</v>
      </c>
      <c r="AG1155" s="19" t="n">
        <v>0.0895</v>
      </c>
      <c r="AH1155" s="23" t="n">
        <v>0.01</v>
      </c>
      <c r="AI1155" s="23" t="n">
        <v>12.98</v>
      </c>
      <c r="AJ1155" s="19" t="n">
        <v>0.1035</v>
      </c>
    </row>
    <row r="1156">
      <c r="A1156" s="16" t="inlineStr">
        <is>
          <t>BOMDYEING</t>
        </is>
      </c>
      <c r="B1156" s="16" t="inlineStr">
        <is>
          <t>Bombay Dyeing &amp; Manufacturing Company Ltd.</t>
        </is>
      </c>
      <c r="C1156" s="16" t="inlineStr">
        <is>
          <t>Textiles</t>
        </is>
      </c>
      <c r="D1156" s="16" t="inlineStr">
        <is>
          <t>Textiles Apparels &amp; Accessories</t>
        </is>
      </c>
      <c r="E1156" s="16" t="inlineStr">
        <is>
          <t>INE032A01023</t>
        </is>
      </c>
      <c r="F1156" s="17" t="n">
        <v>2343.55</v>
      </c>
      <c r="G1156" s="18" t="n">
        <v>113.47</v>
      </c>
      <c r="H1156" s="19" t="n">
        <v>0.0025</v>
      </c>
      <c r="I1156" s="20" t="n">
        <v>14</v>
      </c>
      <c r="J1156" s="16" t="inlineStr">
        <is>
          <t>red</t>
        </is>
      </c>
      <c r="K1156" s="20" t="n">
        <v>218</v>
      </c>
      <c r="L1156" s="18" t="n">
        <v>49.04</v>
      </c>
      <c r="M1156" s="18" t="n">
        <v>114.35</v>
      </c>
      <c r="N1156" s="18" t="n">
        <v>120.14</v>
      </c>
      <c r="O1156" s="18" t="n">
        <v>120.97</v>
      </c>
      <c r="P1156" s="18" t="n">
        <v>188.23</v>
      </c>
      <c r="Q1156" s="18" t="n">
        <v>92.40000000000001</v>
      </c>
      <c r="R1156" s="21">
        <f>IF(OR(G1156="",P1156=""),"",G1156/P1156-1)</f>
        <v/>
      </c>
      <c r="S1156" s="19" t="n">
        <v>0.4361</v>
      </c>
      <c r="T1156" s="22" t="n">
        <v>-0.0374</v>
      </c>
      <c r="U1156" s="16" t="inlineStr">
        <is>
          <t>No</t>
        </is>
      </c>
      <c r="V1156" s="16" t="inlineStr">
        <is>
          <t>No</t>
        </is>
      </c>
      <c r="W1156" s="16" t="inlineStr">
        <is>
          <t>No</t>
        </is>
      </c>
      <c r="X1156" s="16" t="inlineStr">
        <is>
          <t>No</t>
        </is>
      </c>
      <c r="Y1156" s="20" t="n">
        <v>5</v>
      </c>
      <c r="Z1156" s="19" t="n">
        <v>-0.0068</v>
      </c>
      <c r="AA1156" s="18" t="n">
        <v>73.76000000000001</v>
      </c>
      <c r="AB1156" s="16" t="inlineStr">
        <is>
          <t>High</t>
        </is>
      </c>
      <c r="AC1156" s="16" t="inlineStr">
        <is>
          <t>No</t>
        </is>
      </c>
      <c r="AD1156" s="19" t="n">
        <v>0.5972999999999999</v>
      </c>
      <c r="AE1156" s="19" t="n">
        <v>0.7855</v>
      </c>
      <c r="AF1156" s="19" t="n">
        <v>1.6424</v>
      </c>
      <c r="AG1156" s="19" t="n">
        <v>-0.169</v>
      </c>
      <c r="AH1156" s="23" t="n">
        <v>0</v>
      </c>
      <c r="AI1156" s="23" t="n">
        <v>2.19</v>
      </c>
      <c r="AJ1156" s="19" t="n">
        <v>0.09720000000000001</v>
      </c>
    </row>
    <row r="1157">
      <c r="A1157" s="16" t="inlineStr">
        <is>
          <t>VENKEYS</t>
        </is>
      </c>
      <c r="B1157" s="16" t="inlineStr">
        <is>
          <t>Venky's (India) Ltd.</t>
        </is>
      </c>
      <c r="C1157" s="16" t="inlineStr">
        <is>
          <t>Packaged Foods</t>
        </is>
      </c>
      <c r="D1157" s="16" t="inlineStr">
        <is>
          <t>FMCG</t>
        </is>
      </c>
      <c r="E1157" s="16" t="inlineStr">
        <is>
          <t>INE398A01010</t>
        </is>
      </c>
      <c r="F1157" s="17" t="n">
        <v>2337.93</v>
      </c>
      <c r="G1157" s="18" t="n">
        <v>1659.6</v>
      </c>
      <c r="H1157" s="19" t="n">
        <v>-0.0104</v>
      </c>
      <c r="I1157" s="20" t="n">
        <v>67</v>
      </c>
      <c r="J1157" s="16" t="inlineStr">
        <is>
          <t>amber</t>
        </is>
      </c>
      <c r="K1157" s="20" t="n">
        <v>5</v>
      </c>
      <c r="L1157" s="18" t="n">
        <v>66.63</v>
      </c>
      <c r="M1157" s="18" t="n">
        <v>1636.4</v>
      </c>
      <c r="N1157" s="18" t="n">
        <v>1522.82</v>
      </c>
      <c r="O1157" s="18" t="n">
        <v>1463.84</v>
      </c>
      <c r="P1157" s="18" t="n">
        <v>1709.6</v>
      </c>
      <c r="Q1157" s="18" t="n">
        <v>1170.8</v>
      </c>
      <c r="R1157" s="21">
        <f>IF(OR(G1157="",P1157=""),"",G1157/P1157-1)</f>
        <v/>
      </c>
      <c r="S1157" s="19" t="n">
        <v>0.2018</v>
      </c>
      <c r="T1157" s="22" t="n">
        <v>0.0097</v>
      </c>
      <c r="U1157" s="16" t="inlineStr">
        <is>
          <t>Yes</t>
        </is>
      </c>
      <c r="V1157" s="16" t="inlineStr">
        <is>
          <t>Yes</t>
        </is>
      </c>
      <c r="W1157" s="16" t="inlineStr">
        <is>
          <t>Yes</t>
        </is>
      </c>
      <c r="X1157" s="16" t="inlineStr">
        <is>
          <t>Yes</t>
        </is>
      </c>
      <c r="Y1157" s="20" t="n">
        <v>75</v>
      </c>
      <c r="Z1157" s="19" t="n">
        <v>0.0403</v>
      </c>
      <c r="AA1157" s="18" t="n">
        <v>43.48</v>
      </c>
      <c r="AB1157" s="16" t="inlineStr">
        <is>
          <t>Average</t>
        </is>
      </c>
      <c r="AC1157" s="16" t="inlineStr">
        <is>
          <t>No</t>
        </is>
      </c>
      <c r="AD1157" s="19" t="n">
        <v>0.0746</v>
      </c>
      <c r="AE1157" s="19" t="n">
        <v>0.1021</v>
      </c>
      <c r="AF1157" s="19" t="n">
        <v>0.2636</v>
      </c>
      <c r="AG1157" s="19" t="n">
        <v>-0.0223</v>
      </c>
      <c r="AH1157" s="23" t="n">
        <v>0.1</v>
      </c>
      <c r="AI1157" s="23" t="n">
        <v>5.78</v>
      </c>
      <c r="AJ1157" s="19" t="n">
        <v>0.0133</v>
      </c>
    </row>
    <row r="1158">
      <c r="A1158" s="16" t="inlineStr">
        <is>
          <t>VERANDA</t>
        </is>
      </c>
      <c r="B1158" s="16" t="inlineStr">
        <is>
          <t>Veranda Learning Solutions Ltd.</t>
        </is>
      </c>
      <c r="C1158" s="16" t="inlineStr">
        <is>
          <t>IT Training Services</t>
        </is>
      </c>
      <c r="D1158" s="16" t="inlineStr">
        <is>
          <t>Software &amp; Services</t>
        </is>
      </c>
      <c r="E1158" s="16" t="inlineStr">
        <is>
          <t>INE0IQ001011</t>
        </is>
      </c>
      <c r="F1158" s="17" t="n">
        <v>2337.76</v>
      </c>
      <c r="G1158" s="18" t="n">
        <v>242.63</v>
      </c>
      <c r="H1158" s="19" t="n">
        <v>0.0015</v>
      </c>
      <c r="I1158" s="20" t="n">
        <v>65</v>
      </c>
      <c r="J1158" s="16" t="inlineStr">
        <is>
          <t>amber</t>
        </is>
      </c>
      <c r="K1158" s="20" t="n">
        <v>5</v>
      </c>
      <c r="L1158" s="18" t="n">
        <v>55.1</v>
      </c>
      <c r="M1158" s="18" t="n">
        <v>243.57</v>
      </c>
      <c r="N1158" s="18" t="n">
        <v>242.51</v>
      </c>
      <c r="O1158" s="18" t="n">
        <v>207.36</v>
      </c>
      <c r="P1158" s="18" t="n">
        <v>262.44</v>
      </c>
      <c r="Q1158" s="18" t="n">
        <v>131.74</v>
      </c>
      <c r="R1158" s="21">
        <f>IF(OR(G1158="",P1158=""),"",G1158/P1158-1)</f>
        <v/>
      </c>
      <c r="S1158" s="19" t="n">
        <v>0.1641</v>
      </c>
      <c r="T1158" s="22" t="n">
        <v>0.0061</v>
      </c>
      <c r="U1158" s="16" t="inlineStr">
        <is>
          <t>Yes</t>
        </is>
      </c>
      <c r="V1158" s="16" t="inlineStr">
        <is>
          <t>Yes</t>
        </is>
      </c>
      <c r="W1158" s="16" t="inlineStr">
        <is>
          <t>No</t>
        </is>
      </c>
      <c r="X1158" s="16" t="inlineStr">
        <is>
          <t>Yes</t>
        </is>
      </c>
      <c r="Y1158" s="20" t="n">
        <v>60</v>
      </c>
      <c r="Z1158" s="19" t="n">
        <v>0.1695</v>
      </c>
      <c r="AA1158" s="18" t="n">
        <v>33.32</v>
      </c>
      <c r="AB1158" s="16" t="inlineStr">
        <is>
          <t>Poor</t>
        </is>
      </c>
      <c r="AC1158" s="16" t="inlineStr">
        <is>
          <t>No</t>
        </is>
      </c>
      <c r="AD1158" s="19" t="n">
        <v>-0.3557</v>
      </c>
      <c r="AE1158" s="19" t="n">
        <v>0.0225</v>
      </c>
      <c r="AF1158" s="19" t="n">
        <v>-0.2468</v>
      </c>
      <c r="AG1158" s="19" t="n">
        <v>0.5167</v>
      </c>
      <c r="AH1158" s="23" t="n">
        <v>0.4</v>
      </c>
      <c r="AI1158" s="23" t="n">
        <v>4.88</v>
      </c>
      <c r="AJ1158" s="19" t="n">
        <v>0.0114</v>
      </c>
    </row>
    <row r="1159">
      <c r="A1159" s="16" t="inlineStr">
        <is>
          <t>PANACEABIO</t>
        </is>
      </c>
      <c r="B1159" s="16" t="inlineStr">
        <is>
          <t>Panacea Biotec Ltd.</t>
        </is>
      </c>
      <c r="C1159" s="16" t="inlineStr">
        <is>
          <t>Biotechnology</t>
        </is>
      </c>
      <c r="D1159" s="16" t="inlineStr">
        <is>
          <t>Pharmaceuticals &amp; Biotechnology</t>
        </is>
      </c>
      <c r="E1159" s="16" t="inlineStr">
        <is>
          <t>INE922B01023</t>
        </is>
      </c>
      <c r="F1159" s="17" t="n">
        <v>2335.18</v>
      </c>
      <c r="G1159" s="18" t="n">
        <v>381.25</v>
      </c>
      <c r="H1159" s="19" t="n">
        <v>-0.02</v>
      </c>
      <c r="I1159" s="20" t="n">
        <v>19</v>
      </c>
      <c r="J1159" s="16" t="inlineStr">
        <is>
          <t>red</t>
        </is>
      </c>
      <c r="K1159" s="20" t="n">
        <v>25</v>
      </c>
      <c r="L1159" s="18" t="n">
        <v>29.91</v>
      </c>
      <c r="M1159" s="18" t="n">
        <v>389.67</v>
      </c>
      <c r="N1159" s="18" t="n">
        <v>455.61</v>
      </c>
      <c r="O1159" s="18" t="n">
        <v>401.43</v>
      </c>
      <c r="P1159" s="18" t="n">
        <v>607.75</v>
      </c>
      <c r="Q1159" s="18" t="n">
        <v>296.05</v>
      </c>
      <c r="R1159" s="21">
        <f>IF(OR(G1159="",P1159=""),"",G1159/P1159-1)</f>
        <v/>
      </c>
      <c r="S1159" s="19" t="n">
        <v>0.3855</v>
      </c>
      <c r="T1159" s="22" t="n">
        <v>-0.0046</v>
      </c>
      <c r="U1159" s="16" t="inlineStr">
        <is>
          <t>No</t>
        </is>
      </c>
      <c r="V1159" s="16" t="inlineStr">
        <is>
          <t>No</t>
        </is>
      </c>
      <c r="W1159" s="16" t="inlineStr">
        <is>
          <t>No</t>
        </is>
      </c>
      <c r="X1159" s="16" t="inlineStr">
        <is>
          <t>Yes</t>
        </is>
      </c>
      <c r="Y1159" s="20" t="n">
        <v>64</v>
      </c>
      <c r="Z1159" s="19" t="n">
        <v>0.1349</v>
      </c>
      <c r="AA1159" s="18" t="n">
        <v>31.12</v>
      </c>
      <c r="AB1159" s="16" t="inlineStr">
        <is>
          <t>Poor</t>
        </is>
      </c>
      <c r="AC1159" s="16" t="inlineStr">
        <is>
          <t>No</t>
        </is>
      </c>
      <c r="AD1159" s="19" t="n">
        <v>-0.0059</v>
      </c>
      <c r="AE1159" s="19" t="n">
        <v>-0.0005</v>
      </c>
      <c r="AF1159" s="19" t="n">
        <v>-1.4152</v>
      </c>
      <c r="AG1159" s="19" t="n">
        <v>0.1217</v>
      </c>
      <c r="AH1159" s="23" t="n">
        <v>0.03</v>
      </c>
      <c r="AI1159" s="23" t="n">
        <v>0.98</v>
      </c>
      <c r="AJ1159" s="19" t="n">
        <v>0.153</v>
      </c>
    </row>
    <row r="1160">
      <c r="A1160" s="16" t="inlineStr">
        <is>
          <t>RELINFRA</t>
        </is>
      </c>
      <c r="B1160" s="16" t="inlineStr">
        <is>
          <t>Reliance Infrastructure Ltd.</t>
        </is>
      </c>
      <c r="C1160" s="16" t="inlineStr">
        <is>
          <t>Power - Electric Utilities</t>
        </is>
      </c>
      <c r="D1160" s="16" t="inlineStr">
        <is>
          <t>Utilities</t>
        </is>
      </c>
      <c r="E1160" s="16" t="inlineStr">
        <is>
          <t>INE036A01016</t>
        </is>
      </c>
      <c r="F1160" s="17" t="n">
        <v>2330.02</v>
      </c>
      <c r="G1160" s="18" t="n">
        <v>57.02</v>
      </c>
      <c r="H1160" s="19" t="n">
        <v>0.0199</v>
      </c>
      <c r="I1160" s="20" t="n">
        <v>1</v>
      </c>
      <c r="J1160" s="16" t="inlineStr">
        <is>
          <t>red</t>
        </is>
      </c>
      <c r="K1160" s="20" t="n">
        <v>250</v>
      </c>
      <c r="L1160" s="18" t="n">
        <v>21.22</v>
      </c>
      <c r="M1160" s="18" t="n">
        <v>58.82</v>
      </c>
      <c r="N1160" s="18" t="n">
        <v>65.54000000000001</v>
      </c>
      <c r="O1160" s="18" t="n">
        <v>97.09</v>
      </c>
      <c r="P1160" s="18" t="n">
        <v>287.4</v>
      </c>
      <c r="Q1160" s="18" t="n">
        <v>55.91</v>
      </c>
      <c r="R1160" s="21">
        <f>IF(OR(G1160="",P1160=""),"",G1160/P1160-1)</f>
        <v/>
      </c>
      <c r="S1160" s="19" t="n">
        <v>0.4883</v>
      </c>
      <c r="T1160" s="22" t="n">
        <v>-0.1227</v>
      </c>
      <c r="U1160" s="16" t="inlineStr">
        <is>
          <t>No</t>
        </is>
      </c>
      <c r="V1160" s="16" t="inlineStr">
        <is>
          <t>No</t>
        </is>
      </c>
      <c r="W1160" s="16" t="inlineStr">
        <is>
          <t>No</t>
        </is>
      </c>
      <c r="X1160" s="16" t="inlineStr">
        <is>
          <t>No</t>
        </is>
      </c>
      <c r="Y1160" s="20" t="n">
        <v>235</v>
      </c>
      <c r="Z1160" s="19" t="n">
        <v>-0.3249</v>
      </c>
      <c r="AA1160" s="18" t="n">
        <v>54.61</v>
      </c>
      <c r="AB1160" s="16" t="inlineStr">
        <is>
          <t>Good</t>
        </is>
      </c>
      <c r="AC1160" s="16" t="inlineStr">
        <is>
          <t>No</t>
        </is>
      </c>
      <c r="AD1160" s="19" t="n">
        <v>0.1069</v>
      </c>
      <c r="AE1160" s="19" t="n">
        <v>0.2754</v>
      </c>
      <c r="AF1160" s="19" t="n">
        <v>1.3477</v>
      </c>
      <c r="AG1160" s="19" t="n">
        <v>-0.0025</v>
      </c>
      <c r="AH1160" s="23" t="n">
        <v>0.28</v>
      </c>
      <c r="AI1160" s="23" t="n">
        <v>1.8</v>
      </c>
      <c r="AJ1160" s="19" t="n">
        <v>0.08070000000000001</v>
      </c>
    </row>
    <row r="1161">
      <c r="A1161" s="16" t="inlineStr">
        <is>
          <t>EPACKPEB</t>
        </is>
      </c>
      <c r="B1161" s="16" t="inlineStr">
        <is>
          <t>EPack Prefab Technologies Ltd.</t>
        </is>
      </c>
      <c r="C1161" s="16" t="inlineStr">
        <is>
          <t>Construction &amp; Engineering</t>
        </is>
      </c>
      <c r="D1161" s="16" t="inlineStr">
        <is>
          <t>Cement and Construction</t>
        </is>
      </c>
      <c r="E1161" s="16" t="inlineStr">
        <is>
          <t>INE0MLS01022</t>
        </is>
      </c>
      <c r="F1161" s="17" t="n">
        <v>2325.68</v>
      </c>
      <c r="G1161" s="18" t="n">
        <v>231.11</v>
      </c>
      <c r="H1161" s="19" t="n">
        <v>0.0168</v>
      </c>
      <c r="I1161" s="20" t="n">
        <v>53</v>
      </c>
      <c r="J1161" s="16" t="inlineStr">
        <is>
          <t>red</t>
        </is>
      </c>
      <c r="K1161" s="20" t="n">
        <v>6</v>
      </c>
      <c r="L1161" s="18" t="n">
        <v>58.96</v>
      </c>
      <c r="M1161" s="18" t="n">
        <v>227.61</v>
      </c>
      <c r="N1161" s="18" t="n">
        <v>244.76</v>
      </c>
      <c r="O1161" s="18" t="n">
        <v>225.3</v>
      </c>
      <c r="P1161" s="18" t="n">
        <v>330.05</v>
      </c>
      <c r="Q1161" s="18" t="n">
        <v>132.17</v>
      </c>
      <c r="R1161" s="21">
        <f>IF(OR(G1161="",P1161=""),"",G1161/P1161-1)</f>
        <v/>
      </c>
      <c r="S1161" s="19" t="n">
        <v>0.2401</v>
      </c>
      <c r="T1161" s="22" t="n">
        <v>-0.0263</v>
      </c>
      <c r="U1161" s="16" t="inlineStr">
        <is>
          <t>No</t>
        </is>
      </c>
      <c r="V1161" s="16" t="inlineStr">
        <is>
          <t>No</t>
        </is>
      </c>
      <c r="W1161" s="16" t="inlineStr">
        <is>
          <t>Yes</t>
        </is>
      </c>
      <c r="X1161" s="16" t="inlineStr">
        <is>
          <t>Yes</t>
        </is>
      </c>
      <c r="Y1161" s="20" t="n">
        <v>32</v>
      </c>
      <c r="Z1161" s="19" t="n">
        <v>0.0864</v>
      </c>
      <c r="AA1161" s="18" t="n">
        <v>72.11</v>
      </c>
      <c r="AB1161" s="16" t="inlineStr">
        <is>
          <t>High</t>
        </is>
      </c>
      <c r="AC1161" s="16" t="inlineStr">
        <is>
          <t>No</t>
        </is>
      </c>
      <c r="AD1161" s="19" t="n">
        <v>0.1827</v>
      </c>
      <c r="AE1161" s="19" t="n">
        <v>0.1985</v>
      </c>
      <c r="AF1161" s="19" t="n">
        <v>0.6836</v>
      </c>
      <c r="AG1161" s="19" t="n">
        <v>0.3311</v>
      </c>
      <c r="AH1161" s="23" t="n">
        <v>0.16</v>
      </c>
      <c r="AI1161" s="23" t="n">
        <v>3.69</v>
      </c>
      <c r="AJ1161" s="19" t="n">
        <v>0.146</v>
      </c>
    </row>
    <row r="1162">
      <c r="A1162" s="16" t="inlineStr">
        <is>
          <t>ARKADE</t>
        </is>
      </c>
      <c r="B1162" s="16" t="inlineStr">
        <is>
          <t>Arkade Developers Ltd.</t>
        </is>
      </c>
      <c r="C1162" s="16" t="inlineStr">
        <is>
          <t>Realty</t>
        </is>
      </c>
      <c r="D1162" s="16" t="inlineStr">
        <is>
          <t>Realty</t>
        </is>
      </c>
      <c r="E1162" s="16" t="inlineStr">
        <is>
          <t>INE0QRL01017</t>
        </is>
      </c>
      <c r="F1162" s="17" t="n">
        <v>2324.88</v>
      </c>
      <c r="G1162" s="18" t="n">
        <v>125.22</v>
      </c>
      <c r="H1162" s="19" t="n">
        <v>0.008500000000000001</v>
      </c>
      <c r="I1162" s="20" t="n">
        <v>33</v>
      </c>
      <c r="J1162" s="16" t="inlineStr">
        <is>
          <t>red</t>
        </is>
      </c>
      <c r="K1162" s="20" t="n">
        <v>194</v>
      </c>
      <c r="L1162" s="18" t="n">
        <v>42.41</v>
      </c>
      <c r="M1162" s="18" t="n">
        <v>124.25</v>
      </c>
      <c r="N1162" s="18" t="n">
        <v>132.22</v>
      </c>
      <c r="O1162" s="18" t="n">
        <v>125.59</v>
      </c>
      <c r="P1162" s="18" t="n">
        <v>181.82</v>
      </c>
      <c r="Q1162" s="18" t="n">
        <v>94.83</v>
      </c>
      <c r="R1162" s="21">
        <f>IF(OR(G1162="",P1162=""),"",G1162/P1162-1)</f>
        <v/>
      </c>
      <c r="S1162" s="19" t="n">
        <v>0.7259</v>
      </c>
      <c r="T1162" s="22" t="n">
        <v>-0.0306</v>
      </c>
      <c r="U1162" s="16" t="inlineStr">
        <is>
          <t>No</t>
        </is>
      </c>
      <c r="V1162" s="16" t="inlineStr">
        <is>
          <t>No</t>
        </is>
      </c>
      <c r="W1162" s="16" t="inlineStr">
        <is>
          <t>Yes</t>
        </is>
      </c>
      <c r="X1162" s="16" t="inlineStr">
        <is>
          <t>Yes</t>
        </is>
      </c>
      <c r="Y1162" s="20" t="n">
        <v>16</v>
      </c>
      <c r="Z1162" s="19" t="n">
        <v>0.0528</v>
      </c>
      <c r="AA1162" s="18" t="n">
        <v>76.81</v>
      </c>
      <c r="AB1162" s="16" t="inlineStr">
        <is>
          <t>High</t>
        </is>
      </c>
      <c r="AC1162" s="16" t="inlineStr">
        <is>
          <t>No</t>
        </is>
      </c>
      <c r="AD1162" s="19" t="n">
        <v>0.188</v>
      </c>
      <c r="AE1162" s="19" t="n">
        <v>0.214</v>
      </c>
      <c r="AF1162" s="19" t="n">
        <v>0.2816</v>
      </c>
      <c r="AG1162" s="19" t="n">
        <v>0.7222</v>
      </c>
      <c r="AH1162" s="23" t="n">
        <v>0.11</v>
      </c>
      <c r="AI1162" s="23" t="n">
        <v>18.39</v>
      </c>
      <c r="AJ1162" s="19" t="n">
        <v>0.1068</v>
      </c>
    </row>
    <row r="1163">
      <c r="A1163" s="16" t="inlineStr">
        <is>
          <t>AJMERA</t>
        </is>
      </c>
      <c r="B1163" s="16" t="inlineStr">
        <is>
          <t>Ajmera Realty &amp; Infra India Ltd.</t>
        </is>
      </c>
      <c r="C1163" s="16" t="inlineStr">
        <is>
          <t>Realty</t>
        </is>
      </c>
      <c r="D1163" s="16" t="inlineStr">
        <is>
          <t>Realty</t>
        </is>
      </c>
      <c r="E1163" s="16" t="inlineStr">
        <is>
          <t>INE298G01035</t>
        </is>
      </c>
      <c r="F1163" s="17" t="n">
        <v>2317.46</v>
      </c>
      <c r="G1163" s="18" t="n">
        <v>117.76</v>
      </c>
      <c r="H1163" s="19" t="n">
        <v>0.02</v>
      </c>
      <c r="I1163" s="20" t="n">
        <v>11</v>
      </c>
      <c r="J1163" s="16" t="inlineStr">
        <is>
          <t>red</t>
        </is>
      </c>
      <c r="K1163" s="20" t="n">
        <v>165</v>
      </c>
      <c r="L1163" s="18" t="n">
        <v>46.62</v>
      </c>
      <c r="M1163" s="18" t="n">
        <v>116.72</v>
      </c>
      <c r="N1163" s="18" t="n">
        <v>124.36</v>
      </c>
      <c r="O1163" s="18" t="n">
        <v>140.45</v>
      </c>
      <c r="P1163" s="18" t="n">
        <v>214.74</v>
      </c>
      <c r="Q1163" s="18" t="n">
        <v>99.98</v>
      </c>
      <c r="R1163" s="21">
        <f>IF(OR(G1163="",P1163=""),"",G1163/P1163-1)</f>
        <v/>
      </c>
      <c r="S1163" s="19" t="n">
        <v>1.3408</v>
      </c>
      <c r="T1163" s="22" t="n">
        <v>-0.0579</v>
      </c>
      <c r="U1163" s="16" t="inlineStr">
        <is>
          <t>No</t>
        </is>
      </c>
      <c r="V1163" s="16" t="inlineStr">
        <is>
          <t>No</t>
        </is>
      </c>
      <c r="W1163" s="16" t="inlineStr">
        <is>
          <t>Yes</t>
        </is>
      </c>
      <c r="X1163" s="16" t="inlineStr">
        <is>
          <t>No</t>
        </is>
      </c>
      <c r="Y1163" s="20" t="n">
        <v>149</v>
      </c>
      <c r="Z1163" s="19" t="n">
        <v>-0.1146</v>
      </c>
      <c r="AA1163" s="18" t="n">
        <v>54.24</v>
      </c>
      <c r="AB1163" s="16" t="inlineStr">
        <is>
          <t>Good</t>
        </is>
      </c>
      <c r="AC1163" s="16" t="inlineStr">
        <is>
          <t>No</t>
        </is>
      </c>
      <c r="AD1163" s="19" t="n">
        <v>0.1101</v>
      </c>
      <c r="AE1163" s="19" t="n">
        <v>0.1319</v>
      </c>
      <c r="AF1163" s="19" t="n">
        <v>0.2411</v>
      </c>
      <c r="AG1163" s="19" t="n">
        <v>0.3851</v>
      </c>
      <c r="AH1163" s="23" t="n">
        <v>0.51</v>
      </c>
      <c r="AI1163" s="23" t="n">
        <v>17.08</v>
      </c>
      <c r="AJ1163" s="19" t="n">
        <v>0</v>
      </c>
    </row>
    <row r="1164">
      <c r="A1164" s="16" t="inlineStr">
        <is>
          <t>HLEGLAS</t>
        </is>
      </c>
      <c r="B1164" s="16" t="inlineStr">
        <is>
          <t>HLE Glascoat Ltd.</t>
        </is>
      </c>
      <c r="C1164" s="16" t="inlineStr">
        <is>
          <t>Industrial Machinery</t>
        </is>
      </c>
      <c r="D1164" s="16" t="inlineStr">
        <is>
          <t>General Industrials</t>
        </is>
      </c>
      <c r="E1164" s="16" t="inlineStr">
        <is>
          <t>INE461D01028</t>
        </is>
      </c>
      <c r="F1164" s="17" t="n">
        <v>2317.36</v>
      </c>
      <c r="G1164" s="18" t="n">
        <v>333.65</v>
      </c>
      <c r="H1164" s="19" t="n">
        <v>0.0425</v>
      </c>
      <c r="I1164" s="20" t="n">
        <v>13</v>
      </c>
      <c r="J1164" s="16" t="inlineStr">
        <is>
          <t>red</t>
        </is>
      </c>
      <c r="K1164" s="20" t="n">
        <v>19</v>
      </c>
      <c r="L1164" s="18" t="n">
        <v>64</v>
      </c>
      <c r="M1164" s="18" t="n">
        <v>317.59</v>
      </c>
      <c r="N1164" s="18" t="n">
        <v>380.56</v>
      </c>
      <c r="O1164" s="18" t="n">
        <v>371.3</v>
      </c>
      <c r="P1164" s="18" t="n">
        <v>645</v>
      </c>
      <c r="Q1164" s="18" t="n">
        <v>251</v>
      </c>
      <c r="R1164" s="21">
        <f>IF(OR(G1164="",P1164=""),"",G1164/P1164-1)</f>
        <v/>
      </c>
      <c r="S1164" s="19" t="n">
        <v>1.726</v>
      </c>
      <c r="T1164" s="22" t="n">
        <v>-0.0545</v>
      </c>
      <c r="U1164" s="16" t="inlineStr">
        <is>
          <t>No</t>
        </is>
      </c>
      <c r="V1164" s="16" t="inlineStr">
        <is>
          <t>No</t>
        </is>
      </c>
      <c r="W1164" s="16" t="inlineStr">
        <is>
          <t>Yes</t>
        </is>
      </c>
      <c r="X1164" s="16" t="inlineStr">
        <is>
          <t>Yes</t>
        </is>
      </c>
      <c r="Y1164" s="20" t="n">
        <v>23</v>
      </c>
      <c r="Z1164" s="19" t="n">
        <v>0.025</v>
      </c>
      <c r="AA1164" s="18" t="n">
        <v>36.9</v>
      </c>
      <c r="AB1164" s="16" t="inlineStr">
        <is>
          <t>Weak</t>
        </is>
      </c>
      <c r="AC1164" s="16" t="inlineStr">
        <is>
          <t>No</t>
        </is>
      </c>
      <c r="AD1164" s="19" t="n">
        <v>0.0944</v>
      </c>
      <c r="AE1164" s="19" t="n">
        <v>0.1208</v>
      </c>
      <c r="AF1164" s="19" t="n">
        <v>-0.0596</v>
      </c>
      <c r="AG1164" s="19" t="n">
        <v>0.1421</v>
      </c>
      <c r="AH1164" s="23" t="n">
        <v>0.65</v>
      </c>
      <c r="AI1164" s="23" t="n">
        <v>3.12</v>
      </c>
      <c r="AJ1164" s="19" t="n">
        <v>0.0086</v>
      </c>
    </row>
    <row r="1165">
      <c r="A1165" s="16" t="inlineStr">
        <is>
          <t>EVEREADY</t>
        </is>
      </c>
      <c r="B1165" s="16" t="inlineStr">
        <is>
          <t>Eveready Industries India Ltd.</t>
        </is>
      </c>
      <c r="C1165" s="16" t="inlineStr">
        <is>
          <t>Household Products</t>
        </is>
      </c>
      <c r="D1165" s="16" t="inlineStr">
        <is>
          <t>Consumer Durables</t>
        </is>
      </c>
      <c r="E1165" s="16" t="inlineStr">
        <is>
          <t>INE128A01029</t>
        </is>
      </c>
      <c r="F1165" s="17" t="n">
        <v>2310.73</v>
      </c>
      <c r="G1165" s="18" t="n">
        <v>317.9</v>
      </c>
      <c r="H1165" s="19" t="n">
        <v>-0.0049</v>
      </c>
      <c r="I1165" s="20" t="n">
        <v>28</v>
      </c>
      <c r="J1165" s="16" t="inlineStr">
        <is>
          <t>red</t>
        </is>
      </c>
      <c r="K1165" s="20" t="n">
        <v>39</v>
      </c>
      <c r="L1165" s="18" t="n">
        <v>17.83</v>
      </c>
      <c r="M1165" s="18" t="n">
        <v>329.87</v>
      </c>
      <c r="N1165" s="18" t="n">
        <v>349.42</v>
      </c>
      <c r="O1165" s="18" t="n">
        <v>328.17</v>
      </c>
      <c r="P1165" s="18" t="n">
        <v>464.76</v>
      </c>
      <c r="Q1165" s="18" t="n">
        <v>260.8</v>
      </c>
      <c r="R1165" s="21">
        <f>IF(OR(G1165="",P1165=""),"",G1165/P1165-1)</f>
        <v/>
      </c>
      <c r="S1165" s="19" t="n">
        <v>0.603</v>
      </c>
      <c r="T1165" s="22" t="n">
        <v>-0.0059</v>
      </c>
      <c r="U1165" s="16" t="inlineStr">
        <is>
          <t>No</t>
        </is>
      </c>
      <c r="V1165" s="16" t="inlineStr">
        <is>
          <t>No</t>
        </is>
      </c>
      <c r="W1165" s="16" t="inlineStr">
        <is>
          <t>No</t>
        </is>
      </c>
      <c r="X1165" s="16" t="inlineStr">
        <is>
          <t>Yes</t>
        </is>
      </c>
      <c r="Y1165" s="20" t="n">
        <v>44</v>
      </c>
      <c r="Z1165" s="19" t="n">
        <v>0.06480000000000001</v>
      </c>
      <c r="AA1165" s="18" t="n">
        <v>56.2</v>
      </c>
      <c r="AB1165" s="16" t="inlineStr">
        <is>
          <t>Good</t>
        </is>
      </c>
      <c r="AC1165" s="16" t="inlineStr">
        <is>
          <t>No</t>
        </is>
      </c>
      <c r="AD1165" s="19" t="n">
        <v>0.2089</v>
      </c>
      <c r="AE1165" s="19" t="n">
        <v>0.182</v>
      </c>
      <c r="AF1165" s="19" t="n">
        <v>0.217</v>
      </c>
      <c r="AG1165" s="19" t="n">
        <v>0.0295</v>
      </c>
      <c r="AH1165" s="23" t="n">
        <v>0.32</v>
      </c>
      <c r="AI1165" s="23" t="n">
        <v>3.18</v>
      </c>
      <c r="AJ1165" s="19" t="n">
        <v>0.4006</v>
      </c>
    </row>
    <row r="1166">
      <c r="A1166" s="16" t="inlineStr">
        <is>
          <t>GEOJITFSL</t>
        </is>
      </c>
      <c r="B1166" s="16" t="inlineStr">
        <is>
          <t>Geojit Financial Services Ltd.</t>
        </is>
      </c>
      <c r="C1166" s="16" t="inlineStr">
        <is>
          <t>Capital Markets</t>
        </is>
      </c>
      <c r="D1166" s="16" t="inlineStr">
        <is>
          <t>Banking and Finance</t>
        </is>
      </c>
      <c r="E1166" s="16" t="inlineStr">
        <is>
          <t>INE007B01023</t>
        </is>
      </c>
      <c r="F1166" s="17" t="n">
        <v>2308.1</v>
      </c>
      <c r="G1166" s="18" t="n">
        <v>82.72</v>
      </c>
      <c r="H1166" s="19" t="n">
        <v>-0.0005999999999999999</v>
      </c>
      <c r="I1166" s="20" t="n">
        <v>67</v>
      </c>
      <c r="J1166" s="16" t="inlineStr">
        <is>
          <t>amber</t>
        </is>
      </c>
      <c r="K1166" s="20" t="n">
        <v>17</v>
      </c>
      <c r="L1166" s="18" t="n">
        <v>65.95</v>
      </c>
      <c r="M1166" s="18" t="n">
        <v>82.75</v>
      </c>
      <c r="N1166" s="18" t="n">
        <v>79.31</v>
      </c>
      <c r="O1166" s="18" t="n">
        <v>70.91</v>
      </c>
      <c r="P1166" s="18" t="n">
        <v>83.7</v>
      </c>
      <c r="Q1166" s="18" t="n">
        <v>51.54</v>
      </c>
      <c r="R1166" s="21">
        <f>IF(OR(G1166="",P1166=""),"",G1166/P1166-1)</f>
        <v/>
      </c>
      <c r="S1166" s="19" t="n">
        <v>0.8229000000000001</v>
      </c>
      <c r="T1166" s="22" t="n">
        <v>0.0121</v>
      </c>
      <c r="U1166" s="16" t="inlineStr">
        <is>
          <t>Yes</t>
        </is>
      </c>
      <c r="V1166" s="16" t="inlineStr">
        <is>
          <t>Yes</t>
        </is>
      </c>
      <c r="W1166" s="16" t="inlineStr">
        <is>
          <t>No</t>
        </is>
      </c>
      <c r="X1166" s="16" t="inlineStr">
        <is>
          <t>Yes</t>
        </is>
      </c>
      <c r="Y1166" s="20" t="n">
        <v>55</v>
      </c>
      <c r="Z1166" s="19" t="n">
        <v>0.1183</v>
      </c>
      <c r="AA1166" s="18" t="n">
        <v>49.06</v>
      </c>
      <c r="AB1166" s="16" t="inlineStr">
        <is>
          <t>Average</t>
        </is>
      </c>
      <c r="AC1166" s="16" t="inlineStr">
        <is>
          <t>Yes</t>
        </is>
      </c>
      <c r="AD1166" s="19" t="n">
        <v>0.1286</v>
      </c>
      <c r="AE1166" s="19" t="n">
        <v>0.1512</v>
      </c>
      <c r="AF1166" s="19" t="n">
        <v>0.0293</v>
      </c>
      <c r="AG1166" s="19" t="n">
        <v>0.1604</v>
      </c>
      <c r="AH1166" s="23" t="n">
        <v>0.1</v>
      </c>
      <c r="AI1166" s="23" t="n">
        <v>3.92</v>
      </c>
      <c r="AJ1166" s="19" t="n">
        <v>0.0837</v>
      </c>
    </row>
    <row r="1167">
      <c r="A1167" s="16" t="inlineStr">
        <is>
          <t>THEJO</t>
        </is>
      </c>
      <c r="B1167" s="16" t="inlineStr">
        <is>
          <t>Thejo Engineering Ltd.</t>
        </is>
      </c>
      <c r="C1167" s="16" t="inlineStr">
        <is>
          <t>Industrial Machinery</t>
        </is>
      </c>
      <c r="D1167" s="16" t="inlineStr">
        <is>
          <t>General Industrials</t>
        </is>
      </c>
      <c r="E1167" s="16" t="inlineStr">
        <is>
          <t>INE121N01019</t>
        </is>
      </c>
      <c r="F1167" s="17" t="n">
        <v>2305.55</v>
      </c>
      <c r="G1167" s="18" t="n">
        <v>2125.3</v>
      </c>
      <c r="H1167" s="19" t="n">
        <v>0.0164</v>
      </c>
      <c r="I1167" s="20" t="n">
        <v>75</v>
      </c>
      <c r="J1167" s="16" t="inlineStr">
        <is>
          <t>amber</t>
        </is>
      </c>
      <c r="K1167" s="20" t="n">
        <v>26</v>
      </c>
      <c r="L1167" s="18" t="n">
        <v>51.43</v>
      </c>
      <c r="M1167" s="18" t="n">
        <v>2083.14</v>
      </c>
      <c r="N1167" s="18" t="n">
        <v>1999.41</v>
      </c>
      <c r="O1167" s="18" t="n">
        <v>1763.21</v>
      </c>
      <c r="P1167" s="18" t="n">
        <v>2218.65</v>
      </c>
      <c r="Q1167" s="18" t="n">
        <v>1453.96</v>
      </c>
      <c r="R1167" s="21">
        <f>IF(OR(G1167="",P1167=""),"",G1167/P1167-1)</f>
        <v/>
      </c>
      <c r="S1167" s="19" t="n">
        <v>0.4993</v>
      </c>
      <c r="T1167" s="22" t="n">
        <v>0.0191</v>
      </c>
      <c r="U1167" s="16" t="inlineStr">
        <is>
          <t>Yes</t>
        </is>
      </c>
      <c r="V1167" s="16" t="inlineStr">
        <is>
          <t>Yes</t>
        </is>
      </c>
      <c r="W1167" s="16" t="inlineStr">
        <is>
          <t>Yes</t>
        </is>
      </c>
      <c r="X1167" s="16" t="inlineStr">
        <is>
          <t>Yes</t>
        </is>
      </c>
      <c r="Y1167" s="20" t="n">
        <v>43</v>
      </c>
      <c r="Z1167" s="19" t="n">
        <v>0.134</v>
      </c>
      <c r="AA1167" s="18" t="n">
        <v>40</v>
      </c>
      <c r="AB1167" s="16" t="inlineStr">
        <is>
          <t>Weak</t>
        </is>
      </c>
      <c r="AC1167" s="16" t="inlineStr">
        <is>
          <t>No</t>
        </is>
      </c>
      <c r="AD1167" s="19" t="n">
        <v>0.1763</v>
      </c>
      <c r="AE1167" s="19" t="n">
        <v>0.2251</v>
      </c>
      <c r="AF1167" s="19" t="n">
        <v>-0.1302</v>
      </c>
      <c r="AG1167" s="19" t="n">
        <v>0.1035</v>
      </c>
      <c r="AH1167" s="23" t="n">
        <v>0.12</v>
      </c>
      <c r="AI1167" s="23" t="n">
        <v>3.76</v>
      </c>
      <c r="AJ1167" s="19" t="n">
        <v>0.09759999999999999</v>
      </c>
    </row>
    <row r="1168">
      <c r="A1168" s="16" t="inlineStr">
        <is>
          <t>RAMCOSYS</t>
        </is>
      </c>
      <c r="B1168" s="16" t="inlineStr">
        <is>
          <t>Ramco Systems Ltd.</t>
        </is>
      </c>
      <c r="C1168" s="16" t="inlineStr">
        <is>
          <t>IT Consulting &amp; Software</t>
        </is>
      </c>
      <c r="D1168" s="16" t="inlineStr">
        <is>
          <t>Software &amp; Services</t>
        </is>
      </c>
      <c r="E1168" s="16" t="inlineStr">
        <is>
          <t>INE246B01019</t>
        </is>
      </c>
      <c r="F1168" s="17" t="n">
        <v>2297.91</v>
      </c>
      <c r="G1168" s="18" t="n">
        <v>611.2</v>
      </c>
      <c r="H1168" s="19" t="n">
        <v>0.042</v>
      </c>
      <c r="I1168" s="20" t="n">
        <v>71</v>
      </c>
      <c r="J1168" s="16" t="inlineStr">
        <is>
          <t>amber</t>
        </is>
      </c>
      <c r="K1168" s="20" t="n">
        <v>10</v>
      </c>
      <c r="L1168" s="18" t="n">
        <v>54.67</v>
      </c>
      <c r="M1168" s="18" t="n">
        <v>578.83</v>
      </c>
      <c r="N1168" s="18" t="n">
        <v>682.01</v>
      </c>
      <c r="O1168" s="18" t="n">
        <v>538.85</v>
      </c>
      <c r="P1168" s="18" t="n">
        <v>886.15</v>
      </c>
      <c r="Q1168" s="18" t="n">
        <v>344.05</v>
      </c>
      <c r="R1168" s="21">
        <f>IF(OR(G1168="",P1168=""),"",G1168/P1168-1)</f>
        <v/>
      </c>
      <c r="S1168" s="19" t="n">
        <v>0.8009999999999999</v>
      </c>
      <c r="T1168" s="22" t="n">
        <v>-0.0051</v>
      </c>
      <c r="U1168" s="16" t="inlineStr">
        <is>
          <t>No</t>
        </is>
      </c>
      <c r="V1168" s="16" t="inlineStr">
        <is>
          <t>No</t>
        </is>
      </c>
      <c r="W1168" s="16" t="inlineStr">
        <is>
          <t>Yes</t>
        </is>
      </c>
      <c r="X1168" s="16" t="inlineStr">
        <is>
          <t>Yes</t>
        </is>
      </c>
      <c r="Y1168" s="20" t="n">
        <v>45</v>
      </c>
      <c r="Z1168" s="19" t="n">
        <v>0.2657</v>
      </c>
      <c r="AA1168" s="18" t="n">
        <v>43.97</v>
      </c>
      <c r="AB1168" s="16" t="inlineStr">
        <is>
          <t>Average</t>
        </is>
      </c>
      <c r="AC1168" s="16" t="inlineStr">
        <is>
          <t>No</t>
        </is>
      </c>
      <c r="AD1168" s="19" t="n">
        <v>-0.2553</v>
      </c>
      <c r="AE1168" s="19" t="n">
        <v>-0.1861</v>
      </c>
      <c r="AF1168" s="19" t="n">
        <v>1.0039</v>
      </c>
      <c r="AG1168" s="19" t="n">
        <v>0.1261</v>
      </c>
      <c r="AH1168" s="23" t="n">
        <v>0.12</v>
      </c>
      <c r="AI1168" s="23" t="n">
        <v>13.32</v>
      </c>
      <c r="AJ1168" s="19" t="n">
        <v>0.006500000000000001</v>
      </c>
    </row>
    <row r="1169">
      <c r="A1169" s="16" t="inlineStr">
        <is>
          <t>SAIPARENT</t>
        </is>
      </c>
      <c r="B1169" s="16" t="inlineStr">
        <is>
          <t>Sai Parenterals Ltd.</t>
        </is>
      </c>
      <c r="C1169" s="16" t="inlineStr">
        <is>
          <t>Pharmaceuticals</t>
        </is>
      </c>
      <c r="D1169" s="16" t="inlineStr">
        <is>
          <t>Pharmaceuticals &amp; Biotechnology</t>
        </is>
      </c>
      <c r="E1169" s="16" t="inlineStr">
        <is>
          <t>INE0H9F01037</t>
        </is>
      </c>
      <c r="F1169" s="17" t="n">
        <v>2295.33</v>
      </c>
      <c r="G1169" s="18" t="n">
        <v>519.55</v>
      </c>
      <c r="H1169" s="19" t="n">
        <v>0.0027</v>
      </c>
      <c r="I1169" s="20" t="n">
        <v>26</v>
      </c>
      <c r="J1169" s="16" t="inlineStr">
        <is>
          <t>red</t>
        </is>
      </c>
      <c r="K1169" s="20" t="n">
        <v>10</v>
      </c>
      <c r="L1169" s="18" t="n">
        <v>19.83</v>
      </c>
      <c r="M1169" s="18" t="n">
        <v>520.64</v>
      </c>
      <c r="N1169" s="18" t="n">
        <v>557.01</v>
      </c>
      <c r="O1169" s="18" t="n"/>
      <c r="P1169" s="18" t="n">
        <v>623.8</v>
      </c>
      <c r="Q1169" s="18" t="n">
        <v>405.7</v>
      </c>
      <c r="R1169" s="21">
        <f>IF(OR(G1169="",P1169=""),"",G1169/P1169-1)</f>
        <v/>
      </c>
      <c r="S1169" s="19" t="n">
        <v>0.3361</v>
      </c>
      <c r="T1169" s="22" t="n"/>
      <c r="U1169" s="16" t="n"/>
      <c r="V1169" s="16" t="inlineStr">
        <is>
          <t>No</t>
        </is>
      </c>
      <c r="W1169" s="16" t="inlineStr">
        <is>
          <t>No</t>
        </is>
      </c>
      <c r="X1169" s="16" t="n"/>
      <c r="Y1169" s="20" t="n"/>
      <c r="Z1169" s="19" t="n"/>
      <c r="AA1169" s="18" t="n">
        <v>53.01</v>
      </c>
      <c r="AB1169" s="16" t="inlineStr">
        <is>
          <t>Good</t>
        </is>
      </c>
      <c r="AC1169" s="16" t="inlineStr">
        <is>
          <t>No</t>
        </is>
      </c>
      <c r="AD1169" s="19" t="n">
        <v>0.1427</v>
      </c>
      <c r="AE1169" s="19" t="n">
        <v>0.131</v>
      </c>
      <c r="AF1169" s="19" t="n">
        <v>1.128</v>
      </c>
      <c r="AG1169" s="19" t="n">
        <v>1.4037</v>
      </c>
      <c r="AH1169" s="23" t="n">
        <v>1.83</v>
      </c>
      <c r="AI1169" s="23" t="n">
        <v>2.86</v>
      </c>
      <c r="AJ1169" s="19" t="n">
        <v>0.0029</v>
      </c>
    </row>
    <row r="1170">
      <c r="A1170" s="16" t="inlineStr">
        <is>
          <t>KNACK</t>
        </is>
      </c>
      <c r="B1170" s="16" t="inlineStr">
        <is>
          <t>Knack Packaging Ltd.</t>
        </is>
      </c>
      <c r="C1170" s="16" t="inlineStr">
        <is>
          <t>Containers &amp; Packaging</t>
        </is>
      </c>
      <c r="D1170" s="16" t="inlineStr">
        <is>
          <t>Commercial Services &amp; Supplies</t>
        </is>
      </c>
      <c r="E1170" s="16" t="inlineStr">
        <is>
          <t>INE17QZ01016</t>
        </is>
      </c>
      <c r="F1170" s="17" t="n">
        <v>2291.9</v>
      </c>
      <c r="G1170" s="18" t="n">
        <v>187.3</v>
      </c>
      <c r="H1170" s="19" t="n">
        <v>-0.005699999999999999</v>
      </c>
      <c r="I1170" s="20" t="n"/>
      <c r="J1170" s="16" t="n"/>
      <c r="K1170" s="20" t="n"/>
      <c r="L1170" s="18" t="n">
        <v>26.11</v>
      </c>
      <c r="M1170" s="18" t="n">
        <v>190.45</v>
      </c>
      <c r="N1170" s="18" t="n"/>
      <c r="O1170" s="18" t="n"/>
      <c r="P1170" s="18" t="n">
        <v>215.32</v>
      </c>
      <c r="Q1170" s="18" t="n">
        <v>182.98</v>
      </c>
      <c r="R1170" s="21">
        <f>IF(OR(G1170="",P1170=""),"",G1170/P1170-1)</f>
        <v/>
      </c>
      <c r="S1170" s="19" t="n">
        <v>0.3077</v>
      </c>
      <c r="T1170" s="22" t="n"/>
      <c r="U1170" s="16" t="n"/>
      <c r="V1170" s="16" t="n"/>
      <c r="W1170" s="16" t="inlineStr">
        <is>
          <t>No</t>
        </is>
      </c>
      <c r="X1170" s="16" t="n"/>
      <c r="Y1170" s="20" t="n"/>
      <c r="Z1170" s="19" t="n"/>
      <c r="AA1170" s="18" t="n">
        <v>63.34</v>
      </c>
      <c r="AB1170" s="16" t="inlineStr">
        <is>
          <t>Good</t>
        </is>
      </c>
      <c r="AC1170" s="16" t="inlineStr">
        <is>
          <t>No</t>
        </is>
      </c>
      <c r="AD1170" s="19" t="n">
        <v>0.3239</v>
      </c>
      <c r="AE1170" s="19" t="n">
        <v>0.2625</v>
      </c>
      <c r="AF1170" s="19" t="n">
        <v>0.3082</v>
      </c>
      <c r="AG1170" s="19" t="n">
        <v>0.1678</v>
      </c>
      <c r="AH1170" s="23" t="n">
        <v>0.67</v>
      </c>
      <c r="AI1170" s="23" t="n">
        <v>3.07</v>
      </c>
      <c r="AJ1170" s="19" t="n">
        <v>0.079</v>
      </c>
    </row>
    <row r="1171">
      <c r="A1171" s="16" t="inlineStr">
        <is>
          <t>PENIND</t>
        </is>
      </c>
      <c r="B1171" s="16" t="inlineStr">
        <is>
          <t>Pennar Industries Ltd.</t>
        </is>
      </c>
      <c r="C1171" s="16" t="inlineStr">
        <is>
          <t>Iron &amp; Steel/Interm.Products</t>
        </is>
      </c>
      <c r="D1171" s="16" t="inlineStr">
        <is>
          <t>Metals &amp; Mining</t>
        </is>
      </c>
      <c r="E1171" s="16" t="inlineStr">
        <is>
          <t>INE932A01024</t>
        </is>
      </c>
      <c r="F1171" s="17" t="n">
        <v>2288.15</v>
      </c>
      <c r="G1171" s="18" t="n">
        <v>169.56</v>
      </c>
      <c r="H1171" s="19" t="n">
        <v>0.0161</v>
      </c>
      <c r="I1171" s="20" t="n">
        <v>34</v>
      </c>
      <c r="J1171" s="16" t="inlineStr">
        <is>
          <t>red</t>
        </is>
      </c>
      <c r="K1171" s="20" t="n">
        <v>191</v>
      </c>
      <c r="L1171" s="18" t="n">
        <v>74.45</v>
      </c>
      <c r="M1171" s="18" t="n">
        <v>164.23</v>
      </c>
      <c r="N1171" s="18" t="n">
        <v>164.71</v>
      </c>
      <c r="O1171" s="18" t="n">
        <v>169.64</v>
      </c>
      <c r="P1171" s="18" t="n">
        <v>275.95</v>
      </c>
      <c r="Q1171" s="18" t="n">
        <v>130.92</v>
      </c>
      <c r="R1171" s="21">
        <f>IF(OR(G1171="",P1171=""),"",G1171/P1171-1)</f>
        <v/>
      </c>
      <c r="S1171" s="19" t="n">
        <v>1.188</v>
      </c>
      <c r="T1171" s="22" t="n">
        <v>-0.0488</v>
      </c>
      <c r="U1171" s="16" t="inlineStr">
        <is>
          <t>No</t>
        </is>
      </c>
      <c r="V1171" s="16" t="inlineStr">
        <is>
          <t>Yes</t>
        </is>
      </c>
      <c r="W1171" s="16" t="inlineStr">
        <is>
          <t>Yes</t>
        </is>
      </c>
      <c r="X1171" s="16" t="inlineStr">
        <is>
          <t>No</t>
        </is>
      </c>
      <c r="Y1171" s="20" t="n">
        <v>169</v>
      </c>
      <c r="Z1171" s="19" t="n">
        <v>-0.029</v>
      </c>
      <c r="AA1171" s="18" t="n">
        <v>40</v>
      </c>
      <c r="AB1171" s="16" t="inlineStr">
        <is>
          <t>Weak</t>
        </is>
      </c>
      <c r="AC1171" s="16" t="inlineStr">
        <is>
          <t>No</t>
        </is>
      </c>
      <c r="AD1171" s="19" t="n">
        <v>0.117</v>
      </c>
      <c r="AE1171" s="19" t="n">
        <v>0.1366</v>
      </c>
      <c r="AF1171" s="19" t="n">
        <v>-0.1532</v>
      </c>
      <c r="AG1171" s="19" t="n">
        <v>0.1997</v>
      </c>
      <c r="AH1171" s="23" t="n">
        <v>1</v>
      </c>
      <c r="AI1171" s="23" t="n">
        <v>3.14</v>
      </c>
      <c r="AJ1171" s="19" t="n">
        <v>0.1177</v>
      </c>
    </row>
    <row r="1172">
      <c r="A1172" s="16" t="inlineStr">
        <is>
          <t>SOMANYCERA</t>
        </is>
      </c>
      <c r="B1172" s="16" t="inlineStr">
        <is>
          <t>Somany Ceramics Ltd.</t>
        </is>
      </c>
      <c r="C1172" s="16" t="inlineStr">
        <is>
          <t>Ceramics</t>
        </is>
      </c>
      <c r="D1172" s="16" t="inlineStr">
        <is>
          <t>Consumer Durables</t>
        </is>
      </c>
      <c r="E1172" s="16" t="inlineStr">
        <is>
          <t>INE355A01028</t>
        </is>
      </c>
      <c r="F1172" s="17" t="n">
        <v>2285.85</v>
      </c>
      <c r="G1172" s="18" t="n">
        <v>557.35</v>
      </c>
      <c r="H1172" s="19" t="n">
        <v>-0.0213</v>
      </c>
      <c r="I1172" s="20" t="n">
        <v>73</v>
      </c>
      <c r="J1172" s="16" t="inlineStr">
        <is>
          <t>amber</t>
        </is>
      </c>
      <c r="K1172" s="20" t="n">
        <v>11</v>
      </c>
      <c r="L1172" s="18" t="n">
        <v>65.16</v>
      </c>
      <c r="M1172" s="18" t="n">
        <v>562.12</v>
      </c>
      <c r="N1172" s="18" t="n">
        <v>520.77</v>
      </c>
      <c r="O1172" s="18" t="n">
        <v>451.08</v>
      </c>
      <c r="P1172" s="18" t="n">
        <v>570.1</v>
      </c>
      <c r="Q1172" s="18" t="n">
        <v>334.32</v>
      </c>
      <c r="R1172" s="21">
        <f>IF(OR(G1172="",P1172=""),"",G1172/P1172-1)</f>
        <v/>
      </c>
      <c r="S1172" s="19" t="n">
        <v>0.3171</v>
      </c>
      <c r="T1172" s="22" t="n">
        <v>0.0206</v>
      </c>
      <c r="U1172" s="16" t="inlineStr">
        <is>
          <t>Yes</t>
        </is>
      </c>
      <c r="V1172" s="16" t="inlineStr">
        <is>
          <t>Yes</t>
        </is>
      </c>
      <c r="W1172" s="16" t="inlineStr">
        <is>
          <t>No</t>
        </is>
      </c>
      <c r="X1172" s="16" t="inlineStr">
        <is>
          <t>Yes</t>
        </is>
      </c>
      <c r="Y1172" s="20" t="n">
        <v>72</v>
      </c>
      <c r="Z1172" s="19" t="n">
        <v>0.1545</v>
      </c>
      <c r="AA1172" s="18" t="n">
        <v>39.9</v>
      </c>
      <c r="AB1172" s="16" t="inlineStr">
        <is>
          <t>Weak</t>
        </is>
      </c>
      <c r="AC1172" s="16" t="inlineStr">
        <is>
          <t>No</t>
        </is>
      </c>
      <c r="AD1172" s="19" t="n">
        <v>0.1029</v>
      </c>
      <c r="AE1172" s="19" t="n">
        <v>0.1412</v>
      </c>
      <c r="AF1172" s="19" t="n">
        <v>0.1172</v>
      </c>
      <c r="AG1172" s="19" t="n">
        <v>0.0398</v>
      </c>
      <c r="AH1172" s="23" t="n">
        <v>0.43</v>
      </c>
      <c r="AI1172" s="23" t="n">
        <v>2.5</v>
      </c>
      <c r="AJ1172" s="19" t="n">
        <v>0.022</v>
      </c>
    </row>
    <row r="1173">
      <c r="A1173" s="16" t="inlineStr">
        <is>
          <t>SHUKRAPHAR</t>
        </is>
      </c>
      <c r="B1173" s="16" t="inlineStr">
        <is>
          <t>Shukra Pharmaceuticals Ltd.</t>
        </is>
      </c>
      <c r="C1173" s="16" t="inlineStr">
        <is>
          <t>Pharmaceuticals</t>
        </is>
      </c>
      <c r="D1173" s="16" t="inlineStr">
        <is>
          <t>Pharmaceuticals &amp; Biotechnology</t>
        </is>
      </c>
      <c r="E1173" s="16" t="inlineStr">
        <is>
          <t>INE551C01044</t>
        </is>
      </c>
      <c r="F1173" s="17" t="n">
        <v>2284.24</v>
      </c>
      <c r="G1173" s="18" t="n">
        <v>51.96</v>
      </c>
      <c r="H1173" s="19" t="n">
        <v>-0.0008</v>
      </c>
      <c r="I1173" s="20" t="n">
        <v>88</v>
      </c>
      <c r="J1173" s="16" t="inlineStr">
        <is>
          <t>green</t>
        </is>
      </c>
      <c r="K1173" s="20" t="n">
        <v>17</v>
      </c>
      <c r="L1173" s="18" t="n">
        <v>99.15000000000001</v>
      </c>
      <c r="M1173" s="18" t="n">
        <v>46.55</v>
      </c>
      <c r="N1173" s="18" t="n">
        <v>36.91</v>
      </c>
      <c r="O1173" s="18" t="n">
        <v>38.59</v>
      </c>
      <c r="P1173" s="18" t="n">
        <v>62.36</v>
      </c>
      <c r="Q1173" s="18" t="n">
        <v>26.7</v>
      </c>
      <c r="R1173" s="21">
        <f>IF(OR(G1173="",P1173=""),"",G1173/P1173-1)</f>
        <v/>
      </c>
      <c r="S1173" s="19" t="n">
        <v>1.0568</v>
      </c>
      <c r="T1173" s="22" t="n">
        <v>0.0076</v>
      </c>
      <c r="U1173" s="16" t="inlineStr">
        <is>
          <t>Yes</t>
        </is>
      </c>
      <c r="V1173" s="16" t="inlineStr">
        <is>
          <t>Yes</t>
        </is>
      </c>
      <c r="W1173" s="16" t="inlineStr">
        <is>
          <t>Yes</t>
        </is>
      </c>
      <c r="X1173" s="16" t="inlineStr">
        <is>
          <t>No</t>
        </is>
      </c>
      <c r="Y1173" s="20" t="n">
        <v>90</v>
      </c>
      <c r="Z1173" s="19" t="n">
        <v>-0.0433</v>
      </c>
      <c r="AA1173" s="18" t="n"/>
      <c r="AB1173" s="16" t="n"/>
      <c r="AC1173" s="16" t="inlineStr">
        <is>
          <t>No</t>
        </is>
      </c>
      <c r="AD1173" s="19" t="n"/>
      <c r="AE1173" s="19" t="n"/>
      <c r="AF1173" s="19" t="n"/>
      <c r="AG1173" s="19" t="n"/>
      <c r="AH1173" s="23" t="n"/>
      <c r="AI1173" s="23" t="n"/>
      <c r="AJ1173" s="19" t="n"/>
    </row>
    <row r="1174">
      <c r="A1174" s="16" t="inlineStr">
        <is>
          <t>GAJA</t>
        </is>
      </c>
      <c r="B1174" s="16" t="inlineStr">
        <is>
          <t>Gaja Alternative Asset Management Ltd.</t>
        </is>
      </c>
      <c r="C1174" s="16" t="inlineStr">
        <is>
          <t>Asset Management Cos.</t>
        </is>
      </c>
      <c r="D1174" s="16" t="inlineStr">
        <is>
          <t>Banking and Finance</t>
        </is>
      </c>
      <c r="E1174" s="16" t="inlineStr">
        <is>
          <t>INE18UN01038</t>
        </is>
      </c>
      <c r="F1174" s="17" t="n">
        <v>2271.67</v>
      </c>
      <c r="G1174" s="18" t="n">
        <v>161.1</v>
      </c>
      <c r="H1174" s="19" t="n">
        <v>0.0221</v>
      </c>
      <c r="I1174" s="20" t="n"/>
      <c r="J1174" s="16" t="n"/>
      <c r="K1174" s="20" t="n"/>
      <c r="L1174" s="18" t="n"/>
      <c r="M1174" s="18" t="n">
        <v>160.97</v>
      </c>
      <c r="N1174" s="18" t="n"/>
      <c r="O1174" s="18" t="n"/>
      <c r="P1174" s="18" t="n">
        <v>168.67</v>
      </c>
      <c r="Q1174" s="18" t="n">
        <v>150.97</v>
      </c>
      <c r="R1174" s="21">
        <f>IF(OR(G1174="",P1174=""),"",G1174/P1174-1)</f>
        <v/>
      </c>
      <c r="S1174" s="19" t="n">
        <v>0.1151</v>
      </c>
      <c r="T1174" s="22" t="n"/>
      <c r="U1174" s="16" t="n"/>
      <c r="V1174" s="16" t="n"/>
      <c r="W1174" s="16" t="inlineStr">
        <is>
          <t>Yes</t>
        </is>
      </c>
      <c r="X1174" s="16" t="n"/>
      <c r="Y1174" s="20" t="n"/>
      <c r="Z1174" s="19" t="n"/>
      <c r="AA1174" s="18" t="n"/>
      <c r="AB1174" s="16" t="n"/>
      <c r="AC1174" s="16" t="inlineStr">
        <is>
          <t>No</t>
        </is>
      </c>
      <c r="AD1174" s="19" t="n"/>
      <c r="AE1174" s="19" t="n"/>
      <c r="AF1174" s="19" t="n"/>
      <c r="AG1174" s="19" t="n"/>
      <c r="AH1174" s="23" t="n"/>
      <c r="AI1174" s="23" t="n"/>
      <c r="AJ1174" s="19" t="n"/>
    </row>
    <row r="1175">
      <c r="A1175" s="16" t="inlineStr">
        <is>
          <t>KICL</t>
        </is>
      </c>
      <c r="B1175" s="16" t="inlineStr">
        <is>
          <t>Kalyani Investment Company Ltd.</t>
        </is>
      </c>
      <c r="C1175" s="16" t="inlineStr">
        <is>
          <t>Investment Companies</t>
        </is>
      </c>
      <c r="D1175" s="16" t="inlineStr">
        <is>
          <t>Others</t>
        </is>
      </c>
      <c r="E1175" s="16" t="inlineStr">
        <is>
          <t>INE029L01018</t>
        </is>
      </c>
      <c r="F1175" s="17" t="n">
        <v>2271.27</v>
      </c>
      <c r="G1175" s="18" t="n">
        <v>5203</v>
      </c>
      <c r="H1175" s="19" t="n">
        <v>-0.0018</v>
      </c>
      <c r="I1175" s="20" t="n">
        <v>49</v>
      </c>
      <c r="J1175" s="16" t="inlineStr">
        <is>
          <t>red</t>
        </is>
      </c>
      <c r="K1175" s="20" t="n">
        <v>16</v>
      </c>
      <c r="L1175" s="18" t="n">
        <v>42.07</v>
      </c>
      <c r="M1175" s="18" t="n">
        <v>5208.06</v>
      </c>
      <c r="N1175" s="18" t="n">
        <v>5379.84</v>
      </c>
      <c r="O1175" s="18" t="n">
        <v>4988.77</v>
      </c>
      <c r="P1175" s="18" t="n">
        <v>6287.36</v>
      </c>
      <c r="Q1175" s="18" t="n">
        <v>4017.63</v>
      </c>
      <c r="R1175" s="21">
        <f>IF(OR(G1175="",P1175=""),"",G1175/P1175-1)</f>
        <v/>
      </c>
      <c r="S1175" s="19" t="n">
        <v>0.2347</v>
      </c>
      <c r="T1175" s="22" t="n">
        <v>-0.0039</v>
      </c>
      <c r="U1175" s="16" t="inlineStr">
        <is>
          <t>No</t>
        </is>
      </c>
      <c r="V1175" s="16" t="inlineStr">
        <is>
          <t>No</t>
        </is>
      </c>
      <c r="W1175" s="16" t="inlineStr">
        <is>
          <t>No</t>
        </is>
      </c>
      <c r="X1175" s="16" t="inlineStr">
        <is>
          <t>Yes</t>
        </is>
      </c>
      <c r="Y1175" s="20" t="n">
        <v>55</v>
      </c>
      <c r="Z1175" s="19" t="n">
        <v>0.0784</v>
      </c>
      <c r="AA1175" s="18" t="n">
        <v>14.35</v>
      </c>
      <c r="AB1175" s="16" t="inlineStr">
        <is>
          <t>Poor</t>
        </is>
      </c>
      <c r="AC1175" s="16" t="inlineStr">
        <is>
          <t>Yes</t>
        </is>
      </c>
      <c r="AD1175" s="19" t="n">
        <v>0.0066</v>
      </c>
      <c r="AE1175" s="19" t="n">
        <v>0.0054</v>
      </c>
      <c r="AF1175" s="19" t="n">
        <v>-0.2575</v>
      </c>
      <c r="AG1175" s="19" t="n">
        <v>0.06519999999999999</v>
      </c>
      <c r="AH1175" s="23" t="n">
        <v>0</v>
      </c>
      <c r="AI1175" s="23" t="n">
        <v>1128.8</v>
      </c>
      <c r="AJ1175" s="19" t="n">
        <v>0</v>
      </c>
    </row>
    <row r="1176">
      <c r="A1176" s="16" t="inlineStr">
        <is>
          <t>VENUSREM</t>
        </is>
      </c>
      <c r="B1176" s="16" t="inlineStr">
        <is>
          <t>Venus Remedies Ltd.</t>
        </is>
      </c>
      <c r="C1176" s="16" t="inlineStr">
        <is>
          <t>Pharmaceuticals</t>
        </is>
      </c>
      <c r="D1176" s="16" t="inlineStr">
        <is>
          <t>Pharmaceuticals &amp; Biotechnology</t>
        </is>
      </c>
      <c r="E1176" s="16" t="inlineStr">
        <is>
          <t>INE411B01019</t>
        </is>
      </c>
      <c r="F1176" s="17" t="n">
        <v>2264.9</v>
      </c>
      <c r="G1176" s="18" t="n">
        <v>1694.4</v>
      </c>
      <c r="H1176" s="19" t="n">
        <v>-0.0044</v>
      </c>
      <c r="I1176" s="20" t="n">
        <v>96</v>
      </c>
      <c r="J1176" s="16" t="inlineStr">
        <is>
          <t>green</t>
        </is>
      </c>
      <c r="K1176" s="20" t="n">
        <v>207</v>
      </c>
      <c r="L1176" s="18" t="n">
        <v>38.51</v>
      </c>
      <c r="M1176" s="18" t="n">
        <v>1639.18</v>
      </c>
      <c r="N1176" s="18" t="n">
        <v>1679.11</v>
      </c>
      <c r="O1176" s="18" t="n">
        <v>1129.72</v>
      </c>
      <c r="P1176" s="18" t="n">
        <v>1934.54</v>
      </c>
      <c r="Q1176" s="18" t="n">
        <v>428.54</v>
      </c>
      <c r="R1176" s="21">
        <f>IF(OR(G1176="",P1176=""),"",G1176/P1176-1)</f>
        <v/>
      </c>
      <c r="S1176" s="19" t="n">
        <v>0.743</v>
      </c>
      <c r="T1176" s="22" t="n">
        <v>0.1201</v>
      </c>
      <c r="U1176" s="16" t="inlineStr">
        <is>
          <t>Yes</t>
        </is>
      </c>
      <c r="V1176" s="16" t="inlineStr">
        <is>
          <t>Yes</t>
        </is>
      </c>
      <c r="W1176" s="16" t="inlineStr">
        <is>
          <t>Yes</t>
        </is>
      </c>
      <c r="X1176" s="16" t="inlineStr">
        <is>
          <t>Yes</t>
        </is>
      </c>
      <c r="Y1176" s="20" t="n">
        <v>316</v>
      </c>
      <c r="Z1176" s="19" t="n">
        <v>0.4863</v>
      </c>
      <c r="AA1176" s="18" t="n">
        <v>60.89</v>
      </c>
      <c r="AB1176" s="16" t="inlineStr">
        <is>
          <t>Good</t>
        </is>
      </c>
      <c r="AC1176" s="16" t="inlineStr">
        <is>
          <t>No</t>
        </is>
      </c>
      <c r="AD1176" s="19" t="n">
        <v>0.098</v>
      </c>
      <c r="AE1176" s="19" t="n">
        <v>0.137</v>
      </c>
      <c r="AF1176" s="19" t="n">
        <v>0.6437</v>
      </c>
      <c r="AG1176" s="19" t="n">
        <v>0.0993</v>
      </c>
      <c r="AH1176" s="23" t="n">
        <v>0.02</v>
      </c>
      <c r="AI1176" s="23" t="n">
        <v>3.81</v>
      </c>
      <c r="AJ1176" s="19" t="n">
        <v>0.2868</v>
      </c>
    </row>
    <row r="1177">
      <c r="A1177" s="16" t="inlineStr">
        <is>
          <t>AMIC</t>
        </is>
      </c>
      <c r="B1177" s="16" t="inlineStr">
        <is>
          <t>AMIC Forging Ltd.</t>
        </is>
      </c>
      <c r="C1177" s="16" t="inlineStr">
        <is>
          <t>Castings &amp; Forgings</t>
        </is>
      </c>
      <c r="D1177" s="16" t="inlineStr">
        <is>
          <t>General Industrials</t>
        </is>
      </c>
      <c r="E1177" s="16" t="inlineStr">
        <is>
          <t>INE0P9J01013</t>
        </is>
      </c>
      <c r="F1177" s="17" t="n">
        <v>2258.1</v>
      </c>
      <c r="G1177" s="18" t="n">
        <v>2152.95</v>
      </c>
      <c r="H1177" s="19" t="n">
        <v>-0.009300000000000001</v>
      </c>
      <c r="I1177" s="20" t="n">
        <v>80</v>
      </c>
      <c r="J1177" s="16" t="inlineStr">
        <is>
          <t>green</t>
        </is>
      </c>
      <c r="K1177" s="20" t="n">
        <v>4</v>
      </c>
      <c r="L1177" s="18" t="n">
        <v>63.21</v>
      </c>
      <c r="M1177" s="18" t="n">
        <v>2045.59</v>
      </c>
      <c r="N1177" s="18" t="n">
        <v>1872.55</v>
      </c>
      <c r="O1177" s="18" t="n">
        <v>1577.65</v>
      </c>
      <c r="P1177" s="18" t="n">
        <v>2173.25</v>
      </c>
      <c r="Q1177" s="18" t="n">
        <v>1092.35</v>
      </c>
      <c r="R1177" s="21">
        <f>IF(OR(G1177="",P1177=""),"",G1177/P1177-1)</f>
        <v/>
      </c>
      <c r="S1177" s="19" t="n">
        <v>1.1995</v>
      </c>
      <c r="T1177" s="22" t="n">
        <v>0.03</v>
      </c>
      <c r="U1177" s="16" t="inlineStr">
        <is>
          <t>Yes</t>
        </is>
      </c>
      <c r="V1177" s="16" t="inlineStr">
        <is>
          <t>Yes</t>
        </is>
      </c>
      <c r="W1177" s="16" t="inlineStr">
        <is>
          <t>Yes</t>
        </is>
      </c>
      <c r="X1177" s="16" t="inlineStr">
        <is>
          <t>Yes</t>
        </is>
      </c>
      <c r="Y1177" s="20" t="n">
        <v>78</v>
      </c>
      <c r="Z1177" s="19" t="n">
        <v>0.1869</v>
      </c>
      <c r="AA1177" s="18" t="n"/>
      <c r="AB1177" s="16" t="n"/>
      <c r="AC1177" s="16" t="inlineStr">
        <is>
          <t>No</t>
        </is>
      </c>
      <c r="AD1177" s="19" t="n"/>
      <c r="AE1177" s="19" t="n"/>
      <c r="AF1177" s="19" t="n"/>
      <c r="AG1177" s="19" t="n"/>
      <c r="AH1177" s="23" t="n"/>
      <c r="AI1177" s="23" t="n"/>
      <c r="AJ1177" s="19" t="n"/>
    </row>
    <row r="1178">
      <c r="A1178" s="16" t="inlineStr">
        <is>
          <t>MOBAVENUE</t>
        </is>
      </c>
      <c r="B1178" s="16" t="inlineStr">
        <is>
          <t>Mobavenue AI Tech Ltd.</t>
        </is>
      </c>
      <c r="C1178" s="16" t="inlineStr">
        <is>
          <t>Education</t>
        </is>
      </c>
      <c r="D1178" s="16" t="inlineStr">
        <is>
          <t>Diversified Consumer Services</t>
        </is>
      </c>
      <c r="E1178" s="16" t="inlineStr">
        <is>
          <t>INE622Q01027</t>
        </is>
      </c>
      <c r="F1178" s="17" t="n">
        <v>2257.12</v>
      </c>
      <c r="G1178" s="18" t="n">
        <v>300.95</v>
      </c>
      <c r="H1178" s="19" t="n">
        <v>-0.0038</v>
      </c>
      <c r="I1178" s="20" t="n">
        <v>68</v>
      </c>
      <c r="J1178" s="16" t="inlineStr">
        <is>
          <t>amber</t>
        </is>
      </c>
      <c r="K1178" s="20" t="n">
        <v>14</v>
      </c>
      <c r="L1178" s="18" t="n">
        <v>27.3</v>
      </c>
      <c r="M1178" s="18" t="n">
        <v>303.62</v>
      </c>
      <c r="N1178" s="18" t="n">
        <v>308.34</v>
      </c>
      <c r="O1178" s="18" t="n">
        <v>262.63</v>
      </c>
      <c r="P1178" s="18" t="n">
        <v>330.49</v>
      </c>
      <c r="Q1178" s="18" t="n">
        <v>197.44</v>
      </c>
      <c r="R1178" s="21">
        <f>IF(OR(G1178="",P1178=""),"",G1178/P1178-1)</f>
        <v/>
      </c>
      <c r="S1178" s="19" t="n">
        <v>0.7323999999999999</v>
      </c>
      <c r="T1178" s="22" t="n">
        <v>0.0389</v>
      </c>
      <c r="U1178" s="16" t="inlineStr">
        <is>
          <t>Yes</t>
        </is>
      </c>
      <c r="V1178" s="16" t="inlineStr">
        <is>
          <t>No</t>
        </is>
      </c>
      <c r="W1178" s="16" t="inlineStr">
        <is>
          <t>No</t>
        </is>
      </c>
      <c r="X1178" s="16" t="inlineStr">
        <is>
          <t>Yes</t>
        </is>
      </c>
      <c r="Y1178" s="20" t="n">
        <v>751</v>
      </c>
      <c r="Z1178" s="19" t="n">
        <v>0.174</v>
      </c>
      <c r="AA1178" s="18" t="n"/>
      <c r="AB1178" s="16" t="n"/>
      <c r="AC1178" s="16" t="inlineStr">
        <is>
          <t>No</t>
        </is>
      </c>
      <c r="AD1178" s="19" t="n"/>
      <c r="AE1178" s="19" t="n"/>
      <c r="AF1178" s="19" t="n"/>
      <c r="AG1178" s="19" t="n"/>
      <c r="AH1178" s="23" t="n"/>
      <c r="AI1178" s="23" t="n"/>
      <c r="AJ1178" s="19" t="n"/>
    </row>
    <row r="1179">
      <c r="A1179" s="16" t="inlineStr">
        <is>
          <t>SAKAR</t>
        </is>
      </c>
      <c r="B1179" s="16" t="inlineStr">
        <is>
          <t>Sakar Healthcare Ltd.</t>
        </is>
      </c>
      <c r="C1179" s="16" t="inlineStr">
        <is>
          <t>Pharmaceuticals</t>
        </is>
      </c>
      <c r="D1179" s="16" t="inlineStr">
        <is>
          <t>Pharmaceuticals &amp; Biotechnology</t>
        </is>
      </c>
      <c r="E1179" s="16" t="inlineStr">
        <is>
          <t>INE732S01012</t>
        </is>
      </c>
      <c r="F1179" s="17" t="n">
        <v>2255.92</v>
      </c>
      <c r="G1179" s="18" t="n">
        <v>1013.9</v>
      </c>
      <c r="H1179" s="19" t="n">
        <v>0.0069</v>
      </c>
      <c r="I1179" s="20" t="n">
        <v>95</v>
      </c>
      <c r="J1179" s="16" t="inlineStr">
        <is>
          <t>green</t>
        </is>
      </c>
      <c r="K1179" s="20" t="n">
        <v>210</v>
      </c>
      <c r="L1179" s="18" t="n">
        <v>67.56999999999999</v>
      </c>
      <c r="M1179" s="18" t="n">
        <v>938.1799999999999</v>
      </c>
      <c r="N1179" s="18" t="n">
        <v>882.58</v>
      </c>
      <c r="O1179" s="18" t="n">
        <v>629.71</v>
      </c>
      <c r="P1179" s="18" t="n">
        <v>1013.9</v>
      </c>
      <c r="Q1179" s="18" t="n">
        <v>328.55</v>
      </c>
      <c r="R1179" s="21">
        <f>IF(OR(G1179="",P1179=""),"",G1179/P1179-1)</f>
        <v/>
      </c>
      <c r="S1179" s="19" t="n">
        <v>0.5622</v>
      </c>
      <c r="T1179" s="22" t="n">
        <v>0.0935</v>
      </c>
      <c r="U1179" s="16" t="inlineStr">
        <is>
          <t>Yes</t>
        </is>
      </c>
      <c r="V1179" s="16" t="inlineStr">
        <is>
          <t>Yes</t>
        </is>
      </c>
      <c r="W1179" s="16" t="inlineStr">
        <is>
          <t>Yes</t>
        </is>
      </c>
      <c r="X1179" s="16" t="inlineStr">
        <is>
          <t>Yes</t>
        </is>
      </c>
      <c r="Y1179" s="20" t="n">
        <v>309</v>
      </c>
      <c r="Z1179" s="19" t="n">
        <v>0.4016</v>
      </c>
      <c r="AA1179" s="18" t="n">
        <v>37.41</v>
      </c>
      <c r="AB1179" s="16" t="inlineStr">
        <is>
          <t>Weak</t>
        </is>
      </c>
      <c r="AC1179" s="16" t="inlineStr">
        <is>
          <t>No</t>
        </is>
      </c>
      <c r="AD1179" s="19" t="n">
        <v>0.06660000000000001</v>
      </c>
      <c r="AE1179" s="19" t="n">
        <v>0.09080000000000001</v>
      </c>
      <c r="AF1179" s="19" t="n">
        <v>-0.2571</v>
      </c>
      <c r="AG1179" s="19" t="n">
        <v>0.2418</v>
      </c>
      <c r="AH1179" s="23" t="n">
        <v>0.17</v>
      </c>
      <c r="AI1179" s="23" t="n">
        <v>0.78</v>
      </c>
      <c r="AJ1179" s="19" t="n">
        <v>0.0123</v>
      </c>
    </row>
    <row r="1180">
      <c r="A1180" s="16" t="inlineStr">
        <is>
          <t>KMCSHIL</t>
        </is>
      </c>
      <c r="B1180" s="16" t="inlineStr">
        <is>
          <t>KMC Speciality Hospitals (India) Ltd.</t>
        </is>
      </c>
      <c r="C1180" s="16" t="inlineStr">
        <is>
          <t>Healthcare Facilities</t>
        </is>
      </c>
      <c r="D1180" s="16" t="inlineStr">
        <is>
          <t>Healthcare</t>
        </is>
      </c>
      <c r="E1180" s="16" t="inlineStr">
        <is>
          <t>INE879K01018</t>
        </is>
      </c>
      <c r="F1180" s="17" t="n">
        <v>2254.65</v>
      </c>
      <c r="G1180" s="18" t="n">
        <v>138.25</v>
      </c>
      <c r="H1180" s="19" t="n">
        <v>0.0029</v>
      </c>
      <c r="I1180" s="20" t="n">
        <v>88</v>
      </c>
      <c r="J1180" s="16" t="inlineStr">
        <is>
          <t>green</t>
        </is>
      </c>
      <c r="K1180" s="20" t="n">
        <v>87</v>
      </c>
      <c r="L1180" s="18" t="n">
        <v>41.21</v>
      </c>
      <c r="M1180" s="18" t="n">
        <v>136.68</v>
      </c>
      <c r="N1180" s="18" t="n">
        <v>132.4</v>
      </c>
      <c r="O1180" s="18" t="n">
        <v>98.97</v>
      </c>
      <c r="P1180" s="18" t="n">
        <v>143.05</v>
      </c>
      <c r="Q1180" s="18" t="n">
        <v>65.95</v>
      </c>
      <c r="R1180" s="21">
        <f>IF(OR(G1180="",P1180=""),"",G1180/P1180-1)</f>
        <v/>
      </c>
      <c r="S1180" s="19" t="n">
        <v>0.2461</v>
      </c>
      <c r="T1180" s="22" t="n">
        <v>0.068</v>
      </c>
      <c r="U1180" s="16" t="inlineStr">
        <is>
          <t>Yes</t>
        </is>
      </c>
      <c r="V1180" s="16" t="inlineStr">
        <is>
          <t>Yes</t>
        </is>
      </c>
      <c r="W1180" s="16" t="inlineStr">
        <is>
          <t>Yes</t>
        </is>
      </c>
      <c r="X1180" s="16" t="inlineStr">
        <is>
          <t>Yes</t>
        </is>
      </c>
      <c r="Y1180" s="20" t="n">
        <v>216</v>
      </c>
      <c r="Z1180" s="19" t="n">
        <v>0.3378</v>
      </c>
      <c r="AA1180" s="18" t="n"/>
      <c r="AB1180" s="16" t="n"/>
      <c r="AC1180" s="16" t="inlineStr">
        <is>
          <t>No</t>
        </is>
      </c>
      <c r="AD1180" s="19" t="n"/>
      <c r="AE1180" s="19" t="n"/>
      <c r="AF1180" s="19" t="n"/>
      <c r="AG1180" s="19" t="n"/>
      <c r="AH1180" s="23" t="n"/>
      <c r="AI1180" s="23" t="n"/>
      <c r="AJ1180" s="19" t="n"/>
    </row>
    <row r="1181">
      <c r="A1181" s="16" t="inlineStr">
        <is>
          <t>PRAKASH</t>
        </is>
      </c>
      <c r="B1181" s="16" t="inlineStr">
        <is>
          <t>Prakash Industries Ltd.</t>
        </is>
      </c>
      <c r="C1181" s="16" t="inlineStr">
        <is>
          <t>Iron &amp; Steel/Interm.Products</t>
        </is>
      </c>
      <c r="D1181" s="16" t="inlineStr">
        <is>
          <t>Metals &amp; Mining</t>
        </is>
      </c>
      <c r="E1181" s="16" t="inlineStr">
        <is>
          <t>INE603A01013</t>
        </is>
      </c>
      <c r="F1181" s="17" t="n">
        <v>2249.8</v>
      </c>
      <c r="G1181" s="18" t="n">
        <v>125.63</v>
      </c>
      <c r="H1181" s="19" t="n">
        <v>0.0159</v>
      </c>
      <c r="I1181" s="20" t="n">
        <v>21</v>
      </c>
      <c r="J1181" s="16" t="inlineStr">
        <is>
          <t>red</t>
        </is>
      </c>
      <c r="K1181" s="20" t="n">
        <v>231</v>
      </c>
      <c r="L1181" s="18" t="n">
        <v>31.39</v>
      </c>
      <c r="M1181" s="18" t="n">
        <v>126.81</v>
      </c>
      <c r="N1181" s="18" t="n">
        <v>128.28</v>
      </c>
      <c r="O1181" s="18" t="n">
        <v>133.67</v>
      </c>
      <c r="P1181" s="18" t="n">
        <v>173.05</v>
      </c>
      <c r="Q1181" s="18" t="n">
        <v>111.18</v>
      </c>
      <c r="R1181" s="21">
        <f>IF(OR(G1181="",P1181=""),"",G1181/P1181-1)</f>
        <v/>
      </c>
      <c r="S1181" s="19" t="n">
        <v>0.6065</v>
      </c>
      <c r="T1181" s="22" t="n">
        <v>-0.0217</v>
      </c>
      <c r="U1181" s="16" t="inlineStr">
        <is>
          <t>No</t>
        </is>
      </c>
      <c r="V1181" s="16" t="inlineStr">
        <is>
          <t>No</t>
        </is>
      </c>
      <c r="W1181" s="16" t="inlineStr">
        <is>
          <t>No</t>
        </is>
      </c>
      <c r="X1181" s="16" t="inlineStr">
        <is>
          <t>No</t>
        </is>
      </c>
      <c r="Y1181" s="20" t="n">
        <v>27</v>
      </c>
      <c r="Z1181" s="19" t="n">
        <v>-0.0403</v>
      </c>
      <c r="AA1181" s="18" t="n">
        <v>41.65</v>
      </c>
      <c r="AB1181" s="16" t="inlineStr">
        <is>
          <t>Average</t>
        </is>
      </c>
      <c r="AC1181" s="16" t="inlineStr">
        <is>
          <t>No</t>
        </is>
      </c>
      <c r="AD1181" s="19" t="n">
        <v>0.105</v>
      </c>
      <c r="AE1181" s="19" t="n">
        <v>0.1056</v>
      </c>
      <c r="AF1181" s="19" t="n">
        <v>0.2617</v>
      </c>
      <c r="AG1181" s="19" t="n">
        <v>0.008699999999999999</v>
      </c>
      <c r="AH1181" s="23" t="n">
        <v>0.14</v>
      </c>
      <c r="AI1181" s="23" t="n">
        <v>1.1</v>
      </c>
      <c r="AJ1181" s="19" t="n">
        <v>0.0621</v>
      </c>
    </row>
    <row r="1182">
      <c r="A1182" s="16" t="inlineStr">
        <is>
          <t>BRIGHOTEL</t>
        </is>
      </c>
      <c r="B1182" s="16" t="inlineStr">
        <is>
          <t>Brigade Hotel Ventures Ltd.</t>
        </is>
      </c>
      <c r="C1182" s="16" t="inlineStr">
        <is>
          <t>Hotels</t>
        </is>
      </c>
      <c r="D1182" s="16" t="inlineStr">
        <is>
          <t>Hotels Restaurants &amp; Tourism</t>
        </is>
      </c>
      <c r="E1182" s="16" t="inlineStr">
        <is>
          <t>INE03NU01014</t>
        </is>
      </c>
      <c r="F1182" s="17" t="n">
        <v>2248.29</v>
      </c>
      <c r="G1182" s="18" t="n">
        <v>59.19</v>
      </c>
      <c r="H1182" s="19" t="n">
        <v>0.004099999999999999</v>
      </c>
      <c r="I1182" s="20" t="n">
        <v>16</v>
      </c>
      <c r="J1182" s="16" t="inlineStr">
        <is>
          <t>red</t>
        </is>
      </c>
      <c r="K1182" s="20" t="n">
        <v>210</v>
      </c>
      <c r="L1182" s="18" t="n">
        <v>32.85</v>
      </c>
      <c r="M1182" s="18" t="n">
        <v>59.1</v>
      </c>
      <c r="N1182" s="18" t="n">
        <v>61.08</v>
      </c>
      <c r="O1182" s="18" t="n">
        <v>63.9</v>
      </c>
      <c r="P1182" s="18" t="n">
        <v>86.08</v>
      </c>
      <c r="Q1182" s="18" t="n">
        <v>55.65</v>
      </c>
      <c r="R1182" s="21">
        <f>IF(OR(G1182="",P1182=""),"",G1182/P1182-1)</f>
        <v/>
      </c>
      <c r="S1182" s="19" t="n">
        <v>0.6141</v>
      </c>
      <c r="T1182" s="22" t="n">
        <v>-0.0333</v>
      </c>
      <c r="U1182" s="16" t="inlineStr">
        <is>
          <t>No</t>
        </is>
      </c>
      <c r="V1182" s="16" t="inlineStr">
        <is>
          <t>No</t>
        </is>
      </c>
      <c r="W1182" s="16" t="inlineStr">
        <is>
          <t>Yes</t>
        </is>
      </c>
      <c r="X1182" s="16" t="inlineStr">
        <is>
          <t>No</t>
        </is>
      </c>
      <c r="Y1182" s="20" t="n">
        <v>74</v>
      </c>
      <c r="Z1182" s="19" t="n">
        <v>-0.0442</v>
      </c>
      <c r="AA1182" s="18" t="n">
        <v>57.02</v>
      </c>
      <c r="AB1182" s="16" t="inlineStr">
        <is>
          <t>Good</t>
        </is>
      </c>
      <c r="AC1182" s="16" t="inlineStr">
        <is>
          <t>No</t>
        </is>
      </c>
      <c r="AD1182" s="19" t="n">
        <v>0.2215</v>
      </c>
      <c r="AE1182" s="19" t="n">
        <v>0.1204</v>
      </c>
      <c r="AF1182" s="19" t="n">
        <v>9.869199999999999</v>
      </c>
      <c r="AG1182" s="19" t="n">
        <v>0.144</v>
      </c>
      <c r="AH1182" s="23" t="n">
        <v>0.32</v>
      </c>
      <c r="AI1182" s="23" t="n">
        <v>0.52</v>
      </c>
      <c r="AJ1182" s="19" t="n">
        <v>0.1046</v>
      </c>
    </row>
    <row r="1183">
      <c r="A1183" s="16" t="inlineStr">
        <is>
          <t>REPCOHOME</t>
        </is>
      </c>
      <c r="B1183" s="16" t="inlineStr">
        <is>
          <t>Repco Home Finance Ltd.</t>
        </is>
      </c>
      <c r="C1183" s="16" t="inlineStr">
        <is>
          <t>Housing Finance</t>
        </is>
      </c>
      <c r="D1183" s="16" t="inlineStr">
        <is>
          <t>Banking and Finance</t>
        </is>
      </c>
      <c r="E1183" s="16" t="inlineStr">
        <is>
          <t>INE612J01015</t>
        </is>
      </c>
      <c r="F1183" s="17" t="n">
        <v>2244.39</v>
      </c>
      <c r="G1183" s="18" t="n">
        <v>358.75</v>
      </c>
      <c r="H1183" s="19" t="n">
        <v>0.008399999999999999</v>
      </c>
      <c r="I1183" s="20" t="n">
        <v>32</v>
      </c>
      <c r="J1183" s="16" t="inlineStr">
        <is>
          <t>red</t>
        </is>
      </c>
      <c r="K1183" s="20" t="n">
        <v>96</v>
      </c>
      <c r="L1183" s="18" t="n">
        <v>58.59</v>
      </c>
      <c r="M1183" s="18" t="n">
        <v>361.67</v>
      </c>
      <c r="N1183" s="18" t="n">
        <v>386.23</v>
      </c>
      <c r="O1183" s="18" t="n">
        <v>391.33</v>
      </c>
      <c r="P1183" s="18" t="n">
        <v>448.04</v>
      </c>
      <c r="Q1183" s="18" t="n">
        <v>336.6</v>
      </c>
      <c r="R1183" s="21">
        <f>IF(OR(G1183="",P1183=""),"",G1183/P1183-1)</f>
        <v/>
      </c>
      <c r="S1183" s="19" t="n">
        <v>0.3904</v>
      </c>
      <c r="T1183" s="22" t="n">
        <v>-0.0149</v>
      </c>
      <c r="U1183" s="16" t="inlineStr">
        <is>
          <t>No</t>
        </is>
      </c>
      <c r="V1183" s="16" t="inlineStr">
        <is>
          <t>No</t>
        </is>
      </c>
      <c r="W1183" s="16" t="inlineStr">
        <is>
          <t>No</t>
        </is>
      </c>
      <c r="X1183" s="16" t="inlineStr">
        <is>
          <t>No</t>
        </is>
      </c>
      <c r="Y1183" s="20" t="n">
        <v>38</v>
      </c>
      <c r="Z1183" s="19" t="n">
        <v>-0.013</v>
      </c>
      <c r="AA1183" s="18" t="n">
        <v>50.08</v>
      </c>
      <c r="AB1183" s="16" t="inlineStr">
        <is>
          <t>Average</t>
        </is>
      </c>
      <c r="AC1183" s="16" t="inlineStr">
        <is>
          <t>Yes</t>
        </is>
      </c>
      <c r="AD1183" s="19" t="n">
        <v>0.1312</v>
      </c>
      <c r="AE1183" s="19" t="n">
        <v>0.0361</v>
      </c>
      <c r="AF1183" s="19" t="n">
        <v>0.1519</v>
      </c>
      <c r="AG1183" s="19" t="n">
        <v>0.5863</v>
      </c>
      <c r="AH1183" s="23" t="n">
        <v>3.02</v>
      </c>
      <c r="AI1183" s="23" t="n">
        <v>23.41</v>
      </c>
      <c r="AJ1183" s="19" t="n">
        <v>0</v>
      </c>
    </row>
    <row r="1184">
      <c r="A1184" s="16" t="inlineStr">
        <is>
          <t>KLBRENG-B</t>
        </is>
      </c>
      <c r="B1184" s="16" t="inlineStr">
        <is>
          <t>Kilburn Engineering Ltd.</t>
        </is>
      </c>
      <c r="C1184" s="16" t="inlineStr">
        <is>
          <t>Industrial Machinery</t>
        </is>
      </c>
      <c r="D1184" s="16" t="inlineStr">
        <is>
          <t>General Industrials</t>
        </is>
      </c>
      <c r="E1184" s="16" t="inlineStr">
        <is>
          <t>INE338F01015</t>
        </is>
      </c>
      <c r="F1184" s="17" t="n">
        <v>2223.15</v>
      </c>
      <c r="G1184" s="18" t="n">
        <v>468.15</v>
      </c>
      <c r="H1184" s="19" t="n">
        <v>0.03240000000000001</v>
      </c>
      <c r="I1184" s="20" t="n">
        <v>24</v>
      </c>
      <c r="J1184" s="16" t="inlineStr">
        <is>
          <t>red</t>
        </is>
      </c>
      <c r="K1184" s="20" t="n">
        <v>89</v>
      </c>
      <c r="L1184" s="18" t="n">
        <v>87.76000000000001</v>
      </c>
      <c r="M1184" s="18" t="n">
        <v>428.03</v>
      </c>
      <c r="N1184" s="18" t="n">
        <v>425.89</v>
      </c>
      <c r="O1184" s="18" t="n">
        <v>496.3</v>
      </c>
      <c r="P1184" s="18" t="n">
        <v>593.05</v>
      </c>
      <c r="Q1184" s="18" t="n">
        <v>347.5</v>
      </c>
      <c r="R1184" s="21">
        <f>IF(OR(G1184="",P1184=""),"",G1184/P1184-1)</f>
        <v/>
      </c>
      <c r="S1184" s="19" t="n">
        <v>0.9144</v>
      </c>
      <c r="T1184" s="22" t="n">
        <v>-0.0323</v>
      </c>
      <c r="U1184" s="16" t="inlineStr">
        <is>
          <t>No</t>
        </is>
      </c>
      <c r="V1184" s="16" t="inlineStr">
        <is>
          <t>Yes</t>
        </is>
      </c>
      <c r="W1184" s="16" t="inlineStr">
        <is>
          <t>Yes</t>
        </is>
      </c>
      <c r="X1184" s="16" t="inlineStr">
        <is>
          <t>No</t>
        </is>
      </c>
      <c r="Y1184" s="20" t="n">
        <v>119</v>
      </c>
      <c r="Z1184" s="19" t="n">
        <v>-0.1419</v>
      </c>
      <c r="AA1184" s="18" t="n"/>
      <c r="AB1184" s="16" t="n"/>
      <c r="AC1184" s="16" t="inlineStr">
        <is>
          <t>No</t>
        </is>
      </c>
      <c r="AD1184" s="19" t="n"/>
      <c r="AE1184" s="19" t="n"/>
      <c r="AF1184" s="19" t="n"/>
      <c r="AG1184" s="19" t="n"/>
      <c r="AH1184" s="23" t="n"/>
      <c r="AI1184" s="23" t="n"/>
      <c r="AJ1184" s="19" t="n"/>
    </row>
    <row r="1185">
      <c r="A1185" s="16" t="inlineStr">
        <is>
          <t>CNCRD</t>
        </is>
      </c>
      <c r="B1185" s="16" t="inlineStr">
        <is>
          <t>Concord Control Systems Ltd.</t>
        </is>
      </c>
      <c r="C1185" s="16" t="inlineStr">
        <is>
          <t>Electronic Components</t>
        </is>
      </c>
      <c r="D1185" s="16" t="inlineStr">
        <is>
          <t>Commercial Services &amp; Supplies</t>
        </is>
      </c>
      <c r="E1185" s="16" t="inlineStr">
        <is>
          <t>INE0N0J01014</t>
        </is>
      </c>
      <c r="F1185" s="17" t="n">
        <v>2222.04</v>
      </c>
      <c r="G1185" s="18" t="n">
        <v>2195.65</v>
      </c>
      <c r="H1185" s="19" t="n">
        <v>-0.0204</v>
      </c>
      <c r="I1185" s="20" t="n">
        <v>43</v>
      </c>
      <c r="J1185" s="16" t="inlineStr">
        <is>
          <t>red</t>
        </is>
      </c>
      <c r="K1185" s="20" t="n">
        <v>8</v>
      </c>
      <c r="L1185" s="18" t="n">
        <v>38.6</v>
      </c>
      <c r="M1185" s="18" t="n">
        <v>2230.59</v>
      </c>
      <c r="N1185" s="18" t="n">
        <v>2514.36</v>
      </c>
      <c r="O1185" s="18" t="n">
        <v>2486.66</v>
      </c>
      <c r="P1185" s="18" t="n">
        <v>3018</v>
      </c>
      <c r="Q1185" s="18" t="n">
        <v>1253.81</v>
      </c>
      <c r="R1185" s="21">
        <f>IF(OR(G1185="",P1185=""),"",G1185/P1185-1)</f>
        <v/>
      </c>
      <c r="S1185" s="19" t="n">
        <v>1.0193</v>
      </c>
      <c r="T1185" s="22" t="n">
        <v>0.0168</v>
      </c>
      <c r="U1185" s="16" t="inlineStr">
        <is>
          <t>Yes</t>
        </is>
      </c>
      <c r="V1185" s="16" t="inlineStr">
        <is>
          <t>No</t>
        </is>
      </c>
      <c r="W1185" s="16" t="inlineStr">
        <is>
          <t>No</t>
        </is>
      </c>
      <c r="X1185" s="16" t="inlineStr">
        <is>
          <t>Yes</t>
        </is>
      </c>
      <c r="Y1185" s="20" t="n">
        <v>291</v>
      </c>
      <c r="Z1185" s="19" t="n">
        <v>0.0111</v>
      </c>
      <c r="AA1185" s="18" t="n"/>
      <c r="AB1185" s="16" t="n"/>
      <c r="AC1185" s="16" t="inlineStr">
        <is>
          <t>No</t>
        </is>
      </c>
      <c r="AD1185" s="19" t="n"/>
      <c r="AE1185" s="19" t="n"/>
      <c r="AF1185" s="19" t="n"/>
      <c r="AG1185" s="19" t="n"/>
      <c r="AH1185" s="23" t="n"/>
      <c r="AI1185" s="23" t="n"/>
      <c r="AJ1185" s="19" t="n"/>
    </row>
    <row r="1186">
      <c r="A1186" s="16" t="inlineStr">
        <is>
          <t>KODYTECH</t>
        </is>
      </c>
      <c r="B1186" s="16" t="inlineStr">
        <is>
          <t>Kody Technolab Ltd.</t>
        </is>
      </c>
      <c r="C1186" s="16" t="inlineStr">
        <is>
          <t>IT Consulting &amp; Software</t>
        </is>
      </c>
      <c r="D1186" s="16" t="inlineStr">
        <is>
          <t>Software &amp; Services</t>
        </is>
      </c>
      <c r="E1186" s="16" t="inlineStr">
        <is>
          <t>INE0Q7P01013</t>
        </is>
      </c>
      <c r="F1186" s="17" t="n">
        <v>2219.22</v>
      </c>
      <c r="G1186" s="18" t="n">
        <v>1569.95</v>
      </c>
      <c r="H1186" s="19" t="n">
        <v>0.0019</v>
      </c>
      <c r="I1186" s="20" t="n">
        <v>93</v>
      </c>
      <c r="J1186" s="16" t="inlineStr">
        <is>
          <t>green</t>
        </is>
      </c>
      <c r="K1186" s="20" t="n">
        <v>50</v>
      </c>
      <c r="L1186" s="18" t="n">
        <v>75.7</v>
      </c>
      <c r="M1186" s="18" t="n">
        <v>1484.76</v>
      </c>
      <c r="N1186" s="18" t="n">
        <v>1325.65</v>
      </c>
      <c r="O1186" s="18" t="n">
        <v>963.1</v>
      </c>
      <c r="P1186" s="18" t="n">
        <v>1569.95</v>
      </c>
      <c r="Q1186" s="18" t="n">
        <v>569.45</v>
      </c>
      <c r="R1186" s="21">
        <f>IF(OR(G1186="",P1186=""),"",G1186/P1186-1)</f>
        <v/>
      </c>
      <c r="S1186" s="19" t="n">
        <v>0.336</v>
      </c>
      <c r="T1186" s="22" t="n">
        <v>0.08779999999999999</v>
      </c>
      <c r="U1186" s="16" t="inlineStr">
        <is>
          <t>Yes</t>
        </is>
      </c>
      <c r="V1186" s="16" t="inlineStr">
        <is>
          <t>Yes</t>
        </is>
      </c>
      <c r="W1186" s="16" t="inlineStr">
        <is>
          <t>Yes</t>
        </is>
      </c>
      <c r="X1186" s="16" t="inlineStr">
        <is>
          <t>Yes</t>
        </is>
      </c>
      <c r="Y1186" s="20" t="n">
        <v>67</v>
      </c>
      <c r="Z1186" s="19" t="n">
        <v>0.3764</v>
      </c>
      <c r="AA1186" s="18" t="n"/>
      <c r="AB1186" s="16" t="n"/>
      <c r="AC1186" s="16" t="inlineStr">
        <is>
          <t>No</t>
        </is>
      </c>
      <c r="AD1186" s="19" t="n"/>
      <c r="AE1186" s="19" t="n"/>
      <c r="AF1186" s="19" t="n"/>
      <c r="AG1186" s="19" t="n"/>
      <c r="AH1186" s="23" t="n"/>
      <c r="AI1186" s="23" t="n"/>
      <c r="AJ1186" s="19" t="n"/>
    </row>
    <row r="1187">
      <c r="A1187" s="16" t="inlineStr">
        <is>
          <t>JISLJALEQS</t>
        </is>
      </c>
      <c r="B1187" s="16" t="inlineStr">
        <is>
          <t>Jain Irrigation Systems Ltd.</t>
        </is>
      </c>
      <c r="C1187" s="16" t="inlineStr">
        <is>
          <t>Plastic Products</t>
        </is>
      </c>
      <c r="D1187" s="16" t="inlineStr">
        <is>
          <t>General Industrials</t>
        </is>
      </c>
      <c r="E1187" s="16" t="inlineStr">
        <is>
          <t>INE175A01038</t>
        </is>
      </c>
      <c r="F1187" s="17" t="n">
        <v>2206</v>
      </c>
      <c r="G1187" s="18" t="n">
        <v>30.87</v>
      </c>
      <c r="H1187" s="19" t="n">
        <v>0.09619999999999999</v>
      </c>
      <c r="I1187" s="20" t="n">
        <v>11</v>
      </c>
      <c r="J1187" s="16" t="inlineStr">
        <is>
          <t>red</t>
        </is>
      </c>
      <c r="K1187" s="20" t="n">
        <v>364</v>
      </c>
      <c r="L1187" s="18" t="n">
        <v>68.65000000000001</v>
      </c>
      <c r="M1187" s="18" t="n">
        <v>29.01</v>
      </c>
      <c r="N1187" s="18" t="n">
        <v>30.3</v>
      </c>
      <c r="O1187" s="18" t="n">
        <v>34.14</v>
      </c>
      <c r="P1187" s="18" t="n">
        <v>57.29</v>
      </c>
      <c r="Q1187" s="18" t="n">
        <v>26.49</v>
      </c>
      <c r="R1187" s="21">
        <f>IF(OR(G1187="",P1187=""),"",G1187/P1187-1)</f>
        <v/>
      </c>
      <c r="S1187" s="19" t="n">
        <v>8.267799999999999</v>
      </c>
      <c r="T1187" s="22" t="n">
        <v>-0.0582</v>
      </c>
      <c r="U1187" s="16" t="inlineStr">
        <is>
          <t>No</t>
        </is>
      </c>
      <c r="V1187" s="16" t="inlineStr">
        <is>
          <t>Yes</t>
        </is>
      </c>
      <c r="W1187" s="16" t="inlineStr">
        <is>
          <t>Yes</t>
        </is>
      </c>
      <c r="X1187" s="16" t="inlineStr">
        <is>
          <t>No</t>
        </is>
      </c>
      <c r="Y1187" s="20" t="n">
        <v>377</v>
      </c>
      <c r="Z1187" s="19" t="n">
        <v>-0.1123</v>
      </c>
      <c r="AA1187" s="18" t="n">
        <v>16.71</v>
      </c>
      <c r="AB1187" s="16" t="inlineStr">
        <is>
          <t>Poor</t>
        </is>
      </c>
      <c r="AC1187" s="16" t="inlineStr">
        <is>
          <t>No</t>
        </is>
      </c>
      <c r="AD1187" s="19" t="n">
        <v>0.0034</v>
      </c>
      <c r="AE1187" s="19" t="n">
        <v>0.0479</v>
      </c>
      <c r="AF1187" s="19" t="n">
        <v>-0.9698</v>
      </c>
      <c r="AG1187" s="19" t="n">
        <v>0.0426</v>
      </c>
      <c r="AH1187" s="23" t="n">
        <v>0.74</v>
      </c>
      <c r="AI1187" s="23" t="n">
        <v>1.45</v>
      </c>
      <c r="AJ1187" s="19" t="n">
        <v>0.0221</v>
      </c>
    </row>
    <row r="1188">
      <c r="A1188" s="16" t="inlineStr">
        <is>
          <t>KETOMOTORS</t>
        </is>
      </c>
      <c r="B1188" s="16" t="inlineStr">
        <is>
          <t>Keto Motors Ltd.</t>
        </is>
      </c>
      <c r="C1188" s="16" t="inlineStr">
        <is>
          <t>Department Stores</t>
        </is>
      </c>
      <c r="D1188" s="16" t="inlineStr">
        <is>
          <t>Retailing</t>
        </is>
      </c>
      <c r="E1188" s="16" t="inlineStr">
        <is>
          <t>INE392H01026</t>
        </is>
      </c>
      <c r="F1188" s="17" t="n">
        <v>2189.46</v>
      </c>
      <c r="G1188" s="18" t="n">
        <v>310.85</v>
      </c>
      <c r="H1188" s="19" t="n">
        <v>-0.0038</v>
      </c>
      <c r="I1188" s="20" t="n">
        <v>98</v>
      </c>
      <c r="J1188" s="16" t="inlineStr">
        <is>
          <t>green</t>
        </is>
      </c>
      <c r="K1188" s="20" t="n">
        <v>286</v>
      </c>
      <c r="L1188" s="18" t="n">
        <v>66.34</v>
      </c>
      <c r="M1188" s="18" t="n">
        <v>322.04</v>
      </c>
      <c r="N1188" s="18" t="n">
        <v>247.08</v>
      </c>
      <c r="O1188" s="18" t="n">
        <v>139.73</v>
      </c>
      <c r="P1188" s="18" t="n">
        <v>350.35</v>
      </c>
      <c r="Q1188" s="18" t="n">
        <v>91.40000000000001</v>
      </c>
      <c r="R1188" s="21">
        <f>IF(OR(G1188="",P1188=""),"",G1188/P1188-1)</f>
        <v/>
      </c>
      <c r="S1188" s="19" t="n">
        <v>1.649</v>
      </c>
      <c r="T1188" s="22" t="n">
        <v>0.16</v>
      </c>
      <c r="U1188" s="16" t="inlineStr">
        <is>
          <t>Yes</t>
        </is>
      </c>
      <c r="V1188" s="16" t="inlineStr">
        <is>
          <t>Yes</t>
        </is>
      </c>
      <c r="W1188" s="16" t="inlineStr">
        <is>
          <t>No</t>
        </is>
      </c>
      <c r="X1188" s="16" t="inlineStr">
        <is>
          <t>Yes</t>
        </is>
      </c>
      <c r="Y1188" s="20" t="n">
        <v>79</v>
      </c>
      <c r="Z1188" s="19" t="n">
        <v>0.7681999999999999</v>
      </c>
      <c r="AA1188" s="18" t="n"/>
      <c r="AB1188" s="16" t="n"/>
      <c r="AC1188" s="16" t="inlineStr">
        <is>
          <t>No</t>
        </is>
      </c>
      <c r="AD1188" s="19" t="n"/>
      <c r="AE1188" s="19" t="n"/>
      <c r="AF1188" s="19" t="n"/>
      <c r="AG1188" s="19" t="n"/>
      <c r="AH1188" s="23" t="n"/>
      <c r="AI1188" s="23" t="n"/>
      <c r="AJ1188" s="19" t="n"/>
    </row>
    <row r="1189">
      <c r="A1189" s="16" t="inlineStr">
        <is>
          <t>EASEMYTRIP</t>
        </is>
      </c>
      <c r="B1189" s="16" t="inlineStr">
        <is>
          <t>Easy Trip Planners Ltd.</t>
        </is>
      </c>
      <c r="C1189" s="16" t="inlineStr">
        <is>
          <t>Travel Support Services</t>
        </is>
      </c>
      <c r="D1189" s="16" t="inlineStr">
        <is>
          <t>Diversified Consumer Services</t>
        </is>
      </c>
      <c r="E1189" s="16" t="inlineStr">
        <is>
          <t>INE07O001026</t>
        </is>
      </c>
      <c r="F1189" s="17" t="n">
        <v>2182.11</v>
      </c>
      <c r="G1189" s="18" t="n">
        <v>6</v>
      </c>
      <c r="H1189" s="19" t="n">
        <v>0.005</v>
      </c>
      <c r="I1189" s="20" t="n">
        <v>5</v>
      </c>
      <c r="J1189" s="16" t="inlineStr">
        <is>
          <t>red</t>
        </is>
      </c>
      <c r="K1189" s="20" t="n">
        <v>62</v>
      </c>
      <c r="L1189" s="18" t="n">
        <v>40.58</v>
      </c>
      <c r="M1189" s="18" t="n">
        <v>6.05</v>
      </c>
      <c r="N1189" s="18" t="n">
        <v>6.57</v>
      </c>
      <c r="O1189" s="18" t="n">
        <v>7.26</v>
      </c>
      <c r="P1189" s="18" t="n">
        <v>9.630000000000001</v>
      </c>
      <c r="Q1189" s="18" t="n">
        <v>5.85</v>
      </c>
      <c r="R1189" s="21">
        <f>IF(OR(G1189="",P1189=""),"",G1189/P1189-1)</f>
        <v/>
      </c>
      <c r="S1189" s="19" t="n">
        <v>0.2749</v>
      </c>
      <c r="T1189" s="22" t="n">
        <v>-0.0236</v>
      </c>
      <c r="U1189" s="16" t="inlineStr">
        <is>
          <t>No</t>
        </is>
      </c>
      <c r="V1189" s="16" t="inlineStr">
        <is>
          <t>No</t>
        </is>
      </c>
      <c r="W1189" s="16" t="inlineStr">
        <is>
          <t>No</t>
        </is>
      </c>
      <c r="X1189" s="16" t="inlineStr">
        <is>
          <t>No</t>
        </is>
      </c>
      <c r="Y1189" s="20" t="n">
        <v>38</v>
      </c>
      <c r="Z1189" s="19" t="n">
        <v>-0.095</v>
      </c>
      <c r="AA1189" s="18" t="n">
        <v>40</v>
      </c>
      <c r="AB1189" s="16" t="inlineStr">
        <is>
          <t>Weak</t>
        </is>
      </c>
      <c r="AC1189" s="16" t="inlineStr">
        <is>
          <t>No</t>
        </is>
      </c>
      <c r="AD1189" s="19" t="n">
        <v>0.0901</v>
      </c>
      <c r="AE1189" s="19" t="n">
        <v>0.1261</v>
      </c>
      <c r="AF1189" s="19" t="n">
        <v>-0.4008</v>
      </c>
      <c r="AG1189" s="19" t="n">
        <v>0.0741</v>
      </c>
      <c r="AH1189" s="23" t="n">
        <v>0.04</v>
      </c>
      <c r="AI1189" s="23" t="n">
        <v>4.89</v>
      </c>
      <c r="AJ1189" s="19" t="n">
        <v>0.1447</v>
      </c>
    </row>
    <row r="1190">
      <c r="A1190" s="16" t="inlineStr">
        <is>
          <t>SBC</t>
        </is>
      </c>
      <c r="B1190" s="16" t="inlineStr">
        <is>
          <t>SBC Exports Ltd.</t>
        </is>
      </c>
      <c r="C1190" s="16" t="inlineStr">
        <is>
          <t>Other Apparels &amp; Accessories</t>
        </is>
      </c>
      <c r="D1190" s="16" t="inlineStr">
        <is>
          <t>Textiles Apparels &amp; Accessories</t>
        </is>
      </c>
      <c r="E1190" s="16" t="inlineStr">
        <is>
          <t>INE04AK01028</t>
        </is>
      </c>
      <c r="F1190" s="17" t="n">
        <v>2179.05</v>
      </c>
      <c r="G1190" s="18" t="n">
        <v>45.76</v>
      </c>
      <c r="H1190" s="19" t="n">
        <v>0.058</v>
      </c>
      <c r="I1190" s="20" t="n">
        <v>88</v>
      </c>
      <c r="J1190" s="16" t="inlineStr">
        <is>
          <t>green</t>
        </is>
      </c>
      <c r="K1190" s="20" t="n">
        <v>257</v>
      </c>
      <c r="L1190" s="18" t="n">
        <v>93.98</v>
      </c>
      <c r="M1190" s="18" t="n">
        <v>42.44</v>
      </c>
      <c r="N1190" s="18" t="n">
        <v>41.49</v>
      </c>
      <c r="O1190" s="18" t="n">
        <v>34.37</v>
      </c>
      <c r="P1190" s="18" t="n">
        <v>45.76</v>
      </c>
      <c r="Q1190" s="18" t="n">
        <v>20.18</v>
      </c>
      <c r="R1190" s="21">
        <f>IF(OR(G1190="",P1190=""),"",G1190/P1190-1)</f>
        <v/>
      </c>
      <c r="S1190" s="19" t="n">
        <v>1.4588</v>
      </c>
      <c r="T1190" s="22" t="n">
        <v>0.05</v>
      </c>
      <c r="U1190" s="16" t="inlineStr">
        <is>
          <t>Yes</t>
        </is>
      </c>
      <c r="V1190" s="16" t="inlineStr">
        <is>
          <t>Yes</t>
        </is>
      </c>
      <c r="W1190" s="16" t="inlineStr">
        <is>
          <t>Yes</t>
        </is>
      </c>
      <c r="X1190" s="16" t="inlineStr">
        <is>
          <t>Yes</t>
        </is>
      </c>
      <c r="Y1190" s="20" t="n">
        <v>272</v>
      </c>
      <c r="Z1190" s="19" t="n">
        <v>0.2075</v>
      </c>
      <c r="AA1190" s="18" t="n">
        <v>33.68</v>
      </c>
      <c r="AB1190" s="16" t="inlineStr">
        <is>
          <t>Poor</t>
        </is>
      </c>
      <c r="AC1190" s="16" t="inlineStr">
        <is>
          <t>No</t>
        </is>
      </c>
      <c r="AD1190" s="19" t="n">
        <v>0.2552</v>
      </c>
      <c r="AE1190" s="19" t="n">
        <v>0.159</v>
      </c>
      <c r="AF1190" s="19" t="n">
        <v>-0.2343</v>
      </c>
      <c r="AG1190" s="19" t="n">
        <v>0.2822</v>
      </c>
      <c r="AH1190" s="23" t="n">
        <v>2.83</v>
      </c>
      <c r="AI1190" s="23" t="n">
        <v>9.94</v>
      </c>
      <c r="AJ1190" s="19" t="n">
        <v>0.3746</v>
      </c>
    </row>
    <row r="1191">
      <c r="A1191" s="16" t="inlineStr">
        <is>
          <t>RATNAVEER</t>
        </is>
      </c>
      <c r="B1191" s="16" t="inlineStr">
        <is>
          <t>Ratnaveer Precision Engineering Ltd.</t>
        </is>
      </c>
      <c r="C1191" s="16" t="inlineStr">
        <is>
          <t>Iron &amp; Steel Products</t>
        </is>
      </c>
      <c r="D1191" s="16" t="inlineStr">
        <is>
          <t>Metals &amp; Mining</t>
        </is>
      </c>
      <c r="E1191" s="16" t="inlineStr">
        <is>
          <t>INE05CZ01011</t>
        </is>
      </c>
      <c r="F1191" s="17" t="n">
        <v>2176.73</v>
      </c>
      <c r="G1191" s="18" t="n">
        <v>304.75</v>
      </c>
      <c r="H1191" s="19" t="n">
        <v>0.06519999999999999</v>
      </c>
      <c r="I1191" s="20" t="n">
        <v>95</v>
      </c>
      <c r="J1191" s="16" t="inlineStr">
        <is>
          <t>green</t>
        </is>
      </c>
      <c r="K1191" s="20" t="n">
        <v>18</v>
      </c>
      <c r="L1191" s="18" t="n">
        <v>74.89</v>
      </c>
      <c r="M1191" s="18" t="n">
        <v>292.94</v>
      </c>
      <c r="N1191" s="18" t="n">
        <v>215.26</v>
      </c>
      <c r="O1191" s="18" t="n">
        <v>171.6</v>
      </c>
      <c r="P1191" s="18" t="n">
        <v>306.02</v>
      </c>
      <c r="Q1191" s="18" t="n">
        <v>131.3</v>
      </c>
      <c r="R1191" s="21">
        <f>IF(OR(G1191="",P1191=""),"",G1191/P1191-1)</f>
        <v/>
      </c>
      <c r="S1191" s="19" t="n">
        <v>0.4086</v>
      </c>
      <c r="T1191" s="22" t="n">
        <v>0.0683</v>
      </c>
      <c r="U1191" s="16" t="inlineStr">
        <is>
          <t>Yes</t>
        </is>
      </c>
      <c r="V1191" s="16" t="inlineStr">
        <is>
          <t>Yes</t>
        </is>
      </c>
      <c r="W1191" s="16" t="inlineStr">
        <is>
          <t>Yes</t>
        </is>
      </c>
      <c r="X1191" s="16" t="inlineStr">
        <is>
          <t>Yes</t>
        </is>
      </c>
      <c r="Y1191" s="20" t="n">
        <v>82</v>
      </c>
      <c r="Z1191" s="19" t="n">
        <v>0.2544</v>
      </c>
      <c r="AA1191" s="18" t="n">
        <v>52.42</v>
      </c>
      <c r="AB1191" s="16" t="inlineStr">
        <is>
          <t>Good</t>
        </is>
      </c>
      <c r="AC1191" s="16" t="inlineStr">
        <is>
          <t>No</t>
        </is>
      </c>
      <c r="AD1191" s="19" t="n">
        <v>0.1152</v>
      </c>
      <c r="AE1191" s="19" t="n">
        <v>0.1108</v>
      </c>
      <c r="AF1191" s="19" t="n">
        <v>0.2972</v>
      </c>
      <c r="AG1191" s="19" t="n">
        <v>0.3125</v>
      </c>
      <c r="AH1191" s="23" t="n">
        <v>0.5</v>
      </c>
      <c r="AI1191" s="23" t="n">
        <v>3.29</v>
      </c>
      <c r="AJ1191" s="19" t="n">
        <v>0.2539</v>
      </c>
    </row>
    <row r="1192">
      <c r="A1192" s="16" t="inlineStr">
        <is>
          <t>ALPEXSOLAR</t>
        </is>
      </c>
      <c r="B1192" s="16" t="inlineStr">
        <is>
          <t>Alpex Solar Ltd.</t>
        </is>
      </c>
      <c r="C1192" s="16" t="inlineStr">
        <is>
          <t>Power - Electric Utilities</t>
        </is>
      </c>
      <c r="D1192" s="16" t="inlineStr">
        <is>
          <t>Utilities</t>
        </is>
      </c>
      <c r="E1192" s="16" t="inlineStr">
        <is>
          <t>INE0R4701017</t>
        </is>
      </c>
      <c r="F1192" s="17" t="n">
        <v>2176.42</v>
      </c>
      <c r="G1192" s="18" t="n">
        <v>889.3</v>
      </c>
      <c r="H1192" s="19" t="n">
        <v>0.0132</v>
      </c>
      <c r="I1192" s="20" t="n">
        <v>25</v>
      </c>
      <c r="J1192" s="16" t="inlineStr">
        <is>
          <t>red</t>
        </is>
      </c>
      <c r="K1192" s="20" t="n">
        <v>58</v>
      </c>
      <c r="L1192" s="18" t="n">
        <v>67.91</v>
      </c>
      <c r="M1192" s="18" t="n">
        <v>862.52</v>
      </c>
      <c r="N1192" s="18" t="n">
        <v>837.0599999999999</v>
      </c>
      <c r="O1192" s="18" t="n">
        <v>884.92</v>
      </c>
      <c r="P1192" s="18" t="n">
        <v>1356.45</v>
      </c>
      <c r="Q1192" s="18" t="n">
        <v>694.35</v>
      </c>
      <c r="R1192" s="21">
        <f>IF(OR(G1192="",P1192=""),"",G1192/P1192-1)</f>
        <v/>
      </c>
      <c r="S1192" s="19" t="n">
        <v>1.899</v>
      </c>
      <c r="T1192" s="22" t="n">
        <v>-0.0415</v>
      </c>
      <c r="U1192" s="16" t="inlineStr">
        <is>
          <t>No</t>
        </is>
      </c>
      <c r="V1192" s="16" t="inlineStr">
        <is>
          <t>Yes</t>
        </is>
      </c>
      <c r="W1192" s="16" t="inlineStr">
        <is>
          <t>Yes</t>
        </is>
      </c>
      <c r="X1192" s="16" t="inlineStr">
        <is>
          <t>No</t>
        </is>
      </c>
      <c r="Y1192" s="20" t="n">
        <v>43</v>
      </c>
      <c r="Z1192" s="19" t="n">
        <v>-0.0541</v>
      </c>
      <c r="AA1192" s="18" t="n"/>
      <c r="AB1192" s="16" t="n"/>
      <c r="AC1192" s="16" t="inlineStr">
        <is>
          <t>No</t>
        </is>
      </c>
      <c r="AD1192" s="19" t="n"/>
      <c r="AE1192" s="19" t="n"/>
      <c r="AF1192" s="19" t="n"/>
      <c r="AG1192" s="19" t="n"/>
      <c r="AH1192" s="23" t="n"/>
      <c r="AI1192" s="23" t="n"/>
      <c r="AJ1192" s="19" t="n"/>
    </row>
    <row r="1193">
      <c r="A1193" s="16" t="inlineStr">
        <is>
          <t>ARMANFIN</t>
        </is>
      </c>
      <c r="B1193" s="16" t="inlineStr">
        <is>
          <t>Arman Financial Services Ltd.</t>
        </is>
      </c>
      <c r="C1193" s="16" t="inlineStr">
        <is>
          <t>Finance (including NBFCs)</t>
        </is>
      </c>
      <c r="D1193" s="16" t="inlineStr">
        <is>
          <t>Banking and Finance</t>
        </is>
      </c>
      <c r="E1193" s="16" t="inlineStr">
        <is>
          <t>INE109C01017</t>
        </is>
      </c>
      <c r="F1193" s="17" t="n">
        <v>2175.83</v>
      </c>
      <c r="G1193" s="18" t="n">
        <v>2069.3</v>
      </c>
      <c r="H1193" s="19" t="n">
        <v>0.0389</v>
      </c>
      <c r="I1193" s="20" t="n">
        <v>79</v>
      </c>
      <c r="J1193" s="16" t="inlineStr">
        <is>
          <t>amber</t>
        </is>
      </c>
      <c r="K1193" s="20" t="n">
        <v>41</v>
      </c>
      <c r="L1193" s="18" t="n">
        <v>60.75</v>
      </c>
      <c r="M1193" s="18" t="n">
        <v>1990.06</v>
      </c>
      <c r="N1193" s="18" t="n">
        <v>1922.11</v>
      </c>
      <c r="O1193" s="18" t="n">
        <v>1663.85</v>
      </c>
      <c r="P1193" s="18" t="n">
        <v>2069.3</v>
      </c>
      <c r="Q1193" s="18" t="n">
        <v>1339.2</v>
      </c>
      <c r="R1193" s="21">
        <f>IF(OR(G1193="",P1193=""),"",G1193/P1193-1)</f>
        <v/>
      </c>
      <c r="S1193" s="19" t="n">
        <v>0.8584999999999999</v>
      </c>
      <c r="T1193" s="22" t="n">
        <v>0.0193</v>
      </c>
      <c r="U1193" s="16" t="inlineStr">
        <is>
          <t>Yes</t>
        </is>
      </c>
      <c r="V1193" s="16" t="inlineStr">
        <is>
          <t>Yes</t>
        </is>
      </c>
      <c r="W1193" s="16" t="inlineStr">
        <is>
          <t>Yes</t>
        </is>
      </c>
      <c r="X1193" s="16" t="inlineStr">
        <is>
          <t>Yes</t>
        </is>
      </c>
      <c r="Y1193" s="20" t="n">
        <v>77</v>
      </c>
      <c r="Z1193" s="19" t="n">
        <v>0.1552</v>
      </c>
      <c r="AA1193" s="18" t="n">
        <v>42.39</v>
      </c>
      <c r="AB1193" s="16" t="inlineStr">
        <is>
          <t>Average</t>
        </is>
      </c>
      <c r="AC1193" s="16" t="inlineStr">
        <is>
          <t>Yes</t>
        </is>
      </c>
      <c r="AD1193" s="19" t="n">
        <v>0.1113</v>
      </c>
      <c r="AE1193" s="19" t="n">
        <v>0.095</v>
      </c>
      <c r="AF1193" s="19" t="n">
        <v>0.0466</v>
      </c>
      <c r="AG1193" s="19" t="n">
        <v>0.1924</v>
      </c>
      <c r="AH1193" s="23" t="n">
        <v>1.9</v>
      </c>
      <c r="AI1193" s="23" t="n">
        <v>17.82</v>
      </c>
      <c r="AJ1193" s="19" t="n">
        <v>0.07490000000000001</v>
      </c>
    </row>
    <row r="1194">
      <c r="A1194" s="16" t="inlineStr">
        <is>
          <t>JAYKAY</t>
        </is>
      </c>
      <c r="B1194" s="16" t="inlineStr">
        <is>
          <t>Jaykay Enterprises Ltd.</t>
        </is>
      </c>
      <c r="C1194" s="16" t="inlineStr">
        <is>
          <t>Aerospace &amp; Defence</t>
        </is>
      </c>
      <c r="D1194" s="16" t="inlineStr">
        <is>
          <t>General Industrials</t>
        </is>
      </c>
      <c r="E1194" s="16" t="inlineStr">
        <is>
          <t>INE903A01025</t>
        </is>
      </c>
      <c r="F1194" s="17" t="n">
        <v>2160.46</v>
      </c>
      <c r="G1194" s="18" t="n">
        <v>153.69</v>
      </c>
      <c r="H1194" s="19" t="n">
        <v>-0.0767</v>
      </c>
      <c r="I1194" s="20" t="n">
        <v>17</v>
      </c>
      <c r="J1194" s="16" t="inlineStr">
        <is>
          <t>red</t>
        </is>
      </c>
      <c r="K1194" s="20" t="n">
        <v>40</v>
      </c>
      <c r="L1194" s="18" t="n">
        <v>51.98</v>
      </c>
      <c r="M1194" s="18" t="n">
        <v>158.5</v>
      </c>
      <c r="N1194" s="18" t="n">
        <v>161.78</v>
      </c>
      <c r="O1194" s="18" t="n"/>
      <c r="P1194" s="18" t="n">
        <v>213.94</v>
      </c>
      <c r="Q1194" s="18" t="n">
        <v>118.31</v>
      </c>
      <c r="R1194" s="21">
        <f>IF(OR(G1194="",P1194=""),"",G1194/P1194-1)</f>
        <v/>
      </c>
      <c r="S1194" s="19" t="n">
        <v>1.1321</v>
      </c>
      <c r="T1194" s="22" t="n"/>
      <c r="U1194" s="16" t="n"/>
      <c r="V1194" s="16" t="inlineStr">
        <is>
          <t>No</t>
        </is>
      </c>
      <c r="W1194" s="16" t="inlineStr">
        <is>
          <t>No</t>
        </is>
      </c>
      <c r="X1194" s="16" t="n"/>
      <c r="Y1194" s="20" t="n"/>
      <c r="Z1194" s="19" t="n"/>
      <c r="AA1194" s="18" t="n">
        <v>40</v>
      </c>
      <c r="AB1194" s="16" t="inlineStr">
        <is>
          <t>Weak</t>
        </is>
      </c>
      <c r="AC1194" s="16" t="inlineStr">
        <is>
          <t>No</t>
        </is>
      </c>
      <c r="AD1194" s="19" t="n">
        <v>0.1335</v>
      </c>
      <c r="AE1194" s="19" t="n">
        <v>0.1337</v>
      </c>
      <c r="AF1194" s="19" t="n">
        <v>-0.3064</v>
      </c>
      <c r="AG1194" s="19" t="n">
        <v>0.8748999999999999</v>
      </c>
      <c r="AH1194" s="23" t="n">
        <v>0.06</v>
      </c>
      <c r="AI1194" s="23" t="n">
        <v>2.39</v>
      </c>
      <c r="AJ1194" s="19" t="n">
        <v>0.5529999999999999</v>
      </c>
    </row>
    <row r="1195">
      <c r="A1195" s="16" t="inlineStr">
        <is>
          <t>ELCIDIN</t>
        </is>
      </c>
      <c r="B1195" s="16" t="inlineStr">
        <is>
          <t>Elcid Investments Ltd.</t>
        </is>
      </c>
      <c r="C1195" s="16" t="inlineStr">
        <is>
          <t>Misc. Commercial Services</t>
        </is>
      </c>
      <c r="D1195" s="16" t="inlineStr">
        <is>
          <t>Commercial Services &amp; Supplies</t>
        </is>
      </c>
      <c r="E1195" s="16" t="inlineStr">
        <is>
          <t>INE927X01018</t>
        </is>
      </c>
      <c r="F1195" s="17" t="n">
        <v>2152</v>
      </c>
      <c r="G1195" s="18" t="n"/>
      <c r="H1195" s="19" t="n"/>
      <c r="I1195" s="20" t="n"/>
      <c r="J1195" s="16" t="n"/>
      <c r="K1195" s="20" t="n"/>
      <c r="L1195" s="18" t="n"/>
      <c r="M1195" s="18" t="n"/>
      <c r="N1195" s="18" t="n"/>
      <c r="O1195" s="18" t="n"/>
      <c r="P1195" s="18" t="n"/>
      <c r="Q1195" s="18" t="n"/>
      <c r="R1195" s="21">
        <f>IF(OR(G1195="",P1195=""),"",G1195/P1195-1)</f>
        <v/>
      </c>
      <c r="S1195" s="19" t="n"/>
      <c r="T1195" s="22" t="n"/>
      <c r="U1195" s="16" t="n"/>
      <c r="V1195" s="16" t="n"/>
      <c r="W1195" s="16" t="n"/>
      <c r="X1195" s="16" t="n"/>
      <c r="Y1195" s="20" t="n"/>
      <c r="Z1195" s="19" t="n"/>
      <c r="AA1195" s="18" t="n"/>
      <c r="AB1195" s="16" t="n"/>
      <c r="AC1195" s="16" t="inlineStr">
        <is>
          <t>No</t>
        </is>
      </c>
      <c r="AD1195" s="19" t="n"/>
      <c r="AE1195" s="19" t="n"/>
      <c r="AF1195" s="19" t="n"/>
      <c r="AG1195" s="19" t="n"/>
      <c r="AH1195" s="23" t="n"/>
      <c r="AI1195" s="23" t="n"/>
      <c r="AJ1195" s="19" t="n"/>
    </row>
    <row r="1196">
      <c r="A1196" s="16" t="inlineStr">
        <is>
          <t>PARACABLES</t>
        </is>
      </c>
      <c r="B1196" s="16" t="inlineStr">
        <is>
          <t>Paramount Communications Ltd.</t>
        </is>
      </c>
      <c r="C1196" s="16" t="inlineStr">
        <is>
          <t>Wires &amp; Cables</t>
        </is>
      </c>
      <c r="D1196" s="16" t="inlineStr">
        <is>
          <t>Consumer Durables</t>
        </is>
      </c>
      <c r="E1196" s="16" t="inlineStr">
        <is>
          <t>INE074B01023</t>
        </is>
      </c>
      <c r="F1196" s="17" t="n">
        <v>2143.75</v>
      </c>
      <c r="G1196" s="18" t="n">
        <v>65.51000000000001</v>
      </c>
      <c r="H1196" s="19" t="n">
        <v>0.0188</v>
      </c>
      <c r="I1196" s="20" t="n">
        <v>82</v>
      </c>
      <c r="J1196" s="16" t="inlineStr">
        <is>
          <t>green</t>
        </is>
      </c>
      <c r="K1196" s="20" t="n">
        <v>3</v>
      </c>
      <c r="L1196" s="18" t="n">
        <v>56.57</v>
      </c>
      <c r="M1196" s="18" t="n">
        <v>63.07</v>
      </c>
      <c r="N1196" s="18" t="n">
        <v>65.33</v>
      </c>
      <c r="O1196" s="18" t="n">
        <v>48.53</v>
      </c>
      <c r="P1196" s="18" t="n">
        <v>74.13</v>
      </c>
      <c r="Q1196" s="18" t="n">
        <v>28.56</v>
      </c>
      <c r="R1196" s="21">
        <f>IF(OR(G1196="",P1196=""),"",G1196/P1196-1)</f>
        <v/>
      </c>
      <c r="S1196" s="19" t="n">
        <v>2.3995</v>
      </c>
      <c r="T1196" s="22" t="n">
        <v>0.0471</v>
      </c>
      <c r="U1196" s="16" t="inlineStr">
        <is>
          <t>Yes</t>
        </is>
      </c>
      <c r="V1196" s="16" t="inlineStr">
        <is>
          <t>Yes</t>
        </is>
      </c>
      <c r="W1196" s="16" t="inlineStr">
        <is>
          <t>Yes</t>
        </is>
      </c>
      <c r="X1196" s="16" t="inlineStr">
        <is>
          <t>Yes</t>
        </is>
      </c>
      <c r="Y1196" s="20" t="n">
        <v>75</v>
      </c>
      <c r="Z1196" s="19" t="n">
        <v>0.3461</v>
      </c>
      <c r="AA1196" s="18" t="n">
        <v>40</v>
      </c>
      <c r="AB1196" s="16" t="inlineStr">
        <is>
          <t>Weak</t>
        </is>
      </c>
      <c r="AC1196" s="16" t="inlineStr">
        <is>
          <t>No</t>
        </is>
      </c>
      <c r="AD1196" s="19" t="n">
        <v>0.1116</v>
      </c>
      <c r="AE1196" s="19" t="n">
        <v>0.1319</v>
      </c>
      <c r="AF1196" s="19" t="n">
        <v>-0.0251</v>
      </c>
      <c r="AG1196" s="19" t="n">
        <v>0.3515</v>
      </c>
      <c r="AH1196" s="23" t="n">
        <v>0.16</v>
      </c>
      <c r="AI1196" s="23" t="n">
        <v>7.36</v>
      </c>
      <c r="AJ1196" s="19" t="n">
        <v>0</v>
      </c>
    </row>
    <row r="1197">
      <c r="A1197" s="16" t="inlineStr">
        <is>
          <t>SIMPLEXINF</t>
        </is>
      </c>
      <c r="B1197" s="16" t="inlineStr">
        <is>
          <t>Simplex Infrastructures Ltd.</t>
        </is>
      </c>
      <c r="C1197" s="16" t="inlineStr">
        <is>
          <t>Construction &amp; Engineering</t>
        </is>
      </c>
      <c r="D1197" s="16" t="inlineStr">
        <is>
          <t>Cement and Construction</t>
        </is>
      </c>
      <c r="E1197" s="16" t="inlineStr">
        <is>
          <t>INE059B01024</t>
        </is>
      </c>
      <c r="F1197" s="17" t="n">
        <v>2139.53</v>
      </c>
      <c r="G1197" s="18" t="n">
        <v>270.5</v>
      </c>
      <c r="H1197" s="19" t="n">
        <v>0.0133</v>
      </c>
      <c r="I1197" s="20" t="n">
        <v>50</v>
      </c>
      <c r="J1197" s="16" t="inlineStr">
        <is>
          <t>red</t>
        </is>
      </c>
      <c r="K1197" s="20" t="n">
        <v>39</v>
      </c>
      <c r="L1197" s="18" t="n">
        <v>61.02</v>
      </c>
      <c r="M1197" s="18" t="n">
        <v>264.47</v>
      </c>
      <c r="N1197" s="18" t="n">
        <v>254.04</v>
      </c>
      <c r="O1197" s="18" t="n">
        <v>236.48</v>
      </c>
      <c r="P1197" s="18" t="n">
        <v>316.55</v>
      </c>
      <c r="Q1197" s="18" t="n">
        <v>140.3</v>
      </c>
      <c r="R1197" s="21">
        <f>IF(OR(G1197="",P1197=""),"",G1197/P1197-1)</f>
        <v/>
      </c>
      <c r="S1197" s="19" t="n">
        <v>0.7717000000000001</v>
      </c>
      <c r="T1197" s="22" t="n">
        <v>-0.009899999999999999</v>
      </c>
      <c r="U1197" s="16" t="inlineStr">
        <is>
          <t>No</t>
        </is>
      </c>
      <c r="V1197" s="16" t="inlineStr">
        <is>
          <t>Yes</t>
        </is>
      </c>
      <c r="W1197" s="16" t="inlineStr">
        <is>
          <t>Yes</t>
        </is>
      </c>
      <c r="X1197" s="16" t="inlineStr">
        <is>
          <t>Yes</t>
        </is>
      </c>
      <c r="Y1197" s="20" t="n">
        <v>45</v>
      </c>
      <c r="Z1197" s="19" t="n">
        <v>0.07429999999999999</v>
      </c>
      <c r="AA1197" s="18" t="n">
        <v>22.7</v>
      </c>
      <c r="AB1197" s="16" t="inlineStr">
        <is>
          <t>Poor</t>
        </is>
      </c>
      <c r="AC1197" s="16" t="inlineStr">
        <is>
          <t>No</t>
        </is>
      </c>
      <c r="AD1197" s="19" t="n">
        <v>-0.0828</v>
      </c>
      <c r="AE1197" s="19" t="n">
        <v>0.0111</v>
      </c>
      <c r="AF1197" s="19" t="n">
        <v>1.1935</v>
      </c>
      <c r="AG1197" s="19" t="n">
        <v>-0.1766</v>
      </c>
      <c r="AH1197" s="23" t="n">
        <v>1.68</v>
      </c>
      <c r="AI1197" s="23" t="n">
        <v>4.06</v>
      </c>
      <c r="AJ1197" s="19" t="n">
        <v>0</v>
      </c>
    </row>
    <row r="1198">
      <c r="A1198" s="16" t="inlineStr">
        <is>
          <t>ESAFSFB</t>
        </is>
      </c>
      <c r="B1198" s="16" t="inlineStr">
        <is>
          <t>ESAF Small Finance Bank Ltd.</t>
        </is>
      </c>
      <c r="C1198" s="16" t="inlineStr">
        <is>
          <t>Microfinance Institutions</t>
        </is>
      </c>
      <c r="D1198" s="16" t="inlineStr">
        <is>
          <t>Banking and Finance</t>
        </is>
      </c>
      <c r="E1198" s="16" t="inlineStr">
        <is>
          <t>INE818W01011</t>
        </is>
      </c>
      <c r="F1198" s="17" t="n">
        <v>2137.21</v>
      </c>
      <c r="G1198" s="18" t="n">
        <v>41.41</v>
      </c>
      <c r="H1198" s="19" t="n">
        <v>-0.0062</v>
      </c>
      <c r="I1198" s="20" t="n">
        <v>86</v>
      </c>
      <c r="J1198" s="16" t="inlineStr">
        <is>
          <t>green</t>
        </is>
      </c>
      <c r="K1198" s="20" t="n">
        <v>18</v>
      </c>
      <c r="L1198" s="18" t="n">
        <v>58.83</v>
      </c>
      <c r="M1198" s="18" t="n">
        <v>42.84</v>
      </c>
      <c r="N1198" s="18" t="n">
        <v>38.63</v>
      </c>
      <c r="O1198" s="18" t="n">
        <v>29.79</v>
      </c>
      <c r="P1198" s="18" t="n">
        <v>44.71</v>
      </c>
      <c r="Q1198" s="18" t="n">
        <v>19.86</v>
      </c>
      <c r="R1198" s="21">
        <f>IF(OR(G1198="",P1198=""),"",G1198/P1198-1)</f>
        <v/>
      </c>
      <c r="S1198" s="19" t="n">
        <v>0.07980000000000001</v>
      </c>
      <c r="T1198" s="22" t="n">
        <v>0.0481</v>
      </c>
      <c r="U1198" s="16" t="inlineStr">
        <is>
          <t>Yes</t>
        </is>
      </c>
      <c r="V1198" s="16" t="inlineStr">
        <is>
          <t>Yes</t>
        </is>
      </c>
      <c r="W1198" s="16" t="inlineStr">
        <is>
          <t>No</t>
        </is>
      </c>
      <c r="X1198" s="16" t="inlineStr">
        <is>
          <t>Yes</t>
        </is>
      </c>
      <c r="Y1198" s="20" t="n">
        <v>57</v>
      </c>
      <c r="Z1198" s="19" t="n">
        <v>0.2967</v>
      </c>
      <c r="AA1198" s="18" t="n">
        <v>14.34</v>
      </c>
      <c r="AB1198" s="16" t="inlineStr">
        <is>
          <t>Poor</t>
        </is>
      </c>
      <c r="AC1198" s="16" t="inlineStr">
        <is>
          <t>Yes</t>
        </is>
      </c>
      <c r="AD1198" s="19" t="n">
        <v>-0.0633</v>
      </c>
      <c r="AE1198" s="19" t="n"/>
      <c r="AF1198" s="19" t="n">
        <v>-0.3077</v>
      </c>
      <c r="AG1198" s="19" t="n">
        <v>0.08699999999999999</v>
      </c>
      <c r="AH1198" s="23" t="n">
        <v>1.26</v>
      </c>
      <c r="AI1198" s="23" t="n">
        <v>4.87</v>
      </c>
      <c r="AJ1198" s="19" t="n">
        <v>0.5617</v>
      </c>
    </row>
    <row r="1199">
      <c r="A1199" s="16" t="inlineStr">
        <is>
          <t>SILVERTUC</t>
        </is>
      </c>
      <c r="B1199" s="16" t="inlineStr">
        <is>
          <t>Silver Touch Technologies Ltd.</t>
        </is>
      </c>
      <c r="C1199" s="16" t="inlineStr">
        <is>
          <t>IT Consulting &amp; Software</t>
        </is>
      </c>
      <c r="D1199" s="16" t="inlineStr">
        <is>
          <t>Software &amp; Services</t>
        </is>
      </c>
      <c r="E1199" s="16" t="inlineStr">
        <is>
          <t>INE625X01026</t>
        </is>
      </c>
      <c r="F1199" s="17" t="n">
        <v>2130.03</v>
      </c>
      <c r="G1199" s="18" t="n">
        <v>167.97</v>
      </c>
      <c r="H1199" s="19" t="n">
        <v>-0.0103</v>
      </c>
      <c r="I1199" s="20" t="n">
        <v>3</v>
      </c>
      <c r="J1199" s="16" t="inlineStr">
        <is>
          <t>red</t>
        </is>
      </c>
      <c r="K1199" s="20" t="n">
        <v>171</v>
      </c>
      <c r="L1199" s="18" t="n">
        <v>13.19</v>
      </c>
      <c r="M1199" s="18" t="n">
        <v>173.83</v>
      </c>
      <c r="N1199" s="18" t="n">
        <v>190.49</v>
      </c>
      <c r="O1199" s="18" t="n">
        <v>255.65</v>
      </c>
      <c r="P1199" s="18" t="n">
        <v>1095.63</v>
      </c>
      <c r="Q1199" s="18" t="n">
        <v>103.75</v>
      </c>
      <c r="R1199" s="21">
        <f>IF(OR(G1199="",P1199=""),"",G1199/P1199-1)</f>
        <v/>
      </c>
      <c r="S1199" s="19" t="n">
        <v>0.6662</v>
      </c>
      <c r="T1199" s="22" t="n">
        <v>-0.1876</v>
      </c>
      <c r="U1199" s="16" t="inlineStr">
        <is>
          <t>No</t>
        </is>
      </c>
      <c r="V1199" s="16" t="inlineStr">
        <is>
          <t>No</t>
        </is>
      </c>
      <c r="W1199" s="16" t="inlineStr">
        <is>
          <t>No</t>
        </is>
      </c>
      <c r="X1199" s="16" t="inlineStr">
        <is>
          <t>No</t>
        </is>
      </c>
      <c r="Y1199" s="20" t="n">
        <v>165</v>
      </c>
      <c r="Z1199" s="19" t="n">
        <v>-0.2549</v>
      </c>
      <c r="AA1199" s="18" t="n">
        <v>68.84</v>
      </c>
      <c r="AB1199" s="16" t="inlineStr">
        <is>
          <t>High</t>
        </is>
      </c>
      <c r="AC1199" s="16" t="inlineStr">
        <is>
          <t>No</t>
        </is>
      </c>
      <c r="AD1199" s="19" t="n">
        <v>0.173</v>
      </c>
      <c r="AE1199" s="19" t="n">
        <v>0.2024</v>
      </c>
      <c r="AF1199" s="19" t="n">
        <v>4.6795</v>
      </c>
      <c r="AG1199" s="19" t="n">
        <v>0.2804</v>
      </c>
      <c r="AH1199" s="23" t="n">
        <v>0.29</v>
      </c>
      <c r="AI1199" s="23" t="n">
        <v>5.72</v>
      </c>
      <c r="AJ1199" s="19" t="n">
        <v>0</v>
      </c>
    </row>
    <row r="1200">
      <c r="A1200" s="16" t="inlineStr">
        <is>
          <t>EMSLIMITED</t>
        </is>
      </c>
      <c r="B1200" s="16" t="inlineStr">
        <is>
          <t>EMS Ltd.</t>
        </is>
      </c>
      <c r="C1200" s="16" t="inlineStr">
        <is>
          <t>Waste Management</t>
        </is>
      </c>
      <c r="D1200" s="16" t="inlineStr">
        <is>
          <t>Utilities</t>
        </is>
      </c>
      <c r="E1200" s="16" t="inlineStr">
        <is>
          <t>INE0OV601013</t>
        </is>
      </c>
      <c r="F1200" s="17" t="n">
        <v>2127.11</v>
      </c>
      <c r="G1200" s="18" t="n">
        <v>383.05</v>
      </c>
      <c r="H1200" s="19" t="n">
        <v>-0.0111</v>
      </c>
      <c r="I1200" s="20" t="n">
        <v>53</v>
      </c>
      <c r="J1200" s="16" t="inlineStr">
        <is>
          <t>red</t>
        </is>
      </c>
      <c r="K1200" s="20" t="n">
        <v>2</v>
      </c>
      <c r="L1200" s="18" t="n">
        <v>57.08</v>
      </c>
      <c r="M1200" s="18" t="n">
        <v>379.88</v>
      </c>
      <c r="N1200" s="18" t="n">
        <v>402.12</v>
      </c>
      <c r="O1200" s="18" t="n">
        <v>365.36</v>
      </c>
      <c r="P1200" s="18" t="n">
        <v>582.35</v>
      </c>
      <c r="Q1200" s="18" t="n">
        <v>257.75</v>
      </c>
      <c r="R1200" s="21">
        <f>IF(OR(G1200="",P1200=""),"",G1200/P1200-1)</f>
        <v/>
      </c>
      <c r="S1200" s="19" t="n">
        <v>0.2577</v>
      </c>
      <c r="T1200" s="22" t="n">
        <v>-0.0321</v>
      </c>
      <c r="U1200" s="16" t="inlineStr">
        <is>
          <t>No</t>
        </is>
      </c>
      <c r="V1200" s="16" t="inlineStr">
        <is>
          <t>No</t>
        </is>
      </c>
      <c r="W1200" s="16" t="inlineStr">
        <is>
          <t>Yes</t>
        </is>
      </c>
      <c r="X1200" s="16" t="inlineStr">
        <is>
          <t>Yes</t>
        </is>
      </c>
      <c r="Y1200" s="20" t="n">
        <v>24</v>
      </c>
      <c r="Z1200" s="19" t="n">
        <v>0.1006</v>
      </c>
      <c r="AA1200" s="18" t="n">
        <v>40</v>
      </c>
      <c r="AB1200" s="16" t="inlineStr">
        <is>
          <t>Weak</t>
        </is>
      </c>
      <c r="AC1200" s="16" t="inlineStr">
        <is>
          <t>No</t>
        </is>
      </c>
      <c r="AD1200" s="19" t="n">
        <v>0.1549</v>
      </c>
      <c r="AE1200" s="19" t="n">
        <v>0.1994</v>
      </c>
      <c r="AF1200" s="19" t="n">
        <v>-0.12</v>
      </c>
      <c r="AG1200" s="19" t="n">
        <v>0.1512</v>
      </c>
      <c r="AH1200" s="23" t="n">
        <v>0.15</v>
      </c>
      <c r="AI1200" s="23" t="n">
        <v>6.31</v>
      </c>
      <c r="AJ1200" s="19" t="n">
        <v>0.3204</v>
      </c>
    </row>
    <row r="1201">
      <c r="A1201" s="16" t="inlineStr">
        <is>
          <t>BAJEL</t>
        </is>
      </c>
      <c r="B1201" s="16" t="inlineStr">
        <is>
          <t>Bajel Projects Ltd.</t>
        </is>
      </c>
      <c r="C1201" s="16" t="inlineStr">
        <is>
          <t>Heavy Electrical Equipment</t>
        </is>
      </c>
      <c r="D1201" s="16" t="inlineStr">
        <is>
          <t>General Industrials</t>
        </is>
      </c>
      <c r="E1201" s="16" t="inlineStr">
        <is>
          <t>INE0KQN01018</t>
        </is>
      </c>
      <c r="F1201" s="17" t="n">
        <v>2126.74</v>
      </c>
      <c r="G1201" s="18" t="n">
        <v>183.82</v>
      </c>
      <c r="H1201" s="19" t="n">
        <v>-0.0101</v>
      </c>
      <c r="I1201" s="20" t="n">
        <v>42</v>
      </c>
      <c r="J1201" s="16" t="inlineStr">
        <is>
          <t>red</t>
        </is>
      </c>
      <c r="K1201" s="20" t="n">
        <v>52</v>
      </c>
      <c r="L1201" s="18" t="n">
        <v>47.57</v>
      </c>
      <c r="M1201" s="18" t="n">
        <v>189</v>
      </c>
      <c r="N1201" s="18" t="n">
        <v>185.45</v>
      </c>
      <c r="O1201" s="18" t="n">
        <v>175.14</v>
      </c>
      <c r="P1201" s="18" t="n">
        <v>223.8</v>
      </c>
      <c r="Q1201" s="18" t="n">
        <v>136.8</v>
      </c>
      <c r="R1201" s="21">
        <f>IF(OR(G1201="",P1201=""),"",G1201/P1201-1)</f>
        <v/>
      </c>
      <c r="S1201" s="19" t="n">
        <v>0.3186</v>
      </c>
      <c r="T1201" s="22" t="n">
        <v>0.0003</v>
      </c>
      <c r="U1201" s="16" t="inlineStr">
        <is>
          <t>Yes</t>
        </is>
      </c>
      <c r="V1201" s="16" t="inlineStr">
        <is>
          <t>No</t>
        </is>
      </c>
      <c r="W1201" s="16" t="inlineStr">
        <is>
          <t>No</t>
        </is>
      </c>
      <c r="X1201" s="16" t="inlineStr">
        <is>
          <t>Yes</t>
        </is>
      </c>
      <c r="Y1201" s="20" t="n">
        <v>63</v>
      </c>
      <c r="Z1201" s="19" t="n">
        <v>0.05889999999999999</v>
      </c>
      <c r="AA1201" s="18" t="n">
        <v>51.99</v>
      </c>
      <c r="AB1201" s="16" t="inlineStr">
        <is>
          <t>Average</t>
        </is>
      </c>
      <c r="AC1201" s="16" t="inlineStr">
        <is>
          <t>No</t>
        </is>
      </c>
      <c r="AD1201" s="19" t="n">
        <v>0.0193</v>
      </c>
      <c r="AE1201" s="19" t="n">
        <v>0.06179999999999999</v>
      </c>
      <c r="AF1201" s="19" t="n">
        <v>1.7458</v>
      </c>
      <c r="AG1201" s="19" t="n">
        <v>0.7556999999999999</v>
      </c>
      <c r="AH1201" s="23" t="n">
        <v>0.49</v>
      </c>
      <c r="AI1201" s="23" t="n">
        <v>23.58</v>
      </c>
      <c r="AJ1201" s="19" t="n">
        <v>0.0732</v>
      </c>
    </row>
    <row r="1202">
      <c r="A1202" s="16" t="inlineStr">
        <is>
          <t>TCIEXP</t>
        </is>
      </c>
      <c r="B1202" s="16" t="inlineStr">
        <is>
          <t>TCI Express Ltd.</t>
        </is>
      </c>
      <c r="C1202" s="16" t="inlineStr">
        <is>
          <t>Warehousing &amp; Logistics</t>
        </is>
      </c>
      <c r="D1202" s="16" t="inlineStr">
        <is>
          <t>Transportation</t>
        </is>
      </c>
      <c r="E1202" s="16" t="inlineStr">
        <is>
          <t>INE586V01016</t>
        </is>
      </c>
      <c r="F1202" s="17" t="n">
        <v>2125.58</v>
      </c>
      <c r="G1202" s="18" t="n">
        <v>552.9</v>
      </c>
      <c r="H1202" s="19" t="n">
        <v>0.0214</v>
      </c>
      <c r="I1202" s="20" t="n">
        <v>35</v>
      </c>
      <c r="J1202" s="16" t="inlineStr">
        <is>
          <t>red</t>
        </is>
      </c>
      <c r="K1202" s="20" t="n">
        <v>501</v>
      </c>
      <c r="L1202" s="18" t="n">
        <v>43.54</v>
      </c>
      <c r="M1202" s="18" t="n">
        <v>549.01</v>
      </c>
      <c r="N1202" s="18" t="n">
        <v>548.63</v>
      </c>
      <c r="O1202" s="18" t="n">
        <v>539.21</v>
      </c>
      <c r="P1202" s="18" t="n">
        <v>751.9299999999999</v>
      </c>
      <c r="Q1202" s="18" t="n">
        <v>461</v>
      </c>
      <c r="R1202" s="21">
        <f>IF(OR(G1202="",P1202=""),"",G1202/P1202-1)</f>
        <v/>
      </c>
      <c r="S1202" s="19" t="n">
        <v>0.6779000000000001</v>
      </c>
      <c r="T1202" s="22" t="n">
        <v>-0.018</v>
      </c>
      <c r="U1202" s="16" t="inlineStr">
        <is>
          <t>No</t>
        </is>
      </c>
      <c r="V1202" s="16" t="inlineStr">
        <is>
          <t>Yes</t>
        </is>
      </c>
      <c r="W1202" s="16" t="inlineStr">
        <is>
          <t>Yes</t>
        </is>
      </c>
      <c r="X1202" s="16" t="inlineStr">
        <is>
          <t>Yes</t>
        </is>
      </c>
      <c r="Y1202" s="20" t="n">
        <v>14</v>
      </c>
      <c r="Z1202" s="19" t="n">
        <v>0.0175</v>
      </c>
      <c r="AA1202" s="18" t="n">
        <v>40</v>
      </c>
      <c r="AB1202" s="16" t="inlineStr">
        <is>
          <t>Weak</t>
        </is>
      </c>
      <c r="AC1202" s="16" t="inlineStr">
        <is>
          <t>No</t>
        </is>
      </c>
      <c r="AD1202" s="19" t="n">
        <v>0.1329</v>
      </c>
      <c r="AE1202" s="19" t="n">
        <v>0.1741</v>
      </c>
      <c r="AF1202" s="19" t="n">
        <v>-0.4674</v>
      </c>
      <c r="AG1202" s="19" t="n">
        <v>-0.0005999999999999999</v>
      </c>
      <c r="AH1202" s="23" t="n">
        <v>0.08</v>
      </c>
      <c r="AI1202" s="23" t="n">
        <v>2.09</v>
      </c>
      <c r="AJ1202" s="19" t="n">
        <v>0.077</v>
      </c>
    </row>
    <row r="1203">
      <c r="A1203" s="16" t="inlineStr">
        <is>
          <t>GOCLCORP</t>
        </is>
      </c>
      <c r="B1203" s="16" t="inlineStr">
        <is>
          <t>GOCL Corporation Ltd.</t>
        </is>
      </c>
      <c r="C1203" s="16" t="inlineStr">
        <is>
          <t>Oil Marketing &amp; Distribution</t>
        </is>
      </c>
      <c r="D1203" s="16" t="inlineStr">
        <is>
          <t>Oil &amp; Gas</t>
        </is>
      </c>
      <c r="E1203" s="16" t="inlineStr">
        <is>
          <t>INE077F01035</t>
        </is>
      </c>
      <c r="F1203" s="17" t="n">
        <v>2118.98</v>
      </c>
      <c r="G1203" s="18" t="n">
        <v>427.45</v>
      </c>
      <c r="H1203" s="19" t="n">
        <v>0.0106</v>
      </c>
      <c r="I1203" s="20" t="n">
        <v>75</v>
      </c>
      <c r="J1203" s="16" t="inlineStr">
        <is>
          <t>amber</t>
        </is>
      </c>
      <c r="K1203" s="20" t="n">
        <v>14</v>
      </c>
      <c r="L1203" s="18" t="n">
        <v>62.57</v>
      </c>
      <c r="M1203" s="18" t="n">
        <v>400.62</v>
      </c>
      <c r="N1203" s="18" t="n">
        <v>404.09</v>
      </c>
      <c r="O1203" s="18" t="n">
        <v>328.65</v>
      </c>
      <c r="P1203" s="18" t="n">
        <v>445.3</v>
      </c>
      <c r="Q1203" s="18" t="n">
        <v>225</v>
      </c>
      <c r="R1203" s="21">
        <f>IF(OR(G1203="",P1203=""),"",G1203/P1203-1)</f>
        <v/>
      </c>
      <c r="S1203" s="19" t="n">
        <v>0.9311</v>
      </c>
      <c r="T1203" s="22" t="n">
        <v>0.0188</v>
      </c>
      <c r="U1203" s="16" t="inlineStr">
        <is>
          <t>Yes</t>
        </is>
      </c>
      <c r="V1203" s="16" t="inlineStr">
        <is>
          <t>Yes</t>
        </is>
      </c>
      <c r="W1203" s="16" t="inlineStr">
        <is>
          <t>Yes</t>
        </is>
      </c>
      <c r="X1203" s="16" t="inlineStr">
        <is>
          <t>Yes</t>
        </is>
      </c>
      <c r="Y1203" s="20" t="n">
        <v>68</v>
      </c>
      <c r="Z1203" s="19" t="n">
        <v>0.2296</v>
      </c>
      <c r="AA1203" s="18" t="n">
        <v>48</v>
      </c>
      <c r="AB1203" s="16" t="inlineStr">
        <is>
          <t>Average</t>
        </is>
      </c>
      <c r="AC1203" s="16" t="inlineStr">
        <is>
          <t>No</t>
        </is>
      </c>
      <c r="AD1203" s="19" t="n">
        <v>0.2059</v>
      </c>
      <c r="AE1203" s="19" t="n">
        <v>0.09820000000000001</v>
      </c>
      <c r="AF1203" s="19" t="n">
        <v>0.1615</v>
      </c>
      <c r="AG1203" s="19" t="n">
        <v>-0.5915</v>
      </c>
      <c r="AH1203" s="23" t="n">
        <v>0</v>
      </c>
      <c r="AI1203" s="23" t="n">
        <v>0.54</v>
      </c>
      <c r="AJ1203" s="19" t="n">
        <v>0.0418</v>
      </c>
    </row>
    <row r="1204">
      <c r="A1204" s="16" t="inlineStr">
        <is>
          <t>SIKA</t>
        </is>
      </c>
      <c r="B1204" s="16" t="inlineStr">
        <is>
          <t>Sika Interplant Systems Ltd.</t>
        </is>
      </c>
      <c r="C1204" s="16" t="inlineStr">
        <is>
          <t>Aerospace &amp; Defence</t>
        </is>
      </c>
      <c r="D1204" s="16" t="inlineStr">
        <is>
          <t>General Industrials</t>
        </is>
      </c>
      <c r="E1204" s="16" t="inlineStr">
        <is>
          <t>INE438E01032</t>
        </is>
      </c>
      <c r="F1204" s="17" t="n">
        <v>2118.71</v>
      </c>
      <c r="G1204" s="18" t="n">
        <v>999.35</v>
      </c>
      <c r="H1204" s="19" t="n">
        <v>0.0231</v>
      </c>
      <c r="I1204" s="20" t="n">
        <v>46</v>
      </c>
      <c r="J1204" s="16" t="inlineStr">
        <is>
          <t>red</t>
        </is>
      </c>
      <c r="K1204" s="20" t="n">
        <v>15</v>
      </c>
      <c r="L1204" s="18" t="n">
        <v>38.05</v>
      </c>
      <c r="M1204" s="18" t="n">
        <v>999.64</v>
      </c>
      <c r="N1204" s="18" t="n">
        <v>1100.22</v>
      </c>
      <c r="O1204" s="18" t="n">
        <v>981.48</v>
      </c>
      <c r="P1204" s="18" t="n">
        <v>1302.27</v>
      </c>
      <c r="Q1204" s="18" t="n">
        <v>784.29</v>
      </c>
      <c r="R1204" s="21">
        <f>IF(OR(G1204="",P1204=""),"",G1204/P1204-1)</f>
        <v/>
      </c>
      <c r="S1204" s="19" t="n">
        <v>1.3373</v>
      </c>
      <c r="T1204" s="22" t="n">
        <v>-0.0112</v>
      </c>
      <c r="U1204" s="16" t="inlineStr">
        <is>
          <t>No</t>
        </is>
      </c>
      <c r="V1204" s="16" t="inlineStr">
        <is>
          <t>No</t>
        </is>
      </c>
      <c r="W1204" s="16" t="inlineStr">
        <is>
          <t>No</t>
        </is>
      </c>
      <c r="X1204" s="16" t="inlineStr">
        <is>
          <t>Yes</t>
        </is>
      </c>
      <c r="Y1204" s="20" t="n">
        <v>41</v>
      </c>
      <c r="Z1204" s="19" t="n">
        <v>0.121</v>
      </c>
      <c r="AA1204" s="18" t="n"/>
      <c r="AB1204" s="16" t="n"/>
      <c r="AC1204" s="16" t="inlineStr">
        <is>
          <t>No</t>
        </is>
      </c>
      <c r="AD1204" s="19" t="n"/>
      <c r="AE1204" s="19" t="n"/>
      <c r="AF1204" s="19" t="n"/>
      <c r="AG1204" s="19" t="n"/>
      <c r="AH1204" s="23" t="n"/>
      <c r="AI1204" s="23" t="n"/>
      <c r="AJ1204" s="19" t="n"/>
    </row>
    <row r="1205">
      <c r="A1205" s="16" t="inlineStr">
        <is>
          <t>LANDMARK</t>
        </is>
      </c>
      <c r="B1205" s="16" t="inlineStr">
        <is>
          <t>Landmark Cars Ltd.</t>
        </is>
      </c>
      <c r="C1205" s="16" t="inlineStr">
        <is>
          <t>Specialty Retail</t>
        </is>
      </c>
      <c r="D1205" s="16" t="inlineStr">
        <is>
          <t>Retailing</t>
        </is>
      </c>
      <c r="E1205" s="16" t="inlineStr">
        <is>
          <t>INE559R01029</t>
        </is>
      </c>
      <c r="F1205" s="17" t="n">
        <v>2115.33</v>
      </c>
      <c r="G1205" s="18" t="n">
        <v>510.15</v>
      </c>
      <c r="H1205" s="19" t="n">
        <v>0.0244</v>
      </c>
      <c r="I1205" s="20" t="n">
        <v>59</v>
      </c>
      <c r="J1205" s="16" t="inlineStr">
        <is>
          <t>red</t>
        </is>
      </c>
      <c r="K1205" s="20" t="n">
        <v>4</v>
      </c>
      <c r="L1205" s="18" t="n">
        <v>49.69</v>
      </c>
      <c r="M1205" s="18" t="n">
        <v>506.52</v>
      </c>
      <c r="N1205" s="18" t="n">
        <v>503.83</v>
      </c>
      <c r="O1205" s="18" t="n">
        <v>446.13</v>
      </c>
      <c r="P1205" s="18" t="n">
        <v>658.4</v>
      </c>
      <c r="Q1205" s="18" t="n">
        <v>349.45</v>
      </c>
      <c r="R1205" s="21">
        <f>IF(OR(G1205="",P1205=""),"",G1205/P1205-1)</f>
        <v/>
      </c>
      <c r="S1205" s="19" t="n">
        <v>0.3627</v>
      </c>
      <c r="T1205" s="22" t="n">
        <v>-0.0194</v>
      </c>
      <c r="U1205" s="16" t="inlineStr">
        <is>
          <t>No</t>
        </is>
      </c>
      <c r="V1205" s="16" t="inlineStr">
        <is>
          <t>Yes</t>
        </is>
      </c>
      <c r="W1205" s="16" t="inlineStr">
        <is>
          <t>Yes</t>
        </is>
      </c>
      <c r="X1205" s="16" t="inlineStr">
        <is>
          <t>Yes</t>
        </is>
      </c>
      <c r="Y1205" s="20" t="n">
        <v>23</v>
      </c>
      <c r="Z1205" s="19" t="n">
        <v>0.1293</v>
      </c>
      <c r="AA1205" s="18" t="n">
        <v>32.76</v>
      </c>
      <c r="AB1205" s="16" t="inlineStr">
        <is>
          <t>Poor</t>
        </is>
      </c>
      <c r="AC1205" s="16" t="inlineStr">
        <is>
          <t>No</t>
        </is>
      </c>
      <c r="AD1205" s="19" t="n">
        <v>0.0655</v>
      </c>
      <c r="AE1205" s="19" t="n">
        <v>0.08109999999999999</v>
      </c>
      <c r="AF1205" s="19" t="n">
        <v>0.08439999999999999</v>
      </c>
      <c r="AG1205" s="19" t="n">
        <v>0.1502</v>
      </c>
      <c r="AH1205" s="23" t="n">
        <v>1.74</v>
      </c>
      <c r="AI1205" s="23" t="n">
        <v>6.85</v>
      </c>
      <c r="AJ1205" s="19" t="n">
        <v>0.0031</v>
      </c>
    </row>
    <row r="1206">
      <c r="A1206" s="16" t="inlineStr">
        <is>
          <t>ANONDITA</t>
        </is>
      </c>
      <c r="B1206" s="16" t="inlineStr">
        <is>
          <t>Anondita Medicare Ltd.</t>
        </is>
      </c>
      <c r="C1206" s="16" t="inlineStr">
        <is>
          <t>Personal Products</t>
        </is>
      </c>
      <c r="D1206" s="16" t="inlineStr">
        <is>
          <t>FMCG</t>
        </is>
      </c>
      <c r="E1206" s="16" t="inlineStr">
        <is>
          <t>INE0VTV01012</t>
        </is>
      </c>
      <c r="F1206" s="17" t="n">
        <v>2113.12</v>
      </c>
      <c r="G1206" s="18" t="n"/>
      <c r="H1206" s="19" t="n"/>
      <c r="I1206" s="20" t="n"/>
      <c r="J1206" s="16" t="n"/>
      <c r="K1206" s="20" t="n"/>
      <c r="L1206" s="18" t="n"/>
      <c r="M1206" s="18" t="n"/>
      <c r="N1206" s="18" t="n"/>
      <c r="O1206" s="18" t="n"/>
      <c r="P1206" s="18" t="n"/>
      <c r="Q1206" s="18" t="n"/>
      <c r="R1206" s="21">
        <f>IF(OR(G1206="",P1206=""),"",G1206/P1206-1)</f>
        <v/>
      </c>
      <c r="S1206" s="19" t="n"/>
      <c r="T1206" s="22" t="n"/>
      <c r="U1206" s="16" t="n"/>
      <c r="V1206" s="16" t="n"/>
      <c r="W1206" s="16" t="n"/>
      <c r="X1206" s="16" t="n"/>
      <c r="Y1206" s="20" t="n"/>
      <c r="Z1206" s="19" t="n"/>
      <c r="AA1206" s="18" t="n"/>
      <c r="AB1206" s="16" t="n"/>
      <c r="AC1206" s="16" t="inlineStr">
        <is>
          <t>No</t>
        </is>
      </c>
      <c r="AD1206" s="19" t="n"/>
      <c r="AE1206" s="19" t="n"/>
      <c r="AF1206" s="19" t="n"/>
      <c r="AG1206" s="19" t="n"/>
      <c r="AH1206" s="23" t="n"/>
      <c r="AI1206" s="23" t="n"/>
      <c r="AJ1206" s="19" t="n"/>
    </row>
    <row r="1207">
      <c r="A1207" s="16" t="inlineStr">
        <is>
          <t>BNAGROCHEM</t>
        </is>
      </c>
      <c r="B1207" s="16" t="inlineStr">
        <is>
          <t>BN Agrochem Ltd.</t>
        </is>
      </c>
      <c r="C1207" s="16" t="inlineStr">
        <is>
          <t>Edible Oils</t>
        </is>
      </c>
      <c r="D1207" s="16" t="inlineStr">
        <is>
          <t>FMCG</t>
        </is>
      </c>
      <c r="E1207" s="16" t="inlineStr">
        <is>
          <t>INE00HZ01011</t>
        </is>
      </c>
      <c r="F1207" s="17" t="n">
        <v>2112.38</v>
      </c>
      <c r="G1207" s="18" t="n">
        <v>216.05</v>
      </c>
      <c r="H1207" s="19" t="n">
        <v>-0.0228</v>
      </c>
      <c r="I1207" s="20" t="n">
        <v>5</v>
      </c>
      <c r="J1207" s="16" t="inlineStr">
        <is>
          <t>red</t>
        </is>
      </c>
      <c r="K1207" s="20" t="n">
        <v>42</v>
      </c>
      <c r="L1207" s="18" t="n">
        <v>34.35</v>
      </c>
      <c r="M1207" s="18" t="n">
        <v>222.96</v>
      </c>
      <c r="N1207" s="18" t="n">
        <v>263.19</v>
      </c>
      <c r="O1207" s="18" t="n">
        <v>291.31</v>
      </c>
      <c r="P1207" s="18" t="n">
        <v>406.5</v>
      </c>
      <c r="Q1207" s="18" t="n">
        <v>212.6</v>
      </c>
      <c r="R1207" s="21">
        <f>IF(OR(G1207="",P1207=""),"",G1207/P1207-1)</f>
        <v/>
      </c>
      <c r="S1207" s="19" t="n">
        <v>0.1843</v>
      </c>
      <c r="T1207" s="22" t="n">
        <v>-0.0488</v>
      </c>
      <c r="U1207" s="16" t="inlineStr">
        <is>
          <t>No</t>
        </is>
      </c>
      <c r="V1207" s="16" t="inlineStr">
        <is>
          <t>No</t>
        </is>
      </c>
      <c r="W1207" s="16" t="inlineStr">
        <is>
          <t>No</t>
        </is>
      </c>
      <c r="X1207" s="16" t="inlineStr">
        <is>
          <t>No</t>
        </is>
      </c>
      <c r="Y1207" s="20" t="n">
        <v>125</v>
      </c>
      <c r="Z1207" s="19" t="n">
        <v>-0.0965</v>
      </c>
      <c r="AA1207" s="18" t="n"/>
      <c r="AB1207" s="16" t="n"/>
      <c r="AC1207" s="16" t="inlineStr">
        <is>
          <t>No</t>
        </is>
      </c>
      <c r="AD1207" s="19" t="n"/>
      <c r="AE1207" s="19" t="n"/>
      <c r="AF1207" s="19" t="n"/>
      <c r="AG1207" s="19" t="n"/>
      <c r="AH1207" s="23" t="n"/>
      <c r="AI1207" s="23" t="n"/>
      <c r="AJ1207" s="19" t="n"/>
    </row>
    <row r="1208">
      <c r="A1208" s="16" t="inlineStr">
        <is>
          <t>MAHASTEEL</t>
        </is>
      </c>
      <c r="B1208" s="16" t="inlineStr">
        <is>
          <t>Mahamaya Steel Industries Ltd.</t>
        </is>
      </c>
      <c r="C1208" s="16" t="inlineStr">
        <is>
          <t>Iron &amp; Steel Products</t>
        </is>
      </c>
      <c r="D1208" s="16" t="inlineStr">
        <is>
          <t>Metals &amp; Mining</t>
        </is>
      </c>
      <c r="E1208" s="16" t="inlineStr">
        <is>
          <t>INE451L01014</t>
        </is>
      </c>
      <c r="F1208" s="17" t="n">
        <v>2107.71</v>
      </c>
      <c r="G1208" s="18" t="n">
        <v>1282.5</v>
      </c>
      <c r="H1208" s="19" t="n">
        <v>0.0193</v>
      </c>
      <c r="I1208" s="20" t="n">
        <v>95</v>
      </c>
      <c r="J1208" s="16" t="inlineStr">
        <is>
          <t>green</t>
        </is>
      </c>
      <c r="K1208" s="20" t="n">
        <v>29</v>
      </c>
      <c r="L1208" s="18" t="n">
        <v>70.14</v>
      </c>
      <c r="M1208" s="18" t="n">
        <v>1308.51</v>
      </c>
      <c r="N1208" s="18" t="n">
        <v>993.04</v>
      </c>
      <c r="O1208" s="18" t="n">
        <v>880.42</v>
      </c>
      <c r="P1208" s="18" t="n">
        <v>1394.1</v>
      </c>
      <c r="Q1208" s="18" t="n">
        <v>366.1</v>
      </c>
      <c r="R1208" s="21">
        <f>IF(OR(G1208="",P1208=""),"",G1208/P1208-1)</f>
        <v/>
      </c>
      <c r="S1208" s="19" t="n">
        <v>0.4488</v>
      </c>
      <c r="T1208" s="22" t="n">
        <v>0.06519999999999999</v>
      </c>
      <c r="U1208" s="16" t="inlineStr">
        <is>
          <t>Yes</t>
        </is>
      </c>
      <c r="V1208" s="16" t="inlineStr">
        <is>
          <t>Yes</t>
        </is>
      </c>
      <c r="W1208" s="16" t="inlineStr">
        <is>
          <t>No</t>
        </is>
      </c>
      <c r="X1208" s="16" t="inlineStr">
        <is>
          <t>Yes</t>
        </is>
      </c>
      <c r="Y1208" s="20" t="n">
        <v>751</v>
      </c>
      <c r="Z1208" s="19" t="n">
        <v>0.1279</v>
      </c>
      <c r="AA1208" s="18" t="n">
        <v>40.11</v>
      </c>
      <c r="AB1208" s="16" t="inlineStr">
        <is>
          <t>Average</t>
        </is>
      </c>
      <c r="AC1208" s="16" t="inlineStr">
        <is>
          <t>No</t>
        </is>
      </c>
      <c r="AD1208" s="19" t="n">
        <v>0.053</v>
      </c>
      <c r="AE1208" s="19" t="n">
        <v>0.07629999999999999</v>
      </c>
      <c r="AF1208" s="19" t="n">
        <v>0.2098</v>
      </c>
      <c r="AG1208" s="19" t="n">
        <v>0.1126</v>
      </c>
      <c r="AH1208" s="23" t="n">
        <v>0.37</v>
      </c>
      <c r="AI1208" s="23" t="n">
        <v>12.14</v>
      </c>
      <c r="AJ1208" s="19" t="n">
        <v>0</v>
      </c>
    </row>
    <row r="1209">
      <c r="A1209" s="16" t="inlineStr">
        <is>
          <t>FREDUN</t>
        </is>
      </c>
      <c r="B1209" s="16" t="inlineStr">
        <is>
          <t>Fredun Pharmaceuticals Ltd.</t>
        </is>
      </c>
      <c r="C1209" s="16" t="inlineStr">
        <is>
          <t>Pharmaceuticals</t>
        </is>
      </c>
      <c r="D1209" s="16" t="inlineStr">
        <is>
          <t>Pharmaceuticals &amp; Biotechnology</t>
        </is>
      </c>
      <c r="E1209" s="16" t="inlineStr">
        <is>
          <t>INE194R01017</t>
        </is>
      </c>
      <c r="F1209" s="17" t="n">
        <v>2105.75</v>
      </c>
      <c r="G1209" s="18" t="n">
        <v>1474.1</v>
      </c>
      <c r="H1209" s="19" t="n">
        <v>-0.0095</v>
      </c>
      <c r="I1209" s="20" t="n">
        <v>97</v>
      </c>
      <c r="J1209" s="16" t="inlineStr">
        <is>
          <t>green</t>
        </is>
      </c>
      <c r="K1209" s="20" t="n">
        <v>287</v>
      </c>
      <c r="L1209" s="18" t="n">
        <v>53.29</v>
      </c>
      <c r="M1209" s="18" t="n">
        <v>1485.27</v>
      </c>
      <c r="N1209" s="18" t="n">
        <v>1153.33</v>
      </c>
      <c r="O1209" s="18" t="n">
        <v>764.5700000000001</v>
      </c>
      <c r="P1209" s="18" t="n">
        <v>1547.75</v>
      </c>
      <c r="Q1209" s="18" t="n">
        <v>401.18</v>
      </c>
      <c r="R1209" s="21">
        <f>IF(OR(G1209="",P1209=""),"",G1209/P1209-1)</f>
        <v/>
      </c>
      <c r="S1209" s="19" t="n">
        <v>0.0692</v>
      </c>
      <c r="T1209" s="22" t="n">
        <v>0.1309</v>
      </c>
      <c r="U1209" s="16" t="inlineStr">
        <is>
          <t>Yes</t>
        </is>
      </c>
      <c r="V1209" s="16" t="inlineStr">
        <is>
          <t>Yes</t>
        </is>
      </c>
      <c r="W1209" s="16" t="inlineStr">
        <is>
          <t>No</t>
        </is>
      </c>
      <c r="X1209" s="16" t="inlineStr">
        <is>
          <t>Yes</t>
        </is>
      </c>
      <c r="Y1209" s="20" t="n">
        <v>303</v>
      </c>
      <c r="Z1209" s="19" t="n">
        <v>0.5085000000000001</v>
      </c>
      <c r="AA1209" s="18" t="n"/>
      <c r="AB1209" s="16" t="n"/>
      <c r="AC1209" s="16" t="inlineStr">
        <is>
          <t>No</t>
        </is>
      </c>
      <c r="AD1209" s="19" t="n"/>
      <c r="AE1209" s="19" t="n"/>
      <c r="AF1209" s="19" t="n"/>
      <c r="AG1209" s="19" t="n"/>
      <c r="AH1209" s="23" t="n"/>
      <c r="AI1209" s="23" t="n"/>
      <c r="AJ1209" s="19" t="n"/>
    </row>
    <row r="1210">
      <c r="A1210" s="16" t="inlineStr">
        <is>
          <t>GMBREW</t>
        </is>
      </c>
      <c r="B1210" s="16" t="inlineStr">
        <is>
          <t>G M Breweries Ltd.</t>
        </is>
      </c>
      <c r="C1210" s="16" t="inlineStr">
        <is>
          <t>Breweries &amp; Distilleries</t>
        </is>
      </c>
      <c r="D1210" s="16" t="inlineStr">
        <is>
          <t>Food, Beverages &amp; Tobacco</t>
        </is>
      </c>
      <c r="E1210" s="16" t="inlineStr">
        <is>
          <t>INE075D01018</t>
        </is>
      </c>
      <c r="F1210" s="17" t="n">
        <v>2101.57</v>
      </c>
      <c r="G1210" s="18" t="n">
        <v>919.85</v>
      </c>
      <c r="H1210" s="19" t="n">
        <v>0.0102</v>
      </c>
      <c r="I1210" s="20" t="n">
        <v>47</v>
      </c>
      <c r="J1210" s="16" t="inlineStr">
        <is>
          <t>red</t>
        </is>
      </c>
      <c r="K1210" s="20" t="n">
        <v>66</v>
      </c>
      <c r="L1210" s="18" t="n">
        <v>62.16</v>
      </c>
      <c r="M1210" s="18" t="n">
        <v>893.08</v>
      </c>
      <c r="N1210" s="18" t="n">
        <v>911.85</v>
      </c>
      <c r="O1210" s="18" t="n">
        <v>967</v>
      </c>
      <c r="P1210" s="18" t="n">
        <v>1251.89</v>
      </c>
      <c r="Q1210" s="18" t="n">
        <v>679.22</v>
      </c>
      <c r="R1210" s="21">
        <f>IF(OR(G1210="",P1210=""),"",G1210/P1210-1)</f>
        <v/>
      </c>
      <c r="S1210" s="19" t="n">
        <v>1.7463</v>
      </c>
      <c r="T1210" s="22" t="n">
        <v>-0.0299</v>
      </c>
      <c r="U1210" s="16" t="inlineStr">
        <is>
          <t>No</t>
        </is>
      </c>
      <c r="V1210" s="16" t="inlineStr">
        <is>
          <t>Yes</t>
        </is>
      </c>
      <c r="W1210" s="16" t="inlineStr">
        <is>
          <t>Yes</t>
        </is>
      </c>
      <c r="X1210" s="16" t="inlineStr">
        <is>
          <t>No</t>
        </is>
      </c>
      <c r="Y1210" s="20" t="n">
        <v>67</v>
      </c>
      <c r="Z1210" s="19" t="n">
        <v>-0.057</v>
      </c>
      <c r="AA1210" s="18" t="n">
        <v>65.52</v>
      </c>
      <c r="AB1210" s="16" t="inlineStr">
        <is>
          <t>High</t>
        </is>
      </c>
      <c r="AC1210" s="16" t="inlineStr">
        <is>
          <t>No</t>
        </is>
      </c>
      <c r="AD1210" s="19" t="n">
        <v>0.1557</v>
      </c>
      <c r="AE1210" s="19" t="n">
        <v>0.1891</v>
      </c>
      <c r="AF1210" s="19" t="n">
        <v>0.195</v>
      </c>
      <c r="AG1210" s="19" t="n">
        <v>0.08210000000000001</v>
      </c>
      <c r="AH1210" s="23" t="n">
        <v>0.03</v>
      </c>
      <c r="AI1210" s="23" t="n">
        <v>5.71</v>
      </c>
      <c r="AJ1210" s="19" t="n">
        <v>0.6783</v>
      </c>
    </row>
    <row r="1211">
      <c r="A1211" s="16" t="inlineStr">
        <is>
          <t>SHRINGARMS</t>
        </is>
      </c>
      <c r="B1211" s="16" t="inlineStr">
        <is>
          <t>Shringar House of Mangalsutra Ltd.</t>
        </is>
      </c>
      <c r="C1211" s="16" t="inlineStr">
        <is>
          <t>Gems &amp; Jewellery</t>
        </is>
      </c>
      <c r="D1211" s="16" t="inlineStr">
        <is>
          <t>Textiles Apparels &amp; Accessories</t>
        </is>
      </c>
      <c r="E1211" s="16" t="inlineStr">
        <is>
          <t>INE1B3L01017</t>
        </is>
      </c>
      <c r="F1211" s="17" t="n">
        <v>2101.35</v>
      </c>
      <c r="G1211" s="18" t="n">
        <v>217.91</v>
      </c>
      <c r="H1211" s="19" t="n">
        <v>0.0029</v>
      </c>
      <c r="I1211" s="20" t="n">
        <v>44</v>
      </c>
      <c r="J1211" s="16" t="inlineStr">
        <is>
          <t>red</t>
        </is>
      </c>
      <c r="K1211" s="20" t="n">
        <v>34</v>
      </c>
      <c r="L1211" s="18" t="n">
        <v>33.27</v>
      </c>
      <c r="M1211" s="18" t="n">
        <v>218.4</v>
      </c>
      <c r="N1211" s="18" t="n">
        <v>224.9</v>
      </c>
      <c r="O1211" s="18" t="n">
        <v>217.13</v>
      </c>
      <c r="P1211" s="18" t="n">
        <v>261.86</v>
      </c>
      <c r="Q1211" s="18" t="n">
        <v>166.89</v>
      </c>
      <c r="R1211" s="21">
        <f>IF(OR(G1211="",P1211=""),"",G1211/P1211-1)</f>
        <v/>
      </c>
      <c r="S1211" s="19" t="n">
        <v>0.5371</v>
      </c>
      <c r="T1211" s="22" t="n">
        <v>0.003</v>
      </c>
      <c r="U1211" s="16" t="inlineStr">
        <is>
          <t>Yes</t>
        </is>
      </c>
      <c r="V1211" s="16" t="inlineStr">
        <is>
          <t>No</t>
        </is>
      </c>
      <c r="W1211" s="16" t="inlineStr">
        <is>
          <t>No</t>
        </is>
      </c>
      <c r="X1211" s="16" t="inlineStr">
        <is>
          <t>Yes</t>
        </is>
      </c>
      <c r="Y1211" s="20" t="n">
        <v>41</v>
      </c>
      <c r="Z1211" s="19" t="n">
        <v>0.0358</v>
      </c>
      <c r="AA1211" s="18" t="n">
        <v>67.87</v>
      </c>
      <c r="AB1211" s="16" t="inlineStr">
        <is>
          <t>High</t>
        </is>
      </c>
      <c r="AC1211" s="16" t="inlineStr">
        <is>
          <t>No</t>
        </is>
      </c>
      <c r="AD1211" s="19" t="n">
        <v>0.234</v>
      </c>
      <c r="AE1211" s="19" t="n">
        <v>0.2177</v>
      </c>
      <c r="AF1211" s="19" t="n">
        <v>0.0992</v>
      </c>
      <c r="AG1211" s="19" t="n">
        <v>0.3502</v>
      </c>
      <c r="AH1211" s="23" t="n">
        <v>0.28</v>
      </c>
      <c r="AI1211" s="23" t="n">
        <v>64.95</v>
      </c>
      <c r="AJ1211" s="19" t="n">
        <v>0</v>
      </c>
    </row>
    <row r="1212">
      <c r="A1212" s="16" t="inlineStr">
        <is>
          <t>TEAMLEASE</t>
        </is>
      </c>
      <c r="B1212" s="16" t="inlineStr">
        <is>
          <t>TeamLease Services Ltd.</t>
        </is>
      </c>
      <c r="C1212" s="16" t="inlineStr">
        <is>
          <t>Misc. Commercial Services</t>
        </is>
      </c>
      <c r="D1212" s="16" t="inlineStr">
        <is>
          <t>Commercial Services &amp; Supplies</t>
        </is>
      </c>
      <c r="E1212" s="16" t="inlineStr">
        <is>
          <t>INE985S01024</t>
        </is>
      </c>
      <c r="F1212" s="17" t="n">
        <v>2097.12</v>
      </c>
      <c r="G1212" s="18" t="n">
        <v>1250.6</v>
      </c>
      <c r="H1212" s="19" t="n">
        <v>0.0005</v>
      </c>
      <c r="I1212" s="20" t="n">
        <v>16</v>
      </c>
      <c r="J1212" s="16" t="inlineStr">
        <is>
          <t>red</t>
        </is>
      </c>
      <c r="K1212" s="20" t="n">
        <v>501</v>
      </c>
      <c r="L1212" s="18" t="n">
        <v>54.52</v>
      </c>
      <c r="M1212" s="18" t="n">
        <v>1259.44</v>
      </c>
      <c r="N1212" s="18" t="n">
        <v>1311.32</v>
      </c>
      <c r="O1212" s="18" t="n">
        <v>1370.64</v>
      </c>
      <c r="P1212" s="18" t="n">
        <v>1934</v>
      </c>
      <c r="Q1212" s="18" t="n">
        <v>1091.5</v>
      </c>
      <c r="R1212" s="21">
        <f>IF(OR(G1212="",P1212=""),"",G1212/P1212-1)</f>
        <v/>
      </c>
      <c r="S1212" s="19" t="n">
        <v>1.0186</v>
      </c>
      <c r="T1212" s="22" t="n">
        <v>-0.0325</v>
      </c>
      <c r="U1212" s="16" t="inlineStr">
        <is>
          <t>No</t>
        </is>
      </c>
      <c r="V1212" s="16" t="inlineStr">
        <is>
          <t>No</t>
        </is>
      </c>
      <c r="W1212" s="16" t="inlineStr">
        <is>
          <t>No</t>
        </is>
      </c>
      <c r="X1212" s="16" t="inlineStr">
        <is>
          <t>No</t>
        </is>
      </c>
      <c r="Y1212" s="20" t="n">
        <v>459</v>
      </c>
      <c r="Z1212" s="19" t="n">
        <v>-0.0433</v>
      </c>
      <c r="AA1212" s="18" t="n">
        <v>40</v>
      </c>
      <c r="AB1212" s="16" t="inlineStr">
        <is>
          <t>Weak</t>
        </is>
      </c>
      <c r="AC1212" s="16" t="inlineStr">
        <is>
          <t>No</t>
        </is>
      </c>
      <c r="AD1212" s="19" t="n">
        <v>0.1314</v>
      </c>
      <c r="AE1212" s="19" t="n">
        <v>0.1365</v>
      </c>
      <c r="AF1212" s="19" t="n">
        <v>-0.3169</v>
      </c>
      <c r="AG1212" s="19" t="n">
        <v>0.1466</v>
      </c>
      <c r="AH1212" s="23" t="n">
        <v>0.11</v>
      </c>
      <c r="AI1212" s="23" t="n">
        <v>130.53</v>
      </c>
      <c r="AJ1212" s="19" t="n">
        <v>0</v>
      </c>
    </row>
    <row r="1213">
      <c r="A1213" s="16" t="inlineStr">
        <is>
          <t>KCP</t>
        </is>
      </c>
      <c r="B1213" s="16" t="inlineStr">
        <is>
          <t>KCP Ltd.</t>
        </is>
      </c>
      <c r="C1213" s="16" t="inlineStr">
        <is>
          <t>Cement &amp; Cement Products</t>
        </is>
      </c>
      <c r="D1213" s="16" t="inlineStr">
        <is>
          <t>Cement and Construction</t>
        </is>
      </c>
      <c r="E1213" s="16" t="inlineStr">
        <is>
          <t>INE805C01028</t>
        </is>
      </c>
      <c r="F1213" s="17" t="n">
        <v>2093.42</v>
      </c>
      <c r="G1213" s="18" t="n">
        <v>162.38</v>
      </c>
      <c r="H1213" s="19" t="n">
        <v>-0.0344</v>
      </c>
      <c r="I1213" s="20" t="n">
        <v>28</v>
      </c>
      <c r="J1213" s="16" t="inlineStr">
        <is>
          <t>red</t>
        </is>
      </c>
      <c r="K1213" s="20" t="n">
        <v>319</v>
      </c>
      <c r="L1213" s="18" t="n">
        <v>56.6</v>
      </c>
      <c r="M1213" s="18" t="n">
        <v>167.67</v>
      </c>
      <c r="N1213" s="18" t="n">
        <v>163.62</v>
      </c>
      <c r="O1213" s="18" t="n">
        <v>165.68</v>
      </c>
      <c r="P1213" s="18" t="n">
        <v>205.21</v>
      </c>
      <c r="Q1213" s="18" t="n">
        <v>124.8</v>
      </c>
      <c r="R1213" s="21">
        <f>IF(OR(G1213="",P1213=""),"",G1213/P1213-1)</f>
        <v/>
      </c>
      <c r="S1213" s="19" t="n">
        <v>0.9173</v>
      </c>
      <c r="T1213" s="22" t="n">
        <v>-0.0202</v>
      </c>
      <c r="U1213" s="16" t="inlineStr">
        <is>
          <t>No</t>
        </is>
      </c>
      <c r="V1213" s="16" t="inlineStr">
        <is>
          <t>No</t>
        </is>
      </c>
      <c r="W1213" s="16" t="inlineStr">
        <is>
          <t>No</t>
        </is>
      </c>
      <c r="X1213" s="16" t="inlineStr">
        <is>
          <t>No</t>
        </is>
      </c>
      <c r="Y1213" s="20" t="n">
        <v>387</v>
      </c>
      <c r="Z1213" s="19" t="n">
        <v>-0.0124</v>
      </c>
      <c r="AA1213" s="18" t="n">
        <v>50.46</v>
      </c>
      <c r="AB1213" s="16" t="inlineStr">
        <is>
          <t>Average</t>
        </is>
      </c>
      <c r="AC1213" s="16" t="inlineStr">
        <is>
          <t>No</t>
        </is>
      </c>
      <c r="AD1213" s="19" t="n">
        <v>0.1134</v>
      </c>
      <c r="AE1213" s="19" t="n">
        <v>0.1476</v>
      </c>
      <c r="AF1213" s="19" t="n">
        <v>0.7651</v>
      </c>
      <c r="AG1213" s="19" t="n">
        <v>0.0563</v>
      </c>
      <c r="AH1213" s="23" t="n">
        <v>0.37</v>
      </c>
      <c r="AI1213" s="23" t="n">
        <v>2.01</v>
      </c>
      <c r="AJ1213" s="19" t="n">
        <v>0.3161</v>
      </c>
    </row>
    <row r="1214">
      <c r="A1214" s="16" t="inlineStr">
        <is>
          <t>SHK</t>
        </is>
      </c>
      <c r="B1214" s="16" t="inlineStr">
        <is>
          <t>S H Kelkar &amp; Company Ltd.</t>
        </is>
      </c>
      <c r="C1214" s="16" t="inlineStr">
        <is>
          <t>Personal Products</t>
        </is>
      </c>
      <c r="D1214" s="16" t="inlineStr">
        <is>
          <t>FMCG</t>
        </is>
      </c>
      <c r="E1214" s="16" t="inlineStr">
        <is>
          <t>INE500L01026</t>
        </is>
      </c>
      <c r="F1214" s="17" t="n">
        <v>2088.35</v>
      </c>
      <c r="G1214" s="18" t="n">
        <v>150.87</v>
      </c>
      <c r="H1214" s="19" t="n">
        <v>0.0049</v>
      </c>
      <c r="I1214" s="20" t="n">
        <v>40</v>
      </c>
      <c r="J1214" s="16" t="inlineStr">
        <is>
          <t>red</t>
        </is>
      </c>
      <c r="K1214" s="20" t="n">
        <v>232</v>
      </c>
      <c r="L1214" s="18" t="n">
        <v>23.49</v>
      </c>
      <c r="M1214" s="18" t="n">
        <v>151.12</v>
      </c>
      <c r="N1214" s="18" t="n">
        <v>149.04</v>
      </c>
      <c r="O1214" s="18" t="n">
        <v>148.7</v>
      </c>
      <c r="P1214" s="18" t="n">
        <v>265.22</v>
      </c>
      <c r="Q1214" s="18" t="n">
        <v>112.34</v>
      </c>
      <c r="R1214" s="21">
        <f>IF(OR(G1214="",P1214=""),"",G1214/P1214-1)</f>
        <v/>
      </c>
      <c r="S1214" s="19" t="n">
        <v>0.3751</v>
      </c>
      <c r="T1214" s="22" t="n">
        <v>-0.0292</v>
      </c>
      <c r="U1214" s="16" t="inlineStr">
        <is>
          <t>No</t>
        </is>
      </c>
      <c r="V1214" s="16" t="inlineStr">
        <is>
          <t>Yes</t>
        </is>
      </c>
      <c r="W1214" s="16" t="inlineStr">
        <is>
          <t>No</t>
        </is>
      </c>
      <c r="X1214" s="16" t="inlineStr">
        <is>
          <t>Yes</t>
        </is>
      </c>
      <c r="Y1214" s="20" t="n">
        <v>1</v>
      </c>
      <c r="Z1214" s="19" t="n">
        <v>0.0023</v>
      </c>
      <c r="AA1214" s="18" t="n">
        <v>36.94</v>
      </c>
      <c r="AB1214" s="16" t="inlineStr">
        <is>
          <t>Weak</t>
        </is>
      </c>
      <c r="AC1214" s="16" t="inlineStr">
        <is>
          <t>No</t>
        </is>
      </c>
      <c r="AD1214" s="19" t="n">
        <v>0.0698</v>
      </c>
      <c r="AE1214" s="19" t="n">
        <v>0.0862</v>
      </c>
      <c r="AF1214" s="19" t="n">
        <v>0.1692</v>
      </c>
      <c r="AG1214" s="19" t="n">
        <v>0.1207</v>
      </c>
      <c r="AH1214" s="23" t="n">
        <v>0.76</v>
      </c>
      <c r="AI1214" s="23" t="n">
        <v>3.09</v>
      </c>
      <c r="AJ1214" s="19" t="n">
        <v>0.1573</v>
      </c>
    </row>
    <row r="1215">
      <c r="A1215" s="16" t="inlineStr">
        <is>
          <t>TAJGVK</t>
        </is>
      </c>
      <c r="B1215" s="16" t="inlineStr">
        <is>
          <t>Taj GVK Hotels &amp; Resorts Ltd.</t>
        </is>
      </c>
      <c r="C1215" s="16" t="inlineStr">
        <is>
          <t>Hotels</t>
        </is>
      </c>
      <c r="D1215" s="16" t="inlineStr">
        <is>
          <t>Hotels Restaurants &amp; Tourism</t>
        </is>
      </c>
      <c r="E1215" s="16" t="inlineStr">
        <is>
          <t>INE586B01026</t>
        </is>
      </c>
      <c r="F1215" s="17" t="n">
        <v>2085.14</v>
      </c>
      <c r="G1215" s="18" t="n">
        <v>332.55</v>
      </c>
      <c r="H1215" s="19" t="n">
        <v>-0.0037</v>
      </c>
      <c r="I1215" s="20" t="n">
        <v>27</v>
      </c>
      <c r="J1215" s="16" t="inlineStr">
        <is>
          <t>red</t>
        </is>
      </c>
      <c r="K1215" s="20" t="n">
        <v>159</v>
      </c>
      <c r="L1215" s="18" t="n">
        <v>47.91</v>
      </c>
      <c r="M1215" s="18" t="n">
        <v>335.93</v>
      </c>
      <c r="N1215" s="18" t="n">
        <v>350.02</v>
      </c>
      <c r="O1215" s="18" t="n">
        <v>350.19</v>
      </c>
      <c r="P1215" s="18" t="n">
        <v>482.16</v>
      </c>
      <c r="Q1215" s="18" t="n">
        <v>283.25</v>
      </c>
      <c r="R1215" s="21">
        <f>IF(OR(G1215="",P1215=""),"",G1215/P1215-1)</f>
        <v/>
      </c>
      <c r="S1215" s="19" t="n">
        <v>1.524</v>
      </c>
      <c r="T1215" s="22" t="n">
        <v>-0.0187</v>
      </c>
      <c r="U1215" s="16" t="inlineStr">
        <is>
          <t>No</t>
        </is>
      </c>
      <c r="V1215" s="16" t="inlineStr">
        <is>
          <t>No</t>
        </is>
      </c>
      <c r="W1215" s="16" t="inlineStr">
        <is>
          <t>No</t>
        </is>
      </c>
      <c r="X1215" s="16" t="inlineStr">
        <is>
          <t>No</t>
        </is>
      </c>
      <c r="Y1215" s="20" t="n">
        <v>209</v>
      </c>
      <c r="Z1215" s="19" t="n">
        <v>-0.0005</v>
      </c>
      <c r="AA1215" s="18" t="n">
        <v>68.06</v>
      </c>
      <c r="AB1215" s="16" t="inlineStr">
        <is>
          <t>High</t>
        </is>
      </c>
      <c r="AC1215" s="16" t="inlineStr">
        <is>
          <t>No</t>
        </is>
      </c>
      <c r="AD1215" s="19" t="n">
        <v>0.2384</v>
      </c>
      <c r="AE1215" s="19" t="n">
        <v>0.25</v>
      </c>
      <c r="AF1215" s="19" t="n">
        <v>0.9769</v>
      </c>
      <c r="AG1215" s="19" t="n">
        <v>0.1045</v>
      </c>
      <c r="AH1215" s="23" t="n">
        <v>0.13</v>
      </c>
      <c r="AI1215" s="23" t="n">
        <v>0.61</v>
      </c>
      <c r="AJ1215" s="19" t="n">
        <v>0.3832</v>
      </c>
    </row>
    <row r="1216">
      <c r="A1216" s="16" t="inlineStr">
        <is>
          <t>GHVINFRA</t>
        </is>
      </c>
      <c r="B1216" s="16" t="inlineStr">
        <is>
          <t>GHV Infra Projects Ltd.</t>
        </is>
      </c>
      <c r="C1216" s="16" t="inlineStr">
        <is>
          <t>IT Consulting &amp; Software</t>
        </is>
      </c>
      <c r="D1216" s="16" t="inlineStr">
        <is>
          <t>Software &amp; Services</t>
        </is>
      </c>
      <c r="E1216" s="16" t="inlineStr">
        <is>
          <t>INE809Q01020</t>
        </is>
      </c>
      <c r="F1216" s="17" t="n">
        <v>2082.61</v>
      </c>
      <c r="G1216" s="18" t="n">
        <v>288.95</v>
      </c>
      <c r="H1216" s="19" t="n">
        <v>0.0026</v>
      </c>
      <c r="I1216" s="20" t="n">
        <v>55</v>
      </c>
      <c r="J1216" s="16" t="inlineStr">
        <is>
          <t>red</t>
        </is>
      </c>
      <c r="K1216" s="20" t="n">
        <v>25</v>
      </c>
      <c r="L1216" s="18" t="n">
        <v>75.91</v>
      </c>
      <c r="M1216" s="18" t="n">
        <v>288.54</v>
      </c>
      <c r="N1216" s="18" t="n">
        <v>253.75</v>
      </c>
      <c r="O1216" s="18" t="n">
        <v>268.98</v>
      </c>
      <c r="P1216" s="18" t="n">
        <v>351.4</v>
      </c>
      <c r="Q1216" s="18" t="n">
        <v>182.4</v>
      </c>
      <c r="R1216" s="21">
        <f>IF(OR(G1216="",P1216=""),"",G1216/P1216-1)</f>
        <v/>
      </c>
      <c r="S1216" s="19" t="n">
        <v>0.06909999999999999</v>
      </c>
      <c r="T1216" s="22" t="n">
        <v>-0.0148</v>
      </c>
      <c r="U1216" s="16" t="inlineStr">
        <is>
          <t>No</t>
        </is>
      </c>
      <c r="V1216" s="16" t="inlineStr">
        <is>
          <t>Yes</t>
        </is>
      </c>
      <c r="W1216" s="16" t="inlineStr">
        <is>
          <t>Yes</t>
        </is>
      </c>
      <c r="X1216" s="16" t="inlineStr">
        <is>
          <t>No</t>
        </is>
      </c>
      <c r="Y1216" s="20" t="n">
        <v>86</v>
      </c>
      <c r="Z1216" s="19" t="n">
        <v>-0.0566</v>
      </c>
      <c r="AA1216" s="18" t="n"/>
      <c r="AB1216" s="16" t="n"/>
      <c r="AC1216" s="16" t="inlineStr">
        <is>
          <t>No</t>
        </is>
      </c>
      <c r="AD1216" s="19" t="n"/>
      <c r="AE1216" s="19" t="n"/>
      <c r="AF1216" s="19" t="n"/>
      <c r="AG1216" s="19" t="n"/>
      <c r="AH1216" s="23" t="n"/>
      <c r="AI1216" s="23" t="n"/>
      <c r="AJ1216" s="19" t="n"/>
    </row>
    <row r="1217">
      <c r="A1217" s="16" t="inlineStr">
        <is>
          <t>NELCO</t>
        </is>
      </c>
      <c r="B1217" s="16" t="inlineStr">
        <is>
          <t>Nelco Ltd.</t>
        </is>
      </c>
      <c r="C1217" s="16" t="inlineStr">
        <is>
          <t>IT Networking Equipment</t>
        </is>
      </c>
      <c r="D1217" s="16" t="inlineStr">
        <is>
          <t>Hardware Technology &amp; Equipment</t>
        </is>
      </c>
      <c r="E1217" s="16" t="inlineStr">
        <is>
          <t>INE045B01015</t>
        </is>
      </c>
      <c r="F1217" s="17" t="n">
        <v>2079.33</v>
      </c>
      <c r="G1217" s="18" t="n">
        <v>911.25</v>
      </c>
      <c r="H1217" s="19" t="n">
        <v>-0.0241</v>
      </c>
      <c r="I1217" s="20" t="n">
        <v>73</v>
      </c>
      <c r="J1217" s="16" t="inlineStr">
        <is>
          <t>amber</t>
        </is>
      </c>
      <c r="K1217" s="20" t="n">
        <v>14</v>
      </c>
      <c r="L1217" s="18" t="n">
        <v>21.8</v>
      </c>
      <c r="M1217" s="18" t="n">
        <v>938.51</v>
      </c>
      <c r="N1217" s="18" t="n">
        <v>939.79</v>
      </c>
      <c r="O1217" s="18" t="n">
        <v>753.52</v>
      </c>
      <c r="P1217" s="18" t="n">
        <v>1081.5</v>
      </c>
      <c r="Q1217" s="18" t="n">
        <v>505.36</v>
      </c>
      <c r="R1217" s="21">
        <f>IF(OR(G1217="",P1217=""),"",G1217/P1217-1)</f>
        <v/>
      </c>
      <c r="S1217" s="19" t="n">
        <v>0.3076</v>
      </c>
      <c r="T1217" s="22" t="n">
        <v>0.0135</v>
      </c>
      <c r="U1217" s="16" t="inlineStr">
        <is>
          <t>Yes</t>
        </is>
      </c>
      <c r="V1217" s="16" t="inlineStr">
        <is>
          <t>No</t>
        </is>
      </c>
      <c r="W1217" s="16" t="inlineStr">
        <is>
          <t>No</t>
        </is>
      </c>
      <c r="X1217" s="16" t="inlineStr">
        <is>
          <t>Yes</t>
        </is>
      </c>
      <c r="Y1217" s="20" t="n">
        <v>47</v>
      </c>
      <c r="Z1217" s="19" t="n">
        <v>0.2472</v>
      </c>
      <c r="AA1217" s="18" t="n">
        <v>33.79</v>
      </c>
      <c r="AB1217" s="16" t="inlineStr">
        <is>
          <t>Poor</t>
        </is>
      </c>
      <c r="AC1217" s="16" t="inlineStr">
        <is>
          <t>No</t>
        </is>
      </c>
      <c r="AD1217" s="19" t="n">
        <v>0.0973</v>
      </c>
      <c r="AE1217" s="19" t="n">
        <v>0.1362</v>
      </c>
      <c r="AF1217" s="19" t="n">
        <v>-0.3527</v>
      </c>
      <c r="AG1217" s="19" t="n">
        <v>-0.0063</v>
      </c>
      <c r="AH1217" s="23" t="n">
        <v>0.57</v>
      </c>
      <c r="AI1217" s="23" t="n">
        <v>2.7</v>
      </c>
      <c r="AJ1217" s="19" t="n">
        <v>0.3656</v>
      </c>
    </row>
    <row r="1218">
      <c r="A1218" s="16" t="inlineStr">
        <is>
          <t>BLUSPRING</t>
        </is>
      </c>
      <c r="B1218" s="16" t="inlineStr">
        <is>
          <t>Bluspring Enterprises Ltd.</t>
        </is>
      </c>
      <c r="C1218" s="16" t="inlineStr">
        <is>
          <t>Misc. Commercial Services</t>
        </is>
      </c>
      <c r="D1218" s="16" t="inlineStr">
        <is>
          <t>Commercial Services &amp; Supplies</t>
        </is>
      </c>
      <c r="E1218" s="16" t="inlineStr">
        <is>
          <t>INE0U4101014</t>
        </is>
      </c>
      <c r="F1218" s="17" t="n">
        <v>2077.48</v>
      </c>
      <c r="G1218" s="18" t="n">
        <v>138.96</v>
      </c>
      <c r="H1218" s="19" t="n">
        <v>0.0351</v>
      </c>
      <c r="I1218" s="20" t="n">
        <v>94</v>
      </c>
      <c r="J1218" s="16" t="inlineStr">
        <is>
          <t>green</t>
        </is>
      </c>
      <c r="K1218" s="20" t="n">
        <v>70</v>
      </c>
      <c r="L1218" s="18" t="n">
        <v>72.59</v>
      </c>
      <c r="M1218" s="18" t="n">
        <v>130.08</v>
      </c>
      <c r="N1218" s="18" t="n">
        <v>116.73</v>
      </c>
      <c r="O1218" s="18" t="n">
        <v>79.48999999999999</v>
      </c>
      <c r="P1218" s="18" t="n">
        <v>138.96</v>
      </c>
      <c r="Q1218" s="18" t="n">
        <v>44.72</v>
      </c>
      <c r="R1218" s="21">
        <f>IF(OR(G1218="",P1218=""),"",G1218/P1218-1)</f>
        <v/>
      </c>
      <c r="S1218" s="19" t="n">
        <v>1.0428</v>
      </c>
      <c r="T1218" s="22" t="n">
        <v>0.0601</v>
      </c>
      <c r="U1218" s="16" t="inlineStr">
        <is>
          <t>Yes</t>
        </is>
      </c>
      <c r="V1218" s="16" t="inlineStr">
        <is>
          <t>Yes</t>
        </is>
      </c>
      <c r="W1218" s="16" t="inlineStr">
        <is>
          <t>Yes</t>
        </is>
      </c>
      <c r="X1218" s="16" t="inlineStr">
        <is>
          <t>Yes</t>
        </is>
      </c>
      <c r="Y1218" s="20" t="n">
        <v>63</v>
      </c>
      <c r="Z1218" s="19" t="n">
        <v>0.4685</v>
      </c>
      <c r="AA1218" s="18" t="n">
        <v>33.56</v>
      </c>
      <c r="AB1218" s="16" t="inlineStr">
        <is>
          <t>Poor</t>
        </is>
      </c>
      <c r="AC1218" s="16" t="inlineStr">
        <is>
          <t>No</t>
        </is>
      </c>
      <c r="AD1218" s="19" t="n">
        <v>-0.023</v>
      </c>
      <c r="AE1218" s="19" t="n">
        <v>0.0117</v>
      </c>
      <c r="AF1218" s="19" t="n"/>
      <c r="AG1218" s="19" t="n"/>
      <c r="AH1218" s="23" t="n">
        <v>0.2</v>
      </c>
      <c r="AI1218" s="23" t="n">
        <v>42.37</v>
      </c>
      <c r="AJ1218" s="19" t="n">
        <v>0</v>
      </c>
    </row>
    <row r="1219">
      <c r="A1219" s="16" t="inlineStr">
        <is>
          <t>NIBE</t>
        </is>
      </c>
      <c r="B1219" s="16" t="inlineStr">
        <is>
          <t>NIBE Ltd.</t>
        </is>
      </c>
      <c r="C1219" s="16" t="inlineStr">
        <is>
          <t>Aerospace &amp; Defence</t>
        </is>
      </c>
      <c r="D1219" s="16" t="inlineStr">
        <is>
          <t>General Industrials</t>
        </is>
      </c>
      <c r="E1219" s="16" t="inlineStr">
        <is>
          <t>INE149O01018</t>
        </is>
      </c>
      <c r="F1219" s="17" t="n">
        <v>2071.97</v>
      </c>
      <c r="G1219" s="18" t="n">
        <v>1336.6</v>
      </c>
      <c r="H1219" s="19" t="n">
        <v>0.011</v>
      </c>
      <c r="I1219" s="20" t="n">
        <v>56</v>
      </c>
      <c r="J1219" s="16" t="inlineStr">
        <is>
          <t>red</t>
        </is>
      </c>
      <c r="K1219" s="20" t="n">
        <v>5</v>
      </c>
      <c r="L1219" s="18" t="n">
        <v>36.03</v>
      </c>
      <c r="M1219" s="18" t="n">
        <v>1364.74</v>
      </c>
      <c r="N1219" s="18" t="n">
        <v>1477.88</v>
      </c>
      <c r="O1219" s="18" t="n">
        <v>1229.41</v>
      </c>
      <c r="P1219" s="18" t="n">
        <v>1835.3</v>
      </c>
      <c r="Q1219" s="18" t="n">
        <v>817.2</v>
      </c>
      <c r="R1219" s="21">
        <f>IF(OR(G1219="",P1219=""),"",G1219/P1219-1)</f>
        <v/>
      </c>
      <c r="S1219" s="19" t="n">
        <v>0.417</v>
      </c>
      <c r="T1219" s="22" t="n">
        <v>0.0176</v>
      </c>
      <c r="U1219" s="16" t="inlineStr">
        <is>
          <t>Yes</t>
        </is>
      </c>
      <c r="V1219" s="16" t="inlineStr">
        <is>
          <t>No</t>
        </is>
      </c>
      <c r="W1219" s="16" t="inlineStr">
        <is>
          <t>No</t>
        </is>
      </c>
      <c r="X1219" s="16" t="inlineStr">
        <is>
          <t>Yes</t>
        </is>
      </c>
      <c r="Y1219" s="20" t="n">
        <v>63</v>
      </c>
      <c r="Z1219" s="19" t="n">
        <v>0.2021</v>
      </c>
      <c r="AA1219" s="18" t="n">
        <v>56.21</v>
      </c>
      <c r="AB1219" s="16" t="inlineStr">
        <is>
          <t>Good</t>
        </is>
      </c>
      <c r="AC1219" s="16" t="inlineStr">
        <is>
          <t>No</t>
        </is>
      </c>
      <c r="AD1219" s="19" t="n">
        <v>0.08310000000000001</v>
      </c>
      <c r="AE1219" s="19" t="n">
        <v>0.1101</v>
      </c>
      <c r="AF1219" s="19" t="n">
        <v>2.8072</v>
      </c>
      <c r="AG1219" s="19" t="n">
        <v>0.8039000000000001</v>
      </c>
      <c r="AH1219" s="23" t="n">
        <v>0.34</v>
      </c>
      <c r="AI1219" s="23" t="n">
        <v>1.91</v>
      </c>
      <c r="AJ1219" s="19" t="n">
        <v>0.2511</v>
      </c>
    </row>
    <row r="1220">
      <c r="A1220" s="16" t="inlineStr">
        <is>
          <t>MODINSU</t>
        </is>
      </c>
      <c r="B1220" s="16" t="inlineStr">
        <is>
          <t>Modern Insulators Ltd.</t>
        </is>
      </c>
      <c r="C1220" s="16" t="inlineStr">
        <is>
          <t>Other Electrical Equipment/Products</t>
        </is>
      </c>
      <c r="D1220" s="16" t="inlineStr">
        <is>
          <t>Consumer Durables</t>
        </is>
      </c>
      <c r="E1220" s="16" t="inlineStr">
        <is>
          <t>INE219W01012</t>
        </is>
      </c>
      <c r="F1220" s="17" t="n">
        <v>2063.49</v>
      </c>
      <c r="G1220" s="18" t="n">
        <v>437.7</v>
      </c>
      <c r="H1220" s="19" t="n">
        <v>0.0177</v>
      </c>
      <c r="I1220" s="20" t="n">
        <v>96</v>
      </c>
      <c r="J1220" s="16" t="inlineStr">
        <is>
          <t>green</t>
        </is>
      </c>
      <c r="K1220" s="20" t="n">
        <v>220</v>
      </c>
      <c r="L1220" s="18" t="n">
        <v>44.38</v>
      </c>
      <c r="M1220" s="18" t="n">
        <v>418.79</v>
      </c>
      <c r="N1220" s="18" t="n">
        <v>480.77</v>
      </c>
      <c r="O1220" s="18" t="n">
        <v>328.18</v>
      </c>
      <c r="P1220" s="18" t="n">
        <v>571.5</v>
      </c>
      <c r="Q1220" s="18" t="n">
        <v>115.5</v>
      </c>
      <c r="R1220" s="21">
        <f>IF(OR(G1220="",P1220=""),"",G1220/P1220-1)</f>
        <v/>
      </c>
      <c r="S1220" s="19" t="n">
        <v>1.1187</v>
      </c>
      <c r="T1220" s="22" t="n">
        <v>0.09390000000000001</v>
      </c>
      <c r="U1220" s="16" t="inlineStr">
        <is>
          <t>Yes</t>
        </is>
      </c>
      <c r="V1220" s="16" t="inlineStr">
        <is>
          <t>No</t>
        </is>
      </c>
      <c r="W1220" s="16" t="inlineStr">
        <is>
          <t>Yes</t>
        </is>
      </c>
      <c r="X1220" s="16" t="inlineStr">
        <is>
          <t>Yes</t>
        </is>
      </c>
      <c r="Y1220" s="20" t="n">
        <v>232</v>
      </c>
      <c r="Z1220" s="19" t="n">
        <v>0.465</v>
      </c>
      <c r="AA1220" s="18" t="n"/>
      <c r="AB1220" s="16" t="n"/>
      <c r="AC1220" s="16" t="inlineStr">
        <is>
          <t>No</t>
        </is>
      </c>
      <c r="AD1220" s="19" t="n"/>
      <c r="AE1220" s="19" t="n"/>
      <c r="AF1220" s="19" t="n"/>
      <c r="AG1220" s="19" t="n"/>
      <c r="AH1220" s="23" t="n"/>
      <c r="AI1220" s="23" t="n"/>
      <c r="AJ1220" s="19" t="n"/>
    </row>
    <row r="1221">
      <c r="A1221" s="16" t="inlineStr">
        <is>
          <t>HONDAPOWER</t>
        </is>
      </c>
      <c r="B1221" s="16" t="inlineStr">
        <is>
          <t>Honda India Power Products Ltd.</t>
        </is>
      </c>
      <c r="C1221" s="16" t="inlineStr">
        <is>
          <t>Industrial Machinery</t>
        </is>
      </c>
      <c r="D1221" s="16" t="inlineStr">
        <is>
          <t>General Industrials</t>
        </is>
      </c>
      <c r="E1221" s="16" t="inlineStr">
        <is>
          <t>INE634A01018</t>
        </is>
      </c>
      <c r="F1221" s="17" t="n">
        <v>2053.57</v>
      </c>
      <c r="G1221" s="18" t="n">
        <v>2024.6</v>
      </c>
      <c r="H1221" s="19" t="n">
        <v>0.0192</v>
      </c>
      <c r="I1221" s="20" t="n">
        <v>19</v>
      </c>
      <c r="J1221" s="16" t="inlineStr">
        <is>
          <t>red</t>
        </is>
      </c>
      <c r="K1221" s="20" t="n">
        <v>233</v>
      </c>
      <c r="L1221" s="18" t="n">
        <v>28.5</v>
      </c>
      <c r="M1221" s="18" t="n">
        <v>2023.46</v>
      </c>
      <c r="N1221" s="18" t="n">
        <v>2083.92</v>
      </c>
      <c r="O1221" s="18" t="n">
        <v>2167.12</v>
      </c>
      <c r="P1221" s="18" t="n">
        <v>2859.66</v>
      </c>
      <c r="Q1221" s="18" t="n">
        <v>1827.08</v>
      </c>
      <c r="R1221" s="21">
        <f>IF(OR(G1221="",P1221=""),"",G1221/P1221-1)</f>
        <v/>
      </c>
      <c r="S1221" s="19" t="n">
        <v>0.6793</v>
      </c>
      <c r="T1221" s="22" t="n">
        <v>-0.0231</v>
      </c>
      <c r="U1221" s="16" t="inlineStr">
        <is>
          <t>No</t>
        </is>
      </c>
      <c r="V1221" s="16" t="inlineStr">
        <is>
          <t>No</t>
        </is>
      </c>
      <c r="W1221" s="16" t="inlineStr">
        <is>
          <t>Yes</t>
        </is>
      </c>
      <c r="X1221" s="16" t="inlineStr">
        <is>
          <t>No</t>
        </is>
      </c>
      <c r="Y1221" s="20" t="n">
        <v>178</v>
      </c>
      <c r="Z1221" s="19" t="n">
        <v>-0.0384</v>
      </c>
      <c r="AA1221" s="18" t="n">
        <v>40</v>
      </c>
      <c r="AB1221" s="16" t="inlineStr">
        <is>
          <t>Weak</t>
        </is>
      </c>
      <c r="AC1221" s="16" t="inlineStr">
        <is>
          <t>No</t>
        </is>
      </c>
      <c r="AD1221" s="19" t="n">
        <v>0.09539999999999998</v>
      </c>
      <c r="AE1221" s="19" t="n">
        <v>0.1282</v>
      </c>
      <c r="AF1221" s="19" t="n">
        <v>-0.0819</v>
      </c>
      <c r="AG1221" s="19" t="n">
        <v>-0.1027</v>
      </c>
      <c r="AH1221" s="23" t="n">
        <v>0</v>
      </c>
      <c r="AI1221" s="23" t="n">
        <v>4.85</v>
      </c>
      <c r="AJ1221" s="19" t="n">
        <v>0.2719</v>
      </c>
    </row>
    <row r="1222">
      <c r="A1222" s="16" t="inlineStr">
        <is>
          <t>SAKSOFT</t>
        </is>
      </c>
      <c r="B1222" s="16" t="inlineStr">
        <is>
          <t>Saksoft Ltd.</t>
        </is>
      </c>
      <c r="C1222" s="16" t="inlineStr">
        <is>
          <t>IT Consulting &amp; Software</t>
        </is>
      </c>
      <c r="D1222" s="16" t="inlineStr">
        <is>
          <t>Software &amp; Services</t>
        </is>
      </c>
      <c r="E1222" s="16" t="inlineStr">
        <is>
          <t>INE667G01023</t>
        </is>
      </c>
      <c r="F1222" s="17" t="n">
        <v>2048.98</v>
      </c>
      <c r="G1222" s="18" t="n">
        <v>154.58</v>
      </c>
      <c r="H1222" s="19" t="n">
        <v>0.0058</v>
      </c>
      <c r="I1222" s="20" t="n">
        <v>34</v>
      </c>
      <c r="J1222" s="16" t="inlineStr">
        <is>
          <t>red</t>
        </is>
      </c>
      <c r="K1222" s="20" t="n">
        <v>47</v>
      </c>
      <c r="L1222" s="18" t="n">
        <v>33.19</v>
      </c>
      <c r="M1222" s="18" t="n">
        <v>156</v>
      </c>
      <c r="N1222" s="18" t="n">
        <v>169.34</v>
      </c>
      <c r="O1222" s="18" t="n">
        <v>161.1</v>
      </c>
      <c r="P1222" s="18" t="n">
        <v>219.62</v>
      </c>
      <c r="Q1222" s="18" t="n">
        <v>109.33</v>
      </c>
      <c r="R1222" s="21">
        <f>IF(OR(G1222="",P1222=""),"",G1222/P1222-1)</f>
        <v/>
      </c>
      <c r="S1222" s="19" t="n">
        <v>0.3587</v>
      </c>
      <c r="T1222" s="22" t="n">
        <v>-0.0221</v>
      </c>
      <c r="U1222" s="16" t="inlineStr">
        <is>
          <t>No</t>
        </is>
      </c>
      <c r="V1222" s="16" t="inlineStr">
        <is>
          <t>No</t>
        </is>
      </c>
      <c r="W1222" s="16" t="inlineStr">
        <is>
          <t>No</t>
        </is>
      </c>
      <c r="X1222" s="16" t="inlineStr">
        <is>
          <t>Yes</t>
        </is>
      </c>
      <c r="Y1222" s="20" t="n">
        <v>16</v>
      </c>
      <c r="Z1222" s="19" t="n">
        <v>0.05110000000000001</v>
      </c>
      <c r="AA1222" s="18" t="n">
        <v>69.34999999999999</v>
      </c>
      <c r="AB1222" s="16" t="inlineStr">
        <is>
          <t>High</t>
        </is>
      </c>
      <c r="AC1222" s="16" t="inlineStr">
        <is>
          <t>No</t>
        </is>
      </c>
      <c r="AD1222" s="19" t="n">
        <v>0.179</v>
      </c>
      <c r="AE1222" s="19" t="n">
        <v>0.2306</v>
      </c>
      <c r="AF1222" s="19" t="n">
        <v>0.1951</v>
      </c>
      <c r="AG1222" s="19" t="n">
        <v>0.1481</v>
      </c>
      <c r="AH1222" s="23" t="n">
        <v>0.06</v>
      </c>
      <c r="AI1222" s="23" t="n">
        <v>40.71</v>
      </c>
      <c r="AJ1222" s="19" t="n">
        <v>0</v>
      </c>
    </row>
    <row r="1223">
      <c r="A1223" s="16" t="inlineStr">
        <is>
          <t>HESTERBIO</t>
        </is>
      </c>
      <c r="B1223" s="16" t="inlineStr">
        <is>
          <t>Hester Biosciences Ltd.</t>
        </is>
      </c>
      <c r="C1223" s="16" t="inlineStr">
        <is>
          <t>Pharmaceuticals</t>
        </is>
      </c>
      <c r="D1223" s="16" t="inlineStr">
        <is>
          <t>Pharmaceuticals &amp; Biotechnology</t>
        </is>
      </c>
      <c r="E1223" s="16" t="inlineStr">
        <is>
          <t>INE782E01017</t>
        </is>
      </c>
      <c r="F1223" s="17" t="n">
        <v>2046.25</v>
      </c>
      <c r="G1223" s="18" t="n">
        <v>2405.4</v>
      </c>
      <c r="H1223" s="19" t="n">
        <v>0.0925</v>
      </c>
      <c r="I1223" s="20" t="n">
        <v>79</v>
      </c>
      <c r="J1223" s="16" t="inlineStr">
        <is>
          <t>amber</t>
        </is>
      </c>
      <c r="K1223" s="20" t="n">
        <v>8</v>
      </c>
      <c r="L1223" s="18" t="n">
        <v>49.1</v>
      </c>
      <c r="M1223" s="18" t="n">
        <v>2273.69</v>
      </c>
      <c r="N1223" s="18" t="n">
        <v>2359.41</v>
      </c>
      <c r="O1223" s="18" t="n">
        <v>1810.66</v>
      </c>
      <c r="P1223" s="18" t="n">
        <v>2534</v>
      </c>
      <c r="Q1223" s="18" t="n">
        <v>1253.66</v>
      </c>
      <c r="R1223" s="21">
        <f>IF(OR(G1223="",P1223=""),"",G1223/P1223-1)</f>
        <v/>
      </c>
      <c r="S1223" s="19" t="n">
        <v>3.8433</v>
      </c>
      <c r="T1223" s="22" t="n">
        <v>0.0417</v>
      </c>
      <c r="U1223" s="16" t="inlineStr">
        <is>
          <t>Yes</t>
        </is>
      </c>
      <c r="V1223" s="16" t="inlineStr">
        <is>
          <t>Yes</t>
        </is>
      </c>
      <c r="W1223" s="16" t="inlineStr">
        <is>
          <t>Yes</t>
        </is>
      </c>
      <c r="X1223" s="16" t="inlineStr">
        <is>
          <t>Yes</t>
        </is>
      </c>
      <c r="Y1223" s="20" t="n">
        <v>64</v>
      </c>
      <c r="Z1223" s="19" t="n">
        <v>0.3031</v>
      </c>
      <c r="AA1223" s="18" t="n">
        <v>37.35</v>
      </c>
      <c r="AB1223" s="16" t="inlineStr">
        <is>
          <t>Weak</t>
        </is>
      </c>
      <c r="AC1223" s="16" t="inlineStr">
        <is>
          <t>No</t>
        </is>
      </c>
      <c r="AD1223" s="19" t="n">
        <v>0.1022</v>
      </c>
      <c r="AE1223" s="19" t="n">
        <v>0.1058</v>
      </c>
      <c r="AF1223" s="19" t="n">
        <v>0.3963</v>
      </c>
      <c r="AG1223" s="19" t="n">
        <v>0.0784</v>
      </c>
      <c r="AH1223" s="23" t="n">
        <v>0.54</v>
      </c>
      <c r="AI1223" s="23" t="n">
        <v>0.8</v>
      </c>
      <c r="AJ1223" s="19" t="n">
        <v>0.0061</v>
      </c>
    </row>
    <row r="1224">
      <c r="A1224" s="16" t="inlineStr">
        <is>
          <t>OBSCP</t>
        </is>
      </c>
      <c r="B1224" s="16" t="inlineStr">
        <is>
          <t>OBSC Perfection Ltd.</t>
        </is>
      </c>
      <c r="C1224" s="16" t="inlineStr">
        <is>
          <t>Auto Parts &amp; Equipment</t>
        </is>
      </c>
      <c r="D1224" s="16" t="inlineStr">
        <is>
          <t>Automobiles &amp; Auto Components</t>
        </is>
      </c>
      <c r="E1224" s="16" t="inlineStr">
        <is>
          <t>INE0YHV01011</t>
        </is>
      </c>
      <c r="F1224" s="17" t="n">
        <v>2043.61</v>
      </c>
      <c r="G1224" s="18" t="n"/>
      <c r="H1224" s="19" t="n"/>
      <c r="I1224" s="20" t="n"/>
      <c r="J1224" s="16" t="n"/>
      <c r="K1224" s="20" t="n"/>
      <c r="L1224" s="18" t="n"/>
      <c r="M1224" s="18" t="n"/>
      <c r="N1224" s="18" t="n"/>
      <c r="O1224" s="18" t="n"/>
      <c r="P1224" s="18" t="n"/>
      <c r="Q1224" s="18" t="n"/>
      <c r="R1224" s="21">
        <f>IF(OR(G1224="",P1224=""),"",G1224/P1224-1)</f>
        <v/>
      </c>
      <c r="S1224" s="19" t="n"/>
      <c r="T1224" s="22" t="n"/>
      <c r="U1224" s="16" t="n"/>
      <c r="V1224" s="16" t="n"/>
      <c r="W1224" s="16" t="n"/>
      <c r="X1224" s="16" t="n"/>
      <c r="Y1224" s="20" t="n"/>
      <c r="Z1224" s="19" t="n"/>
      <c r="AA1224" s="18" t="n"/>
      <c r="AB1224" s="16" t="n"/>
      <c r="AC1224" s="16" t="inlineStr">
        <is>
          <t>No</t>
        </is>
      </c>
      <c r="AD1224" s="19" t="n"/>
      <c r="AE1224" s="19" t="n"/>
      <c r="AF1224" s="19" t="n"/>
      <c r="AG1224" s="19" t="n"/>
      <c r="AH1224" s="23" t="n"/>
      <c r="AI1224" s="23" t="n"/>
      <c r="AJ1224" s="19" t="n"/>
    </row>
    <row r="1225">
      <c r="A1225" s="16" t="inlineStr">
        <is>
          <t>BFUTILITIE</t>
        </is>
      </c>
      <c r="B1225" s="16" t="inlineStr">
        <is>
          <t>BF Utilities Ltd.</t>
        </is>
      </c>
      <c r="C1225" s="16" t="inlineStr">
        <is>
          <t>Power - Electric Utilities</t>
        </is>
      </c>
      <c r="D1225" s="16" t="inlineStr">
        <is>
          <t>Utilities</t>
        </is>
      </c>
      <c r="E1225" s="16" t="inlineStr">
        <is>
          <t>INE243D01012</t>
        </is>
      </c>
      <c r="F1225" s="17" t="n">
        <v>2043.28</v>
      </c>
      <c r="G1225" s="18" t="n">
        <v>542.45</v>
      </c>
      <c r="H1225" s="19" t="n">
        <v>-0.0028</v>
      </c>
      <c r="I1225" s="20" t="n">
        <v>19</v>
      </c>
      <c r="J1225" s="16" t="inlineStr">
        <is>
          <t>red</t>
        </is>
      </c>
      <c r="K1225" s="20" t="n">
        <v>52</v>
      </c>
      <c r="L1225" s="18" t="n">
        <v>48.63</v>
      </c>
      <c r="M1225" s="18" t="n">
        <v>515.21</v>
      </c>
      <c r="N1225" s="18" t="n">
        <v>563.8099999999999</v>
      </c>
      <c r="O1225" s="18" t="n">
        <v>560.1799999999999</v>
      </c>
      <c r="P1225" s="18" t="n">
        <v>857.65</v>
      </c>
      <c r="Q1225" s="18" t="n">
        <v>371.7</v>
      </c>
      <c r="R1225" s="21">
        <f>IF(OR(G1225="",P1225=""),"",G1225/P1225-1)</f>
        <v/>
      </c>
      <c r="S1225" s="19" t="n">
        <v>1.294</v>
      </c>
      <c r="T1225" s="22" t="n">
        <v>-0.031</v>
      </c>
      <c r="U1225" s="16" t="inlineStr">
        <is>
          <t>No</t>
        </is>
      </c>
      <c r="V1225" s="16" t="inlineStr">
        <is>
          <t>No</t>
        </is>
      </c>
      <c r="W1225" s="16" t="inlineStr">
        <is>
          <t>Yes</t>
        </is>
      </c>
      <c r="X1225" s="16" t="inlineStr">
        <is>
          <t>Yes</t>
        </is>
      </c>
      <c r="Y1225" s="20" t="n">
        <v>34</v>
      </c>
      <c r="Z1225" s="19" t="n">
        <v>0.006500000000000001</v>
      </c>
      <c r="AA1225" s="18" t="n">
        <v>28.33</v>
      </c>
      <c r="AB1225" s="16" t="inlineStr">
        <is>
          <t>Poor</t>
        </is>
      </c>
      <c r="AC1225" s="16" t="inlineStr">
        <is>
          <t>No</t>
        </is>
      </c>
      <c r="AD1225" s="19" t="n">
        <v>0.6774</v>
      </c>
      <c r="AE1225" s="19" t="n">
        <v>0.4027000000000001</v>
      </c>
      <c r="AF1225" s="19" t="n">
        <v>-0.4078</v>
      </c>
      <c r="AG1225" s="19" t="n">
        <v>0.0694</v>
      </c>
      <c r="AH1225" s="23" t="n">
        <v>4.62</v>
      </c>
      <c r="AI1225" s="23" t="n">
        <v>1.82</v>
      </c>
      <c r="AJ1225" s="19" t="n">
        <v>0.9415</v>
      </c>
    </row>
    <row r="1226">
      <c r="A1226" s="16" t="inlineStr">
        <is>
          <t>INDIANHUME</t>
        </is>
      </c>
      <c r="B1226" s="16" t="inlineStr">
        <is>
          <t>Indian Hume Pipe Company Ltd.</t>
        </is>
      </c>
      <c r="C1226" s="16" t="inlineStr">
        <is>
          <t>Cement &amp; Cement Products</t>
        </is>
      </c>
      <c r="D1226" s="16" t="inlineStr">
        <is>
          <t>Cement and Construction</t>
        </is>
      </c>
      <c r="E1226" s="16" t="inlineStr">
        <is>
          <t>INE323C01030</t>
        </is>
      </c>
      <c r="F1226" s="17" t="n">
        <v>2043</v>
      </c>
      <c r="G1226" s="18" t="n">
        <v>387.8</v>
      </c>
      <c r="H1226" s="19" t="n">
        <v>-0.0074</v>
      </c>
      <c r="I1226" s="20" t="n">
        <v>64</v>
      </c>
      <c r="J1226" s="16" t="inlineStr">
        <is>
          <t>amber</t>
        </is>
      </c>
      <c r="K1226" s="20" t="n">
        <v>11</v>
      </c>
      <c r="L1226" s="18" t="n">
        <v>63.94</v>
      </c>
      <c r="M1226" s="18" t="n">
        <v>386.31</v>
      </c>
      <c r="N1226" s="18" t="n">
        <v>377.54</v>
      </c>
      <c r="O1226" s="18" t="n">
        <v>355.78</v>
      </c>
      <c r="P1226" s="18" t="n">
        <v>419.65</v>
      </c>
      <c r="Q1226" s="18" t="n">
        <v>277.97</v>
      </c>
      <c r="R1226" s="21">
        <f>IF(OR(G1226="",P1226=""),"",G1226/P1226-1)</f>
        <v/>
      </c>
      <c r="S1226" s="19" t="n">
        <v>0.9895999999999999</v>
      </c>
      <c r="T1226" s="22" t="n">
        <v>0.0061</v>
      </c>
      <c r="U1226" s="16" t="inlineStr">
        <is>
          <t>Yes</t>
        </is>
      </c>
      <c r="V1226" s="16" t="inlineStr">
        <is>
          <t>Yes</t>
        </is>
      </c>
      <c r="W1226" s="16" t="inlineStr">
        <is>
          <t>Yes</t>
        </is>
      </c>
      <c r="X1226" s="16" t="inlineStr">
        <is>
          <t>Yes</t>
        </is>
      </c>
      <c r="Y1226" s="20" t="n">
        <v>16</v>
      </c>
      <c r="Z1226" s="19" t="n">
        <v>0.0612</v>
      </c>
      <c r="AA1226" s="18" t="n">
        <v>61.06</v>
      </c>
      <c r="AB1226" s="16" t="inlineStr">
        <is>
          <t>Good</t>
        </is>
      </c>
      <c r="AC1226" s="16" t="inlineStr">
        <is>
          <t>No</t>
        </is>
      </c>
      <c r="AD1226" s="19" t="n">
        <v>0.198</v>
      </c>
      <c r="AE1226" s="19" t="n">
        <v>0.212</v>
      </c>
      <c r="AF1226" s="19" t="n">
        <v>1.7888</v>
      </c>
      <c r="AG1226" s="19" t="n">
        <v>-0.0505</v>
      </c>
      <c r="AH1226" s="23" t="n">
        <v>0.28</v>
      </c>
      <c r="AI1226" s="23" t="n">
        <v>9.15</v>
      </c>
      <c r="AJ1226" s="19" t="n">
        <v>0.0091</v>
      </c>
    </row>
    <row r="1227">
      <c r="A1227" s="16" t="inlineStr">
        <is>
          <t>SAPL</t>
        </is>
      </c>
      <c r="B1227" s="16" t="inlineStr">
        <is>
          <t>SAR Auto Products Ltd.</t>
        </is>
      </c>
      <c r="C1227" s="16" t="inlineStr">
        <is>
          <t>Auto Parts &amp; Equipment</t>
        </is>
      </c>
      <c r="D1227" s="16" t="inlineStr">
        <is>
          <t>Automobiles &amp; Auto Components</t>
        </is>
      </c>
      <c r="E1227" s="16" t="inlineStr">
        <is>
          <t>INE002E01010</t>
        </is>
      </c>
      <c r="F1227" s="17" t="n">
        <v>2033.05</v>
      </c>
      <c r="G1227" s="18" t="n">
        <v>4266.9</v>
      </c>
      <c r="H1227" s="19" t="n">
        <v>0.0352</v>
      </c>
      <c r="I1227" s="20" t="n">
        <v>94</v>
      </c>
      <c r="J1227" s="16" t="inlineStr">
        <is>
          <t>green</t>
        </is>
      </c>
      <c r="K1227" s="20" t="n">
        <v>54</v>
      </c>
      <c r="L1227" s="18" t="n">
        <v>83.77</v>
      </c>
      <c r="M1227" s="18" t="n">
        <v>4109.94</v>
      </c>
      <c r="N1227" s="18" t="n">
        <v>3561.91</v>
      </c>
      <c r="O1227" s="18" t="n">
        <v>2490.51</v>
      </c>
      <c r="P1227" s="18" t="n">
        <v>4266.9</v>
      </c>
      <c r="Q1227" s="18" t="n">
        <v>1843</v>
      </c>
      <c r="R1227" s="21">
        <f>IF(OR(G1227="",P1227=""),"",G1227/P1227-1)</f>
        <v/>
      </c>
      <c r="S1227" s="19" t="n">
        <v>0.04480000000000001</v>
      </c>
      <c r="T1227" s="22" t="n">
        <v>0.0786</v>
      </c>
      <c r="U1227" s="16" t="inlineStr">
        <is>
          <t>Yes</t>
        </is>
      </c>
      <c r="V1227" s="16" t="inlineStr">
        <is>
          <t>Yes</t>
        </is>
      </c>
      <c r="W1227" s="16" t="inlineStr">
        <is>
          <t>Yes</t>
        </is>
      </c>
      <c r="X1227" s="16" t="inlineStr">
        <is>
          <t>Yes</t>
        </is>
      </c>
      <c r="Y1227" s="20" t="n">
        <v>237</v>
      </c>
      <c r="Z1227" s="19" t="n">
        <v>0.4302</v>
      </c>
      <c r="AA1227" s="18" t="n"/>
      <c r="AB1227" s="16" t="n"/>
      <c r="AC1227" s="16" t="inlineStr">
        <is>
          <t>No</t>
        </is>
      </c>
      <c r="AD1227" s="19" t="n"/>
      <c r="AE1227" s="19" t="n"/>
      <c r="AF1227" s="19" t="n"/>
      <c r="AG1227" s="19" t="n"/>
      <c r="AH1227" s="23" t="n"/>
      <c r="AI1227" s="23" t="n"/>
      <c r="AJ1227" s="19" t="n"/>
    </row>
    <row r="1228">
      <c r="A1228" s="16" t="inlineStr">
        <is>
          <t>CANTABIL</t>
        </is>
      </c>
      <c r="B1228" s="16" t="inlineStr">
        <is>
          <t>Cantabil Retail India Ltd.</t>
        </is>
      </c>
      <c r="C1228" s="16" t="inlineStr">
        <is>
          <t>Other Apparels &amp; Accessories</t>
        </is>
      </c>
      <c r="D1228" s="16" t="inlineStr">
        <is>
          <t>Textiles Apparels &amp; Accessories</t>
        </is>
      </c>
      <c r="E1228" s="16" t="inlineStr">
        <is>
          <t>INE068L01024</t>
        </is>
      </c>
      <c r="F1228" s="17" t="n">
        <v>2032.82</v>
      </c>
      <c r="G1228" s="18" t="n">
        <v>243.05</v>
      </c>
      <c r="H1228" s="19" t="n">
        <v>0.0223</v>
      </c>
      <c r="I1228" s="20" t="n">
        <v>44</v>
      </c>
      <c r="J1228" s="16" t="inlineStr">
        <is>
          <t>red</t>
        </is>
      </c>
      <c r="K1228" s="20" t="n">
        <v>108</v>
      </c>
      <c r="L1228" s="18" t="n">
        <v>57.63</v>
      </c>
      <c r="M1228" s="18" t="n">
        <v>242.1</v>
      </c>
      <c r="N1228" s="18" t="n">
        <v>243.98</v>
      </c>
      <c r="O1228" s="18" t="n">
        <v>249.8</v>
      </c>
      <c r="P1228" s="18" t="n">
        <v>309.23</v>
      </c>
      <c r="Q1228" s="18" t="n">
        <v>210.19</v>
      </c>
      <c r="R1228" s="21">
        <f>IF(OR(G1228="",P1228=""),"",G1228/P1228-1)</f>
        <v/>
      </c>
      <c r="S1228" s="19" t="n">
        <v>0.3833</v>
      </c>
      <c r="T1228" s="22" t="n">
        <v>-0.0052</v>
      </c>
      <c r="U1228" s="16" t="inlineStr">
        <is>
          <t>No</t>
        </is>
      </c>
      <c r="V1228" s="16" t="inlineStr">
        <is>
          <t>No</t>
        </is>
      </c>
      <c r="W1228" s="16" t="inlineStr">
        <is>
          <t>Yes</t>
        </is>
      </c>
      <c r="X1228" s="16" t="inlineStr">
        <is>
          <t>No</t>
        </is>
      </c>
      <c r="Y1228" s="20" t="n">
        <v>100</v>
      </c>
      <c r="Z1228" s="19" t="n">
        <v>-0.0233</v>
      </c>
      <c r="AA1228" s="18" t="n">
        <v>40</v>
      </c>
      <c r="AB1228" s="16" t="inlineStr">
        <is>
          <t>Weak</t>
        </is>
      </c>
      <c r="AC1228" s="16" t="inlineStr">
        <is>
          <t>No</t>
        </is>
      </c>
      <c r="AD1228" s="19" t="n">
        <v>0.1938</v>
      </c>
      <c r="AE1228" s="19" t="n">
        <v>0.1656</v>
      </c>
      <c r="AF1228" s="19" t="n">
        <v>-0.3</v>
      </c>
      <c r="AG1228" s="19" t="n">
        <v>0.1564</v>
      </c>
      <c r="AH1228" s="23" t="n">
        <v>1.14</v>
      </c>
      <c r="AI1228" s="23" t="n">
        <v>1.21</v>
      </c>
      <c r="AJ1228" s="19" t="n">
        <v>0.0158</v>
      </c>
    </row>
    <row r="1229">
      <c r="A1229" s="16" t="inlineStr">
        <is>
          <t>SANSTAR</t>
        </is>
      </c>
      <c r="B1229" s="16" t="inlineStr">
        <is>
          <t>Sanstar Ltd.</t>
        </is>
      </c>
      <c r="C1229" s="16" t="inlineStr">
        <is>
          <t>Other Food &amp; Beverages</t>
        </is>
      </c>
      <c r="D1229" s="16" t="inlineStr">
        <is>
          <t>Food, Beverages &amp; Tobacco</t>
        </is>
      </c>
      <c r="E1229" s="16" t="inlineStr">
        <is>
          <t>INE08NE01025</t>
        </is>
      </c>
      <c r="F1229" s="17" t="n">
        <v>2028.56</v>
      </c>
      <c r="G1229" s="18" t="n">
        <v>111.31</v>
      </c>
      <c r="H1229" s="19" t="n">
        <v>0.0306</v>
      </c>
      <c r="I1229" s="20" t="n">
        <v>62</v>
      </c>
      <c r="J1229" s="16" t="inlineStr">
        <is>
          <t>amber</t>
        </is>
      </c>
      <c r="K1229" s="20" t="n">
        <v>1</v>
      </c>
      <c r="L1229" s="18" t="n">
        <v>54.47</v>
      </c>
      <c r="M1229" s="18" t="n">
        <v>109.32</v>
      </c>
      <c r="N1229" s="18" t="n">
        <v>111.81</v>
      </c>
      <c r="O1229" s="18" t="n">
        <v>98.81</v>
      </c>
      <c r="P1229" s="18" t="n">
        <v>127.43</v>
      </c>
      <c r="Q1229" s="18" t="n">
        <v>75.78</v>
      </c>
      <c r="R1229" s="21">
        <f>IF(OR(G1229="",P1229=""),"",G1229/P1229-1)</f>
        <v/>
      </c>
      <c r="S1229" s="19" t="n">
        <v>2.1465</v>
      </c>
      <c r="T1229" s="22" t="n">
        <v>0.0154</v>
      </c>
      <c r="U1229" s="16" t="inlineStr">
        <is>
          <t>Yes</t>
        </is>
      </c>
      <c r="V1229" s="16" t="inlineStr">
        <is>
          <t>No</t>
        </is>
      </c>
      <c r="W1229" s="16" t="inlineStr">
        <is>
          <t>Yes</t>
        </is>
      </c>
      <c r="X1229" s="16" t="inlineStr">
        <is>
          <t>Yes</t>
        </is>
      </c>
      <c r="Y1229" s="20" t="n">
        <v>72</v>
      </c>
      <c r="Z1229" s="19" t="n">
        <v>0.1316</v>
      </c>
      <c r="AA1229" s="18" t="n">
        <v>43.77</v>
      </c>
      <c r="AB1229" s="16" t="inlineStr">
        <is>
          <t>Average</t>
        </is>
      </c>
      <c r="AC1229" s="16" t="inlineStr">
        <is>
          <t>No</t>
        </is>
      </c>
      <c r="AD1229" s="19" t="n">
        <v>0.1264</v>
      </c>
      <c r="AE1229" s="19" t="n">
        <v>0.1357</v>
      </c>
      <c r="AF1229" s="19" t="n">
        <v>0.0119</v>
      </c>
      <c r="AG1229" s="19" t="n">
        <v>-0.1326</v>
      </c>
      <c r="AH1229" s="23" t="n">
        <v>0.03</v>
      </c>
      <c r="AI1229" s="23" t="n">
        <v>1.8</v>
      </c>
      <c r="AJ1229" s="19" t="n">
        <v>0.0253</v>
      </c>
    </row>
    <row r="1230">
      <c r="A1230" s="16" t="inlineStr">
        <is>
          <t>RHETAN</t>
        </is>
      </c>
      <c r="B1230" s="16" t="inlineStr">
        <is>
          <t>Rhetan TMT Ltd.</t>
        </is>
      </c>
      <c r="C1230" s="16" t="inlineStr">
        <is>
          <t>Iron &amp; Steel Products</t>
        </is>
      </c>
      <c r="D1230" s="16" t="inlineStr">
        <is>
          <t>Metals &amp; Mining</t>
        </is>
      </c>
      <c r="E1230" s="16" t="inlineStr">
        <is>
          <t>INE0KKN01029</t>
        </is>
      </c>
      <c r="F1230" s="17" t="n">
        <v>2025.66</v>
      </c>
      <c r="G1230" s="18" t="n">
        <v>25.42</v>
      </c>
      <c r="H1230" s="19" t="n">
        <v>0.1</v>
      </c>
      <c r="I1230" s="20" t="n">
        <v>25</v>
      </c>
      <c r="J1230" s="16" t="inlineStr">
        <is>
          <t>red</t>
        </is>
      </c>
      <c r="K1230" s="20" t="n">
        <v>19</v>
      </c>
      <c r="L1230" s="18" t="n">
        <v>64.16</v>
      </c>
      <c r="M1230" s="18" t="n">
        <v>21.41</v>
      </c>
      <c r="N1230" s="18" t="n">
        <v>26.35</v>
      </c>
      <c r="O1230" s="18" t="n">
        <v>26.21</v>
      </c>
      <c r="P1230" s="18" t="n">
        <v>33.76</v>
      </c>
      <c r="Q1230" s="18" t="n">
        <v>19.11</v>
      </c>
      <c r="R1230" s="21">
        <f>IF(OR(G1230="",P1230=""),"",G1230/P1230-1)</f>
        <v/>
      </c>
      <c r="S1230" s="19" t="n">
        <v>0.3469</v>
      </c>
      <c r="T1230" s="22" t="n">
        <v>-0.001</v>
      </c>
      <c r="U1230" s="16" t="inlineStr">
        <is>
          <t>No</t>
        </is>
      </c>
      <c r="V1230" s="16" t="inlineStr">
        <is>
          <t>No</t>
        </is>
      </c>
      <c r="W1230" s="16" t="inlineStr">
        <is>
          <t>Yes</t>
        </is>
      </c>
      <c r="X1230" s="16" t="inlineStr">
        <is>
          <t>Yes</t>
        </is>
      </c>
      <c r="Y1230" s="20" t="n">
        <v>37</v>
      </c>
      <c r="Z1230" s="19" t="n">
        <v>0.0053</v>
      </c>
      <c r="AA1230" s="18" t="n">
        <v>31.84</v>
      </c>
      <c r="AB1230" s="16" t="inlineStr">
        <is>
          <t>Poor</t>
        </is>
      </c>
      <c r="AC1230" s="16" t="inlineStr">
        <is>
          <t>No</t>
        </is>
      </c>
      <c r="AD1230" s="19" t="n">
        <v>0.06370000000000001</v>
      </c>
      <c r="AE1230" s="19" t="n">
        <v>0.073</v>
      </c>
      <c r="AF1230" s="19" t="n">
        <v>0.3074</v>
      </c>
      <c r="AG1230" s="19" t="n">
        <v>-0.3385</v>
      </c>
      <c r="AH1230" s="23" t="n">
        <v>0.38</v>
      </c>
      <c r="AI1230" s="23" t="n">
        <v>1.13</v>
      </c>
      <c r="AJ1230" s="19" t="n">
        <v>0.2643</v>
      </c>
    </row>
    <row r="1231">
      <c r="A1231" s="16" t="inlineStr">
        <is>
          <t>KABRAEXTRU</t>
        </is>
      </c>
      <c r="B1231" s="16" t="inlineStr">
        <is>
          <t>Kabra Extrusion Technik Ltd.</t>
        </is>
      </c>
      <c r="C1231" s="16" t="inlineStr">
        <is>
          <t>Industrial Machinery</t>
        </is>
      </c>
      <c r="D1231" s="16" t="inlineStr">
        <is>
          <t>General Industrials</t>
        </is>
      </c>
      <c r="E1231" s="16" t="inlineStr">
        <is>
          <t>INE900B01029</t>
        </is>
      </c>
      <c r="F1231" s="17" t="n">
        <v>2025.45</v>
      </c>
      <c r="G1231" s="18" t="n">
        <v>579.15</v>
      </c>
      <c r="H1231" s="19" t="n">
        <v>0.0254</v>
      </c>
      <c r="I1231" s="20" t="n">
        <v>97</v>
      </c>
      <c r="J1231" s="16" t="inlineStr">
        <is>
          <t>green</t>
        </is>
      </c>
      <c r="K1231" s="20" t="n">
        <v>38</v>
      </c>
      <c r="L1231" s="18" t="n">
        <v>62.85</v>
      </c>
      <c r="M1231" s="18" t="n">
        <v>584.79</v>
      </c>
      <c r="N1231" s="18" t="n">
        <v>428.24</v>
      </c>
      <c r="O1231" s="18" t="n">
        <v>279.64</v>
      </c>
      <c r="P1231" s="18" t="n">
        <v>611.1</v>
      </c>
      <c r="Q1231" s="18" t="n">
        <v>182.58</v>
      </c>
      <c r="R1231" s="21">
        <f>IF(OR(G1231="",P1231=""),"",G1231/P1231-1)</f>
        <v/>
      </c>
      <c r="S1231" s="19" t="n">
        <v>0.2961</v>
      </c>
      <c r="T1231" s="22" t="n">
        <v>0.1272</v>
      </c>
      <c r="U1231" s="16" t="inlineStr">
        <is>
          <t>Yes</t>
        </is>
      </c>
      <c r="V1231" s="16" t="inlineStr">
        <is>
          <t>Yes</t>
        </is>
      </c>
      <c r="W1231" s="16" t="inlineStr">
        <is>
          <t>No</t>
        </is>
      </c>
      <c r="X1231" s="16" t="inlineStr">
        <is>
          <t>Yes</t>
        </is>
      </c>
      <c r="Y1231" s="20" t="n">
        <v>54</v>
      </c>
      <c r="Z1231" s="19" t="n">
        <v>0.5314</v>
      </c>
      <c r="AA1231" s="18" t="n">
        <v>22.13</v>
      </c>
      <c r="AB1231" s="16" t="inlineStr">
        <is>
          <t>Poor</t>
        </is>
      </c>
      <c r="AC1231" s="16" t="inlineStr">
        <is>
          <t>No</t>
        </is>
      </c>
      <c r="AD1231" s="19" t="n">
        <v>0.0441</v>
      </c>
      <c r="AE1231" s="19" t="n">
        <v>0.0614</v>
      </c>
      <c r="AF1231" s="19" t="n">
        <v>-0.4372</v>
      </c>
      <c r="AG1231" s="19" t="n">
        <v>-0.1206</v>
      </c>
      <c r="AH1231" s="23" t="n">
        <v>0.33</v>
      </c>
      <c r="AI1231" s="23" t="n">
        <v>1.72</v>
      </c>
      <c r="AJ1231" s="19" t="n">
        <v>0.081</v>
      </c>
    </row>
    <row r="1232">
      <c r="A1232" s="16" t="inlineStr">
        <is>
          <t>PROTEAN</t>
        </is>
      </c>
      <c r="B1232" s="16" t="inlineStr">
        <is>
          <t>Protean eGov Technologies Ltd.</t>
        </is>
      </c>
      <c r="C1232" s="16" t="inlineStr">
        <is>
          <t>IT Consulting &amp; Software</t>
        </is>
      </c>
      <c r="D1232" s="16" t="inlineStr">
        <is>
          <t>Software &amp; Services</t>
        </is>
      </c>
      <c r="E1232" s="16" t="inlineStr">
        <is>
          <t>INE004A01022</t>
        </is>
      </c>
      <c r="F1232" s="17" t="n">
        <v>2016.03</v>
      </c>
      <c r="G1232" s="18" t="n">
        <v>496.3</v>
      </c>
      <c r="H1232" s="19" t="n">
        <v>0.003</v>
      </c>
      <c r="I1232" s="20" t="n">
        <v>5</v>
      </c>
      <c r="J1232" s="16" t="inlineStr">
        <is>
          <t>red</t>
        </is>
      </c>
      <c r="K1232" s="20" t="n">
        <v>330</v>
      </c>
      <c r="L1232" s="18" t="n">
        <v>27.99</v>
      </c>
      <c r="M1232" s="18" t="n">
        <v>520.21</v>
      </c>
      <c r="N1232" s="18" t="n">
        <v>564.9299999999999</v>
      </c>
      <c r="O1232" s="18" t="n">
        <v>605.35</v>
      </c>
      <c r="P1232" s="18" t="n">
        <v>897.4400000000001</v>
      </c>
      <c r="Q1232" s="18" t="n">
        <v>438.38</v>
      </c>
      <c r="R1232" s="21">
        <f>IF(OR(G1232="",P1232=""),"",G1232/P1232-1)</f>
        <v/>
      </c>
      <c r="S1232" s="19" t="n">
        <v>1.3144</v>
      </c>
      <c r="T1232" s="22" t="n">
        <v>-0.0475</v>
      </c>
      <c r="U1232" s="16" t="inlineStr">
        <is>
          <t>No</t>
        </is>
      </c>
      <c r="V1232" s="16" t="inlineStr">
        <is>
          <t>No</t>
        </is>
      </c>
      <c r="W1232" s="16" t="inlineStr">
        <is>
          <t>No</t>
        </is>
      </c>
      <c r="X1232" s="16" t="inlineStr">
        <is>
          <t>No</t>
        </is>
      </c>
      <c r="Y1232" s="20" t="n">
        <v>194</v>
      </c>
      <c r="Z1232" s="19" t="n">
        <v>-0.0668</v>
      </c>
      <c r="AA1232" s="18" t="n">
        <v>40</v>
      </c>
      <c r="AB1232" s="16" t="inlineStr">
        <is>
          <t>Weak</t>
        </is>
      </c>
      <c r="AC1232" s="16" t="inlineStr">
        <is>
          <t>No</t>
        </is>
      </c>
      <c r="AD1232" s="19" t="n">
        <v>0.09699999999999999</v>
      </c>
      <c r="AE1232" s="19" t="n">
        <v>0.1225</v>
      </c>
      <c r="AF1232" s="19" t="n">
        <v>-0.383</v>
      </c>
      <c r="AG1232" s="19" t="n">
        <v>0.115</v>
      </c>
      <c r="AH1232" s="23" t="n">
        <v>0.08</v>
      </c>
      <c r="AI1232" s="23" t="n">
        <v>6.88</v>
      </c>
      <c r="AJ1232" s="19" t="n">
        <v>0.0122</v>
      </c>
    </row>
    <row r="1233">
      <c r="A1233" s="16" t="inlineStr">
        <is>
          <t>AEROPLANE</t>
        </is>
      </c>
      <c r="B1233" s="16" t="inlineStr">
        <is>
          <t>Amir Chand Jagdish Kumar (Exports) Ltd.</t>
        </is>
      </c>
      <c r="C1233" s="16" t="inlineStr">
        <is>
          <t>Other Agricultural Products</t>
        </is>
      </c>
      <c r="D1233" s="16" t="inlineStr">
        <is>
          <t>Food, Beverages &amp; Tobacco</t>
        </is>
      </c>
      <c r="E1233" s="16" t="inlineStr">
        <is>
          <t>INE05TO01019</t>
        </is>
      </c>
      <c r="F1233" s="17" t="n">
        <v>2011.9</v>
      </c>
      <c r="G1233" s="18" t="n">
        <v>194.29</v>
      </c>
      <c r="H1233" s="19" t="n">
        <v>0.0331</v>
      </c>
      <c r="I1233" s="20" t="n">
        <v>88</v>
      </c>
      <c r="J1233" s="16" t="inlineStr">
        <is>
          <t>green</t>
        </is>
      </c>
      <c r="K1233" s="20" t="n">
        <v>44</v>
      </c>
      <c r="L1233" s="18" t="n">
        <v>61.09</v>
      </c>
      <c r="M1233" s="18" t="n">
        <v>178.92</v>
      </c>
      <c r="N1233" s="18" t="n">
        <v>179.57</v>
      </c>
      <c r="O1233" s="18" t="n"/>
      <c r="P1233" s="18" t="n">
        <v>201.39</v>
      </c>
      <c r="Q1233" s="18" t="n">
        <v>117.45</v>
      </c>
      <c r="R1233" s="21">
        <f>IF(OR(G1233="",P1233=""),"",G1233/P1233-1)</f>
        <v/>
      </c>
      <c r="S1233" s="19" t="n">
        <v>1.4851</v>
      </c>
      <c r="T1233" s="22" t="n"/>
      <c r="U1233" s="16" t="n"/>
      <c r="V1233" s="16" t="inlineStr">
        <is>
          <t>Yes</t>
        </is>
      </c>
      <c r="W1233" s="16" t="inlineStr">
        <is>
          <t>Yes</t>
        </is>
      </c>
      <c r="X1233" s="16" t="n"/>
      <c r="Y1233" s="20" t="n"/>
      <c r="Z1233" s="19" t="n"/>
      <c r="AA1233" s="18" t="n">
        <v>18.93</v>
      </c>
      <c r="AB1233" s="16" t="inlineStr">
        <is>
          <t>Poor</t>
        </is>
      </c>
      <c r="AC1233" s="16" t="inlineStr">
        <is>
          <t>No</t>
        </is>
      </c>
      <c r="AD1233" s="19" t="n">
        <v>0.1068</v>
      </c>
      <c r="AE1233" s="19" t="n">
        <v>0.0958</v>
      </c>
      <c r="AF1233" s="19" t="n">
        <v>-0.1302</v>
      </c>
      <c r="AG1233" s="19" t="n">
        <v>0.2361</v>
      </c>
      <c r="AH1233" s="23" t="n">
        <v>2.07</v>
      </c>
      <c r="AI1233" s="23" t="n">
        <v>21.03</v>
      </c>
      <c r="AJ1233" s="19" t="n">
        <v>0.018</v>
      </c>
    </row>
    <row r="1234">
      <c r="A1234" s="16" t="inlineStr">
        <is>
          <t>TIL</t>
        </is>
      </c>
      <c r="B1234" s="16" t="inlineStr">
        <is>
          <t>TIL Ltd.</t>
        </is>
      </c>
      <c r="C1234" s="16" t="inlineStr">
        <is>
          <t>Transport Related Services</t>
        </is>
      </c>
      <c r="D1234" s="16" t="inlineStr">
        <is>
          <t>Transportation</t>
        </is>
      </c>
      <c r="E1234" s="16" t="inlineStr">
        <is>
          <t>INE806C01018</t>
        </is>
      </c>
      <c r="F1234" s="17" t="n">
        <v>2008.4</v>
      </c>
      <c r="G1234" s="18" t="n">
        <v>252.88</v>
      </c>
      <c r="H1234" s="19" t="n">
        <v>0.0322</v>
      </c>
      <c r="I1234" s="20" t="n">
        <v>65</v>
      </c>
      <c r="J1234" s="16" t="inlineStr">
        <is>
          <t>amber</t>
        </is>
      </c>
      <c r="K1234" s="20" t="n">
        <v>2</v>
      </c>
      <c r="L1234" s="18" t="n">
        <v>67.01000000000001</v>
      </c>
      <c r="M1234" s="18" t="n">
        <v>239.91</v>
      </c>
      <c r="N1234" s="18" t="n">
        <v>229.05</v>
      </c>
      <c r="O1234" s="18" t="n">
        <v>225.24</v>
      </c>
      <c r="P1234" s="18" t="n">
        <v>371.95</v>
      </c>
      <c r="Q1234" s="18" t="n">
        <v>163.56</v>
      </c>
      <c r="R1234" s="21">
        <f>IF(OR(G1234="",P1234=""),"",G1234/P1234-1)</f>
        <v/>
      </c>
      <c r="S1234" s="19" t="n">
        <v>0.1536</v>
      </c>
      <c r="T1234" s="22" t="n">
        <v>-0.0256</v>
      </c>
      <c r="U1234" s="16" t="inlineStr">
        <is>
          <t>No</t>
        </is>
      </c>
      <c r="V1234" s="16" t="inlineStr">
        <is>
          <t>Yes</t>
        </is>
      </c>
      <c r="W1234" s="16" t="inlineStr">
        <is>
          <t>Yes</t>
        </is>
      </c>
      <c r="X1234" s="16" t="inlineStr">
        <is>
          <t>Yes</t>
        </is>
      </c>
      <c r="Y1234" s="20" t="n">
        <v>7</v>
      </c>
      <c r="Z1234" s="19" t="n">
        <v>0.0169</v>
      </c>
      <c r="AA1234" s="18" t="n">
        <v>35.41</v>
      </c>
      <c r="AB1234" s="16" t="inlineStr">
        <is>
          <t>Weak</t>
        </is>
      </c>
      <c r="AC1234" s="16" t="inlineStr">
        <is>
          <t>No</t>
        </is>
      </c>
      <c r="AD1234" s="19" t="n">
        <v>2.5983</v>
      </c>
      <c r="AE1234" s="19" t="n">
        <v>0.3885</v>
      </c>
      <c r="AF1234" s="19" t="n">
        <v>-3.7344</v>
      </c>
      <c r="AG1234" s="19" t="n">
        <v>1.4152</v>
      </c>
      <c r="AH1234" s="23" t="n">
        <v>3.44</v>
      </c>
      <c r="AI1234" s="23" t="n">
        <v>3.44</v>
      </c>
      <c r="AJ1234" s="19" t="n">
        <v>0.0029</v>
      </c>
    </row>
    <row r="1235">
      <c r="A1235" s="16" t="inlineStr">
        <is>
          <t>MSPL</t>
        </is>
      </c>
      <c r="B1235" s="16" t="inlineStr">
        <is>
          <t>MSP Steel &amp; Power Ltd.</t>
        </is>
      </c>
      <c r="C1235" s="16" t="inlineStr">
        <is>
          <t>Iron &amp; Steel/Interm.Products</t>
        </is>
      </c>
      <c r="D1235" s="16" t="inlineStr">
        <is>
          <t>Metals &amp; Mining</t>
        </is>
      </c>
      <c r="E1235" s="16" t="inlineStr">
        <is>
          <t>INE752G01015</t>
        </is>
      </c>
      <c r="F1235" s="17" t="n">
        <v>2006.46</v>
      </c>
      <c r="G1235" s="18" t="n">
        <v>35.4</v>
      </c>
      <c r="H1235" s="19" t="n">
        <v>0.0017</v>
      </c>
      <c r="I1235" s="20" t="n">
        <v>38</v>
      </c>
      <c r="J1235" s="16" t="inlineStr">
        <is>
          <t>red</t>
        </is>
      </c>
      <c r="K1235" s="20" t="n">
        <v>27</v>
      </c>
      <c r="L1235" s="18" t="n">
        <v>54.68</v>
      </c>
      <c r="M1235" s="18" t="n">
        <v>35.27</v>
      </c>
      <c r="N1235" s="18" t="n">
        <v>36.66</v>
      </c>
      <c r="O1235" s="18" t="n">
        <v>35.77</v>
      </c>
      <c r="P1235" s="18" t="n">
        <v>44.75</v>
      </c>
      <c r="Q1235" s="18" t="n">
        <v>26.45</v>
      </c>
      <c r="R1235" s="21">
        <f>IF(OR(G1235="",P1235=""),"",G1235/P1235-1)</f>
        <v/>
      </c>
      <c r="S1235" s="19" t="n">
        <v>0.3693</v>
      </c>
      <c r="T1235" s="22" t="n">
        <v>0.0024</v>
      </c>
      <c r="U1235" s="16" t="inlineStr">
        <is>
          <t>Yes</t>
        </is>
      </c>
      <c r="V1235" s="16" t="inlineStr">
        <is>
          <t>No</t>
        </is>
      </c>
      <c r="W1235" s="16" t="inlineStr">
        <is>
          <t>Yes</t>
        </is>
      </c>
      <c r="X1235" s="16" t="inlineStr">
        <is>
          <t>Yes</t>
        </is>
      </c>
      <c r="Y1235" s="20" t="n">
        <v>80</v>
      </c>
      <c r="Z1235" s="19" t="n">
        <v>0.0251</v>
      </c>
      <c r="AA1235" s="18" t="n">
        <v>30.87</v>
      </c>
      <c r="AB1235" s="16" t="inlineStr">
        <is>
          <t>Poor</t>
        </is>
      </c>
      <c r="AC1235" s="16" t="inlineStr">
        <is>
          <t>No</t>
        </is>
      </c>
      <c r="AD1235" s="19" t="n">
        <v>0.0095</v>
      </c>
      <c r="AE1235" s="19" t="n">
        <v>0.052</v>
      </c>
      <c r="AF1235" s="19" t="n">
        <v>0.1131</v>
      </c>
      <c r="AG1235" s="19" t="n">
        <v>0.0409</v>
      </c>
      <c r="AH1235" s="23" t="n">
        <v>0.31</v>
      </c>
      <c r="AI1235" s="23" t="n">
        <v>3.51</v>
      </c>
      <c r="AJ1235" s="19" t="n">
        <v>0.0224</v>
      </c>
    </row>
    <row r="1236">
      <c r="A1236" s="16" t="inlineStr">
        <is>
          <t>SAGCEM</t>
        </is>
      </c>
      <c r="B1236" s="16" t="inlineStr">
        <is>
          <t>Sagar Cements Ltd.</t>
        </is>
      </c>
      <c r="C1236" s="16" t="inlineStr">
        <is>
          <t>Cement &amp; Cement Products</t>
        </is>
      </c>
      <c r="D1236" s="16" t="inlineStr">
        <is>
          <t>Cement and Construction</t>
        </is>
      </c>
      <c r="E1236" s="16" t="inlineStr">
        <is>
          <t>INE229C01021</t>
        </is>
      </c>
      <c r="F1236" s="17" t="n">
        <v>1997.99</v>
      </c>
      <c r="G1236" s="18" t="n">
        <v>152.86</v>
      </c>
      <c r="H1236" s="19" t="n">
        <v>-0.0098</v>
      </c>
      <c r="I1236" s="20" t="n">
        <v>7</v>
      </c>
      <c r="J1236" s="16" t="inlineStr">
        <is>
          <t>red</t>
        </is>
      </c>
      <c r="K1236" s="20" t="n">
        <v>217</v>
      </c>
      <c r="L1236" s="18" t="n">
        <v>24.14</v>
      </c>
      <c r="M1236" s="18" t="n">
        <v>159.28</v>
      </c>
      <c r="N1236" s="18" t="n">
        <v>172.33</v>
      </c>
      <c r="O1236" s="18" t="n">
        <v>185.59</v>
      </c>
      <c r="P1236" s="18" t="n">
        <v>294.3</v>
      </c>
      <c r="Q1236" s="18" t="n">
        <v>150.16</v>
      </c>
      <c r="R1236" s="21">
        <f>IF(OR(G1236="",P1236=""),"",G1236/P1236-1)</f>
        <v/>
      </c>
      <c r="S1236" s="19" t="n">
        <v>4.9067</v>
      </c>
      <c r="T1236" s="22" t="n">
        <v>-0.0319</v>
      </c>
      <c r="U1236" s="16" t="inlineStr">
        <is>
          <t>No</t>
        </is>
      </c>
      <c r="V1236" s="16" t="inlineStr">
        <is>
          <t>No</t>
        </is>
      </c>
      <c r="W1236" s="16" t="inlineStr">
        <is>
          <t>No</t>
        </is>
      </c>
      <c r="X1236" s="16" t="inlineStr">
        <is>
          <t>No</t>
        </is>
      </c>
      <c r="Y1236" s="20" t="n">
        <v>184</v>
      </c>
      <c r="Z1236" s="19" t="n">
        <v>-0.07139999999999999</v>
      </c>
      <c r="AA1236" s="18" t="n">
        <v>12.4</v>
      </c>
      <c r="AB1236" s="16" t="inlineStr">
        <is>
          <t>Poor</t>
        </is>
      </c>
      <c r="AC1236" s="16" t="inlineStr">
        <is>
          <t>No</t>
        </is>
      </c>
      <c r="AD1236" s="19" t="n">
        <v>-0.05019999999999999</v>
      </c>
      <c r="AE1236" s="19" t="n">
        <v>-0.0017</v>
      </c>
      <c r="AF1236" s="19" t="n">
        <v>-1.8075</v>
      </c>
      <c r="AG1236" s="19" t="n">
        <v>0.0582</v>
      </c>
      <c r="AH1236" s="23" t="n">
        <v>1.01</v>
      </c>
      <c r="AI1236" s="23" t="n">
        <v>0.8</v>
      </c>
      <c r="AJ1236" s="19" t="n">
        <v>0.0359</v>
      </c>
    </row>
    <row r="1237">
      <c r="A1237" s="16" t="inlineStr">
        <is>
          <t>MVELECTRO</t>
        </is>
      </c>
      <c r="B1237" s="16" t="inlineStr">
        <is>
          <t>MV Electrosystems Ltd.</t>
        </is>
      </c>
      <c r="C1237" s="16" t="inlineStr">
        <is>
          <t>Electronic Components</t>
        </is>
      </c>
      <c r="D1237" s="16" t="inlineStr">
        <is>
          <t>Commercial Services &amp; Supplies</t>
        </is>
      </c>
      <c r="E1237" s="16" t="inlineStr">
        <is>
          <t>INE0OWZ01020</t>
        </is>
      </c>
      <c r="F1237" s="17" t="n">
        <v>1990.82</v>
      </c>
      <c r="G1237" s="18" t="n">
        <v>729.7</v>
      </c>
      <c r="H1237" s="19" t="n">
        <v>-0.0013</v>
      </c>
      <c r="I1237" s="20" t="n"/>
      <c r="J1237" s="16" t="n"/>
      <c r="K1237" s="20" t="n"/>
      <c r="L1237" s="18" t="n">
        <v>70.79000000000001</v>
      </c>
      <c r="M1237" s="18" t="n">
        <v>693.38</v>
      </c>
      <c r="N1237" s="18" t="n"/>
      <c r="O1237" s="18" t="n"/>
      <c r="P1237" s="18" t="n">
        <v>760.45</v>
      </c>
      <c r="Q1237" s="18" t="n">
        <v>560.15</v>
      </c>
      <c r="R1237" s="21">
        <f>IF(OR(G1237="",P1237=""),"",G1237/P1237-1)</f>
        <v/>
      </c>
      <c r="S1237" s="19" t="n">
        <v>0.5875</v>
      </c>
      <c r="T1237" s="22" t="n"/>
      <c r="U1237" s="16" t="n"/>
      <c r="V1237" s="16" t="n"/>
      <c r="W1237" s="16" t="inlineStr">
        <is>
          <t>Yes</t>
        </is>
      </c>
      <c r="X1237" s="16" t="n"/>
      <c r="Y1237" s="20" t="n"/>
      <c r="Z1237" s="19" t="n"/>
      <c r="AA1237" s="18" t="n">
        <v>20.36</v>
      </c>
      <c r="AB1237" s="16" t="inlineStr">
        <is>
          <t>Poor</t>
        </is>
      </c>
      <c r="AC1237" s="16" t="inlineStr">
        <is>
          <t>No</t>
        </is>
      </c>
      <c r="AD1237" s="19" t="n">
        <v>0.0688</v>
      </c>
      <c r="AE1237" s="19" t="n">
        <v>0.09449999999999999</v>
      </c>
      <c r="AF1237" s="19" t="n">
        <v>-0.7726999999999999</v>
      </c>
      <c r="AG1237" s="19" t="n">
        <v>-0.005</v>
      </c>
      <c r="AH1237" s="23" t="n">
        <v>1.84</v>
      </c>
      <c r="AI1237" s="23" t="n">
        <v>5.28</v>
      </c>
      <c r="AJ1237" s="19" t="n">
        <v>0</v>
      </c>
    </row>
    <row r="1238">
      <c r="A1238" s="16" t="inlineStr">
        <is>
          <t>INA</t>
        </is>
      </c>
      <c r="B1238" s="16" t="inlineStr">
        <is>
          <t>Insolation Energy Ltd</t>
        </is>
      </c>
      <c r="C1238" s="16" t="inlineStr">
        <is>
          <t>Power - Electric Utilities</t>
        </is>
      </c>
      <c r="D1238" s="16" t="inlineStr">
        <is>
          <t>Utilities</t>
        </is>
      </c>
      <c r="E1238" s="16" t="inlineStr">
        <is>
          <t>INE0LGX01024</t>
        </is>
      </c>
      <c r="F1238" s="17" t="n">
        <v>1990.24</v>
      </c>
      <c r="G1238" s="18" t="n">
        <v>90.28</v>
      </c>
      <c r="H1238" s="19" t="n">
        <v>0.014</v>
      </c>
      <c r="I1238" s="20" t="n">
        <v>3</v>
      </c>
      <c r="J1238" s="16" t="inlineStr">
        <is>
          <t>red</t>
        </is>
      </c>
      <c r="K1238" s="20" t="n">
        <v>92</v>
      </c>
      <c r="L1238" s="18" t="n">
        <v>26.62</v>
      </c>
      <c r="M1238" s="18" t="n">
        <v>90.77</v>
      </c>
      <c r="N1238" s="18" t="n">
        <v>107.01</v>
      </c>
      <c r="O1238" s="18" t="n">
        <v>118.34</v>
      </c>
      <c r="P1238" s="18" t="n">
        <v>217.79</v>
      </c>
      <c r="Q1238" s="18" t="n">
        <v>82.05</v>
      </c>
      <c r="R1238" s="21">
        <f>IF(OR(G1238="",P1238=""),"",G1238/P1238-1)</f>
        <v/>
      </c>
      <c r="S1238" s="19" t="n">
        <v>0.5932999999999999</v>
      </c>
      <c r="T1238" s="22" t="n">
        <v>-0.063</v>
      </c>
      <c r="U1238" s="16" t="inlineStr">
        <is>
          <t>No</t>
        </is>
      </c>
      <c r="V1238" s="16" t="inlineStr">
        <is>
          <t>No</t>
        </is>
      </c>
      <c r="W1238" s="16" t="inlineStr">
        <is>
          <t>No</t>
        </is>
      </c>
      <c r="X1238" s="16" t="inlineStr">
        <is>
          <t>No</t>
        </is>
      </c>
      <c r="Y1238" s="20" t="n">
        <v>383</v>
      </c>
      <c r="Z1238" s="19" t="n">
        <v>-0.09570000000000001</v>
      </c>
      <c r="AA1238" s="18" t="n"/>
      <c r="AB1238" s="16" t="n"/>
      <c r="AC1238" s="16" t="inlineStr">
        <is>
          <t>No</t>
        </is>
      </c>
      <c r="AD1238" s="19" t="n"/>
      <c r="AE1238" s="19" t="n"/>
      <c r="AF1238" s="19" t="n"/>
      <c r="AG1238" s="19" t="n"/>
      <c r="AH1238" s="23" t="n"/>
      <c r="AI1238" s="23" t="n"/>
      <c r="AJ1238" s="19" t="n"/>
    </row>
    <row r="1239">
      <c r="A1239" s="16" t="inlineStr">
        <is>
          <t>CAMLINFINE</t>
        </is>
      </c>
      <c r="B1239" s="16" t="inlineStr">
        <is>
          <t>Camlin Fine Sciences Ltd.</t>
        </is>
      </c>
      <c r="C1239" s="16" t="inlineStr">
        <is>
          <t>Specialty Chemicals</t>
        </is>
      </c>
      <c r="D1239" s="16" t="inlineStr">
        <is>
          <t>Chemicals &amp; Petrochemicals</t>
        </is>
      </c>
      <c r="E1239" s="16" t="inlineStr">
        <is>
          <t>INE052I01032</t>
        </is>
      </c>
      <c r="F1239" s="17" t="n">
        <v>1980.99</v>
      </c>
      <c r="G1239" s="18" t="n">
        <v>103.13</v>
      </c>
      <c r="H1239" s="19" t="n">
        <v>0.0083</v>
      </c>
      <c r="I1239" s="20" t="n">
        <v>3</v>
      </c>
      <c r="J1239" s="16" t="inlineStr">
        <is>
          <t>red</t>
        </is>
      </c>
      <c r="K1239" s="20" t="n">
        <v>141</v>
      </c>
      <c r="L1239" s="18" t="n">
        <v>25.05</v>
      </c>
      <c r="M1239" s="18" t="n">
        <v>103.25</v>
      </c>
      <c r="N1239" s="18" t="n">
        <v>119.89</v>
      </c>
      <c r="O1239" s="18" t="n">
        <v>132.97</v>
      </c>
      <c r="P1239" s="18" t="n">
        <v>231.02</v>
      </c>
      <c r="Q1239" s="18" t="n">
        <v>96.93000000000001</v>
      </c>
      <c r="R1239" s="21">
        <f>IF(OR(G1239="",P1239=""),"",G1239/P1239-1)</f>
        <v/>
      </c>
      <c r="S1239" s="19" t="n">
        <v>0.5092</v>
      </c>
      <c r="T1239" s="22" t="n">
        <v>-0.05599999999999999</v>
      </c>
      <c r="U1239" s="16" t="inlineStr">
        <is>
          <t>No</t>
        </is>
      </c>
      <c r="V1239" s="16" t="inlineStr">
        <is>
          <t>No</t>
        </is>
      </c>
      <c r="W1239" s="16" t="inlineStr">
        <is>
          <t>No</t>
        </is>
      </c>
      <c r="X1239" s="16" t="inlineStr">
        <is>
          <t>No</t>
        </is>
      </c>
      <c r="Y1239" s="20" t="n">
        <v>209</v>
      </c>
      <c r="Z1239" s="19" t="n">
        <v>-0.0984</v>
      </c>
      <c r="AA1239" s="18" t="n">
        <v>18.8</v>
      </c>
      <c r="AB1239" s="16" t="inlineStr">
        <is>
          <t>Poor</t>
        </is>
      </c>
      <c r="AC1239" s="16" t="inlineStr">
        <is>
          <t>No</t>
        </is>
      </c>
      <c r="AD1239" s="19" t="n">
        <v>-0.07829999999999999</v>
      </c>
      <c r="AE1239" s="19" t="n">
        <v>0.0633</v>
      </c>
      <c r="AF1239" s="19" t="n">
        <v>-0.644</v>
      </c>
      <c r="AG1239" s="19" t="n">
        <v>0.0143</v>
      </c>
      <c r="AH1239" s="23" t="n">
        <v>0.6899999999999999</v>
      </c>
      <c r="AI1239" s="23" t="n">
        <v>2.58</v>
      </c>
      <c r="AJ1239" s="19" t="n">
        <v>0.0583</v>
      </c>
    </row>
    <row r="1240">
      <c r="A1240" s="16" t="inlineStr">
        <is>
          <t>SHANTIGOLD</t>
        </is>
      </c>
      <c r="B1240" s="16" t="inlineStr">
        <is>
          <t>Shanti Gold International Ltd.</t>
        </is>
      </c>
      <c r="C1240" s="16" t="inlineStr">
        <is>
          <t>Gems &amp; Jewellery</t>
        </is>
      </c>
      <c r="D1240" s="16" t="inlineStr">
        <is>
          <t>Textiles Apparels &amp; Accessories</t>
        </is>
      </c>
      <c r="E1240" s="16" t="inlineStr">
        <is>
          <t>INE06ZD01017</t>
        </is>
      </c>
      <c r="F1240" s="17" t="n">
        <v>1967.14</v>
      </c>
      <c r="G1240" s="18" t="n">
        <v>256.34</v>
      </c>
      <c r="H1240" s="19" t="n">
        <v>0.0461</v>
      </c>
      <c r="I1240" s="20" t="n">
        <v>65</v>
      </c>
      <c r="J1240" s="16" t="inlineStr">
        <is>
          <t>amber</t>
        </is>
      </c>
      <c r="K1240" s="20" t="n">
        <v>1</v>
      </c>
      <c r="L1240" s="18" t="n">
        <v>45.77</v>
      </c>
      <c r="M1240" s="18" t="n">
        <v>247.57</v>
      </c>
      <c r="N1240" s="18" t="n">
        <v>229.28</v>
      </c>
      <c r="O1240" s="18" t="n">
        <v>210.93</v>
      </c>
      <c r="P1240" s="18" t="n">
        <v>270.52</v>
      </c>
      <c r="Q1240" s="18" t="n">
        <v>156.63</v>
      </c>
      <c r="R1240" s="21">
        <f>IF(OR(G1240="",P1240=""),"",G1240/P1240-1)</f>
        <v/>
      </c>
      <c r="S1240" s="19" t="n">
        <v>1.0574</v>
      </c>
      <c r="T1240" s="22" t="n">
        <v>0.0114</v>
      </c>
      <c r="U1240" s="16" t="inlineStr">
        <is>
          <t>Yes</t>
        </is>
      </c>
      <c r="V1240" s="16" t="inlineStr">
        <is>
          <t>Yes</t>
        </is>
      </c>
      <c r="W1240" s="16" t="inlineStr">
        <is>
          <t>Yes</t>
        </is>
      </c>
      <c r="X1240" s="16" t="inlineStr">
        <is>
          <t>Yes</t>
        </is>
      </c>
      <c r="Y1240" s="20" t="n">
        <v>61</v>
      </c>
      <c r="Z1240" s="19" t="n">
        <v>0.08699999999999999</v>
      </c>
      <c r="AA1240" s="18" t="n">
        <v>72.15000000000001</v>
      </c>
      <c r="AB1240" s="16" t="inlineStr">
        <is>
          <t>High</t>
        </is>
      </c>
      <c r="AC1240" s="16" t="inlineStr">
        <is>
          <t>No</t>
        </is>
      </c>
      <c r="AD1240" s="19" t="n">
        <v>0.2891</v>
      </c>
      <c r="AE1240" s="19" t="n">
        <v>0.2128</v>
      </c>
      <c r="AF1240" s="19" t="n">
        <v>0.123</v>
      </c>
      <c r="AG1240" s="19" t="n">
        <v>0.4756</v>
      </c>
      <c r="AH1240" s="23" t="n">
        <v>0.36</v>
      </c>
      <c r="AI1240" s="23" t="n">
        <v>44.45</v>
      </c>
      <c r="AJ1240" s="19" t="n">
        <v>0.2213</v>
      </c>
    </row>
    <row r="1241">
      <c r="A1241" s="16" t="inlineStr">
        <is>
          <t>VINYAS</t>
        </is>
      </c>
      <c r="B1241" s="16" t="inlineStr">
        <is>
          <t>Vinyas Innovative Technologies Ltd.</t>
        </is>
      </c>
      <c r="C1241" s="16" t="inlineStr">
        <is>
          <t>Electronic Components</t>
        </is>
      </c>
      <c r="D1241" s="16" t="inlineStr">
        <is>
          <t>Commercial Services &amp; Supplies</t>
        </is>
      </c>
      <c r="E1241" s="16" t="inlineStr">
        <is>
          <t>INE0OLS01010</t>
        </is>
      </c>
      <c r="F1241" s="17" t="n">
        <v>1962.4</v>
      </c>
      <c r="G1241" s="18" t="n">
        <v>1559.35</v>
      </c>
      <c r="H1241" s="19" t="n">
        <v>0.0142</v>
      </c>
      <c r="I1241" s="20" t="n">
        <v>74</v>
      </c>
      <c r="J1241" s="16" t="inlineStr">
        <is>
          <t>amber</t>
        </is>
      </c>
      <c r="K1241" s="20" t="n">
        <v>3</v>
      </c>
      <c r="L1241" s="18" t="n">
        <v>67.76000000000001</v>
      </c>
      <c r="M1241" s="18" t="n">
        <v>1550.06</v>
      </c>
      <c r="N1241" s="18" t="n">
        <v>1393.9</v>
      </c>
      <c r="O1241" s="18" t="n">
        <v>1179.19</v>
      </c>
      <c r="P1241" s="18" t="n">
        <v>1656.6</v>
      </c>
      <c r="Q1241" s="18" t="n">
        <v>813.2</v>
      </c>
      <c r="R1241" s="21">
        <f>IF(OR(G1241="",P1241=""),"",G1241/P1241-1)</f>
        <v/>
      </c>
      <c r="S1241" s="19" t="n">
        <v>0.4127</v>
      </c>
      <c r="T1241" s="22" t="n">
        <v>0.0244</v>
      </c>
      <c r="U1241" s="16" t="inlineStr">
        <is>
          <t>Yes</t>
        </is>
      </c>
      <c r="V1241" s="16" t="inlineStr">
        <is>
          <t>Yes</t>
        </is>
      </c>
      <c r="W1241" s="16" t="inlineStr">
        <is>
          <t>Yes</t>
        </is>
      </c>
      <c r="X1241" s="16" t="inlineStr">
        <is>
          <t>Yes</t>
        </is>
      </c>
      <c r="Y1241" s="20" t="n">
        <v>58</v>
      </c>
      <c r="Z1241" s="19" t="n">
        <v>0.1821</v>
      </c>
      <c r="AA1241" s="18" t="n"/>
      <c r="AB1241" s="16" t="n"/>
      <c r="AC1241" s="16" t="inlineStr">
        <is>
          <t>No</t>
        </is>
      </c>
      <c r="AD1241" s="19" t="n"/>
      <c r="AE1241" s="19" t="n"/>
      <c r="AF1241" s="19" t="n"/>
      <c r="AG1241" s="19" t="n"/>
      <c r="AH1241" s="23" t="n"/>
      <c r="AI1241" s="23" t="n"/>
      <c r="AJ1241" s="19" t="n"/>
    </row>
    <row r="1242">
      <c r="A1242" s="16" t="inlineStr">
        <is>
          <t>BODALCHEM</t>
        </is>
      </c>
      <c r="B1242" s="16" t="inlineStr">
        <is>
          <t>Bodal Chemicals Ltd.</t>
        </is>
      </c>
      <c r="C1242" s="16" t="inlineStr">
        <is>
          <t>Dyes &amp; Pigments</t>
        </is>
      </c>
      <c r="D1242" s="16" t="inlineStr">
        <is>
          <t>Chemicals &amp; Petrochemicals</t>
        </is>
      </c>
      <c r="E1242" s="16" t="inlineStr">
        <is>
          <t>INE338D01028</t>
        </is>
      </c>
      <c r="F1242" s="17" t="n">
        <v>1959.94</v>
      </c>
      <c r="G1242" s="18" t="n">
        <v>155.62</v>
      </c>
      <c r="H1242" s="19" t="n">
        <v>0.0322</v>
      </c>
      <c r="I1242" s="20" t="n">
        <v>98</v>
      </c>
      <c r="J1242" s="16" t="inlineStr">
        <is>
          <t>green</t>
        </is>
      </c>
      <c r="K1242" s="20" t="n">
        <v>10</v>
      </c>
      <c r="L1242" s="18" t="n">
        <v>99.3</v>
      </c>
      <c r="M1242" s="18" t="n">
        <v>122.63</v>
      </c>
      <c r="N1242" s="18" t="n">
        <v>76.47</v>
      </c>
      <c r="O1242" s="18" t="n">
        <v>62.35</v>
      </c>
      <c r="P1242" s="18" t="n">
        <v>155.62</v>
      </c>
      <c r="Q1242" s="18" t="n">
        <v>43.45</v>
      </c>
      <c r="R1242" s="21">
        <f>IF(OR(G1242="",P1242=""),"",G1242/P1242-1)</f>
        <v/>
      </c>
      <c r="S1242" s="19" t="n">
        <v>2.0212</v>
      </c>
      <c r="T1242" s="22" t="n">
        <v>0.05599999999999999</v>
      </c>
      <c r="U1242" s="16" t="inlineStr">
        <is>
          <t>Yes</t>
        </is>
      </c>
      <c r="V1242" s="16" t="inlineStr">
        <is>
          <t>Yes</t>
        </is>
      </c>
      <c r="W1242" s="16" t="inlineStr">
        <is>
          <t>Yes</t>
        </is>
      </c>
      <c r="X1242" s="16" t="inlineStr">
        <is>
          <t>Yes</t>
        </is>
      </c>
      <c r="Y1242" s="20" t="n">
        <v>82</v>
      </c>
      <c r="Z1242" s="19" t="n">
        <v>0.2265</v>
      </c>
      <c r="AA1242" s="18" t="n">
        <v>33.53</v>
      </c>
      <c r="AB1242" s="16" t="inlineStr">
        <is>
          <t>Poor</t>
        </is>
      </c>
      <c r="AC1242" s="16" t="inlineStr">
        <is>
          <t>No</t>
        </is>
      </c>
      <c r="AD1242" s="19" t="n">
        <v>0.0213</v>
      </c>
      <c r="AE1242" s="19" t="n">
        <v>0.0487</v>
      </c>
      <c r="AF1242" s="19" t="n">
        <v>0.8786</v>
      </c>
      <c r="AG1242" s="19" t="n">
        <v>0.1054</v>
      </c>
      <c r="AH1242" s="23" t="n">
        <v>0.7</v>
      </c>
      <c r="AI1242" s="23" t="n">
        <v>1.55</v>
      </c>
      <c r="AJ1242" s="19" t="n">
        <v>0.0517</v>
      </c>
    </row>
    <row r="1243">
      <c r="A1243" s="16" t="inlineStr">
        <is>
          <t>HPL</t>
        </is>
      </c>
      <c r="B1243" s="16" t="inlineStr">
        <is>
          <t>HPL Electric &amp; Power Ltd.</t>
        </is>
      </c>
      <c r="C1243" s="16" t="inlineStr">
        <is>
          <t>Consumer Electronics</t>
        </is>
      </c>
      <c r="D1243" s="16" t="inlineStr">
        <is>
          <t>Consumer Durables</t>
        </is>
      </c>
      <c r="E1243" s="16" t="inlineStr">
        <is>
          <t>INE495S01016</t>
        </is>
      </c>
      <c r="F1243" s="17" t="n">
        <v>1955.7</v>
      </c>
      <c r="G1243" s="18" t="n">
        <v>304.15</v>
      </c>
      <c r="H1243" s="19" t="n">
        <v>0.003</v>
      </c>
      <c r="I1243" s="20" t="n">
        <v>9</v>
      </c>
      <c r="J1243" s="16" t="inlineStr">
        <is>
          <t>red</t>
        </is>
      </c>
      <c r="K1243" s="20" t="n">
        <v>265</v>
      </c>
      <c r="L1243" s="18" t="n">
        <v>41.46</v>
      </c>
      <c r="M1243" s="18" t="n">
        <v>304.7</v>
      </c>
      <c r="N1243" s="18" t="n">
        <v>332.02</v>
      </c>
      <c r="O1243" s="18" t="n">
        <v>349.86</v>
      </c>
      <c r="P1243" s="18" t="n">
        <v>495.97</v>
      </c>
      <c r="Q1243" s="18" t="n">
        <v>257.1</v>
      </c>
      <c r="R1243" s="21">
        <f>IF(OR(G1243="",P1243=""),"",G1243/P1243-1)</f>
        <v/>
      </c>
      <c r="S1243" s="19" t="n">
        <v>1.0952</v>
      </c>
      <c r="T1243" s="22" t="n">
        <v>-0.0365</v>
      </c>
      <c r="U1243" s="16" t="inlineStr">
        <is>
          <t>No</t>
        </is>
      </c>
      <c r="V1243" s="16" t="inlineStr">
        <is>
          <t>No</t>
        </is>
      </c>
      <c r="W1243" s="16" t="inlineStr">
        <is>
          <t>No</t>
        </is>
      </c>
      <c r="X1243" s="16" t="inlineStr">
        <is>
          <t>No</t>
        </is>
      </c>
      <c r="Y1243" s="20" t="n">
        <v>223</v>
      </c>
      <c r="Z1243" s="19" t="n">
        <v>-0.051</v>
      </c>
      <c r="AA1243" s="18" t="n">
        <v>40.28</v>
      </c>
      <c r="AB1243" s="16" t="inlineStr">
        <is>
          <t>Average</t>
        </is>
      </c>
      <c r="AC1243" s="16" t="inlineStr">
        <is>
          <t>No</t>
        </is>
      </c>
      <c r="AD1243" s="19" t="n">
        <v>0.08199999999999999</v>
      </c>
      <c r="AE1243" s="19" t="n">
        <v>0.1206</v>
      </c>
      <c r="AF1243" s="19" t="n">
        <v>0.1987</v>
      </c>
      <c r="AG1243" s="19" t="n">
        <v>0.1288</v>
      </c>
      <c r="AH1243" s="23" t="n">
        <v>0.75</v>
      </c>
      <c r="AI1243" s="23" t="n">
        <v>2.77</v>
      </c>
      <c r="AJ1243" s="19" t="n">
        <v>0.0626</v>
      </c>
    </row>
    <row r="1244">
      <c r="A1244" s="16" t="inlineStr">
        <is>
          <t>BHARATRAS</t>
        </is>
      </c>
      <c r="B1244" s="16" t="inlineStr">
        <is>
          <t>Bharat Rasayan Ltd.</t>
        </is>
      </c>
      <c r="C1244" s="16" t="inlineStr">
        <is>
          <t>Agrochemicals</t>
        </is>
      </c>
      <c r="D1244" s="16" t="inlineStr">
        <is>
          <t>Chemicals &amp; Petrochemicals</t>
        </is>
      </c>
      <c r="E1244" s="16" t="inlineStr">
        <is>
          <t>INE838B01021</t>
        </is>
      </c>
      <c r="F1244" s="17" t="n">
        <v>1947.66</v>
      </c>
      <c r="G1244" s="18" t="n">
        <v>1171.8</v>
      </c>
      <c r="H1244" s="19" t="n">
        <v>-0.0105</v>
      </c>
      <c r="I1244" s="20" t="n">
        <v>2</v>
      </c>
      <c r="J1244" s="16" t="inlineStr">
        <is>
          <t>red</t>
        </is>
      </c>
      <c r="K1244" s="20" t="n">
        <v>181</v>
      </c>
      <c r="L1244" s="18" t="n">
        <v>16.14</v>
      </c>
      <c r="M1244" s="18" t="n">
        <v>1230.81</v>
      </c>
      <c r="N1244" s="18" t="n">
        <v>1308.13</v>
      </c>
      <c r="O1244" s="18" t="n">
        <v>1631.7</v>
      </c>
      <c r="P1244" s="18" t="n">
        <v>2942</v>
      </c>
      <c r="Q1244" s="18" t="n">
        <v>1171.8</v>
      </c>
      <c r="R1244" s="21">
        <f>IF(OR(G1244="",P1244=""),"",G1244/P1244-1)</f>
        <v/>
      </c>
      <c r="S1244" s="19" t="n">
        <v>1.9115</v>
      </c>
      <c r="T1244" s="22" t="n">
        <v>-0.0789</v>
      </c>
      <c r="U1244" s="16" t="inlineStr">
        <is>
          <t>No</t>
        </is>
      </c>
      <c r="V1244" s="16" t="inlineStr">
        <is>
          <t>No</t>
        </is>
      </c>
      <c r="W1244" s="16" t="inlineStr">
        <is>
          <t>No</t>
        </is>
      </c>
      <c r="X1244" s="16" t="inlineStr">
        <is>
          <t>No</t>
        </is>
      </c>
      <c r="Y1244" s="20" t="n">
        <v>169</v>
      </c>
      <c r="Z1244" s="19" t="n">
        <v>-0.1983</v>
      </c>
      <c r="AA1244" s="18" t="n">
        <v>61.42</v>
      </c>
      <c r="AB1244" s="16" t="inlineStr">
        <is>
          <t>Good</t>
        </is>
      </c>
      <c r="AC1244" s="16" t="inlineStr">
        <is>
          <t>No</t>
        </is>
      </c>
      <c r="AD1244" s="19" t="n">
        <v>0.1119</v>
      </c>
      <c r="AE1244" s="19" t="n">
        <v>0.1431</v>
      </c>
      <c r="AF1244" s="19" t="n">
        <v>1.2229</v>
      </c>
      <c r="AG1244" s="19" t="n">
        <v>0.0103</v>
      </c>
      <c r="AH1244" s="23" t="n">
        <v>0</v>
      </c>
      <c r="AI1244" s="23" t="n">
        <v>4.26</v>
      </c>
      <c r="AJ1244" s="19" t="n">
        <v>0.1565</v>
      </c>
    </row>
    <row r="1245">
      <c r="A1245" s="16" t="inlineStr">
        <is>
          <t>MUKANDLTD</t>
        </is>
      </c>
      <c r="B1245" s="16" t="inlineStr">
        <is>
          <t>Mukand Ltd.</t>
        </is>
      </c>
      <c r="C1245" s="16" t="inlineStr">
        <is>
          <t>Iron &amp; Steel/Interm.Products</t>
        </is>
      </c>
      <c r="D1245" s="16" t="inlineStr">
        <is>
          <t>Metals &amp; Mining</t>
        </is>
      </c>
      <c r="E1245" s="16" t="inlineStr">
        <is>
          <t>INE304A01026</t>
        </is>
      </c>
      <c r="F1245" s="17" t="n">
        <v>1942.6</v>
      </c>
      <c r="G1245" s="18" t="n">
        <v>134.44</v>
      </c>
      <c r="H1245" s="19" t="n">
        <v>0.0111</v>
      </c>
      <c r="I1245" s="20" t="n">
        <v>43</v>
      </c>
      <c r="J1245" s="16" t="inlineStr">
        <is>
          <t>red</t>
        </is>
      </c>
      <c r="K1245" s="20" t="n">
        <v>35</v>
      </c>
      <c r="L1245" s="18" t="n">
        <v>47.4</v>
      </c>
      <c r="M1245" s="18" t="n">
        <v>135.69</v>
      </c>
      <c r="N1245" s="18" t="n">
        <v>135.79</v>
      </c>
      <c r="O1245" s="18" t="n">
        <v>131.14</v>
      </c>
      <c r="P1245" s="18" t="n">
        <v>145.83</v>
      </c>
      <c r="Q1245" s="18" t="n">
        <v>113.53</v>
      </c>
      <c r="R1245" s="21">
        <f>IF(OR(G1245="",P1245=""),"",G1245/P1245-1)</f>
        <v/>
      </c>
      <c r="S1245" s="19" t="n">
        <v>0.3382</v>
      </c>
      <c r="T1245" s="22" t="n">
        <v>0.0025</v>
      </c>
      <c r="U1245" s="16" t="inlineStr">
        <is>
          <t>Yes</t>
        </is>
      </c>
      <c r="V1245" s="16" t="inlineStr">
        <is>
          <t>No</t>
        </is>
      </c>
      <c r="W1245" s="16" t="inlineStr">
        <is>
          <t>No</t>
        </is>
      </c>
      <c r="X1245" s="16" t="inlineStr">
        <is>
          <t>Yes</t>
        </is>
      </c>
      <c r="Y1245" s="20" t="n">
        <v>75</v>
      </c>
      <c r="Z1245" s="19" t="n">
        <v>0.0355</v>
      </c>
      <c r="AA1245" s="18" t="n">
        <v>50.98</v>
      </c>
      <c r="AB1245" s="16" t="inlineStr">
        <is>
          <t>Average</t>
        </is>
      </c>
      <c r="AC1245" s="16" t="inlineStr">
        <is>
          <t>No</t>
        </is>
      </c>
      <c r="AD1245" s="19" t="n">
        <v>0.1972</v>
      </c>
      <c r="AE1245" s="19" t="n">
        <v>0.1376</v>
      </c>
      <c r="AF1245" s="19" t="n">
        <v>2.1042</v>
      </c>
      <c r="AG1245" s="19" t="n">
        <v>-0.0436</v>
      </c>
      <c r="AH1245" s="23" t="n">
        <v>1.11</v>
      </c>
      <c r="AI1245" s="23" t="n">
        <v>6.24</v>
      </c>
      <c r="AJ1245" s="19" t="n">
        <v>0.1932</v>
      </c>
    </row>
    <row r="1246">
      <c r="A1246" s="16" t="inlineStr">
        <is>
          <t>GREENPANEL</t>
        </is>
      </c>
      <c r="B1246" s="16" t="inlineStr">
        <is>
          <t>Greenpanel Industries Ltd.</t>
        </is>
      </c>
      <c r="C1246" s="16" t="inlineStr">
        <is>
          <t>Forest Products</t>
        </is>
      </c>
      <c r="D1246" s="16" t="inlineStr">
        <is>
          <t>Forest Materials</t>
        </is>
      </c>
      <c r="E1246" s="16" t="inlineStr">
        <is>
          <t>INE08ZM01014</t>
        </is>
      </c>
      <c r="F1246" s="17" t="n">
        <v>1941.44</v>
      </c>
      <c r="G1246" s="18" t="n">
        <v>158.32</v>
      </c>
      <c r="H1246" s="19" t="n">
        <v>0.0044</v>
      </c>
      <c r="I1246" s="20" t="n">
        <v>4</v>
      </c>
      <c r="J1246" s="16" t="inlineStr">
        <is>
          <t>red</t>
        </is>
      </c>
      <c r="K1246" s="20" t="n">
        <v>228</v>
      </c>
      <c r="L1246" s="18" t="n">
        <v>31.55</v>
      </c>
      <c r="M1246" s="18" t="n">
        <v>158.69</v>
      </c>
      <c r="N1246" s="18" t="n">
        <v>182.28</v>
      </c>
      <c r="O1246" s="18" t="n">
        <v>204.73</v>
      </c>
      <c r="P1246" s="18" t="n">
        <v>321.31</v>
      </c>
      <c r="Q1246" s="18" t="n">
        <v>156.34</v>
      </c>
      <c r="R1246" s="21">
        <f>IF(OR(G1246="",P1246=""),"",G1246/P1246-1)</f>
        <v/>
      </c>
      <c r="S1246" s="19" t="n">
        <v>0.9135</v>
      </c>
      <c r="T1246" s="22" t="n">
        <v>-0.0544</v>
      </c>
      <c r="U1246" s="16" t="inlineStr">
        <is>
          <t>No</t>
        </is>
      </c>
      <c r="V1246" s="16" t="inlineStr">
        <is>
          <t>No</t>
        </is>
      </c>
      <c r="W1246" s="16" t="inlineStr">
        <is>
          <t>No</t>
        </is>
      </c>
      <c r="X1246" s="16" t="inlineStr">
        <is>
          <t>No</t>
        </is>
      </c>
      <c r="Y1246" s="20" t="n">
        <v>177</v>
      </c>
      <c r="Z1246" s="19" t="n">
        <v>-0.1096</v>
      </c>
      <c r="AA1246" s="18" t="n">
        <v>19.62</v>
      </c>
      <c r="AB1246" s="16" t="inlineStr">
        <is>
          <t>Poor</t>
        </is>
      </c>
      <c r="AC1246" s="16" t="inlineStr">
        <is>
          <t>No</t>
        </is>
      </c>
      <c r="AD1246" s="19" t="n">
        <v>0.0444</v>
      </c>
      <c r="AE1246" s="19" t="n">
        <v>0.04650000000000001</v>
      </c>
      <c r="AF1246" s="19" t="n">
        <v>-0.7815000000000001</v>
      </c>
      <c r="AG1246" s="19" t="n">
        <v>-0.0506</v>
      </c>
      <c r="AH1246" s="23" t="n">
        <v>0.27</v>
      </c>
      <c r="AI1246" s="23" t="n">
        <v>1.04</v>
      </c>
      <c r="AJ1246" s="19" t="n">
        <v>0.0147</v>
      </c>
    </row>
    <row r="1247">
      <c r="A1247" s="16" t="inlineStr">
        <is>
          <t>AAYUSHBULL</t>
        </is>
      </c>
      <c r="B1247" s="16" t="inlineStr">
        <is>
          <t>Aayush Art and Bullion Ltd.</t>
        </is>
      </c>
      <c r="C1247" s="16" t="inlineStr">
        <is>
          <t>Textiles</t>
        </is>
      </c>
      <c r="D1247" s="16" t="inlineStr">
        <is>
          <t>Textiles Apparels &amp; Accessories</t>
        </is>
      </c>
      <c r="E1247" s="16" t="inlineStr">
        <is>
          <t>INE777X01017</t>
        </is>
      </c>
      <c r="F1247" s="17" t="n">
        <v>1941.13</v>
      </c>
      <c r="G1247" s="18" t="n">
        <v>1267.7</v>
      </c>
      <c r="H1247" s="19" t="n">
        <v>-0.0005999999999999999</v>
      </c>
      <c r="I1247" s="20" t="n">
        <v>62</v>
      </c>
      <c r="J1247" s="16" t="inlineStr">
        <is>
          <t>amber</t>
        </is>
      </c>
      <c r="K1247" s="20" t="n">
        <v>44</v>
      </c>
      <c r="L1247" s="18" t="n">
        <v>62.84</v>
      </c>
      <c r="M1247" s="18" t="n">
        <v>1275.55</v>
      </c>
      <c r="N1247" s="18" t="n">
        <v>1210.75</v>
      </c>
      <c r="O1247" s="18" t="n">
        <v>1144.01</v>
      </c>
      <c r="P1247" s="18" t="n">
        <v>1283.65</v>
      </c>
      <c r="Q1247" s="18" t="n">
        <v>962.05</v>
      </c>
      <c r="R1247" s="21">
        <f>IF(OR(G1247="",P1247=""),"",G1247/P1247-1)</f>
        <v/>
      </c>
      <c r="S1247" s="19" t="n">
        <v>0.9025</v>
      </c>
      <c r="T1247" s="22" t="n">
        <v>0.0228</v>
      </c>
      <c r="U1247" s="16" t="inlineStr">
        <is>
          <t>Yes</t>
        </is>
      </c>
      <c r="V1247" s="16" t="inlineStr">
        <is>
          <t>Yes</t>
        </is>
      </c>
      <c r="W1247" s="16" t="inlineStr">
        <is>
          <t>No</t>
        </is>
      </c>
      <c r="X1247" s="16" t="inlineStr">
        <is>
          <t>Yes</t>
        </is>
      </c>
      <c r="Y1247" s="20" t="n">
        <v>646</v>
      </c>
      <c r="Z1247" s="19" t="n">
        <v>0.0583</v>
      </c>
      <c r="AA1247" s="18" t="n"/>
      <c r="AB1247" s="16" t="n"/>
      <c r="AC1247" s="16" t="inlineStr">
        <is>
          <t>No</t>
        </is>
      </c>
      <c r="AD1247" s="19" t="n"/>
      <c r="AE1247" s="19" t="n"/>
      <c r="AF1247" s="19" t="n"/>
      <c r="AG1247" s="19" t="n"/>
      <c r="AH1247" s="23" t="n"/>
      <c r="AI1247" s="23" t="n"/>
      <c r="AJ1247" s="19" t="n"/>
    </row>
    <row r="1248">
      <c r="A1248" s="16" t="inlineStr">
        <is>
          <t>PAUSHAKLTD</t>
        </is>
      </c>
      <c r="B1248" s="16" t="inlineStr">
        <is>
          <t>Paushak Ltd.</t>
        </is>
      </c>
      <c r="C1248" s="16" t="inlineStr">
        <is>
          <t>Specialty Chemicals</t>
        </is>
      </c>
      <c r="D1248" s="16" t="inlineStr">
        <is>
          <t>Chemicals &amp; Petrochemicals</t>
        </is>
      </c>
      <c r="E1248" s="16" t="inlineStr">
        <is>
          <t>INE111F01024</t>
        </is>
      </c>
      <c r="F1248" s="17" t="n">
        <v>1936.8</v>
      </c>
      <c r="G1248" s="18" t="n">
        <v>785.5</v>
      </c>
      <c r="H1248" s="19" t="n">
        <v>-0.0256</v>
      </c>
      <c r="I1248" s="20" t="n">
        <v>91</v>
      </c>
      <c r="J1248" s="16" t="inlineStr">
        <is>
          <t>green</t>
        </is>
      </c>
      <c r="K1248" s="20" t="n">
        <v>24</v>
      </c>
      <c r="L1248" s="18" t="n">
        <v>59.48</v>
      </c>
      <c r="M1248" s="18" t="n">
        <v>775.3099999999999</v>
      </c>
      <c r="N1248" s="18" t="n">
        <v>648.53</v>
      </c>
      <c r="O1248" s="18" t="n"/>
      <c r="P1248" s="18" t="n">
        <v>806.15</v>
      </c>
      <c r="Q1248" s="18" t="n">
        <v>343.32</v>
      </c>
      <c r="R1248" s="21">
        <f>IF(OR(G1248="",P1248=""),"",G1248/P1248-1)</f>
        <v/>
      </c>
      <c r="S1248" s="19" t="n">
        <v>0.2599</v>
      </c>
      <c r="T1248" s="22" t="n"/>
      <c r="U1248" s="16" t="n"/>
      <c r="V1248" s="16" t="inlineStr">
        <is>
          <t>Yes</t>
        </is>
      </c>
      <c r="W1248" s="16" t="inlineStr">
        <is>
          <t>Yes</t>
        </is>
      </c>
      <c r="X1248" s="16" t="n"/>
      <c r="Y1248" s="20" t="n"/>
      <c r="Z1248" s="19" t="n"/>
      <c r="AA1248" s="18" t="n">
        <v>36.98</v>
      </c>
      <c r="AB1248" s="16" t="inlineStr">
        <is>
          <t>Weak</t>
        </is>
      </c>
      <c r="AC1248" s="16" t="inlineStr">
        <is>
          <t>No</t>
        </is>
      </c>
      <c r="AD1248" s="19" t="n">
        <v>0.1065</v>
      </c>
      <c r="AE1248" s="19" t="n">
        <v>0.1283</v>
      </c>
      <c r="AF1248" s="19" t="n">
        <v>-0.09619999999999999</v>
      </c>
      <c r="AG1248" s="19" t="n">
        <v>0.0103</v>
      </c>
      <c r="AH1248" s="23" t="n">
        <v>0.16</v>
      </c>
      <c r="AI1248" s="23" t="n">
        <v>0.54</v>
      </c>
      <c r="AJ1248" s="19" t="n">
        <v>0.0654</v>
      </c>
    </row>
    <row r="1249">
      <c r="A1249" s="16" t="inlineStr">
        <is>
          <t>SYNCOMF</t>
        </is>
      </c>
      <c r="B1249" s="16" t="inlineStr">
        <is>
          <t>Syncom Formulation (India) Ltd.</t>
        </is>
      </c>
      <c r="C1249" s="16" t="inlineStr">
        <is>
          <t>Pharmaceuticals</t>
        </is>
      </c>
      <c r="D1249" s="16" t="inlineStr">
        <is>
          <t>Pharmaceuticals &amp; Biotechnology</t>
        </is>
      </c>
      <c r="E1249" s="16" t="inlineStr">
        <is>
          <t>INE312C01025</t>
        </is>
      </c>
      <c r="F1249" s="17" t="n">
        <v>1934.52</v>
      </c>
      <c r="G1249" s="18" t="n">
        <v>20.58</v>
      </c>
      <c r="H1249" s="19" t="n">
        <v>-0.0365</v>
      </c>
      <c r="I1249" s="20" t="n">
        <v>82</v>
      </c>
      <c r="J1249" s="16" t="inlineStr">
        <is>
          <t>green</t>
        </is>
      </c>
      <c r="K1249" s="20" t="n">
        <v>4</v>
      </c>
      <c r="L1249" s="18" t="n">
        <v>81.45999999999999</v>
      </c>
      <c r="M1249" s="18" t="n">
        <v>19.59</v>
      </c>
      <c r="N1249" s="18" t="n">
        <v>15.04</v>
      </c>
      <c r="O1249" s="18" t="n">
        <v>14.05</v>
      </c>
      <c r="P1249" s="18" t="n">
        <v>21.39</v>
      </c>
      <c r="Q1249" s="18" t="n">
        <v>10.3</v>
      </c>
      <c r="R1249" s="21">
        <f>IF(OR(G1249="",P1249=""),"",G1249/P1249-1)</f>
        <v/>
      </c>
      <c r="S1249" s="19" t="n">
        <v>1.5453</v>
      </c>
      <c r="T1249" s="22" t="n">
        <v>0.0054</v>
      </c>
      <c r="U1249" s="16" t="inlineStr">
        <is>
          <t>Yes</t>
        </is>
      </c>
      <c r="V1249" s="16" t="inlineStr">
        <is>
          <t>Yes</t>
        </is>
      </c>
      <c r="W1249" s="16" t="inlineStr">
        <is>
          <t>Yes</t>
        </is>
      </c>
      <c r="X1249" s="16" t="inlineStr">
        <is>
          <t>Yes</t>
        </is>
      </c>
      <c r="Y1249" s="20" t="n">
        <v>14</v>
      </c>
      <c r="Z1249" s="19" t="n">
        <v>0.0707</v>
      </c>
      <c r="AA1249" s="18" t="n">
        <v>72.29000000000001</v>
      </c>
      <c r="AB1249" s="16" t="inlineStr">
        <is>
          <t>High</t>
        </is>
      </c>
      <c r="AC1249" s="16" t="inlineStr">
        <is>
          <t>No</t>
        </is>
      </c>
      <c r="AD1249" s="19" t="n">
        <v>0.1389</v>
      </c>
      <c r="AE1249" s="19" t="n">
        <v>0.1811</v>
      </c>
      <c r="AF1249" s="19" t="n">
        <v>0.5728</v>
      </c>
      <c r="AG1249" s="19" t="n">
        <v>0.337</v>
      </c>
      <c r="AH1249" s="23" t="n">
        <v>0</v>
      </c>
      <c r="AI1249" s="23" t="n">
        <v>5.45</v>
      </c>
      <c r="AJ1249" s="19" t="n">
        <v>0</v>
      </c>
    </row>
    <row r="1250">
      <c r="A1250" s="16" t="inlineStr">
        <is>
          <t>LAOPALA</t>
        </is>
      </c>
      <c r="B1250" s="16" t="inlineStr">
        <is>
          <t>La Opala RG Ltd.</t>
        </is>
      </c>
      <c r="C1250" s="16" t="inlineStr">
        <is>
          <t>Houseware</t>
        </is>
      </c>
      <c r="D1250" s="16" t="inlineStr">
        <is>
          <t>Consumer Durables</t>
        </is>
      </c>
      <c r="E1250" s="16" t="inlineStr">
        <is>
          <t>INE059D01020</t>
        </is>
      </c>
      <c r="F1250" s="17" t="n">
        <v>1930.29</v>
      </c>
      <c r="G1250" s="18" t="n">
        <v>173.9</v>
      </c>
      <c r="H1250" s="19" t="n">
        <v>0.0137</v>
      </c>
      <c r="I1250" s="20" t="n">
        <v>22</v>
      </c>
      <c r="J1250" s="16" t="inlineStr">
        <is>
          <t>red</t>
        </is>
      </c>
      <c r="K1250" s="20" t="n">
        <v>501</v>
      </c>
      <c r="L1250" s="18" t="n">
        <v>30.8</v>
      </c>
      <c r="M1250" s="18" t="n">
        <v>172.53</v>
      </c>
      <c r="N1250" s="18" t="n">
        <v>179.23</v>
      </c>
      <c r="O1250" s="18" t="n">
        <v>184.08</v>
      </c>
      <c r="P1250" s="18" t="n">
        <v>250.21</v>
      </c>
      <c r="Q1250" s="18" t="n">
        <v>159.62</v>
      </c>
      <c r="R1250" s="21">
        <f>IF(OR(G1250="",P1250=""),"",G1250/P1250-1)</f>
        <v/>
      </c>
      <c r="S1250" s="19" t="n">
        <v>0.1589</v>
      </c>
      <c r="T1250" s="22" t="n">
        <v>-0.0234</v>
      </c>
      <c r="U1250" s="16" t="inlineStr">
        <is>
          <t>No</t>
        </is>
      </c>
      <c r="V1250" s="16" t="inlineStr">
        <is>
          <t>No</t>
        </is>
      </c>
      <c r="W1250" s="16" t="inlineStr">
        <is>
          <t>Yes</t>
        </is>
      </c>
      <c r="X1250" s="16" t="inlineStr">
        <is>
          <t>No</t>
        </is>
      </c>
      <c r="Y1250" s="20" t="n">
        <v>202</v>
      </c>
      <c r="Z1250" s="19" t="n">
        <v>-0.0263</v>
      </c>
      <c r="AA1250" s="18" t="n">
        <v>40</v>
      </c>
      <c r="AB1250" s="16" t="inlineStr">
        <is>
          <t>Weak</t>
        </is>
      </c>
      <c r="AC1250" s="16" t="inlineStr">
        <is>
          <t>No</t>
        </is>
      </c>
      <c r="AD1250" s="19" t="n">
        <v>0.1266</v>
      </c>
      <c r="AE1250" s="19" t="n">
        <v>0.1611</v>
      </c>
      <c r="AF1250" s="19" t="n">
        <v>-0.083</v>
      </c>
      <c r="AG1250" s="19" t="n">
        <v>-0.1193</v>
      </c>
      <c r="AH1250" s="23" t="n">
        <v>0.01</v>
      </c>
      <c r="AI1250" s="23" t="n">
        <v>1.79</v>
      </c>
      <c r="AJ1250" s="19" t="n">
        <v>0.0097</v>
      </c>
    </row>
    <row r="1251">
      <c r="A1251" s="16" t="inlineStr">
        <is>
          <t>CFF</t>
        </is>
      </c>
      <c r="B1251" s="16" t="inlineStr">
        <is>
          <t>CFF Fluid Control Ltd.</t>
        </is>
      </c>
      <c r="C1251" s="16" t="inlineStr">
        <is>
          <t>Aerospace &amp; Defence</t>
        </is>
      </c>
      <c r="D1251" s="16" t="inlineStr">
        <is>
          <t>General Industrials</t>
        </is>
      </c>
      <c r="E1251" s="16" t="inlineStr">
        <is>
          <t>INE0NJ001013</t>
        </is>
      </c>
      <c r="F1251" s="17" t="n">
        <v>1926.57</v>
      </c>
      <c r="G1251" s="18" t="n">
        <v>989.3</v>
      </c>
      <c r="H1251" s="19" t="n">
        <v>-0.0052</v>
      </c>
      <c r="I1251" s="20" t="n">
        <v>88</v>
      </c>
      <c r="J1251" s="16" t="inlineStr">
        <is>
          <t>green</t>
        </is>
      </c>
      <c r="K1251" s="20" t="n">
        <v>38</v>
      </c>
      <c r="L1251" s="18" t="n">
        <v>50.1</v>
      </c>
      <c r="M1251" s="18" t="n">
        <v>1018.79</v>
      </c>
      <c r="N1251" s="18" t="n">
        <v>955.86</v>
      </c>
      <c r="O1251" s="18" t="n">
        <v>714.35</v>
      </c>
      <c r="P1251" s="18" t="n">
        <v>1046.1</v>
      </c>
      <c r="Q1251" s="18" t="n">
        <v>503.75</v>
      </c>
      <c r="R1251" s="21">
        <f>IF(OR(G1251="",P1251=""),"",G1251/P1251-1)</f>
        <v/>
      </c>
      <c r="S1251" s="19" t="n">
        <v>0.6873999999999999</v>
      </c>
      <c r="T1251" s="22" t="n">
        <v>0.052</v>
      </c>
      <c r="U1251" s="16" t="inlineStr">
        <is>
          <t>Yes</t>
        </is>
      </c>
      <c r="V1251" s="16" t="inlineStr">
        <is>
          <t>Yes</t>
        </is>
      </c>
      <c r="W1251" s="16" t="inlineStr">
        <is>
          <t>No</t>
        </is>
      </c>
      <c r="X1251" s="16" t="inlineStr">
        <is>
          <t>Yes</t>
        </is>
      </c>
      <c r="Y1251" s="20" t="n">
        <v>90</v>
      </c>
      <c r="Z1251" s="19" t="n">
        <v>0.3381</v>
      </c>
      <c r="AA1251" s="18" t="n"/>
      <c r="AB1251" s="16" t="n"/>
      <c r="AC1251" s="16" t="inlineStr">
        <is>
          <t>No</t>
        </is>
      </c>
      <c r="AD1251" s="19" t="n"/>
      <c r="AE1251" s="19" t="n"/>
      <c r="AF1251" s="19" t="n"/>
      <c r="AG1251" s="19" t="n"/>
      <c r="AH1251" s="23" t="n"/>
      <c r="AI1251" s="23" t="n"/>
      <c r="AJ1251" s="19" t="n"/>
    </row>
    <row r="1252">
      <c r="A1252" s="16" t="inlineStr">
        <is>
          <t>HUHTAMAKI</t>
        </is>
      </c>
      <c r="B1252" s="16" t="inlineStr">
        <is>
          <t>Huhtamaki India Ltd.</t>
        </is>
      </c>
      <c r="C1252" s="16" t="inlineStr">
        <is>
          <t>Containers &amp; Packaging</t>
        </is>
      </c>
      <c r="D1252" s="16" t="inlineStr">
        <is>
          <t>Commercial Services &amp; Supplies</t>
        </is>
      </c>
      <c r="E1252" s="16" t="inlineStr">
        <is>
          <t>INE275B01026</t>
        </is>
      </c>
      <c r="F1252" s="17" t="n">
        <v>1925.81</v>
      </c>
      <c r="G1252" s="18" t="n">
        <v>255</v>
      </c>
      <c r="H1252" s="19" t="n">
        <v>-0.0124</v>
      </c>
      <c r="I1252" s="20" t="n">
        <v>79</v>
      </c>
      <c r="J1252" s="16" t="inlineStr">
        <is>
          <t>amber</t>
        </is>
      </c>
      <c r="K1252" s="20" t="n">
        <v>1</v>
      </c>
      <c r="L1252" s="18" t="n">
        <v>27.18</v>
      </c>
      <c r="M1252" s="18" t="n">
        <v>261.28</v>
      </c>
      <c r="N1252" s="18" t="n">
        <v>259.77</v>
      </c>
      <c r="O1252" s="18" t="n">
        <v>202.87</v>
      </c>
      <c r="P1252" s="18" t="n">
        <v>318.68</v>
      </c>
      <c r="Q1252" s="18" t="n">
        <v>148.32</v>
      </c>
      <c r="R1252" s="21">
        <f>IF(OR(G1252="",P1252=""),"",G1252/P1252-1)</f>
        <v/>
      </c>
      <c r="S1252" s="19" t="n">
        <v>0.2133</v>
      </c>
      <c r="T1252" s="22" t="n">
        <v>0.0134</v>
      </c>
      <c r="U1252" s="16" t="inlineStr">
        <is>
          <t>Yes</t>
        </is>
      </c>
      <c r="V1252" s="16" t="inlineStr">
        <is>
          <t>No</t>
        </is>
      </c>
      <c r="W1252" s="16" t="inlineStr">
        <is>
          <t>No</t>
        </is>
      </c>
      <c r="X1252" s="16" t="inlineStr">
        <is>
          <t>Yes</t>
        </is>
      </c>
      <c r="Y1252" s="20" t="n">
        <v>30</v>
      </c>
      <c r="Z1252" s="19" t="n">
        <v>0.2804</v>
      </c>
      <c r="AA1252" s="18" t="n">
        <v>48.21</v>
      </c>
      <c r="AB1252" s="16" t="inlineStr">
        <is>
          <t>Average</t>
        </is>
      </c>
      <c r="AC1252" s="16" t="inlineStr">
        <is>
          <t>No</t>
        </is>
      </c>
      <c r="AD1252" s="19" t="n">
        <v>0.0906</v>
      </c>
      <c r="AE1252" s="19" t="n">
        <v>0.1997</v>
      </c>
      <c r="AF1252" s="19" t="n">
        <v>0.0297</v>
      </c>
      <c r="AG1252" s="19" t="n">
        <v>-0.0188</v>
      </c>
      <c r="AH1252" s="23" t="n">
        <v>0.11</v>
      </c>
      <c r="AI1252" s="23" t="n">
        <v>4.13</v>
      </c>
      <c r="AJ1252" s="19" t="n">
        <v>0.0678</v>
      </c>
    </row>
    <row r="1253">
      <c r="A1253" s="16" t="inlineStr">
        <is>
          <t>JINDRILL</t>
        </is>
      </c>
      <c r="B1253" s="16" t="inlineStr">
        <is>
          <t>Jindal Drilling &amp; Industries Ltd.</t>
        </is>
      </c>
      <c r="C1253" s="16" t="inlineStr">
        <is>
          <t>Exploration &amp; Production</t>
        </is>
      </c>
      <c r="D1253" s="16" t="inlineStr">
        <is>
          <t>Oil &amp; Gas</t>
        </is>
      </c>
      <c r="E1253" s="16" t="inlineStr">
        <is>
          <t>INE742C01031</t>
        </is>
      </c>
      <c r="F1253" s="17" t="n">
        <v>1921.59</v>
      </c>
      <c r="G1253" s="18" t="n">
        <v>663.05</v>
      </c>
      <c r="H1253" s="19" t="n">
        <v>0.0202</v>
      </c>
      <c r="I1253" s="20" t="n">
        <v>59</v>
      </c>
      <c r="J1253" s="16" t="inlineStr">
        <is>
          <t>red</t>
        </is>
      </c>
      <c r="K1253" s="20" t="n">
        <v>13</v>
      </c>
      <c r="L1253" s="18" t="n">
        <v>68.72</v>
      </c>
      <c r="M1253" s="18" t="n">
        <v>634.78</v>
      </c>
      <c r="N1253" s="18" t="n">
        <v>603.51</v>
      </c>
      <c r="O1253" s="18" t="n">
        <v>554.11</v>
      </c>
      <c r="P1253" s="18" t="n">
        <v>668.72</v>
      </c>
      <c r="Q1253" s="18" t="n">
        <v>444.58</v>
      </c>
      <c r="R1253" s="21">
        <f>IF(OR(G1253="",P1253=""),"",G1253/P1253-1)</f>
        <v/>
      </c>
      <c r="S1253" s="19" t="n">
        <v>0.7232</v>
      </c>
      <c r="T1253" s="22" t="n">
        <v>0.009399999999999999</v>
      </c>
      <c r="U1253" s="16" t="inlineStr">
        <is>
          <t>Yes</t>
        </is>
      </c>
      <c r="V1253" s="16" t="inlineStr">
        <is>
          <t>Yes</t>
        </is>
      </c>
      <c r="W1253" s="16" t="inlineStr">
        <is>
          <t>Yes</t>
        </is>
      </c>
      <c r="X1253" s="16" t="inlineStr">
        <is>
          <t>Yes</t>
        </is>
      </c>
      <c r="Y1253" s="20" t="n">
        <v>69</v>
      </c>
      <c r="Z1253" s="19" t="n">
        <v>0.0892</v>
      </c>
      <c r="AA1253" s="18" t="n">
        <v>54.69</v>
      </c>
      <c r="AB1253" s="16" t="inlineStr">
        <is>
          <t>Good</t>
        </is>
      </c>
      <c r="AC1253" s="16" t="inlineStr">
        <is>
          <t>No</t>
        </is>
      </c>
      <c r="AD1253" s="19" t="n">
        <v>0.0964</v>
      </c>
      <c r="AE1253" s="19" t="n">
        <v>0.1085</v>
      </c>
      <c r="AF1253" s="19" t="n">
        <v>0.9081</v>
      </c>
      <c r="AG1253" s="19" t="n">
        <v>0.2501</v>
      </c>
      <c r="AH1253" s="23" t="n">
        <v>0.05</v>
      </c>
      <c r="AI1253" s="23" t="n">
        <v>0.84</v>
      </c>
      <c r="AJ1253" s="19" t="n">
        <v>0.005500000000000001</v>
      </c>
    </row>
    <row r="1254">
      <c r="A1254" s="16" t="inlineStr">
        <is>
          <t>NUCLEUS</t>
        </is>
      </c>
      <c r="B1254" s="16" t="inlineStr">
        <is>
          <t>Nucleus Software Exports Ltd.</t>
        </is>
      </c>
      <c r="C1254" s="16" t="inlineStr">
        <is>
          <t>IT Consulting &amp; Software</t>
        </is>
      </c>
      <c r="D1254" s="16" t="inlineStr">
        <is>
          <t>Software &amp; Services</t>
        </is>
      </c>
      <c r="E1254" s="16" t="inlineStr">
        <is>
          <t>INE096B01018</t>
        </is>
      </c>
      <c r="F1254" s="17" t="n">
        <v>1919.51</v>
      </c>
      <c r="G1254" s="18" t="n">
        <v>729.15</v>
      </c>
      <c r="H1254" s="19" t="n">
        <v>-0.0147</v>
      </c>
      <c r="I1254" s="20" t="n">
        <v>25</v>
      </c>
      <c r="J1254" s="16" t="inlineStr">
        <is>
          <t>red</t>
        </is>
      </c>
      <c r="K1254" s="20" t="n">
        <v>285</v>
      </c>
      <c r="L1254" s="18" t="n">
        <v>61.07</v>
      </c>
      <c r="M1254" s="18" t="n">
        <v>739.79</v>
      </c>
      <c r="N1254" s="18" t="n">
        <v>732.1</v>
      </c>
      <c r="O1254" s="18" t="n">
        <v>799.92</v>
      </c>
      <c r="P1254" s="18" t="n">
        <v>1049.17</v>
      </c>
      <c r="Q1254" s="18" t="n">
        <v>683.91</v>
      </c>
      <c r="R1254" s="21">
        <f>IF(OR(G1254="",P1254=""),"",G1254/P1254-1)</f>
        <v/>
      </c>
      <c r="S1254" s="19" t="n">
        <v>0.9544</v>
      </c>
      <c r="T1254" s="22" t="n">
        <v>-0.0311</v>
      </c>
      <c r="U1254" s="16" t="inlineStr">
        <is>
          <t>No</t>
        </is>
      </c>
      <c r="V1254" s="16" t="inlineStr">
        <is>
          <t>No</t>
        </is>
      </c>
      <c r="W1254" s="16" t="inlineStr">
        <is>
          <t>No</t>
        </is>
      </c>
      <c r="X1254" s="16" t="inlineStr">
        <is>
          <t>No</t>
        </is>
      </c>
      <c r="Y1254" s="20" t="n">
        <v>195</v>
      </c>
      <c r="Z1254" s="19" t="n">
        <v>-0.0848</v>
      </c>
      <c r="AA1254" s="18" t="n">
        <v>68.40000000000001</v>
      </c>
      <c r="AB1254" s="16" t="inlineStr">
        <is>
          <t>High</t>
        </is>
      </c>
      <c r="AC1254" s="16" t="inlineStr">
        <is>
          <t>No</t>
        </is>
      </c>
      <c r="AD1254" s="19" t="n">
        <v>0.1917</v>
      </c>
      <c r="AE1254" s="19" t="n">
        <v>0.2537</v>
      </c>
      <c r="AF1254" s="19" t="n">
        <v>0.0265</v>
      </c>
      <c r="AG1254" s="19" t="n">
        <v>0.1207</v>
      </c>
      <c r="AH1254" s="23" t="n">
        <v>0.01</v>
      </c>
      <c r="AI1254" s="23" t="n">
        <v>11.87</v>
      </c>
      <c r="AJ1254" s="19" t="n">
        <v>0.0012</v>
      </c>
    </row>
    <row r="1255">
      <c r="A1255" s="16" t="inlineStr">
        <is>
          <t>SPANDANA</t>
        </is>
      </c>
      <c r="B1255" s="16" t="inlineStr">
        <is>
          <t>Spandana Sphoorty Financial Ltd.</t>
        </is>
      </c>
      <c r="C1255" s="16" t="inlineStr">
        <is>
          <t>Microfinance Institutions</t>
        </is>
      </c>
      <c r="D1255" s="16" t="inlineStr">
        <is>
          <t>Banking and Finance</t>
        </is>
      </c>
      <c r="E1255" s="16" t="inlineStr">
        <is>
          <t>INE572J01011</t>
        </is>
      </c>
      <c r="F1255" s="17" t="n">
        <v>1917.82</v>
      </c>
      <c r="G1255" s="18" t="n">
        <v>239.81</v>
      </c>
      <c r="H1255" s="19" t="n">
        <v>0.0139</v>
      </c>
      <c r="I1255" s="20" t="n">
        <v>33</v>
      </c>
      <c r="J1255" s="16" t="inlineStr">
        <is>
          <t>red</t>
        </is>
      </c>
      <c r="K1255" s="20" t="n">
        <v>27</v>
      </c>
      <c r="L1255" s="18" t="n">
        <v>40.08</v>
      </c>
      <c r="M1255" s="18" t="n">
        <v>240.5</v>
      </c>
      <c r="N1255" s="18" t="n">
        <v>266.34</v>
      </c>
      <c r="O1255" s="18" t="n">
        <v>251.49</v>
      </c>
      <c r="P1255" s="18" t="n">
        <v>310.55</v>
      </c>
      <c r="Q1255" s="18" t="n">
        <v>184.15</v>
      </c>
      <c r="R1255" s="21">
        <f>IF(OR(G1255="",P1255=""),"",G1255/P1255-1)</f>
        <v/>
      </c>
      <c r="S1255" s="19" t="n">
        <v>0.4616</v>
      </c>
      <c r="T1255" s="22" t="n">
        <v>-0.0036</v>
      </c>
      <c r="U1255" s="16" t="inlineStr">
        <is>
          <t>No</t>
        </is>
      </c>
      <c r="V1255" s="16" t="inlineStr">
        <is>
          <t>No</t>
        </is>
      </c>
      <c r="W1255" s="16" t="inlineStr">
        <is>
          <t>No</t>
        </is>
      </c>
      <c r="X1255" s="16" t="inlineStr">
        <is>
          <t>Yes</t>
        </is>
      </c>
      <c r="Y1255" s="20" t="n">
        <v>52</v>
      </c>
      <c r="Z1255" s="19" t="n">
        <v>0.0591</v>
      </c>
      <c r="AA1255" s="18" t="n">
        <v>37.26</v>
      </c>
      <c r="AB1255" s="16" t="inlineStr">
        <is>
          <t>Weak</t>
        </is>
      </c>
      <c r="AC1255" s="16" t="inlineStr">
        <is>
          <t>Yes</t>
        </is>
      </c>
      <c r="AD1255" s="19" t="n">
        <v>-0.1947</v>
      </c>
      <c r="AE1255" s="19" t="n">
        <v>-0.08900000000000001</v>
      </c>
      <c r="AF1255" s="19" t="n">
        <v>12.0787</v>
      </c>
      <c r="AG1255" s="19" t="n">
        <v>0.0488</v>
      </c>
      <c r="AH1255" s="23" t="n">
        <v>1.85</v>
      </c>
      <c r="AI1255" s="23" t="n">
        <v>50.12</v>
      </c>
      <c r="AJ1255" s="19" t="n">
        <v>0</v>
      </c>
    </row>
    <row r="1256">
      <c r="A1256" s="16" t="inlineStr">
        <is>
          <t>VIDYAWIRES</t>
        </is>
      </c>
      <c r="B1256" s="16" t="inlineStr">
        <is>
          <t>Vidya Wires Ltd.</t>
        </is>
      </c>
      <c r="C1256" s="16" t="inlineStr">
        <is>
          <t>Other Electrical Equipment/Products</t>
        </is>
      </c>
      <c r="D1256" s="16" t="inlineStr">
        <is>
          <t>Consumer Durables</t>
        </is>
      </c>
      <c r="E1256" s="16" t="inlineStr">
        <is>
          <t>INE14UN01029</t>
        </is>
      </c>
      <c r="F1256" s="17" t="n">
        <v>1917</v>
      </c>
      <c r="G1256" s="18" t="n">
        <v>90.13</v>
      </c>
      <c r="H1256" s="19" t="n">
        <v>0.0076</v>
      </c>
      <c r="I1256" s="20" t="n">
        <v>69</v>
      </c>
      <c r="J1256" s="16" t="inlineStr">
        <is>
          <t>amber</t>
        </is>
      </c>
      <c r="K1256" s="20" t="n">
        <v>5</v>
      </c>
      <c r="L1256" s="18" t="n">
        <v>52.02</v>
      </c>
      <c r="M1256" s="18" t="n">
        <v>89.05</v>
      </c>
      <c r="N1256" s="18" t="n">
        <v>92.31</v>
      </c>
      <c r="O1256" s="18" t="n"/>
      <c r="P1256" s="18" t="n">
        <v>114</v>
      </c>
      <c r="Q1256" s="18" t="n">
        <v>44.87</v>
      </c>
      <c r="R1256" s="21">
        <f>IF(OR(G1256="",P1256=""),"",G1256/P1256-1)</f>
        <v/>
      </c>
      <c r="S1256" s="19" t="n">
        <v>0.8637999999999999</v>
      </c>
      <c r="T1256" s="22" t="n"/>
      <c r="U1256" s="16" t="n"/>
      <c r="V1256" s="16" t="inlineStr">
        <is>
          <t>No</t>
        </is>
      </c>
      <c r="W1256" s="16" t="inlineStr">
        <is>
          <t>Yes</t>
        </is>
      </c>
      <c r="X1256" s="16" t="n"/>
      <c r="Y1256" s="20" t="n"/>
      <c r="Z1256" s="19" t="n"/>
      <c r="AA1256" s="18" t="n">
        <v>72.66</v>
      </c>
      <c r="AB1256" s="16" t="inlineStr">
        <is>
          <t>High</t>
        </is>
      </c>
      <c r="AC1256" s="16" t="inlineStr">
        <is>
          <t>No</t>
        </is>
      </c>
      <c r="AD1256" s="19" t="n">
        <v>0.1896</v>
      </c>
      <c r="AE1256" s="19" t="n">
        <v>0.1876</v>
      </c>
      <c r="AF1256" s="19" t="n">
        <v>0.3985</v>
      </c>
      <c r="AG1256" s="19" t="n">
        <v>0.2224</v>
      </c>
      <c r="AH1256" s="23" t="n">
        <v>0.18</v>
      </c>
      <c r="AI1256" s="23" t="n">
        <v>12.87</v>
      </c>
      <c r="AJ1256" s="19" t="n">
        <v>0.5061</v>
      </c>
    </row>
    <row r="1257">
      <c r="A1257" s="16" t="inlineStr">
        <is>
          <t>BLEL</t>
        </is>
      </c>
      <c r="B1257" s="16" t="inlineStr">
        <is>
          <t>Behari Lal Engineering Ltd.</t>
        </is>
      </c>
      <c r="C1257" s="16" t="inlineStr">
        <is>
          <t>Iron &amp; Steel/Interm.Products</t>
        </is>
      </c>
      <c r="D1257" s="16" t="inlineStr">
        <is>
          <t>Metals &amp; Mining</t>
        </is>
      </c>
      <c r="E1257" s="16" t="inlineStr">
        <is>
          <t>INE1EEM01017</t>
        </is>
      </c>
      <c r="F1257" s="17" t="n">
        <v>1916.94</v>
      </c>
      <c r="G1257" s="18" t="n">
        <v>453.15</v>
      </c>
      <c r="H1257" s="19" t="n">
        <v>-0.0024</v>
      </c>
      <c r="I1257" s="20" t="n"/>
      <c r="J1257" s="16" t="n"/>
      <c r="K1257" s="20" t="n"/>
      <c r="L1257" s="18" t="n"/>
      <c r="M1257" s="18" t="n">
        <v>453.49</v>
      </c>
      <c r="N1257" s="18" t="n"/>
      <c r="O1257" s="18" t="n"/>
      <c r="P1257" s="18" t="n">
        <v>504.25</v>
      </c>
      <c r="Q1257" s="18" t="n">
        <v>436.4</v>
      </c>
      <c r="R1257" s="21">
        <f>IF(OR(G1257="",P1257=""),"",G1257/P1257-1)</f>
        <v/>
      </c>
      <c r="S1257" s="19" t="n">
        <v>0.1169</v>
      </c>
      <c r="T1257" s="22" t="n"/>
      <c r="U1257" s="16" t="n"/>
      <c r="V1257" s="16" t="n"/>
      <c r="W1257" s="16" t="inlineStr">
        <is>
          <t>No</t>
        </is>
      </c>
      <c r="X1257" s="16" t="n"/>
      <c r="Y1257" s="20" t="n"/>
      <c r="Z1257" s="19" t="n"/>
      <c r="AA1257" s="18" t="n"/>
      <c r="AB1257" s="16" t="n"/>
      <c r="AC1257" s="16" t="inlineStr">
        <is>
          <t>No</t>
        </is>
      </c>
      <c r="AD1257" s="19" t="n"/>
      <c r="AE1257" s="19" t="n"/>
      <c r="AF1257" s="19" t="n"/>
      <c r="AG1257" s="19" t="n"/>
      <c r="AH1257" s="23" t="n"/>
      <c r="AI1257" s="23" t="n"/>
      <c r="AJ1257" s="19" t="n"/>
    </row>
    <row r="1258">
      <c r="A1258" s="16" t="inlineStr">
        <is>
          <t>MACPOWER</t>
        </is>
      </c>
      <c r="B1258" s="16" t="inlineStr">
        <is>
          <t>Macpower CNC Machines Ltd.</t>
        </is>
      </c>
      <c r="C1258" s="16" t="inlineStr">
        <is>
          <t>Industrial Machinery</t>
        </is>
      </c>
      <c r="D1258" s="16" t="inlineStr">
        <is>
          <t>General Industrials</t>
        </is>
      </c>
      <c r="E1258" s="16" t="inlineStr">
        <is>
          <t>INE155Z01011</t>
        </is>
      </c>
      <c r="F1258" s="17" t="n">
        <v>1905.7</v>
      </c>
      <c r="G1258" s="18" t="n">
        <v>1904.9</v>
      </c>
      <c r="H1258" s="19" t="n">
        <v>-0.0202</v>
      </c>
      <c r="I1258" s="20" t="n">
        <v>95</v>
      </c>
      <c r="J1258" s="16" t="inlineStr">
        <is>
          <t>green</t>
        </is>
      </c>
      <c r="K1258" s="20" t="n">
        <v>50</v>
      </c>
      <c r="L1258" s="18" t="n">
        <v>56.88</v>
      </c>
      <c r="M1258" s="18" t="n">
        <v>1919.96</v>
      </c>
      <c r="N1258" s="18" t="n">
        <v>1587.56</v>
      </c>
      <c r="O1258" s="18" t="n">
        <v>1140.59</v>
      </c>
      <c r="P1258" s="18" t="n">
        <v>2007.1</v>
      </c>
      <c r="Q1258" s="18" t="n">
        <v>778.25</v>
      </c>
      <c r="R1258" s="21">
        <f>IF(OR(G1258="",P1258=""),"",G1258/P1258-1)</f>
        <v/>
      </c>
      <c r="S1258" s="19" t="n">
        <v>0.5760999999999999</v>
      </c>
      <c r="T1258" s="22" t="n">
        <v>0.0999</v>
      </c>
      <c r="U1258" s="16" t="inlineStr">
        <is>
          <t>Yes</t>
        </is>
      </c>
      <c r="V1258" s="16" t="inlineStr">
        <is>
          <t>Yes</t>
        </is>
      </c>
      <c r="W1258" s="16" t="inlineStr">
        <is>
          <t>No</t>
        </is>
      </c>
      <c r="X1258" s="16" t="inlineStr">
        <is>
          <t>Yes</t>
        </is>
      </c>
      <c r="Y1258" s="20" t="n">
        <v>100</v>
      </c>
      <c r="Z1258" s="19" t="n">
        <v>0.3919</v>
      </c>
      <c r="AA1258" s="18" t="n">
        <v>40</v>
      </c>
      <c r="AB1258" s="16" t="inlineStr">
        <is>
          <t>Weak</t>
        </is>
      </c>
      <c r="AC1258" s="16" t="inlineStr">
        <is>
          <t>No</t>
        </is>
      </c>
      <c r="AD1258" s="19" t="n">
        <v>0.1912</v>
      </c>
      <c r="AE1258" s="19" t="n">
        <v>0.2597</v>
      </c>
      <c r="AF1258" s="19" t="n">
        <v>-0.0252</v>
      </c>
      <c r="AG1258" s="19" t="n">
        <v>0.1843</v>
      </c>
      <c r="AH1258" s="23" t="n">
        <v>0</v>
      </c>
      <c r="AI1258" s="23" t="n">
        <v>5.59</v>
      </c>
      <c r="AJ1258" s="19" t="n">
        <v>0.0109</v>
      </c>
    </row>
    <row r="1259">
      <c r="A1259" s="16" t="inlineStr">
        <is>
          <t>INDORAMA</t>
        </is>
      </c>
      <c r="B1259" s="16" t="inlineStr">
        <is>
          <t>Indo Rama Synthetics (India) Ltd.</t>
        </is>
      </c>
      <c r="C1259" s="16" t="inlineStr">
        <is>
          <t>Textiles</t>
        </is>
      </c>
      <c r="D1259" s="16" t="inlineStr">
        <is>
          <t>Textiles Apparels &amp; Accessories</t>
        </is>
      </c>
      <c r="E1259" s="16" t="inlineStr">
        <is>
          <t>INE156A01020</t>
        </is>
      </c>
      <c r="F1259" s="17" t="n">
        <v>1905.08</v>
      </c>
      <c r="G1259" s="18" t="n">
        <v>72.95999999999999</v>
      </c>
      <c r="H1259" s="19" t="n">
        <v>0.0594</v>
      </c>
      <c r="I1259" s="20" t="n">
        <v>89</v>
      </c>
      <c r="J1259" s="16" t="inlineStr">
        <is>
          <t>green</t>
        </is>
      </c>
      <c r="K1259" s="20" t="n">
        <v>14</v>
      </c>
      <c r="L1259" s="18" t="n">
        <v>84.37</v>
      </c>
      <c r="M1259" s="18" t="n">
        <v>66.41</v>
      </c>
      <c r="N1259" s="18" t="n">
        <v>55.36</v>
      </c>
      <c r="O1259" s="18" t="n">
        <v>44.77</v>
      </c>
      <c r="P1259" s="18" t="n">
        <v>73.88</v>
      </c>
      <c r="Q1259" s="18" t="n">
        <v>30.09</v>
      </c>
      <c r="R1259" s="21">
        <f>IF(OR(G1259="",P1259=""),"",G1259/P1259-1)</f>
        <v/>
      </c>
      <c r="S1259" s="19" t="n">
        <v>2.3325</v>
      </c>
      <c r="T1259" s="22" t="n">
        <v>-0.0058</v>
      </c>
      <c r="U1259" s="16" t="inlineStr">
        <is>
          <t>No</t>
        </is>
      </c>
      <c r="V1259" s="16" t="inlineStr">
        <is>
          <t>Yes</t>
        </is>
      </c>
      <c r="W1259" s="16" t="inlineStr">
        <is>
          <t>Yes</t>
        </is>
      </c>
      <c r="X1259" s="16" t="inlineStr">
        <is>
          <t>Yes</t>
        </is>
      </c>
      <c r="Y1259" s="20" t="n">
        <v>30</v>
      </c>
      <c r="Z1259" s="19" t="n">
        <v>0.2365</v>
      </c>
      <c r="AA1259" s="18" t="n">
        <v>14.13</v>
      </c>
      <c r="AB1259" s="16" t="inlineStr">
        <is>
          <t>Poor</t>
        </is>
      </c>
      <c r="AC1259" s="16" t="inlineStr">
        <is>
          <t>No</t>
        </is>
      </c>
      <c r="AD1259" s="19" t="n">
        <v>-0.08650000000000001</v>
      </c>
      <c r="AE1259" s="19" t="n">
        <v>0.0751</v>
      </c>
      <c r="AF1259" s="19" t="n">
        <v>35.9064</v>
      </c>
      <c r="AG1259" s="19" t="n">
        <v>0.0837</v>
      </c>
      <c r="AH1259" s="23" t="n">
        <v>2.2</v>
      </c>
      <c r="AI1259" s="23" t="n">
        <v>3.85</v>
      </c>
      <c r="AJ1259" s="19" t="n">
        <v>0.033</v>
      </c>
    </row>
    <row r="1260">
      <c r="A1260" s="16" t="inlineStr">
        <is>
          <t>GRANDOAK</t>
        </is>
      </c>
      <c r="B1260" s="16" t="inlineStr">
        <is>
          <t>Grand Oak Canyons Distillery Ltd.</t>
        </is>
      </c>
      <c r="C1260" s="16" t="inlineStr">
        <is>
          <t>Finance (including NBFCs)</t>
        </is>
      </c>
      <c r="D1260" s="16" t="inlineStr">
        <is>
          <t>Banking and Finance</t>
        </is>
      </c>
      <c r="E1260" s="16" t="inlineStr">
        <is>
          <t>INE926B01016</t>
        </is>
      </c>
      <c r="F1260" s="17" t="n">
        <v>1903.27</v>
      </c>
      <c r="G1260" s="18" t="n">
        <v>36.68</v>
      </c>
      <c r="H1260" s="19" t="n">
        <v>0.0303</v>
      </c>
      <c r="I1260" s="20" t="n">
        <v>51</v>
      </c>
      <c r="J1260" s="16" t="inlineStr">
        <is>
          <t>red</t>
        </is>
      </c>
      <c r="K1260" s="20" t="n">
        <v>3</v>
      </c>
      <c r="L1260" s="18" t="n">
        <v>41.4</v>
      </c>
      <c r="M1260" s="18" t="n">
        <v>36.56</v>
      </c>
      <c r="N1260" s="18" t="n">
        <v>40.67</v>
      </c>
      <c r="O1260" s="18" t="n">
        <v>36.03</v>
      </c>
      <c r="P1260" s="18" t="n">
        <v>64.72</v>
      </c>
      <c r="Q1260" s="18" t="n">
        <v>24.51</v>
      </c>
      <c r="R1260" s="21">
        <f>IF(OR(G1260="",P1260=""),"",G1260/P1260-1)</f>
        <v/>
      </c>
      <c r="S1260" s="19" t="n">
        <v>0.3725</v>
      </c>
      <c r="T1260" s="22" t="n">
        <v>-0.0329</v>
      </c>
      <c r="U1260" s="16" t="inlineStr">
        <is>
          <t>No</t>
        </is>
      </c>
      <c r="V1260" s="16" t="inlineStr">
        <is>
          <t>No</t>
        </is>
      </c>
      <c r="W1260" s="16" t="inlineStr">
        <is>
          <t>Yes</t>
        </is>
      </c>
      <c r="X1260" s="16" t="inlineStr">
        <is>
          <t>Yes</t>
        </is>
      </c>
      <c r="Y1260" s="20" t="n">
        <v>34</v>
      </c>
      <c r="Z1260" s="19" t="n">
        <v>0.1288</v>
      </c>
      <c r="AA1260" s="18" t="n"/>
      <c r="AB1260" s="16" t="n"/>
      <c r="AC1260" s="16" t="inlineStr">
        <is>
          <t>No</t>
        </is>
      </c>
      <c r="AD1260" s="19" t="n"/>
      <c r="AE1260" s="19" t="n"/>
      <c r="AF1260" s="19" t="n"/>
      <c r="AG1260" s="19" t="n"/>
      <c r="AH1260" s="23" t="n"/>
      <c r="AI1260" s="23" t="n"/>
      <c r="AJ1260" s="19" t="n"/>
    </row>
    <row r="1261">
      <c r="A1261" s="16" t="inlineStr">
        <is>
          <t>VOEPL</t>
        </is>
      </c>
      <c r="B1261" s="16" t="inlineStr">
        <is>
          <t>Virtuoso Optoelectronics Ltd.</t>
        </is>
      </c>
      <c r="C1261" s="16" t="inlineStr">
        <is>
          <t>Other Electrical Equipment/Products</t>
        </is>
      </c>
      <c r="D1261" s="16" t="inlineStr">
        <is>
          <t>Consumer Durables</t>
        </is>
      </c>
      <c r="E1261" s="16" t="inlineStr">
        <is>
          <t>INE0I0T01010</t>
        </is>
      </c>
      <c r="F1261" s="17" t="n">
        <v>1899.74</v>
      </c>
      <c r="G1261" s="18" t="n">
        <v>554.65</v>
      </c>
      <c r="H1261" s="19" t="n">
        <v>0.0157</v>
      </c>
      <c r="I1261" s="20" t="n">
        <v>80</v>
      </c>
      <c r="J1261" s="16" t="inlineStr">
        <is>
          <t>green</t>
        </is>
      </c>
      <c r="K1261" s="20" t="n">
        <v>1</v>
      </c>
      <c r="L1261" s="18" t="n">
        <v>68.94</v>
      </c>
      <c r="M1261" s="18" t="n">
        <v>559.54</v>
      </c>
      <c r="N1261" s="18" t="n">
        <v>492.07</v>
      </c>
      <c r="O1261" s="18" t="n">
        <v>404.19</v>
      </c>
      <c r="P1261" s="18" t="n">
        <v>578.35</v>
      </c>
      <c r="Q1261" s="18" t="n">
        <v>241.7</v>
      </c>
      <c r="R1261" s="21">
        <f>IF(OR(G1261="",P1261=""),"",G1261/P1261-1)</f>
        <v/>
      </c>
      <c r="S1261" s="19" t="n">
        <v>0.6705</v>
      </c>
      <c r="T1261" s="22" t="n">
        <v>0.0073</v>
      </c>
      <c r="U1261" s="16" t="inlineStr">
        <is>
          <t>Yes</t>
        </is>
      </c>
      <c r="V1261" s="16" t="inlineStr">
        <is>
          <t>Yes</t>
        </is>
      </c>
      <c r="W1261" s="16" t="inlineStr">
        <is>
          <t>No</t>
        </is>
      </c>
      <c r="X1261" s="16" t="inlineStr">
        <is>
          <t>Yes</t>
        </is>
      </c>
      <c r="Y1261" s="20" t="n">
        <v>32</v>
      </c>
      <c r="Z1261" s="19" t="n">
        <v>0.2174</v>
      </c>
      <c r="AA1261" s="18" t="n"/>
      <c r="AB1261" s="16" t="n"/>
      <c r="AC1261" s="16" t="inlineStr">
        <is>
          <t>No</t>
        </is>
      </c>
      <c r="AD1261" s="19" t="n"/>
      <c r="AE1261" s="19" t="n"/>
      <c r="AF1261" s="19" t="n"/>
      <c r="AG1261" s="19" t="n"/>
      <c r="AH1261" s="23" t="n"/>
      <c r="AI1261" s="23" t="n"/>
      <c r="AJ1261" s="19" t="n"/>
    </row>
    <row r="1262">
      <c r="A1262" s="16" t="inlineStr">
        <is>
          <t>TIRUMALCHM</t>
        </is>
      </c>
      <c r="B1262" s="16" t="inlineStr">
        <is>
          <t>Thirumalai Chemicals Ltd.</t>
        </is>
      </c>
      <c r="C1262" s="16" t="inlineStr">
        <is>
          <t>Commodity Chemicals</t>
        </is>
      </c>
      <c r="D1262" s="16" t="inlineStr">
        <is>
          <t>Chemicals &amp; Petrochemicals</t>
        </is>
      </c>
      <c r="E1262" s="16" t="inlineStr">
        <is>
          <t>INE338A01024</t>
        </is>
      </c>
      <c r="F1262" s="17" t="n">
        <v>1894.97</v>
      </c>
      <c r="G1262" s="18" t="n">
        <v>157.19</v>
      </c>
      <c r="H1262" s="19" t="n">
        <v>-0.0042</v>
      </c>
      <c r="I1262" s="20" t="n">
        <v>7</v>
      </c>
      <c r="J1262" s="16" t="inlineStr">
        <is>
          <t>red</t>
        </is>
      </c>
      <c r="K1262" s="20" t="n">
        <v>237</v>
      </c>
      <c r="L1262" s="18" t="n">
        <v>52.67</v>
      </c>
      <c r="M1262" s="18" t="n">
        <v>159.4</v>
      </c>
      <c r="N1262" s="18" t="n">
        <v>165.6</v>
      </c>
      <c r="O1262" s="18" t="n">
        <v>192.53</v>
      </c>
      <c r="P1262" s="18" t="n">
        <v>324.75</v>
      </c>
      <c r="Q1262" s="18" t="n">
        <v>144.28</v>
      </c>
      <c r="R1262" s="21">
        <f>IF(OR(G1262="",P1262=""),"",G1262/P1262-1)</f>
        <v/>
      </c>
      <c r="S1262" s="19" t="n">
        <v>0.3484</v>
      </c>
      <c r="T1262" s="22" t="n">
        <v>-0.0559</v>
      </c>
      <c r="U1262" s="16" t="inlineStr">
        <is>
          <t>No</t>
        </is>
      </c>
      <c r="V1262" s="16" t="inlineStr">
        <is>
          <t>No</t>
        </is>
      </c>
      <c r="W1262" s="16" t="inlineStr">
        <is>
          <t>No</t>
        </is>
      </c>
      <c r="X1262" s="16" t="inlineStr">
        <is>
          <t>No</t>
        </is>
      </c>
      <c r="Y1262" s="20" t="n">
        <v>189</v>
      </c>
      <c r="Z1262" s="19" t="n">
        <v>-0.1399</v>
      </c>
      <c r="AA1262" s="18" t="n">
        <v>10.14</v>
      </c>
      <c r="AB1262" s="16" t="inlineStr">
        <is>
          <t>Poor</t>
        </is>
      </c>
      <c r="AC1262" s="16" t="inlineStr">
        <is>
          <t>No</t>
        </is>
      </c>
      <c r="AD1262" s="19" t="n">
        <v>-0.0604</v>
      </c>
      <c r="AE1262" s="19" t="n">
        <v>-0.0102</v>
      </c>
      <c r="AF1262" s="19" t="n">
        <v>-1.3109</v>
      </c>
      <c r="AG1262" s="19" t="n">
        <v>-0.06480000000000001</v>
      </c>
      <c r="AH1262" s="23" t="n">
        <v>1.39</v>
      </c>
      <c r="AI1262" s="23" t="n">
        <v>0.46</v>
      </c>
      <c r="AJ1262" s="19" t="n">
        <v>0.6681999999999999</v>
      </c>
    </row>
    <row r="1263">
      <c r="A1263" s="16" t="inlineStr">
        <is>
          <t>KHAZANCHI</t>
        </is>
      </c>
      <c r="B1263" s="16" t="inlineStr">
        <is>
          <t>Khazanchi Jewellers Ltd.</t>
        </is>
      </c>
      <c r="C1263" s="16" t="inlineStr">
        <is>
          <t>Gems &amp; Jewellery</t>
        </is>
      </c>
      <c r="D1263" s="16" t="inlineStr">
        <is>
          <t>Textiles Apparels &amp; Accessories</t>
        </is>
      </c>
      <c r="E1263" s="16" t="inlineStr">
        <is>
          <t>INE0OWC01011</t>
        </is>
      </c>
      <c r="F1263" s="17" t="n">
        <v>1889.67</v>
      </c>
      <c r="G1263" s="18" t="n">
        <v>763.6</v>
      </c>
      <c r="H1263" s="19" t="n">
        <v>0.0127</v>
      </c>
      <c r="I1263" s="20" t="n">
        <v>62</v>
      </c>
      <c r="J1263" s="16" t="inlineStr">
        <is>
          <t>amber</t>
        </is>
      </c>
      <c r="K1263" s="20" t="n">
        <v>22</v>
      </c>
      <c r="L1263" s="18" t="n">
        <v>33.65</v>
      </c>
      <c r="M1263" s="18" t="n">
        <v>774.35</v>
      </c>
      <c r="N1263" s="18" t="n">
        <v>706.65</v>
      </c>
      <c r="O1263" s="18" t="n">
        <v>704.52</v>
      </c>
      <c r="P1263" s="18" t="n">
        <v>808.95</v>
      </c>
      <c r="Q1263" s="18" t="n">
        <v>585.34</v>
      </c>
      <c r="R1263" s="21">
        <f>IF(OR(G1263="",P1263=""),"",G1263/P1263-1)</f>
        <v/>
      </c>
      <c r="S1263" s="19" t="n">
        <v>0.4042</v>
      </c>
      <c r="T1263" s="22" t="n">
        <v>0.0159</v>
      </c>
      <c r="U1263" s="16" t="inlineStr">
        <is>
          <t>Yes</t>
        </is>
      </c>
      <c r="V1263" s="16" t="inlineStr">
        <is>
          <t>Yes</t>
        </is>
      </c>
      <c r="W1263" s="16" t="inlineStr">
        <is>
          <t>No</t>
        </is>
      </c>
      <c r="X1263" s="16" t="inlineStr">
        <is>
          <t>Yes</t>
        </is>
      </c>
      <c r="Y1263" s="20" t="n">
        <v>1</v>
      </c>
      <c r="Z1263" s="19" t="n">
        <v>0.003</v>
      </c>
      <c r="AA1263" s="18" t="n"/>
      <c r="AB1263" s="16" t="n"/>
      <c r="AC1263" s="16" t="inlineStr">
        <is>
          <t>No</t>
        </is>
      </c>
      <c r="AD1263" s="19" t="n"/>
      <c r="AE1263" s="19" t="n"/>
      <c r="AF1263" s="19" t="n"/>
      <c r="AG1263" s="19" t="n"/>
      <c r="AH1263" s="23" t="n"/>
      <c r="AI1263" s="23" t="n"/>
      <c r="AJ1263" s="19" t="n"/>
    </row>
    <row r="1264">
      <c r="A1264" s="16" t="inlineStr">
        <is>
          <t>DCXINDIA</t>
        </is>
      </c>
      <c r="B1264" s="16" t="inlineStr">
        <is>
          <t>DCX Systems Ltd.</t>
        </is>
      </c>
      <c r="C1264" s="16" t="inlineStr">
        <is>
          <t>Aerospace &amp; Defence</t>
        </is>
      </c>
      <c r="D1264" s="16" t="inlineStr">
        <is>
          <t>General Industrials</t>
        </is>
      </c>
      <c r="E1264" s="16" t="inlineStr">
        <is>
          <t>INE0KL801015</t>
        </is>
      </c>
      <c r="F1264" s="17" t="n">
        <v>1880.54</v>
      </c>
      <c r="G1264" s="18" t="n">
        <v>168.83</v>
      </c>
      <c r="H1264" s="19" t="n">
        <v>-0.0044</v>
      </c>
      <c r="I1264" s="20" t="n">
        <v>13</v>
      </c>
      <c r="J1264" s="16" t="inlineStr">
        <is>
          <t>red</t>
        </is>
      </c>
      <c r="K1264" s="20" t="n">
        <v>304</v>
      </c>
      <c r="L1264" s="18" t="n">
        <v>43.26</v>
      </c>
      <c r="M1264" s="18" t="n">
        <v>173.02</v>
      </c>
      <c r="N1264" s="18" t="n">
        <v>183.47</v>
      </c>
      <c r="O1264" s="18" t="n">
        <v>183.9</v>
      </c>
      <c r="P1264" s="18" t="n">
        <v>279.3</v>
      </c>
      <c r="Q1264" s="18" t="n">
        <v>154.23</v>
      </c>
      <c r="R1264" s="21">
        <f>IF(OR(G1264="",P1264=""),"",G1264/P1264-1)</f>
        <v/>
      </c>
      <c r="S1264" s="19" t="n">
        <v>0.7562000000000001</v>
      </c>
      <c r="T1264" s="22" t="n">
        <v>-0.0225</v>
      </c>
      <c r="U1264" s="16" t="inlineStr">
        <is>
          <t>No</t>
        </is>
      </c>
      <c r="V1264" s="16" t="inlineStr">
        <is>
          <t>No</t>
        </is>
      </c>
      <c r="W1264" s="16" t="inlineStr">
        <is>
          <t>No</t>
        </is>
      </c>
      <c r="X1264" s="16" t="inlineStr">
        <is>
          <t>No</t>
        </is>
      </c>
      <c r="Y1264" s="20" t="n">
        <v>2</v>
      </c>
      <c r="Z1264" s="19" t="n">
        <v>-0.0023</v>
      </c>
      <c r="AA1264" s="18" t="n">
        <v>33.39</v>
      </c>
      <c r="AB1264" s="16" t="inlineStr">
        <is>
          <t>Poor</t>
        </is>
      </c>
      <c r="AC1264" s="16" t="inlineStr">
        <is>
          <t>No</t>
        </is>
      </c>
      <c r="AD1264" s="19" t="n">
        <v>0.0302</v>
      </c>
      <c r="AE1264" s="19" t="n">
        <v>0.0482</v>
      </c>
      <c r="AF1264" s="19" t="n">
        <v>-0.5466</v>
      </c>
      <c r="AG1264" s="19" t="n">
        <v>-0.1391</v>
      </c>
      <c r="AH1264" s="23" t="n">
        <v>0</v>
      </c>
      <c r="AI1264" s="23" t="n">
        <v>10.58</v>
      </c>
      <c r="AJ1264" s="19" t="n">
        <v>0</v>
      </c>
    </row>
    <row r="1265">
      <c r="A1265" s="16" t="inlineStr">
        <is>
          <t>AWFIS</t>
        </is>
      </c>
      <c r="B1265" s="16" t="inlineStr">
        <is>
          <t>Awfis Space Solutions Ltd</t>
        </is>
      </c>
      <c r="C1265" s="16" t="inlineStr">
        <is>
          <t>Special Consumer Services</t>
        </is>
      </c>
      <c r="D1265" s="16" t="inlineStr">
        <is>
          <t>Diversified Consumer Services</t>
        </is>
      </c>
      <c r="E1265" s="16" t="inlineStr">
        <is>
          <t>INE108V01019</t>
        </is>
      </c>
      <c r="F1265" s="17" t="n">
        <v>1866.37</v>
      </c>
      <c r="G1265" s="18" t="n">
        <v>260.8</v>
      </c>
      <c r="H1265" s="19" t="n">
        <v>0.0168</v>
      </c>
      <c r="I1265" s="20" t="n">
        <v>5</v>
      </c>
      <c r="J1265" s="16" t="inlineStr">
        <is>
          <t>red</t>
        </is>
      </c>
      <c r="K1265" s="20" t="n">
        <v>302</v>
      </c>
      <c r="L1265" s="18" t="n">
        <v>43.93</v>
      </c>
      <c r="M1265" s="18" t="n">
        <v>259.33</v>
      </c>
      <c r="N1265" s="18" t="n">
        <v>279.58</v>
      </c>
      <c r="O1265" s="18" t="n">
        <v>349.78</v>
      </c>
      <c r="P1265" s="18" t="n">
        <v>629.6</v>
      </c>
      <c r="Q1265" s="18" t="n">
        <v>230.65</v>
      </c>
      <c r="R1265" s="21">
        <f>IF(OR(G1265="",P1265=""),"",G1265/P1265-1)</f>
        <v/>
      </c>
      <c r="S1265" s="19" t="n">
        <v>0.4437</v>
      </c>
      <c r="T1265" s="22" t="n">
        <v>-0.0858</v>
      </c>
      <c r="U1265" s="16" t="inlineStr">
        <is>
          <t>No</t>
        </is>
      </c>
      <c r="V1265" s="16" t="inlineStr">
        <is>
          <t>No</t>
        </is>
      </c>
      <c r="W1265" s="16" t="inlineStr">
        <is>
          <t>Yes</t>
        </is>
      </c>
      <c r="X1265" s="16" t="inlineStr">
        <is>
          <t>No</t>
        </is>
      </c>
      <c r="Y1265" s="20" t="n">
        <v>368</v>
      </c>
      <c r="Z1265" s="19" t="n">
        <v>-0.2007</v>
      </c>
      <c r="AA1265" s="18" t="n">
        <v>20.86</v>
      </c>
      <c r="AB1265" s="16" t="inlineStr">
        <is>
          <t>Poor</t>
        </is>
      </c>
      <c r="AC1265" s="16" t="inlineStr">
        <is>
          <t>No</t>
        </is>
      </c>
      <c r="AD1265" s="19" t="n">
        <v>0.0687</v>
      </c>
      <c r="AE1265" s="19" t="n">
        <v>0.1035</v>
      </c>
      <c r="AF1265" s="19" t="n">
        <v>1.8238</v>
      </c>
      <c r="AG1265" s="19" t="n">
        <v>0.4054</v>
      </c>
      <c r="AH1265" s="23" t="n">
        <v>2.72</v>
      </c>
      <c r="AI1265" s="23" t="n">
        <v>0.87</v>
      </c>
      <c r="AJ1265" s="19" t="n">
        <v>0.0073</v>
      </c>
    </row>
    <row r="1266">
      <c r="A1266" s="16" t="inlineStr">
        <is>
          <t>ALLCARGO</t>
        </is>
      </c>
      <c r="B1266" s="16" t="inlineStr">
        <is>
          <t>Allcargo Logistics Ltd.</t>
        </is>
      </c>
      <c r="C1266" s="16" t="inlineStr">
        <is>
          <t>Warehousing &amp; Logistics</t>
        </is>
      </c>
      <c r="D1266" s="16" t="inlineStr">
        <is>
          <t>Transportation</t>
        </is>
      </c>
      <c r="E1266" s="16" t="inlineStr">
        <is>
          <t>INE418H01029</t>
        </is>
      </c>
      <c r="F1266" s="17" t="n">
        <v>1863.24</v>
      </c>
      <c r="G1266" s="18" t="n">
        <v>12.44</v>
      </c>
      <c r="H1266" s="19" t="n">
        <v>-0.005600000000000001</v>
      </c>
      <c r="I1266" s="20" t="n">
        <v>59</v>
      </c>
      <c r="J1266" s="16" t="inlineStr">
        <is>
          <t>red</t>
        </is>
      </c>
      <c r="K1266" s="20" t="n">
        <v>1</v>
      </c>
      <c r="L1266" s="18" t="n">
        <v>65.58</v>
      </c>
      <c r="M1266" s="18" t="n">
        <v>12.4</v>
      </c>
      <c r="N1266" s="18" t="n">
        <v>9.470000000000001</v>
      </c>
      <c r="O1266" s="18" t="n">
        <v>9.619999999999999</v>
      </c>
      <c r="P1266" s="18" t="n">
        <v>35.59</v>
      </c>
      <c r="Q1266" s="18" t="n">
        <v>7.18</v>
      </c>
      <c r="R1266" s="21">
        <f>IF(OR(G1266="",P1266=""),"",G1266/P1266-1)</f>
        <v/>
      </c>
      <c r="S1266" s="19" t="n">
        <v>0.3586</v>
      </c>
      <c r="T1266" s="22" t="n">
        <v>-0.1466</v>
      </c>
      <c r="U1266" s="16" t="inlineStr">
        <is>
          <t>No</t>
        </is>
      </c>
      <c r="V1266" s="16" t="inlineStr">
        <is>
          <t>Yes</t>
        </is>
      </c>
      <c r="W1266" s="16" t="inlineStr">
        <is>
          <t>Yes</t>
        </is>
      </c>
      <c r="X1266" s="16" t="inlineStr">
        <is>
          <t>No</t>
        </is>
      </c>
      <c r="Y1266" s="20" t="n">
        <v>574</v>
      </c>
      <c r="Z1266" s="19" t="n">
        <v>-0.0159</v>
      </c>
      <c r="AA1266" s="18" t="n">
        <v>13.33</v>
      </c>
      <c r="AB1266" s="16" t="inlineStr">
        <is>
          <t>Poor</t>
        </is>
      </c>
      <c r="AC1266" s="16" t="inlineStr">
        <is>
          <t>No</t>
        </is>
      </c>
      <c r="AD1266" s="19" t="n">
        <v>0.0334</v>
      </c>
      <c r="AE1266" s="19" t="n">
        <v>0.0457</v>
      </c>
      <c r="AF1266" s="19" t="n">
        <v>-0.8267</v>
      </c>
      <c r="AG1266" s="19" t="n">
        <v>-0.3602</v>
      </c>
      <c r="AH1266" s="23" t="n">
        <v>1.21</v>
      </c>
      <c r="AI1266" s="23" t="n">
        <v>3.16</v>
      </c>
      <c r="AJ1266" s="19" t="n">
        <v>0.0015</v>
      </c>
    </row>
    <row r="1267">
      <c r="A1267" s="16" t="inlineStr">
        <is>
          <t>HATHWAY</t>
        </is>
      </c>
      <c r="B1267" s="16" t="inlineStr">
        <is>
          <t>Hathway Cable &amp; Datacom Ltd.</t>
        </is>
      </c>
      <c r="C1267" s="16" t="inlineStr">
        <is>
          <t>Broadcasting &amp; Cable TV</t>
        </is>
      </c>
      <c r="D1267" s="16" t="inlineStr">
        <is>
          <t>Media</t>
        </is>
      </c>
      <c r="E1267" s="16" t="inlineStr">
        <is>
          <t>INE982F01036</t>
        </is>
      </c>
      <c r="F1267" s="17" t="n">
        <v>1862.15</v>
      </c>
      <c r="G1267" s="18" t="n">
        <v>10.52</v>
      </c>
      <c r="H1267" s="19" t="n">
        <v>0.0253</v>
      </c>
      <c r="I1267" s="20" t="n">
        <v>21</v>
      </c>
      <c r="J1267" s="16" t="inlineStr">
        <is>
          <t>red</t>
        </is>
      </c>
      <c r="K1267" s="20" t="n">
        <v>501</v>
      </c>
      <c r="L1267" s="18" t="n">
        <v>47.29</v>
      </c>
      <c r="M1267" s="18" t="n">
        <v>10.49</v>
      </c>
      <c r="N1267" s="18" t="n">
        <v>10.83</v>
      </c>
      <c r="O1267" s="18" t="n">
        <v>11.15</v>
      </c>
      <c r="P1267" s="18" t="n">
        <v>15.08</v>
      </c>
      <c r="Q1267" s="18" t="n">
        <v>8.869999999999999</v>
      </c>
      <c r="R1267" s="21">
        <f>IF(OR(G1267="",P1267=""),"",G1267/P1267-1)</f>
        <v/>
      </c>
      <c r="S1267" s="19" t="n">
        <v>1.3283</v>
      </c>
      <c r="T1267" s="22" t="n">
        <v>-0.0256</v>
      </c>
      <c r="U1267" s="16" t="inlineStr">
        <is>
          <t>No</t>
        </is>
      </c>
      <c r="V1267" s="16" t="inlineStr">
        <is>
          <t>No</t>
        </is>
      </c>
      <c r="W1267" s="16" t="inlineStr">
        <is>
          <t>Yes</t>
        </is>
      </c>
      <c r="X1267" s="16" t="inlineStr">
        <is>
          <t>No</t>
        </is>
      </c>
      <c r="Y1267" s="20" t="n">
        <v>236</v>
      </c>
      <c r="Z1267" s="19" t="n">
        <v>-0.0285</v>
      </c>
      <c r="AA1267" s="18" t="n">
        <v>36.85</v>
      </c>
      <c r="AB1267" s="16" t="inlineStr">
        <is>
          <t>Weak</t>
        </is>
      </c>
      <c r="AC1267" s="16" t="inlineStr">
        <is>
          <t>No</t>
        </is>
      </c>
      <c r="AD1267" s="19" t="n">
        <v>0.0209</v>
      </c>
      <c r="AE1267" s="19" t="n">
        <v>0.029</v>
      </c>
      <c r="AF1267" s="19" t="n">
        <v>0.1089</v>
      </c>
      <c r="AG1267" s="19" t="n">
        <v>0.0408</v>
      </c>
      <c r="AH1267" s="23" t="n">
        <v>0</v>
      </c>
      <c r="AI1267" s="23" t="n">
        <v>1.83</v>
      </c>
      <c r="AJ1267" s="19" t="n">
        <v>0.0124</v>
      </c>
    </row>
    <row r="1268">
      <c r="A1268" s="16" t="inlineStr">
        <is>
          <t>ZELIO</t>
        </is>
      </c>
      <c r="B1268" s="16" t="inlineStr">
        <is>
          <t>Zelio E-Mobility Ltd.</t>
        </is>
      </c>
      <c r="C1268" s="16" t="inlineStr">
        <is>
          <t>2/3 Wheelers</t>
        </is>
      </c>
      <c r="D1268" s="16" t="inlineStr">
        <is>
          <t>Automobiles &amp; Auto Components</t>
        </is>
      </c>
      <c r="E1268" s="16" t="inlineStr">
        <is>
          <t>INE1B3501014</t>
        </is>
      </c>
      <c r="F1268" s="17" t="n">
        <v>1858.87</v>
      </c>
      <c r="G1268" s="18" t="n">
        <v>878.9</v>
      </c>
      <c r="H1268" s="19" t="n">
        <v>0.0112</v>
      </c>
      <c r="I1268" s="20" t="n">
        <v>93</v>
      </c>
      <c r="J1268" s="16" t="inlineStr">
        <is>
          <t>green</t>
        </is>
      </c>
      <c r="K1268" s="20" t="n">
        <v>61</v>
      </c>
      <c r="L1268" s="18" t="n">
        <v>67.90000000000001</v>
      </c>
      <c r="M1268" s="18" t="n">
        <v>873.54</v>
      </c>
      <c r="N1268" s="18" t="n">
        <v>750.1799999999999</v>
      </c>
      <c r="O1268" s="18" t="n">
        <v>499.89</v>
      </c>
      <c r="P1268" s="18" t="n">
        <v>900.6</v>
      </c>
      <c r="Q1268" s="18" t="n">
        <v>162.6</v>
      </c>
      <c r="R1268" s="21">
        <f>IF(OR(G1268="",P1268=""),"",G1268/P1268-1)</f>
        <v/>
      </c>
      <c r="S1268" s="19" t="n">
        <v>0.8026000000000001</v>
      </c>
      <c r="T1268" s="22" t="n">
        <v>0.1176</v>
      </c>
      <c r="U1268" s="16" t="inlineStr">
        <is>
          <t>Yes</t>
        </is>
      </c>
      <c r="V1268" s="16" t="inlineStr">
        <is>
          <t>Yes</t>
        </is>
      </c>
      <c r="W1268" s="16" t="inlineStr">
        <is>
          <t>Yes</t>
        </is>
      </c>
      <c r="X1268" s="16" t="inlineStr">
        <is>
          <t>Yes</t>
        </is>
      </c>
      <c r="Y1268" s="20" t="n">
        <v>28</v>
      </c>
      <c r="Z1268" s="19" t="n">
        <v>0.5007</v>
      </c>
      <c r="AA1268" s="18" t="n"/>
      <c r="AB1268" s="16" t="n"/>
      <c r="AC1268" s="16" t="inlineStr">
        <is>
          <t>No</t>
        </is>
      </c>
      <c r="AD1268" s="19" t="n"/>
      <c r="AE1268" s="19" t="n"/>
      <c r="AF1268" s="19" t="n"/>
      <c r="AG1268" s="19" t="n"/>
      <c r="AH1268" s="23" t="n"/>
      <c r="AI1268" s="23" t="n"/>
      <c r="AJ1268" s="19" t="n"/>
    </row>
    <row r="1269">
      <c r="A1269" s="16" t="inlineStr">
        <is>
          <t>MILLWORKS</t>
        </is>
      </c>
      <c r="B1269" s="16" t="inlineStr">
        <is>
          <t>Millworks Technologies Ltd.</t>
        </is>
      </c>
      <c r="C1269" s="16" t="inlineStr">
        <is>
          <t>Industrial Machinery</t>
        </is>
      </c>
      <c r="D1269" s="16" t="inlineStr">
        <is>
          <t>General Industrials</t>
        </is>
      </c>
      <c r="E1269" s="16" t="inlineStr">
        <is>
          <t>INE1SRC01010</t>
        </is>
      </c>
      <c r="F1269" s="17" t="n">
        <v>1857.92</v>
      </c>
      <c r="G1269" s="18" t="n">
        <v>1054.75</v>
      </c>
      <c r="H1269" s="19" t="n">
        <v>0.0707</v>
      </c>
      <c r="I1269" s="20" t="n"/>
      <c r="J1269" s="16" t="n"/>
      <c r="K1269" s="20" t="n"/>
      <c r="L1269" s="18" t="n">
        <v>83.98</v>
      </c>
      <c r="M1269" s="18" t="n">
        <v>945.71</v>
      </c>
      <c r="N1269" s="18" t="n"/>
      <c r="O1269" s="18" t="n"/>
      <c r="P1269" s="18" t="n">
        <v>1054.75</v>
      </c>
      <c r="Q1269" s="18" t="n">
        <v>660.3</v>
      </c>
      <c r="R1269" s="21">
        <f>IF(OR(G1269="",P1269=""),"",G1269/P1269-1)</f>
        <v/>
      </c>
      <c r="S1269" s="19" t="n">
        <v>0.8012</v>
      </c>
      <c r="T1269" s="22" t="n"/>
      <c r="U1269" s="16" t="n"/>
      <c r="V1269" s="16" t="n"/>
      <c r="W1269" s="16" t="inlineStr">
        <is>
          <t>Yes</t>
        </is>
      </c>
      <c r="X1269" s="16" t="n"/>
      <c r="Y1269" s="20" t="n"/>
      <c r="Z1269" s="19" t="n"/>
      <c r="AA1269" s="18" t="n"/>
      <c r="AB1269" s="16" t="n"/>
      <c r="AC1269" s="16" t="inlineStr">
        <is>
          <t>No</t>
        </is>
      </c>
      <c r="AD1269" s="19" t="n"/>
      <c r="AE1269" s="19" t="n"/>
      <c r="AF1269" s="19" t="n"/>
      <c r="AG1269" s="19" t="n"/>
      <c r="AH1269" s="23" t="n"/>
      <c r="AI1269" s="23" t="n"/>
      <c r="AJ1269" s="19" t="n"/>
    </row>
    <row r="1270">
      <c r="A1270" s="16" t="inlineStr">
        <is>
          <t>RACLGEAR</t>
        </is>
      </c>
      <c r="B1270" s="16" t="inlineStr">
        <is>
          <t>Racl Geartech Ltd.</t>
        </is>
      </c>
      <c r="C1270" s="16" t="inlineStr">
        <is>
          <t>Auto Parts &amp; Equipment</t>
        </is>
      </c>
      <c r="D1270" s="16" t="inlineStr">
        <is>
          <t>Automobiles &amp; Auto Components</t>
        </is>
      </c>
      <c r="E1270" s="16" t="inlineStr">
        <is>
          <t>INE704B01017</t>
        </is>
      </c>
      <c r="F1270" s="17" t="n">
        <v>1857.92</v>
      </c>
      <c r="G1270" s="18" t="n">
        <v>1576.1</v>
      </c>
      <c r="H1270" s="19" t="n">
        <v>0.0111</v>
      </c>
      <c r="I1270" s="20" t="n">
        <v>80</v>
      </c>
      <c r="J1270" s="16" t="inlineStr">
        <is>
          <t>green</t>
        </is>
      </c>
      <c r="K1270" s="20" t="n">
        <v>2</v>
      </c>
      <c r="L1270" s="18" t="n">
        <v>89.37</v>
      </c>
      <c r="M1270" s="18" t="n">
        <v>1537.75</v>
      </c>
      <c r="N1270" s="18" t="n">
        <v>1391.51</v>
      </c>
      <c r="O1270" s="18" t="n">
        <v>1256.44</v>
      </c>
      <c r="P1270" s="18" t="n">
        <v>1630.19</v>
      </c>
      <c r="Q1270" s="18" t="n">
        <v>900.01</v>
      </c>
      <c r="R1270" s="21">
        <f>IF(OR(G1270="",P1270=""),"",G1270/P1270-1)</f>
        <v/>
      </c>
      <c r="S1270" s="19" t="n">
        <v>0.9213</v>
      </c>
      <c r="T1270" s="22" t="n">
        <v>0.0322</v>
      </c>
      <c r="U1270" s="16" t="inlineStr">
        <is>
          <t>Yes</t>
        </is>
      </c>
      <c r="V1270" s="16" t="inlineStr">
        <is>
          <t>Yes</t>
        </is>
      </c>
      <c r="W1270" s="16" t="inlineStr">
        <is>
          <t>Yes</t>
        </is>
      </c>
      <c r="X1270" s="16" t="inlineStr">
        <is>
          <t>Yes</t>
        </is>
      </c>
      <c r="Y1270" s="20" t="n">
        <v>236</v>
      </c>
      <c r="Z1270" s="19" t="n">
        <v>0.1075</v>
      </c>
      <c r="AA1270" s="18" t="n">
        <v>37.57</v>
      </c>
      <c r="AB1270" s="16" t="inlineStr">
        <is>
          <t>Weak</t>
        </is>
      </c>
      <c r="AC1270" s="16" t="inlineStr">
        <is>
          <t>No</t>
        </is>
      </c>
      <c r="AD1270" s="19" t="n">
        <v>0.1454</v>
      </c>
      <c r="AE1270" s="19" t="n">
        <v>0.1448</v>
      </c>
      <c r="AF1270" s="19" t="n">
        <v>-0.448</v>
      </c>
      <c r="AG1270" s="19" t="n">
        <v>0.1347</v>
      </c>
      <c r="AH1270" s="23" t="n">
        <v>0.67</v>
      </c>
      <c r="AI1270" s="23" t="n">
        <v>1.42</v>
      </c>
      <c r="AJ1270" s="19" t="n">
        <v>0.0076</v>
      </c>
    </row>
    <row r="1271">
      <c r="A1271" s="16" t="inlineStr">
        <is>
          <t>HGS</t>
        </is>
      </c>
      <c r="B1271" s="16" t="inlineStr">
        <is>
          <t>Hinduja Global Solutions Ltd.</t>
        </is>
      </c>
      <c r="C1271" s="16" t="inlineStr">
        <is>
          <t>BPO/KPO</t>
        </is>
      </c>
      <c r="D1271" s="16" t="inlineStr">
        <is>
          <t>Software &amp; Services</t>
        </is>
      </c>
      <c r="E1271" s="16" t="inlineStr">
        <is>
          <t>INE170I01016</t>
        </is>
      </c>
      <c r="F1271" s="17" t="n">
        <v>1857.32</v>
      </c>
      <c r="G1271" s="18" t="n">
        <v>399.25</v>
      </c>
      <c r="H1271" s="19" t="n">
        <v>0.0159</v>
      </c>
      <c r="I1271" s="20" t="n">
        <v>29</v>
      </c>
      <c r="J1271" s="16" t="inlineStr">
        <is>
          <t>red</t>
        </is>
      </c>
      <c r="K1271" s="20" t="n">
        <v>501</v>
      </c>
      <c r="L1271" s="18" t="n">
        <v>27.67</v>
      </c>
      <c r="M1271" s="18" t="n">
        <v>398.33</v>
      </c>
      <c r="N1271" s="18" t="n">
        <v>415.3</v>
      </c>
      <c r="O1271" s="18" t="n">
        <v>415.83</v>
      </c>
      <c r="P1271" s="18" t="n">
        <v>534</v>
      </c>
      <c r="Q1271" s="18" t="n">
        <v>344.7</v>
      </c>
      <c r="R1271" s="21">
        <f>IF(OR(G1271="",P1271=""),"",G1271/P1271-1)</f>
        <v/>
      </c>
      <c r="S1271" s="19" t="n">
        <v>0.5035000000000001</v>
      </c>
      <c r="T1271" s="22" t="n">
        <v>-0.025</v>
      </c>
      <c r="U1271" s="16" t="inlineStr">
        <is>
          <t>No</t>
        </is>
      </c>
      <c r="V1271" s="16" t="inlineStr">
        <is>
          <t>No</t>
        </is>
      </c>
      <c r="W1271" s="16" t="inlineStr">
        <is>
          <t>Yes</t>
        </is>
      </c>
      <c r="X1271" s="16" t="inlineStr">
        <is>
          <t>No</t>
        </is>
      </c>
      <c r="Y1271" s="20" t="n">
        <v>751</v>
      </c>
      <c r="Z1271" s="19" t="n">
        <v>-0.0013</v>
      </c>
      <c r="AA1271" s="18" t="n">
        <v>22.68</v>
      </c>
      <c r="AB1271" s="16" t="inlineStr">
        <is>
          <t>Poor</t>
        </is>
      </c>
      <c r="AC1271" s="16" t="inlineStr">
        <is>
          <t>No</t>
        </is>
      </c>
      <c r="AD1271" s="19" t="n">
        <v>0.0125</v>
      </c>
      <c r="AE1271" s="19" t="n">
        <v>0.0226</v>
      </c>
      <c r="AF1271" s="19" t="n">
        <v>-0.5397999999999999</v>
      </c>
      <c r="AG1271" s="19" t="n">
        <v>-0.0131</v>
      </c>
      <c r="AH1271" s="23" t="n">
        <v>0.24</v>
      </c>
      <c r="AI1271" s="23" t="n">
        <v>3.14</v>
      </c>
      <c r="AJ1271" s="19" t="n">
        <v>0.0114</v>
      </c>
    </row>
    <row r="1272">
      <c r="A1272" s="16" t="inlineStr">
        <is>
          <t>SCILAL</t>
        </is>
      </c>
      <c r="B1272" s="16" t="inlineStr">
        <is>
          <t>Shipping Corporation of India Land And Assets Ltd.</t>
        </is>
      </c>
      <c r="C1272" s="16" t="inlineStr">
        <is>
          <t>Realty</t>
        </is>
      </c>
      <c r="D1272" s="16" t="inlineStr">
        <is>
          <t>Realty</t>
        </is>
      </c>
      <c r="E1272" s="16" t="inlineStr">
        <is>
          <t>INE0PB301013</t>
        </is>
      </c>
      <c r="F1272" s="17" t="n">
        <v>1852.48</v>
      </c>
      <c r="G1272" s="18" t="n">
        <v>39.77</v>
      </c>
      <c r="H1272" s="19" t="n">
        <v>0.0076</v>
      </c>
      <c r="I1272" s="20" t="n">
        <v>17</v>
      </c>
      <c r="J1272" s="16" t="inlineStr">
        <is>
          <t>red</t>
        </is>
      </c>
      <c r="K1272" s="20" t="n">
        <v>82</v>
      </c>
      <c r="L1272" s="18" t="n">
        <v>51.56</v>
      </c>
      <c r="M1272" s="18" t="n">
        <v>39.46</v>
      </c>
      <c r="N1272" s="18" t="n">
        <v>40.88</v>
      </c>
      <c r="O1272" s="18" t="n">
        <v>43.8</v>
      </c>
      <c r="P1272" s="18" t="n">
        <v>52.21</v>
      </c>
      <c r="Q1272" s="18" t="n">
        <v>34.44</v>
      </c>
      <c r="R1272" s="21">
        <f>IF(OR(G1272="",P1272=""),"",G1272/P1272-1)</f>
        <v/>
      </c>
      <c r="S1272" s="19" t="n">
        <v>1.0083</v>
      </c>
      <c r="T1272" s="22" t="n">
        <v>-0.0217</v>
      </c>
      <c r="U1272" s="16" t="inlineStr">
        <is>
          <t>No</t>
        </is>
      </c>
      <c r="V1272" s="16" t="inlineStr">
        <is>
          <t>No</t>
        </is>
      </c>
      <c r="W1272" s="16" t="inlineStr">
        <is>
          <t>Yes</t>
        </is>
      </c>
      <c r="X1272" s="16" t="inlineStr">
        <is>
          <t>No</t>
        </is>
      </c>
      <c r="Y1272" s="20" t="n">
        <v>200</v>
      </c>
      <c r="Z1272" s="19" t="n">
        <v>-0.0667</v>
      </c>
      <c r="AA1272" s="18" t="n">
        <v>34.18</v>
      </c>
      <c r="AB1272" s="16" t="inlineStr">
        <is>
          <t>Poor</t>
        </is>
      </c>
      <c r="AC1272" s="16" t="inlineStr">
        <is>
          <t>No</t>
        </is>
      </c>
      <c r="AD1272" s="19" t="n">
        <v>-0.0129</v>
      </c>
      <c r="AE1272" s="19" t="n">
        <v>0.0173</v>
      </c>
      <c r="AF1272" s="19" t="n">
        <v>-1.1653</v>
      </c>
      <c r="AG1272" s="19" t="n">
        <v>0.2378</v>
      </c>
      <c r="AH1272" s="23" t="n">
        <v>0</v>
      </c>
      <c r="AI1272" s="23" t="n">
        <v>0.01</v>
      </c>
      <c r="AJ1272" s="19" t="n">
        <v>0.0001</v>
      </c>
    </row>
    <row r="1273">
      <c r="A1273" s="16" t="inlineStr">
        <is>
          <t>TINNARUBR</t>
        </is>
      </c>
      <c r="B1273" s="16" t="inlineStr">
        <is>
          <t>Tinna Rubber and Infrastructure Ltd.</t>
        </is>
      </c>
      <c r="C1273" s="16" t="inlineStr">
        <is>
          <t>Specialty Chemicals</t>
        </is>
      </c>
      <c r="D1273" s="16" t="inlineStr">
        <is>
          <t>Chemicals &amp; Petrochemicals</t>
        </is>
      </c>
      <c r="E1273" s="16" t="inlineStr">
        <is>
          <t>INE015C01016</t>
        </is>
      </c>
      <c r="F1273" s="17" t="n">
        <v>1852.38</v>
      </c>
      <c r="G1273" s="18" t="n">
        <v>1028.2</v>
      </c>
      <c r="H1273" s="19" t="n">
        <v>-0.0083</v>
      </c>
      <c r="I1273" s="20" t="n">
        <v>74</v>
      </c>
      <c r="J1273" s="16" t="inlineStr">
        <is>
          <t>amber</t>
        </is>
      </c>
      <c r="K1273" s="20" t="n">
        <v>11</v>
      </c>
      <c r="L1273" s="18" t="n">
        <v>49.32</v>
      </c>
      <c r="M1273" s="18" t="n">
        <v>1014.16</v>
      </c>
      <c r="N1273" s="18" t="n">
        <v>1039.91</v>
      </c>
      <c r="O1273" s="18" t="n">
        <v>820.21</v>
      </c>
      <c r="P1273" s="18" t="n">
        <v>1189.9</v>
      </c>
      <c r="Q1273" s="18" t="n">
        <v>536</v>
      </c>
      <c r="R1273" s="21">
        <f>IF(OR(G1273="",P1273=""),"",G1273/P1273-1)</f>
        <v/>
      </c>
      <c r="S1273" s="19" t="n">
        <v>0.5649000000000001</v>
      </c>
      <c r="T1273" s="22" t="n">
        <v>0.0133</v>
      </c>
      <c r="U1273" s="16" t="inlineStr">
        <is>
          <t>Yes</t>
        </is>
      </c>
      <c r="V1273" s="16" t="inlineStr">
        <is>
          <t>No</t>
        </is>
      </c>
      <c r="W1273" s="16" t="inlineStr">
        <is>
          <t>Yes</t>
        </is>
      </c>
      <c r="X1273" s="16" t="inlineStr">
        <is>
          <t>Yes</t>
        </is>
      </c>
      <c r="Y1273" s="20" t="n">
        <v>53</v>
      </c>
      <c r="Z1273" s="19" t="n">
        <v>0.2679</v>
      </c>
      <c r="AA1273" s="18" t="n">
        <v>66</v>
      </c>
      <c r="AB1273" s="16" t="inlineStr">
        <is>
          <t>High</t>
        </is>
      </c>
      <c r="AC1273" s="16" t="inlineStr">
        <is>
          <t>No</t>
        </is>
      </c>
      <c r="AD1273" s="19" t="n">
        <v>0.2542</v>
      </c>
      <c r="AE1273" s="19" t="n">
        <v>0.2355</v>
      </c>
      <c r="AF1273" s="19" t="n">
        <v>0.3662</v>
      </c>
      <c r="AG1273" s="19" t="n">
        <v>0.2356</v>
      </c>
      <c r="AH1273" s="23" t="n">
        <v>0.43</v>
      </c>
      <c r="AI1273" s="23" t="n">
        <v>1.91</v>
      </c>
      <c r="AJ1273" s="19" t="n">
        <v>0.1462</v>
      </c>
    </row>
    <row r="1274">
      <c r="A1274" s="16" t="inlineStr">
        <is>
          <t>CAPACITE</t>
        </is>
      </c>
      <c r="B1274" s="16" t="inlineStr">
        <is>
          <t>Capacit'e Infraprojects Ltd.</t>
        </is>
      </c>
      <c r="C1274" s="16" t="inlineStr">
        <is>
          <t>Construction &amp; Engineering</t>
        </is>
      </c>
      <c r="D1274" s="16" t="inlineStr">
        <is>
          <t>Cement and Construction</t>
        </is>
      </c>
      <c r="E1274" s="16" t="inlineStr">
        <is>
          <t>INE264T01014</t>
        </is>
      </c>
      <c r="F1274" s="17" t="n">
        <v>1829.31</v>
      </c>
      <c r="G1274" s="18" t="n">
        <v>216.22</v>
      </c>
      <c r="H1274" s="19" t="n">
        <v>0.0351</v>
      </c>
      <c r="I1274" s="20" t="n">
        <v>19</v>
      </c>
      <c r="J1274" s="16" t="inlineStr">
        <is>
          <t>red</t>
        </is>
      </c>
      <c r="K1274" s="20" t="n">
        <v>323</v>
      </c>
      <c r="L1274" s="18" t="n">
        <v>53.31</v>
      </c>
      <c r="M1274" s="18" t="n">
        <v>215.08</v>
      </c>
      <c r="N1274" s="18" t="n">
        <v>222.99</v>
      </c>
      <c r="O1274" s="18" t="n">
        <v>236.08</v>
      </c>
      <c r="P1274" s="18" t="n">
        <v>321.15</v>
      </c>
      <c r="Q1274" s="18" t="n">
        <v>180.28</v>
      </c>
      <c r="R1274" s="21">
        <f>IF(OR(G1274="",P1274=""),"",G1274/P1274-1)</f>
        <v/>
      </c>
      <c r="S1274" s="19" t="n">
        <v>0.8466</v>
      </c>
      <c r="T1274" s="22" t="n">
        <v>-0.0291</v>
      </c>
      <c r="U1274" s="16" t="inlineStr">
        <is>
          <t>No</t>
        </is>
      </c>
      <c r="V1274" s="16" t="inlineStr">
        <is>
          <t>No</t>
        </is>
      </c>
      <c r="W1274" s="16" t="inlineStr">
        <is>
          <t>Yes</t>
        </is>
      </c>
      <c r="X1274" s="16" t="inlineStr">
        <is>
          <t>No</t>
        </is>
      </c>
      <c r="Y1274" s="20" t="n">
        <v>371</v>
      </c>
      <c r="Z1274" s="19" t="n">
        <v>-0.0555</v>
      </c>
      <c r="AA1274" s="18" t="n">
        <v>51.44</v>
      </c>
      <c r="AB1274" s="16" t="inlineStr">
        <is>
          <t>Average</t>
        </is>
      </c>
      <c r="AC1274" s="16" t="inlineStr">
        <is>
          <t>No</t>
        </is>
      </c>
      <c r="AD1274" s="19" t="n">
        <v>0.0992</v>
      </c>
      <c r="AE1274" s="19" t="n">
        <v>0.1387</v>
      </c>
      <c r="AF1274" s="19" t="n">
        <v>0.1951</v>
      </c>
      <c r="AG1274" s="19" t="n">
        <v>0.1357</v>
      </c>
      <c r="AH1274" s="23" t="n">
        <v>0.25</v>
      </c>
      <c r="AI1274" s="23" t="n">
        <v>3.59</v>
      </c>
      <c r="AJ1274" s="19" t="n">
        <v>0.101</v>
      </c>
    </row>
    <row r="1275">
      <c r="A1275" s="16" t="inlineStr">
        <is>
          <t>AYMSYNTEX</t>
        </is>
      </c>
      <c r="B1275" s="16" t="inlineStr">
        <is>
          <t>AYM Syntex Ltd.</t>
        </is>
      </c>
      <c r="C1275" s="16" t="inlineStr">
        <is>
          <t>Textiles</t>
        </is>
      </c>
      <c r="D1275" s="16" t="inlineStr">
        <is>
          <t>Textiles Apparels &amp; Accessories</t>
        </is>
      </c>
      <c r="E1275" s="16" t="inlineStr">
        <is>
          <t>INE193B01039</t>
        </is>
      </c>
      <c r="F1275" s="17" t="n">
        <v>1826.54</v>
      </c>
      <c r="G1275" s="18" t="n">
        <v>310.7</v>
      </c>
      <c r="H1275" s="19" t="n">
        <v>-0.0206</v>
      </c>
      <c r="I1275" s="20" t="n">
        <v>89</v>
      </c>
      <c r="J1275" s="16" t="inlineStr">
        <is>
          <t>green</t>
        </is>
      </c>
      <c r="K1275" s="20" t="n">
        <v>5</v>
      </c>
      <c r="L1275" s="18" t="n">
        <v>67.95999999999999</v>
      </c>
      <c r="M1275" s="18" t="n">
        <v>284.34</v>
      </c>
      <c r="N1275" s="18" t="n">
        <v>253.15</v>
      </c>
      <c r="O1275" s="18" t="n">
        <v>206.13</v>
      </c>
      <c r="P1275" s="18" t="n">
        <v>317.25</v>
      </c>
      <c r="Q1275" s="18" t="n">
        <v>148.08</v>
      </c>
      <c r="R1275" s="21">
        <f>IF(OR(G1275="",P1275=""),"",G1275/P1275-1)</f>
        <v/>
      </c>
      <c r="S1275" s="19" t="n">
        <v>0.8911</v>
      </c>
      <c r="T1275" s="22" t="n">
        <v>0.0479</v>
      </c>
      <c r="U1275" s="16" t="inlineStr">
        <is>
          <t>Yes</t>
        </is>
      </c>
      <c r="V1275" s="16" t="inlineStr">
        <is>
          <t>Yes</t>
        </is>
      </c>
      <c r="W1275" s="16" t="inlineStr">
        <is>
          <t>Yes</t>
        </is>
      </c>
      <c r="X1275" s="16" t="inlineStr">
        <is>
          <t>Yes</t>
        </is>
      </c>
      <c r="Y1275" s="20" t="n">
        <v>101</v>
      </c>
      <c r="Z1275" s="19" t="n">
        <v>0.2281</v>
      </c>
      <c r="AA1275" s="18" t="n">
        <v>35.27</v>
      </c>
      <c r="AB1275" s="16" t="inlineStr">
        <is>
          <t>Weak</t>
        </is>
      </c>
      <c r="AC1275" s="16" t="inlineStr">
        <is>
          <t>No</t>
        </is>
      </c>
      <c r="AD1275" s="19" t="n">
        <v>0.012</v>
      </c>
      <c r="AE1275" s="19" t="n">
        <v>0.0585</v>
      </c>
      <c r="AF1275" s="19" t="n">
        <v>1.0373</v>
      </c>
      <c r="AG1275" s="19" t="n">
        <v>-0.009599999999999999</v>
      </c>
      <c r="AH1275" s="23" t="n">
        <v>0.32</v>
      </c>
      <c r="AI1275" s="23" t="n">
        <v>2.41</v>
      </c>
      <c r="AJ1275" s="19" t="n">
        <v>0.07339999999999999</v>
      </c>
    </row>
    <row r="1276">
      <c r="A1276" s="16" t="inlineStr">
        <is>
          <t>CNL</t>
        </is>
      </c>
      <c r="B1276" s="16" t="inlineStr">
        <is>
          <t>Creative Newtech Ltd.</t>
        </is>
      </c>
      <c r="C1276" s="16" t="inlineStr">
        <is>
          <t>Internet &amp; Catalogue Retail</t>
        </is>
      </c>
      <c r="D1276" s="16" t="inlineStr">
        <is>
          <t>Retailing</t>
        </is>
      </c>
      <c r="E1276" s="16" t="inlineStr">
        <is>
          <t>INE985W01018</t>
        </is>
      </c>
      <c r="F1276" s="17" t="n">
        <v>1825.28</v>
      </c>
      <c r="G1276" s="18" t="n">
        <v>1215.5</v>
      </c>
      <c r="H1276" s="19" t="n">
        <v>-0.0224</v>
      </c>
      <c r="I1276" s="20" t="n">
        <v>93</v>
      </c>
      <c r="J1276" s="16" t="inlineStr">
        <is>
          <t>green</t>
        </is>
      </c>
      <c r="K1276" s="20" t="n">
        <v>42</v>
      </c>
      <c r="L1276" s="18" t="n">
        <v>44.5</v>
      </c>
      <c r="M1276" s="18" t="n">
        <v>1238.64</v>
      </c>
      <c r="N1276" s="18" t="n">
        <v>1036.76</v>
      </c>
      <c r="O1276" s="18" t="n">
        <v>760.0700000000001</v>
      </c>
      <c r="P1276" s="18" t="n">
        <v>1279.6</v>
      </c>
      <c r="Q1276" s="18" t="n">
        <v>528.15</v>
      </c>
      <c r="R1276" s="21">
        <f>IF(OR(G1276="",P1276=""),"",G1276/P1276-1)</f>
        <v/>
      </c>
      <c r="S1276" s="19" t="n">
        <v>0.07539999999999999</v>
      </c>
      <c r="T1276" s="22" t="n">
        <v>0.0774</v>
      </c>
      <c r="U1276" s="16" t="inlineStr">
        <is>
          <t>Yes</t>
        </is>
      </c>
      <c r="V1276" s="16" t="inlineStr">
        <is>
          <t>Yes</t>
        </is>
      </c>
      <c r="W1276" s="16" t="inlineStr">
        <is>
          <t>No</t>
        </is>
      </c>
      <c r="X1276" s="16" t="inlineStr">
        <is>
          <t>Yes</t>
        </is>
      </c>
      <c r="Y1276" s="20" t="n">
        <v>47</v>
      </c>
      <c r="Z1276" s="19" t="n">
        <v>0.364</v>
      </c>
      <c r="AA1276" s="18" t="n">
        <v>40</v>
      </c>
      <c r="AB1276" s="16" t="inlineStr">
        <is>
          <t>Weak</t>
        </is>
      </c>
      <c r="AC1276" s="16" t="inlineStr">
        <is>
          <t>No</t>
        </is>
      </c>
      <c r="AD1276" s="19" t="n">
        <v>0.1927</v>
      </c>
      <c r="AE1276" s="19" t="n">
        <v>0.1904</v>
      </c>
      <c r="AF1276" s="19" t="n">
        <v>-0.1196</v>
      </c>
      <c r="AG1276" s="19" t="n">
        <v>0.2624</v>
      </c>
      <c r="AH1276" s="23" t="n">
        <v>0.89</v>
      </c>
      <c r="AI1276" s="23" t="n">
        <v>329.24</v>
      </c>
      <c r="AJ1276" s="19" t="n">
        <v>0</v>
      </c>
    </row>
    <row r="1277">
      <c r="A1277" s="16" t="inlineStr">
        <is>
          <t>EPACK</t>
        </is>
      </c>
      <c r="B1277" s="16" t="inlineStr">
        <is>
          <t>EPACK Durables Ltd.</t>
        </is>
      </c>
      <c r="C1277" s="16" t="inlineStr">
        <is>
          <t>Consumer Electronics</t>
        </is>
      </c>
      <c r="D1277" s="16" t="inlineStr">
        <is>
          <t>Consumer Durables</t>
        </is>
      </c>
      <c r="E1277" s="16" t="inlineStr">
        <is>
          <t>INE0G5901015</t>
        </is>
      </c>
      <c r="F1277" s="17" t="n">
        <v>1821.32</v>
      </c>
      <c r="G1277" s="18" t="n">
        <v>189.27</v>
      </c>
      <c r="H1277" s="19" t="n">
        <v>0.001</v>
      </c>
      <c r="I1277" s="20" t="n">
        <v>4</v>
      </c>
      <c r="J1277" s="16" t="inlineStr">
        <is>
          <t>red</t>
        </is>
      </c>
      <c r="K1277" s="20" t="n">
        <v>241</v>
      </c>
      <c r="L1277" s="18" t="n">
        <v>8.23</v>
      </c>
      <c r="M1277" s="18" t="n">
        <v>191.12</v>
      </c>
      <c r="N1277" s="18" t="n">
        <v>222.14</v>
      </c>
      <c r="O1277" s="18" t="n">
        <v>243.31</v>
      </c>
      <c r="P1277" s="18" t="n">
        <v>403</v>
      </c>
      <c r="Q1277" s="18" t="n">
        <v>187.35</v>
      </c>
      <c r="R1277" s="21">
        <f>IF(OR(G1277="",P1277=""),"",G1277/P1277-1)</f>
        <v/>
      </c>
      <c r="S1277" s="19" t="n">
        <v>0.8275</v>
      </c>
      <c r="T1277" s="22" t="n">
        <v>-0.0428</v>
      </c>
      <c r="U1277" s="16" t="inlineStr">
        <is>
          <t>No</t>
        </is>
      </c>
      <c r="V1277" s="16" t="inlineStr">
        <is>
          <t>No</t>
        </is>
      </c>
      <c r="W1277" s="16" t="inlineStr">
        <is>
          <t>No</t>
        </is>
      </c>
      <c r="X1277" s="16" t="inlineStr">
        <is>
          <t>No</t>
        </is>
      </c>
      <c r="Y1277" s="20" t="n">
        <v>350</v>
      </c>
      <c r="Z1277" s="19" t="n">
        <v>-0.08699999999999999</v>
      </c>
      <c r="AA1277" s="18" t="n">
        <v>27.57</v>
      </c>
      <c r="AB1277" s="16" t="inlineStr">
        <is>
          <t>Poor</t>
        </is>
      </c>
      <c r="AC1277" s="16" t="inlineStr">
        <is>
          <t>No</t>
        </is>
      </c>
      <c r="AD1277" s="19" t="n">
        <v>0.0336</v>
      </c>
      <c r="AE1277" s="19" t="n">
        <v>0.0675</v>
      </c>
      <c r="AF1277" s="19" t="n">
        <v>-0.1055</v>
      </c>
      <c r="AG1277" s="19" t="n">
        <v>0.1246</v>
      </c>
      <c r="AH1277" s="23" t="n">
        <v>0.77</v>
      </c>
      <c r="AI1277" s="23" t="n">
        <v>1.9</v>
      </c>
      <c r="AJ1277" s="19" t="n">
        <v>0.08890000000000001</v>
      </c>
    </row>
    <row r="1278">
      <c r="A1278" s="16" t="inlineStr">
        <is>
          <t>KRSNAA</t>
        </is>
      </c>
      <c r="B1278" s="16" t="inlineStr">
        <is>
          <t>Krsnaa Diagnostics Ltd.</t>
        </is>
      </c>
      <c r="C1278" s="16" t="inlineStr">
        <is>
          <t>Healthcare Services</t>
        </is>
      </c>
      <c r="D1278" s="16" t="inlineStr">
        <is>
          <t>Healthcare</t>
        </is>
      </c>
      <c r="E1278" s="16" t="inlineStr">
        <is>
          <t>INE08LI01020</t>
        </is>
      </c>
      <c r="F1278" s="17" t="n">
        <v>1816.57</v>
      </c>
      <c r="G1278" s="18" t="n">
        <v>560</v>
      </c>
      <c r="H1278" s="19" t="n">
        <v>0.0164</v>
      </c>
      <c r="I1278" s="20" t="n">
        <v>18</v>
      </c>
      <c r="J1278" s="16" t="inlineStr">
        <is>
          <t>red</t>
        </is>
      </c>
      <c r="K1278" s="20" t="n">
        <v>192</v>
      </c>
      <c r="L1278" s="18" t="n">
        <v>50.77</v>
      </c>
      <c r="M1278" s="18" t="n">
        <v>558.12</v>
      </c>
      <c r="N1278" s="18" t="n">
        <v>552.53</v>
      </c>
      <c r="O1278" s="18" t="n">
        <v>620.4400000000001</v>
      </c>
      <c r="P1278" s="18" t="n">
        <v>866.2</v>
      </c>
      <c r="Q1278" s="18" t="n">
        <v>520.3</v>
      </c>
      <c r="R1278" s="21">
        <f>IF(OR(G1278="",P1278=""),"",G1278/P1278-1)</f>
        <v/>
      </c>
      <c r="S1278" s="19" t="n">
        <v>0.2829</v>
      </c>
      <c r="T1278" s="22" t="n">
        <v>-0.0365</v>
      </c>
      <c r="U1278" s="16" t="inlineStr">
        <is>
          <t>No</t>
        </is>
      </c>
      <c r="V1278" s="16" t="inlineStr">
        <is>
          <t>Yes</t>
        </is>
      </c>
      <c r="W1278" s="16" t="inlineStr">
        <is>
          <t>Yes</t>
        </is>
      </c>
      <c r="X1278" s="16" t="inlineStr">
        <is>
          <t>No</t>
        </is>
      </c>
      <c r="Y1278" s="20" t="n">
        <v>168</v>
      </c>
      <c r="Z1278" s="19" t="n">
        <v>-0.1095</v>
      </c>
      <c r="AA1278" s="18" t="n">
        <v>40.73</v>
      </c>
      <c r="AB1278" s="16" t="inlineStr">
        <is>
          <t>Average</t>
        </is>
      </c>
      <c r="AC1278" s="16" t="inlineStr">
        <is>
          <t>No</t>
        </is>
      </c>
      <c r="AD1278" s="19" t="n">
        <v>0.0872</v>
      </c>
      <c r="AE1278" s="19" t="n">
        <v>0.1042</v>
      </c>
      <c r="AF1278" s="19" t="n">
        <v>0.1897</v>
      </c>
      <c r="AG1278" s="19" t="n">
        <v>0.169</v>
      </c>
      <c r="AH1278" s="23" t="n">
        <v>0.55</v>
      </c>
      <c r="AI1278" s="23" t="n">
        <v>0.9</v>
      </c>
      <c r="AJ1278" s="19" t="n">
        <v>0.242</v>
      </c>
    </row>
    <row r="1279">
      <c r="A1279" s="16" t="inlineStr">
        <is>
          <t>EIHAHOTELS</t>
        </is>
      </c>
      <c r="B1279" s="16" t="inlineStr">
        <is>
          <t>EIH Associated Hotels Ltd.</t>
        </is>
      </c>
      <c r="C1279" s="16" t="inlineStr">
        <is>
          <t>Hotels</t>
        </is>
      </c>
      <c r="D1279" s="16" t="inlineStr">
        <is>
          <t>Hotels Restaurants &amp; Tourism</t>
        </is>
      </c>
      <c r="E1279" s="16" t="inlineStr">
        <is>
          <t>INE276C01014</t>
        </is>
      </c>
      <c r="F1279" s="17" t="n">
        <v>1813.77</v>
      </c>
      <c r="G1279" s="18" t="n">
        <v>297.65</v>
      </c>
      <c r="H1279" s="19" t="n">
        <v>-0.0204</v>
      </c>
      <c r="I1279" s="20" t="n">
        <v>22</v>
      </c>
      <c r="J1279" s="16" t="inlineStr">
        <is>
          <t>red</t>
        </is>
      </c>
      <c r="K1279" s="20" t="n">
        <v>230</v>
      </c>
      <c r="L1279" s="18" t="n">
        <v>56.14</v>
      </c>
      <c r="M1279" s="18" t="n">
        <v>301.26</v>
      </c>
      <c r="N1279" s="18" t="n">
        <v>308.56</v>
      </c>
      <c r="O1279" s="18" t="n">
        <v>321.5</v>
      </c>
      <c r="P1279" s="18" t="n">
        <v>418.72</v>
      </c>
      <c r="Q1279" s="18" t="n">
        <v>267.27</v>
      </c>
      <c r="R1279" s="21">
        <f>IF(OR(G1279="",P1279=""),"",G1279/P1279-1)</f>
        <v/>
      </c>
      <c r="S1279" s="19" t="n">
        <v>0.6179</v>
      </c>
      <c r="T1279" s="22" t="n">
        <v>-0.0229</v>
      </c>
      <c r="U1279" s="16" t="inlineStr">
        <is>
          <t>No</t>
        </is>
      </c>
      <c r="V1279" s="16" t="inlineStr">
        <is>
          <t>No</t>
        </is>
      </c>
      <c r="W1279" s="16" t="inlineStr">
        <is>
          <t>No</t>
        </is>
      </c>
      <c r="X1279" s="16" t="inlineStr">
        <is>
          <t>No</t>
        </is>
      </c>
      <c r="Y1279" s="20" t="n">
        <v>182</v>
      </c>
      <c r="Z1279" s="19" t="n">
        <v>-0.04019999999999999</v>
      </c>
      <c r="AA1279" s="18" t="n">
        <v>59.6</v>
      </c>
      <c r="AB1279" s="16" t="inlineStr">
        <is>
          <t>Good</t>
        </is>
      </c>
      <c r="AC1279" s="16" t="inlineStr">
        <is>
          <t>No</t>
        </is>
      </c>
      <c r="AD1279" s="19" t="n">
        <v>0.1637</v>
      </c>
      <c r="AE1279" s="19" t="n">
        <v>0.2187</v>
      </c>
      <c r="AF1279" s="19" t="n">
        <v>0.1125</v>
      </c>
      <c r="AG1279" s="19" t="n">
        <v>0.0475</v>
      </c>
      <c r="AH1279" s="23" t="n">
        <v>0.01</v>
      </c>
      <c r="AI1279" s="23" t="n">
        <v>1.1</v>
      </c>
      <c r="AJ1279" s="19" t="n">
        <v>0.1508</v>
      </c>
    </row>
    <row r="1280">
      <c r="A1280" s="16" t="inlineStr">
        <is>
          <t>GRMOVER</t>
        </is>
      </c>
      <c r="B1280" s="16" t="inlineStr">
        <is>
          <t>GRM Overseas Ltd.</t>
        </is>
      </c>
      <c r="C1280" s="16" t="inlineStr">
        <is>
          <t>Other Agricultural Products</t>
        </is>
      </c>
      <c r="D1280" s="16" t="inlineStr">
        <is>
          <t>Food, Beverages &amp; Tobacco</t>
        </is>
      </c>
      <c r="E1280" s="16" t="inlineStr">
        <is>
          <t>INE192H01020</t>
        </is>
      </c>
      <c r="F1280" s="17" t="n">
        <v>1813.71</v>
      </c>
      <c r="G1280" s="18" t="n">
        <v>87.53</v>
      </c>
      <c r="H1280" s="19" t="n">
        <v>0.02</v>
      </c>
      <c r="I1280" s="20" t="n">
        <v>4</v>
      </c>
      <c r="J1280" s="16" t="inlineStr">
        <is>
          <t>red</t>
        </is>
      </c>
      <c r="K1280" s="20" t="n">
        <v>65</v>
      </c>
      <c r="L1280" s="18" t="n">
        <v>47.63</v>
      </c>
      <c r="M1280" s="18" t="n">
        <v>86.76000000000001</v>
      </c>
      <c r="N1280" s="18" t="n">
        <v>90.93000000000001</v>
      </c>
      <c r="O1280" s="18" t="n">
        <v>138.47</v>
      </c>
      <c r="P1280" s="18" t="n">
        <v>171.12</v>
      </c>
      <c r="Q1280" s="18" t="n">
        <v>85.29000000000001</v>
      </c>
      <c r="R1280" s="21">
        <f>IF(OR(G1280="",P1280=""),"",G1280/P1280-1)</f>
        <v/>
      </c>
      <c r="S1280" s="19" t="n">
        <v>0.9365000000000001</v>
      </c>
      <c r="T1280" s="22" t="n">
        <v>-0.04</v>
      </c>
      <c r="U1280" s="16" t="inlineStr">
        <is>
          <t>No</t>
        </is>
      </c>
      <c r="V1280" s="16" t="inlineStr">
        <is>
          <t>No</t>
        </is>
      </c>
      <c r="W1280" s="16" t="inlineStr">
        <is>
          <t>Yes</t>
        </is>
      </c>
      <c r="X1280" s="16" t="inlineStr">
        <is>
          <t>No</t>
        </is>
      </c>
      <c r="Y1280" s="20" t="n">
        <v>56</v>
      </c>
      <c r="Z1280" s="19" t="n">
        <v>-0.3433</v>
      </c>
      <c r="AA1280" s="18" t="n">
        <v>49.59</v>
      </c>
      <c r="AB1280" s="16" t="inlineStr">
        <is>
          <t>Average</t>
        </is>
      </c>
      <c r="AC1280" s="16" t="inlineStr">
        <is>
          <t>No</t>
        </is>
      </c>
      <c r="AD1280" s="19" t="n">
        <v>0.1494</v>
      </c>
      <c r="AE1280" s="19" t="n">
        <v>0.1317</v>
      </c>
      <c r="AF1280" s="19" t="n">
        <v>0.1915</v>
      </c>
      <c r="AG1280" s="19" t="n">
        <v>0.1035</v>
      </c>
      <c r="AH1280" s="23" t="n">
        <v>0.61</v>
      </c>
      <c r="AI1280" s="23" t="n">
        <v>44.41</v>
      </c>
      <c r="AJ1280" s="19" t="n">
        <v>0</v>
      </c>
    </row>
    <row r="1281">
      <c r="A1281" s="16" t="inlineStr">
        <is>
          <t>ALGOQUANT</t>
        </is>
      </c>
      <c r="B1281" s="16" t="inlineStr">
        <is>
          <t>Algoquant Fintech Ltd.</t>
        </is>
      </c>
      <c r="C1281" s="16" t="inlineStr">
        <is>
          <t>Other Financial Services</t>
        </is>
      </c>
      <c r="D1281" s="16" t="inlineStr">
        <is>
          <t>Banking and Finance</t>
        </is>
      </c>
      <c r="E1281" s="16" t="inlineStr">
        <is>
          <t>INE598D01035</t>
        </is>
      </c>
      <c r="F1281" s="17" t="n">
        <v>1813.07</v>
      </c>
      <c r="G1281" s="18" t="n">
        <v>64.5</v>
      </c>
      <c r="H1281" s="19" t="n">
        <v>0.0036</v>
      </c>
      <c r="I1281" s="20" t="n">
        <v>64</v>
      </c>
      <c r="J1281" s="16" t="inlineStr">
        <is>
          <t>amber</t>
        </is>
      </c>
      <c r="K1281" s="20" t="n">
        <v>3</v>
      </c>
      <c r="L1281" s="18" t="n">
        <v>40.39</v>
      </c>
      <c r="M1281" s="18" t="n">
        <v>64.34</v>
      </c>
      <c r="N1281" s="18" t="n">
        <v>64.11</v>
      </c>
      <c r="O1281" s="18" t="n"/>
      <c r="P1281" s="18" t="n">
        <v>69.34</v>
      </c>
      <c r="Q1281" s="18" t="n">
        <v>49.76</v>
      </c>
      <c r="R1281" s="21">
        <f>IF(OR(G1281="",P1281=""),"",G1281/P1281-1)</f>
        <v/>
      </c>
      <c r="S1281" s="19" t="n">
        <v>0.9211</v>
      </c>
      <c r="T1281" s="22" t="n"/>
      <c r="U1281" s="16" t="n"/>
      <c r="V1281" s="16" t="inlineStr">
        <is>
          <t>Yes</t>
        </is>
      </c>
      <c r="W1281" s="16" t="inlineStr">
        <is>
          <t>Yes</t>
        </is>
      </c>
      <c r="X1281" s="16" t="n"/>
      <c r="Y1281" s="20" t="n"/>
      <c r="Z1281" s="19" t="n"/>
      <c r="AA1281" s="18" t="n">
        <v>93.40000000000001</v>
      </c>
      <c r="AB1281" s="16" t="inlineStr">
        <is>
          <t>High</t>
        </is>
      </c>
      <c r="AC1281" s="16" t="inlineStr">
        <is>
          <t>Yes</t>
        </is>
      </c>
      <c r="AD1281" s="19" t="n">
        <v>0.307</v>
      </c>
      <c r="AE1281" s="19" t="n">
        <v>0.2851</v>
      </c>
      <c r="AF1281" s="19" t="n">
        <v>1.9006</v>
      </c>
      <c r="AG1281" s="19" t="n">
        <v>2.3433</v>
      </c>
      <c r="AH1281" s="23" t="n">
        <v>0.25</v>
      </c>
      <c r="AI1281" s="23" t="n">
        <v>3.19</v>
      </c>
      <c r="AJ1281" s="19" t="n">
        <v>0</v>
      </c>
    </row>
    <row r="1282">
      <c r="A1282" s="16" t="inlineStr">
        <is>
          <t>BCG</t>
        </is>
      </c>
      <c r="B1282" s="16" t="inlineStr">
        <is>
          <t>Brightcom Group Ltd.</t>
        </is>
      </c>
      <c r="C1282" s="16" t="inlineStr">
        <is>
          <t>Internet Software &amp; Services</t>
        </is>
      </c>
      <c r="D1282" s="16" t="inlineStr">
        <is>
          <t>Software &amp; Services</t>
        </is>
      </c>
      <c r="E1282" s="16" t="inlineStr">
        <is>
          <t>INE425B01027</t>
        </is>
      </c>
      <c r="F1282" s="17" t="n">
        <v>1812.63</v>
      </c>
      <c r="G1282" s="18" t="n">
        <v>8.98</v>
      </c>
      <c r="H1282" s="19" t="n">
        <v>-0.0022</v>
      </c>
      <c r="I1282" s="20" t="n">
        <v>7</v>
      </c>
      <c r="J1282" s="16" t="inlineStr">
        <is>
          <t>red</t>
        </is>
      </c>
      <c r="K1282" s="20" t="n">
        <v>65</v>
      </c>
      <c r="L1282" s="18" t="n">
        <v>25.18</v>
      </c>
      <c r="M1282" s="18" t="n">
        <v>9.01</v>
      </c>
      <c r="N1282" s="18" t="n">
        <v>9.460000000000001</v>
      </c>
      <c r="O1282" s="18" t="n">
        <v>10.11</v>
      </c>
      <c r="P1282" s="18" t="n">
        <v>16.02</v>
      </c>
      <c r="Q1282" s="18" t="n">
        <v>8.17</v>
      </c>
      <c r="R1282" s="21">
        <f>IF(OR(G1282="",P1282=""),"",G1282/P1282-1)</f>
        <v/>
      </c>
      <c r="S1282" s="19" t="n">
        <v>0.5081</v>
      </c>
      <c r="T1282" s="22" t="n">
        <v>-0.0395</v>
      </c>
      <c r="U1282" s="16" t="inlineStr">
        <is>
          <t>No</t>
        </is>
      </c>
      <c r="V1282" s="16" t="inlineStr">
        <is>
          <t>No</t>
        </is>
      </c>
      <c r="W1282" s="16" t="inlineStr">
        <is>
          <t>No</t>
        </is>
      </c>
      <c r="X1282" s="16" t="inlineStr">
        <is>
          <t>No</t>
        </is>
      </c>
      <c r="Y1282" s="20" t="n">
        <v>173</v>
      </c>
      <c r="Z1282" s="19" t="n">
        <v>-0.0645</v>
      </c>
      <c r="AA1282" s="18" t="n">
        <v>40</v>
      </c>
      <c r="AB1282" s="16" t="inlineStr">
        <is>
          <t>Weak</t>
        </is>
      </c>
      <c r="AC1282" s="16" t="inlineStr">
        <is>
          <t>No</t>
        </is>
      </c>
      <c r="AD1282" s="19" t="n">
        <v>0.08699999999999999</v>
      </c>
      <c r="AE1282" s="19" t="n">
        <v>0.125</v>
      </c>
      <c r="AF1282" s="19" t="n">
        <v>-0.0368</v>
      </c>
      <c r="AG1282" s="19" t="n">
        <v>0.0268</v>
      </c>
      <c r="AH1282" s="23" t="n">
        <v>0</v>
      </c>
      <c r="AI1282" s="23" t="n">
        <v>22.8</v>
      </c>
      <c r="AJ1282" s="19" t="n">
        <v>0.9376000000000001</v>
      </c>
    </row>
    <row r="1283">
      <c r="A1283" s="16" t="inlineStr">
        <is>
          <t>MENONBE</t>
        </is>
      </c>
      <c r="B1283" s="16" t="inlineStr">
        <is>
          <t>Menon Bearings Ltd.</t>
        </is>
      </c>
      <c r="C1283" s="16" t="inlineStr">
        <is>
          <t>Auto Parts &amp; Equipment</t>
        </is>
      </c>
      <c r="D1283" s="16" t="inlineStr">
        <is>
          <t>Automobiles &amp; Auto Components</t>
        </is>
      </c>
      <c r="E1283" s="16" t="inlineStr">
        <is>
          <t>INE071D01033</t>
        </is>
      </c>
      <c r="F1283" s="17" t="n">
        <v>1801.13</v>
      </c>
      <c r="G1283" s="18" t="n">
        <v>321.4</v>
      </c>
      <c r="H1283" s="19" t="n">
        <v>0.0416</v>
      </c>
      <c r="I1283" s="20" t="n">
        <v>97</v>
      </c>
      <c r="J1283" s="16" t="inlineStr">
        <is>
          <t>green</t>
        </is>
      </c>
      <c r="K1283" s="20" t="n">
        <v>64</v>
      </c>
      <c r="L1283" s="18" t="n">
        <v>80.48</v>
      </c>
      <c r="M1283" s="18" t="n">
        <v>294.63</v>
      </c>
      <c r="N1283" s="18" t="n">
        <v>224.99</v>
      </c>
      <c r="O1283" s="18" t="n">
        <v>149.54</v>
      </c>
      <c r="P1283" s="18" t="n">
        <v>321.4</v>
      </c>
      <c r="Q1283" s="18" t="n">
        <v>101.72</v>
      </c>
      <c r="R1283" s="21">
        <f>IF(OR(G1283="",P1283=""),"",G1283/P1283-1)</f>
        <v/>
      </c>
      <c r="S1283" s="19" t="n">
        <v>2.3999</v>
      </c>
      <c r="T1283" s="22" t="n">
        <v>0.1136</v>
      </c>
      <c r="U1283" s="16" t="inlineStr">
        <is>
          <t>Yes</t>
        </is>
      </c>
      <c r="V1283" s="16" t="inlineStr">
        <is>
          <t>Yes</t>
        </is>
      </c>
      <c r="W1283" s="16" t="inlineStr">
        <is>
          <t>Yes</t>
        </is>
      </c>
      <c r="X1283" s="16" t="inlineStr">
        <is>
          <t>Yes</t>
        </is>
      </c>
      <c r="Y1283" s="20" t="n">
        <v>83</v>
      </c>
      <c r="Z1283" s="19" t="n">
        <v>0.5045000000000001</v>
      </c>
      <c r="AA1283" s="18" t="n">
        <v>54.71</v>
      </c>
      <c r="AB1283" s="16" t="inlineStr">
        <is>
          <t>Good</t>
        </is>
      </c>
      <c r="AC1283" s="16" t="inlineStr">
        <is>
          <t>No</t>
        </is>
      </c>
      <c r="AD1283" s="19" t="n">
        <v>0.1773</v>
      </c>
      <c r="AE1283" s="19" t="n">
        <v>0.2081</v>
      </c>
      <c r="AF1283" s="19" t="n">
        <v>0.1017</v>
      </c>
      <c r="AG1283" s="19" t="n">
        <v>0.1107</v>
      </c>
      <c r="AH1283" s="23" t="n">
        <v>0.25</v>
      </c>
      <c r="AI1283" s="23" t="n">
        <v>2.43</v>
      </c>
      <c r="AJ1283" s="19" t="n">
        <v>0.0008</v>
      </c>
    </row>
    <row r="1284">
      <c r="A1284" s="16" t="inlineStr">
        <is>
          <t>SPICELOUNG</t>
        </is>
      </c>
      <c r="B1284" s="16" t="inlineStr">
        <is>
          <t>Spice Lounge Food Works Ltd.</t>
        </is>
      </c>
      <c r="C1284" s="16" t="inlineStr">
        <is>
          <t>Other Financial Services</t>
        </is>
      </c>
      <c r="D1284" s="16" t="inlineStr">
        <is>
          <t>Banking and Finance</t>
        </is>
      </c>
      <c r="E1284" s="16" t="inlineStr">
        <is>
          <t>INE631E01024</t>
        </is>
      </c>
      <c r="F1284" s="17" t="n">
        <v>1800.67</v>
      </c>
      <c r="G1284" s="18" t="n">
        <v>25.83</v>
      </c>
      <c r="H1284" s="19" t="n">
        <v>0.05</v>
      </c>
      <c r="I1284" s="20" t="n">
        <v>9</v>
      </c>
      <c r="J1284" s="16" t="inlineStr">
        <is>
          <t>red</t>
        </is>
      </c>
      <c r="K1284" s="20" t="n">
        <v>16</v>
      </c>
      <c r="L1284" s="18" t="n">
        <v>50.57</v>
      </c>
      <c r="M1284" s="18" t="n">
        <v>24.01</v>
      </c>
      <c r="N1284" s="18" t="n">
        <v>25.21</v>
      </c>
      <c r="O1284" s="18" t="n">
        <v>31.37</v>
      </c>
      <c r="P1284" s="18" t="n">
        <v>68.8</v>
      </c>
      <c r="Q1284" s="18" t="n">
        <v>17.02</v>
      </c>
      <c r="R1284" s="21">
        <f>IF(OR(G1284="",P1284=""),"",G1284/P1284-1)</f>
        <v/>
      </c>
      <c r="S1284" s="19" t="n">
        <v>2.8795</v>
      </c>
      <c r="T1284" s="22" t="n">
        <v>-0.0688</v>
      </c>
      <c r="U1284" s="16" t="inlineStr">
        <is>
          <t>No</t>
        </is>
      </c>
      <c r="V1284" s="16" t="inlineStr">
        <is>
          <t>Yes</t>
        </is>
      </c>
      <c r="W1284" s="16" t="inlineStr">
        <is>
          <t>Yes</t>
        </is>
      </c>
      <c r="X1284" s="16" t="inlineStr">
        <is>
          <t>No</t>
        </is>
      </c>
      <c r="Y1284" s="20" t="n">
        <v>133</v>
      </c>
      <c r="Z1284" s="19" t="n">
        <v>-0.1963</v>
      </c>
      <c r="AA1284" s="18" t="n"/>
      <c r="AB1284" s="16" t="n"/>
      <c r="AC1284" s="16" t="inlineStr">
        <is>
          <t>No</t>
        </is>
      </c>
      <c r="AD1284" s="19" t="n"/>
      <c r="AE1284" s="19" t="n"/>
      <c r="AF1284" s="19" t="n"/>
      <c r="AG1284" s="19" t="n"/>
      <c r="AH1284" s="23" t="n"/>
      <c r="AI1284" s="23" t="n"/>
      <c r="AJ1284" s="19" t="n"/>
    </row>
    <row r="1285">
      <c r="A1285" s="16" t="inlineStr">
        <is>
          <t>INSECTICID</t>
        </is>
      </c>
      <c r="B1285" s="16" t="inlineStr">
        <is>
          <t>Insecticides (India) Ltd.</t>
        </is>
      </c>
      <c r="C1285" s="16" t="inlineStr">
        <is>
          <t>Agrochemicals</t>
        </is>
      </c>
      <c r="D1285" s="16" t="inlineStr">
        <is>
          <t>Chemicals &amp; Petrochemicals</t>
        </is>
      </c>
      <c r="E1285" s="16" t="inlineStr">
        <is>
          <t>INE070I01018</t>
        </is>
      </c>
      <c r="F1285" s="17" t="n">
        <v>1799.55</v>
      </c>
      <c r="G1285" s="18" t="n">
        <v>618.45</v>
      </c>
      <c r="H1285" s="19" t="n">
        <v>0.006999999999999999</v>
      </c>
      <c r="I1285" s="20" t="n">
        <v>15</v>
      </c>
      <c r="J1285" s="16" t="inlineStr">
        <is>
          <t>red</t>
        </is>
      </c>
      <c r="K1285" s="20" t="n">
        <v>70</v>
      </c>
      <c r="L1285" s="18" t="n">
        <v>49.91</v>
      </c>
      <c r="M1285" s="18" t="n">
        <v>599.9400000000001</v>
      </c>
      <c r="N1285" s="18" t="n">
        <v>631.7</v>
      </c>
      <c r="O1285" s="18" t="n">
        <v>660.08</v>
      </c>
      <c r="P1285" s="18" t="n">
        <v>823.76</v>
      </c>
      <c r="Q1285" s="18" t="n">
        <v>528.4</v>
      </c>
      <c r="R1285" s="21">
        <f>IF(OR(G1285="",P1285=""),"",G1285/P1285-1)</f>
        <v/>
      </c>
      <c r="S1285" s="19" t="n">
        <v>0.6261</v>
      </c>
      <c r="T1285" s="22" t="n">
        <v>-0.0132</v>
      </c>
      <c r="U1285" s="16" t="inlineStr">
        <is>
          <t>No</t>
        </is>
      </c>
      <c r="V1285" s="16" t="inlineStr">
        <is>
          <t>No</t>
        </is>
      </c>
      <c r="W1285" s="16" t="inlineStr">
        <is>
          <t>Yes</t>
        </is>
      </c>
      <c r="X1285" s="16" t="inlineStr">
        <is>
          <t>No</t>
        </is>
      </c>
      <c r="Y1285" s="20" t="n">
        <v>21</v>
      </c>
      <c r="Z1285" s="19" t="n">
        <v>-0.043</v>
      </c>
      <c r="AA1285" s="18" t="n">
        <v>55.81</v>
      </c>
      <c r="AB1285" s="16" t="inlineStr">
        <is>
          <t>Good</t>
        </is>
      </c>
      <c r="AC1285" s="16" t="inlineStr">
        <is>
          <t>No</t>
        </is>
      </c>
      <c r="AD1285" s="19" t="n">
        <v>0.1153</v>
      </c>
      <c r="AE1285" s="19" t="n">
        <v>0.1471</v>
      </c>
      <c r="AF1285" s="19" t="n">
        <v>0.3359</v>
      </c>
      <c r="AG1285" s="19" t="n">
        <v>0.05980000000000001</v>
      </c>
      <c r="AH1285" s="23" t="n">
        <v>0.13</v>
      </c>
      <c r="AI1285" s="23" t="n">
        <v>4.32</v>
      </c>
      <c r="AJ1285" s="19" t="n">
        <v>0.2757</v>
      </c>
    </row>
    <row r="1286">
      <c r="A1286" s="16" t="inlineStr">
        <is>
          <t>SERVOTECH</t>
        </is>
      </c>
      <c r="B1286" s="16" t="inlineStr">
        <is>
          <t>Servotech Renewable Power System Ltd.</t>
        </is>
      </c>
      <c r="C1286" s="16" t="inlineStr">
        <is>
          <t>Other Electrical Equipment/Products</t>
        </is>
      </c>
      <c r="D1286" s="16" t="inlineStr">
        <is>
          <t>Consumer Durables</t>
        </is>
      </c>
      <c r="E1286" s="16" t="inlineStr">
        <is>
          <t>INE782X01033</t>
        </is>
      </c>
      <c r="F1286" s="17" t="n">
        <v>1798.18</v>
      </c>
      <c r="G1286" s="18" t="n">
        <v>79.62</v>
      </c>
      <c r="H1286" s="19" t="n">
        <v>-0.007900000000000001</v>
      </c>
      <c r="I1286" s="20" t="n">
        <v>13</v>
      </c>
      <c r="J1286" s="16" t="inlineStr">
        <is>
          <t>red</t>
        </is>
      </c>
      <c r="K1286" s="20" t="n">
        <v>44</v>
      </c>
      <c r="L1286" s="18" t="n">
        <v>33.92</v>
      </c>
      <c r="M1286" s="18" t="n">
        <v>80.16</v>
      </c>
      <c r="N1286" s="18" t="n">
        <v>89.73999999999999</v>
      </c>
      <c r="O1286" s="18" t="n">
        <v>84.84</v>
      </c>
      <c r="P1286" s="18" t="n">
        <v>137.65</v>
      </c>
      <c r="Q1286" s="18" t="n">
        <v>58.84</v>
      </c>
      <c r="R1286" s="21">
        <f>IF(OR(G1286="",P1286=""),"",G1286/P1286-1)</f>
        <v/>
      </c>
      <c r="S1286" s="19" t="n">
        <v>0.8974</v>
      </c>
      <c r="T1286" s="22" t="n">
        <v>-0.035</v>
      </c>
      <c r="U1286" s="16" t="inlineStr">
        <is>
          <t>No</t>
        </is>
      </c>
      <c r="V1286" s="16" t="inlineStr">
        <is>
          <t>No</t>
        </is>
      </c>
      <c r="W1286" s="16" t="inlineStr">
        <is>
          <t>No</t>
        </is>
      </c>
      <c r="X1286" s="16" t="inlineStr">
        <is>
          <t>Yes</t>
        </is>
      </c>
      <c r="Y1286" s="20" t="n">
        <v>57</v>
      </c>
      <c r="Z1286" s="19" t="n">
        <v>0.05769999999999999</v>
      </c>
      <c r="AA1286" s="18" t="n">
        <v>51.19</v>
      </c>
      <c r="AB1286" s="16" t="inlineStr">
        <is>
          <t>Average</t>
        </is>
      </c>
      <c r="AC1286" s="16" t="inlineStr">
        <is>
          <t>No</t>
        </is>
      </c>
      <c r="AD1286" s="19" t="n">
        <v>0.1126</v>
      </c>
      <c r="AE1286" s="19" t="n">
        <v>0.1194</v>
      </c>
      <c r="AF1286" s="19" t="n">
        <v>0.5745</v>
      </c>
      <c r="AG1286" s="19" t="n">
        <v>0.3909</v>
      </c>
      <c r="AH1286" s="23" t="n">
        <v>0.73</v>
      </c>
      <c r="AI1286" s="23" t="n">
        <v>4.36</v>
      </c>
      <c r="AJ1286" s="19" t="n">
        <v>0.0048</v>
      </c>
    </row>
    <row r="1287">
      <c r="A1287" s="16" t="inlineStr">
        <is>
          <t>NGLFINE</t>
        </is>
      </c>
      <c r="B1287" s="16" t="inlineStr">
        <is>
          <t>NGL Fine - Chem Ltd.</t>
        </is>
      </c>
      <c r="C1287" s="16" t="inlineStr">
        <is>
          <t>Pharmaceuticals</t>
        </is>
      </c>
      <c r="D1287" s="16" t="inlineStr">
        <is>
          <t>Pharmaceuticals &amp; Biotechnology</t>
        </is>
      </c>
      <c r="E1287" s="16" t="inlineStr">
        <is>
          <t>INE887E01022</t>
        </is>
      </c>
      <c r="F1287" s="17" t="n">
        <v>1796.25</v>
      </c>
      <c r="G1287" s="18" t="n">
        <v>2907.5</v>
      </c>
      <c r="H1287" s="19" t="n">
        <v>-0.0113</v>
      </c>
      <c r="I1287" s="20" t="n">
        <v>85</v>
      </c>
      <c r="J1287" s="16" t="inlineStr">
        <is>
          <t>green</t>
        </is>
      </c>
      <c r="K1287" s="20" t="n">
        <v>158</v>
      </c>
      <c r="L1287" s="18" t="n">
        <v>50.04</v>
      </c>
      <c r="M1287" s="18" t="n">
        <v>2804.49</v>
      </c>
      <c r="N1287" s="18" t="n">
        <v>3122.26</v>
      </c>
      <c r="O1287" s="18" t="n">
        <v>2338.61</v>
      </c>
      <c r="P1287" s="18" t="n">
        <v>3455.72</v>
      </c>
      <c r="Q1287" s="18" t="n">
        <v>1278.03</v>
      </c>
      <c r="R1287" s="21">
        <f>IF(OR(G1287="",P1287=""),"",G1287/P1287-1)</f>
        <v/>
      </c>
      <c r="S1287" s="19" t="n">
        <v>0.4509</v>
      </c>
      <c r="T1287" s="22" t="n">
        <v>0.0704</v>
      </c>
      <c r="U1287" s="16" t="inlineStr">
        <is>
          <t>Yes</t>
        </is>
      </c>
      <c r="V1287" s="16" t="inlineStr">
        <is>
          <t>No</t>
        </is>
      </c>
      <c r="W1287" s="16" t="inlineStr">
        <is>
          <t>Yes</t>
        </is>
      </c>
      <c r="X1287" s="16" t="inlineStr">
        <is>
          <t>Yes</t>
        </is>
      </c>
      <c r="Y1287" s="20" t="n">
        <v>244</v>
      </c>
      <c r="Z1287" s="19" t="n">
        <v>0.3351</v>
      </c>
      <c r="AA1287" s="18" t="n">
        <v>40</v>
      </c>
      <c r="AB1287" s="16" t="inlineStr">
        <is>
          <t>Weak</t>
        </is>
      </c>
      <c r="AC1287" s="16" t="inlineStr">
        <is>
          <t>No</t>
        </is>
      </c>
      <c r="AD1287" s="19" t="n">
        <v>0.1261</v>
      </c>
      <c r="AE1287" s="19" t="n">
        <v>0.1405</v>
      </c>
      <c r="AF1287" s="19" t="n">
        <v>-0.1577</v>
      </c>
      <c r="AG1287" s="19" t="n">
        <v>0.2229</v>
      </c>
      <c r="AH1287" s="23" t="n">
        <v>0.37</v>
      </c>
      <c r="AI1287" s="23" t="n">
        <v>1.91</v>
      </c>
      <c r="AJ1287" s="19" t="n">
        <v>0.366</v>
      </c>
    </row>
    <row r="1288">
      <c r="A1288" s="16" t="inlineStr">
        <is>
          <t>KSSMART</t>
        </is>
      </c>
      <c r="B1288" s="16" t="inlineStr">
        <is>
          <t>KS Smart Technologies Ltd.</t>
        </is>
      </c>
      <c r="C1288" s="16" t="inlineStr">
        <is>
          <t>Paper &amp; Paper Products</t>
        </is>
      </c>
      <c r="D1288" s="16" t="inlineStr">
        <is>
          <t>Commercial Services &amp; Supplies</t>
        </is>
      </c>
      <c r="E1288" s="16" t="inlineStr">
        <is>
          <t>INE737E01011</t>
        </is>
      </c>
      <c r="F1288" s="17" t="n">
        <v>1795.75</v>
      </c>
      <c r="G1288" s="18" t="n">
        <v>109.45</v>
      </c>
      <c r="H1288" s="19" t="n">
        <v>-0.008199999999999999</v>
      </c>
      <c r="I1288" s="20" t="n">
        <v>27</v>
      </c>
      <c r="J1288" s="16" t="inlineStr">
        <is>
          <t>red</t>
        </is>
      </c>
      <c r="K1288" s="20" t="n">
        <v>35</v>
      </c>
      <c r="L1288" s="18" t="n">
        <v>64.44</v>
      </c>
      <c r="M1288" s="18" t="n">
        <v>113.36</v>
      </c>
      <c r="N1288" s="18" t="n">
        <v>116.58</v>
      </c>
      <c r="O1288" s="18" t="n">
        <v>175.27</v>
      </c>
      <c r="P1288" s="18" t="n">
        <v>283.05</v>
      </c>
      <c r="Q1288" s="18" t="n">
        <v>71.94</v>
      </c>
      <c r="R1288" s="21">
        <f>IF(OR(G1288="",P1288=""),"",G1288/P1288-1)</f>
        <v/>
      </c>
      <c r="S1288" s="19" t="n">
        <v>0.3109</v>
      </c>
      <c r="T1288" s="22" t="n">
        <v>0.0178</v>
      </c>
      <c r="U1288" s="16" t="inlineStr">
        <is>
          <t>Yes</t>
        </is>
      </c>
      <c r="V1288" s="16" t="inlineStr">
        <is>
          <t>No</t>
        </is>
      </c>
      <c r="W1288" s="16" t="inlineStr">
        <is>
          <t>No</t>
        </is>
      </c>
      <c r="X1288" s="16" t="inlineStr">
        <is>
          <t>No</t>
        </is>
      </c>
      <c r="Y1288" s="20" t="n">
        <v>36</v>
      </c>
      <c r="Z1288" s="19" t="n">
        <v>-0.3349</v>
      </c>
      <c r="AA1288" s="18" t="n"/>
      <c r="AB1288" s="16" t="n"/>
      <c r="AC1288" s="16" t="inlineStr">
        <is>
          <t>No</t>
        </is>
      </c>
      <c r="AD1288" s="19" t="n"/>
      <c r="AE1288" s="19" t="n"/>
      <c r="AF1288" s="19" t="n"/>
      <c r="AG1288" s="19" t="n"/>
      <c r="AH1288" s="23" t="n"/>
      <c r="AI1288" s="23" t="n"/>
      <c r="AJ1288" s="19" t="n"/>
    </row>
    <row r="1289">
      <c r="A1289" s="16" t="inlineStr">
        <is>
          <t>TITANBIO</t>
        </is>
      </c>
      <c r="B1289" s="16" t="inlineStr">
        <is>
          <t>Titan Biotech Ltd.</t>
        </is>
      </c>
      <c r="C1289" s="16" t="inlineStr">
        <is>
          <t>Specialty Chemicals</t>
        </is>
      </c>
      <c r="D1289" s="16" t="inlineStr">
        <is>
          <t>Chemicals &amp; Petrochemicals</t>
        </is>
      </c>
      <c r="E1289" s="16" t="inlineStr">
        <is>
          <t>INE150C01029</t>
        </is>
      </c>
      <c r="F1289" s="17" t="n">
        <v>1793.43</v>
      </c>
      <c r="G1289" s="18" t="n">
        <v>434.05</v>
      </c>
      <c r="H1289" s="19" t="n">
        <v>-0.0026</v>
      </c>
      <c r="I1289" s="20" t="n">
        <v>93</v>
      </c>
      <c r="J1289" s="16" t="inlineStr">
        <is>
          <t>green</t>
        </is>
      </c>
      <c r="K1289" s="20" t="n">
        <v>256</v>
      </c>
      <c r="L1289" s="18" t="n">
        <v>60.27</v>
      </c>
      <c r="M1289" s="18" t="n">
        <v>399.59</v>
      </c>
      <c r="N1289" s="18" t="n">
        <v>403.64</v>
      </c>
      <c r="O1289" s="18" t="n">
        <v>346.91</v>
      </c>
      <c r="P1289" s="18" t="n">
        <v>529.2</v>
      </c>
      <c r="Q1289" s="18" t="n">
        <v>132.98</v>
      </c>
      <c r="R1289" s="21">
        <f>IF(OR(G1289="",P1289=""),"",G1289/P1289-1)</f>
        <v/>
      </c>
      <c r="S1289" s="19" t="n">
        <v>2.0267</v>
      </c>
      <c r="T1289" s="22" t="n">
        <v>0.05690000000000001</v>
      </c>
      <c r="U1289" s="16" t="inlineStr">
        <is>
          <t>Yes</t>
        </is>
      </c>
      <c r="V1289" s="16" t="inlineStr">
        <is>
          <t>Yes</t>
        </is>
      </c>
      <c r="W1289" s="16" t="inlineStr">
        <is>
          <t>Yes</t>
        </is>
      </c>
      <c r="X1289" s="16" t="inlineStr">
        <is>
          <t>Yes</t>
        </is>
      </c>
      <c r="Y1289" s="20" t="n">
        <v>240</v>
      </c>
      <c r="Z1289" s="19" t="n">
        <v>0.1635</v>
      </c>
      <c r="AA1289" s="18" t="n"/>
      <c r="AB1289" s="16" t="n"/>
      <c r="AC1289" s="16" t="inlineStr">
        <is>
          <t>No</t>
        </is>
      </c>
      <c r="AD1289" s="19" t="n"/>
      <c r="AE1289" s="19" t="n"/>
      <c r="AF1289" s="19" t="n"/>
      <c r="AG1289" s="19" t="n"/>
      <c r="AH1289" s="23" t="n"/>
      <c r="AI1289" s="23" t="n"/>
      <c r="AJ1289" s="19" t="n"/>
    </row>
    <row r="1290">
      <c r="A1290" s="16" t="inlineStr">
        <is>
          <t>TARSONS</t>
        </is>
      </c>
      <c r="B1290" s="16" t="inlineStr">
        <is>
          <t>Tarsons Products Ltd.</t>
        </is>
      </c>
      <c r="C1290" s="16" t="inlineStr">
        <is>
          <t>Medical Equipment</t>
        </is>
      </c>
      <c r="D1290" s="16" t="inlineStr">
        <is>
          <t>Healthcare</t>
        </is>
      </c>
      <c r="E1290" s="16" t="inlineStr">
        <is>
          <t>INE144Z01023</t>
        </is>
      </c>
      <c r="F1290" s="17" t="n">
        <v>1785.34</v>
      </c>
      <c r="G1290" s="18" t="n">
        <v>335.55</v>
      </c>
      <c r="H1290" s="19" t="n">
        <v>-0.0028</v>
      </c>
      <c r="I1290" s="20" t="n">
        <v>85</v>
      </c>
      <c r="J1290" s="16" t="inlineStr">
        <is>
          <t>green</t>
        </is>
      </c>
      <c r="K1290" s="20" t="n">
        <v>17</v>
      </c>
      <c r="L1290" s="18" t="n">
        <v>35.75</v>
      </c>
      <c r="M1290" s="18" t="n">
        <v>337.18</v>
      </c>
      <c r="N1290" s="18" t="n">
        <v>314.48</v>
      </c>
      <c r="O1290" s="18" t="n">
        <v>238.24</v>
      </c>
      <c r="P1290" s="18" t="n">
        <v>361.5</v>
      </c>
      <c r="Q1290" s="18" t="n">
        <v>166.46</v>
      </c>
      <c r="R1290" s="21">
        <f>IF(OR(G1290="",P1290=""),"",G1290/P1290-1)</f>
        <v/>
      </c>
      <c r="S1290" s="19" t="n">
        <v>0.1018</v>
      </c>
      <c r="T1290" s="22" t="n">
        <v>0.0281</v>
      </c>
      <c r="U1290" s="16" t="inlineStr">
        <is>
          <t>Yes</t>
        </is>
      </c>
      <c r="V1290" s="16" t="inlineStr">
        <is>
          <t>Yes</t>
        </is>
      </c>
      <c r="W1290" s="16" t="inlineStr">
        <is>
          <t>No</t>
        </is>
      </c>
      <c r="X1290" s="16" t="inlineStr">
        <is>
          <t>Yes</t>
        </is>
      </c>
      <c r="Y1290" s="20" t="n">
        <v>43</v>
      </c>
      <c r="Z1290" s="19" t="n">
        <v>0.32</v>
      </c>
      <c r="AA1290" s="18" t="n">
        <v>25.89</v>
      </c>
      <c r="AB1290" s="16" t="inlineStr">
        <is>
          <t>Poor</t>
        </is>
      </c>
      <c r="AC1290" s="16" t="inlineStr">
        <is>
          <t>No</t>
        </is>
      </c>
      <c r="AD1290" s="19" t="n">
        <v>0.04650000000000001</v>
      </c>
      <c r="AE1290" s="19" t="n">
        <v>0.06320000000000001</v>
      </c>
      <c r="AF1290" s="19" t="n">
        <v>-0.591</v>
      </c>
      <c r="AG1290" s="19" t="n">
        <v>0.1519</v>
      </c>
      <c r="AH1290" s="23" t="n">
        <v>0.62</v>
      </c>
      <c r="AI1290" s="23" t="n">
        <v>0.51</v>
      </c>
      <c r="AJ1290" s="19" t="n">
        <v>0.1907</v>
      </c>
    </row>
    <row r="1291">
      <c r="A1291" s="16" t="inlineStr">
        <is>
          <t>SKYWAYS</t>
        </is>
      </c>
      <c r="B1291" s="16" t="inlineStr">
        <is>
          <t>Skyways Air Services Ltd.</t>
        </is>
      </c>
      <c r="C1291" s="16" t="inlineStr">
        <is>
          <t>Warehousing &amp; Logistics</t>
        </is>
      </c>
      <c r="D1291" s="16" t="inlineStr">
        <is>
          <t>Transportation</t>
        </is>
      </c>
      <c r="E1291" s="16" t="inlineStr">
        <is>
          <t>INE0PX301025</t>
        </is>
      </c>
      <c r="F1291" s="17" t="n">
        <v>1783.66</v>
      </c>
      <c r="G1291" s="18" t="n">
        <v>122.72</v>
      </c>
      <c r="H1291" s="19" t="n">
        <v>-0.0564</v>
      </c>
      <c r="I1291" s="20" t="n"/>
      <c r="J1291" s="16" t="n"/>
      <c r="K1291" s="20" t="n"/>
      <c r="L1291" s="18" t="n"/>
      <c r="M1291" s="18" t="n"/>
      <c r="N1291" s="18" t="n"/>
      <c r="O1291" s="18" t="n"/>
      <c r="P1291" s="18" t="n">
        <v>130.06</v>
      </c>
      <c r="Q1291" s="18" t="n">
        <v>122.72</v>
      </c>
      <c r="R1291" s="21">
        <f>IF(OR(G1291="",P1291=""),"",G1291/P1291-1)</f>
        <v/>
      </c>
      <c r="S1291" s="19" t="n">
        <v>0.3622</v>
      </c>
      <c r="T1291" s="22" t="n"/>
      <c r="U1291" s="16" t="n"/>
      <c r="V1291" s="16" t="n"/>
      <c r="W1291" s="16" t="n"/>
      <c r="X1291" s="16" t="n"/>
      <c r="Y1291" s="20" t="n"/>
      <c r="Z1291" s="19" t="n"/>
      <c r="AA1291" s="18" t="n"/>
      <c r="AB1291" s="16" t="n"/>
      <c r="AC1291" s="16" t="inlineStr">
        <is>
          <t>No</t>
        </is>
      </c>
      <c r="AD1291" s="19" t="n"/>
      <c r="AE1291" s="19" t="n"/>
      <c r="AF1291" s="19" t="n"/>
      <c r="AG1291" s="19" t="n"/>
      <c r="AH1291" s="23" t="n"/>
      <c r="AI1291" s="23" t="n"/>
      <c r="AJ1291" s="19" t="n"/>
    </row>
    <row r="1292">
      <c r="A1292" s="16" t="inlineStr">
        <is>
          <t>YATRA</t>
        </is>
      </c>
      <c r="B1292" s="16" t="inlineStr">
        <is>
          <t>Yatra Online Ltd.</t>
        </is>
      </c>
      <c r="C1292" s="16" t="inlineStr">
        <is>
          <t>Travel Support Services</t>
        </is>
      </c>
      <c r="D1292" s="16" t="inlineStr">
        <is>
          <t>Diversified Consumer Services</t>
        </is>
      </c>
      <c r="E1292" s="16" t="inlineStr">
        <is>
          <t>INE0JR601024</t>
        </is>
      </c>
      <c r="F1292" s="17" t="n">
        <v>1780.84</v>
      </c>
      <c r="G1292" s="18" t="n">
        <v>113.49</v>
      </c>
      <c r="H1292" s="19" t="n">
        <v>0.0036</v>
      </c>
      <c r="I1292" s="20" t="n">
        <v>28</v>
      </c>
      <c r="J1292" s="16" t="inlineStr">
        <is>
          <t>red</t>
        </is>
      </c>
      <c r="K1292" s="20" t="n">
        <v>96</v>
      </c>
      <c r="L1292" s="18" t="n">
        <v>49.26</v>
      </c>
      <c r="M1292" s="18" t="n">
        <v>111.44</v>
      </c>
      <c r="N1292" s="18" t="n">
        <v>111.36</v>
      </c>
      <c r="O1292" s="18" t="n">
        <v>126.33</v>
      </c>
      <c r="P1292" s="18" t="n">
        <v>191.34</v>
      </c>
      <c r="Q1292" s="18" t="n">
        <v>90.38</v>
      </c>
      <c r="R1292" s="21">
        <f>IF(OR(G1292="",P1292=""),"",G1292/P1292-1)</f>
        <v/>
      </c>
      <c r="S1292" s="19" t="n">
        <v>0.491</v>
      </c>
      <c r="T1292" s="22" t="n">
        <v>-0.0369</v>
      </c>
      <c r="U1292" s="16" t="inlineStr">
        <is>
          <t>No</t>
        </is>
      </c>
      <c r="V1292" s="16" t="inlineStr">
        <is>
          <t>Yes</t>
        </is>
      </c>
      <c r="W1292" s="16" t="inlineStr">
        <is>
          <t>Yes</t>
        </is>
      </c>
      <c r="X1292" s="16" t="inlineStr">
        <is>
          <t>No</t>
        </is>
      </c>
      <c r="Y1292" s="20" t="n">
        <v>117</v>
      </c>
      <c r="Z1292" s="19" t="n">
        <v>-0.1185</v>
      </c>
      <c r="AA1292" s="18" t="n">
        <v>55.08</v>
      </c>
      <c r="AB1292" s="16" t="inlineStr">
        <is>
          <t>Good</t>
        </is>
      </c>
      <c r="AC1292" s="16" t="inlineStr">
        <is>
          <t>No</t>
        </is>
      </c>
      <c r="AD1292" s="19" t="n">
        <v>0.03240000000000001</v>
      </c>
      <c r="AE1292" s="19" t="n">
        <v>0.04679999999999999</v>
      </c>
      <c r="AF1292" s="19" t="n">
        <v>1.7957</v>
      </c>
      <c r="AG1292" s="19" t="n">
        <v>0.51</v>
      </c>
      <c r="AH1292" s="23" t="n">
        <v>0.12</v>
      </c>
      <c r="AI1292" s="23" t="n">
        <v>28.11</v>
      </c>
      <c r="AJ1292" s="19" t="n">
        <v>0</v>
      </c>
    </row>
    <row r="1293">
      <c r="A1293" s="16" t="inlineStr">
        <is>
          <t>KAPSTON</t>
        </is>
      </c>
      <c r="B1293" s="16" t="inlineStr">
        <is>
          <t>Kapston Services Ltd.</t>
        </is>
      </c>
      <c r="C1293" s="16" t="inlineStr">
        <is>
          <t>Misc. Commercial Services</t>
        </is>
      </c>
      <c r="D1293" s="16" t="inlineStr">
        <is>
          <t>Commercial Services &amp; Supplies</t>
        </is>
      </c>
      <c r="E1293" s="16" t="inlineStr">
        <is>
          <t>INE542Z01028</t>
        </is>
      </c>
      <c r="F1293" s="17" t="n">
        <v>1777.39</v>
      </c>
      <c r="G1293" s="18" t="n">
        <v>584.05</v>
      </c>
      <c r="H1293" s="19" t="n">
        <v>0.0046</v>
      </c>
      <c r="I1293" s="20" t="n">
        <v>95</v>
      </c>
      <c r="J1293" s="16" t="inlineStr">
        <is>
          <t>green</t>
        </is>
      </c>
      <c r="K1293" s="20" t="n">
        <v>49</v>
      </c>
      <c r="L1293" s="18" t="n">
        <v>69.81999999999999</v>
      </c>
      <c r="M1293" s="18" t="n">
        <v>557.96</v>
      </c>
      <c r="N1293" s="18" t="n">
        <v>480.96</v>
      </c>
      <c r="O1293" s="18" t="n">
        <v>367.38</v>
      </c>
      <c r="P1293" s="18" t="n">
        <v>588.4</v>
      </c>
      <c r="Q1293" s="18" t="n">
        <v>240.22</v>
      </c>
      <c r="R1293" s="21">
        <f>IF(OR(G1293="",P1293=""),"",G1293/P1293-1)</f>
        <v/>
      </c>
      <c r="S1293" s="19" t="n">
        <v>0.7795000000000001</v>
      </c>
      <c r="T1293" s="22" t="n">
        <v>0.0731</v>
      </c>
      <c r="U1293" s="16" t="inlineStr">
        <is>
          <t>Yes</t>
        </is>
      </c>
      <c r="V1293" s="16" t="inlineStr">
        <is>
          <t>Yes</t>
        </is>
      </c>
      <c r="W1293" s="16" t="inlineStr">
        <is>
          <t>Yes</t>
        </is>
      </c>
      <c r="X1293" s="16" t="inlineStr">
        <is>
          <t>Yes</t>
        </is>
      </c>
      <c r="Y1293" s="20" t="n">
        <v>280</v>
      </c>
      <c r="Z1293" s="19" t="n">
        <v>0.3092</v>
      </c>
      <c r="AA1293" s="18" t="n">
        <v>53.4</v>
      </c>
      <c r="AB1293" s="16" t="inlineStr">
        <is>
          <t>Good</t>
        </is>
      </c>
      <c r="AC1293" s="16" t="inlineStr">
        <is>
          <t>No</t>
        </is>
      </c>
      <c r="AD1293" s="19" t="n">
        <v>0.206</v>
      </c>
      <c r="AE1293" s="19" t="n">
        <v>0.12</v>
      </c>
      <c r="AF1293" s="19" t="n">
        <v>0.2973</v>
      </c>
      <c r="AG1293" s="19" t="n">
        <v>0.2801</v>
      </c>
      <c r="AH1293" s="23" t="n">
        <v>1.58</v>
      </c>
      <c r="AI1293" s="23" t="n">
        <v>16.47</v>
      </c>
      <c r="AJ1293" s="19" t="n">
        <v>0</v>
      </c>
    </row>
    <row r="1294">
      <c r="A1294" s="16" t="inlineStr">
        <is>
          <t>DIFFNKG</t>
        </is>
      </c>
      <c r="B1294" s="16" t="inlineStr">
        <is>
          <t>Diffusion Engineers Ltd.</t>
        </is>
      </c>
      <c r="C1294" s="16" t="inlineStr">
        <is>
          <t>Other Industrial Goods</t>
        </is>
      </c>
      <c r="D1294" s="16" t="inlineStr">
        <is>
          <t>General Industrials</t>
        </is>
      </c>
      <c r="E1294" s="16" t="inlineStr">
        <is>
          <t>INE184O01015</t>
        </is>
      </c>
      <c r="F1294" s="17" t="n">
        <v>1777.37</v>
      </c>
      <c r="G1294" s="18" t="n">
        <v>474.9</v>
      </c>
      <c r="H1294" s="19" t="n">
        <v>-0.005699999999999999</v>
      </c>
      <c r="I1294" s="20" t="n">
        <v>87</v>
      </c>
      <c r="J1294" s="16" t="inlineStr">
        <is>
          <t>green</t>
        </is>
      </c>
      <c r="K1294" s="20" t="n">
        <v>6</v>
      </c>
      <c r="L1294" s="18" t="n">
        <v>78.34999999999999</v>
      </c>
      <c r="M1294" s="18" t="n">
        <v>449.33</v>
      </c>
      <c r="N1294" s="18" t="n">
        <v>406.95</v>
      </c>
      <c r="O1294" s="18" t="n">
        <v>325.26</v>
      </c>
      <c r="P1294" s="18" t="n">
        <v>485.5</v>
      </c>
      <c r="Q1294" s="18" t="n">
        <v>236.27</v>
      </c>
      <c r="R1294" s="21">
        <f>IF(OR(G1294="",P1294=""),"",G1294/P1294-1)</f>
        <v/>
      </c>
      <c r="S1294" s="19" t="n">
        <v>3.5761</v>
      </c>
      <c r="T1294" s="22" t="n">
        <v>0.0149</v>
      </c>
      <c r="U1294" s="16" t="inlineStr">
        <is>
          <t>Yes</t>
        </is>
      </c>
      <c r="V1294" s="16" t="inlineStr">
        <is>
          <t>Yes</t>
        </is>
      </c>
      <c r="W1294" s="16" t="inlineStr">
        <is>
          <t>Yes</t>
        </is>
      </c>
      <c r="X1294" s="16" t="inlineStr">
        <is>
          <t>Yes</t>
        </is>
      </c>
      <c r="Y1294" s="20" t="n">
        <v>58</v>
      </c>
      <c r="Z1294" s="19" t="n">
        <v>0.2512</v>
      </c>
      <c r="AA1294" s="18" t="n">
        <v>62.6</v>
      </c>
      <c r="AB1294" s="16" t="inlineStr">
        <is>
          <t>Good</t>
        </is>
      </c>
      <c r="AC1294" s="16" t="inlineStr">
        <is>
          <t>No</t>
        </is>
      </c>
      <c r="AD1294" s="19" t="n">
        <v>0.1274</v>
      </c>
      <c r="AE1294" s="19" t="n">
        <v>0.1564</v>
      </c>
      <c r="AF1294" s="19" t="n">
        <v>0.3224</v>
      </c>
      <c r="AG1294" s="19" t="n">
        <v>0.1736</v>
      </c>
      <c r="AH1294" s="23" t="n">
        <v>0.07000000000000001</v>
      </c>
      <c r="AI1294" s="23" t="n">
        <v>3.06</v>
      </c>
      <c r="AJ1294" s="19" t="n">
        <v>0.1732</v>
      </c>
    </row>
    <row r="1295">
      <c r="A1295" s="16" t="inlineStr">
        <is>
          <t>BGRENERGY</t>
        </is>
      </c>
      <c r="B1295" s="16" t="inlineStr">
        <is>
          <t>BGR Energy Systems Ltd.</t>
        </is>
      </c>
      <c r="C1295" s="16" t="inlineStr">
        <is>
          <t>Power - Electric Utilities</t>
        </is>
      </c>
      <c r="D1295" s="16" t="inlineStr">
        <is>
          <t>Utilities</t>
        </is>
      </c>
      <c r="E1295" s="16" t="inlineStr">
        <is>
          <t>INE661I01014</t>
        </is>
      </c>
      <c r="F1295" s="17" t="n">
        <v>1777.05</v>
      </c>
      <c r="G1295" s="18" t="n">
        <v>246.26</v>
      </c>
      <c r="H1295" s="19" t="n">
        <v>0.0328</v>
      </c>
      <c r="I1295" s="20" t="n">
        <v>11</v>
      </c>
      <c r="J1295" s="16" t="inlineStr">
        <is>
          <t>red</t>
        </is>
      </c>
      <c r="K1295" s="20" t="n">
        <v>16</v>
      </c>
      <c r="L1295" s="18" t="n">
        <v>47.98</v>
      </c>
      <c r="M1295" s="18" t="n">
        <v>248.7</v>
      </c>
      <c r="N1295" s="18" t="n">
        <v>274.31</v>
      </c>
      <c r="O1295" s="18" t="n">
        <v>315.29</v>
      </c>
      <c r="P1295" s="18" t="n">
        <v>467.43</v>
      </c>
      <c r="Q1295" s="18" t="n">
        <v>189.16</v>
      </c>
      <c r="R1295" s="21">
        <f>IF(OR(G1295="",P1295=""),"",G1295/P1295-1)</f>
        <v/>
      </c>
      <c r="S1295" s="19" t="n">
        <v>0.7551000000000001</v>
      </c>
      <c r="T1295" s="22" t="n">
        <v>-0.0508</v>
      </c>
      <c r="U1295" s="16" t="inlineStr">
        <is>
          <t>No</t>
        </is>
      </c>
      <c r="V1295" s="16" t="inlineStr">
        <is>
          <t>No</t>
        </is>
      </c>
      <c r="W1295" s="16" t="inlineStr">
        <is>
          <t>No</t>
        </is>
      </c>
      <c r="X1295" s="16" t="inlineStr">
        <is>
          <t>No</t>
        </is>
      </c>
      <c r="Y1295" s="20" t="n">
        <v>81</v>
      </c>
      <c r="Z1295" s="19" t="n">
        <v>-0.13</v>
      </c>
      <c r="AA1295" s="18" t="n">
        <v>39.01</v>
      </c>
      <c r="AB1295" s="16" t="inlineStr">
        <is>
          <t>Weak</t>
        </is>
      </c>
      <c r="AC1295" s="16" t="inlineStr">
        <is>
          <t>No</t>
        </is>
      </c>
      <c r="AD1295" s="19" t="n">
        <v>0.7341</v>
      </c>
      <c r="AE1295" s="19" t="n">
        <v>-0.248</v>
      </c>
      <c r="AF1295" s="19" t="n">
        <v>-0.3902</v>
      </c>
      <c r="AG1295" s="19" t="n">
        <v>-0.2069</v>
      </c>
      <c r="AH1295" s="23" t="n">
        <v>-1.59</v>
      </c>
      <c r="AI1295" s="23" t="n">
        <v>1.17</v>
      </c>
      <c r="AJ1295" s="19" t="n">
        <v>0.0016</v>
      </c>
    </row>
    <row r="1296">
      <c r="A1296" s="16" t="inlineStr">
        <is>
          <t>PVP</t>
        </is>
      </c>
      <c r="B1296" s="16" t="inlineStr">
        <is>
          <t>PVP Ventures Ltd.</t>
        </is>
      </c>
      <c r="C1296" s="16" t="inlineStr">
        <is>
          <t>Realty</t>
        </is>
      </c>
      <c r="D1296" s="16" t="inlineStr">
        <is>
          <t>Realty</t>
        </is>
      </c>
      <c r="E1296" s="16" t="inlineStr">
        <is>
          <t>INE362A01016</t>
        </is>
      </c>
      <c r="F1296" s="17" t="n">
        <v>1769.18</v>
      </c>
      <c r="G1296" s="18" t="n">
        <v>67.94</v>
      </c>
      <c r="H1296" s="19" t="n">
        <v>0.04679999999999999</v>
      </c>
      <c r="I1296" s="20" t="n">
        <v>97</v>
      </c>
      <c r="J1296" s="16" t="inlineStr">
        <is>
          <t>green</t>
        </is>
      </c>
      <c r="K1296" s="20" t="n">
        <v>17</v>
      </c>
      <c r="L1296" s="18" t="n">
        <v>83.31999999999999</v>
      </c>
      <c r="M1296" s="18" t="n">
        <v>64</v>
      </c>
      <c r="N1296" s="18" t="n">
        <v>36.95</v>
      </c>
      <c r="O1296" s="18" t="n">
        <v>32.34</v>
      </c>
      <c r="P1296" s="18" t="n">
        <v>68.48</v>
      </c>
      <c r="Q1296" s="18" t="n">
        <v>21.69</v>
      </c>
      <c r="R1296" s="21">
        <f>IF(OR(G1296="",P1296=""),"",G1296/P1296-1)</f>
        <v/>
      </c>
      <c r="S1296" s="19" t="n">
        <v>1.5541</v>
      </c>
      <c r="T1296" s="22" t="n">
        <v>0.0534</v>
      </c>
      <c r="U1296" s="16" t="inlineStr">
        <is>
          <t>Yes</t>
        </is>
      </c>
      <c r="V1296" s="16" t="inlineStr">
        <is>
          <t>Yes</t>
        </is>
      </c>
      <c r="W1296" s="16" t="inlineStr">
        <is>
          <t>Yes</t>
        </is>
      </c>
      <c r="X1296" s="16" t="inlineStr">
        <is>
          <t>Yes</t>
        </is>
      </c>
      <c r="Y1296" s="20" t="n">
        <v>9</v>
      </c>
      <c r="Z1296" s="19" t="n">
        <v>0.1427</v>
      </c>
      <c r="AA1296" s="18" t="n">
        <v>30.03</v>
      </c>
      <c r="AB1296" s="16" t="inlineStr">
        <is>
          <t>Poor</t>
        </is>
      </c>
      <c r="AC1296" s="16" t="inlineStr">
        <is>
          <t>No</t>
        </is>
      </c>
      <c r="AD1296" s="19" t="n">
        <v>0.07679999999999999</v>
      </c>
      <c r="AE1296" s="19" t="n">
        <v>0.09269999999999999</v>
      </c>
      <c r="AF1296" s="19" t="n">
        <v>-0.5367999999999999</v>
      </c>
      <c r="AG1296" s="19" t="n">
        <v>1.1859</v>
      </c>
      <c r="AH1296" s="23" t="n">
        <v>1.18</v>
      </c>
      <c r="AI1296" s="23" t="n">
        <v>0.76</v>
      </c>
      <c r="AJ1296" s="19" t="n">
        <v>0.0027</v>
      </c>
    </row>
    <row r="1297">
      <c r="A1297" s="16" t="inlineStr">
        <is>
          <t>BFINVEST</t>
        </is>
      </c>
      <c r="B1297" s="16" t="inlineStr">
        <is>
          <t>BF Investment Ltd.</t>
        </is>
      </c>
      <c r="C1297" s="16" t="inlineStr">
        <is>
          <t>Holding Companies</t>
        </is>
      </c>
      <c r="D1297" s="16" t="inlineStr">
        <is>
          <t>Diversified</t>
        </is>
      </c>
      <c r="E1297" s="16" t="inlineStr">
        <is>
          <t>INE878K01010</t>
        </is>
      </c>
      <c r="F1297" s="17" t="n">
        <v>1767.93</v>
      </c>
      <c r="G1297" s="18" t="n">
        <v>469.35</v>
      </c>
      <c r="H1297" s="19" t="n">
        <v>-0.0002</v>
      </c>
      <c r="I1297" s="20" t="n">
        <v>58</v>
      </c>
      <c r="J1297" s="16" t="inlineStr">
        <is>
          <t>red</t>
        </is>
      </c>
      <c r="K1297" s="20" t="n">
        <v>13</v>
      </c>
      <c r="L1297" s="18" t="n">
        <v>54.2</v>
      </c>
      <c r="M1297" s="18" t="n">
        <v>451.37</v>
      </c>
      <c r="N1297" s="18" t="n">
        <v>459.72</v>
      </c>
      <c r="O1297" s="18" t="n">
        <v>414.13</v>
      </c>
      <c r="P1297" s="18" t="n">
        <v>535.25</v>
      </c>
      <c r="Q1297" s="18" t="n">
        <v>310.8</v>
      </c>
      <c r="R1297" s="21">
        <f>IF(OR(G1297="",P1297=""),"",G1297/P1297-1)</f>
        <v/>
      </c>
      <c r="S1297" s="19" t="n">
        <v>0.7733</v>
      </c>
      <c r="T1297" s="22" t="n">
        <v>-0.0017</v>
      </c>
      <c r="U1297" s="16" t="inlineStr">
        <is>
          <t>No</t>
        </is>
      </c>
      <c r="V1297" s="16" t="inlineStr">
        <is>
          <t>Yes</t>
        </is>
      </c>
      <c r="W1297" s="16" t="inlineStr">
        <is>
          <t>Yes</t>
        </is>
      </c>
      <c r="X1297" s="16" t="inlineStr">
        <is>
          <t>Yes</t>
        </is>
      </c>
      <c r="Y1297" s="20" t="n">
        <v>54</v>
      </c>
      <c r="Z1297" s="19" t="n">
        <v>0.1101</v>
      </c>
      <c r="AA1297" s="18" t="n">
        <v>27.29</v>
      </c>
      <c r="AB1297" s="16" t="inlineStr">
        <is>
          <t>Poor</t>
        </is>
      </c>
      <c r="AC1297" s="16" t="inlineStr">
        <is>
          <t>Yes</t>
        </is>
      </c>
      <c r="AD1297" s="19" t="n">
        <v>0.045</v>
      </c>
      <c r="AE1297" s="19" t="n">
        <v>0.0604</v>
      </c>
      <c r="AF1297" s="19" t="n">
        <v>-0.2716</v>
      </c>
      <c r="AG1297" s="19" t="n">
        <v>0.3914</v>
      </c>
      <c r="AH1297" s="23" t="n">
        <v>0</v>
      </c>
      <c r="AI1297" s="23" t="n">
        <v>30.58</v>
      </c>
      <c r="AJ1297" s="19" t="n">
        <v>0</v>
      </c>
    </row>
    <row r="1298">
      <c r="A1298" s="16" t="inlineStr">
        <is>
          <t>RICOAUTO</t>
        </is>
      </c>
      <c r="B1298" s="16" t="inlineStr">
        <is>
          <t>Rico Auto Industries Ltd.</t>
        </is>
      </c>
      <c r="C1298" s="16" t="inlineStr">
        <is>
          <t>Auto Parts &amp; Equipment</t>
        </is>
      </c>
      <c r="D1298" s="16" t="inlineStr">
        <is>
          <t>Automobiles &amp; Auto Components</t>
        </is>
      </c>
      <c r="E1298" s="16" t="inlineStr">
        <is>
          <t>INE209B01025</t>
        </is>
      </c>
      <c r="F1298" s="17" t="n">
        <v>1764.93</v>
      </c>
      <c r="G1298" s="18" t="n">
        <v>130.46</v>
      </c>
      <c r="H1298" s="19" t="n">
        <v>0.0314</v>
      </c>
      <c r="I1298" s="20" t="n">
        <v>57</v>
      </c>
      <c r="J1298" s="16" t="inlineStr">
        <is>
          <t>red</t>
        </is>
      </c>
      <c r="K1298" s="20" t="n">
        <v>4</v>
      </c>
      <c r="L1298" s="18" t="n">
        <v>46.19</v>
      </c>
      <c r="M1298" s="18" t="n">
        <v>128.46</v>
      </c>
      <c r="N1298" s="18" t="n">
        <v>134.17</v>
      </c>
      <c r="O1298" s="18" t="n">
        <v>123.68</v>
      </c>
      <c r="P1298" s="18" t="n">
        <v>155.15</v>
      </c>
      <c r="Q1298" s="18" t="n">
        <v>80.02</v>
      </c>
      <c r="R1298" s="21">
        <f>IF(OR(G1298="",P1298=""),"",G1298/P1298-1)</f>
        <v/>
      </c>
      <c r="S1298" s="19" t="n">
        <v>0.5101</v>
      </c>
      <c r="T1298" s="22" t="n">
        <v>0.0335</v>
      </c>
      <c r="U1298" s="16" t="inlineStr">
        <is>
          <t>Yes</t>
        </is>
      </c>
      <c r="V1298" s="16" t="inlineStr">
        <is>
          <t>No</t>
        </is>
      </c>
      <c r="W1298" s="16" t="inlineStr">
        <is>
          <t>Yes</t>
        </is>
      </c>
      <c r="X1298" s="16" t="inlineStr">
        <is>
          <t>Yes</t>
        </is>
      </c>
      <c r="Y1298" s="20" t="n">
        <v>258</v>
      </c>
      <c r="Z1298" s="19" t="n">
        <v>0.0848</v>
      </c>
      <c r="AA1298" s="18" t="n">
        <v>21.03</v>
      </c>
      <c r="AB1298" s="16" t="inlineStr">
        <is>
          <t>Poor</t>
        </is>
      </c>
      <c r="AC1298" s="16" t="inlineStr">
        <is>
          <t>No</t>
        </is>
      </c>
      <c r="AD1298" s="19" t="n">
        <v>0.048</v>
      </c>
      <c r="AE1298" s="19" t="n">
        <v>0.07719999999999999</v>
      </c>
      <c r="AF1298" s="19" t="n">
        <v>-0.5705</v>
      </c>
      <c r="AG1298" s="19" t="n">
        <v>0.0339</v>
      </c>
      <c r="AH1298" s="23" t="n">
        <v>0.93</v>
      </c>
      <c r="AI1298" s="23" t="n">
        <v>1.85</v>
      </c>
      <c r="AJ1298" s="19" t="n">
        <v>0.1208</v>
      </c>
    </row>
    <row r="1299">
      <c r="A1299" s="16" t="inlineStr">
        <is>
          <t>GOCOLORS</t>
        </is>
      </c>
      <c r="B1299" s="16" t="inlineStr">
        <is>
          <t>Go Fashion (India) Ltd.</t>
        </is>
      </c>
      <c r="C1299" s="16" t="inlineStr">
        <is>
          <t>Other Apparels &amp; Accessories</t>
        </is>
      </c>
      <c r="D1299" s="16" t="inlineStr">
        <is>
          <t>Textiles Apparels &amp; Accessories</t>
        </is>
      </c>
      <c r="E1299" s="16" t="inlineStr">
        <is>
          <t>INE0BJS01011</t>
        </is>
      </c>
      <c r="F1299" s="17" t="n">
        <v>1764.2</v>
      </c>
      <c r="G1299" s="18" t="n">
        <v>326.65</v>
      </c>
      <c r="H1299" s="19" t="n">
        <v>0.0127</v>
      </c>
      <c r="I1299" s="20" t="n">
        <v>6</v>
      </c>
      <c r="J1299" s="16" t="inlineStr">
        <is>
          <t>red</t>
        </is>
      </c>
      <c r="K1299" s="20" t="n">
        <v>501</v>
      </c>
      <c r="L1299" s="18" t="n">
        <v>39.94</v>
      </c>
      <c r="M1299" s="18" t="n">
        <v>329.7</v>
      </c>
      <c r="N1299" s="18" t="n">
        <v>338.14</v>
      </c>
      <c r="O1299" s="18" t="n">
        <v>357.5</v>
      </c>
      <c r="P1299" s="18" t="n">
        <v>740.5</v>
      </c>
      <c r="Q1299" s="18" t="n">
        <v>238.4</v>
      </c>
      <c r="R1299" s="21">
        <f>IF(OR(G1299="",P1299=""),"",G1299/P1299-1)</f>
        <v/>
      </c>
      <c r="S1299" s="19" t="n">
        <v>0.1659</v>
      </c>
      <c r="T1299" s="22" t="n">
        <v>-0.07519999999999999</v>
      </c>
      <c r="U1299" s="16" t="inlineStr">
        <is>
          <t>No</t>
        </is>
      </c>
      <c r="V1299" s="16" t="inlineStr">
        <is>
          <t>No</t>
        </is>
      </c>
      <c r="W1299" s="16" t="inlineStr">
        <is>
          <t>No</t>
        </is>
      </c>
      <c r="X1299" s="16" t="inlineStr">
        <is>
          <t>No</t>
        </is>
      </c>
      <c r="Y1299" s="20" t="n">
        <v>422</v>
      </c>
      <c r="Z1299" s="19" t="n">
        <v>-0.0541</v>
      </c>
      <c r="AA1299" s="18" t="n">
        <v>33.7</v>
      </c>
      <c r="AB1299" s="16" t="inlineStr">
        <is>
          <t>Poor</t>
        </is>
      </c>
      <c r="AC1299" s="16" t="inlineStr">
        <is>
          <t>No</t>
        </is>
      </c>
      <c r="AD1299" s="19" t="n">
        <v>0.119</v>
      </c>
      <c r="AE1299" s="19" t="n">
        <v>0.1284</v>
      </c>
      <c r="AF1299" s="19" t="n">
        <v>-0.079</v>
      </c>
      <c r="AG1299" s="19" t="n">
        <v>0.0833</v>
      </c>
      <c r="AH1299" s="23" t="n">
        <v>0.77</v>
      </c>
      <c r="AI1299" s="23" t="n">
        <v>1.42</v>
      </c>
      <c r="AJ1299" s="19" t="n">
        <v>0.0141</v>
      </c>
    </row>
    <row r="1300">
      <c r="A1300" s="16" t="inlineStr">
        <is>
          <t>INDOKEM</t>
        </is>
      </c>
      <c r="B1300" s="16" t="inlineStr">
        <is>
          <t>Indokem Ltd.</t>
        </is>
      </c>
      <c r="C1300" s="16" t="inlineStr">
        <is>
          <t>Specialty Chemicals</t>
        </is>
      </c>
      <c r="D1300" s="16" t="inlineStr">
        <is>
          <t>Chemicals &amp; Petrochemicals</t>
        </is>
      </c>
      <c r="E1300" s="16" t="inlineStr">
        <is>
          <t>INE716F01012</t>
        </is>
      </c>
      <c r="F1300" s="17" t="n">
        <v>1763.66</v>
      </c>
      <c r="G1300" s="18" t="n">
        <v>632.4</v>
      </c>
      <c r="H1300" s="19" t="n">
        <v>0.0054</v>
      </c>
      <c r="I1300" s="20" t="n">
        <v>68</v>
      </c>
      <c r="J1300" s="16" t="inlineStr">
        <is>
          <t>amber</t>
        </is>
      </c>
      <c r="K1300" s="20" t="n">
        <v>9</v>
      </c>
      <c r="L1300" s="18" t="n">
        <v>64.06</v>
      </c>
      <c r="M1300" s="18" t="n">
        <v>615.9299999999999</v>
      </c>
      <c r="N1300" s="18" t="n">
        <v>578.95</v>
      </c>
      <c r="O1300" s="18" t="n">
        <v>614.0700000000001</v>
      </c>
      <c r="P1300" s="18" t="n">
        <v>916.65</v>
      </c>
      <c r="Q1300" s="18" t="n">
        <v>429.85</v>
      </c>
      <c r="R1300" s="21">
        <f>IF(OR(G1300="",P1300=""),"",G1300/P1300-1)</f>
        <v/>
      </c>
      <c r="S1300" s="19" t="n">
        <v>0.5367999999999999</v>
      </c>
      <c r="T1300" s="22" t="n">
        <v>-0.0168</v>
      </c>
      <c r="U1300" s="16" t="inlineStr">
        <is>
          <t>No</t>
        </is>
      </c>
      <c r="V1300" s="16" t="inlineStr">
        <is>
          <t>Yes</t>
        </is>
      </c>
      <c r="W1300" s="16" t="inlineStr">
        <is>
          <t>Yes</t>
        </is>
      </c>
      <c r="X1300" s="16" t="inlineStr">
        <is>
          <t>No</t>
        </is>
      </c>
      <c r="Y1300" s="20" t="n">
        <v>100</v>
      </c>
      <c r="Z1300" s="19" t="n">
        <v>-0.0572</v>
      </c>
      <c r="AA1300" s="18" t="n"/>
      <c r="AB1300" s="16" t="n"/>
      <c r="AC1300" s="16" t="inlineStr">
        <is>
          <t>No</t>
        </is>
      </c>
      <c r="AD1300" s="19" t="n"/>
      <c r="AE1300" s="19" t="n"/>
      <c r="AF1300" s="19" t="n"/>
      <c r="AG1300" s="19" t="n"/>
      <c r="AH1300" s="23" t="n"/>
      <c r="AI1300" s="23" t="n"/>
      <c r="AJ1300" s="19" t="n"/>
    </row>
    <row r="1301">
      <c r="A1301" s="16" t="inlineStr">
        <is>
          <t>ARDEE</t>
        </is>
      </c>
      <c r="B1301" s="16" t="inlineStr">
        <is>
          <t>Ardee Industries Ltd.</t>
        </is>
      </c>
      <c r="C1301" s="16" t="inlineStr">
        <is>
          <t>Other Non-Ferrous Metals</t>
        </is>
      </c>
      <c r="D1301" s="16" t="inlineStr">
        <is>
          <t>Metals &amp; Mining</t>
        </is>
      </c>
      <c r="E1301" s="16" t="inlineStr">
        <is>
          <t>INE0XNF01022</t>
        </is>
      </c>
      <c r="F1301" s="17" t="n">
        <v>1754.41</v>
      </c>
      <c r="G1301" s="18" t="n">
        <v>55.66</v>
      </c>
      <c r="H1301" s="19" t="n">
        <v>0.015</v>
      </c>
      <c r="I1301" s="20" t="n"/>
      <c r="J1301" s="16" t="n"/>
      <c r="K1301" s="20" t="n"/>
      <c r="L1301" s="18" t="n">
        <v>35.02</v>
      </c>
      <c r="M1301" s="18" t="n">
        <v>57.21</v>
      </c>
      <c r="N1301" s="18" t="n"/>
      <c r="O1301" s="18" t="n"/>
      <c r="P1301" s="18" t="n">
        <v>67.12</v>
      </c>
      <c r="Q1301" s="18" t="n">
        <v>54.84</v>
      </c>
      <c r="R1301" s="21">
        <f>IF(OR(G1301="",P1301=""),"",G1301/P1301-1)</f>
        <v/>
      </c>
      <c r="S1301" s="19" t="n">
        <v>0.148</v>
      </c>
      <c r="T1301" s="22" t="n"/>
      <c r="U1301" s="16" t="n"/>
      <c r="V1301" s="16" t="n"/>
      <c r="W1301" s="16" t="inlineStr">
        <is>
          <t>No</t>
        </is>
      </c>
      <c r="X1301" s="16" t="n"/>
      <c r="Y1301" s="20" t="n"/>
      <c r="Z1301" s="19" t="n"/>
      <c r="AA1301" s="18" t="n"/>
      <c r="AB1301" s="16" t="n"/>
      <c r="AC1301" s="16" t="inlineStr">
        <is>
          <t>No</t>
        </is>
      </c>
      <c r="AD1301" s="19" t="n"/>
      <c r="AE1301" s="19" t="n"/>
      <c r="AF1301" s="19" t="n"/>
      <c r="AG1301" s="19" t="n"/>
      <c r="AH1301" s="23" t="n"/>
      <c r="AI1301" s="23" t="n"/>
      <c r="AJ1301" s="19" t="n"/>
    </row>
    <row r="1302">
      <c r="A1302" s="16" t="inlineStr">
        <is>
          <t>OAL</t>
        </is>
      </c>
      <c r="B1302" s="16" t="inlineStr">
        <is>
          <t>Oriental Aromatics Ltd.</t>
        </is>
      </c>
      <c r="C1302" s="16" t="inlineStr">
        <is>
          <t>Specialty Chemicals</t>
        </is>
      </c>
      <c r="D1302" s="16" t="inlineStr">
        <is>
          <t>Chemicals &amp; Petrochemicals</t>
        </is>
      </c>
      <c r="E1302" s="16" t="inlineStr">
        <is>
          <t>INE959C01023</t>
        </is>
      </c>
      <c r="F1302" s="17" t="n">
        <v>1749.65</v>
      </c>
      <c r="G1302" s="18" t="n">
        <v>519.9</v>
      </c>
      <c r="H1302" s="19" t="n">
        <v>0.035</v>
      </c>
      <c r="I1302" s="20" t="n">
        <v>91</v>
      </c>
      <c r="J1302" s="16" t="inlineStr">
        <is>
          <t>green</t>
        </is>
      </c>
      <c r="K1302" s="20" t="n">
        <v>7</v>
      </c>
      <c r="L1302" s="18" t="n">
        <v>79.88</v>
      </c>
      <c r="M1302" s="18" t="n">
        <v>463.54</v>
      </c>
      <c r="N1302" s="18" t="n">
        <v>370.19</v>
      </c>
      <c r="O1302" s="18" t="n">
        <v>311.91</v>
      </c>
      <c r="P1302" s="18" t="n">
        <v>519.9</v>
      </c>
      <c r="Q1302" s="18" t="n">
        <v>235.09</v>
      </c>
      <c r="R1302" s="21">
        <f>IF(OR(G1302="",P1302=""),"",G1302/P1302-1)</f>
        <v/>
      </c>
      <c r="S1302" s="19" t="n">
        <v>1.7303</v>
      </c>
      <c r="T1302" s="22" t="n">
        <v>0.016</v>
      </c>
      <c r="U1302" s="16" t="inlineStr">
        <is>
          <t>Yes</t>
        </is>
      </c>
      <c r="V1302" s="16" t="inlineStr">
        <is>
          <t>Yes</t>
        </is>
      </c>
      <c r="W1302" s="16" t="inlineStr">
        <is>
          <t>Yes</t>
        </is>
      </c>
      <c r="X1302" s="16" t="inlineStr">
        <is>
          <t>Yes</t>
        </is>
      </c>
      <c r="Y1302" s="20" t="n">
        <v>61</v>
      </c>
      <c r="Z1302" s="19" t="n">
        <v>0.1869</v>
      </c>
      <c r="AA1302" s="18" t="n">
        <v>31.56</v>
      </c>
      <c r="AB1302" s="16" t="inlineStr">
        <is>
          <t>Poor</t>
        </is>
      </c>
      <c r="AC1302" s="16" t="inlineStr">
        <is>
          <t>No</t>
        </is>
      </c>
      <c r="AD1302" s="19" t="n">
        <v>0.0237</v>
      </c>
      <c r="AE1302" s="19" t="n">
        <v>0.05110000000000001</v>
      </c>
      <c r="AF1302" s="19" t="n">
        <v>0.4404999999999999</v>
      </c>
      <c r="AG1302" s="19" t="n">
        <v>0.0674</v>
      </c>
      <c r="AH1302" s="23" t="n">
        <v>0.61</v>
      </c>
      <c r="AI1302" s="23" t="n">
        <v>2.47</v>
      </c>
      <c r="AJ1302" s="19" t="n">
        <v>0.0138</v>
      </c>
    </row>
    <row r="1303">
      <c r="A1303" s="16" t="inlineStr">
        <is>
          <t>IGPL</t>
        </is>
      </c>
      <c r="B1303" s="16" t="inlineStr">
        <is>
          <t>I G Petrochemicals Ltd.</t>
        </is>
      </c>
      <c r="C1303" s="16" t="inlineStr">
        <is>
          <t>Petrochemicals</t>
        </is>
      </c>
      <c r="D1303" s="16" t="inlineStr">
        <is>
          <t>Chemicals &amp; Petrochemicals</t>
        </is>
      </c>
      <c r="E1303" s="16" t="inlineStr">
        <is>
          <t>INE204A01010</t>
        </is>
      </c>
      <c r="F1303" s="17" t="n">
        <v>1747.3</v>
      </c>
      <c r="G1303" s="18" t="n">
        <v>567.4</v>
      </c>
      <c r="H1303" s="19" t="n">
        <v>0.0338</v>
      </c>
      <c r="I1303" s="20" t="n">
        <v>82</v>
      </c>
      <c r="J1303" s="16" t="inlineStr">
        <is>
          <t>green</t>
        </is>
      </c>
      <c r="K1303" s="20" t="n">
        <v>4</v>
      </c>
      <c r="L1303" s="18" t="n">
        <v>82.38</v>
      </c>
      <c r="M1303" s="18" t="n">
        <v>540.5</v>
      </c>
      <c r="N1303" s="18" t="n">
        <v>470.53</v>
      </c>
      <c r="O1303" s="18" t="n">
        <v>410.79</v>
      </c>
      <c r="P1303" s="18" t="n">
        <v>567.4</v>
      </c>
      <c r="Q1303" s="18" t="n">
        <v>325.45</v>
      </c>
      <c r="R1303" s="21">
        <f>IF(OR(G1303="",P1303=""),"",G1303/P1303-1)</f>
        <v/>
      </c>
      <c r="S1303" s="19" t="n">
        <v>1.6955</v>
      </c>
      <c r="T1303" s="22" t="n">
        <v>0.0246</v>
      </c>
      <c r="U1303" s="16" t="inlineStr">
        <is>
          <t>Yes</t>
        </is>
      </c>
      <c r="V1303" s="16" t="inlineStr">
        <is>
          <t>Yes</t>
        </is>
      </c>
      <c r="W1303" s="16" t="inlineStr">
        <is>
          <t>Yes</t>
        </is>
      </c>
      <c r="X1303" s="16" t="inlineStr">
        <is>
          <t>Yes</t>
        </is>
      </c>
      <c r="Y1303" s="20" t="n">
        <v>76</v>
      </c>
      <c r="Z1303" s="19" t="n">
        <v>0.1454</v>
      </c>
      <c r="AA1303" s="18" t="n">
        <v>27.82</v>
      </c>
      <c r="AB1303" s="16" t="inlineStr">
        <is>
          <t>Poor</t>
        </is>
      </c>
      <c r="AC1303" s="16" t="inlineStr">
        <is>
          <t>No</t>
        </is>
      </c>
      <c r="AD1303" s="19" t="n">
        <v>0.0382</v>
      </c>
      <c r="AE1303" s="19" t="n">
        <v>0.0646</v>
      </c>
      <c r="AF1303" s="19" t="n">
        <v>-0.0105</v>
      </c>
      <c r="AG1303" s="19" t="n">
        <v>-0.06179999999999999</v>
      </c>
      <c r="AH1303" s="23" t="n">
        <v>0.27</v>
      </c>
      <c r="AI1303" s="23" t="n">
        <v>1.68</v>
      </c>
      <c r="AJ1303" s="19" t="n">
        <v>0.1645</v>
      </c>
    </row>
    <row r="1304">
      <c r="A1304" s="16" t="inlineStr">
        <is>
          <t>JAICORPLTD</t>
        </is>
      </c>
      <c r="B1304" s="16" t="inlineStr">
        <is>
          <t>Jai Corp Ltd.</t>
        </is>
      </c>
      <c r="C1304" s="16" t="inlineStr">
        <is>
          <t>Plastic Products</t>
        </is>
      </c>
      <c r="D1304" s="16" t="inlineStr">
        <is>
          <t>General Industrials</t>
        </is>
      </c>
      <c r="E1304" s="16" t="inlineStr">
        <is>
          <t>INE070D01027</t>
        </is>
      </c>
      <c r="F1304" s="17" t="n">
        <v>1746.63</v>
      </c>
      <c r="G1304" s="18" t="n">
        <v>99.52</v>
      </c>
      <c r="H1304" s="19" t="n">
        <v>0.0037</v>
      </c>
      <c r="I1304" s="20" t="n">
        <v>10</v>
      </c>
      <c r="J1304" s="16" t="inlineStr">
        <is>
          <t>red</t>
        </is>
      </c>
      <c r="K1304" s="20" t="n">
        <v>86</v>
      </c>
      <c r="L1304" s="18" t="n">
        <v>43.73</v>
      </c>
      <c r="M1304" s="18" t="n">
        <v>99.51000000000001</v>
      </c>
      <c r="N1304" s="18" t="n">
        <v>104.67</v>
      </c>
      <c r="O1304" s="18" t="n">
        <v>113.74</v>
      </c>
      <c r="P1304" s="18" t="n">
        <v>172.32</v>
      </c>
      <c r="Q1304" s="18" t="n">
        <v>88.76000000000001</v>
      </c>
      <c r="R1304" s="21">
        <f>IF(OR(G1304="",P1304=""),"",G1304/P1304-1)</f>
        <v/>
      </c>
      <c r="S1304" s="19" t="n">
        <v>0.7186</v>
      </c>
      <c r="T1304" s="22" t="n">
        <v>-0.0473</v>
      </c>
      <c r="U1304" s="16" t="inlineStr">
        <is>
          <t>No</t>
        </is>
      </c>
      <c r="V1304" s="16" t="inlineStr">
        <is>
          <t>No</t>
        </is>
      </c>
      <c r="W1304" s="16" t="inlineStr">
        <is>
          <t>Yes</t>
        </is>
      </c>
      <c r="X1304" s="16" t="inlineStr">
        <is>
          <t>No</t>
        </is>
      </c>
      <c r="Y1304" s="20" t="n">
        <v>145</v>
      </c>
      <c r="Z1304" s="19" t="n">
        <v>-0.07980000000000001</v>
      </c>
      <c r="AA1304" s="18" t="n">
        <v>49.55</v>
      </c>
      <c r="AB1304" s="16" t="inlineStr">
        <is>
          <t>Average</t>
        </is>
      </c>
      <c r="AC1304" s="16" t="inlineStr">
        <is>
          <t>No</t>
        </is>
      </c>
      <c r="AD1304" s="19" t="n">
        <v>0.0654</v>
      </c>
      <c r="AE1304" s="19" t="n">
        <v>0.0791</v>
      </c>
      <c r="AF1304" s="19" t="n">
        <v>2.2459</v>
      </c>
      <c r="AG1304" s="19" t="n">
        <v>-0.0364</v>
      </c>
      <c r="AH1304" s="23" t="n">
        <v>0</v>
      </c>
      <c r="AI1304" s="23" t="n">
        <v>5.5</v>
      </c>
      <c r="AJ1304" s="19" t="n">
        <v>0.0024</v>
      </c>
    </row>
    <row r="1305">
      <c r="A1305" s="16" t="inlineStr">
        <is>
          <t>INDIAGLYCO</t>
        </is>
      </c>
      <c r="B1305" s="16" t="inlineStr">
        <is>
          <t>India Glycols Ltd.</t>
        </is>
      </c>
      <c r="C1305" s="16" t="inlineStr">
        <is>
          <t>Commodity Chemicals</t>
        </is>
      </c>
      <c r="D1305" s="16" t="inlineStr">
        <is>
          <t>Chemicals &amp; Petrochemicals</t>
        </is>
      </c>
      <c r="E1305" s="16" t="inlineStr">
        <is>
          <t>INE560A01023</t>
        </is>
      </c>
      <c r="F1305" s="17" t="n">
        <v>1745.38</v>
      </c>
      <c r="G1305" s="18" t="n">
        <v>260.4</v>
      </c>
      <c r="H1305" s="19" t="n">
        <v>0.05</v>
      </c>
      <c r="I1305" s="20" t="n">
        <v>1</v>
      </c>
      <c r="J1305" s="16" t="inlineStr">
        <is>
          <t>red</t>
        </is>
      </c>
      <c r="K1305" s="20" t="n">
        <v>3</v>
      </c>
      <c r="L1305" s="18" t="n">
        <v>17.32</v>
      </c>
      <c r="M1305" s="18" t="n">
        <v>821.96</v>
      </c>
      <c r="N1305" s="18" t="n">
        <v>1063.93</v>
      </c>
      <c r="O1305" s="18" t="n">
        <v>990.91</v>
      </c>
      <c r="P1305" s="18" t="n">
        <v>1203.3</v>
      </c>
      <c r="Q1305" s="18" t="n">
        <v>236.2</v>
      </c>
      <c r="R1305" s="21">
        <f>IF(OR(G1305="",P1305=""),"",G1305/P1305-1)</f>
        <v/>
      </c>
      <c r="S1305" s="19" t="n">
        <v>0.076</v>
      </c>
      <c r="T1305" s="22" t="n">
        <v>-0.0011</v>
      </c>
      <c r="U1305" s="16" t="inlineStr">
        <is>
          <t>No</t>
        </is>
      </c>
      <c r="V1305" s="16" t="inlineStr">
        <is>
          <t>No</t>
        </is>
      </c>
      <c r="W1305" s="16" t="inlineStr">
        <is>
          <t>No</t>
        </is>
      </c>
      <c r="X1305" s="16" t="inlineStr">
        <is>
          <t>Yes</t>
        </is>
      </c>
      <c r="Y1305" s="20" t="n">
        <v>84</v>
      </c>
      <c r="Z1305" s="19" t="n">
        <v>0.0737</v>
      </c>
      <c r="AA1305" s="18" t="n">
        <v>33.59</v>
      </c>
      <c r="AB1305" s="16" t="inlineStr">
        <is>
          <t>Poor</t>
        </is>
      </c>
      <c r="AC1305" s="16" t="inlineStr">
        <is>
          <t>No</t>
        </is>
      </c>
      <c r="AD1305" s="19" t="n">
        <v>0.0955</v>
      </c>
      <c r="AE1305" s="19" t="n">
        <v>0.1081</v>
      </c>
      <c r="AF1305" s="19" t="n">
        <v>-0.1463</v>
      </c>
      <c r="AG1305" s="19" t="n">
        <v>0.1799</v>
      </c>
      <c r="AH1305" s="23" t="n">
        <v>0.58</v>
      </c>
      <c r="AI1305" s="23" t="n">
        <v>0.92</v>
      </c>
      <c r="AJ1305" s="19" t="n">
        <v>0.008</v>
      </c>
    </row>
    <row r="1306">
      <c r="A1306" s="16" t="inlineStr">
        <is>
          <t>DISAQ</t>
        </is>
      </c>
      <c r="B1306" s="16" t="inlineStr">
        <is>
          <t>Disa India Ltd.</t>
        </is>
      </c>
      <c r="C1306" s="16" t="inlineStr">
        <is>
          <t>Industrial Machinery</t>
        </is>
      </c>
      <c r="D1306" s="16" t="inlineStr">
        <is>
          <t>General Industrials</t>
        </is>
      </c>
      <c r="E1306" s="16" t="inlineStr">
        <is>
          <t>INE131C01011</t>
        </is>
      </c>
      <c r="F1306" s="17" t="n">
        <v>1744.89</v>
      </c>
      <c r="G1306" s="18" t="n">
        <v>11999</v>
      </c>
      <c r="H1306" s="19" t="n">
        <v>0.0164</v>
      </c>
      <c r="I1306" s="20" t="n">
        <v>39</v>
      </c>
      <c r="J1306" s="16" t="inlineStr">
        <is>
          <t>red</t>
        </is>
      </c>
      <c r="K1306" s="20" t="n">
        <v>447</v>
      </c>
      <c r="L1306" s="18" t="n">
        <v>56.92</v>
      </c>
      <c r="M1306" s="18" t="n">
        <v>11981.55</v>
      </c>
      <c r="N1306" s="18" t="n">
        <v>11908.38</v>
      </c>
      <c r="O1306" s="18" t="n">
        <v>11880.31</v>
      </c>
      <c r="P1306" s="18" t="n">
        <v>13954.14</v>
      </c>
      <c r="Q1306" s="18" t="n">
        <v>10788.09</v>
      </c>
      <c r="R1306" s="21">
        <f>IF(OR(G1306="",P1306=""),"",G1306/P1306-1)</f>
        <v/>
      </c>
      <c r="S1306" s="19" t="n">
        <v>0.0181</v>
      </c>
      <c r="T1306" s="22" t="n">
        <v>-0.0123</v>
      </c>
      <c r="U1306" s="16" t="inlineStr">
        <is>
          <t>No</t>
        </is>
      </c>
      <c r="V1306" s="16" t="inlineStr">
        <is>
          <t>Yes</t>
        </is>
      </c>
      <c r="W1306" s="16" t="inlineStr">
        <is>
          <t>Yes</t>
        </is>
      </c>
      <c r="X1306" s="16" t="inlineStr">
        <is>
          <t>Yes</t>
        </is>
      </c>
      <c r="Y1306" s="20" t="n">
        <v>9</v>
      </c>
      <c r="Z1306" s="19" t="n">
        <v>0.0024</v>
      </c>
      <c r="AA1306" s="18" t="n"/>
      <c r="AB1306" s="16" t="n"/>
      <c r="AC1306" s="16" t="inlineStr">
        <is>
          <t>No</t>
        </is>
      </c>
      <c r="AD1306" s="19" t="n"/>
      <c r="AE1306" s="19" t="n"/>
      <c r="AF1306" s="19" t="n"/>
      <c r="AG1306" s="19" t="n"/>
      <c r="AH1306" s="23" t="n"/>
      <c r="AI1306" s="23" t="n"/>
      <c r="AJ1306" s="19" t="n"/>
    </row>
    <row r="1307">
      <c r="A1307" s="16" t="inlineStr">
        <is>
          <t>VIDHIING</t>
        </is>
      </c>
      <c r="B1307" s="16" t="inlineStr">
        <is>
          <t>Vidhi Specialty Food Ingredients Ltd.</t>
        </is>
      </c>
      <c r="C1307" s="16" t="inlineStr">
        <is>
          <t>Specialty Chemicals</t>
        </is>
      </c>
      <c r="D1307" s="16" t="inlineStr">
        <is>
          <t>Chemicals &amp; Petrochemicals</t>
        </is>
      </c>
      <c r="E1307" s="16" t="inlineStr">
        <is>
          <t>INE632C01026</t>
        </is>
      </c>
      <c r="F1307" s="17" t="n">
        <v>1736.84</v>
      </c>
      <c r="G1307" s="18" t="n">
        <v>347.75</v>
      </c>
      <c r="H1307" s="19" t="n">
        <v>0.0144</v>
      </c>
      <c r="I1307" s="20" t="n">
        <v>55</v>
      </c>
      <c r="J1307" s="16" t="inlineStr">
        <is>
          <t>red</t>
        </is>
      </c>
      <c r="K1307" s="20" t="n">
        <v>353</v>
      </c>
      <c r="L1307" s="18" t="n">
        <v>66.51000000000001</v>
      </c>
      <c r="M1307" s="18" t="n">
        <v>348.64</v>
      </c>
      <c r="N1307" s="18" t="n">
        <v>315.73</v>
      </c>
      <c r="O1307" s="18" t="n">
        <v>313.7</v>
      </c>
      <c r="P1307" s="18" t="n">
        <v>384.08</v>
      </c>
      <c r="Q1307" s="18" t="n">
        <v>263.25</v>
      </c>
      <c r="R1307" s="21">
        <f>IF(OR(G1307="",P1307=""),"",G1307/P1307-1)</f>
        <v/>
      </c>
      <c r="S1307" s="19" t="n">
        <v>0.1465</v>
      </c>
      <c r="T1307" s="22" t="n">
        <v>-0.0034</v>
      </c>
      <c r="U1307" s="16" t="inlineStr">
        <is>
          <t>No</t>
        </is>
      </c>
      <c r="V1307" s="16" t="inlineStr">
        <is>
          <t>Yes</t>
        </is>
      </c>
      <c r="W1307" s="16" t="inlineStr">
        <is>
          <t>No</t>
        </is>
      </c>
      <c r="X1307" s="16" t="inlineStr">
        <is>
          <t>Yes</t>
        </is>
      </c>
      <c r="Y1307" s="20" t="n">
        <v>2</v>
      </c>
      <c r="Z1307" s="19" t="n">
        <v>0.006500000000000001</v>
      </c>
      <c r="AA1307" s="18" t="n">
        <v>48.49</v>
      </c>
      <c r="AB1307" s="16" t="inlineStr">
        <is>
          <t>Average</t>
        </is>
      </c>
      <c r="AC1307" s="16" t="inlineStr">
        <is>
          <t>No</t>
        </is>
      </c>
      <c r="AD1307" s="19" t="n">
        <v>0.1412</v>
      </c>
      <c r="AE1307" s="19" t="n">
        <v>0.1738</v>
      </c>
      <c r="AF1307" s="19" t="n">
        <v>0.0949</v>
      </c>
      <c r="AG1307" s="19" t="n">
        <v>0.0147</v>
      </c>
      <c r="AH1307" s="23" t="n">
        <v>0.18</v>
      </c>
      <c r="AI1307" s="23" t="n">
        <v>2.76</v>
      </c>
      <c r="AJ1307" s="19" t="n">
        <v>0.0284</v>
      </c>
    </row>
    <row r="1308">
      <c r="A1308" s="16" t="inlineStr">
        <is>
          <t>SURAKSHA</t>
        </is>
      </c>
      <c r="B1308" s="16" t="inlineStr">
        <is>
          <t>Suraksha Diagnostic Ltd.</t>
        </is>
      </c>
      <c r="C1308" s="16" t="inlineStr">
        <is>
          <t>Healthcare Services</t>
        </is>
      </c>
      <c r="D1308" s="16" t="inlineStr">
        <is>
          <t>Healthcare</t>
        </is>
      </c>
      <c r="E1308" s="16" t="inlineStr">
        <is>
          <t>INE877V01027</t>
        </is>
      </c>
      <c r="F1308" s="17" t="n">
        <v>1731.43</v>
      </c>
      <c r="G1308" s="18" t="n">
        <v>332.45</v>
      </c>
      <c r="H1308" s="19" t="n">
        <v>-0.0211</v>
      </c>
      <c r="I1308" s="20" t="n">
        <v>67</v>
      </c>
      <c r="J1308" s="16" t="inlineStr">
        <is>
          <t>amber</t>
        </is>
      </c>
      <c r="K1308" s="20" t="n">
        <v>8</v>
      </c>
      <c r="L1308" s="18" t="n">
        <v>62.92</v>
      </c>
      <c r="M1308" s="18" t="n">
        <v>338.26</v>
      </c>
      <c r="N1308" s="18" t="n">
        <v>281.97</v>
      </c>
      <c r="O1308" s="18" t="n">
        <v>277.83</v>
      </c>
      <c r="P1308" s="18" t="n">
        <v>340.8</v>
      </c>
      <c r="Q1308" s="18" t="n">
        <v>227.95</v>
      </c>
      <c r="R1308" s="21">
        <f>IF(OR(G1308="",P1308=""),"",G1308/P1308-1)</f>
        <v/>
      </c>
      <c r="S1308" s="19" t="n">
        <v>0.1425</v>
      </c>
      <c r="T1308" s="22" t="n">
        <v>0.0003</v>
      </c>
      <c r="U1308" s="16" t="inlineStr">
        <is>
          <t>Yes</t>
        </is>
      </c>
      <c r="V1308" s="16" t="inlineStr">
        <is>
          <t>Yes</t>
        </is>
      </c>
      <c r="W1308" s="16" t="inlineStr">
        <is>
          <t>No</t>
        </is>
      </c>
      <c r="X1308" s="16" t="inlineStr">
        <is>
          <t>Yes</t>
        </is>
      </c>
      <c r="Y1308" s="20" t="n">
        <v>4</v>
      </c>
      <c r="Z1308" s="19" t="n">
        <v>0.0149</v>
      </c>
      <c r="AA1308" s="18" t="n">
        <v>52.91</v>
      </c>
      <c r="AB1308" s="16" t="inlineStr">
        <is>
          <t>Good</t>
        </is>
      </c>
      <c r="AC1308" s="16" t="inlineStr">
        <is>
          <t>No</t>
        </is>
      </c>
      <c r="AD1308" s="19" t="n">
        <v>0.138</v>
      </c>
      <c r="AE1308" s="19" t="n">
        <v>0.1557</v>
      </c>
      <c r="AF1308" s="19" t="n">
        <v>0.649</v>
      </c>
      <c r="AG1308" s="19" t="n">
        <v>0.1781</v>
      </c>
      <c r="AH1308" s="23" t="n">
        <v>0.53</v>
      </c>
      <c r="AI1308" s="23" t="n">
        <v>0.9</v>
      </c>
      <c r="AJ1308" s="19" t="n">
        <v>0.1019</v>
      </c>
    </row>
    <row r="1309">
      <c r="A1309" s="16" t="inlineStr">
        <is>
          <t>PFS</t>
        </is>
      </c>
      <c r="B1309" s="16" t="inlineStr">
        <is>
          <t>PTC India Financial Services Ltd.</t>
        </is>
      </c>
      <c r="C1309" s="16" t="inlineStr">
        <is>
          <t>Finance (including NBFCs)</t>
        </is>
      </c>
      <c r="D1309" s="16" t="inlineStr">
        <is>
          <t>Banking and Finance</t>
        </is>
      </c>
      <c r="E1309" s="16" t="inlineStr">
        <is>
          <t>INE560K01014</t>
        </is>
      </c>
      <c r="F1309" s="17" t="n">
        <v>1730.31</v>
      </c>
      <c r="G1309" s="18" t="n">
        <v>26.94</v>
      </c>
      <c r="H1309" s="19" t="n">
        <v>-0.0063</v>
      </c>
      <c r="I1309" s="20" t="n">
        <v>11</v>
      </c>
      <c r="J1309" s="16" t="inlineStr">
        <is>
          <t>red</t>
        </is>
      </c>
      <c r="K1309" s="20" t="n">
        <v>275</v>
      </c>
      <c r="L1309" s="18" t="n">
        <v>22.97</v>
      </c>
      <c r="M1309" s="18" t="n">
        <v>27.13</v>
      </c>
      <c r="N1309" s="18" t="n">
        <v>28.99</v>
      </c>
      <c r="O1309" s="18" t="n">
        <v>30.72</v>
      </c>
      <c r="P1309" s="18" t="n">
        <v>39.46</v>
      </c>
      <c r="Q1309" s="18" t="n">
        <v>24.01</v>
      </c>
      <c r="R1309" s="21">
        <f>IF(OR(G1309="",P1309=""),"",G1309/P1309-1)</f>
        <v/>
      </c>
      <c r="S1309" s="19" t="n">
        <v>0.9205</v>
      </c>
      <c r="T1309" s="22" t="n">
        <v>-0.0267</v>
      </c>
      <c r="U1309" s="16" t="inlineStr">
        <is>
          <t>No</t>
        </is>
      </c>
      <c r="V1309" s="16" t="inlineStr">
        <is>
          <t>No</t>
        </is>
      </c>
      <c r="W1309" s="16" t="inlineStr">
        <is>
          <t>No</t>
        </is>
      </c>
      <c r="X1309" s="16" t="inlineStr">
        <is>
          <t>No</t>
        </is>
      </c>
      <c r="Y1309" s="20" t="n">
        <v>209</v>
      </c>
      <c r="Z1309" s="19" t="n">
        <v>-0.0562</v>
      </c>
      <c r="AA1309" s="18" t="n">
        <v>33.71</v>
      </c>
      <c r="AB1309" s="16" t="inlineStr">
        <is>
          <t>Poor</t>
        </is>
      </c>
      <c r="AC1309" s="16" t="inlineStr">
        <is>
          <t>Yes</t>
        </is>
      </c>
      <c r="AD1309" s="19" t="n">
        <v>0.0819</v>
      </c>
      <c r="AE1309" s="19" t="n">
        <v>0.0542</v>
      </c>
      <c r="AF1309" s="19" t="n">
        <v>0.2449</v>
      </c>
      <c r="AG1309" s="19" t="n">
        <v>-0.1348</v>
      </c>
      <c r="AH1309" s="23" t="n">
        <v>0.57</v>
      </c>
      <c r="AI1309" s="23" t="n">
        <v>32.06</v>
      </c>
      <c r="AJ1309" s="19" t="n">
        <v>0</v>
      </c>
    </row>
    <row r="1310">
      <c r="A1310" s="16" t="inlineStr">
        <is>
          <t>AURUM</t>
        </is>
      </c>
      <c r="B1310" s="16" t="inlineStr">
        <is>
          <t>Aurum Proptech Ltd.</t>
        </is>
      </c>
      <c r="C1310" s="16" t="inlineStr">
        <is>
          <t>IT Consulting &amp; Software</t>
        </is>
      </c>
      <c r="D1310" s="16" t="inlineStr">
        <is>
          <t>Software &amp; Services</t>
        </is>
      </c>
      <c r="E1310" s="16" t="inlineStr">
        <is>
          <t>INE898S01029</t>
        </is>
      </c>
      <c r="F1310" s="17" t="n">
        <v>1729.89</v>
      </c>
      <c r="G1310" s="18" t="n">
        <v>225.16</v>
      </c>
      <c r="H1310" s="19" t="n">
        <v>0.0018</v>
      </c>
      <c r="I1310" s="20" t="n">
        <v>73</v>
      </c>
      <c r="J1310" s="16" t="inlineStr">
        <is>
          <t>amber</t>
        </is>
      </c>
      <c r="K1310" s="20" t="n">
        <v>8</v>
      </c>
      <c r="L1310" s="18" t="n">
        <v>44.98</v>
      </c>
      <c r="M1310" s="18" t="n">
        <v>228.11</v>
      </c>
      <c r="N1310" s="18" t="n">
        <v>227.54</v>
      </c>
      <c r="O1310" s="18" t="n">
        <v>191.15</v>
      </c>
      <c r="P1310" s="18" t="n">
        <v>250.82</v>
      </c>
      <c r="Q1310" s="18" t="n">
        <v>154.87</v>
      </c>
      <c r="R1310" s="21">
        <f>IF(OR(G1310="",P1310=""),"",G1310/P1310-1)</f>
        <v/>
      </c>
      <c r="S1310" s="19" t="n">
        <v>0.4365</v>
      </c>
      <c r="T1310" s="22" t="n">
        <v>0.0312</v>
      </c>
      <c r="U1310" s="16" t="inlineStr">
        <is>
          <t>Yes</t>
        </is>
      </c>
      <c r="V1310" s="16" t="inlineStr">
        <is>
          <t>No</t>
        </is>
      </c>
      <c r="W1310" s="16" t="inlineStr">
        <is>
          <t>No</t>
        </is>
      </c>
      <c r="X1310" s="16" t="inlineStr">
        <is>
          <t>Yes</t>
        </is>
      </c>
      <c r="Y1310" s="20" t="n">
        <v>72</v>
      </c>
      <c r="Z1310" s="19" t="n">
        <v>0.1903</v>
      </c>
      <c r="AA1310" s="18" t="n">
        <v>34.64</v>
      </c>
      <c r="AB1310" s="16" t="inlineStr">
        <is>
          <t>Weak</t>
        </is>
      </c>
      <c r="AC1310" s="16" t="inlineStr">
        <is>
          <t>No</t>
        </is>
      </c>
      <c r="AD1310" s="19" t="n">
        <v>-0.1495</v>
      </c>
      <c r="AE1310" s="19" t="n">
        <v>-0.04099999999999999</v>
      </c>
      <c r="AF1310" s="19" t="n">
        <v>0.2406</v>
      </c>
      <c r="AG1310" s="19" t="n">
        <v>0.4586</v>
      </c>
      <c r="AH1310" s="23" t="n">
        <v>0.44</v>
      </c>
      <c r="AI1310" s="23" t="n">
        <v>1.78</v>
      </c>
      <c r="AJ1310" s="19" t="n">
        <v>0.0037</v>
      </c>
    </row>
    <row r="1311">
      <c r="A1311" s="16" t="inlineStr">
        <is>
          <t>HYPERSOFT</t>
        </is>
      </c>
      <c r="B1311" s="16" t="inlineStr">
        <is>
          <t>Hypersoft Technologies Ltd.</t>
        </is>
      </c>
      <c r="C1311" s="16" t="inlineStr">
        <is>
          <t>IT Consulting &amp; Software</t>
        </is>
      </c>
      <c r="D1311" s="16" t="inlineStr">
        <is>
          <t>Software &amp; Services</t>
        </is>
      </c>
      <c r="E1311" s="16" t="inlineStr">
        <is>
          <t>INE039D01014</t>
        </is>
      </c>
      <c r="F1311" s="17" t="n">
        <v>1721.97</v>
      </c>
      <c r="G1311" s="18" t="n">
        <v>203.9</v>
      </c>
      <c r="H1311" s="19" t="n">
        <v>0.0025</v>
      </c>
      <c r="I1311" s="20" t="n">
        <v>93</v>
      </c>
      <c r="J1311" s="16" t="inlineStr">
        <is>
          <t>green</t>
        </is>
      </c>
      <c r="K1311" s="20" t="n">
        <v>424</v>
      </c>
      <c r="L1311" s="18" t="n">
        <v>46.05</v>
      </c>
      <c r="M1311" s="18" t="n">
        <v>202.48</v>
      </c>
      <c r="N1311" s="18" t="n">
        <v>208.83</v>
      </c>
      <c r="O1311" s="18" t="n">
        <v>135.52</v>
      </c>
      <c r="P1311" s="18" t="n">
        <v>219.1</v>
      </c>
      <c r="Q1311" s="18" t="n">
        <v>53.94</v>
      </c>
      <c r="R1311" s="21">
        <f>IF(OR(G1311="",P1311=""),"",G1311/P1311-1)</f>
        <v/>
      </c>
      <c r="S1311" s="19" t="n">
        <v>0.0669</v>
      </c>
      <c r="T1311" s="22" t="n">
        <v>0.1033</v>
      </c>
      <c r="U1311" s="16" t="inlineStr">
        <is>
          <t>Yes</t>
        </is>
      </c>
      <c r="V1311" s="16" t="inlineStr">
        <is>
          <t>No</t>
        </is>
      </c>
      <c r="W1311" s="16" t="inlineStr">
        <is>
          <t>Yes</t>
        </is>
      </c>
      <c r="X1311" s="16" t="inlineStr">
        <is>
          <t>Yes</t>
        </is>
      </c>
      <c r="Y1311" s="20" t="n">
        <v>562</v>
      </c>
      <c r="Z1311" s="19" t="n">
        <v>0.5409</v>
      </c>
      <c r="AA1311" s="18" t="n"/>
      <c r="AB1311" s="16" t="n"/>
      <c r="AC1311" s="16" t="inlineStr">
        <is>
          <t>No</t>
        </is>
      </c>
      <c r="AD1311" s="19" t="n"/>
      <c r="AE1311" s="19" t="n"/>
      <c r="AF1311" s="19" t="n"/>
      <c r="AG1311" s="19" t="n"/>
      <c r="AH1311" s="23" t="n"/>
      <c r="AI1311" s="23" t="n"/>
      <c r="AJ1311" s="19" t="n"/>
    </row>
    <row r="1312">
      <c r="A1312" s="16" t="inlineStr">
        <is>
          <t>NDRAUTO</t>
        </is>
      </c>
      <c r="B1312" s="16" t="inlineStr">
        <is>
          <t>NDR Auto Components Ltd.</t>
        </is>
      </c>
      <c r="C1312" s="16" t="inlineStr">
        <is>
          <t>Auto Parts &amp; Equipment</t>
        </is>
      </c>
      <c r="D1312" s="16" t="inlineStr">
        <is>
          <t>Automobiles &amp; Auto Components</t>
        </is>
      </c>
      <c r="E1312" s="16" t="inlineStr">
        <is>
          <t>INE07OG01012</t>
        </is>
      </c>
      <c r="F1312" s="17" t="n">
        <v>1720.75</v>
      </c>
      <c r="G1312" s="18" t="n">
        <v>723.45</v>
      </c>
      <c r="H1312" s="19" t="n">
        <v>-0.001</v>
      </c>
      <c r="I1312" s="20" t="n">
        <v>17</v>
      </c>
      <c r="J1312" s="16" t="inlineStr">
        <is>
          <t>red</t>
        </is>
      </c>
      <c r="K1312" s="20" t="n">
        <v>83</v>
      </c>
      <c r="L1312" s="18" t="n">
        <v>25.53</v>
      </c>
      <c r="M1312" s="18" t="n">
        <v>727.16</v>
      </c>
      <c r="N1312" s="18" t="n">
        <v>803.9299999999999</v>
      </c>
      <c r="O1312" s="18" t="n">
        <v>777.65</v>
      </c>
      <c r="P1312" s="18" t="n">
        <v>1159.29</v>
      </c>
      <c r="Q1312" s="18" t="n">
        <v>607.86</v>
      </c>
      <c r="R1312" s="21">
        <f>IF(OR(G1312="",P1312=""),"",G1312/P1312-1)</f>
        <v/>
      </c>
      <c r="S1312" s="19" t="n">
        <v>0.3272</v>
      </c>
      <c r="T1312" s="22" t="n">
        <v>-0.0218</v>
      </c>
      <c r="U1312" s="16" t="inlineStr">
        <is>
          <t>No</t>
        </is>
      </c>
      <c r="V1312" s="16" t="inlineStr">
        <is>
          <t>No</t>
        </is>
      </c>
      <c r="W1312" s="16" t="inlineStr">
        <is>
          <t>No</t>
        </is>
      </c>
      <c r="X1312" s="16" t="inlineStr">
        <is>
          <t>Yes</t>
        </is>
      </c>
      <c r="Y1312" s="20" t="n">
        <v>42</v>
      </c>
      <c r="Z1312" s="19" t="n">
        <v>0.0338</v>
      </c>
      <c r="AA1312" s="18" t="n">
        <v>66.62</v>
      </c>
      <c r="AB1312" s="16" t="inlineStr">
        <is>
          <t>High</t>
        </is>
      </c>
      <c r="AC1312" s="16" t="inlineStr">
        <is>
          <t>No</t>
        </is>
      </c>
      <c r="AD1312" s="19" t="n">
        <v>0.1674</v>
      </c>
      <c r="AE1312" s="19" t="n">
        <v>0.1979</v>
      </c>
      <c r="AF1312" s="19" t="n">
        <v>0.3052</v>
      </c>
      <c r="AG1312" s="19" t="n">
        <v>0.2932</v>
      </c>
      <c r="AH1312" s="23" t="n">
        <v>0.17</v>
      </c>
      <c r="AI1312" s="23" t="n">
        <v>2.78</v>
      </c>
      <c r="AJ1312" s="19" t="n">
        <v>0.0837</v>
      </c>
    </row>
    <row r="1313">
      <c r="A1313" s="16" t="inlineStr">
        <is>
          <t>GOODYEAR</t>
        </is>
      </c>
      <c r="B1313" s="16" t="inlineStr">
        <is>
          <t>Goodyear India Ltd.</t>
        </is>
      </c>
      <c r="C1313" s="16" t="inlineStr">
        <is>
          <t>Auto Tyres &amp; Rubber Products</t>
        </is>
      </c>
      <c r="D1313" s="16" t="inlineStr">
        <is>
          <t>Automobiles &amp; Auto Components</t>
        </is>
      </c>
      <c r="E1313" s="16" t="inlineStr">
        <is>
          <t>INE533A01012</t>
        </is>
      </c>
      <c r="F1313" s="17" t="n">
        <v>1712</v>
      </c>
      <c r="G1313" s="18" t="n">
        <v>742.2</v>
      </c>
      <c r="H1313" s="19" t="n">
        <v>0.0034</v>
      </c>
      <c r="I1313" s="20" t="n">
        <v>27</v>
      </c>
      <c r="J1313" s="16" t="inlineStr">
        <is>
          <t>red</t>
        </is>
      </c>
      <c r="K1313" s="20" t="n">
        <v>227</v>
      </c>
      <c r="L1313" s="18" t="n">
        <v>32.8</v>
      </c>
      <c r="M1313" s="18" t="n">
        <v>745.98</v>
      </c>
      <c r="N1313" s="18" t="n">
        <v>775.1799999999999</v>
      </c>
      <c r="O1313" s="18" t="n">
        <v>775.7</v>
      </c>
      <c r="P1313" s="18" t="n">
        <v>965.63</v>
      </c>
      <c r="Q1313" s="18" t="n">
        <v>643.63</v>
      </c>
      <c r="R1313" s="21">
        <f>IF(OR(G1313="",P1313=""),"",G1313/P1313-1)</f>
        <v/>
      </c>
      <c r="S1313" s="19" t="n">
        <v>0.2158</v>
      </c>
      <c r="T1313" s="22" t="n">
        <v>-0.0241</v>
      </c>
      <c r="U1313" s="16" t="inlineStr">
        <is>
          <t>No</t>
        </is>
      </c>
      <c r="V1313" s="16" t="inlineStr">
        <is>
          <t>No</t>
        </is>
      </c>
      <c r="W1313" s="16" t="inlineStr">
        <is>
          <t>No</t>
        </is>
      </c>
      <c r="X1313" s="16" t="inlineStr">
        <is>
          <t>No</t>
        </is>
      </c>
      <c r="Y1313" s="20" t="n">
        <v>169</v>
      </c>
      <c r="Z1313" s="19" t="n">
        <v>-0.0007000000000000001</v>
      </c>
      <c r="AA1313" s="18" t="n"/>
      <c r="AB1313" s="16" t="n"/>
      <c r="AC1313" s="16" t="inlineStr">
        <is>
          <t>No</t>
        </is>
      </c>
      <c r="AD1313" s="19" t="n"/>
      <c r="AE1313" s="19" t="n"/>
      <c r="AF1313" s="19" t="n"/>
      <c r="AG1313" s="19" t="n"/>
      <c r="AH1313" s="23" t="n"/>
      <c r="AI1313" s="23" t="n"/>
      <c r="AJ1313" s="19" t="n"/>
    </row>
    <row r="1314">
      <c r="A1314" s="16" t="inlineStr">
        <is>
          <t>SMCGLOBAL</t>
        </is>
      </c>
      <c r="B1314" s="16" t="inlineStr">
        <is>
          <t>SMC Global Securities Ltd.</t>
        </is>
      </c>
      <c r="C1314" s="16" t="inlineStr">
        <is>
          <t>Capital Markets</t>
        </is>
      </c>
      <c r="D1314" s="16" t="inlineStr">
        <is>
          <t>Banking and Finance</t>
        </is>
      </c>
      <c r="E1314" s="16" t="inlineStr">
        <is>
          <t>INE103C01036</t>
        </is>
      </c>
      <c r="F1314" s="17" t="n">
        <v>1701.38</v>
      </c>
      <c r="G1314" s="18" t="n">
        <v>81.25</v>
      </c>
      <c r="H1314" s="19" t="n">
        <v>0.023</v>
      </c>
      <c r="I1314" s="20" t="n">
        <v>70</v>
      </c>
      <c r="J1314" s="16" t="inlineStr">
        <is>
          <t>amber</t>
        </is>
      </c>
      <c r="K1314" s="20" t="n">
        <v>39</v>
      </c>
      <c r="L1314" s="18" t="n">
        <v>55.53</v>
      </c>
      <c r="M1314" s="18" t="n">
        <v>79.51000000000001</v>
      </c>
      <c r="N1314" s="18" t="n">
        <v>77.89</v>
      </c>
      <c r="O1314" s="18" t="n">
        <v>72.62</v>
      </c>
      <c r="P1314" s="18" t="n">
        <v>90.66</v>
      </c>
      <c r="Q1314" s="18" t="n">
        <v>55.13</v>
      </c>
      <c r="R1314" s="21">
        <f>IF(OR(G1314="",P1314=""),"",G1314/P1314-1)</f>
        <v/>
      </c>
      <c r="S1314" s="19" t="n">
        <v>1.5015</v>
      </c>
      <c r="T1314" s="22" t="n">
        <v>0.0186</v>
      </c>
      <c r="U1314" s="16" t="inlineStr">
        <is>
          <t>Yes</t>
        </is>
      </c>
      <c r="V1314" s="16" t="inlineStr">
        <is>
          <t>Yes</t>
        </is>
      </c>
      <c r="W1314" s="16" t="inlineStr">
        <is>
          <t>Yes</t>
        </is>
      </c>
      <c r="X1314" s="16" t="inlineStr">
        <is>
          <t>Yes</t>
        </is>
      </c>
      <c r="Y1314" s="20" t="n">
        <v>27</v>
      </c>
      <c r="Z1314" s="19" t="n">
        <v>0.0725</v>
      </c>
      <c r="AA1314" s="18" t="n">
        <v>45.91</v>
      </c>
      <c r="AB1314" s="16" t="inlineStr">
        <is>
          <t>Average</t>
        </is>
      </c>
      <c r="AC1314" s="16" t="inlineStr">
        <is>
          <t>Yes</t>
        </is>
      </c>
      <c r="AD1314" s="19" t="n">
        <v>0.1229</v>
      </c>
      <c r="AE1314" s="19" t="n">
        <v>0.1295</v>
      </c>
      <c r="AF1314" s="19" t="n">
        <v>0.0493</v>
      </c>
      <c r="AG1314" s="19" t="n">
        <v>0.1429</v>
      </c>
      <c r="AH1314" s="23" t="n">
        <v>1.56</v>
      </c>
      <c r="AI1314" s="23" t="n">
        <v>8.26</v>
      </c>
      <c r="AJ1314" s="19" t="n">
        <v>0.4092</v>
      </c>
    </row>
    <row r="1315">
      <c r="A1315" s="16" t="inlineStr">
        <is>
          <t>MOL</t>
        </is>
      </c>
      <c r="B1315" s="16" t="inlineStr">
        <is>
          <t>Meghmani Organics Ltd.</t>
        </is>
      </c>
      <c r="C1315" s="16" t="inlineStr">
        <is>
          <t>Agrochemicals</t>
        </is>
      </c>
      <c r="D1315" s="16" t="inlineStr">
        <is>
          <t>Chemicals &amp; Petrochemicals</t>
        </is>
      </c>
      <c r="E1315" s="16" t="inlineStr">
        <is>
          <t>INE0CT101020</t>
        </is>
      </c>
      <c r="F1315" s="17" t="n">
        <v>1695.26</v>
      </c>
      <c r="G1315" s="18" t="n">
        <v>66.66</v>
      </c>
      <c r="H1315" s="19" t="n">
        <v>-0.0127</v>
      </c>
      <c r="I1315" s="20" t="n">
        <v>67</v>
      </c>
      <c r="J1315" s="16" t="inlineStr">
        <is>
          <t>amber</t>
        </is>
      </c>
      <c r="K1315" s="20" t="n">
        <v>4</v>
      </c>
      <c r="L1315" s="18" t="n">
        <v>59.65</v>
      </c>
      <c r="M1315" s="18" t="n">
        <v>63.97</v>
      </c>
      <c r="N1315" s="18" t="n">
        <v>55.32</v>
      </c>
      <c r="O1315" s="18" t="n">
        <v>54.61</v>
      </c>
      <c r="P1315" s="18" t="n">
        <v>86.69</v>
      </c>
      <c r="Q1315" s="18" t="n">
        <v>36.74</v>
      </c>
      <c r="R1315" s="21">
        <f>IF(OR(G1315="",P1315=""),"",G1315/P1315-1)</f>
        <v/>
      </c>
      <c r="S1315" s="19" t="n">
        <v>0.5668</v>
      </c>
      <c r="T1315" s="22" t="n">
        <v>-0.0259</v>
      </c>
      <c r="U1315" s="16" t="inlineStr">
        <is>
          <t>No</t>
        </is>
      </c>
      <c r="V1315" s="16" t="inlineStr">
        <is>
          <t>Yes</t>
        </is>
      </c>
      <c r="W1315" s="16" t="inlineStr">
        <is>
          <t>Yes</t>
        </is>
      </c>
      <c r="X1315" s="16" t="inlineStr">
        <is>
          <t>Yes</t>
        </is>
      </c>
      <c r="Y1315" s="20" t="n">
        <v>2</v>
      </c>
      <c r="Z1315" s="19" t="n">
        <v>0.013</v>
      </c>
      <c r="AA1315" s="18" t="n">
        <v>29.14</v>
      </c>
      <c r="AB1315" s="16" t="inlineStr">
        <is>
          <t>Poor</t>
        </is>
      </c>
      <c r="AC1315" s="16" t="inlineStr">
        <is>
          <t>No</t>
        </is>
      </c>
      <c r="AD1315" s="19" t="n">
        <v>-0.0193</v>
      </c>
      <c r="AE1315" s="19" t="n">
        <v>0.0219</v>
      </c>
      <c r="AF1315" s="19" t="n">
        <v>1.0479</v>
      </c>
      <c r="AG1315" s="19" t="n">
        <v>0.0003</v>
      </c>
      <c r="AH1315" s="23" t="n">
        <v>0.47</v>
      </c>
      <c r="AI1315" s="23" t="n">
        <v>1.39</v>
      </c>
      <c r="AJ1315" s="19" t="n">
        <v>0.0503</v>
      </c>
    </row>
    <row r="1316">
      <c r="A1316" s="16" t="inlineStr">
        <is>
          <t>ACCELYA</t>
        </is>
      </c>
      <c r="B1316" s="16" t="inlineStr">
        <is>
          <t>Accelya Solutions India Ltd.</t>
        </is>
      </c>
      <c r="C1316" s="16" t="inlineStr">
        <is>
          <t>IT Consulting &amp; Software</t>
        </is>
      </c>
      <c r="D1316" s="16" t="inlineStr">
        <is>
          <t>Software &amp; Services</t>
        </is>
      </c>
      <c r="E1316" s="16" t="inlineStr">
        <is>
          <t>INE793A01012</t>
        </is>
      </c>
      <c r="F1316" s="17" t="n">
        <v>1688.16</v>
      </c>
      <c r="G1316" s="18" t="n">
        <v>1131</v>
      </c>
      <c r="H1316" s="19" t="n">
        <v>0.0012</v>
      </c>
      <c r="I1316" s="20" t="n">
        <v>27</v>
      </c>
      <c r="J1316" s="16" t="inlineStr">
        <is>
          <t>red</t>
        </is>
      </c>
      <c r="K1316" s="20" t="n">
        <v>116</v>
      </c>
      <c r="L1316" s="18" t="n">
        <v>46.26</v>
      </c>
      <c r="M1316" s="18" t="n">
        <v>1132.09</v>
      </c>
      <c r="N1316" s="18" t="n">
        <v>1131.97</v>
      </c>
      <c r="O1316" s="18" t="n">
        <v>1181.84</v>
      </c>
      <c r="P1316" s="18" t="n">
        <v>1413.18</v>
      </c>
      <c r="Q1316" s="18" t="n">
        <v>1024.6</v>
      </c>
      <c r="R1316" s="21">
        <f>IF(OR(G1316="",P1316=""),"",G1316/P1316-1)</f>
        <v/>
      </c>
      <c r="S1316" s="19" t="n">
        <v>0.4058</v>
      </c>
      <c r="T1316" s="22" t="n">
        <v>-0.016</v>
      </c>
      <c r="U1316" s="16" t="inlineStr">
        <is>
          <t>No</t>
        </is>
      </c>
      <c r="V1316" s="16" t="inlineStr">
        <is>
          <t>No</t>
        </is>
      </c>
      <c r="W1316" s="16" t="inlineStr">
        <is>
          <t>No</t>
        </is>
      </c>
      <c r="X1316" s="16" t="inlineStr">
        <is>
          <t>No</t>
        </is>
      </c>
      <c r="Y1316" s="20" t="n">
        <v>176</v>
      </c>
      <c r="Z1316" s="19" t="n">
        <v>-0.04219999999999999</v>
      </c>
      <c r="AA1316" s="18" t="n">
        <v>40</v>
      </c>
      <c r="AB1316" s="16" t="inlineStr">
        <is>
          <t>Weak</t>
        </is>
      </c>
      <c r="AC1316" s="16" t="inlineStr">
        <is>
          <t>No</t>
        </is>
      </c>
      <c r="AD1316" s="19" t="n">
        <v>0.3926</v>
      </c>
      <c r="AE1316" s="19" t="n">
        <v>0.493</v>
      </c>
      <c r="AF1316" s="19" t="n">
        <v>-0.2949</v>
      </c>
      <c r="AG1316" s="19" t="n">
        <v>0.0434</v>
      </c>
      <c r="AH1316" s="23" t="n">
        <v>0.06</v>
      </c>
      <c r="AI1316" s="23" t="n">
        <v>21.14</v>
      </c>
      <c r="AJ1316" s="19" t="n">
        <v>0.0016</v>
      </c>
    </row>
    <row r="1317">
      <c r="A1317" s="16" t="inlineStr">
        <is>
          <t>DANISH</t>
        </is>
      </c>
      <c r="B1317" s="16" t="inlineStr">
        <is>
          <t>Danish Power Ltd.</t>
        </is>
      </c>
      <c r="C1317" s="16" t="inlineStr">
        <is>
          <t>Heavy Electrical Equipment</t>
        </is>
      </c>
      <c r="D1317" s="16" t="inlineStr">
        <is>
          <t>General Industrials</t>
        </is>
      </c>
      <c r="E1317" s="16" t="inlineStr">
        <is>
          <t>INE0YU901016</t>
        </is>
      </c>
      <c r="F1317" s="17" t="n">
        <v>1681.86</v>
      </c>
      <c r="G1317" s="18" t="n"/>
      <c r="H1317" s="19" t="n"/>
      <c r="I1317" s="20" t="n"/>
      <c r="J1317" s="16" t="n"/>
      <c r="K1317" s="20" t="n"/>
      <c r="L1317" s="18" t="n"/>
      <c r="M1317" s="18" t="n"/>
      <c r="N1317" s="18" t="n"/>
      <c r="O1317" s="18" t="n"/>
      <c r="P1317" s="18" t="n"/>
      <c r="Q1317" s="18" t="n"/>
      <c r="R1317" s="21">
        <f>IF(OR(G1317="",P1317=""),"",G1317/P1317-1)</f>
        <v/>
      </c>
      <c r="S1317" s="19" t="n"/>
      <c r="T1317" s="22" t="n"/>
      <c r="U1317" s="16" t="n"/>
      <c r="V1317" s="16" t="n"/>
      <c r="W1317" s="16" t="n"/>
      <c r="X1317" s="16" t="n"/>
      <c r="Y1317" s="20" t="n"/>
      <c r="Z1317" s="19" t="n"/>
      <c r="AA1317" s="18" t="n"/>
      <c r="AB1317" s="16" t="n"/>
      <c r="AC1317" s="16" t="inlineStr">
        <is>
          <t>No</t>
        </is>
      </c>
      <c r="AD1317" s="19" t="n"/>
      <c r="AE1317" s="19" t="n"/>
      <c r="AF1317" s="19" t="n"/>
      <c r="AG1317" s="19" t="n"/>
      <c r="AH1317" s="23" t="n"/>
      <c r="AI1317" s="23" t="n"/>
      <c r="AJ1317" s="19" t="n"/>
    </row>
    <row r="1318">
      <c r="A1318" s="16" t="inlineStr">
        <is>
          <t>KPEL</t>
        </is>
      </c>
      <c r="B1318" s="16" t="inlineStr">
        <is>
          <t>K P Energy Ltd.</t>
        </is>
      </c>
      <c r="C1318" s="16" t="inlineStr">
        <is>
          <t>Power - Electric Utilities</t>
        </is>
      </c>
      <c r="D1318" s="16" t="inlineStr">
        <is>
          <t>Utilities</t>
        </is>
      </c>
      <c r="E1318" s="16" t="inlineStr">
        <is>
          <t>INE127T01021</t>
        </is>
      </c>
      <c r="F1318" s="17" t="n">
        <v>1676.78</v>
      </c>
      <c r="G1318" s="18" t="n">
        <v>247.32</v>
      </c>
      <c r="H1318" s="19" t="n">
        <v>0.0267</v>
      </c>
      <c r="I1318" s="20" t="n">
        <v>4</v>
      </c>
      <c r="J1318" s="16" t="inlineStr">
        <is>
          <t>red</t>
        </is>
      </c>
      <c r="K1318" s="20" t="n">
        <v>85</v>
      </c>
      <c r="L1318" s="18" t="n">
        <v>52.46</v>
      </c>
      <c r="M1318" s="18" t="n">
        <v>245.05</v>
      </c>
      <c r="N1318" s="18" t="n">
        <v>293.6</v>
      </c>
      <c r="O1318" s="18" t="n">
        <v>321.19</v>
      </c>
      <c r="P1318" s="18" t="n">
        <v>459</v>
      </c>
      <c r="Q1318" s="18" t="n">
        <v>240.89</v>
      </c>
      <c r="R1318" s="21">
        <f>IF(OR(G1318="",P1318=""),"",G1318/P1318-1)</f>
        <v/>
      </c>
      <c r="S1318" s="19" t="n">
        <v>1.0294</v>
      </c>
      <c r="T1318" s="22" t="n">
        <v>-0.0483</v>
      </c>
      <c r="U1318" s="16" t="inlineStr">
        <is>
          <t>No</t>
        </is>
      </c>
      <c r="V1318" s="16" t="inlineStr">
        <is>
          <t>No</t>
        </is>
      </c>
      <c r="W1318" s="16" t="inlineStr">
        <is>
          <t>Yes</t>
        </is>
      </c>
      <c r="X1318" s="16" t="inlineStr">
        <is>
          <t>No</t>
        </is>
      </c>
      <c r="Y1318" s="20" t="n">
        <v>33</v>
      </c>
      <c r="Z1318" s="19" t="n">
        <v>-0.0859</v>
      </c>
      <c r="AA1318" s="18" t="n">
        <v>66.41</v>
      </c>
      <c r="AB1318" s="16" t="inlineStr">
        <is>
          <t>High</t>
        </is>
      </c>
      <c r="AC1318" s="16" t="inlineStr">
        <is>
          <t>No</t>
        </is>
      </c>
      <c r="AD1318" s="19" t="n">
        <v>0.3431</v>
      </c>
      <c r="AE1318" s="19" t="n">
        <v>0.2753</v>
      </c>
      <c r="AF1318" s="19" t="n">
        <v>0.6193</v>
      </c>
      <c r="AG1318" s="19" t="n">
        <v>0.5533</v>
      </c>
      <c r="AH1318" s="23" t="n">
        <v>0.84</v>
      </c>
      <c r="AI1318" s="23" t="n">
        <v>2.76</v>
      </c>
      <c r="AJ1318" s="19" t="n">
        <v>0</v>
      </c>
    </row>
    <row r="1319">
      <c r="A1319" s="16" t="inlineStr">
        <is>
          <t>MTNL</t>
        </is>
      </c>
      <c r="B1319" s="16" t="inlineStr">
        <is>
          <t>Mahanagar Telephone Nigam Ltd.</t>
        </is>
      </c>
      <c r="C1319" s="16" t="inlineStr">
        <is>
          <t>Telecom Services</t>
        </is>
      </c>
      <c r="D1319" s="16" t="inlineStr">
        <is>
          <t>Telecom Services</t>
        </is>
      </c>
      <c r="E1319" s="16" t="inlineStr">
        <is>
          <t>INE153A01019</t>
        </is>
      </c>
      <c r="F1319" s="17" t="n">
        <v>1672.65</v>
      </c>
      <c r="G1319" s="18" t="n">
        <v>26.55</v>
      </c>
      <c r="H1319" s="19" t="n">
        <v>0.0049</v>
      </c>
      <c r="I1319" s="20" t="n">
        <v>9</v>
      </c>
      <c r="J1319" s="16" t="inlineStr">
        <is>
          <t>red</t>
        </is>
      </c>
      <c r="K1319" s="20" t="n">
        <v>284</v>
      </c>
      <c r="L1319" s="18" t="n">
        <v>41.31</v>
      </c>
      <c r="M1319" s="18" t="n">
        <v>26.74</v>
      </c>
      <c r="N1319" s="18" t="n">
        <v>27.73</v>
      </c>
      <c r="O1319" s="18" t="n">
        <v>30.56</v>
      </c>
      <c r="P1319" s="18" t="n">
        <v>45.23</v>
      </c>
      <c r="Q1319" s="18" t="n">
        <v>21.47</v>
      </c>
      <c r="R1319" s="21">
        <f>IF(OR(G1319="",P1319=""),"",G1319/P1319-1)</f>
        <v/>
      </c>
      <c r="S1319" s="19" t="n">
        <v>0.6244</v>
      </c>
      <c r="T1319" s="22" t="n">
        <v>-0.0455</v>
      </c>
      <c r="U1319" s="16" t="inlineStr">
        <is>
          <t>No</t>
        </is>
      </c>
      <c r="V1319" s="16" t="inlineStr">
        <is>
          <t>No</t>
        </is>
      </c>
      <c r="W1319" s="16" t="inlineStr">
        <is>
          <t>No</t>
        </is>
      </c>
      <c r="X1319" s="16" t="inlineStr">
        <is>
          <t>No</t>
        </is>
      </c>
      <c r="Y1319" s="20" t="n">
        <v>249</v>
      </c>
      <c r="Z1319" s="19" t="n">
        <v>-0.0926</v>
      </c>
      <c r="AA1319" s="18" t="n">
        <v>43.88</v>
      </c>
      <c r="AB1319" s="16" t="inlineStr">
        <is>
          <t>Average</t>
        </is>
      </c>
      <c r="AC1319" s="16" t="inlineStr">
        <is>
          <t>No</t>
        </is>
      </c>
      <c r="AD1319" s="19" t="n">
        <v>0.1218</v>
      </c>
      <c r="AE1319" s="19" t="n">
        <v>-0.0723</v>
      </c>
      <c r="AF1319" s="19" t="n">
        <v>0.2869</v>
      </c>
      <c r="AG1319" s="19" t="n">
        <v>0.0669</v>
      </c>
      <c r="AH1319" s="23" t="n">
        <v>-1.18</v>
      </c>
      <c r="AI1319" s="23" t="n">
        <v>0.41</v>
      </c>
      <c r="AJ1319" s="19" t="n">
        <v>0.0054</v>
      </c>
    </row>
    <row r="1320">
      <c r="A1320" s="16" t="inlineStr">
        <is>
          <t>QUADFUTURE</t>
        </is>
      </c>
      <c r="B1320" s="16" t="inlineStr">
        <is>
          <t>Quadrant Future Tek Ltd.</t>
        </is>
      </c>
      <c r="C1320" s="16" t="inlineStr">
        <is>
          <t>Wires &amp; Cables</t>
        </is>
      </c>
      <c r="D1320" s="16" t="inlineStr">
        <is>
          <t>Consumer Durables</t>
        </is>
      </c>
      <c r="E1320" s="16" t="inlineStr">
        <is>
          <t>INE0LRY01011</t>
        </is>
      </c>
      <c r="F1320" s="17" t="n">
        <v>1671.6</v>
      </c>
      <c r="G1320" s="18" t="n">
        <v>417.9</v>
      </c>
      <c r="H1320" s="19" t="n">
        <v>-0.0181</v>
      </c>
      <c r="I1320" s="20" t="n">
        <v>71</v>
      </c>
      <c r="J1320" s="16" t="inlineStr">
        <is>
          <t>amber</t>
        </is>
      </c>
      <c r="K1320" s="20" t="n">
        <v>6</v>
      </c>
      <c r="L1320" s="18" t="n">
        <v>66.09999999999999</v>
      </c>
      <c r="M1320" s="18" t="n">
        <v>421.61</v>
      </c>
      <c r="N1320" s="18" t="n">
        <v>396.36</v>
      </c>
      <c r="O1320" s="18" t="n">
        <v>333.13</v>
      </c>
      <c r="P1320" s="18" t="n">
        <v>483.2</v>
      </c>
      <c r="Q1320" s="18" t="n">
        <v>252.65</v>
      </c>
      <c r="R1320" s="21">
        <f>IF(OR(G1320="",P1320=""),"",G1320/P1320-1)</f>
        <v/>
      </c>
      <c r="S1320" s="19" t="n">
        <v>0.1891</v>
      </c>
      <c r="T1320" s="22" t="n">
        <v>0.0189</v>
      </c>
      <c r="U1320" s="16" t="inlineStr">
        <is>
          <t>Yes</t>
        </is>
      </c>
      <c r="V1320" s="16" t="inlineStr">
        <is>
          <t>Yes</t>
        </is>
      </c>
      <c r="W1320" s="16" t="inlineStr">
        <is>
          <t>No</t>
        </is>
      </c>
      <c r="X1320" s="16" t="inlineStr">
        <is>
          <t>Yes</t>
        </is>
      </c>
      <c r="Y1320" s="20" t="n">
        <v>52</v>
      </c>
      <c r="Z1320" s="19" t="n">
        <v>0.1898</v>
      </c>
      <c r="AA1320" s="18" t="n">
        <v>26.03</v>
      </c>
      <c r="AB1320" s="16" t="inlineStr">
        <is>
          <t>Poor</t>
        </is>
      </c>
      <c r="AC1320" s="16" t="inlineStr">
        <is>
          <t>No</t>
        </is>
      </c>
      <c r="AD1320" s="19" t="n">
        <v>0.0058</v>
      </c>
      <c r="AE1320" s="19" t="n">
        <v>-0.0134</v>
      </c>
      <c r="AF1320" s="19" t="n">
        <v>-0.7556</v>
      </c>
      <c r="AG1320" s="19" t="n">
        <v>0.0012</v>
      </c>
      <c r="AH1320" s="23" t="n">
        <v>0.09</v>
      </c>
      <c r="AI1320" s="23" t="n">
        <v>5.68</v>
      </c>
      <c r="AJ1320" s="19" t="n">
        <v>0</v>
      </c>
    </row>
    <row r="1321">
      <c r="A1321" s="16" t="inlineStr">
        <is>
          <t>STUDDS</t>
        </is>
      </c>
      <c r="B1321" s="16" t="inlineStr">
        <is>
          <t>Studds Accessories Ltd.</t>
        </is>
      </c>
      <c r="C1321" s="16" t="inlineStr">
        <is>
          <t>Auto Parts &amp; Equipment</t>
        </is>
      </c>
      <c r="D1321" s="16" t="inlineStr">
        <is>
          <t>Automobiles &amp; Auto Components</t>
        </is>
      </c>
      <c r="E1321" s="16" t="inlineStr">
        <is>
          <t>INE00Q601028</t>
        </is>
      </c>
      <c r="F1321" s="17" t="n">
        <v>1669.37</v>
      </c>
      <c r="G1321" s="18" t="n">
        <v>424.2</v>
      </c>
      <c r="H1321" s="19" t="n">
        <v>-0.0064</v>
      </c>
      <c r="I1321" s="20" t="n">
        <v>9</v>
      </c>
      <c r="J1321" s="16" t="inlineStr">
        <is>
          <t>red</t>
        </is>
      </c>
      <c r="K1321" s="20" t="n">
        <v>115</v>
      </c>
      <c r="L1321" s="18" t="n">
        <v>20.37</v>
      </c>
      <c r="M1321" s="18" t="n">
        <v>439.56</v>
      </c>
      <c r="N1321" s="18" t="n">
        <v>444.71</v>
      </c>
      <c r="O1321" s="18" t="n">
        <v>483.96</v>
      </c>
      <c r="P1321" s="18" t="n">
        <v>570.77</v>
      </c>
      <c r="Q1321" s="18" t="n">
        <v>417.75</v>
      </c>
      <c r="R1321" s="21">
        <f>IF(OR(G1321="",P1321=""),"",G1321/P1321-1)</f>
        <v/>
      </c>
      <c r="S1321" s="19" t="n">
        <v>0.6492</v>
      </c>
      <c r="T1321" s="22" t="n"/>
      <c r="U1321" s="16" t="n"/>
      <c r="V1321" s="16" t="inlineStr">
        <is>
          <t>No</t>
        </is>
      </c>
      <c r="W1321" s="16" t="inlineStr">
        <is>
          <t>No</t>
        </is>
      </c>
      <c r="X1321" s="16" t="inlineStr">
        <is>
          <t>No</t>
        </is>
      </c>
      <c r="Y1321" s="20" t="n">
        <v>10</v>
      </c>
      <c r="Z1321" s="19" t="n">
        <v>-0.08109999999999999</v>
      </c>
      <c r="AA1321" s="18" t="n">
        <v>69.27</v>
      </c>
      <c r="AB1321" s="16" t="inlineStr">
        <is>
          <t>High</t>
        </is>
      </c>
      <c r="AC1321" s="16" t="inlineStr">
        <is>
          <t>No</t>
        </is>
      </c>
      <c r="AD1321" s="19" t="n">
        <v>0.158</v>
      </c>
      <c r="AE1321" s="19" t="n">
        <v>0.2119</v>
      </c>
      <c r="AF1321" s="19" t="n"/>
      <c r="AG1321" s="19" t="n"/>
      <c r="AH1321" s="23" t="n">
        <v>0.02</v>
      </c>
      <c r="AI1321" s="23" t="n">
        <v>1.65</v>
      </c>
      <c r="AJ1321" s="19" t="n">
        <v>0.1381</v>
      </c>
    </row>
    <row r="1322">
      <c r="A1322" s="16" t="inlineStr">
        <is>
          <t>GARUDA</t>
        </is>
      </c>
      <c r="B1322" s="16" t="inlineStr">
        <is>
          <t>Garuda Construction and Engineering Ltd.</t>
        </is>
      </c>
      <c r="C1322" s="16" t="inlineStr">
        <is>
          <t>Construction &amp; Engineering</t>
        </is>
      </c>
      <c r="D1322" s="16" t="inlineStr">
        <is>
          <t>Cement and Construction</t>
        </is>
      </c>
      <c r="E1322" s="16" t="inlineStr">
        <is>
          <t>INE0JVO01026</t>
        </is>
      </c>
      <c r="F1322" s="17" t="n">
        <v>1662.93</v>
      </c>
      <c r="G1322" s="18" t="n">
        <v>178.73</v>
      </c>
      <c r="H1322" s="19" t="n">
        <v>-0.0008</v>
      </c>
      <c r="I1322" s="20" t="n">
        <v>39</v>
      </c>
      <c r="J1322" s="16" t="inlineStr">
        <is>
          <t>red</t>
        </is>
      </c>
      <c r="K1322" s="20" t="n">
        <v>38</v>
      </c>
      <c r="L1322" s="18" t="n">
        <v>44.95</v>
      </c>
      <c r="M1322" s="18" t="n">
        <v>177.17</v>
      </c>
      <c r="N1322" s="18" t="n">
        <v>178.45</v>
      </c>
      <c r="O1322" s="18" t="n">
        <v>179.24</v>
      </c>
      <c r="P1322" s="18" t="n">
        <v>242.37</v>
      </c>
      <c r="Q1322" s="18" t="n">
        <v>132.77</v>
      </c>
      <c r="R1322" s="21">
        <f>IF(OR(G1322="",P1322=""),"",G1322/P1322-1)</f>
        <v/>
      </c>
      <c r="S1322" s="19" t="n">
        <v>0.3251</v>
      </c>
      <c r="T1322" s="22" t="n">
        <v>-0.0217</v>
      </c>
      <c r="U1322" s="16" t="inlineStr">
        <is>
          <t>No</t>
        </is>
      </c>
      <c r="V1322" s="16" t="inlineStr">
        <is>
          <t>Yes</t>
        </is>
      </c>
      <c r="W1322" s="16" t="inlineStr">
        <is>
          <t>Yes</t>
        </is>
      </c>
      <c r="X1322" s="16" t="inlineStr">
        <is>
          <t>No</t>
        </is>
      </c>
      <c r="Y1322" s="20" t="n">
        <v>125</v>
      </c>
      <c r="Z1322" s="19" t="n">
        <v>-0.0044</v>
      </c>
      <c r="AA1322" s="18" t="n">
        <v>88.28</v>
      </c>
      <c r="AB1322" s="16" t="inlineStr">
        <is>
          <t>High</t>
        </is>
      </c>
      <c r="AC1322" s="16" t="inlineStr">
        <is>
          <t>No</t>
        </is>
      </c>
      <c r="AD1322" s="19" t="n">
        <v>0.242</v>
      </c>
      <c r="AE1322" s="19" t="n">
        <v>0.3263</v>
      </c>
      <c r="AF1322" s="19" t="n">
        <v>0.5406</v>
      </c>
      <c r="AG1322" s="19" t="n">
        <v>0.5937</v>
      </c>
      <c r="AH1322" s="23" t="n">
        <v>0.03</v>
      </c>
      <c r="AI1322" s="23" t="n">
        <v>121.17</v>
      </c>
      <c r="AJ1322" s="19" t="n">
        <v>0.5046</v>
      </c>
    </row>
    <row r="1323">
      <c r="A1323" s="16" t="inlineStr">
        <is>
          <t>INDOBORAX</t>
        </is>
      </c>
      <c r="B1323" s="16" t="inlineStr">
        <is>
          <t>Indo Borax &amp; Chemicals Ltd.</t>
        </is>
      </c>
      <c r="C1323" s="16" t="inlineStr">
        <is>
          <t>Commodity Chemicals</t>
        </is>
      </c>
      <c r="D1323" s="16" t="inlineStr">
        <is>
          <t>Chemicals &amp; Petrochemicals</t>
        </is>
      </c>
      <c r="E1323" s="16" t="inlineStr">
        <is>
          <t>INE803D01021</t>
        </is>
      </c>
      <c r="F1323" s="17" t="n">
        <v>1652.31</v>
      </c>
      <c r="G1323" s="18" t="n">
        <v>514.9</v>
      </c>
      <c r="H1323" s="19" t="n">
        <v>0.004099999999999999</v>
      </c>
      <c r="I1323" s="20" t="n">
        <v>95</v>
      </c>
      <c r="J1323" s="16" t="inlineStr">
        <is>
          <t>green</t>
        </is>
      </c>
      <c r="K1323" s="20" t="n">
        <v>77</v>
      </c>
      <c r="L1323" s="18" t="n">
        <v>75.64</v>
      </c>
      <c r="M1323" s="18" t="n">
        <v>507.77</v>
      </c>
      <c r="N1323" s="18" t="n">
        <v>428.15</v>
      </c>
      <c r="O1323" s="18" t="n">
        <v>294.35</v>
      </c>
      <c r="P1323" s="18" t="n">
        <v>516.05</v>
      </c>
      <c r="Q1323" s="18" t="n">
        <v>208.94</v>
      </c>
      <c r="R1323" s="21">
        <f>IF(OR(G1323="",P1323=""),"",G1323/P1323-1)</f>
        <v/>
      </c>
      <c r="S1323" s="19" t="n">
        <v>0.2319</v>
      </c>
      <c r="T1323" s="22" t="n">
        <v>0.0898</v>
      </c>
      <c r="U1323" s="16" t="inlineStr">
        <is>
          <t>Yes</t>
        </is>
      </c>
      <c r="V1323" s="16" t="inlineStr">
        <is>
          <t>Yes</t>
        </is>
      </c>
      <c r="W1323" s="16" t="inlineStr">
        <is>
          <t>Yes</t>
        </is>
      </c>
      <c r="X1323" s="16" t="inlineStr">
        <is>
          <t>Yes</t>
        </is>
      </c>
      <c r="Y1323" s="20" t="n">
        <v>84</v>
      </c>
      <c r="Z1323" s="19" t="n">
        <v>0.4545</v>
      </c>
      <c r="AA1323" s="18" t="n">
        <v>59.19</v>
      </c>
      <c r="AB1323" s="16" t="inlineStr">
        <is>
          <t>Good</t>
        </is>
      </c>
      <c r="AC1323" s="16" t="inlineStr">
        <is>
          <t>No</t>
        </is>
      </c>
      <c r="AD1323" s="19" t="n">
        <v>0.1298</v>
      </c>
      <c r="AE1323" s="19" t="n">
        <v>0.175</v>
      </c>
      <c r="AF1323" s="19" t="n">
        <v>0.0141</v>
      </c>
      <c r="AG1323" s="19" t="n">
        <v>-0.0015</v>
      </c>
      <c r="AH1323" s="23" t="n">
        <v>0</v>
      </c>
      <c r="AI1323" s="23" t="n">
        <v>21.08</v>
      </c>
      <c r="AJ1323" s="19" t="n">
        <v>0.1106</v>
      </c>
    </row>
    <row r="1324">
      <c r="A1324" s="16" t="inlineStr">
        <is>
          <t>SHALBY</t>
        </is>
      </c>
      <c r="B1324" s="16" t="inlineStr">
        <is>
          <t>Shalby Ltd.</t>
        </is>
      </c>
      <c r="C1324" s="16" t="inlineStr">
        <is>
          <t>Healthcare Facilities</t>
        </is>
      </c>
      <c r="D1324" s="16" t="inlineStr">
        <is>
          <t>Healthcare</t>
        </is>
      </c>
      <c r="E1324" s="16" t="inlineStr">
        <is>
          <t>INE597J01018</t>
        </is>
      </c>
      <c r="F1324" s="17" t="n">
        <v>1649.42</v>
      </c>
      <c r="G1324" s="18" t="n">
        <v>152.71</v>
      </c>
      <c r="H1324" s="19" t="n">
        <v>0.0005</v>
      </c>
      <c r="I1324" s="20" t="n">
        <v>16</v>
      </c>
      <c r="J1324" s="16" t="inlineStr">
        <is>
          <t>red</t>
        </is>
      </c>
      <c r="K1324" s="20" t="n">
        <v>191</v>
      </c>
      <c r="L1324" s="18" t="n">
        <v>48.78</v>
      </c>
      <c r="M1324" s="18" t="n">
        <v>153.94</v>
      </c>
      <c r="N1324" s="18" t="n">
        <v>161.92</v>
      </c>
      <c r="O1324" s="18" t="n">
        <v>168.63</v>
      </c>
      <c r="P1324" s="18" t="n">
        <v>266.83</v>
      </c>
      <c r="Q1324" s="18" t="n">
        <v>126.8</v>
      </c>
      <c r="R1324" s="21">
        <f>IF(OR(G1324="",P1324=""),"",G1324/P1324-1)</f>
        <v/>
      </c>
      <c r="S1324" s="19" t="n">
        <v>0.5014</v>
      </c>
      <c r="T1324" s="22" t="n">
        <v>-0.0457</v>
      </c>
      <c r="U1324" s="16" t="inlineStr">
        <is>
          <t>No</t>
        </is>
      </c>
      <c r="V1324" s="16" t="inlineStr">
        <is>
          <t>No</t>
        </is>
      </c>
      <c r="W1324" s="16" t="inlineStr">
        <is>
          <t>No</t>
        </is>
      </c>
      <c r="X1324" s="16" t="inlineStr">
        <is>
          <t>No</t>
        </is>
      </c>
      <c r="Y1324" s="20" t="n">
        <v>163</v>
      </c>
      <c r="Z1324" s="19" t="n">
        <v>-0.0398</v>
      </c>
      <c r="AA1324" s="18" t="n">
        <v>37.27</v>
      </c>
      <c r="AB1324" s="16" t="inlineStr">
        <is>
          <t>Weak</t>
        </is>
      </c>
      <c r="AC1324" s="16" t="inlineStr">
        <is>
          <t>No</t>
        </is>
      </c>
      <c r="AD1324" s="19" t="n">
        <v>0.0425</v>
      </c>
      <c r="AE1324" s="19" t="n">
        <v>0.0767</v>
      </c>
      <c r="AF1324" s="19" t="n">
        <v>5.4034</v>
      </c>
      <c r="AG1324" s="19" t="n">
        <v>0.1273</v>
      </c>
      <c r="AH1324" s="23" t="n">
        <v>0.59</v>
      </c>
      <c r="AI1324" s="23" t="n">
        <v>1.17</v>
      </c>
      <c r="AJ1324" s="19" t="n">
        <v>0.0004</v>
      </c>
    </row>
    <row r="1325">
      <c r="A1325" s="16" t="inlineStr">
        <is>
          <t>IKIO</t>
        </is>
      </c>
      <c r="B1325" s="16" t="inlineStr">
        <is>
          <t>IKIO Technologies Ltd.</t>
        </is>
      </c>
      <c r="C1325" s="16" t="inlineStr">
        <is>
          <t>Consumer Electronics</t>
        </is>
      </c>
      <c r="D1325" s="16" t="inlineStr">
        <is>
          <t>Consumer Durables</t>
        </is>
      </c>
      <c r="E1325" s="16" t="inlineStr">
        <is>
          <t>INE0LOJ01019</t>
        </is>
      </c>
      <c r="F1325" s="17" t="n">
        <v>1640.98</v>
      </c>
      <c r="G1325" s="18" t="n">
        <v>212.34</v>
      </c>
      <c r="H1325" s="19" t="n">
        <v>0.0193</v>
      </c>
      <c r="I1325" s="20" t="n">
        <v>74</v>
      </c>
      <c r="J1325" s="16" t="inlineStr">
        <is>
          <t>amber</t>
        </is>
      </c>
      <c r="K1325" s="20" t="n">
        <v>35</v>
      </c>
      <c r="L1325" s="18" t="n">
        <v>57.88</v>
      </c>
      <c r="M1325" s="18" t="n">
        <v>205.22</v>
      </c>
      <c r="N1325" s="18" t="n">
        <v>200.25</v>
      </c>
      <c r="O1325" s="18" t="n">
        <v>167.12</v>
      </c>
      <c r="P1325" s="18" t="n">
        <v>228.12</v>
      </c>
      <c r="Q1325" s="18" t="n">
        <v>107.33</v>
      </c>
      <c r="R1325" s="21">
        <f>IF(OR(G1325="",P1325=""),"",G1325/P1325-1)</f>
        <v/>
      </c>
      <c r="S1325" s="19" t="n">
        <v>1.8191</v>
      </c>
      <c r="T1325" s="22" t="n">
        <v>-0.0021</v>
      </c>
      <c r="U1325" s="16" t="inlineStr">
        <is>
          <t>No</t>
        </is>
      </c>
      <c r="V1325" s="16" t="inlineStr">
        <is>
          <t>Yes</t>
        </is>
      </c>
      <c r="W1325" s="16" t="inlineStr">
        <is>
          <t>Yes</t>
        </is>
      </c>
      <c r="X1325" s="16" t="inlineStr">
        <is>
          <t>Yes</t>
        </is>
      </c>
      <c r="Y1325" s="20" t="n">
        <v>35</v>
      </c>
      <c r="Z1325" s="19" t="n">
        <v>0.1982</v>
      </c>
      <c r="AA1325" s="18" t="n">
        <v>40</v>
      </c>
      <c r="AB1325" s="16" t="inlineStr">
        <is>
          <t>Weak</t>
        </is>
      </c>
      <c r="AC1325" s="16" t="inlineStr">
        <is>
          <t>No</t>
        </is>
      </c>
      <c r="AD1325" s="19" t="n">
        <v>0.07580000000000001</v>
      </c>
      <c r="AE1325" s="19" t="n">
        <v>0.1006</v>
      </c>
      <c r="AF1325" s="19" t="n">
        <v>-0.0231</v>
      </c>
      <c r="AG1325" s="19" t="n">
        <v>0.1851</v>
      </c>
      <c r="AH1325" s="23" t="n">
        <v>0.12</v>
      </c>
      <c r="AI1325" s="23" t="n">
        <v>1.99</v>
      </c>
      <c r="AJ1325" s="19" t="n">
        <v>0.3395</v>
      </c>
    </row>
    <row r="1326">
      <c r="A1326" s="16" t="inlineStr">
        <is>
          <t>ASIANHOTNR</t>
        </is>
      </c>
      <c r="B1326" s="16" t="inlineStr">
        <is>
          <t>Asian Hotels (North) Ltd.</t>
        </is>
      </c>
      <c r="C1326" s="16" t="inlineStr">
        <is>
          <t>Hotels</t>
        </is>
      </c>
      <c r="D1326" s="16" t="inlineStr">
        <is>
          <t>Hotels Restaurants &amp; Tourism</t>
        </is>
      </c>
      <c r="E1326" s="16" t="inlineStr">
        <is>
          <t>INE363A01022</t>
        </is>
      </c>
      <c r="F1326" s="17" t="n">
        <v>1640.31</v>
      </c>
      <c r="G1326" s="18" t="n">
        <v>384.75</v>
      </c>
      <c r="H1326" s="19" t="n">
        <v>0.0023</v>
      </c>
      <c r="I1326" s="20" t="n">
        <v>70</v>
      </c>
      <c r="J1326" s="16" t="inlineStr">
        <is>
          <t>amber</t>
        </is>
      </c>
      <c r="K1326" s="20" t="n">
        <v>5</v>
      </c>
      <c r="L1326" s="18" t="n">
        <v>90.88</v>
      </c>
      <c r="M1326" s="18" t="n">
        <v>352.35</v>
      </c>
      <c r="N1326" s="18" t="n">
        <v>313.82</v>
      </c>
      <c r="O1326" s="18" t="n">
        <v>307.22</v>
      </c>
      <c r="P1326" s="18" t="n">
        <v>384.75</v>
      </c>
      <c r="Q1326" s="18" t="n">
        <v>255</v>
      </c>
      <c r="R1326" s="21">
        <f>IF(OR(G1326="",P1326=""),"",G1326/P1326-1)</f>
        <v/>
      </c>
      <c r="S1326" s="19" t="n">
        <v>0.1313</v>
      </c>
      <c r="T1326" s="22" t="n">
        <v>-0.0022</v>
      </c>
      <c r="U1326" s="16" t="inlineStr">
        <is>
          <t>No</t>
        </is>
      </c>
      <c r="V1326" s="16" t="inlineStr">
        <is>
          <t>Yes</t>
        </is>
      </c>
      <c r="W1326" s="16" t="inlineStr">
        <is>
          <t>Yes</t>
        </is>
      </c>
      <c r="X1326" s="16" t="inlineStr">
        <is>
          <t>Yes</t>
        </is>
      </c>
      <c r="Y1326" s="20" t="n">
        <v>6</v>
      </c>
      <c r="Z1326" s="19" t="n">
        <v>0.0215</v>
      </c>
      <c r="AA1326" s="18" t="n">
        <v>38.32</v>
      </c>
      <c r="AB1326" s="16" t="inlineStr">
        <is>
          <t>Weak</t>
        </is>
      </c>
      <c r="AC1326" s="16" t="inlineStr">
        <is>
          <t>No</t>
        </is>
      </c>
      <c r="AD1326" s="19" t="n">
        <v>-0.1885</v>
      </c>
      <c r="AE1326" s="19" t="n">
        <v>0.142</v>
      </c>
      <c r="AF1326" s="19" t="n">
        <v>0.5503</v>
      </c>
      <c r="AG1326" s="19" t="n">
        <v>0.1016</v>
      </c>
      <c r="AH1326" s="23" t="n">
        <v>0.36</v>
      </c>
      <c r="AI1326" s="23" t="n">
        <v>0.25</v>
      </c>
      <c r="AJ1326" s="19" t="n">
        <v>0</v>
      </c>
    </row>
    <row r="1327">
      <c r="A1327" s="16" t="inlineStr">
        <is>
          <t>PNGSREVA</t>
        </is>
      </c>
      <c r="B1327" s="16" t="inlineStr">
        <is>
          <t>PNGS Reva Diamond Jewellery Ltd.</t>
        </is>
      </c>
      <c r="C1327" s="16" t="inlineStr">
        <is>
          <t>Gems &amp; Jewellery</t>
        </is>
      </c>
      <c r="D1327" s="16" t="inlineStr">
        <is>
          <t>Textiles Apparels &amp; Accessories</t>
        </is>
      </c>
      <c r="E1327" s="16" t="inlineStr">
        <is>
          <t>INE1RDG01013</t>
        </is>
      </c>
      <c r="F1327" s="17" t="n">
        <v>1636.75</v>
      </c>
      <c r="G1327" s="18" t="n">
        <v>516.35</v>
      </c>
      <c r="H1327" s="19" t="n">
        <v>0.0001</v>
      </c>
      <c r="I1327" s="20" t="n">
        <v>77</v>
      </c>
      <c r="J1327" s="16" t="inlineStr">
        <is>
          <t>amber</t>
        </is>
      </c>
      <c r="K1327" s="20" t="n">
        <v>4</v>
      </c>
      <c r="L1327" s="18" t="n">
        <v>26</v>
      </c>
      <c r="M1327" s="18" t="n">
        <v>530.37</v>
      </c>
      <c r="N1327" s="18" t="n">
        <v>475.99</v>
      </c>
      <c r="O1327" s="18" t="n"/>
      <c r="P1327" s="18" t="n">
        <v>620.75</v>
      </c>
      <c r="Q1327" s="18" t="n">
        <v>331.8</v>
      </c>
      <c r="R1327" s="21">
        <f>IF(OR(G1327="",P1327=""),"",G1327/P1327-1)</f>
        <v/>
      </c>
      <c r="S1327" s="19" t="n">
        <v>0.1605</v>
      </c>
      <c r="T1327" s="22" t="n"/>
      <c r="U1327" s="16" t="n"/>
      <c r="V1327" s="16" t="inlineStr">
        <is>
          <t>Yes</t>
        </is>
      </c>
      <c r="W1327" s="16" t="inlineStr">
        <is>
          <t>No</t>
        </is>
      </c>
      <c r="X1327" s="16" t="n"/>
      <c r="Y1327" s="20" t="n"/>
      <c r="Z1327" s="19" t="n"/>
      <c r="AA1327" s="18" t="n">
        <v>48.34</v>
      </c>
      <c r="AB1327" s="16" t="inlineStr">
        <is>
          <t>Average</t>
        </is>
      </c>
      <c r="AC1327" s="16" t="inlineStr">
        <is>
          <t>No</t>
        </is>
      </c>
      <c r="AD1327" s="19" t="n">
        <v>-0.4324</v>
      </c>
      <c r="AE1327" s="19" t="n">
        <v>-0.5995</v>
      </c>
      <c r="AF1327" s="19" t="n">
        <v>3.878</v>
      </c>
      <c r="AG1327" s="19" t="n">
        <v>1.7077</v>
      </c>
      <c r="AH1327" s="23" t="n">
        <v>0.33</v>
      </c>
      <c r="AI1327" s="23" t="n">
        <v>73.29000000000001</v>
      </c>
      <c r="AJ1327" s="19" t="n">
        <v>0</v>
      </c>
    </row>
    <row r="1328">
      <c r="A1328" s="16" t="inlineStr">
        <is>
          <t>WENDT</t>
        </is>
      </c>
      <c r="B1328" s="16" t="inlineStr">
        <is>
          <t>Wendt (India) Ltd.</t>
        </is>
      </c>
      <c r="C1328" s="16" t="inlineStr">
        <is>
          <t>Abrasives &amp; Bearings</t>
        </is>
      </c>
      <c r="D1328" s="16" t="inlineStr">
        <is>
          <t>General Industrials</t>
        </is>
      </c>
      <c r="E1328" s="16" t="inlineStr">
        <is>
          <t>INE274C01019</t>
        </is>
      </c>
      <c r="F1328" s="17" t="n">
        <v>1632</v>
      </c>
      <c r="G1328" s="18" t="n">
        <v>8160</v>
      </c>
      <c r="H1328" s="19" t="n">
        <v>-0.0177</v>
      </c>
      <c r="I1328" s="20" t="n">
        <v>55</v>
      </c>
      <c r="J1328" s="16" t="inlineStr">
        <is>
          <t>red</t>
        </is>
      </c>
      <c r="K1328" s="20" t="n">
        <v>405</v>
      </c>
      <c r="L1328" s="18" t="n">
        <v>51.49</v>
      </c>
      <c r="M1328" s="18" t="n">
        <v>8187.75</v>
      </c>
      <c r="N1328" s="18" t="n">
        <v>8010.68</v>
      </c>
      <c r="O1328" s="18" t="n">
        <v>7396.45</v>
      </c>
      <c r="P1328" s="18" t="n">
        <v>10219.76</v>
      </c>
      <c r="Q1328" s="18" t="n">
        <v>5916.89</v>
      </c>
      <c r="R1328" s="21">
        <f>IF(OR(G1328="",P1328=""),"",G1328/P1328-1)</f>
        <v/>
      </c>
      <c r="S1328" s="19" t="n">
        <v>0.4805</v>
      </c>
      <c r="T1328" s="22" t="n">
        <v>-0.005500000000000001</v>
      </c>
      <c r="U1328" s="16" t="inlineStr">
        <is>
          <t>No</t>
        </is>
      </c>
      <c r="V1328" s="16" t="inlineStr">
        <is>
          <t>Yes</t>
        </is>
      </c>
      <c r="W1328" s="16" t="inlineStr">
        <is>
          <t>No</t>
        </is>
      </c>
      <c r="X1328" s="16" t="inlineStr">
        <is>
          <t>Yes</t>
        </is>
      </c>
      <c r="Y1328" s="20" t="n">
        <v>30</v>
      </c>
      <c r="Z1328" s="19" t="n">
        <v>0.083</v>
      </c>
      <c r="AA1328" s="18" t="n">
        <v>40</v>
      </c>
      <c r="AB1328" s="16" t="inlineStr">
        <is>
          <t>Weak</t>
        </is>
      </c>
      <c r="AC1328" s="16" t="inlineStr">
        <is>
          <t>No</t>
        </is>
      </c>
      <c r="AD1328" s="19" t="n">
        <v>0.1375</v>
      </c>
      <c r="AE1328" s="19" t="n">
        <v>0.1849</v>
      </c>
      <c r="AF1328" s="19" t="n">
        <v>-0.2153</v>
      </c>
      <c r="AG1328" s="19" t="n">
        <v>0.04099999999999999</v>
      </c>
      <c r="AH1328" s="23" t="n">
        <v>0</v>
      </c>
      <c r="AI1328" s="23" t="n">
        <v>2.98</v>
      </c>
      <c r="AJ1328" s="19" t="n">
        <v>0.0541</v>
      </c>
    </row>
    <row r="1329">
      <c r="A1329" s="16" t="inlineStr">
        <is>
          <t>MOTISONS</t>
        </is>
      </c>
      <c r="B1329" s="16" t="inlineStr">
        <is>
          <t>Motisons Jewellers Ltd.</t>
        </is>
      </c>
      <c r="C1329" s="16" t="inlineStr">
        <is>
          <t>Gems &amp; Jewellery</t>
        </is>
      </c>
      <c r="D1329" s="16" t="inlineStr">
        <is>
          <t>Textiles Apparels &amp; Accessories</t>
        </is>
      </c>
      <c r="E1329" s="16" t="inlineStr">
        <is>
          <t>INE0FRK01020</t>
        </is>
      </c>
      <c r="F1329" s="17" t="n">
        <v>1622.39</v>
      </c>
      <c r="G1329" s="18" t="n">
        <v>16.48</v>
      </c>
      <c r="H1329" s="19" t="n">
        <v>0.0722</v>
      </c>
      <c r="I1329" s="20" t="n">
        <v>60</v>
      </c>
      <c r="J1329" s="16" t="inlineStr">
        <is>
          <t>amber</t>
        </is>
      </c>
      <c r="K1329" s="20" t="n">
        <v>1</v>
      </c>
      <c r="L1329" s="18" t="n">
        <v>49.35</v>
      </c>
      <c r="M1329" s="18" t="n">
        <v>16.09</v>
      </c>
      <c r="N1329" s="18" t="n">
        <v>14.86</v>
      </c>
      <c r="O1329" s="18" t="n">
        <v>14.11</v>
      </c>
      <c r="P1329" s="18" t="n">
        <v>19.56</v>
      </c>
      <c r="Q1329" s="18" t="n">
        <v>10.83</v>
      </c>
      <c r="R1329" s="21">
        <f>IF(OR(G1329="",P1329=""),"",G1329/P1329-1)</f>
        <v/>
      </c>
      <c r="S1329" s="19" t="n">
        <v>2.1712</v>
      </c>
      <c r="T1329" s="22" t="n">
        <v>-0.0053</v>
      </c>
      <c r="U1329" s="16" t="inlineStr">
        <is>
          <t>No</t>
        </is>
      </c>
      <c r="V1329" s="16" t="inlineStr">
        <is>
          <t>Yes</t>
        </is>
      </c>
      <c r="W1329" s="16" t="inlineStr">
        <is>
          <t>Yes</t>
        </is>
      </c>
      <c r="X1329" s="16" t="inlineStr">
        <is>
          <t>Yes</t>
        </is>
      </c>
      <c r="Y1329" s="20" t="n">
        <v>15</v>
      </c>
      <c r="Z1329" s="19" t="n">
        <v>0.053</v>
      </c>
      <c r="AA1329" s="18" t="n">
        <v>60.42</v>
      </c>
      <c r="AB1329" s="16" t="inlineStr">
        <is>
          <t>Good</t>
        </is>
      </c>
      <c r="AC1329" s="16" t="inlineStr">
        <is>
          <t>No</t>
        </is>
      </c>
      <c r="AD1329" s="19" t="n">
        <v>0.1101</v>
      </c>
      <c r="AE1329" s="19" t="n">
        <v>0.1502</v>
      </c>
      <c r="AF1329" s="19" t="n">
        <v>0.4646</v>
      </c>
      <c r="AG1329" s="19" t="n">
        <v>0.1021</v>
      </c>
      <c r="AH1329" s="23" t="n">
        <v>0.08</v>
      </c>
      <c r="AI1329" s="23" t="n">
        <v>96.37</v>
      </c>
      <c r="AJ1329" s="19" t="n">
        <v>0</v>
      </c>
    </row>
    <row r="1330">
      <c r="A1330" s="16" t="inlineStr">
        <is>
          <t>AVADHSUGAR</t>
        </is>
      </c>
      <c r="B1330" s="16" t="inlineStr">
        <is>
          <t>Avadh Sugar &amp; Energy Ltd.</t>
        </is>
      </c>
      <c r="C1330" s="16" t="inlineStr">
        <is>
          <t>Sugar</t>
        </is>
      </c>
      <c r="D1330" s="16" t="inlineStr">
        <is>
          <t>Food, Beverages &amp; Tobacco</t>
        </is>
      </c>
      <c r="E1330" s="16" t="inlineStr">
        <is>
          <t>INE349W01017</t>
        </is>
      </c>
      <c r="F1330" s="17" t="n">
        <v>1620.49</v>
      </c>
      <c r="G1330" s="18" t="n">
        <v>809.5</v>
      </c>
      <c r="H1330" s="19" t="n">
        <v>-0.026</v>
      </c>
      <c r="I1330" s="20" t="n">
        <v>94</v>
      </c>
      <c r="J1330" s="16" t="inlineStr">
        <is>
          <t>green</t>
        </is>
      </c>
      <c r="K1330" s="20" t="n">
        <v>25</v>
      </c>
      <c r="L1330" s="18" t="n">
        <v>63.24</v>
      </c>
      <c r="M1330" s="18" t="n">
        <v>822.4</v>
      </c>
      <c r="N1330" s="18" t="n">
        <v>621.24</v>
      </c>
      <c r="O1330" s="18" t="n">
        <v>457.43</v>
      </c>
      <c r="P1330" s="18" t="n">
        <v>855.3</v>
      </c>
      <c r="Q1330" s="18" t="n">
        <v>305.41</v>
      </c>
      <c r="R1330" s="21">
        <f>IF(OR(G1330="",P1330=""),"",G1330/P1330-1)</f>
        <v/>
      </c>
      <c r="S1330" s="19" t="n">
        <v>0.1995</v>
      </c>
      <c r="T1330" s="22" t="n">
        <v>0.08529999999999999</v>
      </c>
      <c r="U1330" s="16" t="inlineStr">
        <is>
          <t>Yes</t>
        </is>
      </c>
      <c r="V1330" s="16" t="inlineStr">
        <is>
          <t>Yes</t>
        </is>
      </c>
      <c r="W1330" s="16" t="inlineStr">
        <is>
          <t>No</t>
        </is>
      </c>
      <c r="X1330" s="16" t="inlineStr">
        <is>
          <t>Yes</t>
        </is>
      </c>
      <c r="Y1330" s="20" t="n">
        <v>96</v>
      </c>
      <c r="Z1330" s="19" t="n">
        <v>0.3581</v>
      </c>
      <c r="AA1330" s="18" t="n">
        <v>22.35</v>
      </c>
      <c r="AB1330" s="16" t="inlineStr">
        <is>
          <t>Poor</t>
        </is>
      </c>
      <c r="AC1330" s="16" t="inlineStr">
        <is>
          <t>No</t>
        </is>
      </c>
      <c r="AD1330" s="19" t="n">
        <v>0.0852</v>
      </c>
      <c r="AE1330" s="19" t="n">
        <v>0.09080000000000001</v>
      </c>
      <c r="AF1330" s="19" t="n">
        <v>-0.1279</v>
      </c>
      <c r="AG1330" s="19" t="n">
        <v>-0.0119</v>
      </c>
      <c r="AH1330" s="23" t="n">
        <v>1.25</v>
      </c>
      <c r="AI1330" s="23" t="n">
        <v>2.1</v>
      </c>
      <c r="AJ1330" s="19" t="n">
        <v>0.007800000000000001</v>
      </c>
    </row>
    <row r="1331">
      <c r="A1331" s="16" t="inlineStr">
        <is>
          <t>SURYODAY</t>
        </is>
      </c>
      <c r="B1331" s="16" t="inlineStr">
        <is>
          <t>Suryoday Small Finance Bank Ltd.</t>
        </is>
      </c>
      <c r="C1331" s="16" t="inlineStr">
        <is>
          <t>Microfinance Institutions</t>
        </is>
      </c>
      <c r="D1331" s="16" t="inlineStr">
        <is>
          <t>Banking and Finance</t>
        </is>
      </c>
      <c r="E1331" s="16" t="inlineStr">
        <is>
          <t>INE428Q01011</t>
        </is>
      </c>
      <c r="F1331" s="17" t="n">
        <v>1616.45</v>
      </c>
      <c r="G1331" s="18" t="n">
        <v>152.07</v>
      </c>
      <c r="H1331" s="19" t="n">
        <v>-0.0098</v>
      </c>
      <c r="I1331" s="20" t="n">
        <v>47</v>
      </c>
      <c r="J1331" s="16" t="inlineStr">
        <is>
          <t>red</t>
        </is>
      </c>
      <c r="K1331" s="20" t="n">
        <v>7</v>
      </c>
      <c r="L1331" s="18" t="n">
        <v>47.37</v>
      </c>
      <c r="M1331" s="18" t="n">
        <v>153.95</v>
      </c>
      <c r="N1331" s="18" t="n">
        <v>167.98</v>
      </c>
      <c r="O1331" s="18" t="n">
        <v>149.28</v>
      </c>
      <c r="P1331" s="18" t="n">
        <v>194.31</v>
      </c>
      <c r="Q1331" s="18" t="n">
        <v>115.5</v>
      </c>
      <c r="R1331" s="21">
        <f>IF(OR(G1331="",P1331=""),"",G1331/P1331-1)</f>
        <v/>
      </c>
      <c r="S1331" s="19" t="n">
        <v>0.1179</v>
      </c>
      <c r="T1331" s="22" t="n">
        <v>0.0064</v>
      </c>
      <c r="U1331" s="16" t="inlineStr">
        <is>
          <t>Yes</t>
        </is>
      </c>
      <c r="V1331" s="16" t="inlineStr">
        <is>
          <t>No</t>
        </is>
      </c>
      <c r="W1331" s="16" t="inlineStr">
        <is>
          <t>No</t>
        </is>
      </c>
      <c r="X1331" s="16" t="inlineStr">
        <is>
          <t>Yes</t>
        </is>
      </c>
      <c r="Y1331" s="20" t="n">
        <v>85</v>
      </c>
      <c r="Z1331" s="19" t="n">
        <v>0.1252</v>
      </c>
      <c r="AA1331" s="18" t="n">
        <v>57.62</v>
      </c>
      <c r="AB1331" s="16" t="inlineStr">
        <is>
          <t>Good</t>
        </is>
      </c>
      <c r="AC1331" s="16" t="inlineStr">
        <is>
          <t>Yes</t>
        </is>
      </c>
      <c r="AD1331" s="19" t="n">
        <v>0.08410000000000001</v>
      </c>
      <c r="AE1331" s="19" t="n"/>
      <c r="AF1331" s="19" t="n">
        <v>0.5385</v>
      </c>
      <c r="AG1331" s="19" t="n">
        <v>0.2073</v>
      </c>
      <c r="AH1331" s="23" t="n">
        <v>1.37</v>
      </c>
      <c r="AI1331" s="23" t="n">
        <v>4.89</v>
      </c>
      <c r="AJ1331" s="19" t="n">
        <v>0.0163</v>
      </c>
    </row>
    <row r="1332">
      <c r="A1332" s="16" t="inlineStr">
        <is>
          <t>MMWL</t>
        </is>
      </c>
      <c r="B1332" s="16" t="inlineStr">
        <is>
          <t>Media Matrix Worldwide Ltd.</t>
        </is>
      </c>
      <c r="C1332" s="16" t="inlineStr">
        <is>
          <t>Advertising &amp; Media</t>
        </is>
      </c>
      <c r="D1332" s="16" t="inlineStr">
        <is>
          <t>Media</t>
        </is>
      </c>
      <c r="E1332" s="16" t="inlineStr">
        <is>
          <t>INE200D01020</t>
        </is>
      </c>
      <c r="F1332" s="17" t="n">
        <v>1615.29</v>
      </c>
      <c r="G1332" s="18" t="n">
        <v>14.26</v>
      </c>
      <c r="H1332" s="19" t="n">
        <v>-0.0159</v>
      </c>
      <c r="I1332" s="20" t="n">
        <v>62</v>
      </c>
      <c r="J1332" s="16" t="inlineStr">
        <is>
          <t>amber</t>
        </is>
      </c>
      <c r="K1332" s="20" t="n">
        <v>21</v>
      </c>
      <c r="L1332" s="18" t="n">
        <v>40.85</v>
      </c>
      <c r="M1332" s="18" t="n">
        <v>14.69</v>
      </c>
      <c r="N1332" s="18" t="n">
        <v>14.3</v>
      </c>
      <c r="O1332" s="18" t="n">
        <v>11.82</v>
      </c>
      <c r="P1332" s="18" t="n">
        <v>16.13</v>
      </c>
      <c r="Q1332" s="18" t="n">
        <v>8.5</v>
      </c>
      <c r="R1332" s="21">
        <f>IF(OR(G1332="",P1332=""),"",G1332/P1332-1)</f>
        <v/>
      </c>
      <c r="S1332" s="19" t="n">
        <v>0.04269999999999999</v>
      </c>
      <c r="T1332" s="22" t="n">
        <v>0.0261</v>
      </c>
      <c r="U1332" s="16" t="inlineStr">
        <is>
          <t>Yes</t>
        </is>
      </c>
      <c r="V1332" s="16" t="inlineStr">
        <is>
          <t>No</t>
        </is>
      </c>
      <c r="W1332" s="16" t="inlineStr">
        <is>
          <t>No</t>
        </is>
      </c>
      <c r="X1332" s="16" t="inlineStr">
        <is>
          <t>Yes</t>
        </is>
      </c>
      <c r="Y1332" s="20" t="n">
        <v>71</v>
      </c>
      <c r="Z1332" s="19" t="n">
        <v>0.2092</v>
      </c>
      <c r="AA1332" s="18" t="n"/>
      <c r="AB1332" s="16" t="n"/>
      <c r="AC1332" s="16" t="inlineStr">
        <is>
          <t>No</t>
        </is>
      </c>
      <c r="AD1332" s="19" t="n"/>
      <c r="AE1332" s="19" t="n"/>
      <c r="AF1332" s="19" t="n"/>
      <c r="AG1332" s="19" t="n"/>
      <c r="AH1332" s="23" t="n"/>
      <c r="AI1332" s="23" t="n"/>
      <c r="AJ1332" s="19" t="n"/>
    </row>
    <row r="1333">
      <c r="A1333" s="16" t="inlineStr">
        <is>
          <t>BLIL</t>
        </is>
      </c>
      <c r="B1333" s="16" t="inlineStr">
        <is>
          <t>Balmer Lawrie Investments Ltd.</t>
        </is>
      </c>
      <c r="C1333" s="16" t="inlineStr">
        <is>
          <t>Finance (including NBFCs)</t>
        </is>
      </c>
      <c r="D1333" s="16" t="inlineStr">
        <is>
          <t>Banking and Finance</t>
        </is>
      </c>
      <c r="E1333" s="16" t="inlineStr">
        <is>
          <t>INE525F01025</t>
        </is>
      </c>
      <c r="F1333" s="17" t="n">
        <v>1610.86</v>
      </c>
      <c r="G1333" s="18" t="n">
        <v>72.56999999999999</v>
      </c>
      <c r="H1333" s="19" t="n">
        <v>0.0018</v>
      </c>
      <c r="I1333" s="20" t="n">
        <v>37</v>
      </c>
      <c r="J1333" s="16" t="inlineStr">
        <is>
          <t>red</t>
        </is>
      </c>
      <c r="K1333" s="20" t="n">
        <v>79</v>
      </c>
      <c r="L1333" s="18" t="n">
        <v>83.73</v>
      </c>
      <c r="M1333" s="18" t="n">
        <v>72.17</v>
      </c>
      <c r="N1333" s="18" t="n">
        <v>70.93000000000001</v>
      </c>
      <c r="O1333" s="18" t="n">
        <v>70.93000000000001</v>
      </c>
      <c r="P1333" s="18" t="n">
        <v>87.83</v>
      </c>
      <c r="Q1333" s="18" t="n">
        <v>65.34999999999999</v>
      </c>
      <c r="R1333" s="21">
        <f>IF(OR(G1333="",P1333=""),"",G1333/P1333-1)</f>
        <v/>
      </c>
      <c r="S1333" s="19" t="n">
        <v>2.0715</v>
      </c>
      <c r="T1333" s="22" t="n">
        <v>-0.0063</v>
      </c>
      <c r="U1333" s="16" t="inlineStr">
        <is>
          <t>No</t>
        </is>
      </c>
      <c r="V1333" s="16" t="inlineStr">
        <is>
          <t>Yes</t>
        </is>
      </c>
      <c r="W1333" s="16" t="inlineStr">
        <is>
          <t>Yes</t>
        </is>
      </c>
      <c r="X1333" s="16" t="inlineStr">
        <is>
          <t>No</t>
        </is>
      </c>
      <c r="Y1333" s="20" t="n">
        <v>35</v>
      </c>
      <c r="Z1333" s="19" t="n">
        <v>0</v>
      </c>
      <c r="AA1333" s="18" t="n"/>
      <c r="AB1333" s="16" t="n"/>
      <c r="AC1333" s="16" t="inlineStr">
        <is>
          <t>No</t>
        </is>
      </c>
      <c r="AD1333" s="19" t="n"/>
      <c r="AE1333" s="19" t="n"/>
      <c r="AF1333" s="19" t="n"/>
      <c r="AG1333" s="19" t="n"/>
      <c r="AH1333" s="23" t="n"/>
      <c r="AI1333" s="23" t="n"/>
      <c r="AJ1333" s="19" t="n"/>
    </row>
    <row r="1334">
      <c r="A1334" s="16" t="inlineStr">
        <is>
          <t>BGDL</t>
        </is>
      </c>
      <c r="B1334" s="16" t="inlineStr">
        <is>
          <t>Bharat Global Developers Ltd.</t>
        </is>
      </c>
      <c r="C1334" s="16" t="inlineStr">
        <is>
          <t>Computer Hardware</t>
        </is>
      </c>
      <c r="D1334" s="16" t="inlineStr">
        <is>
          <t>Hardware Technology &amp; Equipment</t>
        </is>
      </c>
      <c r="E1334" s="16" t="inlineStr">
        <is>
          <t>INE893C01032</t>
        </is>
      </c>
      <c r="F1334" s="17" t="n">
        <v>1608</v>
      </c>
      <c r="G1334" s="18" t="n">
        <v>158.8</v>
      </c>
      <c r="H1334" s="19" t="n">
        <v>0.09970000000000001</v>
      </c>
      <c r="I1334" s="20" t="n">
        <v>83</v>
      </c>
      <c r="J1334" s="16" t="inlineStr">
        <is>
          <t>green</t>
        </is>
      </c>
      <c r="K1334" s="20" t="n">
        <v>1</v>
      </c>
      <c r="L1334" s="18" t="n">
        <v>79.17</v>
      </c>
      <c r="M1334" s="18" t="n">
        <v>123.7</v>
      </c>
      <c r="N1334" s="18" t="n">
        <v>96.45999999999999</v>
      </c>
      <c r="O1334" s="18" t="n">
        <v>112.17</v>
      </c>
      <c r="P1334" s="18" t="n">
        <v>324.1</v>
      </c>
      <c r="Q1334" s="18" t="n">
        <v>78.78</v>
      </c>
      <c r="R1334" s="21">
        <f>IF(OR(G1334="",P1334=""),"",G1334/P1334-1)</f>
        <v/>
      </c>
      <c r="S1334" s="19" t="n">
        <v>2.2676</v>
      </c>
      <c r="T1334" s="22" t="n">
        <v>-0.07530000000000001</v>
      </c>
      <c r="U1334" s="16" t="inlineStr">
        <is>
          <t>No</t>
        </is>
      </c>
      <c r="V1334" s="16" t="inlineStr">
        <is>
          <t>Yes</t>
        </is>
      </c>
      <c r="W1334" s="16" t="inlineStr">
        <is>
          <t>Yes</t>
        </is>
      </c>
      <c r="X1334" s="16" t="inlineStr">
        <is>
          <t>No</t>
        </is>
      </c>
      <c r="Y1334" s="20" t="n">
        <v>322</v>
      </c>
      <c r="Z1334" s="19" t="n">
        <v>-0.1401</v>
      </c>
      <c r="AA1334" s="18" t="n"/>
      <c r="AB1334" s="16" t="n"/>
      <c r="AC1334" s="16" t="inlineStr">
        <is>
          <t>No</t>
        </is>
      </c>
      <c r="AD1334" s="19" t="n"/>
      <c r="AE1334" s="19" t="n"/>
      <c r="AF1334" s="19" t="n"/>
      <c r="AG1334" s="19" t="n"/>
      <c r="AH1334" s="23" t="n"/>
      <c r="AI1334" s="23" t="n"/>
      <c r="AJ1334" s="19" t="n"/>
    </row>
    <row r="1335">
      <c r="A1335" s="16" t="inlineStr">
        <is>
          <t>AEROENTER</t>
        </is>
      </c>
      <c r="B1335" s="16" t="inlineStr">
        <is>
          <t>Aeroflex Enterprises Ltd.</t>
        </is>
      </c>
      <c r="C1335" s="16" t="inlineStr">
        <is>
          <t>Iron &amp; Steel Products</t>
        </is>
      </c>
      <c r="D1335" s="16" t="inlineStr">
        <is>
          <t>Metals &amp; Mining</t>
        </is>
      </c>
      <c r="E1335" s="16" t="inlineStr">
        <is>
          <t>INE065D01027</t>
        </is>
      </c>
      <c r="F1335" s="17" t="n">
        <v>1604.78</v>
      </c>
      <c r="G1335" s="18" t="n">
        <v>141.81</v>
      </c>
      <c r="H1335" s="19" t="n">
        <v>-0.0073</v>
      </c>
      <c r="I1335" s="20" t="n">
        <v>88</v>
      </c>
      <c r="J1335" s="16" t="inlineStr">
        <is>
          <t>green</t>
        </is>
      </c>
      <c r="K1335" s="20" t="n">
        <v>64</v>
      </c>
      <c r="L1335" s="18" t="n">
        <v>68.2</v>
      </c>
      <c r="M1335" s="18" t="n">
        <v>142.24</v>
      </c>
      <c r="N1335" s="18" t="n">
        <v>129.18</v>
      </c>
      <c r="O1335" s="18" t="n">
        <v>98.2</v>
      </c>
      <c r="P1335" s="18" t="n">
        <v>145.87</v>
      </c>
      <c r="Q1335" s="18" t="n">
        <v>64.75</v>
      </c>
      <c r="R1335" s="21">
        <f>IF(OR(G1335="",P1335=""),"",G1335/P1335-1)</f>
        <v/>
      </c>
      <c r="S1335" s="19" t="n">
        <v>0.6987000000000001</v>
      </c>
      <c r="T1335" s="22" t="n">
        <v>0.0533</v>
      </c>
      <c r="U1335" s="16" t="inlineStr">
        <is>
          <t>Yes</t>
        </is>
      </c>
      <c r="V1335" s="16" t="inlineStr">
        <is>
          <t>Yes</t>
        </is>
      </c>
      <c r="W1335" s="16" t="inlineStr">
        <is>
          <t>No</t>
        </is>
      </c>
      <c r="X1335" s="16" t="inlineStr">
        <is>
          <t>Yes</t>
        </is>
      </c>
      <c r="Y1335" s="20" t="n">
        <v>76</v>
      </c>
      <c r="Z1335" s="19" t="n">
        <v>0.3155</v>
      </c>
      <c r="AA1335" s="18" t="n">
        <v>72.11</v>
      </c>
      <c r="AB1335" s="16" t="inlineStr">
        <is>
          <t>High</t>
        </is>
      </c>
      <c r="AC1335" s="16" t="inlineStr">
        <is>
          <t>No</t>
        </is>
      </c>
      <c r="AD1335" s="19" t="n">
        <v>0.1838</v>
      </c>
      <c r="AE1335" s="19" t="n">
        <v>0.2566</v>
      </c>
      <c r="AF1335" s="19" t="n">
        <v>1.0956</v>
      </c>
      <c r="AG1335" s="19" t="n">
        <v>0.1463</v>
      </c>
      <c r="AH1335" s="23" t="n">
        <v>0.05</v>
      </c>
      <c r="AI1335" s="23" t="n">
        <v>2.29</v>
      </c>
      <c r="AJ1335" s="19" t="n">
        <v>0.0759</v>
      </c>
    </row>
    <row r="1336">
      <c r="A1336" s="16" t="inlineStr">
        <is>
          <t>5PAISA</t>
        </is>
      </c>
      <c r="B1336" s="16" t="inlineStr">
        <is>
          <t>5Paisa Capital Ltd.</t>
        </is>
      </c>
      <c r="C1336" s="16" t="inlineStr">
        <is>
          <t>Capital Markets</t>
        </is>
      </c>
      <c r="D1336" s="16" t="inlineStr">
        <is>
          <t>Banking and Finance</t>
        </is>
      </c>
      <c r="E1336" s="16" t="inlineStr">
        <is>
          <t>INE618L01018</t>
        </is>
      </c>
      <c r="F1336" s="17" t="n">
        <v>1603.84</v>
      </c>
      <c r="G1336" s="18" t="n">
        <v>342.1</v>
      </c>
      <c r="H1336" s="19" t="n">
        <v>-0.001</v>
      </c>
      <c r="I1336" s="20" t="n">
        <v>51</v>
      </c>
      <c r="J1336" s="16" t="inlineStr">
        <is>
          <t>red</t>
        </is>
      </c>
      <c r="K1336" s="20" t="n">
        <v>10</v>
      </c>
      <c r="L1336" s="18" t="n">
        <v>32.69</v>
      </c>
      <c r="M1336" s="18" t="n">
        <v>354.81</v>
      </c>
      <c r="N1336" s="18" t="n">
        <v>370.05</v>
      </c>
      <c r="O1336" s="18" t="n">
        <v>336.15</v>
      </c>
      <c r="P1336" s="18" t="n">
        <v>405.6</v>
      </c>
      <c r="Q1336" s="18" t="n">
        <v>249.1</v>
      </c>
      <c r="R1336" s="21">
        <f>IF(OR(G1336="",P1336=""),"",G1336/P1336-1)</f>
        <v/>
      </c>
      <c r="S1336" s="19" t="n">
        <v>3.5441</v>
      </c>
      <c r="T1336" s="22" t="n">
        <v>0.0196</v>
      </c>
      <c r="U1336" s="16" t="inlineStr">
        <is>
          <t>Yes</t>
        </is>
      </c>
      <c r="V1336" s="16" t="inlineStr">
        <is>
          <t>No</t>
        </is>
      </c>
      <c r="W1336" s="16" t="inlineStr">
        <is>
          <t>No</t>
        </is>
      </c>
      <c r="X1336" s="16" t="inlineStr">
        <is>
          <t>Yes</t>
        </is>
      </c>
      <c r="Y1336" s="20" t="n">
        <v>48</v>
      </c>
      <c r="Z1336" s="19" t="n">
        <v>0.1009</v>
      </c>
      <c r="AA1336" s="18" t="n">
        <v>31.17</v>
      </c>
      <c r="AB1336" s="16" t="inlineStr">
        <is>
          <t>Poor</t>
        </is>
      </c>
      <c r="AC1336" s="16" t="inlineStr">
        <is>
          <t>Yes</t>
        </is>
      </c>
      <c r="AD1336" s="19" t="n">
        <v>0.094</v>
      </c>
      <c r="AE1336" s="19" t="n">
        <v>0.1131</v>
      </c>
      <c r="AF1336" s="19" t="n">
        <v>0.0396</v>
      </c>
      <c r="AG1336" s="19" t="n">
        <v>-0.07580000000000001</v>
      </c>
      <c r="AH1336" s="23" t="n">
        <v>0.58</v>
      </c>
      <c r="AI1336" s="23" t="n">
        <v>11.85</v>
      </c>
      <c r="AJ1336" s="19" t="n">
        <v>0</v>
      </c>
    </row>
    <row r="1337">
      <c r="A1337" s="16" t="inlineStr">
        <is>
          <t>RGL</t>
        </is>
      </c>
      <c r="B1337" s="16" t="inlineStr">
        <is>
          <t>Renaissance Global Ltd.</t>
        </is>
      </c>
      <c r="C1337" s="16" t="inlineStr">
        <is>
          <t>Gems &amp; Jewellery</t>
        </is>
      </c>
      <c r="D1337" s="16" t="inlineStr">
        <is>
          <t>Textiles Apparels &amp; Accessories</t>
        </is>
      </c>
      <c r="E1337" s="16" t="inlineStr">
        <is>
          <t>INE722H01024</t>
        </is>
      </c>
      <c r="F1337" s="17" t="n">
        <v>1603</v>
      </c>
      <c r="G1337" s="18" t="n">
        <v>149.26</v>
      </c>
      <c r="H1337" s="19" t="n">
        <v>0.0885</v>
      </c>
      <c r="I1337" s="20" t="n">
        <v>80</v>
      </c>
      <c r="J1337" s="16" t="inlineStr">
        <is>
          <t>green</t>
        </is>
      </c>
      <c r="K1337" s="20" t="n">
        <v>1</v>
      </c>
      <c r="L1337" s="18" t="n">
        <v>68.34</v>
      </c>
      <c r="M1337" s="18" t="n">
        <v>140.27</v>
      </c>
      <c r="N1337" s="18" t="n">
        <v>123.6</v>
      </c>
      <c r="O1337" s="18" t="n">
        <v>114.99</v>
      </c>
      <c r="P1337" s="18" t="n">
        <v>152.58</v>
      </c>
      <c r="Q1337" s="18" t="n">
        <v>86.18000000000001</v>
      </c>
      <c r="R1337" s="21">
        <f>IF(OR(G1337="",P1337=""),"",G1337/P1337-1)</f>
        <v/>
      </c>
      <c r="S1337" s="19" t="n">
        <v>1.1342</v>
      </c>
      <c r="T1337" s="22" t="n">
        <v>-0.0053</v>
      </c>
      <c r="U1337" s="16" t="inlineStr">
        <is>
          <t>No</t>
        </is>
      </c>
      <c r="V1337" s="16" t="inlineStr">
        <is>
          <t>Yes</t>
        </is>
      </c>
      <c r="W1337" s="16" t="inlineStr">
        <is>
          <t>Yes</t>
        </is>
      </c>
      <c r="X1337" s="16" t="inlineStr">
        <is>
          <t>Yes</t>
        </is>
      </c>
      <c r="Y1337" s="20" t="n">
        <v>17</v>
      </c>
      <c r="Z1337" s="19" t="n">
        <v>0.07490000000000001</v>
      </c>
      <c r="AA1337" s="18" t="n">
        <v>22.06</v>
      </c>
      <c r="AB1337" s="16" t="inlineStr">
        <is>
          <t>Poor</t>
        </is>
      </c>
      <c r="AC1337" s="16" t="inlineStr">
        <is>
          <t>No</t>
        </is>
      </c>
      <c r="AD1337" s="19" t="n">
        <v>0.0303</v>
      </c>
      <c r="AE1337" s="19" t="n">
        <v>0.0434</v>
      </c>
      <c r="AF1337" s="19" t="n">
        <v>-0.3557</v>
      </c>
      <c r="AG1337" s="19" t="n">
        <v>-0.1384</v>
      </c>
      <c r="AH1337" s="23" t="n">
        <v>0.43</v>
      </c>
      <c r="AI1337" s="23" t="n">
        <v>6.88</v>
      </c>
      <c r="AJ1337" s="19" t="n">
        <v>0.0031</v>
      </c>
    </row>
    <row r="1338">
      <c r="A1338" s="16" t="inlineStr">
        <is>
          <t>DLINKINDIA</t>
        </is>
      </c>
      <c r="B1338" s="16" t="inlineStr">
        <is>
          <t>D-Link (India) Ltd.</t>
        </is>
      </c>
      <c r="C1338" s="16" t="inlineStr">
        <is>
          <t>IT Networking Equipment</t>
        </is>
      </c>
      <c r="D1338" s="16" t="inlineStr">
        <is>
          <t>Hardware Technology &amp; Equipment</t>
        </is>
      </c>
      <c r="E1338" s="16" t="inlineStr">
        <is>
          <t>INE250K01012</t>
        </is>
      </c>
      <c r="F1338" s="17" t="n">
        <v>1601.8</v>
      </c>
      <c r="G1338" s="18" t="n">
        <v>451.15</v>
      </c>
      <c r="H1338" s="19" t="n">
        <v>-0.0027</v>
      </c>
      <c r="I1338" s="20" t="n">
        <v>45</v>
      </c>
      <c r="J1338" s="16" t="inlineStr">
        <is>
          <t>red</t>
        </is>
      </c>
      <c r="K1338" s="20" t="n">
        <v>38</v>
      </c>
      <c r="L1338" s="18" t="n">
        <v>67.90000000000001</v>
      </c>
      <c r="M1338" s="18" t="n">
        <v>444.26</v>
      </c>
      <c r="N1338" s="18" t="n">
        <v>456.17</v>
      </c>
      <c r="O1338" s="18" t="n">
        <v>422.99</v>
      </c>
      <c r="P1338" s="18" t="n">
        <v>518.55</v>
      </c>
      <c r="Q1338" s="18" t="n">
        <v>353.27</v>
      </c>
      <c r="R1338" s="21">
        <f>IF(OR(G1338="",P1338=""),"",G1338/P1338-1)</f>
        <v/>
      </c>
      <c r="S1338" s="19" t="n">
        <v>0.3772</v>
      </c>
      <c r="T1338" s="22" t="n">
        <v>0.0027</v>
      </c>
      <c r="U1338" s="16" t="inlineStr">
        <is>
          <t>Yes</t>
        </is>
      </c>
      <c r="V1338" s="16" t="inlineStr">
        <is>
          <t>No</t>
        </is>
      </c>
      <c r="W1338" s="16" t="inlineStr">
        <is>
          <t>Yes</t>
        </is>
      </c>
      <c r="X1338" s="16" t="inlineStr">
        <is>
          <t>Yes</t>
        </is>
      </c>
      <c r="Y1338" s="20" t="n">
        <v>71</v>
      </c>
      <c r="Z1338" s="19" t="n">
        <v>0.0785</v>
      </c>
      <c r="AA1338" s="18" t="n">
        <v>68.75</v>
      </c>
      <c r="AB1338" s="16" t="inlineStr">
        <is>
          <t>High</t>
        </is>
      </c>
      <c r="AC1338" s="16" t="inlineStr">
        <is>
          <t>No</t>
        </is>
      </c>
      <c r="AD1338" s="19" t="n">
        <v>0.2127</v>
      </c>
      <c r="AE1338" s="19" t="n">
        <v>0.2824</v>
      </c>
      <c r="AF1338" s="19" t="n">
        <v>0.0655</v>
      </c>
      <c r="AG1338" s="19" t="n">
        <v>0.09939999999999999</v>
      </c>
      <c r="AH1338" s="23" t="n">
        <v>0.03</v>
      </c>
      <c r="AI1338" s="23" t="n">
        <v>53.4</v>
      </c>
      <c r="AJ1338" s="19" t="n">
        <v>0</v>
      </c>
    </row>
    <row r="1339">
      <c r="A1339" s="16" t="inlineStr">
        <is>
          <t>UDS</t>
        </is>
      </c>
      <c r="B1339" s="16" t="inlineStr">
        <is>
          <t>Updater Services Ltd.</t>
        </is>
      </c>
      <c r="C1339" s="16" t="inlineStr">
        <is>
          <t>Misc. Commercial Services</t>
        </is>
      </c>
      <c r="D1339" s="16" t="inlineStr">
        <is>
          <t>Commercial Services &amp; Supplies</t>
        </is>
      </c>
      <c r="E1339" s="16" t="inlineStr">
        <is>
          <t>INE851I01011</t>
        </is>
      </c>
      <c r="F1339" s="17" t="n">
        <v>1600.38</v>
      </c>
      <c r="G1339" s="18" t="n">
        <v>239.03</v>
      </c>
      <c r="H1339" s="19" t="n">
        <v>0.0102</v>
      </c>
      <c r="I1339" s="20" t="n">
        <v>75</v>
      </c>
      <c r="J1339" s="16" t="inlineStr">
        <is>
          <t>amber</t>
        </is>
      </c>
      <c r="K1339" s="20" t="n">
        <v>16</v>
      </c>
      <c r="L1339" s="18" t="n">
        <v>86.48</v>
      </c>
      <c r="M1339" s="18" t="n">
        <v>228.16</v>
      </c>
      <c r="N1339" s="18" t="n">
        <v>205.63</v>
      </c>
      <c r="O1339" s="18" t="n">
        <v>176.21</v>
      </c>
      <c r="P1339" s="18" t="n">
        <v>260.15</v>
      </c>
      <c r="Q1339" s="18" t="n">
        <v>126.84</v>
      </c>
      <c r="R1339" s="21">
        <f>IF(OR(G1339="",P1339=""),"",G1339/P1339-1)</f>
        <v/>
      </c>
      <c r="S1339" s="19" t="n">
        <v>1.1572</v>
      </c>
      <c r="T1339" s="22" t="n">
        <v>0.0012</v>
      </c>
      <c r="U1339" s="16" t="inlineStr">
        <is>
          <t>Yes</t>
        </is>
      </c>
      <c r="V1339" s="16" t="inlineStr">
        <is>
          <t>Yes</t>
        </is>
      </c>
      <c r="W1339" s="16" t="inlineStr">
        <is>
          <t>Yes</t>
        </is>
      </c>
      <c r="X1339" s="16" t="inlineStr">
        <is>
          <t>Yes</t>
        </is>
      </c>
      <c r="Y1339" s="20" t="n">
        <v>39</v>
      </c>
      <c r="Z1339" s="19" t="n">
        <v>0.167</v>
      </c>
      <c r="AA1339" s="18" t="n">
        <v>57.1</v>
      </c>
      <c r="AB1339" s="16" t="inlineStr">
        <is>
          <t>Good</t>
        </is>
      </c>
      <c r="AC1339" s="16" t="inlineStr">
        <is>
          <t>No</t>
        </is>
      </c>
      <c r="AD1339" s="19" t="n">
        <v>0.09539999999999998</v>
      </c>
      <c r="AE1339" s="19" t="n">
        <v>0.1165</v>
      </c>
      <c r="AF1339" s="19" t="n">
        <v>0.3204</v>
      </c>
      <c r="AG1339" s="19" t="n">
        <v>0.1194</v>
      </c>
      <c r="AH1339" s="23" t="n">
        <v>0.04</v>
      </c>
      <c r="AI1339" s="23" t="n">
        <v>28.66</v>
      </c>
      <c r="AJ1339" s="19" t="n">
        <v>0.003</v>
      </c>
    </row>
    <row r="1340">
      <c r="A1340" s="16" t="inlineStr">
        <is>
          <t>JAGSNPHARM</t>
        </is>
      </c>
      <c r="B1340" s="16" t="inlineStr">
        <is>
          <t>Jagsonpal Pharmaceuticals Ltd.</t>
        </is>
      </c>
      <c r="C1340" s="16" t="inlineStr">
        <is>
          <t>Pharmaceuticals</t>
        </is>
      </c>
      <c r="D1340" s="16" t="inlineStr">
        <is>
          <t>Pharmaceuticals &amp; Biotechnology</t>
        </is>
      </c>
      <c r="E1340" s="16" t="inlineStr">
        <is>
          <t>INE048B01035</t>
        </is>
      </c>
      <c r="F1340" s="17" t="n">
        <v>1596.56</v>
      </c>
      <c r="G1340" s="18" t="n">
        <v>242.06</v>
      </c>
      <c r="H1340" s="19" t="n">
        <v>0.0127</v>
      </c>
      <c r="I1340" s="20" t="n">
        <v>67</v>
      </c>
      <c r="J1340" s="16" t="inlineStr">
        <is>
          <t>amber</t>
        </is>
      </c>
      <c r="K1340" s="20" t="n">
        <v>13</v>
      </c>
      <c r="L1340" s="18" t="n">
        <v>66.95</v>
      </c>
      <c r="M1340" s="18" t="n">
        <v>236.65</v>
      </c>
      <c r="N1340" s="18" t="n">
        <v>228.81</v>
      </c>
      <c r="O1340" s="18" t="n">
        <v>199.88</v>
      </c>
      <c r="P1340" s="18" t="n">
        <v>245.98</v>
      </c>
      <c r="Q1340" s="18" t="n">
        <v>158.42</v>
      </c>
      <c r="R1340" s="21">
        <f>IF(OR(G1340="",P1340=""),"",G1340/P1340-1)</f>
        <v/>
      </c>
      <c r="S1340" s="19" t="n">
        <v>0.1643</v>
      </c>
      <c r="T1340" s="22" t="n">
        <v>0.0098</v>
      </c>
      <c r="U1340" s="16" t="inlineStr">
        <is>
          <t>Yes</t>
        </is>
      </c>
      <c r="V1340" s="16" t="inlineStr">
        <is>
          <t>Yes</t>
        </is>
      </c>
      <c r="W1340" s="16" t="inlineStr">
        <is>
          <t>Yes</t>
        </is>
      </c>
      <c r="X1340" s="16" t="inlineStr">
        <is>
          <t>Yes</t>
        </is>
      </c>
      <c r="Y1340" s="20" t="n">
        <v>62</v>
      </c>
      <c r="Z1340" s="19" t="n">
        <v>0.1447</v>
      </c>
      <c r="AA1340" s="18" t="n">
        <v>68.38</v>
      </c>
      <c r="AB1340" s="16" t="inlineStr">
        <is>
          <t>High</t>
        </is>
      </c>
      <c r="AC1340" s="16" t="inlineStr">
        <is>
          <t>No</t>
        </is>
      </c>
      <c r="AD1340" s="19" t="n">
        <v>0.1689</v>
      </c>
      <c r="AE1340" s="19" t="n">
        <v>0.2155</v>
      </c>
      <c r="AF1340" s="19" t="n">
        <v>0.3411</v>
      </c>
      <c r="AG1340" s="19" t="n">
        <v>0.0794</v>
      </c>
      <c r="AH1340" s="23" t="n">
        <v>0.03</v>
      </c>
      <c r="AI1340" s="23" t="n">
        <v>39.08</v>
      </c>
      <c r="AJ1340" s="19" t="n">
        <v>0</v>
      </c>
    </row>
    <row r="1341">
      <c r="A1341" s="16" t="inlineStr">
        <is>
          <t>IPL</t>
        </is>
      </c>
      <c r="B1341" s="16" t="inlineStr">
        <is>
          <t>India Pesticides Ltd.</t>
        </is>
      </c>
      <c r="C1341" s="16" t="inlineStr">
        <is>
          <t>Agrochemicals</t>
        </is>
      </c>
      <c r="D1341" s="16" t="inlineStr">
        <is>
          <t>Chemicals &amp; Petrochemicals</t>
        </is>
      </c>
      <c r="E1341" s="16" t="inlineStr">
        <is>
          <t>INE0D6701023</t>
        </is>
      </c>
      <c r="F1341" s="17" t="n">
        <v>1593.17</v>
      </c>
      <c r="G1341" s="18" t="n">
        <v>138.34</v>
      </c>
      <c r="H1341" s="19" t="n">
        <v>0.0061</v>
      </c>
      <c r="I1341" s="20" t="n">
        <v>9</v>
      </c>
      <c r="J1341" s="16" t="inlineStr">
        <is>
          <t>red</t>
        </is>
      </c>
      <c r="K1341" s="20" t="n">
        <v>206</v>
      </c>
      <c r="L1341" s="18" t="n">
        <v>44.93</v>
      </c>
      <c r="M1341" s="18" t="n">
        <v>138.08</v>
      </c>
      <c r="N1341" s="18" t="n">
        <v>147.61</v>
      </c>
      <c r="O1341" s="18" t="n">
        <v>156.76</v>
      </c>
      <c r="P1341" s="18" t="n">
        <v>234.58</v>
      </c>
      <c r="Q1341" s="18" t="n">
        <v>124.69</v>
      </c>
      <c r="R1341" s="21">
        <f>IF(OR(G1341="",P1341=""),"",G1341/P1341-1)</f>
        <v/>
      </c>
      <c r="S1341" s="19" t="n">
        <v>0.5027</v>
      </c>
      <c r="T1341" s="22" t="n">
        <v>-0.0297</v>
      </c>
      <c r="U1341" s="16" t="inlineStr">
        <is>
          <t>No</t>
        </is>
      </c>
      <c r="V1341" s="16" t="inlineStr">
        <is>
          <t>No</t>
        </is>
      </c>
      <c r="W1341" s="16" t="inlineStr">
        <is>
          <t>Yes</t>
        </is>
      </c>
      <c r="X1341" s="16" t="inlineStr">
        <is>
          <t>No</t>
        </is>
      </c>
      <c r="Y1341" s="20" t="n">
        <v>182</v>
      </c>
      <c r="Z1341" s="19" t="n">
        <v>-0.0583</v>
      </c>
      <c r="AA1341" s="18" t="n">
        <v>46.62</v>
      </c>
      <c r="AB1341" s="16" t="inlineStr">
        <is>
          <t>Average</t>
        </is>
      </c>
      <c r="AC1341" s="16" t="inlineStr">
        <is>
          <t>No</t>
        </is>
      </c>
      <c r="AD1341" s="19" t="n">
        <v>0.09429999999999999</v>
      </c>
      <c r="AE1341" s="19" t="n">
        <v>0.1256</v>
      </c>
      <c r="AF1341" s="19" t="n">
        <v>0.0801</v>
      </c>
      <c r="AG1341" s="19" t="n">
        <v>0.08890000000000001</v>
      </c>
      <c r="AH1341" s="23" t="n">
        <v>0.11</v>
      </c>
      <c r="AI1341" s="23" t="n">
        <v>2.33</v>
      </c>
      <c r="AJ1341" s="19" t="n">
        <v>0.1496</v>
      </c>
    </row>
    <row r="1342">
      <c r="A1342" s="16" t="inlineStr">
        <is>
          <t>INFOBEAN</t>
        </is>
      </c>
      <c r="B1342" s="16" t="inlineStr">
        <is>
          <t>InfoBeans Technologies Ltd.</t>
        </is>
      </c>
      <c r="C1342" s="16" t="inlineStr">
        <is>
          <t>IT Consulting &amp; Software</t>
        </is>
      </c>
      <c r="D1342" s="16" t="inlineStr">
        <is>
          <t>Software &amp; Services</t>
        </is>
      </c>
      <c r="E1342" s="16" t="inlineStr">
        <is>
          <t>INE344S01016</t>
        </is>
      </c>
      <c r="F1342" s="17" t="n">
        <v>1571.52</v>
      </c>
      <c r="G1342" s="18" t="n">
        <v>162.08</v>
      </c>
      <c r="H1342" s="19" t="n">
        <v>0.0279</v>
      </c>
      <c r="I1342" s="20" t="n">
        <v>41</v>
      </c>
      <c r="J1342" s="16" t="inlineStr">
        <is>
          <t>red</t>
        </is>
      </c>
      <c r="K1342" s="20" t="n">
        <v>32</v>
      </c>
      <c r="L1342" s="18" t="n">
        <v>52.95</v>
      </c>
      <c r="M1342" s="18" t="n">
        <v>158.98</v>
      </c>
      <c r="N1342" s="18" t="n">
        <v>161.73</v>
      </c>
      <c r="O1342" s="18" t="n">
        <v>172.18</v>
      </c>
      <c r="P1342" s="18" t="n">
        <v>249.74</v>
      </c>
      <c r="Q1342" s="18" t="n">
        <v>117.61</v>
      </c>
      <c r="R1342" s="21">
        <f>IF(OR(G1342="",P1342=""),"",G1342/P1342-1)</f>
        <v/>
      </c>
      <c r="S1342" s="19" t="n">
        <v>0.9843000000000001</v>
      </c>
      <c r="T1342" s="22" t="n">
        <v>0.0069</v>
      </c>
      <c r="U1342" s="16" t="inlineStr">
        <is>
          <t>Yes</t>
        </is>
      </c>
      <c r="V1342" s="16" t="inlineStr">
        <is>
          <t>Yes</t>
        </is>
      </c>
      <c r="W1342" s="16" t="inlineStr">
        <is>
          <t>Yes</t>
        </is>
      </c>
      <c r="X1342" s="16" t="inlineStr">
        <is>
          <t>No</t>
        </is>
      </c>
      <c r="Y1342" s="20" t="n">
        <v>52</v>
      </c>
      <c r="Z1342" s="19" t="n">
        <v>-0.0607</v>
      </c>
      <c r="AA1342" s="18" t="n">
        <v>66.98</v>
      </c>
      <c r="AB1342" s="16" t="inlineStr">
        <is>
          <t>High</t>
        </is>
      </c>
      <c r="AC1342" s="16" t="inlineStr">
        <is>
          <t>No</t>
        </is>
      </c>
      <c r="AD1342" s="19" t="n">
        <v>0.1333</v>
      </c>
      <c r="AE1342" s="19" t="n">
        <v>0.179</v>
      </c>
      <c r="AF1342" s="19" t="n">
        <v>0.5361</v>
      </c>
      <c r="AG1342" s="19" t="n">
        <v>0.1095</v>
      </c>
      <c r="AH1342" s="23" t="n">
        <v>0.04</v>
      </c>
      <c r="AI1342" s="23" t="n">
        <v>19.01</v>
      </c>
      <c r="AJ1342" s="19" t="n">
        <v>0.0296</v>
      </c>
    </row>
    <row r="1343">
      <c r="A1343" s="16" t="inlineStr">
        <is>
          <t>VIKRAN</t>
        </is>
      </c>
      <c r="B1343" s="16" t="inlineStr">
        <is>
          <t>Vikran Engineering Ltd.</t>
        </is>
      </c>
      <c r="C1343" s="16" t="inlineStr">
        <is>
          <t>Heavy Electrical Equipment</t>
        </is>
      </c>
      <c r="D1343" s="16" t="inlineStr">
        <is>
          <t>General Industrials</t>
        </is>
      </c>
      <c r="E1343" s="16" t="inlineStr">
        <is>
          <t>INE01R501028</t>
        </is>
      </c>
      <c r="F1343" s="17" t="n">
        <v>1567.33</v>
      </c>
      <c r="G1343" s="18" t="n">
        <v>60.77</v>
      </c>
      <c r="H1343" s="19" t="n">
        <v>0.0536</v>
      </c>
      <c r="I1343" s="20" t="n">
        <v>7</v>
      </c>
      <c r="J1343" s="16" t="inlineStr">
        <is>
          <t>red</t>
        </is>
      </c>
      <c r="K1343" s="20" t="n">
        <v>166</v>
      </c>
      <c r="L1343" s="18" t="n">
        <v>43.91</v>
      </c>
      <c r="M1343" s="18" t="n">
        <v>58.81</v>
      </c>
      <c r="N1343" s="18" t="n">
        <v>68.53</v>
      </c>
      <c r="O1343" s="18" t="n">
        <v>76.02</v>
      </c>
      <c r="P1343" s="18" t="n">
        <v>114.53</v>
      </c>
      <c r="Q1343" s="18" t="n">
        <v>51.74</v>
      </c>
      <c r="R1343" s="21">
        <f>IF(OR(G1343="",P1343=""),"",G1343/P1343-1)</f>
        <v/>
      </c>
      <c r="S1343" s="19" t="n">
        <v>1.2769</v>
      </c>
      <c r="T1343" s="22" t="n">
        <v>-0.0506</v>
      </c>
      <c r="U1343" s="16" t="inlineStr">
        <is>
          <t>No</t>
        </is>
      </c>
      <c r="V1343" s="16" t="inlineStr">
        <is>
          <t>No</t>
        </is>
      </c>
      <c r="W1343" s="16" t="inlineStr">
        <is>
          <t>Yes</t>
        </is>
      </c>
      <c r="X1343" s="16" t="inlineStr">
        <is>
          <t>No</t>
        </is>
      </c>
      <c r="Y1343" s="20" t="n">
        <v>54</v>
      </c>
      <c r="Z1343" s="19" t="n">
        <v>-0.09849999999999999</v>
      </c>
      <c r="AA1343" s="18" t="n">
        <v>40</v>
      </c>
      <c r="AB1343" s="16" t="inlineStr">
        <is>
          <t>Weak</t>
        </is>
      </c>
      <c r="AC1343" s="16" t="inlineStr">
        <is>
          <t>No</t>
        </is>
      </c>
      <c r="AD1343" s="19" t="n">
        <v>0.1658</v>
      </c>
      <c r="AE1343" s="19" t="n">
        <v>0.204</v>
      </c>
      <c r="AF1343" s="19" t="n">
        <v>-0.07049999999999999</v>
      </c>
      <c r="AG1343" s="19" t="n">
        <v>0.3416</v>
      </c>
      <c r="AH1343" s="23" t="n">
        <v>0.24</v>
      </c>
      <c r="AI1343" s="23" t="n">
        <v>65.06999999999999</v>
      </c>
      <c r="AJ1343" s="19" t="n">
        <v>0</v>
      </c>
    </row>
    <row r="1344">
      <c r="A1344" s="16" t="inlineStr">
        <is>
          <t>SUMMITSEC</t>
        </is>
      </c>
      <c r="B1344" s="16" t="inlineStr">
        <is>
          <t>Summit Securities Ltd.</t>
        </is>
      </c>
      <c r="C1344" s="16" t="inlineStr">
        <is>
          <t>Investment Companies</t>
        </is>
      </c>
      <c r="D1344" s="16" t="inlineStr">
        <is>
          <t>Others</t>
        </is>
      </c>
      <c r="E1344" s="16" t="inlineStr">
        <is>
          <t>INE519C01017</t>
        </is>
      </c>
      <c r="F1344" s="17" t="n">
        <v>1563.54</v>
      </c>
      <c r="G1344" s="18" t="n">
        <v>1434.2</v>
      </c>
      <c r="H1344" s="19" t="n">
        <v>-0.005600000000000001</v>
      </c>
      <c r="I1344" s="20" t="n">
        <v>11</v>
      </c>
      <c r="J1344" s="16" t="inlineStr">
        <is>
          <t>red</t>
        </is>
      </c>
      <c r="K1344" s="20" t="n">
        <v>202</v>
      </c>
      <c r="L1344" s="18" t="n">
        <v>45.09</v>
      </c>
      <c r="M1344" s="18" t="n">
        <v>1425.65</v>
      </c>
      <c r="N1344" s="18" t="n">
        <v>1482.17</v>
      </c>
      <c r="O1344" s="18" t="n">
        <v>1650.15</v>
      </c>
      <c r="P1344" s="18" t="n">
        <v>2426.5</v>
      </c>
      <c r="Q1344" s="18" t="n">
        <v>1318.8</v>
      </c>
      <c r="R1344" s="21">
        <f>IF(OR(G1344="",P1344=""),"",G1344/P1344-1)</f>
        <v/>
      </c>
      <c r="S1344" s="19" t="n">
        <v>0.3842</v>
      </c>
      <c r="T1344" s="22" t="n">
        <v>-0.0479</v>
      </c>
      <c r="U1344" s="16" t="inlineStr">
        <is>
          <t>No</t>
        </is>
      </c>
      <c r="V1344" s="16" t="inlineStr">
        <is>
          <t>No</t>
        </is>
      </c>
      <c r="W1344" s="16" t="inlineStr">
        <is>
          <t>Yes</t>
        </is>
      </c>
      <c r="X1344" s="16" t="inlineStr">
        <is>
          <t>No</t>
        </is>
      </c>
      <c r="Y1344" s="20" t="n">
        <v>167</v>
      </c>
      <c r="Z1344" s="19" t="n">
        <v>-0.1018</v>
      </c>
      <c r="AA1344" s="18" t="n">
        <v>43.21</v>
      </c>
      <c r="AB1344" s="16" t="inlineStr">
        <is>
          <t>Average</t>
        </is>
      </c>
      <c r="AC1344" s="16" t="inlineStr">
        <is>
          <t>Yes</t>
        </is>
      </c>
      <c r="AD1344" s="19" t="n">
        <v>0.0092</v>
      </c>
      <c r="AE1344" s="19" t="n">
        <v>0.0127</v>
      </c>
      <c r="AF1344" s="19" t="n">
        <v>0.4915</v>
      </c>
      <c r="AG1344" s="19" t="n">
        <v>0.4421</v>
      </c>
      <c r="AH1344" s="23" t="n">
        <v>0</v>
      </c>
      <c r="AI1344" s="23" t="n">
        <v>6912.5</v>
      </c>
      <c r="AJ1344" s="19" t="n">
        <v>0</v>
      </c>
    </row>
    <row r="1345">
      <c r="A1345" s="16" t="inlineStr">
        <is>
          <t>MIIL</t>
        </is>
      </c>
      <c r="B1345" s="16" t="inlineStr">
        <is>
          <t>Meghna Infracon Infrastructure Ltd.</t>
        </is>
      </c>
      <c r="C1345" s="16" t="inlineStr">
        <is>
          <t>Finance (including NBFCs)</t>
        </is>
      </c>
      <c r="D1345" s="16" t="inlineStr">
        <is>
          <t>Banking and Finance</t>
        </is>
      </c>
      <c r="E1345" s="16" t="inlineStr">
        <is>
          <t>INE898Q01015</t>
        </is>
      </c>
      <c r="F1345" s="17" t="n">
        <v>1560.64</v>
      </c>
      <c r="G1345" s="18" t="n">
        <v>718.4</v>
      </c>
      <c r="H1345" s="19" t="n">
        <v>-0.0023</v>
      </c>
      <c r="I1345" s="20" t="n">
        <v>63</v>
      </c>
      <c r="J1345" s="16" t="inlineStr">
        <is>
          <t>amber</t>
        </is>
      </c>
      <c r="K1345" s="20" t="n">
        <v>4</v>
      </c>
      <c r="L1345" s="18" t="n">
        <v>63.4</v>
      </c>
      <c r="M1345" s="18" t="n">
        <v>718.97</v>
      </c>
      <c r="N1345" s="18" t="n">
        <v>723.11</v>
      </c>
      <c r="O1345" s="18" t="n">
        <v>650.5700000000001</v>
      </c>
      <c r="P1345" s="18" t="n">
        <v>794.05</v>
      </c>
      <c r="Q1345" s="18" t="n">
        <v>495.7</v>
      </c>
      <c r="R1345" s="21">
        <f>IF(OR(G1345="",P1345=""),"",G1345/P1345-1)</f>
        <v/>
      </c>
      <c r="S1345" s="19" t="n">
        <v>0.6357</v>
      </c>
      <c r="T1345" s="22" t="n">
        <v>0.0249</v>
      </c>
      <c r="U1345" s="16" t="inlineStr">
        <is>
          <t>Yes</t>
        </is>
      </c>
      <c r="V1345" s="16" t="inlineStr">
        <is>
          <t>No</t>
        </is>
      </c>
      <c r="W1345" s="16" t="inlineStr">
        <is>
          <t>No</t>
        </is>
      </c>
      <c r="X1345" s="16" t="inlineStr">
        <is>
          <t>Yes</t>
        </is>
      </c>
      <c r="Y1345" s="20" t="n">
        <v>106</v>
      </c>
      <c r="Z1345" s="19" t="n">
        <v>0.1115</v>
      </c>
      <c r="AA1345" s="18" t="n"/>
      <c r="AB1345" s="16" t="n"/>
      <c r="AC1345" s="16" t="inlineStr">
        <is>
          <t>No</t>
        </is>
      </c>
      <c r="AD1345" s="19" t="n"/>
      <c r="AE1345" s="19" t="n"/>
      <c r="AF1345" s="19" t="n"/>
      <c r="AG1345" s="19" t="n"/>
      <c r="AH1345" s="23" t="n"/>
      <c r="AI1345" s="23" t="n"/>
      <c r="AJ1345" s="19" t="n"/>
    </row>
    <row r="1346">
      <c r="A1346" s="16" t="inlineStr">
        <is>
          <t>TTKHLTCARE</t>
        </is>
      </c>
      <c r="B1346" s="16" t="inlineStr">
        <is>
          <t>TTK Healthcare Ltd.</t>
        </is>
      </c>
      <c r="C1346" s="16" t="inlineStr">
        <is>
          <t>Diversified</t>
        </is>
      </c>
      <c r="D1346" s="16" t="inlineStr">
        <is>
          <t>Diversified</t>
        </is>
      </c>
      <c r="E1346" s="16" t="inlineStr">
        <is>
          <t>INE910C01018</t>
        </is>
      </c>
      <c r="F1346" s="17" t="n">
        <v>1554.62</v>
      </c>
      <c r="G1346" s="18" t="n">
        <v>1100.2</v>
      </c>
      <c r="H1346" s="19" t="n">
        <v>-0.0027</v>
      </c>
      <c r="I1346" s="20" t="n">
        <v>61</v>
      </c>
      <c r="J1346" s="16" t="inlineStr">
        <is>
          <t>amber</t>
        </is>
      </c>
      <c r="K1346" s="20" t="n">
        <v>6</v>
      </c>
      <c r="L1346" s="18" t="n">
        <v>42.76</v>
      </c>
      <c r="M1346" s="18" t="n">
        <v>1116.04</v>
      </c>
      <c r="N1346" s="18" t="n">
        <v>1037.33</v>
      </c>
      <c r="O1346" s="18" t="n">
        <v>958.38</v>
      </c>
      <c r="P1346" s="18" t="n">
        <v>1180.53</v>
      </c>
      <c r="Q1346" s="18" t="n">
        <v>732.12</v>
      </c>
      <c r="R1346" s="21">
        <f>IF(OR(G1346="",P1346=""),"",G1346/P1346-1)</f>
        <v/>
      </c>
      <c r="S1346" s="19" t="n">
        <v>0.521</v>
      </c>
      <c r="T1346" s="22" t="n">
        <v>-0.0035</v>
      </c>
      <c r="U1346" s="16" t="inlineStr">
        <is>
          <t>No</t>
        </is>
      </c>
      <c r="V1346" s="16" t="inlineStr">
        <is>
          <t>Yes</t>
        </is>
      </c>
      <c r="W1346" s="16" t="inlineStr">
        <is>
          <t>No</t>
        </is>
      </c>
      <c r="X1346" s="16" t="inlineStr">
        <is>
          <t>Yes</t>
        </is>
      </c>
      <c r="Y1346" s="20" t="n">
        <v>18</v>
      </c>
      <c r="Z1346" s="19" t="n">
        <v>0.0824</v>
      </c>
      <c r="AA1346" s="18" t="n">
        <v>40</v>
      </c>
      <c r="AB1346" s="16" t="inlineStr">
        <is>
          <t>Weak</t>
        </is>
      </c>
      <c r="AC1346" s="16" t="inlineStr">
        <is>
          <t>No</t>
        </is>
      </c>
      <c r="AD1346" s="19" t="n">
        <v>0.06610000000000001</v>
      </c>
      <c r="AE1346" s="19" t="n">
        <v>0.0864</v>
      </c>
      <c r="AF1346" s="19" t="n">
        <v>-0.5341</v>
      </c>
      <c r="AG1346" s="19" t="n">
        <v>0.0587</v>
      </c>
      <c r="AH1346" s="23" t="n">
        <v>0.02</v>
      </c>
      <c r="AI1346" s="23" t="n">
        <v>11.46</v>
      </c>
      <c r="AJ1346" s="19" t="n">
        <v>0.0255</v>
      </c>
    </row>
    <row r="1347">
      <c r="A1347" s="16" t="inlineStr">
        <is>
          <t>MCLOUD</t>
        </is>
      </c>
      <c r="B1347" s="16" t="inlineStr">
        <is>
          <t>Magellanic Cloud Ltd.</t>
        </is>
      </c>
      <c r="C1347" s="16" t="inlineStr">
        <is>
          <t>IT Consulting &amp; Software</t>
        </is>
      </c>
      <c r="D1347" s="16" t="inlineStr">
        <is>
          <t>Software &amp; Services</t>
        </is>
      </c>
      <c r="E1347" s="16" t="inlineStr">
        <is>
          <t>INE613C01026</t>
        </is>
      </c>
      <c r="F1347" s="17" t="n">
        <v>1548.66</v>
      </c>
      <c r="G1347" s="18" t="n">
        <v>26.29</v>
      </c>
      <c r="H1347" s="19" t="n">
        <v>-0.0064</v>
      </c>
      <c r="I1347" s="20" t="n">
        <v>25</v>
      </c>
      <c r="J1347" s="16" t="inlineStr">
        <is>
          <t>red</t>
        </is>
      </c>
      <c r="K1347" s="20" t="n">
        <v>226</v>
      </c>
      <c r="L1347" s="18" t="n">
        <v>47.07</v>
      </c>
      <c r="M1347" s="18" t="n">
        <v>27.06</v>
      </c>
      <c r="N1347" s="18" t="n">
        <v>28.84</v>
      </c>
      <c r="O1347" s="18" t="n">
        <v>26.87</v>
      </c>
      <c r="P1347" s="18" t="n">
        <v>85.12</v>
      </c>
      <c r="Q1347" s="18" t="n">
        <v>19.79</v>
      </c>
      <c r="R1347" s="21">
        <f>IF(OR(G1347="",P1347=""),"",G1347/P1347-1)</f>
        <v/>
      </c>
      <c r="S1347" s="19" t="n">
        <v>0.4147</v>
      </c>
      <c r="T1347" s="22" t="n">
        <v>-0.1041</v>
      </c>
      <c r="U1347" s="16" t="inlineStr">
        <is>
          <t>No</t>
        </is>
      </c>
      <c r="V1347" s="16" t="inlineStr">
        <is>
          <t>No</t>
        </is>
      </c>
      <c r="W1347" s="16" t="inlineStr">
        <is>
          <t>No</t>
        </is>
      </c>
      <c r="X1347" s="16" t="inlineStr">
        <is>
          <t>Yes</t>
        </is>
      </c>
      <c r="Y1347" s="20" t="n">
        <v>12</v>
      </c>
      <c r="Z1347" s="19" t="n">
        <v>0.07339999999999999</v>
      </c>
      <c r="AA1347" s="18" t="n">
        <v>40</v>
      </c>
      <c r="AB1347" s="16" t="inlineStr">
        <is>
          <t>Weak</t>
        </is>
      </c>
      <c r="AC1347" s="16" t="inlineStr">
        <is>
          <t>No</t>
        </is>
      </c>
      <c r="AD1347" s="19" t="n">
        <v>0.2058</v>
      </c>
      <c r="AE1347" s="19" t="n">
        <v>0.2089</v>
      </c>
      <c r="AF1347" s="19" t="n">
        <v>-0.1862</v>
      </c>
      <c r="AG1347" s="19" t="n">
        <v>0.1817</v>
      </c>
      <c r="AH1347" s="23" t="n">
        <v>0.43</v>
      </c>
      <c r="AI1347" s="23" t="n">
        <v>5.9</v>
      </c>
      <c r="AJ1347" s="19" t="n">
        <v>0.0436</v>
      </c>
    </row>
    <row r="1348">
      <c r="A1348" s="16" t="inlineStr">
        <is>
          <t>MBEL</t>
        </is>
      </c>
      <c r="B1348" s="16" t="inlineStr">
        <is>
          <t>M &amp; B Engineering Ltd.</t>
        </is>
      </c>
      <c r="C1348" s="16" t="inlineStr">
        <is>
          <t>Iron &amp; Steel Products</t>
        </is>
      </c>
      <c r="D1348" s="16" t="inlineStr">
        <is>
          <t>Metals &amp; Mining</t>
        </is>
      </c>
      <c r="E1348" s="16" t="inlineStr">
        <is>
          <t>INE08N601015</t>
        </is>
      </c>
      <c r="F1348" s="17" t="n">
        <v>1544.2</v>
      </c>
      <c r="G1348" s="18" t="n">
        <v>270.15</v>
      </c>
      <c r="H1348" s="19" t="n">
        <v>-0.0192</v>
      </c>
      <c r="I1348" s="20" t="n">
        <v>13</v>
      </c>
      <c r="J1348" s="16" t="inlineStr">
        <is>
          <t>red</t>
        </is>
      </c>
      <c r="K1348" s="20" t="n">
        <v>207</v>
      </c>
      <c r="L1348" s="18" t="n">
        <v>32.44</v>
      </c>
      <c r="M1348" s="18" t="n">
        <v>270.3</v>
      </c>
      <c r="N1348" s="18" t="n">
        <v>294.95</v>
      </c>
      <c r="O1348" s="18" t="n">
        <v>318.11</v>
      </c>
      <c r="P1348" s="18" t="n">
        <v>514.25</v>
      </c>
      <c r="Q1348" s="18" t="n">
        <v>226.45</v>
      </c>
      <c r="R1348" s="21">
        <f>IF(OR(G1348="",P1348=""),"",G1348/P1348-1)</f>
        <v/>
      </c>
      <c r="S1348" s="19" t="n">
        <v>0.3244</v>
      </c>
      <c r="T1348" s="22" t="n">
        <v>-0.0535</v>
      </c>
      <c r="U1348" s="16" t="inlineStr">
        <is>
          <t>No</t>
        </is>
      </c>
      <c r="V1348" s="16" t="inlineStr">
        <is>
          <t>No</t>
        </is>
      </c>
      <c r="W1348" s="16" t="inlineStr">
        <is>
          <t>No</t>
        </is>
      </c>
      <c r="X1348" s="16" t="inlineStr">
        <is>
          <t>No</t>
        </is>
      </c>
      <c r="Y1348" s="20" t="n">
        <v>72</v>
      </c>
      <c r="Z1348" s="19" t="n">
        <v>-0.0728</v>
      </c>
      <c r="AA1348" s="18" t="n">
        <v>63</v>
      </c>
      <c r="AB1348" s="16" t="inlineStr">
        <is>
          <t>Good</t>
        </is>
      </c>
      <c r="AC1348" s="16" t="inlineStr">
        <is>
          <t>No</t>
        </is>
      </c>
      <c r="AD1348" s="19" t="n">
        <v>0.1961</v>
      </c>
      <c r="AE1348" s="19" t="n">
        <v>0.2057</v>
      </c>
      <c r="AF1348" s="19" t="n">
        <v>0.0248</v>
      </c>
      <c r="AG1348" s="19" t="n">
        <v>0.1402</v>
      </c>
      <c r="AH1348" s="23" t="n">
        <v>0.13</v>
      </c>
      <c r="AI1348" s="23" t="n">
        <v>6.62</v>
      </c>
      <c r="AJ1348" s="19" t="n">
        <v>0.0746</v>
      </c>
    </row>
    <row r="1349">
      <c r="A1349" s="16" t="inlineStr">
        <is>
          <t>GENESYS</t>
        </is>
      </c>
      <c r="B1349" s="16" t="inlineStr">
        <is>
          <t>Genesys International Corporation Ltd.</t>
        </is>
      </c>
      <c r="C1349" s="16" t="inlineStr">
        <is>
          <t>IT Consulting &amp; Software</t>
        </is>
      </c>
      <c r="D1349" s="16" t="inlineStr">
        <is>
          <t>Software &amp; Services</t>
        </is>
      </c>
      <c r="E1349" s="16" t="inlineStr">
        <is>
          <t>INE727B01026</t>
        </is>
      </c>
      <c r="F1349" s="17" t="n">
        <v>1543.77</v>
      </c>
      <c r="G1349" s="18" t="n">
        <v>230.88</v>
      </c>
      <c r="H1349" s="19" t="n">
        <v>0.0371</v>
      </c>
      <c r="I1349" s="20" t="n">
        <v>2</v>
      </c>
      <c r="J1349" s="16" t="inlineStr">
        <is>
          <t>red</t>
        </is>
      </c>
      <c r="K1349" s="20" t="n">
        <v>325</v>
      </c>
      <c r="L1349" s="18" t="n">
        <v>74.42</v>
      </c>
      <c r="M1349" s="18" t="n">
        <v>229.41</v>
      </c>
      <c r="N1349" s="18" t="n">
        <v>254</v>
      </c>
      <c r="O1349" s="18" t="n">
        <v>302.9</v>
      </c>
      <c r="P1349" s="18" t="n">
        <v>629.45</v>
      </c>
      <c r="Q1349" s="18" t="n">
        <v>170.85</v>
      </c>
      <c r="R1349" s="21">
        <f>IF(OR(G1349="",P1349=""),"",G1349/P1349-1)</f>
        <v/>
      </c>
      <c r="S1349" s="19" t="n">
        <v>0.3171</v>
      </c>
      <c r="T1349" s="22" t="n">
        <v>-0.0868</v>
      </c>
      <c r="U1349" s="16" t="inlineStr">
        <is>
          <t>No</t>
        </is>
      </c>
      <c r="V1349" s="16" t="inlineStr">
        <is>
          <t>No</t>
        </is>
      </c>
      <c r="W1349" s="16" t="inlineStr">
        <is>
          <t>Yes</t>
        </is>
      </c>
      <c r="X1349" s="16" t="inlineStr">
        <is>
          <t>No</t>
        </is>
      </c>
      <c r="Y1349" s="20" t="n">
        <v>357</v>
      </c>
      <c r="Z1349" s="19" t="n">
        <v>-0.1614</v>
      </c>
      <c r="AA1349" s="18" t="n">
        <v>47.56</v>
      </c>
      <c r="AB1349" s="16" t="inlineStr">
        <is>
          <t>Average</t>
        </is>
      </c>
      <c r="AC1349" s="16" t="inlineStr">
        <is>
          <t>No</t>
        </is>
      </c>
      <c r="AD1349" s="19" t="n">
        <v>0.06419999999999999</v>
      </c>
      <c r="AE1349" s="19" t="n">
        <v>0.0924</v>
      </c>
      <c r="AF1349" s="19" t="n">
        <v>0.1774</v>
      </c>
      <c r="AG1349" s="19" t="n">
        <v>0.2391</v>
      </c>
      <c r="AH1349" s="23" t="n">
        <v>0.25</v>
      </c>
      <c r="AI1349" s="23" t="n">
        <v>5.96</v>
      </c>
      <c r="AJ1349" s="19" t="n">
        <v>0.0224</v>
      </c>
    </row>
    <row r="1350">
      <c r="A1350" s="16" t="inlineStr">
        <is>
          <t>HITECH</t>
        </is>
      </c>
      <c r="B1350" s="16" t="inlineStr">
        <is>
          <t>Hi-Tech Pipes Ltd.</t>
        </is>
      </c>
      <c r="C1350" s="16" t="inlineStr">
        <is>
          <t>Iron &amp; Steel Products</t>
        </is>
      </c>
      <c r="D1350" s="16" t="inlineStr">
        <is>
          <t>Metals &amp; Mining</t>
        </is>
      </c>
      <c r="E1350" s="16" t="inlineStr">
        <is>
          <t>INE106T01025</t>
        </is>
      </c>
      <c r="F1350" s="17" t="n">
        <v>1538.95</v>
      </c>
      <c r="G1350" s="18" t="n">
        <v>75.77</v>
      </c>
      <c r="H1350" s="19" t="n">
        <v>0.0083</v>
      </c>
      <c r="I1350" s="20" t="n">
        <v>14</v>
      </c>
      <c r="J1350" s="16" t="inlineStr">
        <is>
          <t>red</t>
        </is>
      </c>
      <c r="K1350" s="20" t="n">
        <v>90</v>
      </c>
      <c r="L1350" s="18" t="n">
        <v>44.59</v>
      </c>
      <c r="M1350" s="18" t="n">
        <v>78.5</v>
      </c>
      <c r="N1350" s="18" t="n">
        <v>83.62</v>
      </c>
      <c r="O1350" s="18" t="n">
        <v>86.39</v>
      </c>
      <c r="P1350" s="18" t="n">
        <v>122.59</v>
      </c>
      <c r="Q1350" s="18" t="n">
        <v>70.93000000000001</v>
      </c>
      <c r="R1350" s="21">
        <f>IF(OR(G1350="",P1350=""),"",G1350/P1350-1)</f>
        <v/>
      </c>
      <c r="S1350" s="19" t="n">
        <v>1.586</v>
      </c>
      <c r="T1350" s="22" t="n">
        <v>-0.035</v>
      </c>
      <c r="U1350" s="16" t="inlineStr">
        <is>
          <t>No</t>
        </is>
      </c>
      <c r="V1350" s="16" t="inlineStr">
        <is>
          <t>No</t>
        </is>
      </c>
      <c r="W1350" s="16" t="inlineStr">
        <is>
          <t>No</t>
        </is>
      </c>
      <c r="X1350" s="16" t="inlineStr">
        <is>
          <t>No</t>
        </is>
      </c>
      <c r="Y1350" s="20" t="n">
        <v>167</v>
      </c>
      <c r="Z1350" s="19" t="n">
        <v>-0.0321</v>
      </c>
      <c r="AA1350" s="18" t="n">
        <v>51.05</v>
      </c>
      <c r="AB1350" s="16" t="inlineStr">
        <is>
          <t>Average</t>
        </is>
      </c>
      <c r="AC1350" s="16" t="inlineStr">
        <is>
          <t>No</t>
        </is>
      </c>
      <c r="AD1350" s="19" t="n">
        <v>0.0638</v>
      </c>
      <c r="AE1350" s="19" t="n">
        <v>0.0965</v>
      </c>
      <c r="AF1350" s="19" t="n">
        <v>0.2202</v>
      </c>
      <c r="AG1350" s="19" t="n">
        <v>0.2228</v>
      </c>
      <c r="AH1350" s="23" t="n">
        <v>0.2</v>
      </c>
      <c r="AI1350" s="23" t="n">
        <v>5.85</v>
      </c>
      <c r="AJ1350" s="19" t="n">
        <v>0.1432</v>
      </c>
    </row>
    <row r="1351">
      <c r="A1351" s="16" t="inlineStr">
        <is>
          <t>SDBL</t>
        </is>
      </c>
      <c r="B1351" s="16" t="inlineStr">
        <is>
          <t>Som Distilleries &amp; Breweries Ltd.</t>
        </is>
      </c>
      <c r="C1351" s="16" t="inlineStr">
        <is>
          <t>Breweries &amp; Distilleries</t>
        </is>
      </c>
      <c r="D1351" s="16" t="inlineStr">
        <is>
          <t>Food, Beverages &amp; Tobacco</t>
        </is>
      </c>
      <c r="E1351" s="16" t="inlineStr">
        <is>
          <t>INE480C01038</t>
        </is>
      </c>
      <c r="F1351" s="17" t="n">
        <v>1538.47</v>
      </c>
      <c r="G1351" s="18" t="n">
        <v>74</v>
      </c>
      <c r="H1351" s="19" t="n">
        <v>0.019</v>
      </c>
      <c r="I1351" s="20" t="n">
        <v>10</v>
      </c>
      <c r="J1351" s="16" t="inlineStr">
        <is>
          <t>red</t>
        </is>
      </c>
      <c r="K1351" s="20" t="n">
        <v>221</v>
      </c>
      <c r="L1351" s="18" t="n">
        <v>52.65</v>
      </c>
      <c r="M1351" s="18" t="n">
        <v>72.59999999999999</v>
      </c>
      <c r="N1351" s="18" t="n">
        <v>71.23999999999999</v>
      </c>
      <c r="O1351" s="18" t="n">
        <v>84.62</v>
      </c>
      <c r="P1351" s="18" t="n">
        <v>140.89</v>
      </c>
      <c r="Q1351" s="18" t="n">
        <v>62.31</v>
      </c>
      <c r="R1351" s="21">
        <f>IF(OR(G1351="",P1351=""),"",G1351/P1351-1)</f>
        <v/>
      </c>
      <c r="S1351" s="19" t="n">
        <v>0.9179999999999999</v>
      </c>
      <c r="T1351" s="22" t="n">
        <v>-0.0601</v>
      </c>
      <c r="U1351" s="16" t="inlineStr">
        <is>
          <t>No</t>
        </is>
      </c>
      <c r="V1351" s="16" t="inlineStr">
        <is>
          <t>Yes</t>
        </is>
      </c>
      <c r="W1351" s="16" t="inlineStr">
        <is>
          <t>Yes</t>
        </is>
      </c>
      <c r="X1351" s="16" t="inlineStr">
        <is>
          <t>No</t>
        </is>
      </c>
      <c r="Y1351" s="20" t="n">
        <v>219</v>
      </c>
      <c r="Z1351" s="19" t="n">
        <v>-0.1581</v>
      </c>
      <c r="AA1351" s="18" t="n">
        <v>40</v>
      </c>
      <c r="AB1351" s="16" t="inlineStr">
        <is>
          <t>Weak</t>
        </is>
      </c>
      <c r="AC1351" s="16" t="inlineStr">
        <is>
          <t>No</t>
        </is>
      </c>
      <c r="AD1351" s="19" t="n">
        <v>0.1023</v>
      </c>
      <c r="AE1351" s="19" t="n">
        <v>0.129</v>
      </c>
      <c r="AF1351" s="19" t="n">
        <v>-0.1614</v>
      </c>
      <c r="AG1351" s="19" t="n">
        <v>0.1916</v>
      </c>
      <c r="AH1351" s="23" t="n">
        <v>0.27</v>
      </c>
      <c r="AI1351" s="23" t="n">
        <v>1.34</v>
      </c>
      <c r="AJ1351" s="19" t="n">
        <v>0.2677</v>
      </c>
    </row>
    <row r="1352">
      <c r="A1352" s="16" t="inlineStr">
        <is>
          <t>SHREEPUSHK</t>
        </is>
      </c>
      <c r="B1352" s="16" t="inlineStr">
        <is>
          <t>Shree Pushkar Chemicals &amp; Fertilisers Ltd.</t>
        </is>
      </c>
      <c r="C1352" s="16" t="inlineStr">
        <is>
          <t>Dyes &amp; Pigments</t>
        </is>
      </c>
      <c r="D1352" s="16" t="inlineStr">
        <is>
          <t>Chemicals &amp; Petrochemicals</t>
        </is>
      </c>
      <c r="E1352" s="16" t="inlineStr">
        <is>
          <t>INE712K01011</t>
        </is>
      </c>
      <c r="F1352" s="17" t="n">
        <v>1536.85</v>
      </c>
      <c r="G1352" s="18" t="n">
        <v>475.25</v>
      </c>
      <c r="H1352" s="19" t="n">
        <v>-0.0046</v>
      </c>
      <c r="I1352" s="20" t="n">
        <v>80</v>
      </c>
      <c r="J1352" s="16" t="inlineStr">
        <is>
          <t>green</t>
        </is>
      </c>
      <c r="K1352" s="20" t="n">
        <v>3</v>
      </c>
      <c r="L1352" s="18" t="n">
        <v>87.45999999999999</v>
      </c>
      <c r="M1352" s="18" t="n">
        <v>463.94</v>
      </c>
      <c r="N1352" s="18" t="n">
        <v>414.23</v>
      </c>
      <c r="O1352" s="18" t="n">
        <v>370.61</v>
      </c>
      <c r="P1352" s="18" t="n">
        <v>477.45</v>
      </c>
      <c r="Q1352" s="18" t="n">
        <v>275.7</v>
      </c>
      <c r="R1352" s="21">
        <f>IF(OR(G1352="",P1352=""),"",G1352/P1352-1)</f>
        <v/>
      </c>
      <c r="S1352" s="19" t="n">
        <v>0.634</v>
      </c>
      <c r="T1352" s="22" t="n">
        <v>0.0054</v>
      </c>
      <c r="U1352" s="16" t="inlineStr">
        <is>
          <t>Yes</t>
        </is>
      </c>
      <c r="V1352" s="16" t="inlineStr">
        <is>
          <t>Yes</t>
        </is>
      </c>
      <c r="W1352" s="16" t="inlineStr">
        <is>
          <t>Yes</t>
        </is>
      </c>
      <c r="X1352" s="16" t="inlineStr">
        <is>
          <t>Yes</t>
        </is>
      </c>
      <c r="Y1352" s="20" t="n">
        <v>58</v>
      </c>
      <c r="Z1352" s="19" t="n">
        <v>0.1177</v>
      </c>
      <c r="AA1352" s="18" t="n">
        <v>48.53</v>
      </c>
      <c r="AB1352" s="16" t="inlineStr">
        <is>
          <t>Average</t>
        </is>
      </c>
      <c r="AC1352" s="16" t="inlineStr">
        <is>
          <t>No</t>
        </is>
      </c>
      <c r="AD1352" s="19" t="n">
        <v>0.1007</v>
      </c>
      <c r="AE1352" s="19" t="n">
        <v>0.1057</v>
      </c>
      <c r="AF1352" s="19" t="n">
        <v>0.2449</v>
      </c>
      <c r="AG1352" s="19" t="n">
        <v>0.1293</v>
      </c>
      <c r="AH1352" s="23" t="n">
        <v>0.22</v>
      </c>
      <c r="AI1352" s="23" t="n">
        <v>2.17</v>
      </c>
      <c r="AJ1352" s="19" t="n">
        <v>0.332</v>
      </c>
    </row>
    <row r="1353">
      <c r="A1353" s="16" t="inlineStr">
        <is>
          <t>GNRL</t>
        </is>
      </c>
      <c r="B1353" s="16" t="inlineStr">
        <is>
          <t>Gujarat Natural Resources Ltd.</t>
        </is>
      </c>
      <c r="C1353" s="16" t="inlineStr">
        <is>
          <t>Exploration &amp; Production</t>
        </is>
      </c>
      <c r="D1353" s="16" t="inlineStr">
        <is>
          <t>Oil &amp; Gas</t>
        </is>
      </c>
      <c r="E1353" s="16" t="inlineStr">
        <is>
          <t>INE207H01018</t>
        </is>
      </c>
      <c r="F1353" s="17" t="n">
        <v>1527.74</v>
      </c>
      <c r="G1353" s="18" t="n">
        <v>99.59</v>
      </c>
      <c r="H1353" s="19" t="n">
        <v>0.032</v>
      </c>
      <c r="I1353" s="20" t="n">
        <v>63</v>
      </c>
      <c r="J1353" s="16" t="inlineStr">
        <is>
          <t>amber</t>
        </is>
      </c>
      <c r="K1353" s="20" t="n">
        <v>1</v>
      </c>
      <c r="L1353" s="18" t="n">
        <v>38.39</v>
      </c>
      <c r="M1353" s="18" t="n">
        <v>97.12</v>
      </c>
      <c r="N1353" s="18" t="n">
        <v>100.19</v>
      </c>
      <c r="O1353" s="18" t="n">
        <v>96.94</v>
      </c>
      <c r="P1353" s="18" t="n">
        <v>114.3</v>
      </c>
      <c r="Q1353" s="18" t="n">
        <v>62.55</v>
      </c>
      <c r="R1353" s="21">
        <f>IF(OR(G1353="",P1353=""),"",G1353/P1353-1)</f>
        <v/>
      </c>
      <c r="S1353" s="19" t="n">
        <v>0.8873000000000001</v>
      </c>
      <c r="T1353" s="22" t="n">
        <v>0.0138</v>
      </c>
      <c r="U1353" s="16" t="inlineStr">
        <is>
          <t>Yes</t>
        </is>
      </c>
      <c r="V1353" s="16" t="inlineStr">
        <is>
          <t>No</t>
        </is>
      </c>
      <c r="W1353" s="16" t="inlineStr">
        <is>
          <t>Yes</t>
        </is>
      </c>
      <c r="X1353" s="16" t="inlineStr">
        <is>
          <t>Yes</t>
        </is>
      </c>
      <c r="Y1353" s="20" t="n">
        <v>373</v>
      </c>
      <c r="Z1353" s="19" t="n">
        <v>0.0335</v>
      </c>
      <c r="AA1353" s="18" t="n"/>
      <c r="AB1353" s="16" t="n"/>
      <c r="AC1353" s="16" t="inlineStr">
        <is>
          <t>No</t>
        </is>
      </c>
      <c r="AD1353" s="19" t="n"/>
      <c r="AE1353" s="19" t="n"/>
      <c r="AF1353" s="19" t="n"/>
      <c r="AG1353" s="19" t="n"/>
      <c r="AH1353" s="23" t="n"/>
      <c r="AI1353" s="23" t="n"/>
      <c r="AJ1353" s="19" t="n"/>
    </row>
    <row r="1354">
      <c r="A1354" s="16" t="inlineStr">
        <is>
          <t>HINDWAREAP</t>
        </is>
      </c>
      <c r="B1354" s="16" t="inlineStr">
        <is>
          <t>Hindware Home Innovation Ltd.</t>
        </is>
      </c>
      <c r="C1354" s="16" t="inlineStr">
        <is>
          <t>Household Appliances</t>
        </is>
      </c>
      <c r="D1354" s="16" t="inlineStr">
        <is>
          <t>Consumer Durables</t>
        </is>
      </c>
      <c r="E1354" s="16" t="inlineStr">
        <is>
          <t>INE05AN01011</t>
        </is>
      </c>
      <c r="F1354" s="17" t="n">
        <v>1527.47</v>
      </c>
      <c r="G1354" s="18" t="n">
        <v>182.61</v>
      </c>
      <c r="H1354" s="19" t="n">
        <v>-0.0173</v>
      </c>
      <c r="I1354" s="20" t="n">
        <v>4</v>
      </c>
      <c r="J1354" s="16" t="inlineStr">
        <is>
          <t>red</t>
        </is>
      </c>
      <c r="K1354" s="20" t="n">
        <v>181</v>
      </c>
      <c r="L1354" s="18" t="n">
        <v>27.54</v>
      </c>
      <c r="M1354" s="18" t="n">
        <v>187.29</v>
      </c>
      <c r="N1354" s="18" t="n">
        <v>217.83</v>
      </c>
      <c r="O1354" s="18" t="n">
        <v>233.95</v>
      </c>
      <c r="P1354" s="18" t="n">
        <v>380.85</v>
      </c>
      <c r="Q1354" s="18" t="n">
        <v>172.94</v>
      </c>
      <c r="R1354" s="21">
        <f>IF(OR(G1354="",P1354=""),"",G1354/P1354-1)</f>
        <v/>
      </c>
      <c r="S1354" s="19" t="n">
        <v>0.6814</v>
      </c>
      <c r="T1354" s="22" t="n">
        <v>-0.0678</v>
      </c>
      <c r="U1354" s="16" t="inlineStr">
        <is>
          <t>No</t>
        </is>
      </c>
      <c r="V1354" s="16" t="inlineStr">
        <is>
          <t>No</t>
        </is>
      </c>
      <c r="W1354" s="16" t="inlineStr">
        <is>
          <t>No</t>
        </is>
      </c>
      <c r="X1354" s="16" t="inlineStr">
        <is>
          <t>No</t>
        </is>
      </c>
      <c r="Y1354" s="20" t="n">
        <v>155</v>
      </c>
      <c r="Z1354" s="19" t="n">
        <v>-0.0689</v>
      </c>
      <c r="AA1354" s="18" t="n">
        <v>14.22</v>
      </c>
      <c r="AB1354" s="16" t="inlineStr">
        <is>
          <t>Poor</t>
        </is>
      </c>
      <c r="AC1354" s="16" t="inlineStr">
        <is>
          <t>No</t>
        </is>
      </c>
      <c r="AD1354" s="19" t="n">
        <v>-0.0329</v>
      </c>
      <c r="AE1354" s="19" t="n">
        <v>0.0545</v>
      </c>
      <c r="AF1354" s="19" t="n">
        <v>-1.2101</v>
      </c>
      <c r="AG1354" s="19" t="n">
        <v>-0.0434</v>
      </c>
      <c r="AH1354" s="23" t="n">
        <v>1.31</v>
      </c>
      <c r="AI1354" s="23" t="n">
        <v>2.24</v>
      </c>
      <c r="AJ1354" s="19" t="n">
        <v>0.09039999999999999</v>
      </c>
    </row>
    <row r="1355">
      <c r="A1355" s="16" t="inlineStr">
        <is>
          <t>SPMLINFRA</t>
        </is>
      </c>
      <c r="B1355" s="16" t="inlineStr">
        <is>
          <t>SPML Infra Ltd.</t>
        </is>
      </c>
      <c r="C1355" s="16" t="inlineStr">
        <is>
          <t>Construction &amp; Engineering</t>
        </is>
      </c>
      <c r="D1355" s="16" t="inlineStr">
        <is>
          <t>Cement and Construction</t>
        </is>
      </c>
      <c r="E1355" s="16" t="inlineStr">
        <is>
          <t>INE937A01023</t>
        </is>
      </c>
      <c r="F1355" s="17" t="n">
        <v>1526.56</v>
      </c>
      <c r="G1355" s="18" t="n">
        <v>181.41</v>
      </c>
      <c r="H1355" s="19" t="n">
        <v>0.0467</v>
      </c>
      <c r="I1355" s="20" t="n">
        <v>22</v>
      </c>
      <c r="J1355" s="16" t="inlineStr">
        <is>
          <t>red</t>
        </is>
      </c>
      <c r="K1355" s="20" t="n">
        <v>66</v>
      </c>
      <c r="L1355" s="18" t="n">
        <v>32.11</v>
      </c>
      <c r="M1355" s="18" t="n">
        <v>179.59</v>
      </c>
      <c r="N1355" s="18" t="n">
        <v>192.51</v>
      </c>
      <c r="O1355" s="18" t="n">
        <v>188.76</v>
      </c>
      <c r="P1355" s="18" t="n">
        <v>292.4</v>
      </c>
      <c r="Q1355" s="18" t="n">
        <v>153.73</v>
      </c>
      <c r="R1355" s="21">
        <f>IF(OR(G1355="",P1355=""),"",G1355/P1355-1)</f>
        <v/>
      </c>
      <c r="S1355" s="19" t="n">
        <v>2.2306</v>
      </c>
      <c r="T1355" s="22" t="n">
        <v>-0.0182</v>
      </c>
      <c r="U1355" s="16" t="inlineStr">
        <is>
          <t>No</t>
        </is>
      </c>
      <c r="V1355" s="16" t="inlineStr">
        <is>
          <t>No</t>
        </is>
      </c>
      <c r="W1355" s="16" t="inlineStr">
        <is>
          <t>Yes</t>
        </is>
      </c>
      <c r="X1355" s="16" t="inlineStr">
        <is>
          <t>Yes</t>
        </is>
      </c>
      <c r="Y1355" s="20" t="n">
        <v>57</v>
      </c>
      <c r="Z1355" s="19" t="n">
        <v>0.0199</v>
      </c>
      <c r="AA1355" s="18" t="n">
        <v>30.62</v>
      </c>
      <c r="AB1355" s="16" t="inlineStr">
        <is>
          <t>Poor</t>
        </is>
      </c>
      <c r="AC1355" s="16" t="inlineStr">
        <is>
          <t>No</t>
        </is>
      </c>
      <c r="AD1355" s="19" t="n">
        <v>0.042</v>
      </c>
      <c r="AE1355" s="19" t="n">
        <v>0.0516</v>
      </c>
      <c r="AF1355" s="19" t="n">
        <v>-4.268</v>
      </c>
      <c r="AG1355" s="19" t="n">
        <v>0.063</v>
      </c>
      <c r="AH1355" s="23" t="n">
        <v>0.38</v>
      </c>
      <c r="AI1355" s="23" t="n">
        <v>8.390000000000001</v>
      </c>
      <c r="AJ1355" s="19" t="n">
        <v>0.6204</v>
      </c>
    </row>
    <row r="1356">
      <c r="A1356" s="16" t="inlineStr">
        <is>
          <t>MODISONLTD</t>
        </is>
      </c>
      <c r="B1356" s="16" t="inlineStr">
        <is>
          <t>Modison Ltd.</t>
        </is>
      </c>
      <c r="C1356" s="16" t="inlineStr">
        <is>
          <t>Other Electrical Equipment/Products</t>
        </is>
      </c>
      <c r="D1356" s="16" t="inlineStr">
        <is>
          <t>Consumer Durables</t>
        </is>
      </c>
      <c r="E1356" s="16" t="inlineStr">
        <is>
          <t>INE737D01021</t>
        </is>
      </c>
      <c r="F1356" s="17" t="n">
        <v>1524.99</v>
      </c>
      <c r="G1356" s="18" t="n">
        <v>469.95</v>
      </c>
      <c r="H1356" s="19" t="n">
        <v>-0.0499</v>
      </c>
      <c r="I1356" s="20" t="n">
        <v>98</v>
      </c>
      <c r="J1356" s="16" t="inlineStr">
        <is>
          <t>green</t>
        </is>
      </c>
      <c r="K1356" s="20" t="n">
        <v>75</v>
      </c>
      <c r="L1356" s="18" t="n">
        <v>70.88</v>
      </c>
      <c r="M1356" s="18" t="n">
        <v>458.51</v>
      </c>
      <c r="N1356" s="18" t="n">
        <v>331.29</v>
      </c>
      <c r="O1356" s="18" t="n">
        <v>211.08</v>
      </c>
      <c r="P1356" s="18" t="n">
        <v>520.65</v>
      </c>
      <c r="Q1356" s="18" t="n">
        <v>113.43</v>
      </c>
      <c r="R1356" s="21">
        <f>IF(OR(G1356="",P1356=""),"",G1356/P1356-1)</f>
        <v/>
      </c>
      <c r="S1356" s="19" t="n">
        <v>2.0477</v>
      </c>
      <c r="T1356" s="22" t="n">
        <v>0.1361</v>
      </c>
      <c r="U1356" s="16" t="inlineStr">
        <is>
          <t>Yes</t>
        </is>
      </c>
      <c r="V1356" s="16" t="inlineStr">
        <is>
          <t>Yes</t>
        </is>
      </c>
      <c r="W1356" s="16" t="inlineStr">
        <is>
          <t>Yes</t>
        </is>
      </c>
      <c r="X1356" s="16" t="inlineStr">
        <is>
          <t>Yes</t>
        </is>
      </c>
      <c r="Y1356" s="20" t="n">
        <v>73</v>
      </c>
      <c r="Z1356" s="19" t="n">
        <v>0.5695</v>
      </c>
      <c r="AA1356" s="18" t="n">
        <v>55.56</v>
      </c>
      <c r="AB1356" s="16" t="inlineStr">
        <is>
          <t>Good</t>
        </is>
      </c>
      <c r="AC1356" s="16" t="inlineStr">
        <is>
          <t>No</t>
        </is>
      </c>
      <c r="AD1356" s="19" t="n">
        <v>0.161</v>
      </c>
      <c r="AE1356" s="19" t="n">
        <v>0.1675</v>
      </c>
      <c r="AF1356" s="19" t="n">
        <v>0.0231</v>
      </c>
      <c r="AG1356" s="19" t="n">
        <v>0.2901</v>
      </c>
      <c r="AH1356" s="23" t="n">
        <v>0.64</v>
      </c>
      <c r="AI1356" s="23" t="n">
        <v>7.08</v>
      </c>
      <c r="AJ1356" s="19" t="n">
        <v>0.0868</v>
      </c>
    </row>
    <row r="1357">
      <c r="A1357" s="16" t="inlineStr">
        <is>
          <t>FRONTSP</t>
        </is>
      </c>
      <c r="B1357" s="16" t="inlineStr">
        <is>
          <t>Frontier Springs Ltd.</t>
        </is>
      </c>
      <c r="C1357" s="16" t="inlineStr">
        <is>
          <t>Auto Parts &amp; Equipment</t>
        </is>
      </c>
      <c r="D1357" s="16" t="inlineStr">
        <is>
          <t>Automobiles &amp; Auto Components</t>
        </is>
      </c>
      <c r="E1357" s="16" t="inlineStr">
        <is>
          <t>INE572D01014</t>
        </is>
      </c>
      <c r="F1357" s="17" t="n">
        <v>1522.01</v>
      </c>
      <c r="G1357" s="18" t="n">
        <v>1288.15</v>
      </c>
      <c r="H1357" s="19" t="n">
        <v>0.0147</v>
      </c>
      <c r="I1357" s="20" t="n">
        <v>18</v>
      </c>
      <c r="J1357" s="16" t="inlineStr">
        <is>
          <t>red</t>
        </is>
      </c>
      <c r="K1357" s="20" t="n">
        <v>64</v>
      </c>
      <c r="L1357" s="18" t="n">
        <v>50.21</v>
      </c>
      <c r="M1357" s="18" t="n">
        <v>1272.32</v>
      </c>
      <c r="N1357" s="18" t="n">
        <v>1365.71</v>
      </c>
      <c r="O1357" s="18" t="n">
        <v>1426.89</v>
      </c>
      <c r="P1357" s="18" t="n">
        <v>1794.7</v>
      </c>
      <c r="Q1357" s="18" t="n">
        <v>1227.15</v>
      </c>
      <c r="R1357" s="21">
        <f>IF(OR(G1357="",P1357=""),"",G1357/P1357-1)</f>
        <v/>
      </c>
      <c r="S1357" s="19" t="n">
        <v>0.6157</v>
      </c>
      <c r="T1357" s="22" t="n">
        <v>-0.0115</v>
      </c>
      <c r="U1357" s="16" t="inlineStr">
        <is>
          <t>No</t>
        </is>
      </c>
      <c r="V1357" s="16" t="inlineStr">
        <is>
          <t>No</t>
        </is>
      </c>
      <c r="W1357" s="16" t="inlineStr">
        <is>
          <t>Yes</t>
        </is>
      </c>
      <c r="X1357" s="16" t="inlineStr">
        <is>
          <t>No</t>
        </is>
      </c>
      <c r="Y1357" s="20" t="n">
        <v>24</v>
      </c>
      <c r="Z1357" s="19" t="n">
        <v>-0.0429</v>
      </c>
      <c r="AA1357" s="18" t="n"/>
      <c r="AB1357" s="16" t="n"/>
      <c r="AC1357" s="16" t="inlineStr">
        <is>
          <t>No</t>
        </is>
      </c>
      <c r="AD1357" s="19" t="n"/>
      <c r="AE1357" s="19" t="n"/>
      <c r="AF1357" s="19" t="n"/>
      <c r="AG1357" s="19" t="n"/>
      <c r="AH1357" s="23" t="n"/>
      <c r="AI1357" s="23" t="n"/>
      <c r="AJ1357" s="19" t="n"/>
    </row>
    <row r="1358">
      <c r="A1358" s="16" t="inlineStr">
        <is>
          <t>RSL</t>
        </is>
      </c>
      <c r="B1358" s="16" t="inlineStr">
        <is>
          <t>Rajputana Stainless Ltd.</t>
        </is>
      </c>
      <c r="C1358" s="16" t="inlineStr">
        <is>
          <t>Iron &amp; Steel Products</t>
        </is>
      </c>
      <c r="D1358" s="16" t="inlineStr">
        <is>
          <t>Metals &amp; Mining</t>
        </is>
      </c>
      <c r="E1358" s="16" t="inlineStr">
        <is>
          <t>INE313L01016</t>
        </is>
      </c>
      <c r="F1358" s="17" t="n">
        <v>1516.75</v>
      </c>
      <c r="G1358" s="18" t="n">
        <v>181.5</v>
      </c>
      <c r="H1358" s="19" t="n">
        <v>-0.0003</v>
      </c>
      <c r="I1358" s="20" t="n">
        <v>81</v>
      </c>
      <c r="J1358" s="16" t="inlineStr">
        <is>
          <t>green</t>
        </is>
      </c>
      <c r="K1358" s="20" t="n">
        <v>7</v>
      </c>
      <c r="L1358" s="18" t="n">
        <v>82.81</v>
      </c>
      <c r="M1358" s="18" t="n">
        <v>176.62</v>
      </c>
      <c r="N1358" s="18" t="n">
        <v>148.15</v>
      </c>
      <c r="O1358" s="18" t="n"/>
      <c r="P1358" s="18" t="n">
        <v>181.56</v>
      </c>
      <c r="Q1358" s="18" t="n">
        <v>102.4</v>
      </c>
      <c r="R1358" s="21">
        <f>IF(OR(G1358="",P1358=""),"",G1358/P1358-1)</f>
        <v/>
      </c>
      <c r="S1358" s="19" t="n">
        <v>0.434</v>
      </c>
      <c r="T1358" s="22" t="n"/>
      <c r="U1358" s="16" t="n"/>
      <c r="V1358" s="16" t="inlineStr">
        <is>
          <t>Yes</t>
        </is>
      </c>
      <c r="W1358" s="16" t="inlineStr">
        <is>
          <t>Yes</t>
        </is>
      </c>
      <c r="X1358" s="16" t="n"/>
      <c r="Y1358" s="20" t="n"/>
      <c r="Z1358" s="19" t="n"/>
      <c r="AA1358" s="18" t="n">
        <v>40</v>
      </c>
      <c r="AB1358" s="16" t="inlineStr">
        <is>
          <t>Weak</t>
        </is>
      </c>
      <c r="AC1358" s="16" t="inlineStr">
        <is>
          <t>No</t>
        </is>
      </c>
      <c r="AD1358" s="19" t="n">
        <v>0.227</v>
      </c>
      <c r="AE1358" s="19" t="n">
        <v>0.2531</v>
      </c>
      <c r="AF1358" s="19" t="n">
        <v>-0.1419</v>
      </c>
      <c r="AG1358" s="19" t="n">
        <v>0.0222</v>
      </c>
      <c r="AH1358" s="23" t="n">
        <v>0.19</v>
      </c>
      <c r="AI1358" s="23" t="n">
        <v>13.36</v>
      </c>
      <c r="AJ1358" s="19" t="n">
        <v>0.05769999999999999</v>
      </c>
    </row>
    <row r="1359">
      <c r="A1359" s="16" t="inlineStr">
        <is>
          <t>KRISHNADEF</t>
        </is>
      </c>
      <c r="B1359" s="16" t="inlineStr">
        <is>
          <t>Krishna Defence and Allied Industries Ltd.</t>
        </is>
      </c>
      <c r="C1359" s="16" t="inlineStr">
        <is>
          <t>Aerospace &amp; Defence</t>
        </is>
      </c>
      <c r="D1359" s="16" t="inlineStr">
        <is>
          <t>General Industrials</t>
        </is>
      </c>
      <c r="E1359" s="16" t="inlineStr">
        <is>
          <t>INE0J5601015</t>
        </is>
      </c>
      <c r="F1359" s="17" t="n">
        <v>1514.5</v>
      </c>
      <c r="G1359" s="18" t="n">
        <v>1013.2</v>
      </c>
      <c r="H1359" s="19" t="n">
        <v>0.004500000000000001</v>
      </c>
      <c r="I1359" s="20" t="n">
        <v>46</v>
      </c>
      <c r="J1359" s="16" t="inlineStr">
        <is>
          <t>red</t>
        </is>
      </c>
      <c r="K1359" s="20" t="n">
        <v>12</v>
      </c>
      <c r="L1359" s="18" t="n">
        <v>39.37</v>
      </c>
      <c r="M1359" s="18" t="n">
        <v>1014.06</v>
      </c>
      <c r="N1359" s="18" t="n">
        <v>1175.84</v>
      </c>
      <c r="O1359" s="18" t="n">
        <v>1036.66</v>
      </c>
      <c r="P1359" s="18" t="n">
        <v>1368.86</v>
      </c>
      <c r="Q1359" s="18" t="n">
        <v>672.54</v>
      </c>
      <c r="R1359" s="21">
        <f>IF(OR(G1359="",P1359=""),"",G1359/P1359-1)</f>
        <v/>
      </c>
      <c r="S1359" s="19" t="n">
        <v>0.6076</v>
      </c>
      <c r="T1359" s="22" t="n">
        <v>0.0261</v>
      </c>
      <c r="U1359" s="16" t="inlineStr">
        <is>
          <t>Yes</t>
        </is>
      </c>
      <c r="V1359" s="16" t="inlineStr">
        <is>
          <t>No</t>
        </is>
      </c>
      <c r="W1359" s="16" t="inlineStr">
        <is>
          <t>No</t>
        </is>
      </c>
      <c r="X1359" s="16" t="inlineStr">
        <is>
          <t>Yes</t>
        </is>
      </c>
      <c r="Y1359" s="20" t="n">
        <v>150</v>
      </c>
      <c r="Z1359" s="19" t="n">
        <v>0.1343</v>
      </c>
      <c r="AA1359" s="18" t="n">
        <v>75.70999999999999</v>
      </c>
      <c r="AB1359" s="16" t="inlineStr">
        <is>
          <t>High</t>
        </is>
      </c>
      <c r="AC1359" s="16" t="inlineStr">
        <is>
          <t>No</t>
        </is>
      </c>
      <c r="AD1359" s="19" t="n">
        <v>0.1583</v>
      </c>
      <c r="AE1359" s="19" t="n">
        <v>0.2013</v>
      </c>
      <c r="AF1359" s="19" t="n">
        <v>0.2189</v>
      </c>
      <c r="AG1359" s="19" t="n">
        <v>0.5832999999999999</v>
      </c>
      <c r="AH1359" s="23" t="n">
        <v>0.01</v>
      </c>
      <c r="AI1359" s="23" t="n">
        <v>6.04</v>
      </c>
      <c r="AJ1359" s="19" t="n">
        <v>0.1441</v>
      </c>
    </row>
    <row r="1360">
      <c r="A1360" s="16" t="inlineStr">
        <is>
          <t>MOBIKWIK</t>
        </is>
      </c>
      <c r="B1360" s="16" t="inlineStr">
        <is>
          <t>One Mobikwik Systems Ltd.</t>
        </is>
      </c>
      <c r="C1360" s="16" t="inlineStr">
        <is>
          <t>Internet Software &amp; Services</t>
        </is>
      </c>
      <c r="D1360" s="16" t="inlineStr">
        <is>
          <t>Software &amp; Services</t>
        </is>
      </c>
      <c r="E1360" s="16" t="inlineStr">
        <is>
          <t>INE0HLU01028</t>
        </is>
      </c>
      <c r="F1360" s="17" t="n">
        <v>1512.89</v>
      </c>
      <c r="G1360" s="18" t="n">
        <v>192.12</v>
      </c>
      <c r="H1360" s="19" t="n">
        <v>0.007900000000000001</v>
      </c>
      <c r="I1360" s="20" t="n">
        <v>23</v>
      </c>
      <c r="J1360" s="16" t="inlineStr">
        <is>
          <t>red</t>
        </is>
      </c>
      <c r="K1360" s="20" t="n">
        <v>240</v>
      </c>
      <c r="L1360" s="18" t="n">
        <v>33.21</v>
      </c>
      <c r="M1360" s="18" t="n">
        <v>190.54</v>
      </c>
      <c r="N1360" s="18" t="n">
        <v>203.33</v>
      </c>
      <c r="O1360" s="18" t="n">
        <v>206.93</v>
      </c>
      <c r="P1360" s="18" t="n">
        <v>325.29</v>
      </c>
      <c r="Q1360" s="18" t="n">
        <v>155.07</v>
      </c>
      <c r="R1360" s="21">
        <f>IF(OR(G1360="",P1360=""),"",G1360/P1360-1)</f>
        <v/>
      </c>
      <c r="S1360" s="19" t="n">
        <v>0.2656</v>
      </c>
      <c r="T1360" s="22" t="n">
        <v>-0.0287</v>
      </c>
      <c r="U1360" s="16" t="inlineStr">
        <is>
          <t>No</t>
        </is>
      </c>
      <c r="V1360" s="16" t="inlineStr">
        <is>
          <t>No</t>
        </is>
      </c>
      <c r="W1360" s="16" t="inlineStr">
        <is>
          <t>Yes</t>
        </is>
      </c>
      <c r="X1360" s="16" t="inlineStr">
        <is>
          <t>No</t>
        </is>
      </c>
      <c r="Y1360" s="20" t="n">
        <v>230</v>
      </c>
      <c r="Z1360" s="19" t="n">
        <v>-0.0174</v>
      </c>
      <c r="AA1360" s="18" t="n">
        <v>30.62</v>
      </c>
      <c r="AB1360" s="16" t="inlineStr">
        <is>
          <t>Poor</t>
        </is>
      </c>
      <c r="AC1360" s="16" t="inlineStr">
        <is>
          <t>No</t>
        </is>
      </c>
      <c r="AD1360" s="19" t="n">
        <v>-0.0784</v>
      </c>
      <c r="AE1360" s="19" t="n">
        <v>-0.0218</v>
      </c>
      <c r="AF1360" s="19" t="n">
        <v>-2.3114</v>
      </c>
      <c r="AG1360" s="19" t="n">
        <v>0.3053</v>
      </c>
      <c r="AH1360" s="23" t="n">
        <v>0.51</v>
      </c>
      <c r="AI1360" s="23" t="n">
        <v>50.33</v>
      </c>
      <c r="AJ1360" s="19" t="n">
        <v>0</v>
      </c>
    </row>
    <row r="1361">
      <c r="A1361" s="16" t="inlineStr">
        <is>
          <t>DELTACORP</t>
        </is>
      </c>
      <c r="B1361" s="16" t="inlineStr">
        <is>
          <t>Delta Corp Ltd.</t>
        </is>
      </c>
      <c r="C1361" s="16" t="inlineStr">
        <is>
          <t>Other Leisure Facilities</t>
        </is>
      </c>
      <c r="D1361" s="16" t="inlineStr">
        <is>
          <t>Diversified Consumer Services</t>
        </is>
      </c>
      <c r="E1361" s="16" t="inlineStr">
        <is>
          <t>INE124G01033</t>
        </is>
      </c>
      <c r="F1361" s="17" t="n">
        <v>1502.73</v>
      </c>
      <c r="G1361" s="18" t="n">
        <v>56.12</v>
      </c>
      <c r="H1361" s="19" t="n">
        <v>-0.0023</v>
      </c>
      <c r="I1361" s="20" t="n">
        <v>10</v>
      </c>
      <c r="J1361" s="16" t="inlineStr">
        <is>
          <t>red</t>
        </is>
      </c>
      <c r="K1361" s="20" t="n">
        <v>71</v>
      </c>
      <c r="L1361" s="18" t="n">
        <v>31.41</v>
      </c>
      <c r="M1361" s="18" t="n">
        <v>58.15</v>
      </c>
      <c r="N1361" s="18" t="n">
        <v>61.9</v>
      </c>
      <c r="O1361" s="18" t="n">
        <v>64.70999999999999</v>
      </c>
      <c r="P1361" s="18" t="n">
        <v>86.56</v>
      </c>
      <c r="Q1361" s="18" t="n">
        <v>48.93</v>
      </c>
      <c r="R1361" s="21">
        <f>IF(OR(G1361="",P1361=""),"",G1361/P1361-1)</f>
        <v/>
      </c>
      <c r="S1361" s="19" t="n">
        <v>1.1668</v>
      </c>
      <c r="T1361" s="22" t="n">
        <v>-0.0226</v>
      </c>
      <c r="U1361" s="16" t="inlineStr">
        <is>
          <t>No</t>
        </is>
      </c>
      <c r="V1361" s="16" t="inlineStr">
        <is>
          <t>No</t>
        </is>
      </c>
      <c r="W1361" s="16" t="inlineStr">
        <is>
          <t>No</t>
        </is>
      </c>
      <c r="X1361" s="16" t="inlineStr">
        <is>
          <t>No</t>
        </is>
      </c>
      <c r="Y1361" s="20" t="n">
        <v>38</v>
      </c>
      <c r="Z1361" s="19" t="n">
        <v>-0.0435</v>
      </c>
      <c r="AA1361" s="18" t="n">
        <v>36.11</v>
      </c>
      <c r="AB1361" s="16" t="inlineStr">
        <is>
          <t>Weak</t>
        </is>
      </c>
      <c r="AC1361" s="16" t="inlineStr">
        <is>
          <t>No</t>
        </is>
      </c>
      <c r="AD1361" s="19" t="n">
        <v>0.0761</v>
      </c>
      <c r="AE1361" s="19" t="n">
        <v>0.1143</v>
      </c>
      <c r="AF1361" s="19" t="n">
        <v>-0.3483</v>
      </c>
      <c r="AG1361" s="19" t="n">
        <v>-0.1056</v>
      </c>
      <c r="AH1361" s="23" t="n">
        <v>0.02</v>
      </c>
      <c r="AI1361" s="23" t="n">
        <v>0.52</v>
      </c>
      <c r="AJ1361" s="19" t="n">
        <v>0.3526</v>
      </c>
    </row>
    <row r="1362">
      <c r="A1362" s="16" t="inlineStr">
        <is>
          <t>CLSEL</t>
        </is>
      </c>
      <c r="B1362" s="16" t="inlineStr">
        <is>
          <t>Chaman Lal Setia Exports Ltd.</t>
        </is>
      </c>
      <c r="C1362" s="16" t="inlineStr">
        <is>
          <t>Other Agricultural Products</t>
        </is>
      </c>
      <c r="D1362" s="16" t="inlineStr">
        <is>
          <t>Food, Beverages &amp; Tobacco</t>
        </is>
      </c>
      <c r="E1362" s="16" t="inlineStr">
        <is>
          <t>INE419D01026</t>
        </is>
      </c>
      <c r="F1362" s="17" t="n">
        <v>1501.22</v>
      </c>
      <c r="G1362" s="18" t="n">
        <v>301.9</v>
      </c>
      <c r="H1362" s="19" t="n">
        <v>-0.0095</v>
      </c>
      <c r="I1362" s="20" t="n">
        <v>58</v>
      </c>
      <c r="J1362" s="16" t="inlineStr">
        <is>
          <t>red</t>
        </is>
      </c>
      <c r="K1362" s="20" t="n">
        <v>1</v>
      </c>
      <c r="L1362" s="18" t="n">
        <v>61.71</v>
      </c>
      <c r="M1362" s="18" t="n">
        <v>301.57</v>
      </c>
      <c r="N1362" s="18" t="n">
        <v>287.53</v>
      </c>
      <c r="O1362" s="18" t="n">
        <v>270.27</v>
      </c>
      <c r="P1362" s="18" t="n">
        <v>319.05</v>
      </c>
      <c r="Q1362" s="18" t="n">
        <v>205.25</v>
      </c>
      <c r="R1362" s="21">
        <f>IF(OR(G1362="",P1362=""),"",G1362/P1362-1)</f>
        <v/>
      </c>
      <c r="S1362" s="19" t="n">
        <v>0.3379</v>
      </c>
      <c r="T1362" s="22" t="n">
        <v>0.0067</v>
      </c>
      <c r="U1362" s="16" t="inlineStr">
        <is>
          <t>Yes</t>
        </is>
      </c>
      <c r="V1362" s="16" t="inlineStr">
        <is>
          <t>Yes</t>
        </is>
      </c>
      <c r="W1362" s="16" t="inlineStr">
        <is>
          <t>Yes</t>
        </is>
      </c>
      <c r="X1362" s="16" t="inlineStr">
        <is>
          <t>Yes</t>
        </is>
      </c>
      <c r="Y1362" s="20" t="n">
        <v>68</v>
      </c>
      <c r="Z1362" s="19" t="n">
        <v>0.0639</v>
      </c>
      <c r="AA1362" s="18" t="n">
        <v>52.34</v>
      </c>
      <c r="AB1362" s="16" t="inlineStr">
        <is>
          <t>Good</t>
        </is>
      </c>
      <c r="AC1362" s="16" t="inlineStr">
        <is>
          <t>No</t>
        </is>
      </c>
      <c r="AD1362" s="19" t="n">
        <v>0.1464</v>
      </c>
      <c r="AE1362" s="19" t="n">
        <v>0.1774</v>
      </c>
      <c r="AF1362" s="19" t="n">
        <v>0.008100000000000001</v>
      </c>
      <c r="AG1362" s="19" t="n">
        <v>0.0237</v>
      </c>
      <c r="AH1362" s="23" t="n">
        <v>0.1</v>
      </c>
      <c r="AI1362" s="23" t="n">
        <v>8.609999999999999</v>
      </c>
      <c r="AJ1362" s="19" t="n">
        <v>0.0005</v>
      </c>
    </row>
    <row r="1363">
      <c r="A1363" s="16" t="inlineStr">
        <is>
          <t>ONEPOINT</t>
        </is>
      </c>
      <c r="B1363" s="16" t="inlineStr">
        <is>
          <t>One Point One Solutions Ltd.</t>
        </is>
      </c>
      <c r="C1363" s="16" t="inlineStr">
        <is>
          <t>BPO/KPO</t>
        </is>
      </c>
      <c r="D1363" s="16" t="inlineStr">
        <is>
          <t>Software &amp; Services</t>
        </is>
      </c>
      <c r="E1363" s="16" t="inlineStr">
        <is>
          <t>INE840Y01029</t>
        </is>
      </c>
      <c r="F1363" s="17" t="n">
        <v>1500.14</v>
      </c>
      <c r="G1363" s="18" t="n">
        <v>57.01</v>
      </c>
      <c r="H1363" s="19" t="n">
        <v>0.0438</v>
      </c>
      <c r="I1363" s="20" t="n">
        <v>58</v>
      </c>
      <c r="J1363" s="16" t="inlineStr">
        <is>
          <t>red</t>
        </is>
      </c>
      <c r="K1363" s="20" t="n">
        <v>16</v>
      </c>
      <c r="L1363" s="18" t="n">
        <v>48.42</v>
      </c>
      <c r="M1363" s="18" t="n">
        <v>55.23</v>
      </c>
      <c r="N1363" s="18" t="n">
        <v>56.32</v>
      </c>
      <c r="O1363" s="18" t="n">
        <v>53.96</v>
      </c>
      <c r="P1363" s="18" t="n">
        <v>64.5</v>
      </c>
      <c r="Q1363" s="18" t="n">
        <v>41.39</v>
      </c>
      <c r="R1363" s="21">
        <f>IF(OR(G1363="",P1363=""),"",G1363/P1363-1)</f>
        <v/>
      </c>
      <c r="S1363" s="19" t="n">
        <v>2.3919</v>
      </c>
      <c r="T1363" s="22" t="n">
        <v>0.0139</v>
      </c>
      <c r="U1363" s="16" t="inlineStr">
        <is>
          <t>Yes</t>
        </is>
      </c>
      <c r="V1363" s="16" t="inlineStr">
        <is>
          <t>Yes</t>
        </is>
      </c>
      <c r="W1363" s="16" t="inlineStr">
        <is>
          <t>Yes</t>
        </is>
      </c>
      <c r="X1363" s="16" t="inlineStr">
        <is>
          <t>Yes</t>
        </is>
      </c>
      <c r="Y1363" s="20" t="n">
        <v>86</v>
      </c>
      <c r="Z1363" s="19" t="n">
        <v>0.0436</v>
      </c>
      <c r="AA1363" s="18" t="n">
        <v>53.12</v>
      </c>
      <c r="AB1363" s="16" t="inlineStr">
        <is>
          <t>Good</t>
        </is>
      </c>
      <c r="AC1363" s="16" t="inlineStr">
        <is>
          <t>No</t>
        </is>
      </c>
      <c r="AD1363" s="19" t="n">
        <v>0.1069</v>
      </c>
      <c r="AE1363" s="19" t="n">
        <v>0.1252</v>
      </c>
      <c r="AF1363" s="19" t="n">
        <v>0.5294</v>
      </c>
      <c r="AG1363" s="19" t="n">
        <v>0.3143</v>
      </c>
      <c r="AH1363" s="23" t="n">
        <v>0.49</v>
      </c>
      <c r="AI1363" s="23" t="n">
        <v>1.74</v>
      </c>
      <c r="AJ1363" s="19" t="n">
        <v>0.4039</v>
      </c>
    </row>
    <row r="1364">
      <c r="A1364" s="16" t="inlineStr">
        <is>
          <t>DOLLAR</t>
        </is>
      </c>
      <c r="B1364" s="16" t="inlineStr">
        <is>
          <t>Dollar Industries Ltd.</t>
        </is>
      </c>
      <c r="C1364" s="16" t="inlineStr">
        <is>
          <t>Other Apparels &amp; Accessories</t>
        </is>
      </c>
      <c r="D1364" s="16" t="inlineStr">
        <is>
          <t>Textiles Apparels &amp; Accessories</t>
        </is>
      </c>
      <c r="E1364" s="16" t="inlineStr">
        <is>
          <t>INE325C01035</t>
        </is>
      </c>
      <c r="F1364" s="17" t="n">
        <v>1498.72</v>
      </c>
      <c r="G1364" s="18" t="n">
        <v>264.25</v>
      </c>
      <c r="H1364" s="19" t="n">
        <v>-0.0028</v>
      </c>
      <c r="I1364" s="20" t="n">
        <v>27</v>
      </c>
      <c r="J1364" s="16" t="inlineStr">
        <is>
          <t>red</t>
        </is>
      </c>
      <c r="K1364" s="20" t="n">
        <v>501</v>
      </c>
      <c r="L1364" s="18" t="n">
        <v>43.26</v>
      </c>
      <c r="M1364" s="18" t="n">
        <v>266.5</v>
      </c>
      <c r="N1364" s="18" t="n">
        <v>266.8</v>
      </c>
      <c r="O1364" s="18" t="n">
        <v>288.12</v>
      </c>
      <c r="P1364" s="18" t="n">
        <v>382.99</v>
      </c>
      <c r="Q1364" s="18" t="n">
        <v>220.7</v>
      </c>
      <c r="R1364" s="21">
        <f>IF(OR(G1364="",P1364=""),"",G1364/P1364-1)</f>
        <v/>
      </c>
      <c r="S1364" s="19" t="n">
        <v>0.2595</v>
      </c>
      <c r="T1364" s="22" t="n">
        <v>-0.0269</v>
      </c>
      <c r="U1364" s="16" t="inlineStr">
        <is>
          <t>No</t>
        </is>
      </c>
      <c r="V1364" s="16" t="inlineStr">
        <is>
          <t>No</t>
        </is>
      </c>
      <c r="W1364" s="16" t="inlineStr">
        <is>
          <t>No</t>
        </is>
      </c>
      <c r="X1364" s="16" t="inlineStr">
        <is>
          <t>No</t>
        </is>
      </c>
      <c r="Y1364" s="20" t="n">
        <v>483</v>
      </c>
      <c r="Z1364" s="19" t="n">
        <v>-0.07400000000000001</v>
      </c>
      <c r="AA1364" s="18" t="n">
        <v>40</v>
      </c>
      <c r="AB1364" s="16" t="inlineStr">
        <is>
          <t>Weak</t>
        </is>
      </c>
      <c r="AC1364" s="16" t="inlineStr">
        <is>
          <t>No</t>
        </is>
      </c>
      <c r="AD1364" s="19" t="n">
        <v>0.1117</v>
      </c>
      <c r="AE1364" s="19" t="n">
        <v>0.1294</v>
      </c>
      <c r="AF1364" s="19" t="n">
        <v>-0.09119999999999999</v>
      </c>
      <c r="AG1364" s="19" t="n">
        <v>0.1063</v>
      </c>
      <c r="AH1364" s="23" t="n">
        <v>0.31</v>
      </c>
      <c r="AI1364" s="23" t="n">
        <v>6.25</v>
      </c>
      <c r="AJ1364" s="19" t="n">
        <v>0.0973</v>
      </c>
    </row>
    <row r="1365">
      <c r="A1365" s="16" t="inlineStr">
        <is>
          <t>BLUECLOUDS</t>
        </is>
      </c>
      <c r="B1365" s="16" t="inlineStr">
        <is>
          <t>Blue Cloud Softech Solutions Ltd.</t>
        </is>
      </c>
      <c r="C1365" s="16" t="inlineStr">
        <is>
          <t>IT Software Products</t>
        </is>
      </c>
      <c r="D1365" s="16" t="inlineStr">
        <is>
          <t>Software &amp; Services</t>
        </is>
      </c>
      <c r="E1365" s="16" t="inlineStr">
        <is>
          <t>INE373T01047</t>
        </is>
      </c>
      <c r="F1365" s="17" t="n">
        <v>1498.63</v>
      </c>
      <c r="G1365" s="18" t="n">
        <v>19.9</v>
      </c>
      <c r="H1365" s="19" t="n">
        <v>0.001</v>
      </c>
      <c r="I1365" s="20" t="n">
        <v>30</v>
      </c>
      <c r="J1365" s="16" t="inlineStr">
        <is>
          <t>red</t>
        </is>
      </c>
      <c r="K1365" s="20" t="n">
        <v>272</v>
      </c>
      <c r="L1365" s="18" t="n">
        <v>35.46</v>
      </c>
      <c r="M1365" s="18" t="n">
        <v>20.06</v>
      </c>
      <c r="N1365" s="18" t="n">
        <v>20.91</v>
      </c>
      <c r="O1365" s="18" t="n">
        <v>20.48</v>
      </c>
      <c r="P1365" s="18" t="n">
        <v>32.95</v>
      </c>
      <c r="Q1365" s="18" t="n">
        <v>17.03</v>
      </c>
      <c r="R1365" s="21">
        <f>IF(OR(G1365="",P1365=""),"",G1365/P1365-1)</f>
        <v/>
      </c>
      <c r="S1365" s="19" t="n">
        <v>0.08259999999999999</v>
      </c>
      <c r="T1365" s="22" t="n">
        <v>-0.028</v>
      </c>
      <c r="U1365" s="16" t="inlineStr">
        <is>
          <t>No</t>
        </is>
      </c>
      <c r="V1365" s="16" t="inlineStr">
        <is>
          <t>No</t>
        </is>
      </c>
      <c r="W1365" s="16" t="inlineStr">
        <is>
          <t>No</t>
        </is>
      </c>
      <c r="X1365" s="16" t="inlineStr">
        <is>
          <t>Yes</t>
        </is>
      </c>
      <c r="Y1365" s="20" t="n">
        <v>10</v>
      </c>
      <c r="Z1365" s="19" t="n">
        <v>0.021</v>
      </c>
      <c r="AA1365" s="18" t="n"/>
      <c r="AB1365" s="16" t="n"/>
      <c r="AC1365" s="16" t="inlineStr">
        <is>
          <t>No</t>
        </is>
      </c>
      <c r="AD1365" s="19" t="n"/>
      <c r="AE1365" s="19" t="n"/>
      <c r="AF1365" s="19" t="n"/>
      <c r="AG1365" s="19" t="n"/>
      <c r="AH1365" s="23" t="n"/>
      <c r="AI1365" s="23" t="n"/>
      <c r="AJ1365" s="19" t="n"/>
    </row>
    <row r="1366">
      <c r="A1366" s="16" t="inlineStr">
        <is>
          <t>SHREEREF</t>
        </is>
      </c>
      <c r="B1366" s="16" t="inlineStr">
        <is>
          <t>Shree Refrigerations Ltd.</t>
        </is>
      </c>
      <c r="C1366" s="16" t="inlineStr">
        <is>
          <t>Consumer Electronics</t>
        </is>
      </c>
      <c r="D1366" s="16" t="inlineStr">
        <is>
          <t>Consumer Durables</t>
        </is>
      </c>
      <c r="E1366" s="16" t="inlineStr">
        <is>
          <t>INE0FMZ01045</t>
        </is>
      </c>
      <c r="F1366" s="17" t="n">
        <v>1496.12</v>
      </c>
      <c r="G1366" s="18" t="n">
        <v>419.9</v>
      </c>
      <c r="H1366" s="19" t="n">
        <v>0.0166</v>
      </c>
      <c r="I1366" s="20" t="n">
        <v>93</v>
      </c>
      <c r="J1366" s="16" t="inlineStr">
        <is>
          <t>green</t>
        </is>
      </c>
      <c r="K1366" s="20" t="n">
        <v>83</v>
      </c>
      <c r="L1366" s="18" t="n">
        <v>73.19</v>
      </c>
      <c r="M1366" s="18" t="n">
        <v>405.43</v>
      </c>
      <c r="N1366" s="18" t="n">
        <v>357.89</v>
      </c>
      <c r="O1366" s="18" t="n">
        <v>251.48</v>
      </c>
      <c r="P1366" s="18" t="n">
        <v>421.35</v>
      </c>
      <c r="Q1366" s="18" t="n">
        <v>166.1</v>
      </c>
      <c r="R1366" s="21">
        <f>IF(OR(G1366="",P1366=""),"",G1366/P1366-1)</f>
        <v/>
      </c>
      <c r="S1366" s="19" t="n">
        <v>0.4316</v>
      </c>
      <c r="T1366" s="22" t="n">
        <v>0.058</v>
      </c>
      <c r="U1366" s="16" t="inlineStr">
        <is>
          <t>Yes</t>
        </is>
      </c>
      <c r="V1366" s="16" t="inlineStr">
        <is>
          <t>Yes</t>
        </is>
      </c>
      <c r="W1366" s="16" t="inlineStr">
        <is>
          <t>Yes</t>
        </is>
      </c>
      <c r="X1366" s="16" t="inlineStr">
        <is>
          <t>Yes</t>
        </is>
      </c>
      <c r="Y1366" s="20" t="n">
        <v>73</v>
      </c>
      <c r="Z1366" s="19" t="n">
        <v>0.4231</v>
      </c>
      <c r="AA1366" s="18" t="n"/>
      <c r="AB1366" s="16" t="n"/>
      <c r="AC1366" s="16" t="inlineStr">
        <is>
          <t>No</t>
        </is>
      </c>
      <c r="AD1366" s="19" t="n"/>
      <c r="AE1366" s="19" t="n"/>
      <c r="AF1366" s="19" t="n"/>
      <c r="AG1366" s="19" t="n"/>
      <c r="AH1366" s="23" t="n"/>
      <c r="AI1366" s="23" t="n"/>
      <c r="AJ1366" s="19" t="n"/>
    </row>
    <row r="1367">
      <c r="A1367" s="16" t="inlineStr">
        <is>
          <t>PNBGILTS</t>
        </is>
      </c>
      <c r="B1367" s="16" t="inlineStr">
        <is>
          <t>PNB Gilts Ltd.</t>
        </is>
      </c>
      <c r="C1367" s="16" t="inlineStr">
        <is>
          <t>Finance (including NBFCs)</t>
        </is>
      </c>
      <c r="D1367" s="16" t="inlineStr">
        <is>
          <t>Banking and Finance</t>
        </is>
      </c>
      <c r="E1367" s="16" t="inlineStr">
        <is>
          <t>INE859A01011</t>
        </is>
      </c>
      <c r="F1367" s="17" t="n">
        <v>1495.52</v>
      </c>
      <c r="G1367" s="18" t="n">
        <v>83.08</v>
      </c>
      <c r="H1367" s="19" t="n">
        <v>0.0566</v>
      </c>
      <c r="I1367" s="20" t="n">
        <v>27</v>
      </c>
      <c r="J1367" s="16" t="inlineStr">
        <is>
          <t>red</t>
        </is>
      </c>
      <c r="K1367" s="20" t="n">
        <v>36</v>
      </c>
      <c r="L1367" s="18" t="n">
        <v>58.72</v>
      </c>
      <c r="M1367" s="18" t="n">
        <v>78.67</v>
      </c>
      <c r="N1367" s="18" t="n">
        <v>83.7</v>
      </c>
      <c r="O1367" s="18" t="n">
        <v>79.83</v>
      </c>
      <c r="P1367" s="18" t="n">
        <v>103.98</v>
      </c>
      <c r="Q1367" s="18" t="n">
        <v>59.16</v>
      </c>
      <c r="R1367" s="21">
        <f>IF(OR(G1367="",P1367=""),"",G1367/P1367-1)</f>
        <v/>
      </c>
      <c r="S1367" s="19" t="n">
        <v>7.327000000000001</v>
      </c>
      <c r="T1367" s="22" t="n">
        <v>-0.0125</v>
      </c>
      <c r="U1367" s="16" t="inlineStr">
        <is>
          <t>No</t>
        </is>
      </c>
      <c r="V1367" s="16" t="inlineStr">
        <is>
          <t>No</t>
        </is>
      </c>
      <c r="W1367" s="16" t="inlineStr">
        <is>
          <t>Yes</t>
        </is>
      </c>
      <c r="X1367" s="16" t="inlineStr">
        <is>
          <t>Yes</t>
        </is>
      </c>
      <c r="Y1367" s="20" t="n">
        <v>44</v>
      </c>
      <c r="Z1367" s="19" t="n">
        <v>0.04849999999999999</v>
      </c>
      <c r="AA1367" s="18" t="n">
        <v>52.42</v>
      </c>
      <c r="AB1367" s="16" t="inlineStr">
        <is>
          <t>Good</t>
        </is>
      </c>
      <c r="AC1367" s="16" t="inlineStr">
        <is>
          <t>Yes</t>
        </is>
      </c>
      <c r="AD1367" s="19" t="n">
        <v>0.0472</v>
      </c>
      <c r="AE1367" s="19" t="n">
        <v>0.0582</v>
      </c>
      <c r="AF1367" s="19" t="n">
        <v>2.1273</v>
      </c>
      <c r="AG1367" s="19" t="n">
        <v>0.3335</v>
      </c>
      <c r="AH1367" s="23" t="n">
        <v>14.49</v>
      </c>
      <c r="AI1367" s="23" t="n">
        <v>335.87</v>
      </c>
      <c r="AJ1367" s="19" t="n">
        <v>0</v>
      </c>
    </row>
    <row r="1368">
      <c r="A1368" s="16" t="inlineStr">
        <is>
          <t>NITTAGELA</t>
        </is>
      </c>
      <c r="B1368" s="16" t="inlineStr">
        <is>
          <t>Nitta Gelatin India Ltd.</t>
        </is>
      </c>
      <c r="C1368" s="16" t="inlineStr">
        <is>
          <t>Specialty Chemicals</t>
        </is>
      </c>
      <c r="D1368" s="16" t="inlineStr">
        <is>
          <t>Chemicals &amp; Petrochemicals</t>
        </is>
      </c>
      <c r="E1368" s="16" t="inlineStr">
        <is>
          <t>INE265B01019</t>
        </is>
      </c>
      <c r="F1368" s="17" t="n">
        <v>1493.66</v>
      </c>
      <c r="G1368" s="18" t="n">
        <v>1645.15</v>
      </c>
      <c r="H1368" s="19" t="n">
        <v>0.0198</v>
      </c>
      <c r="I1368" s="20" t="n">
        <v>90</v>
      </c>
      <c r="J1368" s="16" t="inlineStr">
        <is>
          <t>green</t>
        </is>
      </c>
      <c r="K1368" s="20" t="n">
        <v>90</v>
      </c>
      <c r="L1368" s="18" t="n">
        <v>59.68</v>
      </c>
      <c r="M1368" s="18" t="n">
        <v>1618.49</v>
      </c>
      <c r="N1368" s="18" t="n">
        <v>1732.02</v>
      </c>
      <c r="O1368" s="18" t="n">
        <v>1179.2</v>
      </c>
      <c r="P1368" s="18" t="n">
        <v>2023.96</v>
      </c>
      <c r="Q1368" s="18" t="n">
        <v>774.24</v>
      </c>
      <c r="R1368" s="21">
        <f>IF(OR(G1368="",P1368=""),"",G1368/P1368-1)</f>
        <v/>
      </c>
      <c r="S1368" s="19" t="n">
        <v>0.5253</v>
      </c>
      <c r="T1368" s="22" t="n">
        <v>0.0689</v>
      </c>
      <c r="U1368" s="16" t="inlineStr">
        <is>
          <t>Yes</t>
        </is>
      </c>
      <c r="V1368" s="16" t="inlineStr">
        <is>
          <t>No</t>
        </is>
      </c>
      <c r="W1368" s="16" t="inlineStr">
        <is>
          <t>Yes</t>
        </is>
      </c>
      <c r="X1368" s="16" t="inlineStr">
        <is>
          <t>Yes</t>
        </is>
      </c>
      <c r="Y1368" s="20" t="n">
        <v>88</v>
      </c>
      <c r="Z1368" s="19" t="n">
        <v>0.4688000000000001</v>
      </c>
      <c r="AA1368" s="18" t="n"/>
      <c r="AB1368" s="16" t="n"/>
      <c r="AC1368" s="16" t="inlineStr">
        <is>
          <t>No</t>
        </is>
      </c>
      <c r="AD1368" s="19" t="n"/>
      <c r="AE1368" s="19" t="n"/>
      <c r="AF1368" s="19" t="n"/>
      <c r="AG1368" s="19" t="n"/>
      <c r="AH1368" s="23" t="n"/>
      <c r="AI1368" s="23" t="n"/>
      <c r="AJ1368" s="19" t="n"/>
    </row>
    <row r="1369">
      <c r="A1369" s="16" t="inlineStr">
        <is>
          <t>MANALIPETC</t>
        </is>
      </c>
      <c r="B1369" s="16" t="inlineStr">
        <is>
          <t>Manali Petrochemicals Ltd.</t>
        </is>
      </c>
      <c r="C1369" s="16" t="inlineStr">
        <is>
          <t>Petrochemicals</t>
        </is>
      </c>
      <c r="D1369" s="16" t="inlineStr">
        <is>
          <t>Chemicals &amp; Petrochemicals</t>
        </is>
      </c>
      <c r="E1369" s="16" t="inlineStr">
        <is>
          <t>INE201A01024</t>
        </is>
      </c>
      <c r="F1369" s="17" t="n">
        <v>1492.27</v>
      </c>
      <c r="G1369" s="18" t="n">
        <v>86.76000000000001</v>
      </c>
      <c r="H1369" s="19" t="n">
        <v>-0.0331</v>
      </c>
      <c r="I1369" s="20" t="n">
        <v>81</v>
      </c>
      <c r="J1369" s="16" t="inlineStr">
        <is>
          <t>green</t>
        </is>
      </c>
      <c r="K1369" s="20" t="n">
        <v>2</v>
      </c>
      <c r="L1369" s="18" t="n">
        <v>72.09999999999999</v>
      </c>
      <c r="M1369" s="18" t="n">
        <v>80.43000000000001</v>
      </c>
      <c r="N1369" s="18" t="n">
        <v>68.45999999999999</v>
      </c>
      <c r="O1369" s="18" t="n">
        <v>60.17</v>
      </c>
      <c r="P1369" s="18" t="n">
        <v>89.73</v>
      </c>
      <c r="Q1369" s="18" t="n">
        <v>39.38</v>
      </c>
      <c r="R1369" s="21">
        <f>IF(OR(G1369="",P1369=""),"",G1369/P1369-1)</f>
        <v/>
      </c>
      <c r="S1369" s="19" t="n">
        <v>0.8924</v>
      </c>
      <c r="T1369" s="22" t="n">
        <v>0.0062</v>
      </c>
      <c r="U1369" s="16" t="inlineStr">
        <is>
          <t>Yes</t>
        </is>
      </c>
      <c r="V1369" s="16" t="inlineStr">
        <is>
          <t>Yes</t>
        </is>
      </c>
      <c r="W1369" s="16" t="inlineStr">
        <is>
          <t>Yes</t>
        </is>
      </c>
      <c r="X1369" s="16" t="inlineStr">
        <is>
          <t>Yes</t>
        </is>
      </c>
      <c r="Y1369" s="20" t="n">
        <v>46</v>
      </c>
      <c r="Z1369" s="19" t="n">
        <v>0.1379</v>
      </c>
      <c r="AA1369" s="18" t="n">
        <v>41.2</v>
      </c>
      <c r="AB1369" s="16" t="inlineStr">
        <is>
          <t>Average</t>
        </is>
      </c>
      <c r="AC1369" s="16" t="inlineStr">
        <is>
          <t>No</t>
        </is>
      </c>
      <c r="AD1369" s="19" t="n">
        <v>0.0488</v>
      </c>
      <c r="AE1369" s="19" t="n">
        <v>0.06480000000000001</v>
      </c>
      <c r="AF1369" s="19" t="n">
        <v>1.1149</v>
      </c>
      <c r="AG1369" s="19" t="n">
        <v>-0.03759999999999999</v>
      </c>
      <c r="AH1369" s="23" t="n">
        <v>0.11</v>
      </c>
      <c r="AI1369" s="23" t="n">
        <v>2.54</v>
      </c>
      <c r="AJ1369" s="19" t="n">
        <v>0.0965</v>
      </c>
    </row>
    <row r="1370">
      <c r="A1370" s="16" t="inlineStr">
        <is>
          <t>QLINE</t>
        </is>
      </c>
      <c r="B1370" s="16" t="inlineStr">
        <is>
          <t>Q-Line Biotech Ltd.</t>
        </is>
      </c>
      <c r="C1370" s="16" t="inlineStr">
        <is>
          <t>Healthcare Supplies</t>
        </is>
      </c>
      <c r="D1370" s="16" t="inlineStr">
        <is>
          <t>Healthcare</t>
        </is>
      </c>
      <c r="E1370" s="16" t="inlineStr">
        <is>
          <t>INE1G2W01011</t>
        </is>
      </c>
      <c r="F1370" s="17" t="n">
        <v>1492.07</v>
      </c>
      <c r="G1370" s="18" t="n"/>
      <c r="H1370" s="19" t="n"/>
      <c r="I1370" s="20" t="n"/>
      <c r="J1370" s="16" t="n"/>
      <c r="K1370" s="20" t="n"/>
      <c r="L1370" s="18" t="n"/>
      <c r="M1370" s="18" t="n"/>
      <c r="N1370" s="18" t="n"/>
      <c r="O1370" s="18" t="n"/>
      <c r="P1370" s="18" t="n"/>
      <c r="Q1370" s="18" t="n"/>
      <c r="R1370" s="21">
        <f>IF(OR(G1370="",P1370=""),"",G1370/P1370-1)</f>
        <v/>
      </c>
      <c r="S1370" s="19" t="n"/>
      <c r="T1370" s="22" t="n"/>
      <c r="U1370" s="16" t="n"/>
      <c r="V1370" s="16" t="n"/>
      <c r="W1370" s="16" t="n"/>
      <c r="X1370" s="16" t="n"/>
      <c r="Y1370" s="20" t="n"/>
      <c r="Z1370" s="19" t="n"/>
      <c r="AA1370" s="18" t="n"/>
      <c r="AB1370" s="16" t="n"/>
      <c r="AC1370" s="16" t="inlineStr">
        <is>
          <t>No</t>
        </is>
      </c>
      <c r="AD1370" s="19" t="n"/>
      <c r="AE1370" s="19" t="n"/>
      <c r="AF1370" s="19" t="n"/>
      <c r="AG1370" s="19" t="n"/>
      <c r="AH1370" s="23" t="n"/>
      <c r="AI1370" s="23" t="n"/>
      <c r="AJ1370" s="19" t="n"/>
    </row>
    <row r="1371">
      <c r="A1371" s="16" t="inlineStr">
        <is>
          <t>ASIANTILES</t>
        </is>
      </c>
      <c r="B1371" s="16" t="inlineStr">
        <is>
          <t>Asian Granito India Ltd.</t>
        </is>
      </c>
      <c r="C1371" s="16" t="inlineStr">
        <is>
          <t>Ceramics</t>
        </is>
      </c>
      <c r="D1371" s="16" t="inlineStr">
        <is>
          <t>Consumer Durables</t>
        </is>
      </c>
      <c r="E1371" s="16" t="inlineStr">
        <is>
          <t>INE022I01019</t>
        </is>
      </c>
      <c r="F1371" s="17" t="n">
        <v>1490.08</v>
      </c>
      <c r="G1371" s="18" t="n">
        <v>50.26</v>
      </c>
      <c r="H1371" s="19" t="n">
        <v>0.006</v>
      </c>
      <c r="I1371" s="20" t="n">
        <v>10</v>
      </c>
      <c r="J1371" s="16" t="inlineStr">
        <is>
          <t>red</t>
        </is>
      </c>
      <c r="K1371" s="20" t="n">
        <v>77</v>
      </c>
      <c r="L1371" s="18" t="n">
        <v>59.18</v>
      </c>
      <c r="M1371" s="18" t="n">
        <v>48.98</v>
      </c>
      <c r="N1371" s="18" t="n">
        <v>50.52</v>
      </c>
      <c r="O1371" s="18" t="n">
        <v>62.38</v>
      </c>
      <c r="P1371" s="18" t="n">
        <v>77.88</v>
      </c>
      <c r="Q1371" s="18" t="n">
        <v>43.42</v>
      </c>
      <c r="R1371" s="21">
        <f>IF(OR(G1371="",P1371=""),"",G1371/P1371-1)</f>
        <v/>
      </c>
      <c r="S1371" s="19" t="n">
        <v>0.1545</v>
      </c>
      <c r="T1371" s="22" t="n">
        <v>-0.0264</v>
      </c>
      <c r="U1371" s="16" t="inlineStr">
        <is>
          <t>No</t>
        </is>
      </c>
      <c r="V1371" s="16" t="inlineStr">
        <is>
          <t>No</t>
        </is>
      </c>
      <c r="W1371" s="16" t="inlineStr">
        <is>
          <t>Yes</t>
        </is>
      </c>
      <c r="X1371" s="16" t="inlineStr">
        <is>
          <t>No</t>
        </is>
      </c>
      <c r="Y1371" s="20" t="n">
        <v>81</v>
      </c>
      <c r="Z1371" s="19" t="n">
        <v>-0.1901</v>
      </c>
      <c r="AA1371" s="18" t="n">
        <v>33.8</v>
      </c>
      <c r="AB1371" s="16" t="inlineStr">
        <is>
          <t>Poor</t>
        </is>
      </c>
      <c r="AC1371" s="16" t="inlineStr">
        <is>
          <t>No</t>
        </is>
      </c>
      <c r="AD1371" s="19" t="n">
        <v>0.0039</v>
      </c>
      <c r="AE1371" s="19" t="n">
        <v>0.0203</v>
      </c>
      <c r="AF1371" s="19" t="n">
        <v>0.4456</v>
      </c>
      <c r="AG1371" s="19" t="n">
        <v>0.0625</v>
      </c>
      <c r="AH1371" s="23" t="n">
        <v>0.29</v>
      </c>
      <c r="AI1371" s="23" t="n">
        <v>1.96</v>
      </c>
      <c r="AJ1371" s="19" t="n">
        <v>0.0521</v>
      </c>
    </row>
    <row r="1372">
      <c r="A1372" s="16" t="inlineStr">
        <is>
          <t>GTLINFRA</t>
        </is>
      </c>
      <c r="B1372" s="16" t="inlineStr">
        <is>
          <t>GTL Infrastructure Ltd.</t>
        </is>
      </c>
      <c r="C1372" s="16" t="inlineStr">
        <is>
          <t>Telecom Equipment</t>
        </is>
      </c>
      <c r="D1372" s="16" t="inlineStr">
        <is>
          <t>Telecommunications Equipment</t>
        </is>
      </c>
      <c r="E1372" s="16" t="inlineStr">
        <is>
          <t>INE221H01019</t>
        </is>
      </c>
      <c r="F1372" s="17" t="n">
        <v>1485.89</v>
      </c>
      <c r="G1372" s="18" t="n">
        <v>1.16</v>
      </c>
      <c r="H1372" s="19" t="n">
        <v>0</v>
      </c>
      <c r="I1372" s="20" t="n">
        <v>13</v>
      </c>
      <c r="J1372" s="16" t="inlineStr">
        <is>
          <t>red</t>
        </is>
      </c>
      <c r="K1372" s="20" t="n">
        <v>50</v>
      </c>
      <c r="L1372" s="18" t="n">
        <v>27.27</v>
      </c>
      <c r="M1372" s="18" t="n">
        <v>1.18</v>
      </c>
      <c r="N1372" s="18" t="n">
        <v>1.25</v>
      </c>
      <c r="O1372" s="18" t="n">
        <v>1.24</v>
      </c>
      <c r="P1372" s="18" t="n">
        <v>1.61</v>
      </c>
      <c r="Q1372" s="18" t="n">
        <v>0.97</v>
      </c>
      <c r="R1372" s="21">
        <f>IF(OR(G1372="",P1372=""),"",G1372/P1372-1)</f>
        <v/>
      </c>
      <c r="S1372" s="19" t="n">
        <v>1.0348</v>
      </c>
      <c r="T1372" s="22" t="n">
        <v>-0.0181</v>
      </c>
      <c r="U1372" s="16" t="inlineStr">
        <is>
          <t>No</t>
        </is>
      </c>
      <c r="V1372" s="16" t="inlineStr">
        <is>
          <t>No</t>
        </is>
      </c>
      <c r="W1372" s="16" t="inlineStr">
        <is>
          <t>No</t>
        </is>
      </c>
      <c r="X1372" s="16" t="inlineStr">
        <is>
          <t>Yes</t>
        </is>
      </c>
      <c r="Y1372" s="20" t="n">
        <v>63</v>
      </c>
      <c r="Z1372" s="19" t="n">
        <v>0.0103</v>
      </c>
      <c r="AA1372" s="18" t="n">
        <v>55.83</v>
      </c>
      <c r="AB1372" s="16" t="inlineStr">
        <is>
          <t>Good</t>
        </is>
      </c>
      <c r="AC1372" s="16" t="inlineStr">
        <is>
          <t>No</t>
        </is>
      </c>
      <c r="AD1372" s="19" t="n">
        <v>0.0438</v>
      </c>
      <c r="AE1372" s="19" t="n">
        <v>0.6135</v>
      </c>
      <c r="AF1372" s="19" t="n">
        <v>0.4476</v>
      </c>
      <c r="AG1372" s="19" t="n">
        <v>-0.0195</v>
      </c>
      <c r="AH1372" s="23" t="n">
        <v>-1.13</v>
      </c>
      <c r="AI1372" s="23" t="n">
        <v>0.51</v>
      </c>
      <c r="AJ1372" s="19" t="n">
        <v>0</v>
      </c>
    </row>
    <row r="1373">
      <c r="A1373" s="16" t="inlineStr">
        <is>
          <t>ONIXSOLAR</t>
        </is>
      </c>
      <c r="B1373" s="16" t="inlineStr">
        <is>
          <t>Onix Solar Energy Ltd.</t>
        </is>
      </c>
      <c r="C1373" s="16" t="inlineStr">
        <is>
          <t>Commodity Trading  &amp; Distribution</t>
        </is>
      </c>
      <c r="D1373" s="16" t="inlineStr">
        <is>
          <t>Commercial Services &amp; Supplies</t>
        </is>
      </c>
      <c r="E1373" s="16" t="inlineStr">
        <is>
          <t>INE173M01012</t>
        </is>
      </c>
      <c r="F1373" s="17" t="n">
        <v>1484.3</v>
      </c>
      <c r="G1373" s="18" t="n">
        <v>402.6</v>
      </c>
      <c r="H1373" s="19" t="n">
        <v>0.0499</v>
      </c>
      <c r="I1373" s="20" t="n">
        <v>23</v>
      </c>
      <c r="J1373" s="16" t="inlineStr">
        <is>
          <t>red</t>
        </is>
      </c>
      <c r="K1373" s="20" t="n">
        <v>30</v>
      </c>
      <c r="L1373" s="18" t="n">
        <v>56.12</v>
      </c>
      <c r="M1373" s="18" t="n">
        <v>341.94</v>
      </c>
      <c r="N1373" s="18" t="n">
        <v>518.35</v>
      </c>
      <c r="O1373" s="18" t="n">
        <v>625.39</v>
      </c>
      <c r="P1373" s="18" t="n">
        <v>1105.85</v>
      </c>
      <c r="Q1373" s="18" t="n">
        <v>226.1</v>
      </c>
      <c r="R1373" s="21">
        <f>IF(OR(G1373="",P1373=""),"",G1373/P1373-1)</f>
        <v/>
      </c>
      <c r="S1373" s="19" t="n">
        <v>0.3214</v>
      </c>
      <c r="T1373" s="22" t="n">
        <v>0.0066</v>
      </c>
      <c r="U1373" s="16" t="inlineStr">
        <is>
          <t>Yes</t>
        </is>
      </c>
      <c r="V1373" s="16" t="inlineStr">
        <is>
          <t>No</t>
        </is>
      </c>
      <c r="W1373" s="16" t="inlineStr">
        <is>
          <t>Yes</t>
        </is>
      </c>
      <c r="X1373" s="16" t="inlineStr">
        <is>
          <t>No</t>
        </is>
      </c>
      <c r="Y1373" s="20" t="n">
        <v>17</v>
      </c>
      <c r="Z1373" s="19" t="n">
        <v>-0.1712</v>
      </c>
      <c r="AA1373" s="18" t="n"/>
      <c r="AB1373" s="16" t="n"/>
      <c r="AC1373" s="16" t="inlineStr">
        <is>
          <t>No</t>
        </is>
      </c>
      <c r="AD1373" s="19" t="n"/>
      <c r="AE1373" s="19" t="n"/>
      <c r="AF1373" s="19" t="n"/>
      <c r="AG1373" s="19" t="n"/>
      <c r="AH1373" s="23" t="n"/>
      <c r="AI1373" s="23" t="n"/>
      <c r="AJ1373" s="19" t="n"/>
    </row>
    <row r="1374">
      <c r="A1374" s="16" t="inlineStr">
        <is>
          <t>VHLTD</t>
        </is>
      </c>
      <c r="B1374" s="16" t="inlineStr">
        <is>
          <t>Viceroy Hotels Ltd.</t>
        </is>
      </c>
      <c r="C1374" s="16" t="inlineStr">
        <is>
          <t>Hotels</t>
        </is>
      </c>
      <c r="D1374" s="16" t="inlineStr">
        <is>
          <t>Hotels Restaurants &amp; Tourism</t>
        </is>
      </c>
      <c r="E1374" s="16" t="inlineStr">
        <is>
          <t>INE048C01025</t>
        </is>
      </c>
      <c r="F1374" s="17" t="n">
        <v>1483.58</v>
      </c>
      <c r="G1374" s="18" t="n">
        <v>118.21</v>
      </c>
      <c r="H1374" s="19" t="n">
        <v>0.0156</v>
      </c>
      <c r="I1374" s="20" t="n">
        <v>20</v>
      </c>
      <c r="J1374" s="16" t="inlineStr">
        <is>
          <t>red</t>
        </is>
      </c>
      <c r="K1374" s="20" t="n">
        <v>55</v>
      </c>
      <c r="L1374" s="18" t="n">
        <v>53.71</v>
      </c>
      <c r="M1374" s="18" t="n">
        <v>116.57</v>
      </c>
      <c r="N1374" s="18" t="n">
        <v>125.55</v>
      </c>
      <c r="O1374" s="18" t="n">
        <v>134.63</v>
      </c>
      <c r="P1374" s="18" t="n">
        <v>149.9</v>
      </c>
      <c r="Q1374" s="18" t="n">
        <v>115.04</v>
      </c>
      <c r="R1374" s="21">
        <f>IF(OR(G1374="",P1374=""),"",G1374/P1374-1)</f>
        <v/>
      </c>
      <c r="S1374" s="19" t="n">
        <v>0.5532</v>
      </c>
      <c r="T1374" s="22" t="n">
        <v>-0.006</v>
      </c>
      <c r="U1374" s="16" t="inlineStr">
        <is>
          <t>No</t>
        </is>
      </c>
      <c r="V1374" s="16" t="inlineStr">
        <is>
          <t>No</t>
        </is>
      </c>
      <c r="W1374" s="16" t="inlineStr">
        <is>
          <t>Yes</t>
        </is>
      </c>
      <c r="X1374" s="16" t="inlineStr">
        <is>
          <t>No</t>
        </is>
      </c>
      <c r="Y1374" s="20" t="n">
        <v>36</v>
      </c>
      <c r="Z1374" s="19" t="n">
        <v>-0.0674</v>
      </c>
      <c r="AA1374" s="18" t="n">
        <v>39.46</v>
      </c>
      <c r="AB1374" s="16" t="inlineStr">
        <is>
          <t>Weak</t>
        </is>
      </c>
      <c r="AC1374" s="16" t="inlineStr">
        <is>
          <t>No</t>
        </is>
      </c>
      <c r="AD1374" s="19" t="n">
        <v>0.1412</v>
      </c>
      <c r="AE1374" s="19" t="n">
        <v>0.04940000000000001</v>
      </c>
      <c r="AF1374" s="19" t="n">
        <v>8.7624</v>
      </c>
      <c r="AG1374" s="19" t="n">
        <v>0.08460000000000001</v>
      </c>
      <c r="AH1374" s="23" t="n">
        <v>0.99</v>
      </c>
      <c r="AI1374" s="23" t="n">
        <v>0.36</v>
      </c>
      <c r="AJ1374" s="19" t="n">
        <v>0.1414</v>
      </c>
    </row>
    <row r="1375">
      <c r="A1375" s="16" t="inlineStr">
        <is>
          <t>ACCENTMIC</t>
        </is>
      </c>
      <c r="B1375" s="16" t="inlineStr">
        <is>
          <t>Accent Microcell Ltd.</t>
        </is>
      </c>
      <c r="C1375" s="16" t="inlineStr">
        <is>
          <t>Pharmaceuticals</t>
        </is>
      </c>
      <c r="D1375" s="16" t="inlineStr">
        <is>
          <t>Pharmaceuticals &amp; Biotechnology</t>
        </is>
      </c>
      <c r="E1375" s="16" t="inlineStr">
        <is>
          <t>INE0Q5D01013</t>
        </is>
      </c>
      <c r="F1375" s="17" t="n">
        <v>1482.04</v>
      </c>
      <c r="G1375" s="18" t="n">
        <v>617.8</v>
      </c>
      <c r="H1375" s="19" t="n">
        <v>0.0171</v>
      </c>
      <c r="I1375" s="20" t="n">
        <v>91</v>
      </c>
      <c r="J1375" s="16" t="inlineStr">
        <is>
          <t>green</t>
        </is>
      </c>
      <c r="K1375" s="20" t="n">
        <v>193</v>
      </c>
      <c r="L1375" s="18" t="n">
        <v>66.76000000000001</v>
      </c>
      <c r="M1375" s="18" t="n">
        <v>602.6900000000001</v>
      </c>
      <c r="N1375" s="18" t="n">
        <v>539.21</v>
      </c>
      <c r="O1375" s="18" t="n">
        <v>418.23</v>
      </c>
      <c r="P1375" s="18" t="n">
        <v>617.8</v>
      </c>
      <c r="Q1375" s="18" t="n">
        <v>243.02</v>
      </c>
      <c r="R1375" s="21">
        <f>IF(OR(G1375="",P1375=""),"",G1375/P1375-1)</f>
        <v/>
      </c>
      <c r="S1375" s="19" t="n">
        <v>1.1277</v>
      </c>
      <c r="T1375" s="22" t="n">
        <v>0.0788</v>
      </c>
      <c r="U1375" s="16" t="inlineStr">
        <is>
          <t>Yes</t>
        </is>
      </c>
      <c r="V1375" s="16" t="inlineStr">
        <is>
          <t>Yes</t>
        </is>
      </c>
      <c r="W1375" s="16" t="inlineStr">
        <is>
          <t>Yes</t>
        </is>
      </c>
      <c r="X1375" s="16" t="inlineStr">
        <is>
          <t>Yes</t>
        </is>
      </c>
      <c r="Y1375" s="20" t="n">
        <v>281</v>
      </c>
      <c r="Z1375" s="19" t="n">
        <v>0.2893</v>
      </c>
      <c r="AA1375" s="18" t="n"/>
      <c r="AB1375" s="16" t="n"/>
      <c r="AC1375" s="16" t="inlineStr">
        <is>
          <t>No</t>
        </is>
      </c>
      <c r="AD1375" s="19" t="n"/>
      <c r="AE1375" s="19" t="n"/>
      <c r="AF1375" s="19" t="n"/>
      <c r="AG1375" s="19" t="n"/>
      <c r="AH1375" s="23" t="n"/>
      <c r="AI1375" s="23" t="n"/>
      <c r="AJ1375" s="19" t="n"/>
    </row>
    <row r="1376">
      <c r="A1376" s="16" t="inlineStr">
        <is>
          <t>IFGLEXPOR</t>
        </is>
      </c>
      <c r="B1376" s="16" t="inlineStr">
        <is>
          <t>IFGL Refractories Ltd.</t>
        </is>
      </c>
      <c r="C1376" s="16" t="inlineStr">
        <is>
          <t>Electrodes &amp; Refractories</t>
        </is>
      </c>
      <c r="D1376" s="16" t="inlineStr">
        <is>
          <t>General Industrials</t>
        </is>
      </c>
      <c r="E1376" s="16" t="inlineStr">
        <is>
          <t>INE133Y01011</t>
        </is>
      </c>
      <c r="F1376" s="17" t="n">
        <v>1475.38</v>
      </c>
      <c r="G1376" s="18" t="n">
        <v>204.69</v>
      </c>
      <c r="H1376" s="19" t="n">
        <v>-0.0133</v>
      </c>
      <c r="I1376" s="20" t="n">
        <v>46</v>
      </c>
      <c r="J1376" s="16" t="inlineStr">
        <is>
          <t>red</t>
        </is>
      </c>
      <c r="K1376" s="20" t="n">
        <v>11</v>
      </c>
      <c r="L1376" s="18" t="n">
        <v>30.65</v>
      </c>
      <c r="M1376" s="18" t="n">
        <v>210.23</v>
      </c>
      <c r="N1376" s="18" t="n">
        <v>211.44</v>
      </c>
      <c r="O1376" s="18" t="n">
        <v>188.36</v>
      </c>
      <c r="P1376" s="18" t="n">
        <v>299.67</v>
      </c>
      <c r="Q1376" s="18" t="n">
        <v>121.65</v>
      </c>
      <c r="R1376" s="21">
        <f>IF(OR(G1376="",P1376=""),"",G1376/P1376-1)</f>
        <v/>
      </c>
      <c r="S1376" s="19" t="n">
        <v>0.4407</v>
      </c>
      <c r="T1376" s="22" t="n">
        <v>-0.0131</v>
      </c>
      <c r="U1376" s="16" t="inlineStr">
        <is>
          <t>No</t>
        </is>
      </c>
      <c r="V1376" s="16" t="inlineStr">
        <is>
          <t>No</t>
        </is>
      </c>
      <c r="W1376" s="16" t="inlineStr">
        <is>
          <t>No</t>
        </is>
      </c>
      <c r="X1376" s="16" t="inlineStr">
        <is>
          <t>Yes</t>
        </is>
      </c>
      <c r="Y1376" s="20" t="n">
        <v>30</v>
      </c>
      <c r="Z1376" s="19" t="n">
        <v>0.1226</v>
      </c>
      <c r="AA1376" s="18" t="n">
        <v>34.74</v>
      </c>
      <c r="AB1376" s="16" t="inlineStr">
        <is>
          <t>Weak</t>
        </is>
      </c>
      <c r="AC1376" s="16" t="inlineStr">
        <is>
          <t>No</t>
        </is>
      </c>
      <c r="AD1376" s="19" t="n">
        <v>0.0482</v>
      </c>
      <c r="AE1376" s="19" t="n">
        <v>0.0623</v>
      </c>
      <c r="AF1376" s="19" t="n">
        <v>-0.4807</v>
      </c>
      <c r="AG1376" s="19" t="n">
        <v>0.1148</v>
      </c>
      <c r="AH1376" s="23" t="n">
        <v>0.18</v>
      </c>
      <c r="AI1376" s="23" t="n">
        <v>3.77</v>
      </c>
      <c r="AJ1376" s="19" t="n">
        <v>0.099</v>
      </c>
    </row>
    <row r="1377">
      <c r="A1377" s="16" t="inlineStr">
        <is>
          <t>BELDING</t>
        </is>
      </c>
      <c r="B1377" s="16" t="inlineStr">
        <is>
          <t>Belding India Ltd.</t>
        </is>
      </c>
      <c r="C1377" s="16" t="inlineStr">
        <is>
          <t>Aluminium and Aluminium Products</t>
        </is>
      </c>
      <c r="D1377" s="16" t="inlineStr">
        <is>
          <t>Metals &amp; Mining</t>
        </is>
      </c>
      <c r="E1377" s="16" t="inlineStr">
        <is>
          <t>INE363L01045</t>
        </is>
      </c>
      <c r="F1377" s="17" t="n">
        <v>1474.74</v>
      </c>
      <c r="G1377" s="18" t="n">
        <v>1018.55</v>
      </c>
      <c r="H1377" s="19" t="n">
        <v>-0.0211</v>
      </c>
      <c r="I1377" s="20" t="n">
        <v>40</v>
      </c>
      <c r="J1377" s="16" t="inlineStr">
        <is>
          <t>red</t>
        </is>
      </c>
      <c r="K1377" s="20" t="n">
        <v>35</v>
      </c>
      <c r="L1377" s="18" t="n">
        <v>65.56999999999999</v>
      </c>
      <c r="M1377" s="18" t="n">
        <v>1034.44</v>
      </c>
      <c r="N1377" s="18" t="n">
        <v>1105.1</v>
      </c>
      <c r="O1377" s="18" t="n">
        <v>1494.81</v>
      </c>
      <c r="P1377" s="18" t="n">
        <v>2362.1</v>
      </c>
      <c r="Q1377" s="18" t="n">
        <v>446.8</v>
      </c>
      <c r="R1377" s="21">
        <f>IF(OR(G1377="",P1377=""),"",G1377/P1377-1)</f>
        <v/>
      </c>
      <c r="S1377" s="19" t="n">
        <v>2.3879</v>
      </c>
      <c r="T1377" s="22" t="n">
        <v>-0.0207</v>
      </c>
      <c r="U1377" s="16" t="inlineStr">
        <is>
          <t>No</t>
        </is>
      </c>
      <c r="V1377" s="16" t="inlineStr">
        <is>
          <t>No</t>
        </is>
      </c>
      <c r="W1377" s="16" t="inlineStr">
        <is>
          <t>No</t>
        </is>
      </c>
      <c r="X1377" s="16" t="inlineStr">
        <is>
          <t>No</t>
        </is>
      </c>
      <c r="Y1377" s="20" t="n">
        <v>58</v>
      </c>
      <c r="Z1377" s="19" t="n">
        <v>-0.2607</v>
      </c>
      <c r="AA1377" s="18" t="n"/>
      <c r="AB1377" s="16" t="n"/>
      <c r="AC1377" s="16" t="inlineStr">
        <is>
          <t>No</t>
        </is>
      </c>
      <c r="AD1377" s="19" t="n"/>
      <c r="AE1377" s="19" t="n"/>
      <c r="AF1377" s="19" t="n"/>
      <c r="AG1377" s="19" t="n"/>
      <c r="AH1377" s="23" t="n"/>
      <c r="AI1377" s="23" t="n"/>
      <c r="AJ1377" s="19" t="n"/>
    </row>
    <row r="1378">
      <c r="A1378" s="16" t="inlineStr">
        <is>
          <t>ARFIN</t>
        </is>
      </c>
      <c r="B1378" s="16" t="inlineStr">
        <is>
          <t>Arfin India Ltd.</t>
        </is>
      </c>
      <c r="C1378" s="16" t="inlineStr">
        <is>
          <t>Aluminium and Aluminium Products</t>
        </is>
      </c>
      <c r="D1378" s="16" t="inlineStr">
        <is>
          <t>Metals &amp; Mining</t>
        </is>
      </c>
      <c r="E1378" s="16" t="inlineStr">
        <is>
          <t>INE784R01023</t>
        </is>
      </c>
      <c r="F1378" s="17" t="n">
        <v>1471.94</v>
      </c>
      <c r="G1378" s="18" t="n">
        <v>87.23999999999999</v>
      </c>
      <c r="H1378" s="19" t="n">
        <v>-0.0208</v>
      </c>
      <c r="I1378" s="20" t="n">
        <v>84</v>
      </c>
      <c r="J1378" s="16" t="inlineStr">
        <is>
          <t>green</t>
        </is>
      </c>
      <c r="K1378" s="20" t="n">
        <v>13</v>
      </c>
      <c r="L1378" s="18" t="n">
        <v>59.41</v>
      </c>
      <c r="M1378" s="18" t="n">
        <v>86.54000000000001</v>
      </c>
      <c r="N1378" s="18" t="n">
        <v>86.97</v>
      </c>
      <c r="O1378" s="18" t="n">
        <v>81.33</v>
      </c>
      <c r="P1378" s="18" t="n">
        <v>99.77</v>
      </c>
      <c r="Q1378" s="18" t="n">
        <v>34.34</v>
      </c>
      <c r="R1378" s="21">
        <f>IF(OR(G1378="",P1378=""),"",G1378/P1378-1)</f>
        <v/>
      </c>
      <c r="S1378" s="19" t="n">
        <v>0.8772</v>
      </c>
      <c r="T1378" s="22" t="n">
        <v>0.0389</v>
      </c>
      <c r="U1378" s="16" t="inlineStr">
        <is>
          <t>Yes</t>
        </is>
      </c>
      <c r="V1378" s="16" t="inlineStr">
        <is>
          <t>Yes</t>
        </is>
      </c>
      <c r="W1378" s="16" t="inlineStr">
        <is>
          <t>Yes</t>
        </is>
      </c>
      <c r="X1378" s="16" t="inlineStr">
        <is>
          <t>Yes</t>
        </is>
      </c>
      <c r="Y1378" s="20" t="n">
        <v>81</v>
      </c>
      <c r="Z1378" s="19" t="n">
        <v>0.0694</v>
      </c>
      <c r="AA1378" s="18" t="n">
        <v>37.87</v>
      </c>
      <c r="AB1378" s="16" t="inlineStr">
        <is>
          <t>Weak</t>
        </is>
      </c>
      <c r="AC1378" s="16" t="inlineStr">
        <is>
          <t>No</t>
        </is>
      </c>
      <c r="AD1378" s="19" t="n">
        <v>0.0781</v>
      </c>
      <c r="AE1378" s="19" t="n">
        <v>0.1303</v>
      </c>
      <c r="AF1378" s="19" t="n">
        <v>0.1807</v>
      </c>
      <c r="AG1378" s="19" t="n">
        <v>0.04679999999999999</v>
      </c>
      <c r="AH1378" s="23" t="n">
        <v>0.76</v>
      </c>
      <c r="AI1378" s="23" t="n">
        <v>8.34</v>
      </c>
      <c r="AJ1378" s="19" t="n">
        <v>0</v>
      </c>
    </row>
    <row r="1379">
      <c r="A1379" s="16" t="inlineStr">
        <is>
          <t>SESHAPAPER</t>
        </is>
      </c>
      <c r="B1379" s="16" t="inlineStr">
        <is>
          <t>Seshasayee Paper &amp; Boards Ltd.</t>
        </is>
      </c>
      <c r="C1379" s="16" t="inlineStr">
        <is>
          <t>Paper &amp; Paper Products</t>
        </is>
      </c>
      <c r="D1379" s="16" t="inlineStr">
        <is>
          <t>Commercial Services &amp; Supplies</t>
        </is>
      </c>
      <c r="E1379" s="16" t="inlineStr">
        <is>
          <t>INE630A01024</t>
        </is>
      </c>
      <c r="F1379" s="17" t="n">
        <v>1470.05</v>
      </c>
      <c r="G1379" s="18" t="n">
        <v>233.09</v>
      </c>
      <c r="H1379" s="19" t="n">
        <v>-0.0061</v>
      </c>
      <c r="I1379" s="20" t="n">
        <v>31</v>
      </c>
      <c r="J1379" s="16" t="inlineStr">
        <is>
          <t>red</t>
        </is>
      </c>
      <c r="K1379" s="20" t="n">
        <v>86</v>
      </c>
      <c r="L1379" s="18" t="n">
        <v>60.95</v>
      </c>
      <c r="M1379" s="18" t="n">
        <v>230.76</v>
      </c>
      <c r="N1379" s="18" t="n">
        <v>228.72</v>
      </c>
      <c r="O1379" s="18" t="n">
        <v>240.05</v>
      </c>
      <c r="P1379" s="18" t="n">
        <v>276.92</v>
      </c>
      <c r="Q1379" s="18" t="n">
        <v>213.86</v>
      </c>
      <c r="R1379" s="21">
        <f>IF(OR(G1379="",P1379=""),"",G1379/P1379-1)</f>
        <v/>
      </c>
      <c r="S1379" s="19" t="n">
        <v>0.1035</v>
      </c>
      <c r="T1379" s="22" t="n">
        <v>-0.008699999999999999</v>
      </c>
      <c r="U1379" s="16" t="inlineStr">
        <is>
          <t>No</t>
        </is>
      </c>
      <c r="V1379" s="16" t="inlineStr">
        <is>
          <t>Yes</t>
        </is>
      </c>
      <c r="W1379" s="16" t="inlineStr">
        <is>
          <t>Yes</t>
        </is>
      </c>
      <c r="X1379" s="16" t="inlineStr">
        <is>
          <t>No</t>
        </is>
      </c>
      <c r="Y1379" s="20" t="n">
        <v>64</v>
      </c>
      <c r="Z1379" s="19" t="n">
        <v>-0.0472</v>
      </c>
      <c r="AA1379" s="18" t="n">
        <v>38.09</v>
      </c>
      <c r="AB1379" s="16" t="inlineStr">
        <is>
          <t>Weak</t>
        </is>
      </c>
      <c r="AC1379" s="16" t="inlineStr">
        <is>
          <t>No</t>
        </is>
      </c>
      <c r="AD1379" s="19" t="n">
        <v>0.079</v>
      </c>
      <c r="AE1379" s="19" t="n">
        <v>0.09669999999999999</v>
      </c>
      <c r="AF1379" s="19" t="n">
        <v>-0.3857</v>
      </c>
      <c r="AG1379" s="19" t="n">
        <v>-0.0611</v>
      </c>
      <c r="AH1379" s="23" t="n">
        <v>0</v>
      </c>
      <c r="AI1379" s="23" t="n">
        <v>1.99</v>
      </c>
      <c r="AJ1379" s="19" t="n">
        <v>0.1244</v>
      </c>
    </row>
    <row r="1380">
      <c r="A1380" s="16" t="inlineStr">
        <is>
          <t>FERMENTA</t>
        </is>
      </c>
      <c r="B1380" s="16" t="inlineStr">
        <is>
          <t>Fermenta Biotech Ltd.</t>
        </is>
      </c>
      <c r="C1380" s="16" t="inlineStr">
        <is>
          <t>Pharmaceuticals</t>
        </is>
      </c>
      <c r="D1380" s="16" t="inlineStr">
        <is>
          <t>Pharmaceuticals &amp; Biotechnology</t>
        </is>
      </c>
      <c r="E1380" s="16" t="inlineStr">
        <is>
          <t>INE225B01021</t>
        </is>
      </c>
      <c r="F1380" s="17" t="n">
        <v>1466.69</v>
      </c>
      <c r="G1380" s="18" t="n">
        <v>498.35</v>
      </c>
      <c r="H1380" s="19" t="n">
        <v>-0.0089</v>
      </c>
      <c r="I1380" s="20" t="n">
        <v>88</v>
      </c>
      <c r="J1380" s="16" t="inlineStr">
        <is>
          <t>green</t>
        </is>
      </c>
      <c r="K1380" s="20" t="n">
        <v>31</v>
      </c>
      <c r="L1380" s="18" t="n">
        <v>62.08</v>
      </c>
      <c r="M1380" s="18" t="n">
        <v>496.7</v>
      </c>
      <c r="N1380" s="18" t="n">
        <v>453.64</v>
      </c>
      <c r="O1380" s="18" t="n">
        <v>352.38</v>
      </c>
      <c r="P1380" s="18" t="n">
        <v>559.55</v>
      </c>
      <c r="Q1380" s="18" t="n">
        <v>261.05</v>
      </c>
      <c r="R1380" s="21">
        <f>IF(OR(G1380="",P1380=""),"",G1380/P1380-1)</f>
        <v/>
      </c>
      <c r="S1380" s="19" t="n">
        <v>0.4295</v>
      </c>
      <c r="T1380" s="22" t="n">
        <v>0.0629</v>
      </c>
      <c r="U1380" s="16" t="inlineStr">
        <is>
          <t>Yes</t>
        </is>
      </c>
      <c r="V1380" s="16" t="inlineStr">
        <is>
          <t>Yes</t>
        </is>
      </c>
      <c r="W1380" s="16" t="inlineStr">
        <is>
          <t>Yes</t>
        </is>
      </c>
      <c r="X1380" s="16" t="inlineStr">
        <is>
          <t>Yes</t>
        </is>
      </c>
      <c r="Y1380" s="20" t="n">
        <v>48</v>
      </c>
      <c r="Z1380" s="19" t="n">
        <v>0.2874</v>
      </c>
      <c r="AA1380" s="18" t="n"/>
      <c r="AB1380" s="16" t="n"/>
      <c r="AC1380" s="16" t="inlineStr">
        <is>
          <t>No</t>
        </is>
      </c>
      <c r="AD1380" s="19" t="n"/>
      <c r="AE1380" s="19" t="n"/>
      <c r="AF1380" s="19" t="n"/>
      <c r="AG1380" s="19" t="n"/>
      <c r="AH1380" s="23" t="n"/>
      <c r="AI1380" s="23" t="n"/>
      <c r="AJ1380" s="19" t="n"/>
    </row>
    <row r="1381">
      <c r="A1381" s="16" t="inlineStr">
        <is>
          <t>TEXINFRA</t>
        </is>
      </c>
      <c r="B1381" s="16" t="inlineStr">
        <is>
          <t>Texmaco Infrastructure &amp; Holdings Ltd.</t>
        </is>
      </c>
      <c r="C1381" s="16" t="inlineStr">
        <is>
          <t>Realty</t>
        </is>
      </c>
      <c r="D1381" s="16" t="inlineStr">
        <is>
          <t>Realty</t>
        </is>
      </c>
      <c r="E1381" s="16" t="inlineStr">
        <is>
          <t>INE435C01024</t>
        </is>
      </c>
      <c r="F1381" s="17" t="n">
        <v>1465.66</v>
      </c>
      <c r="G1381" s="18" t="n">
        <v>115.02</v>
      </c>
      <c r="H1381" s="19" t="n">
        <v>-0.0144</v>
      </c>
      <c r="I1381" s="20" t="n">
        <v>64</v>
      </c>
      <c r="J1381" s="16" t="inlineStr">
        <is>
          <t>amber</t>
        </is>
      </c>
      <c r="K1381" s="20" t="n">
        <v>12</v>
      </c>
      <c r="L1381" s="18" t="n">
        <v>72.5</v>
      </c>
      <c r="M1381" s="18" t="n">
        <v>112.79</v>
      </c>
      <c r="N1381" s="18" t="n">
        <v>112.36</v>
      </c>
      <c r="O1381" s="18" t="n">
        <v>101.96</v>
      </c>
      <c r="P1381" s="18" t="n">
        <v>116.7</v>
      </c>
      <c r="Q1381" s="18" t="n">
        <v>83.98</v>
      </c>
      <c r="R1381" s="21">
        <f>IF(OR(G1381="",P1381=""),"",G1381/P1381-1)</f>
        <v/>
      </c>
      <c r="S1381" s="19" t="n">
        <v>0.8759</v>
      </c>
      <c r="T1381" s="22" t="n">
        <v>0.0114</v>
      </c>
      <c r="U1381" s="16" t="inlineStr">
        <is>
          <t>Yes</t>
        </is>
      </c>
      <c r="V1381" s="16" t="inlineStr">
        <is>
          <t>Yes</t>
        </is>
      </c>
      <c r="W1381" s="16" t="inlineStr">
        <is>
          <t>Yes</t>
        </is>
      </c>
      <c r="X1381" s="16" t="inlineStr">
        <is>
          <t>Yes</t>
        </is>
      </c>
      <c r="Y1381" s="20" t="n">
        <v>70</v>
      </c>
      <c r="Z1381" s="19" t="n">
        <v>0.1021</v>
      </c>
      <c r="AA1381" s="18" t="n">
        <v>35.28</v>
      </c>
      <c r="AB1381" s="16" t="inlineStr">
        <is>
          <t>Weak</t>
        </is>
      </c>
      <c r="AC1381" s="16" t="inlineStr">
        <is>
          <t>No</t>
        </is>
      </c>
      <c r="AD1381" s="19" t="n">
        <v>0.0028</v>
      </c>
      <c r="AE1381" s="19" t="n">
        <v>0.008</v>
      </c>
      <c r="AF1381" s="19" t="n">
        <v>0.3005</v>
      </c>
      <c r="AG1381" s="19" t="n">
        <v>0.02</v>
      </c>
      <c r="AH1381" s="23" t="n">
        <v>0.03</v>
      </c>
      <c r="AI1381" s="23" t="n">
        <v>0.25</v>
      </c>
      <c r="AJ1381" s="19" t="n">
        <v>0.1259</v>
      </c>
    </row>
    <row r="1382">
      <c r="A1382" s="16" t="inlineStr">
        <is>
          <t>AMRUTANJAN</t>
        </is>
      </c>
      <c r="B1382" s="16" t="inlineStr">
        <is>
          <t>Amrutanjan Health Care Ltd.</t>
        </is>
      </c>
      <c r="C1382" s="16" t="inlineStr">
        <is>
          <t>Pharmaceuticals</t>
        </is>
      </c>
      <c r="D1382" s="16" t="inlineStr">
        <is>
          <t>Pharmaceuticals &amp; Biotechnology</t>
        </is>
      </c>
      <c r="E1382" s="16" t="inlineStr">
        <is>
          <t>INE098F01031</t>
        </is>
      </c>
      <c r="F1382" s="17" t="n">
        <v>1461.29</v>
      </c>
      <c r="G1382" s="18" t="n">
        <v>505.45</v>
      </c>
      <c r="H1382" s="19" t="n">
        <v>-0.0037</v>
      </c>
      <c r="I1382" s="20" t="n">
        <v>11</v>
      </c>
      <c r="J1382" s="16" t="inlineStr">
        <is>
          <t>red</t>
        </is>
      </c>
      <c r="K1382" s="20" t="n">
        <v>179</v>
      </c>
      <c r="L1382" s="18" t="n">
        <v>56.08</v>
      </c>
      <c r="M1382" s="18" t="n">
        <v>509.98</v>
      </c>
      <c r="N1382" s="18" t="n">
        <v>522.0599999999999</v>
      </c>
      <c r="O1382" s="18" t="n">
        <v>574.37</v>
      </c>
      <c r="P1382" s="18" t="n">
        <v>763.4299999999999</v>
      </c>
      <c r="Q1382" s="18" t="n">
        <v>488.25</v>
      </c>
      <c r="R1382" s="21">
        <f>IF(OR(G1382="",P1382=""),"",G1382/P1382-1)</f>
        <v/>
      </c>
      <c r="S1382" s="19" t="n">
        <v>0.3102</v>
      </c>
      <c r="T1382" s="22" t="n">
        <v>-0.0345</v>
      </c>
      <c r="U1382" s="16" t="inlineStr">
        <is>
          <t>No</t>
        </is>
      </c>
      <c r="V1382" s="16" t="inlineStr">
        <is>
          <t>No</t>
        </is>
      </c>
      <c r="W1382" s="16" t="inlineStr">
        <is>
          <t>No</t>
        </is>
      </c>
      <c r="X1382" s="16" t="inlineStr">
        <is>
          <t>No</t>
        </is>
      </c>
      <c r="Y1382" s="20" t="n">
        <v>172</v>
      </c>
      <c r="Z1382" s="19" t="n">
        <v>-0.0911</v>
      </c>
      <c r="AA1382" s="18" t="n">
        <v>40</v>
      </c>
      <c r="AB1382" s="16" t="inlineStr">
        <is>
          <t>Weak</t>
        </is>
      </c>
      <c r="AC1382" s="16" t="inlineStr">
        <is>
          <t>No</t>
        </is>
      </c>
      <c r="AD1382" s="19" t="n">
        <v>0.156</v>
      </c>
      <c r="AE1382" s="19" t="n">
        <v>0.2116</v>
      </c>
      <c r="AF1382" s="19" t="n">
        <v>-0.2429</v>
      </c>
      <c r="AG1382" s="19" t="n">
        <v>0.09949999999999999</v>
      </c>
      <c r="AH1382" s="23" t="n">
        <v>0</v>
      </c>
      <c r="AI1382" s="23" t="n">
        <v>3.24</v>
      </c>
      <c r="AJ1382" s="19" t="n">
        <v>0.6792</v>
      </c>
    </row>
    <row r="1383">
      <c r="A1383" s="16" t="inlineStr">
        <is>
          <t>SHANKESH</t>
        </is>
      </c>
      <c r="B1383" s="16" t="inlineStr">
        <is>
          <t>Shankesh Jewellers Ltd.</t>
        </is>
      </c>
      <c r="C1383" s="16" t="inlineStr">
        <is>
          <t>Gems &amp; Jewellery</t>
        </is>
      </c>
      <c r="D1383" s="16" t="inlineStr">
        <is>
          <t>Textiles Apparels &amp; Accessories</t>
        </is>
      </c>
      <c r="E1383" s="16" t="inlineStr">
        <is>
          <t>INE1WFC01025</t>
        </is>
      </c>
      <c r="F1383" s="17" t="n">
        <v>1454.43</v>
      </c>
      <c r="G1383" s="18" t="n">
        <v>98.92</v>
      </c>
      <c r="H1383" s="19" t="n">
        <v>0.0156</v>
      </c>
      <c r="I1383" s="20" t="n"/>
      <c r="J1383" s="16" t="n"/>
      <c r="K1383" s="20" t="n"/>
      <c r="L1383" s="18" t="n"/>
      <c r="M1383" s="18" t="n">
        <v>94.3</v>
      </c>
      <c r="N1383" s="18" t="n"/>
      <c r="O1383" s="18" t="n"/>
      <c r="P1383" s="18" t="n">
        <v>98.92</v>
      </c>
      <c r="Q1383" s="18" t="n">
        <v>89.69</v>
      </c>
      <c r="R1383" s="21">
        <f>IF(OR(G1383="",P1383=""),"",G1383/P1383-1)</f>
        <v/>
      </c>
      <c r="S1383" s="19" t="n">
        <v>0.4984</v>
      </c>
      <c r="T1383" s="22" t="n"/>
      <c r="U1383" s="16" t="n"/>
      <c r="V1383" s="16" t="n"/>
      <c r="W1383" s="16" t="inlineStr">
        <is>
          <t>Yes</t>
        </is>
      </c>
      <c r="X1383" s="16" t="n"/>
      <c r="Y1383" s="20" t="n"/>
      <c r="Z1383" s="19" t="n"/>
      <c r="AA1383" s="18" t="n"/>
      <c r="AB1383" s="16" t="n"/>
      <c r="AC1383" s="16" t="inlineStr">
        <is>
          <t>No</t>
        </is>
      </c>
      <c r="AD1383" s="19" t="n"/>
      <c r="AE1383" s="19" t="n"/>
      <c r="AF1383" s="19" t="n"/>
      <c r="AG1383" s="19" t="n"/>
      <c r="AH1383" s="23" t="n"/>
      <c r="AI1383" s="23" t="n"/>
      <c r="AJ1383" s="19" t="n"/>
    </row>
    <row r="1384">
      <c r="A1384" s="16" t="inlineStr">
        <is>
          <t>SPIC</t>
        </is>
      </c>
      <c r="B1384" s="16" t="inlineStr">
        <is>
          <t>Southern Petrochemicals Industries Corporation Ltd.</t>
        </is>
      </c>
      <c r="C1384" s="16" t="inlineStr">
        <is>
          <t>Fertilizers</t>
        </is>
      </c>
      <c r="D1384" s="16" t="inlineStr">
        <is>
          <t>Fertilizers</t>
        </is>
      </c>
      <c r="E1384" s="16" t="inlineStr">
        <is>
          <t>INE147A01011</t>
        </is>
      </c>
      <c r="F1384" s="17" t="n">
        <v>1451.55</v>
      </c>
      <c r="G1384" s="18" t="n">
        <v>71.28</v>
      </c>
      <c r="H1384" s="19" t="n">
        <v>0.0021</v>
      </c>
      <c r="I1384" s="20" t="n">
        <v>30</v>
      </c>
      <c r="J1384" s="16" t="inlineStr">
        <is>
          <t>red</t>
        </is>
      </c>
      <c r="K1384" s="20" t="n">
        <v>200</v>
      </c>
      <c r="L1384" s="18" t="n">
        <v>69.97</v>
      </c>
      <c r="M1384" s="18" t="n">
        <v>69.62</v>
      </c>
      <c r="N1384" s="18" t="n">
        <v>67.78</v>
      </c>
      <c r="O1384" s="18" t="n">
        <v>71.09</v>
      </c>
      <c r="P1384" s="18" t="n">
        <v>120.46</v>
      </c>
      <c r="Q1384" s="18" t="n">
        <v>55.42</v>
      </c>
      <c r="R1384" s="21">
        <f>IF(OR(G1384="",P1384=""),"",G1384/P1384-1)</f>
        <v/>
      </c>
      <c r="S1384" s="19" t="n">
        <v>1.5263</v>
      </c>
      <c r="T1384" s="22" t="n">
        <v>-0.0291</v>
      </c>
      <c r="U1384" s="16" t="inlineStr">
        <is>
          <t>No</t>
        </is>
      </c>
      <c r="V1384" s="16" t="inlineStr">
        <is>
          <t>Yes</t>
        </is>
      </c>
      <c r="W1384" s="16" t="inlineStr">
        <is>
          <t>Yes</t>
        </is>
      </c>
      <c r="X1384" s="16" t="inlineStr">
        <is>
          <t>No</t>
        </is>
      </c>
      <c r="Y1384" s="20" t="n">
        <v>181</v>
      </c>
      <c r="Z1384" s="19" t="n">
        <v>-0.0466</v>
      </c>
      <c r="AA1384" s="18" t="n">
        <v>40</v>
      </c>
      <c r="AB1384" s="16" t="inlineStr">
        <is>
          <t>Weak</t>
        </is>
      </c>
      <c r="AC1384" s="16" t="inlineStr">
        <is>
          <t>No</t>
        </is>
      </c>
      <c r="AD1384" s="19" t="n">
        <v>0.1298</v>
      </c>
      <c r="AE1384" s="19" t="n">
        <v>0.1514</v>
      </c>
      <c r="AF1384" s="19" t="n">
        <v>-0.4159</v>
      </c>
      <c r="AG1384" s="19" t="n">
        <v>2.0528</v>
      </c>
      <c r="AH1384" s="23" t="n">
        <v>0.51</v>
      </c>
      <c r="AI1384" s="23" t="n">
        <v>2.77</v>
      </c>
      <c r="AJ1384" s="19" t="n">
        <v>0.4214</v>
      </c>
    </row>
    <row r="1385">
      <c r="A1385" s="16" t="inlineStr">
        <is>
          <t>TECHNOCRAF</t>
        </is>
      </c>
      <c r="B1385" s="16" t="inlineStr">
        <is>
          <t>Technocraft Ventures Ltd.</t>
        </is>
      </c>
      <c r="C1385" s="16" t="inlineStr">
        <is>
          <t>Utilities:Non-Electrical</t>
        </is>
      </c>
      <c r="D1385" s="16" t="inlineStr">
        <is>
          <t>Utilities</t>
        </is>
      </c>
      <c r="E1385" s="16" t="inlineStr">
        <is>
          <t>INE1D0W01018</t>
        </is>
      </c>
      <c r="F1385" s="17" t="n">
        <v>1449.98</v>
      </c>
      <c r="G1385" s="18" t="n">
        <v>366.1</v>
      </c>
      <c r="H1385" s="19" t="n">
        <v>-0.019</v>
      </c>
      <c r="I1385" s="20" t="n"/>
      <c r="J1385" s="16" t="n"/>
      <c r="K1385" s="20" t="n"/>
      <c r="L1385" s="18" t="n">
        <v>84.36</v>
      </c>
      <c r="M1385" s="18" t="n">
        <v>366.81</v>
      </c>
      <c r="N1385" s="18" t="n"/>
      <c r="O1385" s="18" t="n"/>
      <c r="P1385" s="18" t="n">
        <v>376.1</v>
      </c>
      <c r="Q1385" s="18" t="n">
        <v>299.94</v>
      </c>
      <c r="R1385" s="21">
        <f>IF(OR(G1385="",P1385=""),"",G1385/P1385-1)</f>
        <v/>
      </c>
      <c r="S1385" s="19" t="n">
        <v>0.1311</v>
      </c>
      <c r="T1385" s="22" t="n"/>
      <c r="U1385" s="16" t="n"/>
      <c r="V1385" s="16" t="n"/>
      <c r="W1385" s="16" t="inlineStr">
        <is>
          <t>No</t>
        </is>
      </c>
      <c r="X1385" s="16" t="n"/>
      <c r="Y1385" s="20" t="n"/>
      <c r="Z1385" s="19" t="n"/>
      <c r="AA1385" s="18" t="n"/>
      <c r="AB1385" s="16" t="n"/>
      <c r="AC1385" s="16" t="inlineStr">
        <is>
          <t>No</t>
        </is>
      </c>
      <c r="AD1385" s="19" t="n"/>
      <c r="AE1385" s="19" t="n"/>
      <c r="AF1385" s="19" t="n"/>
      <c r="AG1385" s="19" t="n"/>
      <c r="AH1385" s="23" t="n"/>
      <c r="AI1385" s="23" t="n"/>
      <c r="AJ1385" s="19" t="n"/>
    </row>
    <row r="1386">
      <c r="A1386" s="16" t="inlineStr">
        <is>
          <t>NAVKARCORP</t>
        </is>
      </c>
      <c r="B1386" s="16" t="inlineStr">
        <is>
          <t>Navkar Corporation Ltd.</t>
        </is>
      </c>
      <c r="C1386" s="16" t="inlineStr">
        <is>
          <t>Transport Related Services</t>
        </is>
      </c>
      <c r="D1386" s="16" t="inlineStr">
        <is>
          <t>Transportation</t>
        </is>
      </c>
      <c r="E1386" s="16" t="inlineStr">
        <is>
          <t>INE278M01019</t>
        </is>
      </c>
      <c r="F1386" s="17" t="n">
        <v>1448.6</v>
      </c>
      <c r="G1386" s="18" t="n">
        <v>96.23999999999999</v>
      </c>
      <c r="H1386" s="19" t="n">
        <v>-0.0123</v>
      </c>
      <c r="I1386" s="20" t="n">
        <v>33</v>
      </c>
      <c r="J1386" s="16" t="inlineStr">
        <is>
          <t>red</t>
        </is>
      </c>
      <c r="K1386" s="20" t="n">
        <v>46</v>
      </c>
      <c r="L1386" s="18" t="n">
        <v>37.25</v>
      </c>
      <c r="M1386" s="18" t="n">
        <v>96.69</v>
      </c>
      <c r="N1386" s="18" t="n">
        <v>102.49</v>
      </c>
      <c r="O1386" s="18" t="n">
        <v>98.44</v>
      </c>
      <c r="P1386" s="18" t="n">
        <v>129.78</v>
      </c>
      <c r="Q1386" s="18" t="n">
        <v>74.63</v>
      </c>
      <c r="R1386" s="21">
        <f>IF(OR(G1386="",P1386=""),"",G1386/P1386-1)</f>
        <v/>
      </c>
      <c r="S1386" s="19" t="n">
        <v>0.9095</v>
      </c>
      <c r="T1386" s="22" t="n">
        <v>-0.0175</v>
      </c>
      <c r="U1386" s="16" t="inlineStr">
        <is>
          <t>No</t>
        </is>
      </c>
      <c r="V1386" s="16" t="inlineStr">
        <is>
          <t>No</t>
        </is>
      </c>
      <c r="W1386" s="16" t="inlineStr">
        <is>
          <t>No</t>
        </is>
      </c>
      <c r="X1386" s="16" t="inlineStr">
        <is>
          <t>Yes</t>
        </is>
      </c>
      <c r="Y1386" s="20" t="n">
        <v>38</v>
      </c>
      <c r="Z1386" s="19" t="n">
        <v>0.0412</v>
      </c>
      <c r="AA1386" s="18" t="n">
        <v>27.16</v>
      </c>
      <c r="AB1386" s="16" t="inlineStr">
        <is>
          <t>Poor</t>
        </is>
      </c>
      <c r="AC1386" s="16" t="inlineStr">
        <is>
          <t>No</t>
        </is>
      </c>
      <c r="AD1386" s="19" t="n">
        <v>-0.003</v>
      </c>
      <c r="AE1386" s="19" t="n">
        <v>0.005500000000000001</v>
      </c>
      <c r="AF1386" s="19" t="n">
        <v>-7.812799999999999</v>
      </c>
      <c r="AG1386" s="19" t="n">
        <v>0.1671</v>
      </c>
      <c r="AH1386" s="23" t="n">
        <v>0.09</v>
      </c>
      <c r="AI1386" s="23" t="n">
        <v>0.36</v>
      </c>
      <c r="AJ1386" s="19" t="n">
        <v>0.0013</v>
      </c>
    </row>
    <row r="1387">
      <c r="A1387" s="16" t="inlineStr">
        <is>
          <t>DIGITIDE</t>
        </is>
      </c>
      <c r="B1387" s="16" t="inlineStr">
        <is>
          <t>Digitide Solutions Ltd.</t>
        </is>
      </c>
      <c r="C1387" s="16" t="inlineStr">
        <is>
          <t>IT Consulting &amp; Software</t>
        </is>
      </c>
      <c r="D1387" s="16" t="inlineStr">
        <is>
          <t>Software &amp; Services</t>
        </is>
      </c>
      <c r="E1387" s="16" t="inlineStr">
        <is>
          <t>INE0U4701011</t>
        </is>
      </c>
      <c r="F1387" s="17" t="n">
        <v>1447.19</v>
      </c>
      <c r="G1387" s="18" t="n">
        <v>97.01000000000001</v>
      </c>
      <c r="H1387" s="19" t="n">
        <v>0.0156</v>
      </c>
      <c r="I1387" s="20" t="n">
        <v>24</v>
      </c>
      <c r="J1387" s="16" t="inlineStr">
        <is>
          <t>red</t>
        </is>
      </c>
      <c r="K1387" s="20" t="n">
        <v>247</v>
      </c>
      <c r="L1387" s="18" t="n">
        <v>51.23</v>
      </c>
      <c r="M1387" s="18" t="n">
        <v>98.31</v>
      </c>
      <c r="N1387" s="18" t="n">
        <v>99.92</v>
      </c>
      <c r="O1387" s="18" t="n">
        <v>103.81</v>
      </c>
      <c r="P1387" s="18" t="n">
        <v>201.75</v>
      </c>
      <c r="Q1387" s="18" t="n">
        <v>72.86</v>
      </c>
      <c r="R1387" s="21">
        <f>IF(OR(G1387="",P1387=""),"",G1387/P1387-1)</f>
        <v/>
      </c>
      <c r="S1387" s="19" t="n">
        <v>0.7804000000000001</v>
      </c>
      <c r="T1387" s="22" t="n">
        <v>-0.0526</v>
      </c>
      <c r="U1387" s="16" t="inlineStr">
        <is>
          <t>No</t>
        </is>
      </c>
      <c r="V1387" s="16" t="inlineStr">
        <is>
          <t>No</t>
        </is>
      </c>
      <c r="W1387" s="16" t="inlineStr">
        <is>
          <t>No</t>
        </is>
      </c>
      <c r="X1387" s="16" t="inlineStr">
        <is>
          <t>No</t>
        </is>
      </c>
      <c r="Y1387" s="20" t="n">
        <v>111</v>
      </c>
      <c r="Z1387" s="19" t="n">
        <v>-0.0374</v>
      </c>
      <c r="AA1387" s="18" t="n">
        <v>24.24</v>
      </c>
      <c r="AB1387" s="16" t="inlineStr">
        <is>
          <t>Poor</t>
        </is>
      </c>
      <c r="AC1387" s="16" t="inlineStr">
        <is>
          <t>No</t>
        </is>
      </c>
      <c r="AD1387" s="19" t="n">
        <v>-0.0195</v>
      </c>
      <c r="AE1387" s="19" t="n">
        <v>0.0603</v>
      </c>
      <c r="AF1387" s="19" t="n"/>
      <c r="AG1387" s="19" t="n"/>
      <c r="AH1387" s="23" t="n">
        <v>0.63</v>
      </c>
      <c r="AI1387" s="23" t="n">
        <v>4.95</v>
      </c>
      <c r="AJ1387" s="19" t="n">
        <v>0.003</v>
      </c>
    </row>
    <row r="1388">
      <c r="A1388" s="16" t="inlineStr">
        <is>
          <t>STEELXIND</t>
        </is>
      </c>
      <c r="B1388" s="16" t="inlineStr">
        <is>
          <t>Steel Exchange India Ltd.</t>
        </is>
      </c>
      <c r="C1388" s="16" t="inlineStr">
        <is>
          <t>Iron &amp; Steel/Interm.Products</t>
        </is>
      </c>
      <c r="D1388" s="16" t="inlineStr">
        <is>
          <t>Metals &amp; Mining</t>
        </is>
      </c>
      <c r="E1388" s="16" t="inlineStr">
        <is>
          <t>INE503B01021</t>
        </is>
      </c>
      <c r="F1388" s="17" t="n">
        <v>1446.44</v>
      </c>
      <c r="G1388" s="18" t="n">
        <v>11.34</v>
      </c>
      <c r="H1388" s="19" t="n">
        <v>0.0027</v>
      </c>
      <c r="I1388" s="20" t="n">
        <v>62</v>
      </c>
      <c r="J1388" s="16" t="inlineStr">
        <is>
          <t>amber</t>
        </is>
      </c>
      <c r="K1388" s="20" t="n">
        <v>2</v>
      </c>
      <c r="L1388" s="18" t="n">
        <v>60.71</v>
      </c>
      <c r="M1388" s="18" t="n">
        <v>10.82</v>
      </c>
      <c r="N1388" s="18" t="n">
        <v>11.44</v>
      </c>
      <c r="O1388" s="18" t="n">
        <v>9.81</v>
      </c>
      <c r="P1388" s="18" t="n">
        <v>13.39</v>
      </c>
      <c r="Q1388" s="18" t="n">
        <v>7.03</v>
      </c>
      <c r="R1388" s="21">
        <f>IF(OR(G1388="",P1388=""),"",G1388/P1388-1)</f>
        <v/>
      </c>
      <c r="S1388" s="19" t="n">
        <v>1.9495</v>
      </c>
      <c r="T1388" s="22" t="n">
        <v>0.0142</v>
      </c>
      <c r="U1388" s="16" t="inlineStr">
        <is>
          <t>Yes</t>
        </is>
      </c>
      <c r="V1388" s="16" t="inlineStr">
        <is>
          <t>No</t>
        </is>
      </c>
      <c r="W1388" s="16" t="inlineStr">
        <is>
          <t>Yes</t>
        </is>
      </c>
      <c r="X1388" s="16" t="inlineStr">
        <is>
          <t>Yes</t>
        </is>
      </c>
      <c r="Y1388" s="20" t="n">
        <v>75</v>
      </c>
      <c r="Z1388" s="19" t="n">
        <v>0.1661</v>
      </c>
      <c r="AA1388" s="18" t="n">
        <v>30.81</v>
      </c>
      <c r="AB1388" s="16" t="inlineStr">
        <is>
          <t>Poor</t>
        </is>
      </c>
      <c r="AC1388" s="16" t="inlineStr">
        <is>
          <t>No</t>
        </is>
      </c>
      <c r="AD1388" s="19" t="n">
        <v>0.0295</v>
      </c>
      <c r="AE1388" s="19" t="n">
        <v>0.0857</v>
      </c>
      <c r="AF1388" s="19" t="n">
        <v>0.8571</v>
      </c>
      <c r="AG1388" s="19" t="n">
        <v>-0.0801</v>
      </c>
      <c r="AH1388" s="23" t="n">
        <v>0.54</v>
      </c>
      <c r="AI1388" s="23" t="n">
        <v>1.77</v>
      </c>
      <c r="AJ1388" s="19" t="n">
        <v>0.0111</v>
      </c>
    </row>
    <row r="1389">
      <c r="A1389" s="16" t="inlineStr">
        <is>
          <t>DPEL</t>
        </is>
      </c>
      <c r="B1389" s="16" t="inlineStr">
        <is>
          <t>Divine Power Energy Ltd.</t>
        </is>
      </c>
      <c r="C1389" s="16" t="inlineStr">
        <is>
          <t>Other Electrical Equipment/Products</t>
        </is>
      </c>
      <c r="D1389" s="16" t="inlineStr">
        <is>
          <t>Consumer Durables</t>
        </is>
      </c>
      <c r="E1389" s="16" t="inlineStr">
        <is>
          <t>INE0SCO01019</t>
        </is>
      </c>
      <c r="F1389" s="17" t="n">
        <v>1444.86</v>
      </c>
      <c r="G1389" s="18" t="n">
        <v>578.75</v>
      </c>
      <c r="H1389" s="19" t="n">
        <v>0.0025</v>
      </c>
      <c r="I1389" s="20" t="n">
        <v>96</v>
      </c>
      <c r="J1389" s="16" t="inlineStr">
        <is>
          <t>green</t>
        </is>
      </c>
      <c r="K1389" s="20" t="n">
        <v>252</v>
      </c>
      <c r="L1389" s="18" t="n">
        <v>41.01</v>
      </c>
      <c r="M1389" s="18" t="n">
        <v>574.58</v>
      </c>
      <c r="N1389" s="18" t="n">
        <v>559.95</v>
      </c>
      <c r="O1389" s="18" t="n">
        <v>418.5</v>
      </c>
      <c r="P1389" s="18" t="n">
        <v>590.05</v>
      </c>
      <c r="Q1389" s="18" t="n">
        <v>143.2</v>
      </c>
      <c r="R1389" s="21">
        <f>IF(OR(G1389="",P1389=""),"",G1389/P1389-1)</f>
        <v/>
      </c>
      <c r="S1389" s="19" t="n">
        <v>0.3482</v>
      </c>
      <c r="T1389" s="22" t="n">
        <v>0.0742</v>
      </c>
      <c r="U1389" s="16" t="inlineStr">
        <is>
          <t>Yes</t>
        </is>
      </c>
      <c r="V1389" s="16" t="inlineStr">
        <is>
          <t>Yes</t>
        </is>
      </c>
      <c r="W1389" s="16" t="inlineStr">
        <is>
          <t>Yes</t>
        </is>
      </c>
      <c r="X1389" s="16" t="inlineStr">
        <is>
          <t>Yes</t>
        </is>
      </c>
      <c r="Y1389" s="20" t="n">
        <v>345</v>
      </c>
      <c r="Z1389" s="19" t="n">
        <v>0.338</v>
      </c>
      <c r="AA1389" s="18" t="n"/>
      <c r="AB1389" s="16" t="n"/>
      <c r="AC1389" s="16" t="inlineStr">
        <is>
          <t>No</t>
        </is>
      </c>
      <c r="AD1389" s="19" t="n"/>
      <c r="AE1389" s="19" t="n"/>
      <c r="AF1389" s="19" t="n"/>
      <c r="AG1389" s="19" t="n"/>
      <c r="AH1389" s="23" t="n"/>
      <c r="AI1389" s="23" t="n"/>
      <c r="AJ1389" s="19" t="n"/>
    </row>
    <row r="1390">
      <c r="A1390" s="16" t="inlineStr">
        <is>
          <t>KPGEL</t>
        </is>
      </c>
      <c r="B1390" s="16" t="inlineStr">
        <is>
          <t>KP Green Engineering Ltd.</t>
        </is>
      </c>
      <c r="C1390" s="16" t="inlineStr">
        <is>
          <t>Construction &amp; Engineering</t>
        </is>
      </c>
      <c r="D1390" s="16" t="inlineStr">
        <is>
          <t>Cement and Construction</t>
        </is>
      </c>
      <c r="E1390" s="16" t="inlineStr">
        <is>
          <t>INE0QVH01025</t>
        </is>
      </c>
      <c r="F1390" s="17" t="n">
        <v>1442.5</v>
      </c>
      <c r="G1390" s="18" t="n">
        <v>288.5</v>
      </c>
      <c r="H1390" s="19" t="n">
        <v>-0.023</v>
      </c>
      <c r="I1390" s="20" t="n">
        <v>3</v>
      </c>
      <c r="J1390" s="16" t="inlineStr">
        <is>
          <t>red</t>
        </is>
      </c>
      <c r="K1390" s="20" t="n">
        <v>86</v>
      </c>
      <c r="L1390" s="18" t="n">
        <v>63.9</v>
      </c>
      <c r="M1390" s="18" t="n">
        <v>278.26</v>
      </c>
      <c r="N1390" s="18" t="n">
        <v>321.61</v>
      </c>
      <c r="O1390" s="18" t="n">
        <v>383.29</v>
      </c>
      <c r="P1390" s="18" t="n">
        <v>618.89</v>
      </c>
      <c r="Q1390" s="18" t="n">
        <v>249.6</v>
      </c>
      <c r="R1390" s="21">
        <f>IF(OR(G1390="",P1390=""),"",G1390/P1390-1)</f>
        <v/>
      </c>
      <c r="S1390" s="19" t="n">
        <v>0.7622</v>
      </c>
      <c r="T1390" s="22" t="n">
        <v>-0.0672</v>
      </c>
      <c r="U1390" s="16" t="inlineStr">
        <is>
          <t>No</t>
        </is>
      </c>
      <c r="V1390" s="16" t="inlineStr">
        <is>
          <t>No</t>
        </is>
      </c>
      <c r="W1390" s="16" t="inlineStr">
        <is>
          <t>Yes</t>
        </is>
      </c>
      <c r="X1390" s="16" t="inlineStr">
        <is>
          <t>No</t>
        </is>
      </c>
      <c r="Y1390" s="20" t="n">
        <v>174</v>
      </c>
      <c r="Z1390" s="19" t="n">
        <v>-0.1609</v>
      </c>
      <c r="AA1390" s="18" t="n"/>
      <c r="AB1390" s="16" t="n"/>
      <c r="AC1390" s="16" t="inlineStr">
        <is>
          <t>No</t>
        </is>
      </c>
      <c r="AD1390" s="19" t="n"/>
      <c r="AE1390" s="19" t="n"/>
      <c r="AF1390" s="19" t="n"/>
      <c r="AG1390" s="19" t="n"/>
      <c r="AH1390" s="23" t="n"/>
      <c r="AI1390" s="23" t="n"/>
      <c r="AJ1390" s="19" t="n"/>
    </row>
    <row r="1391">
      <c r="A1391" s="16" t="inlineStr">
        <is>
          <t>GCSL</t>
        </is>
      </c>
      <c r="B1391" s="16" t="inlineStr">
        <is>
          <t>Gretex Corporate Services Ltd.</t>
        </is>
      </c>
      <c r="C1391" s="16" t="inlineStr">
        <is>
          <t>Other Financial Services</t>
        </is>
      </c>
      <c r="D1391" s="16" t="inlineStr">
        <is>
          <t>Banking and Finance</t>
        </is>
      </c>
      <c r="E1391" s="16" t="inlineStr">
        <is>
          <t>INE199P01028</t>
        </is>
      </c>
      <c r="F1391" s="17" t="n">
        <v>1437.84</v>
      </c>
      <c r="G1391" s="18" t="n">
        <v>595.15</v>
      </c>
      <c r="H1391" s="19" t="n">
        <v>0.0144</v>
      </c>
      <c r="I1391" s="20" t="n">
        <v>87</v>
      </c>
      <c r="J1391" s="16" t="inlineStr">
        <is>
          <t>green</t>
        </is>
      </c>
      <c r="K1391" s="20" t="n">
        <v>10</v>
      </c>
      <c r="L1391" s="18" t="n">
        <v>78.22</v>
      </c>
      <c r="M1391" s="18" t="n">
        <v>561.63</v>
      </c>
      <c r="N1391" s="18" t="n">
        <v>511.53</v>
      </c>
      <c r="O1391" s="18" t="n">
        <v>397.04</v>
      </c>
      <c r="P1391" s="18" t="n">
        <v>595.15</v>
      </c>
      <c r="Q1391" s="18" t="n">
        <v>220.2</v>
      </c>
      <c r="R1391" s="21">
        <f>IF(OR(G1391="",P1391=""),"",G1391/P1391-1)</f>
        <v/>
      </c>
      <c r="S1391" s="19" t="n">
        <v>1.121</v>
      </c>
      <c r="T1391" s="22" t="n">
        <v>0.07099999999999999</v>
      </c>
      <c r="U1391" s="16" t="inlineStr">
        <is>
          <t>Yes</t>
        </is>
      </c>
      <c r="V1391" s="16" t="inlineStr">
        <is>
          <t>Yes</t>
        </is>
      </c>
      <c r="W1391" s="16" t="inlineStr">
        <is>
          <t>Yes</t>
        </is>
      </c>
      <c r="X1391" s="16" t="inlineStr">
        <is>
          <t>Yes</t>
        </is>
      </c>
      <c r="Y1391" s="20" t="n">
        <v>51</v>
      </c>
      <c r="Z1391" s="19" t="n">
        <v>0.2884</v>
      </c>
      <c r="AA1391" s="18" t="n">
        <v>79.73</v>
      </c>
      <c r="AB1391" s="16" t="inlineStr">
        <is>
          <t>High</t>
        </is>
      </c>
      <c r="AC1391" s="16" t="inlineStr">
        <is>
          <t>Yes</t>
        </is>
      </c>
      <c r="AD1391" s="19" t="n">
        <v>0.1308</v>
      </c>
      <c r="AE1391" s="19" t="n">
        <v>0.2262</v>
      </c>
      <c r="AF1391" s="19" t="n">
        <v>5.1555</v>
      </c>
      <c r="AG1391" s="19" t="n">
        <v>0.8704999999999999</v>
      </c>
      <c r="AH1391" s="23" t="n">
        <v>0.09</v>
      </c>
      <c r="AI1391" s="23" t="n">
        <v>2.82</v>
      </c>
      <c r="AJ1391" s="19" t="n">
        <v>0</v>
      </c>
    </row>
    <row r="1392">
      <c r="A1392" s="16" t="inlineStr">
        <is>
          <t>RUBYMILLS</t>
        </is>
      </c>
      <c r="B1392" s="16" t="inlineStr">
        <is>
          <t>Ruby Mills Ltd.</t>
        </is>
      </c>
      <c r="C1392" s="16" t="inlineStr">
        <is>
          <t>Textiles</t>
        </is>
      </c>
      <c r="D1392" s="16" t="inlineStr">
        <is>
          <t>Textiles Apparels &amp; Accessories</t>
        </is>
      </c>
      <c r="E1392" s="16" t="inlineStr">
        <is>
          <t>INE301D01026</t>
        </is>
      </c>
      <c r="F1392" s="17" t="n">
        <v>1432.24</v>
      </c>
      <c r="G1392" s="18" t="n">
        <v>428.3</v>
      </c>
      <c r="H1392" s="19" t="n">
        <v>0.0471</v>
      </c>
      <c r="I1392" s="20" t="n">
        <v>90</v>
      </c>
      <c r="J1392" s="16" t="inlineStr">
        <is>
          <t>green</t>
        </is>
      </c>
      <c r="K1392" s="20" t="n">
        <v>69</v>
      </c>
      <c r="L1392" s="18" t="n">
        <v>69.34</v>
      </c>
      <c r="M1392" s="18" t="n">
        <v>397.32</v>
      </c>
      <c r="N1392" s="18" t="n">
        <v>379.74</v>
      </c>
      <c r="O1392" s="18" t="n">
        <v>268.39</v>
      </c>
      <c r="P1392" s="18" t="n">
        <v>428.3</v>
      </c>
      <c r="Q1392" s="18" t="n">
        <v>169.9</v>
      </c>
      <c r="R1392" s="21">
        <f>IF(OR(G1392="",P1392=""),"",G1392/P1392-1)</f>
        <v/>
      </c>
      <c r="S1392" s="19" t="n">
        <v>2.326</v>
      </c>
      <c r="T1392" s="22" t="n">
        <v>0.0659</v>
      </c>
      <c r="U1392" s="16" t="inlineStr">
        <is>
          <t>Yes</t>
        </is>
      </c>
      <c r="V1392" s="16" t="inlineStr">
        <is>
          <t>Yes</t>
        </is>
      </c>
      <c r="W1392" s="16" t="inlineStr">
        <is>
          <t>Yes</t>
        </is>
      </c>
      <c r="X1392" s="16" t="inlineStr">
        <is>
          <t>Yes</t>
        </is>
      </c>
      <c r="Y1392" s="20" t="n">
        <v>79</v>
      </c>
      <c r="Z1392" s="19" t="n">
        <v>0.4149</v>
      </c>
      <c r="AA1392" s="18" t="n">
        <v>34.25</v>
      </c>
      <c r="AB1392" s="16" t="inlineStr">
        <is>
          <t>Poor</t>
        </is>
      </c>
      <c r="AC1392" s="16" t="inlineStr">
        <is>
          <t>No</t>
        </is>
      </c>
      <c r="AD1392" s="19" t="n">
        <v>0.0684</v>
      </c>
      <c r="AE1392" s="19" t="n">
        <v>0.066</v>
      </c>
      <c r="AF1392" s="19" t="n">
        <v>-0.2618</v>
      </c>
      <c r="AG1392" s="19" t="n">
        <v>0.2175</v>
      </c>
      <c r="AH1392" s="23" t="n">
        <v>0.5600000000000001</v>
      </c>
      <c r="AI1392" s="23" t="n">
        <v>1.78</v>
      </c>
      <c r="AJ1392" s="19" t="n">
        <v>0.4616</v>
      </c>
    </row>
    <row r="1393">
      <c r="A1393" s="16" t="inlineStr">
        <is>
          <t>KOTIC</t>
        </is>
      </c>
      <c r="B1393" s="16" t="inlineStr">
        <is>
          <t>Kothari Industrial Corporation Ltd.</t>
        </is>
      </c>
      <c r="C1393" s="16" t="inlineStr">
        <is>
          <t>Fertilizers</t>
        </is>
      </c>
      <c r="D1393" s="16" t="inlineStr">
        <is>
          <t>Fertilizers</t>
        </is>
      </c>
      <c r="E1393" s="16" t="inlineStr">
        <is>
          <t>INE972A01020</t>
        </is>
      </c>
      <c r="F1393" s="17" t="n">
        <v>1431.83</v>
      </c>
      <c r="G1393" s="18" t="n">
        <v>132.55</v>
      </c>
      <c r="H1393" s="19" t="n">
        <v>-0.0349</v>
      </c>
      <c r="I1393" s="20" t="n">
        <v>2</v>
      </c>
      <c r="J1393" s="16" t="inlineStr">
        <is>
          <t>red</t>
        </is>
      </c>
      <c r="K1393" s="20" t="n">
        <v>162</v>
      </c>
      <c r="L1393" s="18" t="n">
        <v>37.8</v>
      </c>
      <c r="M1393" s="18" t="n">
        <v>142.37</v>
      </c>
      <c r="N1393" s="18" t="n">
        <v>157</v>
      </c>
      <c r="O1393" s="18" t="n">
        <v>194.65</v>
      </c>
      <c r="P1393" s="18" t="n">
        <v>615</v>
      </c>
      <c r="Q1393" s="18" t="n">
        <v>132.55</v>
      </c>
      <c r="R1393" s="21">
        <f>IF(OR(G1393="",P1393=""),"",G1393/P1393-1)</f>
        <v/>
      </c>
      <c r="S1393" s="19" t="n">
        <v>1.4415</v>
      </c>
      <c r="T1393" s="22" t="n">
        <v>-0.1462</v>
      </c>
      <c r="U1393" s="16" t="inlineStr">
        <is>
          <t>No</t>
        </is>
      </c>
      <c r="V1393" s="16" t="inlineStr">
        <is>
          <t>No</t>
        </is>
      </c>
      <c r="W1393" s="16" t="inlineStr">
        <is>
          <t>No</t>
        </is>
      </c>
      <c r="X1393" s="16" t="inlineStr">
        <is>
          <t>No</t>
        </is>
      </c>
      <c r="Y1393" s="20" t="n">
        <v>173</v>
      </c>
      <c r="Z1393" s="19" t="n">
        <v>-0.1934</v>
      </c>
      <c r="AA1393" s="18" t="n"/>
      <c r="AB1393" s="16" t="n"/>
      <c r="AC1393" s="16" t="inlineStr">
        <is>
          <t>No</t>
        </is>
      </c>
      <c r="AD1393" s="19" t="n"/>
      <c r="AE1393" s="19" t="n"/>
      <c r="AF1393" s="19" t="n"/>
      <c r="AG1393" s="19" t="n"/>
      <c r="AH1393" s="23" t="n"/>
      <c r="AI1393" s="23" t="n"/>
      <c r="AJ1393" s="19" t="n"/>
    </row>
    <row r="1394">
      <c r="A1394" s="16" t="inlineStr">
        <is>
          <t>VALIANT</t>
        </is>
      </c>
      <c r="B1394" s="16" t="inlineStr">
        <is>
          <t>Valiant Communications Ltd.</t>
        </is>
      </c>
      <c r="C1394" s="16" t="inlineStr">
        <is>
          <t>Telecom Equipment</t>
        </is>
      </c>
      <c r="D1394" s="16" t="inlineStr">
        <is>
          <t>Telecommunications Equipment</t>
        </is>
      </c>
      <c r="E1394" s="16" t="inlineStr">
        <is>
          <t>INE760B01019</t>
        </is>
      </c>
      <c r="F1394" s="17" t="n">
        <v>1425.91</v>
      </c>
      <c r="G1394" s="18" t="n">
        <v>1246.2</v>
      </c>
      <c r="H1394" s="19" t="n">
        <v>-0.005600000000000001</v>
      </c>
      <c r="I1394" s="20" t="n">
        <v>81</v>
      </c>
      <c r="J1394" s="16" t="inlineStr">
        <is>
          <t>green</t>
        </is>
      </c>
      <c r="K1394" s="20" t="n">
        <v>1</v>
      </c>
      <c r="L1394" s="18" t="n">
        <v>54.5</v>
      </c>
      <c r="M1394" s="18" t="n">
        <v>1189.63</v>
      </c>
      <c r="N1394" s="18" t="n">
        <v>1085.38</v>
      </c>
      <c r="O1394" s="18" t="n">
        <v>993.85</v>
      </c>
      <c r="P1394" s="18" t="n">
        <v>1268.9</v>
      </c>
      <c r="Q1394" s="18" t="n">
        <v>582.92</v>
      </c>
      <c r="R1394" s="21">
        <f>IF(OR(G1394="",P1394=""),"",G1394/P1394-1)</f>
        <v/>
      </c>
      <c r="S1394" s="19" t="n">
        <v>0.4165</v>
      </c>
      <c r="T1394" s="22" t="n">
        <v>0.0414</v>
      </c>
      <c r="U1394" s="16" t="inlineStr">
        <is>
          <t>Yes</t>
        </is>
      </c>
      <c r="V1394" s="16" t="inlineStr">
        <is>
          <t>Yes</t>
        </is>
      </c>
      <c r="W1394" s="16" t="inlineStr">
        <is>
          <t>Yes</t>
        </is>
      </c>
      <c r="X1394" s="16" t="inlineStr">
        <is>
          <t>Yes</t>
        </is>
      </c>
      <c r="Y1394" s="20" t="n">
        <v>312</v>
      </c>
      <c r="Z1394" s="19" t="n">
        <v>0.09210000000000002</v>
      </c>
      <c r="AA1394" s="18" t="n"/>
      <c r="AB1394" s="16" t="n"/>
      <c r="AC1394" s="16" t="inlineStr">
        <is>
          <t>No</t>
        </is>
      </c>
      <c r="AD1394" s="19" t="n"/>
      <c r="AE1394" s="19" t="n"/>
      <c r="AF1394" s="19" t="n"/>
      <c r="AG1394" s="19" t="n"/>
      <c r="AH1394" s="23" t="n"/>
      <c r="AI1394" s="23" t="n"/>
      <c r="AJ1394" s="19" t="n"/>
    </row>
    <row r="1395">
      <c r="A1395" s="16" t="inlineStr">
        <is>
          <t>CITURGIA</t>
        </is>
      </c>
      <c r="B1395" s="16" t="inlineStr">
        <is>
          <t>Citurgia Biochemicals Ltd.</t>
        </is>
      </c>
      <c r="C1395" s="16" t="inlineStr">
        <is>
          <t>Commodity Chemicals</t>
        </is>
      </c>
      <c r="D1395" s="16" t="inlineStr">
        <is>
          <t>Chemicals &amp; Petrochemicals</t>
        </is>
      </c>
      <c r="E1395" s="16" t="inlineStr">
        <is>
          <t>INE795B01031</t>
        </is>
      </c>
      <c r="F1395" s="17" t="n">
        <v>1421.35</v>
      </c>
      <c r="G1395" s="18" t="n">
        <v>107.6</v>
      </c>
      <c r="H1395" s="19" t="n">
        <v>0</v>
      </c>
      <c r="I1395" s="20" t="n">
        <v>94</v>
      </c>
      <c r="J1395" s="16" t="inlineStr">
        <is>
          <t>green</t>
        </is>
      </c>
      <c r="K1395" s="20" t="n">
        <v>143</v>
      </c>
      <c r="L1395" s="18" t="n">
        <v>0</v>
      </c>
      <c r="M1395" s="18" t="n">
        <v>108.39</v>
      </c>
      <c r="N1395" s="18" t="n">
        <v>112.6</v>
      </c>
      <c r="O1395" s="18" t="n">
        <v>91.04000000000001</v>
      </c>
      <c r="P1395" s="18" t="n">
        <v>203.35</v>
      </c>
      <c r="Q1395" s="18" t="n">
        <v>31.64</v>
      </c>
      <c r="R1395" s="21">
        <f>IF(OR(G1395="",P1395=""),"",G1395/P1395-1)</f>
        <v/>
      </c>
      <c r="S1395" s="19" t="n">
        <v>0</v>
      </c>
      <c r="T1395" s="22" t="n">
        <v>0.0935</v>
      </c>
      <c r="U1395" s="16" t="inlineStr">
        <is>
          <t>Yes</t>
        </is>
      </c>
      <c r="V1395" s="16" t="inlineStr">
        <is>
          <t>No</t>
        </is>
      </c>
      <c r="W1395" s="16" t="inlineStr">
        <is>
          <t>No</t>
        </is>
      </c>
      <c r="X1395" s="16" t="inlineStr">
        <is>
          <t>Yes</t>
        </is>
      </c>
      <c r="Y1395" s="20" t="n">
        <v>143</v>
      </c>
      <c r="Z1395" s="19" t="n">
        <v>0.2369</v>
      </c>
      <c r="AA1395" s="18" t="n"/>
      <c r="AB1395" s="16" t="n"/>
      <c r="AC1395" s="16" t="inlineStr">
        <is>
          <t>No</t>
        </is>
      </c>
      <c r="AD1395" s="19" t="n"/>
      <c r="AE1395" s="19" t="n"/>
      <c r="AF1395" s="19" t="n"/>
      <c r="AG1395" s="19" t="n"/>
      <c r="AH1395" s="23" t="n"/>
      <c r="AI1395" s="23" t="n"/>
      <c r="AJ1395" s="19" t="n"/>
    </row>
    <row r="1396">
      <c r="A1396" s="16" t="inlineStr">
        <is>
          <t>CEINSYS</t>
        </is>
      </c>
      <c r="B1396" s="16" t="inlineStr">
        <is>
          <t>Ceinsys Tech Ltd.</t>
        </is>
      </c>
      <c r="C1396" s="16" t="inlineStr">
        <is>
          <t>IT Consulting &amp; Software</t>
        </is>
      </c>
      <c r="D1396" s="16" t="inlineStr">
        <is>
          <t>Software &amp; Services</t>
        </is>
      </c>
      <c r="E1396" s="16" t="inlineStr">
        <is>
          <t>INE016Q01014</t>
        </is>
      </c>
      <c r="F1396" s="17" t="n">
        <v>1419.58</v>
      </c>
      <c r="G1396" s="18" t="n">
        <v>678</v>
      </c>
      <c r="H1396" s="19" t="n">
        <v>-0.001</v>
      </c>
      <c r="I1396" s="20" t="n">
        <v>2</v>
      </c>
      <c r="J1396" s="16" t="inlineStr">
        <is>
          <t>red</t>
        </is>
      </c>
      <c r="K1396" s="20" t="n">
        <v>219</v>
      </c>
      <c r="L1396" s="18" t="n">
        <v>9.69</v>
      </c>
      <c r="M1396" s="18" t="n">
        <v>706.23</v>
      </c>
      <c r="N1396" s="18" t="n">
        <v>831.52</v>
      </c>
      <c r="O1396" s="18" t="n">
        <v>958.17</v>
      </c>
      <c r="P1396" s="18" t="n">
        <v>1804.38</v>
      </c>
      <c r="Q1396" s="18" t="n">
        <v>678</v>
      </c>
      <c r="R1396" s="21">
        <f>IF(OR(G1396="",P1396=""),"",G1396/P1396-1)</f>
        <v/>
      </c>
      <c r="S1396" s="19" t="n">
        <v>1.4793</v>
      </c>
      <c r="T1396" s="22" t="n">
        <v>-0.0572</v>
      </c>
      <c r="U1396" s="16" t="inlineStr">
        <is>
          <t>No</t>
        </is>
      </c>
      <c r="V1396" s="16" t="inlineStr">
        <is>
          <t>No</t>
        </is>
      </c>
      <c r="W1396" s="16" t="inlineStr">
        <is>
          <t>No</t>
        </is>
      </c>
      <c r="X1396" s="16" t="inlineStr">
        <is>
          <t>No</t>
        </is>
      </c>
      <c r="Y1396" s="20" t="n">
        <v>205</v>
      </c>
      <c r="Z1396" s="19" t="n">
        <v>-0.1322</v>
      </c>
      <c r="AA1396" s="18" t="n"/>
      <c r="AB1396" s="16" t="n"/>
      <c r="AC1396" s="16" t="inlineStr">
        <is>
          <t>No</t>
        </is>
      </c>
      <c r="AD1396" s="19" t="n"/>
      <c r="AE1396" s="19" t="n"/>
      <c r="AF1396" s="19" t="n"/>
      <c r="AG1396" s="19" t="n"/>
      <c r="AH1396" s="23" t="n"/>
      <c r="AI1396" s="23" t="n"/>
      <c r="AJ1396" s="19" t="n"/>
    </row>
    <row r="1397">
      <c r="A1397" s="16" t="inlineStr">
        <is>
          <t>WALCHANNAG</t>
        </is>
      </c>
      <c r="B1397" s="16" t="inlineStr">
        <is>
          <t>Walchandnagar Industries Ltd.</t>
        </is>
      </c>
      <c r="C1397" s="16" t="inlineStr">
        <is>
          <t>Industrial Machinery</t>
        </is>
      </c>
      <c r="D1397" s="16" t="inlineStr">
        <is>
          <t>General Industrials</t>
        </is>
      </c>
      <c r="E1397" s="16" t="inlineStr">
        <is>
          <t>INE711A01022</t>
        </is>
      </c>
      <c r="F1397" s="17" t="n">
        <v>1416.56</v>
      </c>
      <c r="G1397" s="18" t="n">
        <v>208.61</v>
      </c>
      <c r="H1397" s="19" t="n">
        <v>0.012</v>
      </c>
      <c r="I1397" s="20" t="n">
        <v>49</v>
      </c>
      <c r="J1397" s="16" t="inlineStr">
        <is>
          <t>red</t>
        </is>
      </c>
      <c r="K1397" s="20" t="n">
        <v>5</v>
      </c>
      <c r="L1397" s="18" t="n">
        <v>28.32</v>
      </c>
      <c r="M1397" s="18" t="n">
        <v>213.75</v>
      </c>
      <c r="N1397" s="18" t="n">
        <v>233.91</v>
      </c>
      <c r="O1397" s="18" t="n">
        <v>204.62</v>
      </c>
      <c r="P1397" s="18" t="n">
        <v>312.05</v>
      </c>
      <c r="Q1397" s="18" t="n">
        <v>131.65</v>
      </c>
      <c r="R1397" s="21">
        <f>IF(OR(G1397="",P1397=""),"",G1397/P1397-1)</f>
        <v/>
      </c>
      <c r="S1397" s="19" t="n">
        <v>0.6623</v>
      </c>
      <c r="T1397" s="22" t="n">
        <v>0.0262</v>
      </c>
      <c r="U1397" s="16" t="inlineStr">
        <is>
          <t>Yes</t>
        </is>
      </c>
      <c r="V1397" s="16" t="inlineStr">
        <is>
          <t>No</t>
        </is>
      </c>
      <c r="W1397" s="16" t="inlineStr">
        <is>
          <t>No</t>
        </is>
      </c>
      <c r="X1397" s="16" t="inlineStr">
        <is>
          <t>Yes</t>
        </is>
      </c>
      <c r="Y1397" s="20" t="n">
        <v>86</v>
      </c>
      <c r="Z1397" s="19" t="n">
        <v>0.1431</v>
      </c>
      <c r="AA1397" s="18" t="n">
        <v>12.45</v>
      </c>
      <c r="AB1397" s="16" t="inlineStr">
        <is>
          <t>Poor</t>
        </is>
      </c>
      <c r="AC1397" s="16" t="inlineStr">
        <is>
          <t>No</t>
        </is>
      </c>
      <c r="AD1397" s="19" t="n">
        <v>-0.1291</v>
      </c>
      <c r="AE1397" s="19" t="n">
        <v>-0.0262</v>
      </c>
      <c r="AF1397" s="19" t="n">
        <v>-0.9172</v>
      </c>
      <c r="AG1397" s="19" t="n">
        <v>-0.0481</v>
      </c>
      <c r="AH1397" s="23" t="n">
        <v>0.61</v>
      </c>
      <c r="AI1397" s="23" t="n">
        <v>0.9399999999999999</v>
      </c>
      <c r="AJ1397" s="19" t="n">
        <v>0.09269999999999999</v>
      </c>
    </row>
    <row r="1398">
      <c r="A1398" s="16" t="inlineStr">
        <is>
          <t>GPTINFRA</t>
        </is>
      </c>
      <c r="B1398" s="16" t="inlineStr">
        <is>
          <t>GPT Infraprojects Ltd.</t>
        </is>
      </c>
      <c r="C1398" s="16" t="inlineStr">
        <is>
          <t>Construction &amp; Engineering</t>
        </is>
      </c>
      <c r="D1398" s="16" t="inlineStr">
        <is>
          <t>Cement and Construction</t>
        </is>
      </c>
      <c r="E1398" s="16" t="inlineStr">
        <is>
          <t>INE390G01014</t>
        </is>
      </c>
      <c r="F1398" s="17" t="n">
        <v>1416.55</v>
      </c>
      <c r="G1398" s="18" t="n">
        <v>112.1</v>
      </c>
      <c r="H1398" s="19" t="n">
        <v>0.011</v>
      </c>
      <c r="I1398" s="20" t="n">
        <v>37</v>
      </c>
      <c r="J1398" s="16" t="inlineStr">
        <is>
          <t>red</t>
        </is>
      </c>
      <c r="K1398" s="20" t="n">
        <v>27</v>
      </c>
      <c r="L1398" s="18" t="n">
        <v>40.56</v>
      </c>
      <c r="M1398" s="18" t="n">
        <v>111.42</v>
      </c>
      <c r="N1398" s="18" t="n">
        <v>118.32</v>
      </c>
      <c r="O1398" s="18" t="n">
        <v>112.81</v>
      </c>
      <c r="P1398" s="18" t="n">
        <v>135.56</v>
      </c>
      <c r="Q1398" s="18" t="n">
        <v>95.95</v>
      </c>
      <c r="R1398" s="21">
        <f>IF(OR(G1398="",P1398=""),"",G1398/P1398-1)</f>
        <v/>
      </c>
      <c r="S1398" s="19" t="n">
        <v>0.6657999999999999</v>
      </c>
      <c r="T1398" s="22" t="n">
        <v>0.0074</v>
      </c>
      <c r="U1398" s="16" t="inlineStr">
        <is>
          <t>Yes</t>
        </is>
      </c>
      <c r="V1398" s="16" t="inlineStr">
        <is>
          <t>No</t>
        </is>
      </c>
      <c r="W1398" s="16" t="inlineStr">
        <is>
          <t>Yes</t>
        </is>
      </c>
      <c r="X1398" s="16" t="inlineStr">
        <is>
          <t>Yes</t>
        </is>
      </c>
      <c r="Y1398" s="20" t="n">
        <v>75</v>
      </c>
      <c r="Z1398" s="19" t="n">
        <v>0.0488</v>
      </c>
      <c r="AA1398" s="18" t="n">
        <v>60.76</v>
      </c>
      <c r="AB1398" s="16" t="inlineStr">
        <is>
          <t>Good</t>
        </is>
      </c>
      <c r="AC1398" s="16" t="inlineStr">
        <is>
          <t>No</t>
        </is>
      </c>
      <c r="AD1398" s="19" t="n">
        <v>0.1685</v>
      </c>
      <c r="AE1398" s="19" t="n">
        <v>0.187</v>
      </c>
      <c r="AF1398" s="19" t="n">
        <v>0.5784</v>
      </c>
      <c r="AG1398" s="19" t="n">
        <v>0.1708</v>
      </c>
      <c r="AH1398" s="23" t="n">
        <v>0.49</v>
      </c>
      <c r="AI1398" s="23" t="n">
        <v>6.11</v>
      </c>
      <c r="AJ1398" s="19" t="n">
        <v>0.0127</v>
      </c>
    </row>
    <row r="1399">
      <c r="A1399" s="16" t="inlineStr">
        <is>
          <t>VIVIDEL</t>
        </is>
      </c>
      <c r="B1399" s="16" t="inlineStr">
        <is>
          <t>Vivid Electromech Ltd.</t>
        </is>
      </c>
      <c r="C1399" s="16" t="inlineStr">
        <is>
          <t>Electronic Components</t>
        </is>
      </c>
      <c r="D1399" s="16" t="inlineStr">
        <is>
          <t>Commercial Services &amp; Supplies</t>
        </is>
      </c>
      <c r="E1399" s="16" t="inlineStr">
        <is>
          <t>INE24H301028</t>
        </is>
      </c>
      <c r="F1399" s="17" t="n">
        <v>1414.58</v>
      </c>
      <c r="G1399" s="18" t="n"/>
      <c r="H1399" s="19" t="n"/>
      <c r="I1399" s="20" t="n"/>
      <c r="J1399" s="16" t="n"/>
      <c r="K1399" s="20" t="n"/>
      <c r="L1399" s="18" t="n"/>
      <c r="M1399" s="18" t="n"/>
      <c r="N1399" s="18" t="n"/>
      <c r="O1399" s="18" t="n"/>
      <c r="P1399" s="18" t="n"/>
      <c r="Q1399" s="18" t="n"/>
      <c r="R1399" s="21">
        <f>IF(OR(G1399="",P1399=""),"",G1399/P1399-1)</f>
        <v/>
      </c>
      <c r="S1399" s="19" t="n"/>
      <c r="T1399" s="22" t="n"/>
      <c r="U1399" s="16" t="n"/>
      <c r="V1399" s="16" t="n"/>
      <c r="W1399" s="16" t="n"/>
      <c r="X1399" s="16" t="n"/>
      <c r="Y1399" s="20" t="n"/>
      <c r="Z1399" s="19" t="n"/>
      <c r="AA1399" s="18" t="n"/>
      <c r="AB1399" s="16" t="n"/>
      <c r="AC1399" s="16" t="inlineStr">
        <is>
          <t>No</t>
        </is>
      </c>
      <c r="AD1399" s="19" t="n"/>
      <c r="AE1399" s="19" t="n"/>
      <c r="AF1399" s="19" t="n"/>
      <c r="AG1399" s="19" t="n"/>
      <c r="AH1399" s="23" t="n"/>
      <c r="AI1399" s="23" t="n"/>
      <c r="AJ1399" s="19" t="n"/>
    </row>
    <row r="1400">
      <c r="A1400" s="16" t="inlineStr">
        <is>
          <t>GYFTR</t>
        </is>
      </c>
      <c r="B1400" s="16" t="inlineStr">
        <is>
          <t>Gyftr Ltd.</t>
        </is>
      </c>
      <c r="C1400" s="16" t="inlineStr">
        <is>
          <t>Other Financial Services</t>
        </is>
      </c>
      <c r="D1400" s="16" t="inlineStr">
        <is>
          <t>Banking and Finance</t>
        </is>
      </c>
      <c r="E1400" s="16" t="inlineStr">
        <is>
          <t>INE724A01017</t>
        </is>
      </c>
      <c r="F1400" s="17" t="n">
        <v>1411.73</v>
      </c>
      <c r="G1400" s="18" t="n">
        <v>183.8</v>
      </c>
      <c r="H1400" s="19" t="n">
        <v>0.0214</v>
      </c>
      <c r="I1400" s="20" t="n">
        <v>3</v>
      </c>
      <c r="J1400" s="16" t="inlineStr">
        <is>
          <t>red</t>
        </is>
      </c>
      <c r="K1400" s="20" t="n">
        <v>129</v>
      </c>
      <c r="L1400" s="18" t="n">
        <v>70.95999999999999</v>
      </c>
      <c r="M1400" s="18" t="n">
        <v>175.46</v>
      </c>
      <c r="N1400" s="18" t="n">
        <v>163.78</v>
      </c>
      <c r="O1400" s="18" t="n">
        <v>455.46</v>
      </c>
      <c r="P1400" s="18" t="n">
        <v>1123.65</v>
      </c>
      <c r="Q1400" s="18" t="n">
        <v>145.05</v>
      </c>
      <c r="R1400" s="21">
        <f>IF(OR(G1400="",P1400=""),"",G1400/P1400-1)</f>
        <v/>
      </c>
      <c r="S1400" s="19" t="n">
        <v>0.0672</v>
      </c>
      <c r="T1400" s="22" t="n">
        <v>-0.142</v>
      </c>
      <c r="U1400" s="16" t="inlineStr">
        <is>
          <t>No</t>
        </is>
      </c>
      <c r="V1400" s="16" t="inlineStr">
        <is>
          <t>Yes</t>
        </is>
      </c>
      <c r="W1400" s="16" t="inlineStr">
        <is>
          <t>Yes</t>
        </is>
      </c>
      <c r="X1400" s="16" t="inlineStr">
        <is>
          <t>No</t>
        </is>
      </c>
      <c r="Y1400" s="20" t="n">
        <v>111</v>
      </c>
      <c r="Z1400" s="19" t="n">
        <v>-0.6404000000000001</v>
      </c>
      <c r="AA1400" s="18" t="n"/>
      <c r="AB1400" s="16" t="n"/>
      <c r="AC1400" s="16" t="inlineStr">
        <is>
          <t>No</t>
        </is>
      </c>
      <c r="AD1400" s="19" t="n"/>
      <c r="AE1400" s="19" t="n"/>
      <c r="AF1400" s="19" t="n"/>
      <c r="AG1400" s="19" t="n"/>
      <c r="AH1400" s="23" t="n"/>
      <c r="AI1400" s="23" t="n"/>
      <c r="AJ1400" s="19" t="n"/>
    </row>
    <row r="1401">
      <c r="A1401" s="16" t="inlineStr">
        <is>
          <t>STLNETWORK</t>
        </is>
      </c>
      <c r="B1401" s="16" t="inlineStr">
        <is>
          <t>STL Networks Ltd.</t>
        </is>
      </c>
      <c r="C1401" s="16" t="inlineStr">
        <is>
          <t>Telecom Equipment</t>
        </is>
      </c>
      <c r="D1401" s="16" t="inlineStr">
        <is>
          <t>Telecommunications Equipment</t>
        </is>
      </c>
      <c r="E1401" s="16" t="inlineStr">
        <is>
          <t>INE1VXE01018</t>
        </is>
      </c>
      <c r="F1401" s="17" t="n">
        <v>1409.17</v>
      </c>
      <c r="G1401" s="18" t="n">
        <v>28.87</v>
      </c>
      <c r="H1401" s="19" t="n">
        <v>0.0498</v>
      </c>
      <c r="I1401" s="20" t="n">
        <v>68</v>
      </c>
      <c r="J1401" s="16" t="inlineStr">
        <is>
          <t>amber</t>
        </is>
      </c>
      <c r="K1401" s="20" t="n">
        <v>3</v>
      </c>
      <c r="L1401" s="18" t="n">
        <v>70.06999999999999</v>
      </c>
      <c r="M1401" s="18" t="n">
        <v>27.31</v>
      </c>
      <c r="N1401" s="18" t="n">
        <v>25.6</v>
      </c>
      <c r="O1401" s="18" t="n">
        <v>23.91</v>
      </c>
      <c r="P1401" s="18" t="n">
        <v>33.04</v>
      </c>
      <c r="Q1401" s="18" t="n">
        <v>15.92</v>
      </c>
      <c r="R1401" s="21">
        <f>IF(OR(G1401="",P1401=""),"",G1401/P1401-1)</f>
        <v/>
      </c>
      <c r="S1401" s="19" t="n">
        <v>1.9407</v>
      </c>
      <c r="T1401" s="22" t="n">
        <v>0.0035</v>
      </c>
      <c r="U1401" s="16" t="inlineStr">
        <is>
          <t>Yes</t>
        </is>
      </c>
      <c r="V1401" s="16" t="inlineStr">
        <is>
          <t>Yes</t>
        </is>
      </c>
      <c r="W1401" s="16" t="inlineStr">
        <is>
          <t>Yes</t>
        </is>
      </c>
      <c r="X1401" s="16" t="inlineStr">
        <is>
          <t>Yes</t>
        </is>
      </c>
      <c r="Y1401" s="20" t="n">
        <v>53</v>
      </c>
      <c r="Z1401" s="19" t="n">
        <v>0.0706</v>
      </c>
      <c r="AA1401" s="18" t="n">
        <v>19.8</v>
      </c>
      <c r="AB1401" s="16" t="inlineStr">
        <is>
          <t>Poor</t>
        </is>
      </c>
      <c r="AC1401" s="16" t="inlineStr">
        <is>
          <t>No</t>
        </is>
      </c>
      <c r="AD1401" s="19" t="n">
        <v>-0.1238</v>
      </c>
      <c r="AE1401" s="19" t="n">
        <v>0.0029</v>
      </c>
      <c r="AF1401" s="19" t="n"/>
      <c r="AG1401" s="19" t="n"/>
      <c r="AH1401" s="23" t="n">
        <v>1.34</v>
      </c>
      <c r="AI1401" s="23" t="n">
        <v>78.28</v>
      </c>
      <c r="AJ1401" s="19" t="n">
        <v>0</v>
      </c>
    </row>
    <row r="1402">
      <c r="A1402" s="16" t="inlineStr">
        <is>
          <t>RAJESH</t>
        </is>
      </c>
      <c r="B1402" s="16" t="inlineStr">
        <is>
          <t>Rajesh Power Services Ltd.</t>
        </is>
      </c>
      <c r="C1402" s="16" t="inlineStr">
        <is>
          <t>Power - Electric Utilities</t>
        </is>
      </c>
      <c r="D1402" s="16" t="inlineStr">
        <is>
          <t>Utilities</t>
        </is>
      </c>
      <c r="E1402" s="16" t="inlineStr">
        <is>
          <t>INE0VN801010</t>
        </is>
      </c>
      <c r="F1402" s="17" t="n">
        <v>1408.9</v>
      </c>
      <c r="G1402" s="18" t="n">
        <v>782.4</v>
      </c>
      <c r="H1402" s="19" t="n">
        <v>0.0178</v>
      </c>
      <c r="I1402" s="20" t="n">
        <v>6</v>
      </c>
      <c r="J1402" s="16" t="inlineStr">
        <is>
          <t>red</t>
        </is>
      </c>
      <c r="K1402" s="20" t="n">
        <v>96</v>
      </c>
      <c r="L1402" s="18" t="n">
        <v>36.46</v>
      </c>
      <c r="M1402" s="18" t="n">
        <v>791.41</v>
      </c>
      <c r="N1402" s="18" t="n">
        <v>831.46</v>
      </c>
      <c r="O1402" s="18" t="n">
        <v>925.26</v>
      </c>
      <c r="P1402" s="18" t="n">
        <v>1590.95</v>
      </c>
      <c r="Q1402" s="18" t="n">
        <v>755.95</v>
      </c>
      <c r="R1402" s="21">
        <f>IF(OR(G1402="",P1402=""),"",G1402/P1402-1)</f>
        <v/>
      </c>
      <c r="S1402" s="19" t="n">
        <v>1.7137</v>
      </c>
      <c r="T1402" s="22" t="n">
        <v>-0.0655</v>
      </c>
      <c r="U1402" s="16" t="inlineStr">
        <is>
          <t>No</t>
        </is>
      </c>
      <c r="V1402" s="16" t="inlineStr">
        <is>
          <t>No</t>
        </is>
      </c>
      <c r="W1402" s="16" t="inlineStr">
        <is>
          <t>No</t>
        </is>
      </c>
      <c r="X1402" s="16" t="inlineStr">
        <is>
          <t>No</t>
        </is>
      </c>
      <c r="Y1402" s="20" t="n">
        <v>173</v>
      </c>
      <c r="Z1402" s="19" t="n">
        <v>-0.1014</v>
      </c>
      <c r="AA1402" s="18" t="n"/>
      <c r="AB1402" s="16" t="n"/>
      <c r="AC1402" s="16" t="inlineStr">
        <is>
          <t>No</t>
        </is>
      </c>
      <c r="AD1402" s="19" t="n"/>
      <c r="AE1402" s="19" t="n"/>
      <c r="AF1402" s="19" t="n"/>
      <c r="AG1402" s="19" t="n"/>
      <c r="AH1402" s="23" t="n"/>
      <c r="AI1402" s="23" t="n"/>
      <c r="AJ1402" s="19" t="n"/>
    </row>
    <row r="1403">
      <c r="A1403" s="16" t="inlineStr">
        <is>
          <t>TAALTECH</t>
        </is>
      </c>
      <c r="B1403" s="16" t="inlineStr">
        <is>
          <t>TAAL Tech Ltd.</t>
        </is>
      </c>
      <c r="C1403" s="16" t="inlineStr">
        <is>
          <t>Airlines</t>
        </is>
      </c>
      <c r="D1403" s="16" t="inlineStr">
        <is>
          <t>Transportation</t>
        </is>
      </c>
      <c r="E1403" s="16" t="inlineStr">
        <is>
          <t>INE524T01011</t>
        </is>
      </c>
      <c r="F1403" s="17" t="n">
        <v>1404.33</v>
      </c>
      <c r="G1403" s="18" t="n">
        <v>4506.4</v>
      </c>
      <c r="H1403" s="19" t="n">
        <v>0.0029</v>
      </c>
      <c r="I1403" s="20" t="n">
        <v>83</v>
      </c>
      <c r="J1403" s="16" t="inlineStr">
        <is>
          <t>green</t>
        </is>
      </c>
      <c r="K1403" s="20" t="n">
        <v>25</v>
      </c>
      <c r="L1403" s="18" t="n">
        <v>63.31</v>
      </c>
      <c r="M1403" s="18" t="n">
        <v>4471.16</v>
      </c>
      <c r="N1403" s="18" t="n">
        <v>4076.04</v>
      </c>
      <c r="O1403" s="18" t="n">
        <v>3261.3</v>
      </c>
      <c r="P1403" s="18" t="n">
        <v>4585.35</v>
      </c>
      <c r="Q1403" s="18" t="n">
        <v>2666.15</v>
      </c>
      <c r="R1403" s="21">
        <f>IF(OR(G1403="",P1403=""),"",G1403/P1403-1)</f>
        <v/>
      </c>
      <c r="S1403" s="19" t="n">
        <v>1.0964</v>
      </c>
      <c r="T1403" s="22" t="n">
        <v>0.0395</v>
      </c>
      <c r="U1403" s="16" t="inlineStr">
        <is>
          <t>Yes</t>
        </is>
      </c>
      <c r="V1403" s="16" t="inlineStr">
        <is>
          <t>Yes</t>
        </is>
      </c>
      <c r="W1403" s="16" t="inlineStr">
        <is>
          <t>Yes</t>
        </is>
      </c>
      <c r="X1403" s="16" t="inlineStr">
        <is>
          <t>Yes</t>
        </is>
      </c>
      <c r="Y1403" s="20" t="n">
        <v>64</v>
      </c>
      <c r="Z1403" s="19" t="n">
        <v>0.2498</v>
      </c>
      <c r="AA1403" s="18" t="n"/>
      <c r="AB1403" s="16" t="n"/>
      <c r="AC1403" s="16" t="inlineStr">
        <is>
          <t>No</t>
        </is>
      </c>
      <c r="AD1403" s="19" t="n"/>
      <c r="AE1403" s="19" t="n"/>
      <c r="AF1403" s="19" t="n"/>
      <c r="AG1403" s="19" t="n"/>
      <c r="AH1403" s="23" t="n"/>
      <c r="AI1403" s="23" t="n"/>
      <c r="AJ1403" s="19" t="n"/>
    </row>
    <row r="1404">
      <c r="A1404" s="16" t="inlineStr">
        <is>
          <t>EXPLEOSOL</t>
        </is>
      </c>
      <c r="B1404" s="16" t="inlineStr">
        <is>
          <t>Expleo Solutions Ltd.</t>
        </is>
      </c>
      <c r="C1404" s="16" t="inlineStr">
        <is>
          <t>IT Consulting &amp; Software</t>
        </is>
      </c>
      <c r="D1404" s="16" t="inlineStr">
        <is>
          <t>Software &amp; Services</t>
        </is>
      </c>
      <c r="E1404" s="16" t="inlineStr">
        <is>
          <t>INE201K01015</t>
        </is>
      </c>
      <c r="F1404" s="17" t="n">
        <v>1395.22</v>
      </c>
      <c r="G1404" s="18" t="n">
        <v>899</v>
      </c>
      <c r="H1404" s="19" t="n">
        <v>0.0003</v>
      </c>
      <c r="I1404" s="20" t="n">
        <v>63</v>
      </c>
      <c r="J1404" s="16" t="inlineStr">
        <is>
          <t>amber</t>
        </is>
      </c>
      <c r="K1404" s="20" t="n">
        <v>2</v>
      </c>
      <c r="L1404" s="18" t="n">
        <v>42.81</v>
      </c>
      <c r="M1404" s="18" t="n">
        <v>878.6799999999999</v>
      </c>
      <c r="N1404" s="18" t="n">
        <v>790.55</v>
      </c>
      <c r="O1404" s="18" t="n">
        <v>776.34</v>
      </c>
      <c r="P1404" s="18" t="n">
        <v>982.79</v>
      </c>
      <c r="Q1404" s="18" t="n">
        <v>568.41</v>
      </c>
      <c r="R1404" s="21">
        <f>IF(OR(G1404="",P1404=""),"",G1404/P1404-1)</f>
        <v/>
      </c>
      <c r="S1404" s="19" t="n">
        <v>0.08460000000000001</v>
      </c>
      <c r="T1404" s="22" t="n">
        <v>-0.0027</v>
      </c>
      <c r="U1404" s="16" t="inlineStr">
        <is>
          <t>No</t>
        </is>
      </c>
      <c r="V1404" s="16" t="inlineStr">
        <is>
          <t>Yes</t>
        </is>
      </c>
      <c r="W1404" s="16" t="inlineStr">
        <is>
          <t>Yes</t>
        </is>
      </c>
      <c r="X1404" s="16" t="inlineStr">
        <is>
          <t>Yes</t>
        </is>
      </c>
      <c r="Y1404" s="20" t="n">
        <v>5</v>
      </c>
      <c r="Z1404" s="19" t="n">
        <v>0.0183</v>
      </c>
      <c r="AA1404" s="18" t="n">
        <v>61.47</v>
      </c>
      <c r="AB1404" s="16" t="inlineStr">
        <is>
          <t>Good</t>
        </is>
      </c>
      <c r="AC1404" s="16" t="inlineStr">
        <is>
          <t>No</t>
        </is>
      </c>
      <c r="AD1404" s="19" t="n">
        <v>0.1567</v>
      </c>
      <c r="AE1404" s="19" t="n">
        <v>0.2054</v>
      </c>
      <c r="AF1404" s="19" t="n">
        <v>0.006</v>
      </c>
      <c r="AG1404" s="19" t="n">
        <v>0.07049999999999999</v>
      </c>
      <c r="AH1404" s="23" t="n">
        <v>0.01</v>
      </c>
      <c r="AI1404" s="23" t="n">
        <v>15.35</v>
      </c>
      <c r="AJ1404" s="19" t="n">
        <v>0</v>
      </c>
    </row>
    <row r="1405">
      <c r="A1405" s="16" t="inlineStr">
        <is>
          <t>IMPAL</t>
        </is>
      </c>
      <c r="B1405" s="16" t="inlineStr">
        <is>
          <t>India Motor Parts &amp; Accessories Ltd.</t>
        </is>
      </c>
      <c r="C1405" s="16" t="inlineStr">
        <is>
          <t>Commodity Trading  &amp; Distribution</t>
        </is>
      </c>
      <c r="D1405" s="16" t="inlineStr">
        <is>
          <t>Commercial Services &amp; Supplies</t>
        </is>
      </c>
      <c r="E1405" s="16" t="inlineStr">
        <is>
          <t>INE547E01014</t>
        </is>
      </c>
      <c r="F1405" s="17" t="n">
        <v>1391.02</v>
      </c>
      <c r="G1405" s="18" t="n">
        <v>1114.6</v>
      </c>
      <c r="H1405" s="19" t="n">
        <v>0.0246</v>
      </c>
      <c r="I1405" s="20" t="n">
        <v>54</v>
      </c>
      <c r="J1405" s="16" t="inlineStr">
        <is>
          <t>red</t>
        </is>
      </c>
      <c r="K1405" s="20" t="n">
        <v>28</v>
      </c>
      <c r="L1405" s="18" t="n">
        <v>55.55</v>
      </c>
      <c r="M1405" s="18" t="n">
        <v>1099.56</v>
      </c>
      <c r="N1405" s="18" t="n">
        <v>1101.18</v>
      </c>
      <c r="O1405" s="18" t="n">
        <v>1035.52</v>
      </c>
      <c r="P1405" s="18" t="n">
        <v>1181.76</v>
      </c>
      <c r="Q1405" s="18" t="n">
        <v>932.23</v>
      </c>
      <c r="R1405" s="21">
        <f>IF(OR(G1405="",P1405=""),"",G1405/P1405-1)</f>
        <v/>
      </c>
      <c r="S1405" s="19" t="n">
        <v>0.5936</v>
      </c>
      <c r="T1405" s="22" t="n">
        <v>0.005600000000000001</v>
      </c>
      <c r="U1405" s="16" t="inlineStr">
        <is>
          <t>Yes</t>
        </is>
      </c>
      <c r="V1405" s="16" t="inlineStr">
        <is>
          <t>Yes</t>
        </is>
      </c>
      <c r="W1405" s="16" t="inlineStr">
        <is>
          <t>Yes</t>
        </is>
      </c>
      <c r="X1405" s="16" t="inlineStr">
        <is>
          <t>Yes</t>
        </is>
      </c>
      <c r="Y1405" s="20" t="n">
        <v>61</v>
      </c>
      <c r="Z1405" s="19" t="n">
        <v>0.0634</v>
      </c>
      <c r="AA1405" s="18" t="n">
        <v>43.77</v>
      </c>
      <c r="AB1405" s="16" t="inlineStr">
        <is>
          <t>Average</t>
        </is>
      </c>
      <c r="AC1405" s="16" t="inlineStr">
        <is>
          <t>No</t>
        </is>
      </c>
      <c r="AD1405" s="19" t="n">
        <v>0.0383</v>
      </c>
      <c r="AE1405" s="19" t="n">
        <v>0.04679999999999999</v>
      </c>
      <c r="AF1405" s="19" t="n">
        <v>0.0898</v>
      </c>
      <c r="AG1405" s="19" t="n">
        <v>0.0472</v>
      </c>
      <c r="AH1405" s="23" t="n">
        <v>0</v>
      </c>
      <c r="AI1405" s="23" t="n">
        <v>38.68</v>
      </c>
      <c r="AJ1405" s="19" t="n">
        <v>0</v>
      </c>
    </row>
    <row r="1406">
      <c r="A1406" s="16" t="inlineStr">
        <is>
          <t>ELITECON</t>
        </is>
      </c>
      <c r="B1406" s="16" t="inlineStr">
        <is>
          <t>Elitecon International Ltd.</t>
        </is>
      </c>
      <c r="C1406" s="16" t="inlineStr">
        <is>
          <t>Commodity Trading  &amp; Distribution</t>
        </is>
      </c>
      <c r="D1406" s="16" t="inlineStr">
        <is>
          <t>Commercial Services &amp; Supplies</t>
        </is>
      </c>
      <c r="E1406" s="16" t="inlineStr">
        <is>
          <t>INE669R01026</t>
        </is>
      </c>
      <c r="F1406" s="17" t="n">
        <v>1389.1</v>
      </c>
      <c r="G1406" s="18" t="n">
        <v>8.69</v>
      </c>
      <c r="H1406" s="19" t="n">
        <v>-0.0492</v>
      </c>
      <c r="I1406" s="20" t="n">
        <v>1</v>
      </c>
      <c r="J1406" s="16" t="inlineStr">
        <is>
          <t>red</t>
        </is>
      </c>
      <c r="K1406" s="20" t="n">
        <v>121</v>
      </c>
      <c r="L1406" s="18" t="n">
        <v>3.79</v>
      </c>
      <c r="M1406" s="18" t="n">
        <v>10.45</v>
      </c>
      <c r="N1406" s="18" t="n">
        <v>17.58</v>
      </c>
      <c r="O1406" s="18" t="n">
        <v>50.64</v>
      </c>
      <c r="P1406" s="18" t="n">
        <v>295.95</v>
      </c>
      <c r="Q1406" s="18" t="n">
        <v>8.69</v>
      </c>
      <c r="R1406" s="21">
        <f>IF(OR(G1406="",P1406=""),"",G1406/P1406-1)</f>
        <v/>
      </c>
      <c r="S1406" s="19" t="n">
        <v>0.1842</v>
      </c>
      <c r="T1406" s="22" t="n">
        <v>-0.2144</v>
      </c>
      <c r="U1406" s="16" t="inlineStr">
        <is>
          <t>No</t>
        </is>
      </c>
      <c r="V1406" s="16" t="inlineStr">
        <is>
          <t>No</t>
        </is>
      </c>
      <c r="W1406" s="16" t="inlineStr">
        <is>
          <t>No</t>
        </is>
      </c>
      <c r="X1406" s="16" t="inlineStr">
        <is>
          <t>No</t>
        </is>
      </c>
      <c r="Y1406" s="20" t="n">
        <v>170</v>
      </c>
      <c r="Z1406" s="19" t="n">
        <v>-0.6526999999999999</v>
      </c>
      <c r="AA1406" s="18" t="n"/>
      <c r="AB1406" s="16" t="n"/>
      <c r="AC1406" s="16" t="inlineStr">
        <is>
          <t>No</t>
        </is>
      </c>
      <c r="AD1406" s="19" t="n"/>
      <c r="AE1406" s="19" t="n"/>
      <c r="AF1406" s="19" t="n"/>
      <c r="AG1406" s="19" t="n"/>
      <c r="AH1406" s="23" t="n"/>
      <c r="AI1406" s="23" t="n"/>
      <c r="AJ1406" s="19" t="n"/>
    </row>
    <row r="1407">
      <c r="A1407" s="16" t="inlineStr">
        <is>
          <t>JOJO</t>
        </is>
      </c>
      <c r="B1407" s="16" t="inlineStr">
        <is>
          <t>JOJO Ltd.</t>
        </is>
      </c>
      <c r="C1407" s="16" t="inlineStr">
        <is>
          <t>Movies &amp; Entertainment</t>
        </is>
      </c>
      <c r="D1407" s="16" t="inlineStr">
        <is>
          <t>Media</t>
        </is>
      </c>
      <c r="E1407" s="16" t="inlineStr">
        <is>
          <t>INE312M01024</t>
        </is>
      </c>
      <c r="F1407" s="17" t="n">
        <v>1387.85</v>
      </c>
      <c r="G1407" s="18" t="n">
        <v>201.25</v>
      </c>
      <c r="H1407" s="19" t="n">
        <v>0.0498</v>
      </c>
      <c r="I1407" s="20" t="n">
        <v>94</v>
      </c>
      <c r="J1407" s="16" t="inlineStr">
        <is>
          <t>green</t>
        </is>
      </c>
      <c r="K1407" s="20" t="n">
        <v>23</v>
      </c>
      <c r="L1407" s="18" t="n">
        <v>100</v>
      </c>
      <c r="M1407" s="18" t="n">
        <v>183.33</v>
      </c>
      <c r="N1407" s="18" t="n">
        <v>140.77</v>
      </c>
      <c r="O1407" s="18" t="n">
        <v>122.82</v>
      </c>
      <c r="P1407" s="18" t="n">
        <v>201.25</v>
      </c>
      <c r="Q1407" s="18" t="n">
        <v>77.34999999999999</v>
      </c>
      <c r="R1407" s="21">
        <f>IF(OR(G1407="",P1407=""),"",G1407/P1407-1)</f>
        <v/>
      </c>
      <c r="S1407" s="19" t="n">
        <v>0.4948</v>
      </c>
      <c r="T1407" s="22" t="n">
        <v>0.068</v>
      </c>
      <c r="U1407" s="16" t="inlineStr">
        <is>
          <t>Yes</t>
        </is>
      </c>
      <c r="V1407" s="16" t="inlineStr">
        <is>
          <t>Yes</t>
        </is>
      </c>
      <c r="W1407" s="16" t="inlineStr">
        <is>
          <t>Yes</t>
        </is>
      </c>
      <c r="X1407" s="16" t="inlineStr">
        <is>
          <t>Yes</t>
        </is>
      </c>
      <c r="Y1407" s="20" t="n">
        <v>21</v>
      </c>
      <c r="Z1407" s="19" t="n">
        <v>0.1461</v>
      </c>
      <c r="AA1407" s="18" t="n"/>
      <c r="AB1407" s="16" t="n"/>
      <c r="AC1407" s="16" t="inlineStr">
        <is>
          <t>No</t>
        </is>
      </c>
      <c r="AD1407" s="19" t="n"/>
      <c r="AE1407" s="19" t="n"/>
      <c r="AF1407" s="19" t="n"/>
      <c r="AG1407" s="19" t="n"/>
      <c r="AH1407" s="23" t="n"/>
      <c r="AI1407" s="23" t="n"/>
      <c r="AJ1407" s="19" t="n"/>
    </row>
    <row r="1408">
      <c r="A1408" s="16" t="inlineStr">
        <is>
          <t>AVTNPL</t>
        </is>
      </c>
      <c r="B1408" s="16" t="inlineStr">
        <is>
          <t>AVT Natural Products Ltd.</t>
        </is>
      </c>
      <c r="C1408" s="16" t="inlineStr">
        <is>
          <t>Other Agricultural Products</t>
        </is>
      </c>
      <c r="D1408" s="16" t="inlineStr">
        <is>
          <t>Food, Beverages &amp; Tobacco</t>
        </is>
      </c>
      <c r="E1408" s="16" t="inlineStr">
        <is>
          <t>INE488D01021</t>
        </is>
      </c>
      <c r="F1408" s="17" t="n">
        <v>1386.09</v>
      </c>
      <c r="G1408" s="18" t="n">
        <v>91.02</v>
      </c>
      <c r="H1408" s="19" t="n">
        <v>-0.0068</v>
      </c>
      <c r="I1408" s="20" t="n">
        <v>77</v>
      </c>
      <c r="J1408" s="16" t="inlineStr">
        <is>
          <t>amber</t>
        </is>
      </c>
      <c r="K1408" s="20" t="n">
        <v>16</v>
      </c>
      <c r="L1408" s="18" t="n">
        <v>56.19</v>
      </c>
      <c r="M1408" s="18" t="n">
        <v>88.51000000000001</v>
      </c>
      <c r="N1408" s="18" t="n">
        <v>75.76000000000001</v>
      </c>
      <c r="O1408" s="18" t="n">
        <v>68.17</v>
      </c>
      <c r="P1408" s="18" t="n">
        <v>92.06</v>
      </c>
      <c r="Q1408" s="18" t="n">
        <v>53.9</v>
      </c>
      <c r="R1408" s="21">
        <f>IF(OR(G1408="",P1408=""),"",G1408/P1408-1)</f>
        <v/>
      </c>
      <c r="S1408" s="19" t="n">
        <v>0.7401000000000001</v>
      </c>
      <c r="T1408" s="22" t="n">
        <v>0.022</v>
      </c>
      <c r="U1408" s="16" t="inlineStr">
        <is>
          <t>Yes</t>
        </is>
      </c>
      <c r="V1408" s="16" t="inlineStr">
        <is>
          <t>Yes</t>
        </is>
      </c>
      <c r="W1408" s="16" t="inlineStr">
        <is>
          <t>Yes</t>
        </is>
      </c>
      <c r="X1408" s="16" t="inlineStr">
        <is>
          <t>Yes</t>
        </is>
      </c>
      <c r="Y1408" s="20" t="n">
        <v>59</v>
      </c>
      <c r="Z1408" s="19" t="n">
        <v>0.1113</v>
      </c>
      <c r="AA1408" s="18" t="n">
        <v>40</v>
      </c>
      <c r="AB1408" s="16" t="inlineStr">
        <is>
          <t>Weak</t>
        </is>
      </c>
      <c r="AC1408" s="16" t="inlineStr">
        <is>
          <t>No</t>
        </is>
      </c>
      <c r="AD1408" s="19" t="n">
        <v>0.1082</v>
      </c>
      <c r="AE1408" s="19" t="n">
        <v>0.1321</v>
      </c>
      <c r="AF1408" s="19" t="n">
        <v>-0.4684</v>
      </c>
      <c r="AG1408" s="19" t="n">
        <v>0.081</v>
      </c>
      <c r="AH1408" s="23" t="n">
        <v>0.2</v>
      </c>
      <c r="AI1408" s="23" t="n">
        <v>8.9</v>
      </c>
      <c r="AJ1408" s="19" t="n">
        <v>0.0008</v>
      </c>
    </row>
    <row r="1409">
      <c r="A1409" s="16" t="inlineStr">
        <is>
          <t>SUNSHINE</t>
        </is>
      </c>
      <c r="B1409" s="16" t="inlineStr">
        <is>
          <t>Sunshine Pictures Ltd.</t>
        </is>
      </c>
      <c r="C1409" s="16" t="inlineStr">
        <is>
          <t>Movies &amp; Entertainment</t>
        </is>
      </c>
      <c r="D1409" s="16" t="inlineStr">
        <is>
          <t>Media</t>
        </is>
      </c>
      <c r="E1409" s="16" t="inlineStr">
        <is>
          <t>INE1B3O01011</t>
        </is>
      </c>
      <c r="F1409" s="17" t="n">
        <v>1375.06</v>
      </c>
      <c r="G1409" s="18" t="n">
        <v>441.45</v>
      </c>
      <c r="H1409" s="19" t="n">
        <v>0.006</v>
      </c>
      <c r="I1409" s="20" t="n"/>
      <c r="J1409" s="16" t="n"/>
      <c r="K1409" s="20" t="n"/>
      <c r="L1409" s="18" t="n"/>
      <c r="M1409" s="18" t="n">
        <v>424.7</v>
      </c>
      <c r="N1409" s="18" t="n"/>
      <c r="O1409" s="18" t="n"/>
      <c r="P1409" s="18" t="n">
        <v>455.75</v>
      </c>
      <c r="Q1409" s="18" t="n">
        <v>367.2</v>
      </c>
      <c r="R1409" s="21">
        <f>IF(OR(G1409="",P1409=""),"",G1409/P1409-1)</f>
        <v/>
      </c>
      <c r="S1409" s="19" t="n">
        <v>0.4966</v>
      </c>
      <c r="T1409" s="22" t="n"/>
      <c r="U1409" s="16" t="n"/>
      <c r="V1409" s="16" t="n"/>
      <c r="W1409" s="16" t="inlineStr">
        <is>
          <t>Yes</t>
        </is>
      </c>
      <c r="X1409" s="16" t="n"/>
      <c r="Y1409" s="20" t="n"/>
      <c r="Z1409" s="19" t="n"/>
      <c r="AA1409" s="18" t="n"/>
      <c r="AB1409" s="16" t="n"/>
      <c r="AC1409" s="16" t="inlineStr">
        <is>
          <t>No</t>
        </is>
      </c>
      <c r="AD1409" s="19" t="n"/>
      <c r="AE1409" s="19" t="n"/>
      <c r="AF1409" s="19" t="n"/>
      <c r="AG1409" s="19" t="n"/>
      <c r="AH1409" s="23" t="n"/>
      <c r="AI1409" s="23" t="n"/>
      <c r="AJ1409" s="19" t="n"/>
    </row>
    <row r="1410">
      <c r="A1410" s="16" t="inlineStr">
        <is>
          <t>YUKEN</t>
        </is>
      </c>
      <c r="B1410" s="16" t="inlineStr">
        <is>
          <t>Yuken India Ltd.</t>
        </is>
      </c>
      <c r="C1410" s="16" t="inlineStr">
        <is>
          <t>Compressors &amp; Pumps</t>
        </is>
      </c>
      <c r="D1410" s="16" t="inlineStr">
        <is>
          <t>General Industrials</t>
        </is>
      </c>
      <c r="E1410" s="16" t="inlineStr">
        <is>
          <t>INE384C01016</t>
        </is>
      </c>
      <c r="F1410" s="17" t="n">
        <v>1373.07</v>
      </c>
      <c r="G1410" s="18" t="n">
        <v>1010.8</v>
      </c>
      <c r="H1410" s="19" t="n">
        <v>0.0007000000000000001</v>
      </c>
      <c r="I1410" s="20" t="n">
        <v>76</v>
      </c>
      <c r="J1410" s="16" t="inlineStr">
        <is>
          <t>amber</t>
        </is>
      </c>
      <c r="K1410" s="20" t="n">
        <v>14</v>
      </c>
      <c r="L1410" s="18" t="n">
        <v>78.40000000000001</v>
      </c>
      <c r="M1410" s="18" t="n">
        <v>975.9</v>
      </c>
      <c r="N1410" s="18" t="n">
        <v>813.3099999999999</v>
      </c>
      <c r="O1410" s="18" t="n">
        <v>770.65</v>
      </c>
      <c r="P1410" s="18" t="n">
        <v>1010.8</v>
      </c>
      <c r="Q1410" s="18" t="n">
        <v>592.99</v>
      </c>
      <c r="R1410" s="21">
        <f>IF(OR(G1410="",P1410=""),"",G1410/P1410-1)</f>
        <v/>
      </c>
      <c r="S1410" s="19" t="n">
        <v>0.4932</v>
      </c>
      <c r="T1410" s="22" t="n">
        <v>-0.0008</v>
      </c>
      <c r="U1410" s="16" t="inlineStr">
        <is>
          <t>No</t>
        </is>
      </c>
      <c r="V1410" s="16" t="inlineStr">
        <is>
          <t>Yes</t>
        </is>
      </c>
      <c r="W1410" s="16" t="inlineStr">
        <is>
          <t>Yes</t>
        </is>
      </c>
      <c r="X1410" s="16" t="inlineStr">
        <is>
          <t>Yes</t>
        </is>
      </c>
      <c r="Y1410" s="20" t="n">
        <v>9</v>
      </c>
      <c r="Z1410" s="19" t="n">
        <v>0.0554</v>
      </c>
      <c r="AA1410" s="18" t="n">
        <v>38.32</v>
      </c>
      <c r="AB1410" s="16" t="inlineStr">
        <is>
          <t>Weak</t>
        </is>
      </c>
      <c r="AC1410" s="16" t="inlineStr">
        <is>
          <t>No</t>
        </is>
      </c>
      <c r="AD1410" s="19" t="n">
        <v>0.0626</v>
      </c>
      <c r="AE1410" s="19" t="n">
        <v>0.09050000000000001</v>
      </c>
      <c r="AF1410" s="19" t="n">
        <v>0.2352</v>
      </c>
      <c r="AG1410" s="19" t="n">
        <v>0.0771</v>
      </c>
      <c r="AH1410" s="23" t="n">
        <v>0.31</v>
      </c>
      <c r="AI1410" s="23" t="n">
        <v>1.45</v>
      </c>
      <c r="AJ1410" s="19" t="n">
        <v>0.1213</v>
      </c>
    </row>
    <row r="1411">
      <c r="A1411" s="16" t="inlineStr">
        <is>
          <t>ANDREWYU</t>
        </is>
      </c>
      <c r="B1411" s="16" t="inlineStr">
        <is>
          <t>Andrew Yule &amp; Company Ltd.</t>
        </is>
      </c>
      <c r="C1411" s="16" t="inlineStr">
        <is>
          <t>Tea &amp; Coffee</t>
        </is>
      </c>
      <c r="D1411" s="16" t="inlineStr">
        <is>
          <t>Food, Beverages &amp; Tobacco</t>
        </is>
      </c>
      <c r="E1411" s="16" t="inlineStr">
        <is>
          <t>INE449C01025</t>
        </is>
      </c>
      <c r="F1411" s="17" t="n">
        <v>1368.57</v>
      </c>
      <c r="G1411" s="18" t="n">
        <v>27.93</v>
      </c>
      <c r="H1411" s="19" t="n">
        <v>-0.0018</v>
      </c>
      <c r="I1411" s="20" t="n">
        <v>48</v>
      </c>
      <c r="J1411" s="16" t="inlineStr">
        <is>
          <t>red</t>
        </is>
      </c>
      <c r="K1411" s="20" t="n">
        <v>15</v>
      </c>
      <c r="L1411" s="18" t="n">
        <v>62.61</v>
      </c>
      <c r="M1411" s="18" t="n">
        <v>28.24</v>
      </c>
      <c r="N1411" s="18" t="n">
        <v>30.21</v>
      </c>
      <c r="O1411" s="18" t="n">
        <v>26.99</v>
      </c>
      <c r="P1411" s="18" t="n">
        <v>39</v>
      </c>
      <c r="Q1411" s="18" t="n">
        <v>19</v>
      </c>
      <c r="R1411" s="21">
        <f>IF(OR(G1411="",P1411=""),"",G1411/P1411-1)</f>
        <v/>
      </c>
      <c r="S1411" s="19" t="n">
        <v>0.6119</v>
      </c>
      <c r="T1411" s="22" t="n">
        <v>0.0234</v>
      </c>
      <c r="U1411" s="16" t="inlineStr">
        <is>
          <t>Yes</t>
        </is>
      </c>
      <c r="V1411" s="16" t="inlineStr">
        <is>
          <t>No</t>
        </is>
      </c>
      <c r="W1411" s="16" t="inlineStr">
        <is>
          <t>No</t>
        </is>
      </c>
      <c r="X1411" s="16" t="inlineStr">
        <is>
          <t>Yes</t>
        </is>
      </c>
      <c r="Y1411" s="20" t="n">
        <v>132</v>
      </c>
      <c r="Z1411" s="19" t="n">
        <v>0.1191</v>
      </c>
      <c r="AA1411" s="18" t="n"/>
      <c r="AB1411" s="16" t="n"/>
      <c r="AC1411" s="16" t="inlineStr">
        <is>
          <t>No</t>
        </is>
      </c>
      <c r="AD1411" s="19" t="n"/>
      <c r="AE1411" s="19" t="n"/>
      <c r="AF1411" s="19" t="n"/>
      <c r="AG1411" s="19" t="n"/>
      <c r="AH1411" s="23" t="n"/>
      <c r="AI1411" s="23" t="n"/>
      <c r="AJ1411" s="19" t="n"/>
    </row>
    <row r="1412">
      <c r="A1412" s="16" t="inlineStr">
        <is>
          <t>KROSS</t>
        </is>
      </c>
      <c r="B1412" s="16" t="inlineStr">
        <is>
          <t>Kross Ltd.</t>
        </is>
      </c>
      <c r="C1412" s="16" t="inlineStr">
        <is>
          <t>Auto Parts &amp; Equipment</t>
        </is>
      </c>
      <c r="D1412" s="16" t="inlineStr">
        <is>
          <t>Automobiles &amp; Auto Components</t>
        </is>
      </c>
      <c r="E1412" s="16" t="inlineStr">
        <is>
          <t>INE0O6601022</t>
        </is>
      </c>
      <c r="F1412" s="17" t="n">
        <v>1364.83</v>
      </c>
      <c r="G1412" s="18" t="n">
        <v>211.57</v>
      </c>
      <c r="H1412" s="19" t="n">
        <v>0.0011</v>
      </c>
      <c r="I1412" s="20" t="n">
        <v>60</v>
      </c>
      <c r="J1412" s="16" t="inlineStr">
        <is>
          <t>amber</t>
        </is>
      </c>
      <c r="K1412" s="20" t="n">
        <v>3</v>
      </c>
      <c r="L1412" s="18" t="n">
        <v>56.55</v>
      </c>
      <c r="M1412" s="18" t="n">
        <v>212.37</v>
      </c>
      <c r="N1412" s="18" t="n">
        <v>199.31</v>
      </c>
      <c r="O1412" s="18" t="n">
        <v>191.75</v>
      </c>
      <c r="P1412" s="18" t="n">
        <v>229.75</v>
      </c>
      <c r="Q1412" s="18" t="n">
        <v>158.28</v>
      </c>
      <c r="R1412" s="21">
        <f>IF(OR(G1412="",P1412=""),"",G1412/P1412-1)</f>
        <v/>
      </c>
      <c r="S1412" s="19" t="n">
        <v>0.5442</v>
      </c>
      <c r="T1412" s="22" t="n">
        <v>0.0155</v>
      </c>
      <c r="U1412" s="16" t="inlineStr">
        <is>
          <t>Yes</t>
        </is>
      </c>
      <c r="V1412" s="16" t="inlineStr">
        <is>
          <t>Yes</t>
        </is>
      </c>
      <c r="W1412" s="16" t="inlineStr">
        <is>
          <t>No</t>
        </is>
      </c>
      <c r="X1412" s="16" t="inlineStr">
        <is>
          <t>Yes</t>
        </is>
      </c>
      <c r="Y1412" s="20" t="n">
        <v>58</v>
      </c>
      <c r="Z1412" s="19" t="n">
        <v>0.0395</v>
      </c>
      <c r="AA1412" s="18" t="n">
        <v>63.8</v>
      </c>
      <c r="AB1412" s="16" t="inlineStr">
        <is>
          <t>High</t>
        </is>
      </c>
      <c r="AC1412" s="16" t="inlineStr">
        <is>
          <t>No</t>
        </is>
      </c>
      <c r="AD1412" s="19" t="n">
        <v>0.1763</v>
      </c>
      <c r="AE1412" s="19" t="n">
        <v>0.2024</v>
      </c>
      <c r="AF1412" s="19" t="n">
        <v>0.2243</v>
      </c>
      <c r="AG1412" s="19" t="n">
        <v>0.1417</v>
      </c>
      <c r="AH1412" s="23" t="n">
        <v>0.11</v>
      </c>
      <c r="AI1412" s="23" t="n">
        <v>3.02</v>
      </c>
      <c r="AJ1412" s="19" t="n">
        <v>0.0718</v>
      </c>
    </row>
    <row r="1413">
      <c r="A1413" s="16" t="inlineStr">
        <is>
          <t>GKSL</t>
        </is>
      </c>
      <c r="B1413" s="16" t="inlineStr">
        <is>
          <t>Gujarat Kidney and Super Speciality Ltd.</t>
        </is>
      </c>
      <c r="C1413" s="16" t="inlineStr">
        <is>
          <t>Healthcare Facilities</t>
        </is>
      </c>
      <c r="D1413" s="16" t="inlineStr">
        <is>
          <t>Healthcare</t>
        </is>
      </c>
      <c r="E1413" s="16" t="inlineStr">
        <is>
          <t>INE0V0W01025</t>
        </is>
      </c>
      <c r="F1413" s="17" t="n">
        <v>1362.49</v>
      </c>
      <c r="G1413" s="18" t="n">
        <v>172.81</v>
      </c>
      <c r="H1413" s="19" t="n">
        <v>0.0076</v>
      </c>
      <c r="I1413" s="20" t="n">
        <v>82</v>
      </c>
      <c r="J1413" s="16" t="inlineStr">
        <is>
          <t>green</t>
        </is>
      </c>
      <c r="K1413" s="20" t="n">
        <v>3</v>
      </c>
      <c r="L1413" s="18" t="n">
        <v>79.56999999999999</v>
      </c>
      <c r="M1413" s="18" t="n">
        <v>162.56</v>
      </c>
      <c r="N1413" s="18" t="n">
        <v>138.84</v>
      </c>
      <c r="O1413" s="18" t="n"/>
      <c r="P1413" s="18" t="n">
        <v>172.81</v>
      </c>
      <c r="Q1413" s="18" t="n">
        <v>99.36</v>
      </c>
      <c r="R1413" s="21">
        <f>IF(OR(G1413="",P1413=""),"",G1413/P1413-1)</f>
        <v/>
      </c>
      <c r="S1413" s="19" t="n">
        <v>0.3168</v>
      </c>
      <c r="T1413" s="22" t="n"/>
      <c r="U1413" s="16" t="n"/>
      <c r="V1413" s="16" t="inlineStr">
        <is>
          <t>Yes</t>
        </is>
      </c>
      <c r="W1413" s="16" t="inlineStr">
        <is>
          <t>Yes</t>
        </is>
      </c>
      <c r="X1413" s="16" t="n"/>
      <c r="Y1413" s="20" t="n"/>
      <c r="Z1413" s="19" t="n"/>
      <c r="AA1413" s="18" t="n">
        <v>67.48999999999999</v>
      </c>
      <c r="AB1413" s="16" t="inlineStr">
        <is>
          <t>High</t>
        </is>
      </c>
      <c r="AC1413" s="16" t="inlineStr">
        <is>
          <t>No</t>
        </is>
      </c>
      <c r="AD1413" s="19" t="n">
        <v>0.2466</v>
      </c>
      <c r="AE1413" s="19" t="n">
        <v>0.2071</v>
      </c>
      <c r="AF1413" s="19" t="n">
        <v>0.5081</v>
      </c>
      <c r="AG1413" s="19" t="n">
        <v>0.2109</v>
      </c>
      <c r="AH1413" s="23" t="n">
        <v>0.12</v>
      </c>
      <c r="AI1413" s="23" t="n">
        <v>2.17</v>
      </c>
      <c r="AJ1413" s="19" t="n">
        <v>0</v>
      </c>
    </row>
    <row r="1414">
      <c r="A1414" s="16" t="inlineStr">
        <is>
          <t>DCW</t>
        </is>
      </c>
      <c r="B1414" s="16" t="inlineStr">
        <is>
          <t>DCW Ltd.</t>
        </is>
      </c>
      <c r="C1414" s="16" t="inlineStr">
        <is>
          <t>Commodity Chemicals</t>
        </is>
      </c>
      <c r="D1414" s="16" t="inlineStr">
        <is>
          <t>Chemicals &amp; Petrochemicals</t>
        </is>
      </c>
      <c r="E1414" s="16" t="inlineStr">
        <is>
          <t>INE500A01029</t>
        </is>
      </c>
      <c r="F1414" s="17" t="n">
        <v>1357.12</v>
      </c>
      <c r="G1414" s="18" t="n">
        <v>45.98</v>
      </c>
      <c r="H1414" s="19" t="n">
        <v>-0.0069</v>
      </c>
      <c r="I1414" s="20" t="n">
        <v>18</v>
      </c>
      <c r="J1414" s="16" t="inlineStr">
        <is>
          <t>red</t>
        </is>
      </c>
      <c r="K1414" s="20" t="n">
        <v>311</v>
      </c>
      <c r="L1414" s="18" t="n">
        <v>57</v>
      </c>
      <c r="M1414" s="18" t="n">
        <v>46.15</v>
      </c>
      <c r="N1414" s="18" t="n">
        <v>46.54</v>
      </c>
      <c r="O1414" s="18" t="n">
        <v>49</v>
      </c>
      <c r="P1414" s="18" t="n">
        <v>75.19</v>
      </c>
      <c r="Q1414" s="18" t="n">
        <v>37.49</v>
      </c>
      <c r="R1414" s="21">
        <f>IF(OR(G1414="",P1414=""),"",G1414/P1414-1)</f>
        <v/>
      </c>
      <c r="S1414" s="19" t="n">
        <v>0.7569</v>
      </c>
      <c r="T1414" s="22" t="n">
        <v>-0.0406</v>
      </c>
      <c r="U1414" s="16" t="inlineStr">
        <is>
          <t>No</t>
        </is>
      </c>
      <c r="V1414" s="16" t="inlineStr">
        <is>
          <t>No</t>
        </is>
      </c>
      <c r="W1414" s="16" t="inlineStr">
        <is>
          <t>No</t>
        </is>
      </c>
      <c r="X1414" s="16" t="inlineStr">
        <is>
          <t>No</t>
        </is>
      </c>
      <c r="Y1414" s="20" t="n">
        <v>374</v>
      </c>
      <c r="Z1414" s="19" t="n">
        <v>-0.05</v>
      </c>
      <c r="AA1414" s="18" t="n">
        <v>30.27</v>
      </c>
      <c r="AB1414" s="16" t="inlineStr">
        <is>
          <t>Poor</t>
        </is>
      </c>
      <c r="AC1414" s="16" t="inlineStr">
        <is>
          <t>No</t>
        </is>
      </c>
      <c r="AD1414" s="19" t="n">
        <v>0.0297</v>
      </c>
      <c r="AE1414" s="19" t="n">
        <v>0.0803</v>
      </c>
      <c r="AF1414" s="19" t="n">
        <v>0.2014</v>
      </c>
      <c r="AG1414" s="19" t="n">
        <v>-0.0483</v>
      </c>
      <c r="AH1414" s="23" t="n">
        <v>0.27</v>
      </c>
      <c r="AI1414" s="23" t="n">
        <v>1.62</v>
      </c>
      <c r="AJ1414" s="19" t="n">
        <v>0.0163</v>
      </c>
    </row>
    <row r="1415">
      <c r="A1415" s="16" t="inlineStr">
        <is>
          <t>NIITLTD</t>
        </is>
      </c>
      <c r="B1415" s="16" t="inlineStr">
        <is>
          <t>NIIT Ltd.</t>
        </is>
      </c>
      <c r="C1415" s="16" t="inlineStr">
        <is>
          <t>IT Training Services</t>
        </is>
      </c>
      <c r="D1415" s="16" t="inlineStr">
        <is>
          <t>Software &amp; Services</t>
        </is>
      </c>
      <c r="E1415" s="16" t="inlineStr">
        <is>
          <t>INE161A01038</t>
        </is>
      </c>
      <c r="F1415" s="17" t="n">
        <v>1355.69</v>
      </c>
      <c r="G1415" s="18" t="n">
        <v>98.95999999999999</v>
      </c>
      <c r="H1415" s="19" t="n">
        <v>0.0142</v>
      </c>
      <c r="I1415" s="20" t="n">
        <v>56</v>
      </c>
      <c r="J1415" s="16" t="inlineStr">
        <is>
          <t>red</t>
        </is>
      </c>
      <c r="K1415" s="20" t="n">
        <v>3</v>
      </c>
      <c r="L1415" s="18" t="n">
        <v>57.98</v>
      </c>
      <c r="M1415" s="18" t="n">
        <v>101</v>
      </c>
      <c r="N1415" s="18" t="n">
        <v>97.19</v>
      </c>
      <c r="O1415" s="18" t="n">
        <v>82.55</v>
      </c>
      <c r="P1415" s="18" t="n">
        <v>112.4</v>
      </c>
      <c r="Q1415" s="18" t="n">
        <v>49.83</v>
      </c>
      <c r="R1415" s="21">
        <f>IF(OR(G1415="",P1415=""),"",G1415/P1415-1)</f>
        <v/>
      </c>
      <c r="S1415" s="19" t="n">
        <v>0.5508</v>
      </c>
      <c r="T1415" s="22" t="n">
        <v>-0.005</v>
      </c>
      <c r="U1415" s="16" t="inlineStr">
        <is>
          <t>No</t>
        </is>
      </c>
      <c r="V1415" s="16" t="inlineStr">
        <is>
          <t>Yes</t>
        </is>
      </c>
      <c r="W1415" s="16" t="inlineStr">
        <is>
          <t>No</t>
        </is>
      </c>
      <c r="X1415" s="16" t="inlineStr">
        <is>
          <t>Yes</t>
        </is>
      </c>
      <c r="Y1415" s="20" t="n">
        <v>42</v>
      </c>
      <c r="Z1415" s="19" t="n">
        <v>0.1773</v>
      </c>
      <c r="AA1415" s="18" t="n">
        <v>44.63</v>
      </c>
      <c r="AB1415" s="16" t="inlineStr">
        <is>
          <t>Average</t>
        </is>
      </c>
      <c r="AC1415" s="16" t="inlineStr">
        <is>
          <t>No</t>
        </is>
      </c>
      <c r="AD1415" s="19" t="n">
        <v>0.0283</v>
      </c>
      <c r="AE1415" s="19" t="n">
        <v>0.0375</v>
      </c>
      <c r="AF1415" s="19" t="n">
        <v>3.5087</v>
      </c>
      <c r="AG1415" s="19" t="n">
        <v>0.0529</v>
      </c>
      <c r="AH1415" s="23" t="n">
        <v>0.01</v>
      </c>
      <c r="AI1415" s="23" t="n">
        <v>2.65</v>
      </c>
      <c r="AJ1415" s="19" t="n">
        <v>0</v>
      </c>
    </row>
    <row r="1416">
      <c r="A1416" s="16" t="inlineStr">
        <is>
          <t>SKMEGGPROD</t>
        </is>
      </c>
      <c r="B1416" s="16" t="inlineStr">
        <is>
          <t>SKM Egg Products Export (India) Ltd.</t>
        </is>
      </c>
      <c r="C1416" s="16" t="inlineStr">
        <is>
          <t>Other Food &amp; Beverages</t>
        </is>
      </c>
      <c r="D1416" s="16" t="inlineStr">
        <is>
          <t>Food, Beverages &amp; Tobacco</t>
        </is>
      </c>
      <c r="E1416" s="16" t="inlineStr">
        <is>
          <t>INE411D01023</t>
        </is>
      </c>
      <c r="F1416" s="17" t="n">
        <v>1353.89</v>
      </c>
      <c r="G1416" s="18" t="n">
        <v>257.1</v>
      </c>
      <c r="H1416" s="19" t="n">
        <v>-0.0202</v>
      </c>
      <c r="I1416" s="20" t="n">
        <v>74</v>
      </c>
      <c r="J1416" s="16" t="inlineStr">
        <is>
          <t>amber</t>
        </is>
      </c>
      <c r="K1416" s="20" t="n">
        <v>6</v>
      </c>
      <c r="L1416" s="18" t="n">
        <v>48.04</v>
      </c>
      <c r="M1416" s="18" t="n">
        <v>263.02</v>
      </c>
      <c r="N1416" s="18" t="n">
        <v>282.79</v>
      </c>
      <c r="O1416" s="18" t="n">
        <v>214.15</v>
      </c>
      <c r="P1416" s="18" t="n">
        <v>360.9</v>
      </c>
      <c r="Q1416" s="18" t="n">
        <v>146.04</v>
      </c>
      <c r="R1416" s="21">
        <f>IF(OR(G1416="",P1416=""),"",G1416/P1416-1)</f>
        <v/>
      </c>
      <c r="S1416" s="19" t="n">
        <v>0.4194</v>
      </c>
      <c r="T1416" s="22" t="n">
        <v>0.0281</v>
      </c>
      <c r="U1416" s="16" t="inlineStr">
        <is>
          <t>Yes</t>
        </is>
      </c>
      <c r="V1416" s="16" t="inlineStr">
        <is>
          <t>No</t>
        </is>
      </c>
      <c r="W1416" s="16" t="inlineStr">
        <is>
          <t>No</t>
        </is>
      </c>
      <c r="X1416" s="16" t="inlineStr">
        <is>
          <t>Yes</t>
        </is>
      </c>
      <c r="Y1416" s="20" t="n">
        <v>64</v>
      </c>
      <c r="Z1416" s="19" t="n">
        <v>0.3205</v>
      </c>
      <c r="AA1416" s="18" t="n">
        <v>63.44</v>
      </c>
      <c r="AB1416" s="16" t="inlineStr">
        <is>
          <t>Good</t>
        </is>
      </c>
      <c r="AC1416" s="16" t="inlineStr">
        <is>
          <t>No</t>
        </is>
      </c>
      <c r="AD1416" s="19" t="n">
        <v>0.2283</v>
      </c>
      <c r="AE1416" s="19" t="n">
        <v>0.2314</v>
      </c>
      <c r="AF1416" s="19" t="n">
        <v>0.5095000000000001</v>
      </c>
      <c r="AG1416" s="19" t="n">
        <v>0.1041</v>
      </c>
      <c r="AH1416" s="23" t="n">
        <v>0.36</v>
      </c>
      <c r="AI1416" s="23" t="n">
        <v>4.16</v>
      </c>
      <c r="AJ1416" s="19" t="n">
        <v>0.0343</v>
      </c>
    </row>
    <row r="1417">
      <c r="A1417" s="16" t="inlineStr">
        <is>
          <t>IZMO</t>
        </is>
      </c>
      <c r="B1417" s="16" t="inlineStr">
        <is>
          <t>IZMO Ltd.</t>
        </is>
      </c>
      <c r="C1417" s="16" t="inlineStr">
        <is>
          <t>IT Consulting &amp; Software</t>
        </is>
      </c>
      <c r="D1417" s="16" t="inlineStr">
        <is>
          <t>Software &amp; Services</t>
        </is>
      </c>
      <c r="E1417" s="16" t="inlineStr">
        <is>
          <t>INE848A01014</t>
        </is>
      </c>
      <c r="F1417" s="17" t="n">
        <v>1351.9</v>
      </c>
      <c r="G1417" s="18" t="n">
        <v>902.45</v>
      </c>
      <c r="H1417" s="19" t="n">
        <v>-0.0212</v>
      </c>
      <c r="I1417" s="20" t="n">
        <v>54</v>
      </c>
      <c r="J1417" s="16" t="inlineStr">
        <is>
          <t>red</t>
        </is>
      </c>
      <c r="K1417" s="20" t="n">
        <v>1</v>
      </c>
      <c r="L1417" s="18" t="n">
        <v>47.66</v>
      </c>
      <c r="M1417" s="18" t="n">
        <v>880.92</v>
      </c>
      <c r="N1417" s="18" t="n">
        <v>978.83</v>
      </c>
      <c r="O1417" s="18" t="n">
        <v>831.3</v>
      </c>
      <c r="P1417" s="18" t="n">
        <v>1348.7</v>
      </c>
      <c r="Q1417" s="18" t="n">
        <v>597.55</v>
      </c>
      <c r="R1417" s="21">
        <f>IF(OR(G1417="",P1417=""),"",G1417/P1417-1)</f>
        <v/>
      </c>
      <c r="S1417" s="19" t="n">
        <v>0.6517000000000001</v>
      </c>
      <c r="T1417" s="22" t="n">
        <v>0.0052</v>
      </c>
      <c r="U1417" s="16" t="inlineStr">
        <is>
          <t>Yes</t>
        </is>
      </c>
      <c r="V1417" s="16" t="inlineStr">
        <is>
          <t>No</t>
        </is>
      </c>
      <c r="W1417" s="16" t="inlineStr">
        <is>
          <t>Yes</t>
        </is>
      </c>
      <c r="X1417" s="16" t="inlineStr">
        <is>
          <t>Yes</t>
        </is>
      </c>
      <c r="Y1417" s="20" t="n">
        <v>47</v>
      </c>
      <c r="Z1417" s="19" t="n">
        <v>0.1775</v>
      </c>
      <c r="AA1417" s="18" t="n">
        <v>67.48999999999999</v>
      </c>
      <c r="AB1417" s="16" t="inlineStr">
        <is>
          <t>High</t>
        </is>
      </c>
      <c r="AC1417" s="16" t="inlineStr">
        <is>
          <t>No</t>
        </is>
      </c>
      <c r="AD1417" s="19" t="n">
        <v>0.1125</v>
      </c>
      <c r="AE1417" s="19" t="n">
        <v>0.1184</v>
      </c>
      <c r="AF1417" s="19" t="n">
        <v>0.3290999999999999</v>
      </c>
      <c r="AG1417" s="19" t="n">
        <v>0.2284</v>
      </c>
      <c r="AH1417" s="23" t="n">
        <v>0.01</v>
      </c>
      <c r="AI1417" s="23" t="n">
        <v>19.08</v>
      </c>
      <c r="AJ1417" s="19" t="n">
        <v>0.3269</v>
      </c>
    </row>
    <row r="1418">
      <c r="A1418" s="16" t="inlineStr">
        <is>
          <t>ALLTIME</t>
        </is>
      </c>
      <c r="B1418" s="16" t="inlineStr">
        <is>
          <t>All Time Plastics Ltd.</t>
        </is>
      </c>
      <c r="C1418" s="16" t="inlineStr">
        <is>
          <t>Houseware</t>
        </is>
      </c>
      <c r="D1418" s="16" t="inlineStr">
        <is>
          <t>Consumer Durables</t>
        </is>
      </c>
      <c r="E1418" s="16" t="inlineStr">
        <is>
          <t>INE0GV601021</t>
        </is>
      </c>
      <c r="F1418" s="17" t="n">
        <v>1349.98</v>
      </c>
      <c r="G1418" s="18" t="n">
        <v>206.08</v>
      </c>
      <c r="H1418" s="19" t="n">
        <v>0.0315</v>
      </c>
      <c r="I1418" s="20" t="n">
        <v>11</v>
      </c>
      <c r="J1418" s="16" t="inlineStr">
        <is>
          <t>red</t>
        </is>
      </c>
      <c r="K1418" s="20" t="n">
        <v>86</v>
      </c>
      <c r="L1418" s="18" t="n">
        <v>39.51</v>
      </c>
      <c r="M1418" s="18" t="n">
        <v>202.76</v>
      </c>
      <c r="N1418" s="18" t="n">
        <v>223.61</v>
      </c>
      <c r="O1418" s="18" t="n">
        <v>236.52</v>
      </c>
      <c r="P1418" s="18" t="n">
        <v>308.75</v>
      </c>
      <c r="Q1418" s="18" t="n">
        <v>187.57</v>
      </c>
      <c r="R1418" s="21">
        <f>IF(OR(G1418="",P1418=""),"",G1418/P1418-1)</f>
        <v/>
      </c>
      <c r="S1418" s="19" t="n">
        <v>1.692</v>
      </c>
      <c r="T1418" s="22" t="n">
        <v>-0.0349</v>
      </c>
      <c r="U1418" s="16" t="inlineStr">
        <is>
          <t>No</t>
        </is>
      </c>
      <c r="V1418" s="16" t="inlineStr">
        <is>
          <t>No</t>
        </is>
      </c>
      <c r="W1418" s="16" t="inlineStr">
        <is>
          <t>Yes</t>
        </is>
      </c>
      <c r="X1418" s="16" t="inlineStr">
        <is>
          <t>No</t>
        </is>
      </c>
      <c r="Y1418" s="20" t="n">
        <v>66</v>
      </c>
      <c r="Z1418" s="19" t="n">
        <v>-0.0546</v>
      </c>
      <c r="AA1418" s="18" t="n">
        <v>54.35</v>
      </c>
      <c r="AB1418" s="16" t="inlineStr">
        <is>
          <t>Good</t>
        </is>
      </c>
      <c r="AC1418" s="16" t="inlineStr">
        <is>
          <t>No</t>
        </is>
      </c>
      <c r="AD1418" s="19" t="n">
        <v>0.1565</v>
      </c>
      <c r="AE1418" s="19" t="n">
        <v>0.1605</v>
      </c>
      <c r="AF1418" s="19" t="n">
        <v>0.1469</v>
      </c>
      <c r="AG1418" s="19" t="n">
        <v>0.1144</v>
      </c>
      <c r="AH1418" s="23" t="n">
        <v>0.14</v>
      </c>
      <c r="AI1418" s="23" t="n">
        <v>1.36</v>
      </c>
      <c r="AJ1418" s="19" t="n">
        <v>0.0924</v>
      </c>
    </row>
    <row r="1419">
      <c r="A1419" s="16" t="inlineStr">
        <is>
          <t>PUNJABCHEM</t>
        </is>
      </c>
      <c r="B1419" s="16" t="inlineStr">
        <is>
          <t>Punjab Chemicals and Crop Protection Ltd.</t>
        </is>
      </c>
      <c r="C1419" s="16" t="inlineStr">
        <is>
          <t>Agrochemicals</t>
        </is>
      </c>
      <c r="D1419" s="16" t="inlineStr">
        <is>
          <t>Chemicals &amp; Petrochemicals</t>
        </is>
      </c>
      <c r="E1419" s="16" t="inlineStr">
        <is>
          <t>INE277B01014</t>
        </is>
      </c>
      <c r="F1419" s="17" t="n">
        <v>1349.21</v>
      </c>
      <c r="G1419" s="18" t="n">
        <v>1100.3</v>
      </c>
      <c r="H1419" s="19" t="n">
        <v>0.003</v>
      </c>
      <c r="I1419" s="20" t="n">
        <v>43</v>
      </c>
      <c r="J1419" s="16" t="inlineStr">
        <is>
          <t>red</t>
        </is>
      </c>
      <c r="K1419" s="20" t="n">
        <v>90</v>
      </c>
      <c r="L1419" s="18" t="n">
        <v>43.42</v>
      </c>
      <c r="M1419" s="18" t="n">
        <v>1109.65</v>
      </c>
      <c r="N1419" s="18" t="n">
        <v>1118.11</v>
      </c>
      <c r="O1419" s="18" t="n">
        <v>1106.94</v>
      </c>
      <c r="P1419" s="18" t="n">
        <v>1489.25</v>
      </c>
      <c r="Q1419" s="18" t="n">
        <v>890.4</v>
      </c>
      <c r="R1419" s="21">
        <f>IF(OR(G1419="",P1419=""),"",G1419/P1419-1)</f>
        <v/>
      </c>
      <c r="S1419" s="19" t="n">
        <v>0.1531</v>
      </c>
      <c r="T1419" s="22" t="n">
        <v>-0.0208</v>
      </c>
      <c r="U1419" s="16" t="inlineStr">
        <is>
          <t>No</t>
        </is>
      </c>
      <c r="V1419" s="16" t="inlineStr">
        <is>
          <t>No</t>
        </is>
      </c>
      <c r="W1419" s="16" t="inlineStr">
        <is>
          <t>No</t>
        </is>
      </c>
      <c r="X1419" s="16" t="inlineStr">
        <is>
          <t>Yes</t>
        </is>
      </c>
      <c r="Y1419" s="20" t="n">
        <v>6</v>
      </c>
      <c r="Z1419" s="19" t="n">
        <v>0.0101</v>
      </c>
      <c r="AA1419" s="18" t="n">
        <v>45.93</v>
      </c>
      <c r="AB1419" s="16" t="inlineStr">
        <is>
          <t>Average</t>
        </is>
      </c>
      <c r="AC1419" s="16" t="inlineStr">
        <is>
          <t>No</t>
        </is>
      </c>
      <c r="AD1419" s="19" t="n">
        <v>0.14</v>
      </c>
      <c r="AE1419" s="19" t="n">
        <v>0.167</v>
      </c>
      <c r="AF1419" s="19" t="n">
        <v>0.08220000000000001</v>
      </c>
      <c r="AG1419" s="19" t="n">
        <v>0.0135</v>
      </c>
      <c r="AH1419" s="23" t="n">
        <v>0.36</v>
      </c>
      <c r="AI1419" s="23" t="n">
        <v>3.48</v>
      </c>
      <c r="AJ1419" s="19" t="n">
        <v>0.0609</v>
      </c>
    </row>
    <row r="1420">
      <c r="A1420" s="16" t="inlineStr">
        <is>
          <t>ANDHRSUGAR</t>
        </is>
      </c>
      <c r="B1420" s="16" t="inlineStr">
        <is>
          <t>Andhra Sugars Ltd.</t>
        </is>
      </c>
      <c r="C1420" s="16" t="inlineStr">
        <is>
          <t>Commodity Chemicals</t>
        </is>
      </c>
      <c r="D1420" s="16" t="inlineStr">
        <is>
          <t>Chemicals &amp; Petrochemicals</t>
        </is>
      </c>
      <c r="E1420" s="16" t="inlineStr">
        <is>
          <t>INE715B01021</t>
        </is>
      </c>
      <c r="F1420" s="17" t="n">
        <v>1348.71</v>
      </c>
      <c r="G1420" s="18" t="n">
        <v>99.51000000000001</v>
      </c>
      <c r="H1420" s="19" t="n">
        <v>-0.0176</v>
      </c>
      <c r="I1420" s="20" t="n">
        <v>72</v>
      </c>
      <c r="J1420" s="16" t="inlineStr">
        <is>
          <t>amber</t>
        </is>
      </c>
      <c r="K1420" s="20" t="n">
        <v>20</v>
      </c>
      <c r="L1420" s="18" t="n">
        <v>45.93</v>
      </c>
      <c r="M1420" s="18" t="n">
        <v>98.58</v>
      </c>
      <c r="N1420" s="18" t="n">
        <v>90.41</v>
      </c>
      <c r="O1420" s="18" t="n">
        <v>81.88</v>
      </c>
      <c r="P1420" s="18" t="n">
        <v>103.95</v>
      </c>
      <c r="Q1420" s="18" t="n">
        <v>67.05</v>
      </c>
      <c r="R1420" s="21">
        <f>IF(OR(G1420="",P1420=""),"",G1420/P1420-1)</f>
        <v/>
      </c>
      <c r="S1420" s="19" t="n">
        <v>0.3799</v>
      </c>
      <c r="T1420" s="22" t="n">
        <v>0.0234</v>
      </c>
      <c r="U1420" s="16" t="inlineStr">
        <is>
          <t>Yes</t>
        </is>
      </c>
      <c r="V1420" s="16" t="inlineStr">
        <is>
          <t>Yes</t>
        </is>
      </c>
      <c r="W1420" s="16" t="inlineStr">
        <is>
          <t>Yes</t>
        </is>
      </c>
      <c r="X1420" s="16" t="inlineStr">
        <is>
          <t>Yes</t>
        </is>
      </c>
      <c r="Y1420" s="20" t="n">
        <v>93</v>
      </c>
      <c r="Z1420" s="19" t="n">
        <v>0.1042</v>
      </c>
      <c r="AA1420" s="18" t="n">
        <v>33.64</v>
      </c>
      <c r="AB1420" s="16" t="inlineStr">
        <is>
          <t>Poor</t>
        </is>
      </c>
      <c r="AC1420" s="16" t="inlineStr">
        <is>
          <t>No</t>
        </is>
      </c>
      <c r="AD1420" s="19" t="n">
        <v>0.0378</v>
      </c>
      <c r="AE1420" s="19" t="n">
        <v>0.04679999999999999</v>
      </c>
      <c r="AF1420" s="19" t="n">
        <v>-0.7504999999999999</v>
      </c>
      <c r="AG1420" s="19" t="n">
        <v>0.0305</v>
      </c>
      <c r="AH1420" s="23" t="n">
        <v>0</v>
      </c>
      <c r="AI1420" s="23" t="n">
        <v>2.54</v>
      </c>
      <c r="AJ1420" s="19" t="n">
        <v>0.0432</v>
      </c>
    </row>
    <row r="1421">
      <c r="A1421" s="16" t="inlineStr">
        <is>
          <t>AGL</t>
        </is>
      </c>
      <c r="B1421" s="16" t="inlineStr">
        <is>
          <t>Allcargo Global Ltd.</t>
        </is>
      </c>
      <c r="C1421" s="16" t="inlineStr">
        <is>
          <t>Warehousing &amp; Logistics</t>
        </is>
      </c>
      <c r="D1421" s="16" t="inlineStr">
        <is>
          <t>Transportation</t>
        </is>
      </c>
      <c r="E1421" s="16" t="inlineStr">
        <is>
          <t>INE1YPB01014</t>
        </is>
      </c>
      <c r="F1421" s="17" t="n">
        <v>1345.43</v>
      </c>
      <c r="G1421" s="18" t="n">
        <v>13.65</v>
      </c>
      <c r="H1421" s="19" t="n">
        <v>-0.0007000000000000001</v>
      </c>
      <c r="I1421" s="20" t="n"/>
      <c r="J1421" s="16" t="n"/>
      <c r="K1421" s="20" t="n"/>
      <c r="L1421" s="18" t="n">
        <v>45.48</v>
      </c>
      <c r="M1421" s="18" t="n">
        <v>13.9</v>
      </c>
      <c r="N1421" s="18" t="n"/>
      <c r="O1421" s="18" t="n"/>
      <c r="P1421" s="18" t="n">
        <v>20.9</v>
      </c>
      <c r="Q1421" s="18" t="n">
        <v>12.19</v>
      </c>
      <c r="R1421" s="21">
        <f>IF(OR(G1421="",P1421=""),"",G1421/P1421-1)</f>
        <v/>
      </c>
      <c r="S1421" s="19" t="n">
        <v>0.2632</v>
      </c>
      <c r="T1421" s="22" t="n"/>
      <c r="U1421" s="16" t="n"/>
      <c r="V1421" s="16" t="n"/>
      <c r="W1421" s="16" t="inlineStr">
        <is>
          <t>No</t>
        </is>
      </c>
      <c r="X1421" s="16" t="n"/>
      <c r="Y1421" s="20" t="n"/>
      <c r="Z1421" s="19" t="n"/>
      <c r="AA1421" s="18" t="n"/>
      <c r="AB1421" s="16" t="n"/>
      <c r="AC1421" s="16" t="inlineStr">
        <is>
          <t>No</t>
        </is>
      </c>
      <c r="AD1421" s="19" t="n"/>
      <c r="AE1421" s="19" t="n"/>
      <c r="AF1421" s="19" t="n"/>
      <c r="AG1421" s="19" t="n"/>
      <c r="AH1421" s="23" t="n"/>
      <c r="AI1421" s="23" t="n"/>
      <c r="AJ1421" s="19" t="n"/>
    </row>
    <row r="1422">
      <c r="A1422" s="16" t="inlineStr">
        <is>
          <t>DSSL</t>
        </is>
      </c>
      <c r="B1422" s="16" t="inlineStr">
        <is>
          <t>Dynacons Systems &amp; Solutions Ltd.</t>
        </is>
      </c>
      <c r="C1422" s="16" t="inlineStr">
        <is>
          <t>IT Consulting &amp; Software</t>
        </is>
      </c>
      <c r="D1422" s="16" t="inlineStr">
        <is>
          <t>Software &amp; Services</t>
        </is>
      </c>
      <c r="E1422" s="16" t="inlineStr">
        <is>
          <t>INE417B01040</t>
        </is>
      </c>
      <c r="F1422" s="17" t="n">
        <v>1341.34</v>
      </c>
      <c r="G1422" s="18" t="n">
        <v>1053.1</v>
      </c>
      <c r="H1422" s="19" t="n">
        <v>0.05</v>
      </c>
      <c r="I1422" s="20" t="n">
        <v>40</v>
      </c>
      <c r="J1422" s="16" t="inlineStr">
        <is>
          <t>red</t>
        </is>
      </c>
      <c r="K1422" s="20" t="n">
        <v>16</v>
      </c>
      <c r="L1422" s="18" t="n">
        <v>28.11</v>
      </c>
      <c r="M1422" s="18" t="n">
        <v>1044.45</v>
      </c>
      <c r="N1422" s="18" t="n">
        <v>1201.93</v>
      </c>
      <c r="O1422" s="18" t="n">
        <v>1112.15</v>
      </c>
      <c r="P1422" s="18" t="n">
        <v>1894.27</v>
      </c>
      <c r="Q1422" s="18" t="n">
        <v>784.51</v>
      </c>
      <c r="R1422" s="21">
        <f>IF(OR(G1422="",P1422=""),"",G1422/P1422-1)</f>
        <v/>
      </c>
      <c r="S1422" s="19" t="n">
        <v>1.1426</v>
      </c>
      <c r="T1422" s="22" t="n">
        <v>0.0174</v>
      </c>
      <c r="U1422" s="16" t="inlineStr">
        <is>
          <t>Yes</t>
        </is>
      </c>
      <c r="V1422" s="16" t="inlineStr">
        <is>
          <t>No</t>
        </is>
      </c>
      <c r="W1422" s="16" t="inlineStr">
        <is>
          <t>Yes</t>
        </is>
      </c>
      <c r="X1422" s="16" t="inlineStr">
        <is>
          <t>Yes</t>
        </is>
      </c>
      <c r="Y1422" s="20" t="n">
        <v>88</v>
      </c>
      <c r="Z1422" s="19" t="n">
        <v>0.08070000000000001</v>
      </c>
      <c r="AA1422" s="18" t="n">
        <v>40</v>
      </c>
      <c r="AB1422" s="16" t="inlineStr">
        <is>
          <t>Weak</t>
        </is>
      </c>
      <c r="AC1422" s="16" t="inlineStr">
        <is>
          <t>No</t>
        </is>
      </c>
      <c r="AD1422" s="19" t="n">
        <v>0.3079</v>
      </c>
      <c r="AE1422" s="19" t="n">
        <v>0.3175</v>
      </c>
      <c r="AF1422" s="19" t="n">
        <v>-0.0421</v>
      </c>
      <c r="AG1422" s="19" t="n">
        <v>0.2115</v>
      </c>
      <c r="AH1422" s="23" t="n">
        <v>0.75</v>
      </c>
      <c r="AI1422" s="23" t="n">
        <v>8.869999999999999</v>
      </c>
      <c r="AJ1422" s="19" t="n">
        <v>0.0163</v>
      </c>
    </row>
    <row r="1423">
      <c r="A1423" s="16" t="inlineStr">
        <is>
          <t>UGROCAP</t>
        </is>
      </c>
      <c r="B1423" s="16" t="inlineStr">
        <is>
          <t>Ugro Capital Ltd.</t>
        </is>
      </c>
      <c r="C1423" s="16" t="inlineStr">
        <is>
          <t>Finance (including NBFCs)</t>
        </is>
      </c>
      <c r="D1423" s="16" t="inlineStr">
        <is>
          <t>Banking and Finance</t>
        </is>
      </c>
      <c r="E1423" s="16" t="inlineStr">
        <is>
          <t>INE583D01011</t>
        </is>
      </c>
      <c r="F1423" s="17" t="n">
        <v>1340.91</v>
      </c>
      <c r="G1423" s="18" t="n">
        <v>86.34999999999999</v>
      </c>
      <c r="H1423" s="19" t="n">
        <v>0.0172</v>
      </c>
      <c r="I1423" s="20" t="n">
        <v>4</v>
      </c>
      <c r="J1423" s="16" t="inlineStr">
        <is>
          <t>red</t>
        </is>
      </c>
      <c r="K1423" s="20" t="n">
        <v>171</v>
      </c>
      <c r="L1423" s="18" t="n">
        <v>26.54</v>
      </c>
      <c r="M1423" s="18" t="n">
        <v>86.19</v>
      </c>
      <c r="N1423" s="18" t="n">
        <v>93.42</v>
      </c>
      <c r="O1423" s="18" t="n">
        <v>118.3</v>
      </c>
      <c r="P1423" s="18" t="n">
        <v>189.95</v>
      </c>
      <c r="Q1423" s="18" t="n">
        <v>81.3</v>
      </c>
      <c r="R1423" s="21">
        <f>IF(OR(G1423="",P1423=""),"",G1423/P1423-1)</f>
        <v/>
      </c>
      <c r="S1423" s="19" t="n">
        <v>1.2779</v>
      </c>
      <c r="T1423" s="22" t="n">
        <v>-0.06909999999999999</v>
      </c>
      <c r="U1423" s="16" t="inlineStr">
        <is>
          <t>No</t>
        </is>
      </c>
      <c r="V1423" s="16" t="inlineStr">
        <is>
          <t>No</t>
        </is>
      </c>
      <c r="W1423" s="16" t="inlineStr">
        <is>
          <t>Yes</t>
        </is>
      </c>
      <c r="X1423" s="16" t="inlineStr">
        <is>
          <t>No</t>
        </is>
      </c>
      <c r="Y1423" s="20" t="n">
        <v>174</v>
      </c>
      <c r="Z1423" s="19" t="n">
        <v>-0.2103</v>
      </c>
      <c r="AA1423" s="18" t="n">
        <v>40.47</v>
      </c>
      <c r="AB1423" s="16" t="inlineStr">
        <is>
          <t>Average</t>
        </is>
      </c>
      <c r="AC1423" s="16" t="inlineStr">
        <is>
          <t>Yes</t>
        </is>
      </c>
      <c r="AD1423" s="19" t="n">
        <v>0.0712</v>
      </c>
      <c r="AE1423" s="19" t="n">
        <v>0.046</v>
      </c>
      <c r="AF1423" s="19" t="n">
        <v>0.1481</v>
      </c>
      <c r="AG1423" s="19" t="n">
        <v>0.4243</v>
      </c>
      <c r="AH1423" s="23" t="n">
        <v>3.71</v>
      </c>
      <c r="AI1423" s="23" t="n">
        <v>15.4</v>
      </c>
      <c r="AJ1423" s="19" t="n">
        <v>0</v>
      </c>
    </row>
    <row r="1424">
      <c r="A1424" s="16" t="inlineStr">
        <is>
          <t>ASALCBR</t>
        </is>
      </c>
      <c r="B1424" s="16" t="inlineStr">
        <is>
          <t>Associated Alcohols &amp; Breweries Ltd.</t>
        </is>
      </c>
      <c r="C1424" s="16" t="inlineStr">
        <is>
          <t>Breweries &amp; Distilleries</t>
        </is>
      </c>
      <c r="D1424" s="16" t="inlineStr">
        <is>
          <t>Food, Beverages &amp; Tobacco</t>
        </is>
      </c>
      <c r="E1424" s="16" t="inlineStr">
        <is>
          <t>INE073G01016</t>
        </is>
      </c>
      <c r="F1424" s="17" t="n">
        <v>1340.6</v>
      </c>
      <c r="G1424" s="18" t="n">
        <v>706.35</v>
      </c>
      <c r="H1424" s="19" t="n">
        <v>0.0148</v>
      </c>
      <c r="I1424" s="20" t="n">
        <v>9</v>
      </c>
      <c r="J1424" s="16" t="inlineStr">
        <is>
          <t>red</t>
        </is>
      </c>
      <c r="K1424" s="20" t="n">
        <v>207</v>
      </c>
      <c r="L1424" s="18" t="n">
        <v>35.86</v>
      </c>
      <c r="M1424" s="18" t="n">
        <v>707.4400000000001</v>
      </c>
      <c r="N1424" s="18" t="n">
        <v>773.95</v>
      </c>
      <c r="O1424" s="18" t="n">
        <v>838.5599999999999</v>
      </c>
      <c r="P1424" s="18" t="n">
        <v>1228.5</v>
      </c>
      <c r="Q1424" s="18" t="n">
        <v>666</v>
      </c>
      <c r="R1424" s="21">
        <f>IF(OR(G1424="",P1424=""),"",G1424/P1424-1)</f>
        <v/>
      </c>
      <c r="S1424" s="19" t="n">
        <v>0.4508</v>
      </c>
      <c r="T1424" s="22" t="n">
        <v>-0.0406</v>
      </c>
      <c r="U1424" s="16" t="inlineStr">
        <is>
          <t>No</t>
        </is>
      </c>
      <c r="V1424" s="16" t="inlineStr">
        <is>
          <t>No</t>
        </is>
      </c>
      <c r="W1424" s="16" t="inlineStr">
        <is>
          <t>No</t>
        </is>
      </c>
      <c r="X1424" s="16" t="inlineStr">
        <is>
          <t>No</t>
        </is>
      </c>
      <c r="Y1424" s="20" t="n">
        <v>294</v>
      </c>
      <c r="Z1424" s="19" t="n">
        <v>-0.077</v>
      </c>
      <c r="AA1424" s="18" t="n">
        <v>58.67</v>
      </c>
      <c r="AB1424" s="16" t="inlineStr">
        <is>
          <t>Good</t>
        </is>
      </c>
      <c r="AC1424" s="16" t="inlineStr">
        <is>
          <t>No</t>
        </is>
      </c>
      <c r="AD1424" s="19" t="n">
        <v>0.1345</v>
      </c>
      <c r="AE1424" s="19" t="n">
        <v>0.1605</v>
      </c>
      <c r="AF1424" s="19" t="n">
        <v>0.282</v>
      </c>
      <c r="AG1424" s="19" t="n">
        <v>0.1514</v>
      </c>
      <c r="AH1424" s="23" t="n">
        <v>0.1</v>
      </c>
      <c r="AI1424" s="23" t="n">
        <v>2.46</v>
      </c>
      <c r="AJ1424" s="19" t="n">
        <v>0.0452</v>
      </c>
    </row>
    <row r="1425">
      <c r="A1425" s="16" t="inlineStr">
        <is>
          <t>BLKASHYAP</t>
        </is>
      </c>
      <c r="B1425" s="16" t="inlineStr">
        <is>
          <t>B L Kashyap &amp; Sons Ltd.</t>
        </is>
      </c>
      <c r="C1425" s="16" t="inlineStr">
        <is>
          <t>Construction &amp; Engineering</t>
        </is>
      </c>
      <c r="D1425" s="16" t="inlineStr">
        <is>
          <t>Cement and Construction</t>
        </is>
      </c>
      <c r="E1425" s="16" t="inlineStr">
        <is>
          <t>INE350H01032</t>
        </is>
      </c>
      <c r="F1425" s="17" t="n">
        <v>1337.76</v>
      </c>
      <c r="G1425" s="18" t="n">
        <v>59.34</v>
      </c>
      <c r="H1425" s="19" t="n">
        <v>0.0302</v>
      </c>
      <c r="I1425" s="20" t="n">
        <v>54</v>
      </c>
      <c r="J1425" s="16" t="inlineStr">
        <is>
          <t>red</t>
        </is>
      </c>
      <c r="K1425" s="20" t="n">
        <v>38</v>
      </c>
      <c r="L1425" s="18" t="n">
        <v>65.56</v>
      </c>
      <c r="M1425" s="18" t="n">
        <v>56.8</v>
      </c>
      <c r="N1425" s="18" t="n">
        <v>55.05</v>
      </c>
      <c r="O1425" s="18" t="n">
        <v>52.35</v>
      </c>
      <c r="P1425" s="18" t="n">
        <v>70.94</v>
      </c>
      <c r="Q1425" s="18" t="n">
        <v>42.81</v>
      </c>
      <c r="R1425" s="21">
        <f>IF(OR(G1425="",P1425=""),"",G1425/P1425-1)</f>
        <v/>
      </c>
      <c r="S1425" s="19" t="n">
        <v>4.0355</v>
      </c>
      <c r="T1425" s="22" t="n">
        <v>-0.005699999999999999</v>
      </c>
      <c r="U1425" s="16" t="inlineStr">
        <is>
          <t>No</t>
        </is>
      </c>
      <c r="V1425" s="16" t="inlineStr">
        <is>
          <t>Yes</t>
        </is>
      </c>
      <c r="W1425" s="16" t="inlineStr">
        <is>
          <t>Yes</t>
        </is>
      </c>
      <c r="X1425" s="16" t="inlineStr">
        <is>
          <t>Yes</t>
        </is>
      </c>
      <c r="Y1425" s="20" t="n">
        <v>58</v>
      </c>
      <c r="Z1425" s="19" t="n">
        <v>0.0516</v>
      </c>
      <c r="AA1425" s="18" t="n">
        <v>34.78</v>
      </c>
      <c r="AB1425" s="16" t="inlineStr">
        <is>
          <t>Weak</t>
        </is>
      </c>
      <c r="AC1425" s="16" t="inlineStr">
        <is>
          <t>No</t>
        </is>
      </c>
      <c r="AD1425" s="19" t="n">
        <v>0.0537</v>
      </c>
      <c r="AE1425" s="19" t="n">
        <v>0.111</v>
      </c>
      <c r="AF1425" s="19" t="n">
        <v>-0.0138</v>
      </c>
      <c r="AG1425" s="19" t="n">
        <v>0.0872</v>
      </c>
      <c r="AH1425" s="23" t="n">
        <v>0.57</v>
      </c>
      <c r="AI1425" s="23" t="n">
        <v>8.539999999999999</v>
      </c>
      <c r="AJ1425" s="19" t="n">
        <v>0.0005999999999999999</v>
      </c>
    </row>
    <row r="1426">
      <c r="A1426" s="16" t="inlineStr">
        <is>
          <t>DEN</t>
        </is>
      </c>
      <c r="B1426" s="16" t="inlineStr">
        <is>
          <t>Den Networks Ltd.</t>
        </is>
      </c>
      <c r="C1426" s="16" t="inlineStr">
        <is>
          <t>Broadcasting &amp; Cable TV</t>
        </is>
      </c>
      <c r="D1426" s="16" t="inlineStr">
        <is>
          <t>Media</t>
        </is>
      </c>
      <c r="E1426" s="16" t="inlineStr">
        <is>
          <t>INE947J01015</t>
        </is>
      </c>
      <c r="F1426" s="17" t="n">
        <v>1334.79</v>
      </c>
      <c r="G1426" s="18" t="n">
        <v>27.97</v>
      </c>
      <c r="H1426" s="19" t="n">
        <v>0.0036</v>
      </c>
      <c r="I1426" s="20" t="n">
        <v>30</v>
      </c>
      <c r="J1426" s="16" t="inlineStr">
        <is>
          <t>red</t>
        </is>
      </c>
      <c r="K1426" s="20" t="n">
        <v>501</v>
      </c>
      <c r="L1426" s="18" t="n">
        <v>53.11</v>
      </c>
      <c r="M1426" s="18" t="n">
        <v>27.98</v>
      </c>
      <c r="N1426" s="18" t="n">
        <v>28.03</v>
      </c>
      <c r="O1426" s="18" t="n">
        <v>28.58</v>
      </c>
      <c r="P1426" s="18" t="n">
        <v>36.6</v>
      </c>
      <c r="Q1426" s="18" t="n">
        <v>22.98</v>
      </c>
      <c r="R1426" s="21">
        <f>IF(OR(G1426="",P1426=""),"",G1426/P1426-1)</f>
        <v/>
      </c>
      <c r="S1426" s="19" t="n">
        <v>0.6912</v>
      </c>
      <c r="T1426" s="22" t="n">
        <v>-0.0176</v>
      </c>
      <c r="U1426" s="16" t="inlineStr">
        <is>
          <t>No</t>
        </is>
      </c>
      <c r="V1426" s="16" t="inlineStr">
        <is>
          <t>No</t>
        </is>
      </c>
      <c r="W1426" s="16" t="inlineStr">
        <is>
          <t>No</t>
        </is>
      </c>
      <c r="X1426" s="16" t="inlineStr">
        <is>
          <t>No</t>
        </is>
      </c>
      <c r="Y1426" s="20" t="n">
        <v>232</v>
      </c>
      <c r="Z1426" s="19" t="n">
        <v>-0.0195</v>
      </c>
      <c r="AA1426" s="18" t="n">
        <v>36.34</v>
      </c>
      <c r="AB1426" s="16" t="inlineStr">
        <is>
          <t>Weak</t>
        </is>
      </c>
      <c r="AC1426" s="16" t="inlineStr">
        <is>
          <t>No</t>
        </is>
      </c>
      <c r="AD1426" s="19" t="n">
        <v>0.05400000000000001</v>
      </c>
      <c r="AE1426" s="19" t="n">
        <v>0.06519999999999999</v>
      </c>
      <c r="AF1426" s="19" t="n">
        <v>-0.118</v>
      </c>
      <c r="AG1426" s="19" t="n">
        <v>-0.0407</v>
      </c>
      <c r="AH1426" s="23" t="n">
        <v>0.01</v>
      </c>
      <c r="AI1426" s="23" t="n">
        <v>3.75</v>
      </c>
      <c r="AJ1426" s="19" t="n">
        <v>0.0318</v>
      </c>
    </row>
    <row r="1427">
      <c r="A1427" s="16" t="inlineStr">
        <is>
          <t>IGARASHI</t>
        </is>
      </c>
      <c r="B1427" s="16" t="inlineStr">
        <is>
          <t>Igarashi Motors India Ltd.</t>
        </is>
      </c>
      <c r="C1427" s="16" t="inlineStr">
        <is>
          <t>Auto Parts &amp; Equipment</t>
        </is>
      </c>
      <c r="D1427" s="16" t="inlineStr">
        <is>
          <t>Automobiles &amp; Auto Components</t>
        </is>
      </c>
      <c r="E1427" s="16" t="inlineStr">
        <is>
          <t>INE188B01013</t>
        </is>
      </c>
      <c r="F1427" s="17" t="n">
        <v>1330.61</v>
      </c>
      <c r="G1427" s="18" t="n">
        <v>422.75</v>
      </c>
      <c r="H1427" s="19" t="n">
        <v>0.0156</v>
      </c>
      <c r="I1427" s="20" t="n">
        <v>52</v>
      </c>
      <c r="J1427" s="16" t="inlineStr">
        <is>
          <t>red</t>
        </is>
      </c>
      <c r="K1427" s="20" t="n">
        <v>35</v>
      </c>
      <c r="L1427" s="18" t="n">
        <v>29.46</v>
      </c>
      <c r="M1427" s="18" t="n">
        <v>421.17</v>
      </c>
      <c r="N1427" s="18" t="n">
        <v>452.7</v>
      </c>
      <c r="O1427" s="18" t="n">
        <v>403.3</v>
      </c>
      <c r="P1427" s="18" t="n">
        <v>541.66</v>
      </c>
      <c r="Q1427" s="18" t="n">
        <v>272.65</v>
      </c>
      <c r="R1427" s="21">
        <f>IF(OR(G1427="",P1427=""),"",G1427/P1427-1)</f>
        <v/>
      </c>
      <c r="S1427" s="19" t="n">
        <v>0.1208</v>
      </c>
      <c r="T1427" s="22" t="n">
        <v>-0.0131</v>
      </c>
      <c r="U1427" s="16" t="inlineStr">
        <is>
          <t>No</t>
        </is>
      </c>
      <c r="V1427" s="16" t="inlineStr">
        <is>
          <t>No</t>
        </is>
      </c>
      <c r="W1427" s="16" t="inlineStr">
        <is>
          <t>Yes</t>
        </is>
      </c>
      <c r="X1427" s="16" t="inlineStr">
        <is>
          <t>Yes</t>
        </is>
      </c>
      <c r="Y1427" s="20" t="n">
        <v>40</v>
      </c>
      <c r="Z1427" s="19" t="n">
        <v>0.1225</v>
      </c>
      <c r="AA1427" s="18" t="n">
        <v>38.7</v>
      </c>
      <c r="AB1427" s="16" t="inlineStr">
        <is>
          <t>Weak</t>
        </is>
      </c>
      <c r="AC1427" s="16" t="inlineStr">
        <is>
          <t>No</t>
        </is>
      </c>
      <c r="AD1427" s="19" t="n">
        <v>0.0331</v>
      </c>
      <c r="AE1427" s="19" t="n">
        <v>0.05019999999999999</v>
      </c>
      <c r="AF1427" s="19" t="n">
        <v>0.6201</v>
      </c>
      <c r="AG1427" s="19" t="n">
        <v>0.09970000000000001</v>
      </c>
      <c r="AH1427" s="23" t="n">
        <v>0.31</v>
      </c>
      <c r="AI1427" s="23" t="n">
        <v>1.85</v>
      </c>
      <c r="AJ1427" s="19" t="n">
        <v>0.1103</v>
      </c>
    </row>
    <row r="1428">
      <c r="A1428" s="16" t="inlineStr">
        <is>
          <t>CENTENKA</t>
        </is>
      </c>
      <c r="B1428" s="16" t="inlineStr">
        <is>
          <t>Century Enka Ltd.</t>
        </is>
      </c>
      <c r="C1428" s="16" t="inlineStr">
        <is>
          <t>Textiles</t>
        </is>
      </c>
      <c r="D1428" s="16" t="inlineStr">
        <is>
          <t>Textiles Apparels &amp; Accessories</t>
        </is>
      </c>
      <c r="E1428" s="16" t="inlineStr">
        <is>
          <t>INE485A01015</t>
        </is>
      </c>
      <c r="F1428" s="17" t="n">
        <v>1330.48</v>
      </c>
      <c r="G1428" s="18" t="n">
        <v>608.9</v>
      </c>
      <c r="H1428" s="19" t="n">
        <v>-0.0126</v>
      </c>
      <c r="I1428" s="20" t="n">
        <v>76</v>
      </c>
      <c r="J1428" s="16" t="inlineStr">
        <is>
          <t>amber</t>
        </is>
      </c>
      <c r="K1428" s="20" t="n">
        <v>17</v>
      </c>
      <c r="L1428" s="18" t="n">
        <v>63.72</v>
      </c>
      <c r="M1428" s="18" t="n">
        <v>571.38</v>
      </c>
      <c r="N1428" s="18" t="n">
        <v>559.02</v>
      </c>
      <c r="O1428" s="18" t="n">
        <v>469.22</v>
      </c>
      <c r="P1428" s="18" t="n">
        <v>616.65</v>
      </c>
      <c r="Q1428" s="18" t="n">
        <v>365.77</v>
      </c>
      <c r="R1428" s="21">
        <f>IF(OR(G1428="",P1428=""),"",G1428/P1428-1)</f>
        <v/>
      </c>
      <c r="S1428" s="19" t="n">
        <v>0.2051</v>
      </c>
      <c r="T1428" s="22" t="n">
        <v>0.0266</v>
      </c>
      <c r="U1428" s="16" t="inlineStr">
        <is>
          <t>Yes</t>
        </is>
      </c>
      <c r="V1428" s="16" t="inlineStr">
        <is>
          <t>Yes</t>
        </is>
      </c>
      <c r="W1428" s="16" t="inlineStr">
        <is>
          <t>Yes</t>
        </is>
      </c>
      <c r="X1428" s="16" t="inlineStr">
        <is>
          <t>Yes</t>
        </is>
      </c>
      <c r="Y1428" s="20" t="n">
        <v>60</v>
      </c>
      <c r="Z1428" s="19" t="n">
        <v>0.1914</v>
      </c>
      <c r="AA1428" s="18" t="n">
        <v>38.4</v>
      </c>
      <c r="AB1428" s="16" t="inlineStr">
        <is>
          <t>Weak</t>
        </is>
      </c>
      <c r="AC1428" s="16" t="inlineStr">
        <is>
          <t>No</t>
        </is>
      </c>
      <c r="AD1428" s="19" t="n">
        <v>0.04849999999999999</v>
      </c>
      <c r="AE1428" s="19" t="n">
        <v>0.06570000000000001</v>
      </c>
      <c r="AF1428" s="19" t="n">
        <v>0.1818</v>
      </c>
      <c r="AG1428" s="19" t="n">
        <v>-0.0524</v>
      </c>
      <c r="AH1428" s="23" t="n">
        <v>0.01</v>
      </c>
      <c r="AI1428" s="23" t="n">
        <v>2.17</v>
      </c>
      <c r="AJ1428" s="19" t="n">
        <v>0.0256</v>
      </c>
    </row>
    <row r="1429">
      <c r="A1429" s="16" t="inlineStr">
        <is>
          <t>BHAGERIA</t>
        </is>
      </c>
      <c r="B1429" s="16" t="inlineStr">
        <is>
          <t>Bhageria Industries Ltd.</t>
        </is>
      </c>
      <c r="C1429" s="16" t="inlineStr">
        <is>
          <t>Dyes &amp; Pigments</t>
        </is>
      </c>
      <c r="D1429" s="16" t="inlineStr">
        <is>
          <t>Chemicals &amp; Petrochemicals</t>
        </is>
      </c>
      <c r="E1429" s="16" t="inlineStr">
        <is>
          <t>INE354C01027</t>
        </is>
      </c>
      <c r="F1429" s="17" t="n">
        <v>1329.62</v>
      </c>
      <c r="G1429" s="18" t="n">
        <v>304.65</v>
      </c>
      <c r="H1429" s="19" t="n">
        <v>0.05</v>
      </c>
      <c r="I1429" s="20" t="n">
        <v>90</v>
      </c>
      <c r="J1429" s="16" t="inlineStr">
        <is>
          <t>green</t>
        </is>
      </c>
      <c r="K1429" s="20" t="n">
        <v>10</v>
      </c>
      <c r="L1429" s="18" t="n">
        <v>98.09999999999999</v>
      </c>
      <c r="M1429" s="18" t="n">
        <v>259.06</v>
      </c>
      <c r="N1429" s="18" t="n">
        <v>217.89</v>
      </c>
      <c r="O1429" s="18" t="n">
        <v>180.79</v>
      </c>
      <c r="P1429" s="18" t="n">
        <v>304.65</v>
      </c>
      <c r="Q1429" s="18" t="n">
        <v>127.13</v>
      </c>
      <c r="R1429" s="21">
        <f>IF(OR(G1429="",P1429=""),"",G1429/P1429-1)</f>
        <v/>
      </c>
      <c r="S1429" s="19" t="n">
        <v>2.5008</v>
      </c>
      <c r="T1429" s="22" t="n">
        <v>0.0114</v>
      </c>
      <c r="U1429" s="16" t="inlineStr">
        <is>
          <t>Yes</t>
        </is>
      </c>
      <c r="V1429" s="16" t="inlineStr">
        <is>
          <t>Yes</t>
        </is>
      </c>
      <c r="W1429" s="16" t="inlineStr">
        <is>
          <t>Yes</t>
        </is>
      </c>
      <c r="X1429" s="16" t="inlineStr">
        <is>
          <t>Yes</t>
        </is>
      </c>
      <c r="Y1429" s="20" t="n">
        <v>54</v>
      </c>
      <c r="Z1429" s="19" t="n">
        <v>0.2052</v>
      </c>
      <c r="AA1429" s="18" t="n">
        <v>48.96</v>
      </c>
      <c r="AB1429" s="16" t="inlineStr">
        <is>
          <t>Average</t>
        </is>
      </c>
      <c r="AC1429" s="16" t="inlineStr">
        <is>
          <t>No</t>
        </is>
      </c>
      <c r="AD1429" s="19" t="n">
        <v>0.062</v>
      </c>
      <c r="AE1429" s="19" t="n">
        <v>0.07829999999999999</v>
      </c>
      <c r="AF1429" s="19" t="n">
        <v>0.5174</v>
      </c>
      <c r="AG1429" s="19" t="n">
        <v>0.2168</v>
      </c>
      <c r="AH1429" s="23" t="n">
        <v>0.18</v>
      </c>
      <c r="AI1429" s="23" t="n">
        <v>1.72</v>
      </c>
      <c r="AJ1429" s="19" t="n">
        <v>0.2403</v>
      </c>
    </row>
    <row r="1430">
      <c r="A1430" s="16" t="inlineStr">
        <is>
          <t>BHARATSE</t>
        </is>
      </c>
      <c r="B1430" s="16" t="inlineStr">
        <is>
          <t>Bharat Seats Ltd.</t>
        </is>
      </c>
      <c r="C1430" s="16" t="inlineStr">
        <is>
          <t>Auto Parts &amp; Equipment</t>
        </is>
      </c>
      <c r="D1430" s="16" t="inlineStr">
        <is>
          <t>Automobiles &amp; Auto Components</t>
        </is>
      </c>
      <c r="E1430" s="16" t="inlineStr">
        <is>
          <t>INE415D01024</t>
        </is>
      </c>
      <c r="F1430" s="17" t="n">
        <v>1329.41</v>
      </c>
      <c r="G1430" s="18" t="n">
        <v>211.69</v>
      </c>
      <c r="H1430" s="19" t="n">
        <v>-0.009399999999999999</v>
      </c>
      <c r="I1430" s="20" t="n">
        <v>66</v>
      </c>
      <c r="J1430" s="16" t="inlineStr">
        <is>
          <t>amber</t>
        </is>
      </c>
      <c r="K1430" s="20" t="n">
        <v>11</v>
      </c>
      <c r="L1430" s="18" t="n">
        <v>25</v>
      </c>
      <c r="M1430" s="18" t="n">
        <v>219.39</v>
      </c>
      <c r="N1430" s="18" t="n">
        <v>226.46</v>
      </c>
      <c r="O1430" s="18" t="n">
        <v>187.36</v>
      </c>
      <c r="P1430" s="18" t="n">
        <v>252.99</v>
      </c>
      <c r="Q1430" s="18" t="n">
        <v>134.45</v>
      </c>
      <c r="R1430" s="21">
        <f>IF(OR(G1430="",P1430=""),"",G1430/P1430-1)</f>
        <v/>
      </c>
      <c r="S1430" s="19" t="n">
        <v>0.2551</v>
      </c>
      <c r="T1430" s="22" t="n">
        <v>0.0146</v>
      </c>
      <c r="U1430" s="16" t="inlineStr">
        <is>
          <t>Yes</t>
        </is>
      </c>
      <c r="V1430" s="16" t="inlineStr">
        <is>
          <t>No</t>
        </is>
      </c>
      <c r="W1430" s="16" t="inlineStr">
        <is>
          <t>No</t>
        </is>
      </c>
      <c r="X1430" s="16" t="inlineStr">
        <is>
          <t>Yes</t>
        </is>
      </c>
      <c r="Y1430" s="20" t="n">
        <v>163</v>
      </c>
      <c r="Z1430" s="19" t="n">
        <v>0.2087</v>
      </c>
      <c r="AA1430" s="18" t="n">
        <v>55.18</v>
      </c>
      <c r="AB1430" s="16" t="inlineStr">
        <is>
          <t>Good</t>
        </is>
      </c>
      <c r="AC1430" s="16" t="inlineStr">
        <is>
          <t>No</t>
        </is>
      </c>
      <c r="AD1430" s="19" t="n">
        <v>0.1674</v>
      </c>
      <c r="AE1430" s="19" t="n">
        <v>0.1592</v>
      </c>
      <c r="AF1430" s="19" t="n">
        <v>0.06269999999999999</v>
      </c>
      <c r="AG1430" s="19" t="n">
        <v>0.2459</v>
      </c>
      <c r="AH1430" s="23" t="n">
        <v>0.48</v>
      </c>
      <c r="AI1430" s="23" t="n">
        <v>5.32</v>
      </c>
      <c r="AJ1430" s="19" t="n">
        <v>0.0368</v>
      </c>
    </row>
    <row r="1431">
      <c r="A1431" s="16" t="inlineStr">
        <is>
          <t>SIGACHI</t>
        </is>
      </c>
      <c r="B1431" s="16" t="inlineStr">
        <is>
          <t>Sigachi Industries Ltd.</t>
        </is>
      </c>
      <c r="C1431" s="16" t="inlineStr">
        <is>
          <t>Pharmaceuticals</t>
        </is>
      </c>
      <c r="D1431" s="16" t="inlineStr">
        <is>
          <t>Pharmaceuticals &amp; Biotechnology</t>
        </is>
      </c>
      <c r="E1431" s="16" t="inlineStr">
        <is>
          <t>INE0D0K01022</t>
        </is>
      </c>
      <c r="F1431" s="17" t="n">
        <v>1327.47</v>
      </c>
      <c r="G1431" s="18" t="n">
        <v>34.74</v>
      </c>
      <c r="H1431" s="19" t="n">
        <v>0.0673</v>
      </c>
      <c r="I1431" s="20" t="n">
        <v>82</v>
      </c>
      <c r="J1431" s="16" t="inlineStr">
        <is>
          <t>green</t>
        </is>
      </c>
      <c r="K1431" s="20" t="n">
        <v>1</v>
      </c>
      <c r="L1431" s="18" t="n">
        <v>76.17</v>
      </c>
      <c r="M1431" s="18" t="n">
        <v>32.93</v>
      </c>
      <c r="N1431" s="18" t="n">
        <v>26.86</v>
      </c>
      <c r="O1431" s="18" t="n">
        <v>25.13</v>
      </c>
      <c r="P1431" s="18" t="n">
        <v>44.38</v>
      </c>
      <c r="Q1431" s="18" t="n">
        <v>16.92</v>
      </c>
      <c r="R1431" s="21">
        <f>IF(OR(G1431="",P1431=""),"",G1431/P1431-1)</f>
        <v/>
      </c>
      <c r="S1431" s="19" t="n">
        <v>3.0437</v>
      </c>
      <c r="T1431" s="22" t="n">
        <v>-0.025</v>
      </c>
      <c r="U1431" s="16" t="inlineStr">
        <is>
          <t>No</t>
        </is>
      </c>
      <c r="V1431" s="16" t="inlineStr">
        <is>
          <t>Yes</t>
        </is>
      </c>
      <c r="W1431" s="16" t="inlineStr">
        <is>
          <t>Yes</t>
        </is>
      </c>
      <c r="X1431" s="16" t="inlineStr">
        <is>
          <t>Yes</t>
        </is>
      </c>
      <c r="Y1431" s="20" t="n">
        <v>9</v>
      </c>
      <c r="Z1431" s="19" t="n">
        <v>0.06860000000000001</v>
      </c>
      <c r="AA1431" s="18" t="n">
        <v>32.4</v>
      </c>
      <c r="AB1431" s="16" t="inlineStr">
        <is>
          <t>Poor</t>
        </is>
      </c>
      <c r="AC1431" s="16" t="inlineStr">
        <is>
          <t>No</t>
        </is>
      </c>
      <c r="AD1431" s="19" t="n">
        <v>0.0307</v>
      </c>
      <c r="AE1431" s="19" t="n">
        <v>0.0541</v>
      </c>
      <c r="AF1431" s="19" t="n">
        <v>-0.1926</v>
      </c>
      <c r="AG1431" s="19" t="n">
        <v>0.1744</v>
      </c>
      <c r="AH1431" s="23" t="n">
        <v>0.31</v>
      </c>
      <c r="AI1431" s="23" t="n">
        <v>1.59</v>
      </c>
      <c r="AJ1431" s="19" t="n">
        <v>0.1021</v>
      </c>
    </row>
    <row r="1432">
      <c r="A1432" s="16" t="inlineStr">
        <is>
          <t>JAGRAN</t>
        </is>
      </c>
      <c r="B1432" s="16" t="inlineStr">
        <is>
          <t>Jagran Prakashan Ltd.</t>
        </is>
      </c>
      <c r="C1432" s="16" t="inlineStr">
        <is>
          <t>Publishing</t>
        </is>
      </c>
      <c r="D1432" s="16" t="inlineStr">
        <is>
          <t>Commercial Services &amp; Supplies</t>
        </is>
      </c>
      <c r="E1432" s="16" t="inlineStr">
        <is>
          <t>INE199G01027</t>
        </is>
      </c>
      <c r="F1432" s="17" t="n">
        <v>1327.26</v>
      </c>
      <c r="G1432" s="18" t="n">
        <v>60.98</v>
      </c>
      <c r="H1432" s="19" t="n">
        <v>-0.004099999999999999</v>
      </c>
      <c r="I1432" s="20" t="n">
        <v>38</v>
      </c>
      <c r="J1432" s="16" t="inlineStr">
        <is>
          <t>red</t>
        </is>
      </c>
      <c r="K1432" s="20" t="n">
        <v>50</v>
      </c>
      <c r="L1432" s="18" t="n">
        <v>31.5</v>
      </c>
      <c r="M1432" s="18" t="n">
        <v>61.28</v>
      </c>
      <c r="N1432" s="18" t="n">
        <v>62.81</v>
      </c>
      <c r="O1432" s="18" t="n">
        <v>60.17</v>
      </c>
      <c r="P1432" s="18" t="n">
        <v>68.2</v>
      </c>
      <c r="Q1432" s="18" t="n">
        <v>52.2</v>
      </c>
      <c r="R1432" s="21">
        <f>IF(OR(G1432="",P1432=""),"",G1432/P1432-1)</f>
        <v/>
      </c>
      <c r="S1432" s="19" t="n">
        <v>1.2554</v>
      </c>
      <c r="T1432" s="22" t="n">
        <v>-0.0005</v>
      </c>
      <c r="U1432" s="16" t="inlineStr">
        <is>
          <t>No</t>
        </is>
      </c>
      <c r="V1432" s="16" t="inlineStr">
        <is>
          <t>No</t>
        </is>
      </c>
      <c r="W1432" s="16" t="inlineStr">
        <is>
          <t>No</t>
        </is>
      </c>
      <c r="X1432" s="16" t="inlineStr">
        <is>
          <t>Yes</t>
        </is>
      </c>
      <c r="Y1432" s="20" t="n">
        <v>60</v>
      </c>
      <c r="Z1432" s="19" t="n">
        <v>0.0438</v>
      </c>
      <c r="AA1432" s="18" t="n">
        <v>43.76</v>
      </c>
      <c r="AB1432" s="16" t="inlineStr">
        <is>
          <t>Average</t>
        </is>
      </c>
      <c r="AC1432" s="16" t="inlineStr">
        <is>
          <t>No</t>
        </is>
      </c>
      <c r="AD1432" s="19" t="n">
        <v>0.0867</v>
      </c>
      <c r="AE1432" s="19" t="n">
        <v>0.1111</v>
      </c>
      <c r="AF1432" s="19" t="n">
        <v>0.1086</v>
      </c>
      <c r="AG1432" s="19" t="n">
        <v>0.0102</v>
      </c>
      <c r="AH1432" s="23" t="n">
        <v>0.05</v>
      </c>
      <c r="AI1432" s="23" t="n">
        <v>5.1</v>
      </c>
      <c r="AJ1432" s="19" t="n">
        <v>0.0019</v>
      </c>
    </row>
    <row r="1433">
      <c r="A1433" s="16" t="inlineStr">
        <is>
          <t>KALAMANDIR</t>
        </is>
      </c>
      <c r="B1433" s="16" t="inlineStr">
        <is>
          <t>Sai Silks (Kalamandir) Ltd.</t>
        </is>
      </c>
      <c r="C1433" s="16" t="inlineStr">
        <is>
          <t>Other Apparels &amp; Accessories</t>
        </is>
      </c>
      <c r="D1433" s="16" t="inlineStr">
        <is>
          <t>Textiles Apparels &amp; Accessories</t>
        </is>
      </c>
      <c r="E1433" s="16" t="inlineStr">
        <is>
          <t>INE438K01021</t>
        </is>
      </c>
      <c r="F1433" s="17" t="n">
        <v>1326.46</v>
      </c>
      <c r="G1433" s="18" t="n">
        <v>86.48999999999999</v>
      </c>
      <c r="H1433" s="19" t="n">
        <v>0.0072</v>
      </c>
      <c r="I1433" s="20" t="n">
        <v>3</v>
      </c>
      <c r="J1433" s="16" t="inlineStr">
        <is>
          <t>red</t>
        </is>
      </c>
      <c r="K1433" s="20" t="n">
        <v>170</v>
      </c>
      <c r="L1433" s="18" t="n">
        <v>51.36</v>
      </c>
      <c r="M1433" s="18" t="n">
        <v>86.36</v>
      </c>
      <c r="N1433" s="18" t="n">
        <v>90.95</v>
      </c>
      <c r="O1433" s="18" t="n">
        <v>110.12</v>
      </c>
      <c r="P1433" s="18" t="n">
        <v>196.98</v>
      </c>
      <c r="Q1433" s="18" t="n">
        <v>84.7</v>
      </c>
      <c r="R1433" s="21">
        <f>IF(OR(G1433="",P1433=""),"",G1433/P1433-1)</f>
        <v/>
      </c>
      <c r="S1433" s="19" t="n">
        <v>0.3643</v>
      </c>
      <c r="T1433" s="22" t="n">
        <v>-0.07580000000000001</v>
      </c>
      <c r="U1433" s="16" t="inlineStr">
        <is>
          <t>No</t>
        </is>
      </c>
      <c r="V1433" s="16" t="inlineStr">
        <is>
          <t>No</t>
        </is>
      </c>
      <c r="W1433" s="16" t="inlineStr">
        <is>
          <t>Yes</t>
        </is>
      </c>
      <c r="X1433" s="16" t="inlineStr">
        <is>
          <t>No</t>
        </is>
      </c>
      <c r="Y1433" s="20" t="n">
        <v>160</v>
      </c>
      <c r="Z1433" s="19" t="n">
        <v>-0.1741</v>
      </c>
      <c r="AA1433" s="18" t="n">
        <v>43.12</v>
      </c>
      <c r="AB1433" s="16" t="inlineStr">
        <is>
          <t>Average</t>
        </is>
      </c>
      <c r="AC1433" s="16" t="inlineStr">
        <is>
          <t>No</t>
        </is>
      </c>
      <c r="AD1433" s="19" t="n">
        <v>0.094</v>
      </c>
      <c r="AE1433" s="19" t="n">
        <v>0.1257</v>
      </c>
      <c r="AF1433" s="19" t="n">
        <v>0.2005</v>
      </c>
      <c r="AG1433" s="19" t="n">
        <v>0.0706</v>
      </c>
      <c r="AH1433" s="23" t="n">
        <v>0.29</v>
      </c>
      <c r="AI1433" s="23" t="n">
        <v>2.76</v>
      </c>
      <c r="AJ1433" s="19" t="n">
        <v>0.0261</v>
      </c>
    </row>
    <row r="1434">
      <c r="A1434" s="16" t="inlineStr">
        <is>
          <t>BENARAS</t>
        </is>
      </c>
      <c r="B1434" s="16" t="inlineStr">
        <is>
          <t>Benares Hotels Ltd.</t>
        </is>
      </c>
      <c r="C1434" s="16" t="inlineStr">
        <is>
          <t>Hotels</t>
        </is>
      </c>
      <c r="D1434" s="16" t="inlineStr">
        <is>
          <t>Hotels Restaurants &amp; Tourism</t>
        </is>
      </c>
      <c r="E1434" s="16" t="inlineStr">
        <is>
          <t>INE664D01019</t>
        </is>
      </c>
      <c r="F1434" s="17" t="n">
        <v>1326</v>
      </c>
      <c r="G1434" s="18" t="n">
        <v>10200</v>
      </c>
      <c r="H1434" s="19" t="n">
        <v>0</v>
      </c>
      <c r="I1434" s="20" t="n">
        <v>48</v>
      </c>
      <c r="J1434" s="16" t="inlineStr">
        <is>
          <t>red</t>
        </is>
      </c>
      <c r="K1434" s="20" t="n">
        <v>55</v>
      </c>
      <c r="L1434" s="18" t="n">
        <v>51.37</v>
      </c>
      <c r="M1434" s="18" t="n">
        <v>10195.5</v>
      </c>
      <c r="N1434" s="18" t="n">
        <v>10245.98</v>
      </c>
      <c r="O1434" s="18" t="n">
        <v>9833.120000000001</v>
      </c>
      <c r="P1434" s="18" t="n">
        <v>10937.9</v>
      </c>
      <c r="Q1434" s="18" t="n">
        <v>9258.66</v>
      </c>
      <c r="R1434" s="21">
        <f>IF(OR(G1434="",P1434=""),"",G1434/P1434-1)</f>
        <v/>
      </c>
      <c r="S1434" s="19" t="n">
        <v>1.0548</v>
      </c>
      <c r="T1434" s="22" t="n">
        <v>0.0086</v>
      </c>
      <c r="U1434" s="16" t="inlineStr">
        <is>
          <t>Yes</t>
        </is>
      </c>
      <c r="V1434" s="16" t="inlineStr">
        <is>
          <t>No</t>
        </is>
      </c>
      <c r="W1434" s="16" t="inlineStr">
        <is>
          <t>Yes</t>
        </is>
      </c>
      <c r="X1434" s="16" t="inlineStr">
        <is>
          <t>Yes</t>
        </is>
      </c>
      <c r="Y1434" s="20" t="n">
        <v>104</v>
      </c>
      <c r="Z1434" s="19" t="n">
        <v>0.042</v>
      </c>
      <c r="AA1434" s="18" t="n"/>
      <c r="AB1434" s="16" t="n"/>
      <c r="AC1434" s="16" t="inlineStr">
        <is>
          <t>No</t>
        </is>
      </c>
      <c r="AD1434" s="19" t="n"/>
      <c r="AE1434" s="19" t="n"/>
      <c r="AF1434" s="19" t="n"/>
      <c r="AG1434" s="19" t="n"/>
      <c r="AH1434" s="23" t="n"/>
      <c r="AI1434" s="23" t="n"/>
      <c r="AJ1434" s="19" t="n"/>
    </row>
    <row r="1435">
      <c r="A1435" s="16" t="inlineStr">
        <is>
          <t>NINSYS</t>
        </is>
      </c>
      <c r="B1435" s="16" t="inlineStr">
        <is>
          <t>Nintec Systems Ltd.</t>
        </is>
      </c>
      <c r="C1435" s="16" t="inlineStr">
        <is>
          <t>IT Consulting &amp; Software</t>
        </is>
      </c>
      <c r="D1435" s="16" t="inlineStr">
        <is>
          <t>Software &amp; Services</t>
        </is>
      </c>
      <c r="E1435" s="16" t="inlineStr">
        <is>
          <t>INE395U01014</t>
        </is>
      </c>
      <c r="F1435" s="17" t="n">
        <v>1324</v>
      </c>
      <c r="G1435" s="18" t="n">
        <v>712.75</v>
      </c>
      <c r="H1435" s="19" t="n">
        <v>0.0049</v>
      </c>
      <c r="I1435" s="20" t="n">
        <v>86</v>
      </c>
      <c r="J1435" s="16" t="inlineStr">
        <is>
          <t>green</t>
        </is>
      </c>
      <c r="K1435" s="20" t="n">
        <v>96</v>
      </c>
      <c r="L1435" s="18" t="n">
        <v>34.11</v>
      </c>
      <c r="M1435" s="18" t="n">
        <v>713.4299999999999</v>
      </c>
      <c r="N1435" s="18" t="n">
        <v>794.42</v>
      </c>
      <c r="O1435" s="18" t="n">
        <v>539.1799999999999</v>
      </c>
      <c r="P1435" s="18" t="n">
        <v>914.15</v>
      </c>
      <c r="Q1435" s="18" t="n">
        <v>286.6</v>
      </c>
      <c r="R1435" s="21">
        <f>IF(OR(G1435="",P1435=""),"",G1435/P1435-1)</f>
        <v/>
      </c>
      <c r="S1435" s="19" t="n">
        <v>0.5692</v>
      </c>
      <c r="T1435" s="22" t="n">
        <v>0.05690000000000001</v>
      </c>
      <c r="U1435" s="16" t="inlineStr">
        <is>
          <t>Yes</t>
        </is>
      </c>
      <c r="V1435" s="16" t="inlineStr">
        <is>
          <t>No</t>
        </is>
      </c>
      <c r="W1435" s="16" t="inlineStr">
        <is>
          <t>No</t>
        </is>
      </c>
      <c r="X1435" s="16" t="inlineStr">
        <is>
          <t>Yes</t>
        </is>
      </c>
      <c r="Y1435" s="20" t="n">
        <v>82</v>
      </c>
      <c r="Z1435" s="19" t="n">
        <v>0.4734</v>
      </c>
      <c r="AA1435" s="18" t="n">
        <v>87.87</v>
      </c>
      <c r="AB1435" s="16" t="inlineStr">
        <is>
          <t>High</t>
        </is>
      </c>
      <c r="AC1435" s="16" t="inlineStr">
        <is>
          <t>No</t>
        </is>
      </c>
      <c r="AD1435" s="19" t="n">
        <v>0.4074</v>
      </c>
      <c r="AE1435" s="19" t="n">
        <v>0.522</v>
      </c>
      <c r="AF1435" s="19" t="n">
        <v>0.9018999999999999</v>
      </c>
      <c r="AG1435" s="19" t="n">
        <v>0.8239</v>
      </c>
      <c r="AH1435" s="23" t="n">
        <v>0.02</v>
      </c>
      <c r="AI1435" s="23" t="n">
        <v>31.17</v>
      </c>
      <c r="AJ1435" s="19" t="n">
        <v>0</v>
      </c>
    </row>
    <row r="1436">
      <c r="A1436" s="16" t="inlineStr">
        <is>
          <t>JAYBARMARU</t>
        </is>
      </c>
      <c r="B1436" s="16" t="inlineStr">
        <is>
          <t>Jay Bharat Maruti Ltd.</t>
        </is>
      </c>
      <c r="C1436" s="16" t="inlineStr">
        <is>
          <t>Auto Parts &amp; Equipment</t>
        </is>
      </c>
      <c r="D1436" s="16" t="inlineStr">
        <is>
          <t>Automobiles &amp; Auto Components</t>
        </is>
      </c>
      <c r="E1436" s="16" t="inlineStr">
        <is>
          <t>INE571B01036</t>
        </is>
      </c>
      <c r="F1436" s="17" t="n">
        <v>1323.79</v>
      </c>
      <c r="G1436" s="18" t="n">
        <v>122.29</v>
      </c>
      <c r="H1436" s="19" t="n">
        <v>0.0039</v>
      </c>
      <c r="I1436" s="20" t="n">
        <v>62</v>
      </c>
      <c r="J1436" s="16" t="inlineStr">
        <is>
          <t>amber</t>
        </is>
      </c>
      <c r="K1436" s="20" t="n">
        <v>15</v>
      </c>
      <c r="L1436" s="18" t="n">
        <v>42.11</v>
      </c>
      <c r="M1436" s="18" t="n">
        <v>123.87</v>
      </c>
      <c r="N1436" s="18" t="n">
        <v>152.02</v>
      </c>
      <c r="O1436" s="18" t="n">
        <v>112.96</v>
      </c>
      <c r="P1436" s="18" t="n">
        <v>198.11</v>
      </c>
      <c r="Q1436" s="18" t="n">
        <v>75.23999999999999</v>
      </c>
      <c r="R1436" s="21">
        <f>IF(OR(G1436="",P1436=""),"",G1436/P1436-1)</f>
        <v/>
      </c>
      <c r="S1436" s="19" t="n">
        <v>0.3362</v>
      </c>
      <c r="T1436" s="22" t="n">
        <v>0.0322</v>
      </c>
      <c r="U1436" s="16" t="inlineStr">
        <is>
          <t>Yes</t>
        </is>
      </c>
      <c r="V1436" s="16" t="inlineStr">
        <is>
          <t>No</t>
        </is>
      </c>
      <c r="W1436" s="16" t="inlineStr">
        <is>
          <t>No</t>
        </is>
      </c>
      <c r="X1436" s="16" t="inlineStr">
        <is>
          <t>Yes</t>
        </is>
      </c>
      <c r="Y1436" s="20" t="n">
        <v>70</v>
      </c>
      <c r="Z1436" s="19" t="n">
        <v>0.3457</v>
      </c>
      <c r="AA1436" s="18" t="n">
        <v>29.67</v>
      </c>
      <c r="AB1436" s="16" t="inlineStr">
        <is>
          <t>Poor</t>
        </is>
      </c>
      <c r="AC1436" s="16" t="inlineStr">
        <is>
          <t>No</t>
        </is>
      </c>
      <c r="AD1436" s="19" t="n">
        <v>0.1063</v>
      </c>
      <c r="AE1436" s="19" t="n">
        <v>0.1078</v>
      </c>
      <c r="AF1436" s="19" t="n">
        <v>-0.3761</v>
      </c>
      <c r="AG1436" s="19" t="n">
        <v>0.0608</v>
      </c>
      <c r="AH1436" s="23" t="n">
        <v>0.76</v>
      </c>
      <c r="AI1436" s="23" t="n">
        <v>1.99</v>
      </c>
      <c r="AJ1436" s="19" t="n">
        <v>0.08550000000000001</v>
      </c>
    </row>
    <row r="1437">
      <c r="A1437" s="16" t="inlineStr">
        <is>
          <t>GALAPREC</t>
        </is>
      </c>
      <c r="B1437" s="16" t="inlineStr">
        <is>
          <t>Gala Precision Engineering Ltd.</t>
        </is>
      </c>
      <c r="C1437" s="16" t="inlineStr">
        <is>
          <t>Other Industrial Goods</t>
        </is>
      </c>
      <c r="D1437" s="16" t="inlineStr">
        <is>
          <t>General Industrials</t>
        </is>
      </c>
      <c r="E1437" s="16" t="inlineStr">
        <is>
          <t>INE0RE001014</t>
        </is>
      </c>
      <c r="F1437" s="17" t="n">
        <v>1312.38</v>
      </c>
      <c r="G1437" s="18" t="n">
        <v>1024</v>
      </c>
      <c r="H1437" s="19" t="n">
        <v>-0.0021</v>
      </c>
      <c r="I1437" s="20" t="n">
        <v>74</v>
      </c>
      <c r="J1437" s="16" t="inlineStr">
        <is>
          <t>amber</t>
        </is>
      </c>
      <c r="K1437" s="20" t="n">
        <v>21</v>
      </c>
      <c r="L1437" s="18" t="n">
        <v>51.03</v>
      </c>
      <c r="M1437" s="18" t="n">
        <v>1030.04</v>
      </c>
      <c r="N1437" s="18" t="n">
        <v>1099.72</v>
      </c>
      <c r="O1437" s="18" t="n">
        <v>872.65</v>
      </c>
      <c r="P1437" s="18" t="n">
        <v>1234</v>
      </c>
      <c r="Q1437" s="18" t="n">
        <v>689.4</v>
      </c>
      <c r="R1437" s="21">
        <f>IF(OR(G1437="",P1437=""),"",G1437/P1437-1)</f>
        <v/>
      </c>
      <c r="S1437" s="19" t="n">
        <v>0.4295</v>
      </c>
      <c r="T1437" s="22" t="n">
        <v>0.0332</v>
      </c>
      <c r="U1437" s="16" t="inlineStr">
        <is>
          <t>Yes</t>
        </is>
      </c>
      <c r="V1437" s="16" t="inlineStr">
        <is>
          <t>No</t>
        </is>
      </c>
      <c r="W1437" s="16" t="inlineStr">
        <is>
          <t>No</t>
        </is>
      </c>
      <c r="X1437" s="16" t="inlineStr">
        <is>
          <t>Yes</t>
        </is>
      </c>
      <c r="Y1437" s="20" t="n">
        <v>76</v>
      </c>
      <c r="Z1437" s="19" t="n">
        <v>0.2602</v>
      </c>
      <c r="AA1437" s="18" t="n">
        <v>40</v>
      </c>
      <c r="AB1437" s="16" t="inlineStr">
        <is>
          <t>Weak</t>
        </is>
      </c>
      <c r="AC1437" s="16" t="inlineStr">
        <is>
          <t>No</t>
        </is>
      </c>
      <c r="AD1437" s="19" t="n">
        <v>0.1463</v>
      </c>
      <c r="AE1437" s="19" t="n">
        <v>0.1544</v>
      </c>
      <c r="AF1437" s="19" t="n">
        <v>-0.2659</v>
      </c>
      <c r="AG1437" s="19" t="n">
        <v>0.2442</v>
      </c>
      <c r="AH1437" s="23" t="n">
        <v>0.13</v>
      </c>
      <c r="AI1437" s="23" t="n">
        <v>3.02</v>
      </c>
      <c r="AJ1437" s="19" t="n">
        <v>0.1163</v>
      </c>
    </row>
    <row r="1438">
      <c r="A1438" s="16" t="inlineStr">
        <is>
          <t>SHRIRAMPPS</t>
        </is>
      </c>
      <c r="B1438" s="16" t="inlineStr">
        <is>
          <t>Shriram Properties Ltd.</t>
        </is>
      </c>
      <c r="C1438" s="16" t="inlineStr">
        <is>
          <t>Realty</t>
        </is>
      </c>
      <c r="D1438" s="16" t="inlineStr">
        <is>
          <t>Realty</t>
        </is>
      </c>
      <c r="E1438" s="16" t="inlineStr">
        <is>
          <t>INE217L01019</t>
        </is>
      </c>
      <c r="F1438" s="17" t="n">
        <v>1312.33</v>
      </c>
      <c r="G1438" s="18" t="n">
        <v>76.90000000000001</v>
      </c>
      <c r="H1438" s="19" t="n">
        <v>0.0161</v>
      </c>
      <c r="I1438" s="20" t="n">
        <v>22</v>
      </c>
      <c r="J1438" s="16" t="inlineStr">
        <is>
          <t>red</t>
        </is>
      </c>
      <c r="K1438" s="20" t="n">
        <v>44</v>
      </c>
      <c r="L1438" s="18" t="n">
        <v>52.91</v>
      </c>
      <c r="M1438" s="18" t="n">
        <v>76.45999999999999</v>
      </c>
      <c r="N1438" s="18" t="n">
        <v>83.53</v>
      </c>
      <c r="O1438" s="18" t="n">
        <v>82.3</v>
      </c>
      <c r="P1438" s="18" t="n">
        <v>97.63</v>
      </c>
      <c r="Q1438" s="18" t="n">
        <v>61.13</v>
      </c>
      <c r="R1438" s="21">
        <f>IF(OR(G1438="",P1438=""),"",G1438/P1438-1)</f>
        <v/>
      </c>
      <c r="S1438" s="19" t="n">
        <v>0.502</v>
      </c>
      <c r="T1438" s="22" t="n">
        <v>-0.0161</v>
      </c>
      <c r="U1438" s="16" t="inlineStr">
        <is>
          <t>No</t>
        </is>
      </c>
      <c r="V1438" s="16" t="inlineStr">
        <is>
          <t>No</t>
        </is>
      </c>
      <c r="W1438" s="16" t="inlineStr">
        <is>
          <t>Yes</t>
        </is>
      </c>
      <c r="X1438" s="16" t="inlineStr">
        <is>
          <t>Yes</t>
        </is>
      </c>
      <c r="Y1438" s="20" t="n">
        <v>61</v>
      </c>
      <c r="Z1438" s="19" t="n">
        <v>0.015</v>
      </c>
      <c r="AA1438" s="18" t="n">
        <v>40</v>
      </c>
      <c r="AB1438" s="16" t="inlineStr">
        <is>
          <t>Weak</t>
        </is>
      </c>
      <c r="AC1438" s="16" t="inlineStr">
        <is>
          <t>No</t>
        </is>
      </c>
      <c r="AD1438" s="19" t="n">
        <v>0.0617</v>
      </c>
      <c r="AE1438" s="19" t="n">
        <v>0.09</v>
      </c>
      <c r="AF1438" s="19" t="n">
        <v>-0.2785</v>
      </c>
      <c r="AG1438" s="19" t="n">
        <v>0.2747</v>
      </c>
      <c r="AH1438" s="23" t="n">
        <v>0.42</v>
      </c>
      <c r="AI1438" s="23" t="n">
        <v>19.17</v>
      </c>
      <c r="AJ1438" s="19" t="n">
        <v>0</v>
      </c>
    </row>
    <row r="1439">
      <c r="A1439" s="16" t="inlineStr">
        <is>
          <t>INOVSYNTH</t>
        </is>
      </c>
      <c r="B1439" s="16" t="inlineStr">
        <is>
          <t>Innovassynth Technologies (India) Ltd.</t>
        </is>
      </c>
      <c r="C1439" s="16" t="inlineStr">
        <is>
          <t>Investment Companies</t>
        </is>
      </c>
      <c r="D1439" s="16" t="inlineStr">
        <is>
          <t>Others</t>
        </is>
      </c>
      <c r="E1439" s="16" t="inlineStr">
        <is>
          <t>INE690J01011</t>
        </is>
      </c>
      <c r="F1439" s="17" t="n">
        <v>1311.66</v>
      </c>
      <c r="G1439" s="18" t="n">
        <v>141.25</v>
      </c>
      <c r="H1439" s="19" t="n">
        <v>0</v>
      </c>
      <c r="I1439" s="20" t="n">
        <v>88</v>
      </c>
      <c r="J1439" s="16" t="inlineStr">
        <is>
          <t>green</t>
        </is>
      </c>
      <c r="K1439" s="20" t="n">
        <v>66</v>
      </c>
      <c r="L1439" s="18" t="n">
        <v>100</v>
      </c>
      <c r="M1439" s="18" t="n">
        <v>140.74</v>
      </c>
      <c r="N1439" s="18" t="n">
        <v>135.25</v>
      </c>
      <c r="O1439" s="18" t="n">
        <v>92.90000000000001</v>
      </c>
      <c r="P1439" s="18" t="n">
        <v>141.25</v>
      </c>
      <c r="Q1439" s="18" t="n">
        <v>56.11</v>
      </c>
      <c r="R1439" s="21">
        <f>IF(OR(G1439="",P1439=""),"",G1439/P1439-1)</f>
        <v/>
      </c>
      <c r="S1439" s="19" t="n">
        <v>0</v>
      </c>
      <c r="T1439" s="22" t="n">
        <v>0.0617</v>
      </c>
      <c r="U1439" s="16" t="inlineStr">
        <is>
          <t>Yes</t>
        </is>
      </c>
      <c r="V1439" s="16" t="inlineStr">
        <is>
          <t>Yes</t>
        </is>
      </c>
      <c r="W1439" s="16" t="inlineStr">
        <is>
          <t>Yes</t>
        </is>
      </c>
      <c r="X1439" s="16" t="inlineStr">
        <is>
          <t>Yes</t>
        </is>
      </c>
      <c r="Y1439" s="20" t="n">
        <v>59</v>
      </c>
      <c r="Z1439" s="19" t="n">
        <v>0.4558</v>
      </c>
      <c r="AA1439" s="18" t="n"/>
      <c r="AB1439" s="16" t="n"/>
      <c r="AC1439" s="16" t="inlineStr">
        <is>
          <t>No</t>
        </is>
      </c>
      <c r="AD1439" s="19" t="n"/>
      <c r="AE1439" s="19" t="n"/>
      <c r="AF1439" s="19" t="n"/>
      <c r="AG1439" s="19" t="n"/>
      <c r="AH1439" s="23" t="n"/>
      <c r="AI1439" s="23" t="n"/>
      <c r="AJ1439" s="19" t="n"/>
    </row>
    <row r="1440">
      <c r="A1440" s="16" t="inlineStr">
        <is>
          <t>GHCLTEXTIL</t>
        </is>
      </c>
      <c r="B1440" s="16" t="inlineStr">
        <is>
          <t>GHCL Textiles Ltd.</t>
        </is>
      </c>
      <c r="C1440" s="16" t="inlineStr">
        <is>
          <t>Textiles</t>
        </is>
      </c>
      <c r="D1440" s="16" t="inlineStr">
        <is>
          <t>Textiles Apparels &amp; Accessories</t>
        </is>
      </c>
      <c r="E1440" s="16" t="inlineStr">
        <is>
          <t>INE0PA801013</t>
        </is>
      </c>
      <c r="F1440" s="17" t="n">
        <v>1306.85</v>
      </c>
      <c r="G1440" s="18" t="n">
        <v>136.72</v>
      </c>
      <c r="H1440" s="19" t="n">
        <v>-0.009399999999999999</v>
      </c>
      <c r="I1440" s="20" t="n">
        <v>91</v>
      </c>
      <c r="J1440" s="16" t="inlineStr">
        <is>
          <t>green</t>
        </is>
      </c>
      <c r="K1440" s="20" t="n">
        <v>41</v>
      </c>
      <c r="L1440" s="18" t="n">
        <v>72.08</v>
      </c>
      <c r="M1440" s="18" t="n">
        <v>134.02</v>
      </c>
      <c r="N1440" s="18" t="n">
        <v>117.64</v>
      </c>
      <c r="O1440" s="18" t="n">
        <v>89.81</v>
      </c>
      <c r="P1440" s="18" t="n">
        <v>140.45</v>
      </c>
      <c r="Q1440" s="18" t="n">
        <v>65.13</v>
      </c>
      <c r="R1440" s="21">
        <f>IF(OR(G1440="",P1440=""),"",G1440/P1440-1)</f>
        <v/>
      </c>
      <c r="S1440" s="19" t="n">
        <v>0.3334</v>
      </c>
      <c r="T1440" s="22" t="n">
        <v>0.0582</v>
      </c>
      <c r="U1440" s="16" t="inlineStr">
        <is>
          <t>Yes</t>
        </is>
      </c>
      <c r="V1440" s="16" t="inlineStr">
        <is>
          <t>Yes</t>
        </is>
      </c>
      <c r="W1440" s="16" t="inlineStr">
        <is>
          <t>Yes</t>
        </is>
      </c>
      <c r="X1440" s="16" t="inlineStr">
        <is>
          <t>Yes</t>
        </is>
      </c>
      <c r="Y1440" s="20" t="n">
        <v>90</v>
      </c>
      <c r="Z1440" s="19" t="n">
        <v>0.3099</v>
      </c>
      <c r="AA1440" s="18" t="n">
        <v>40.91</v>
      </c>
      <c r="AB1440" s="16" t="inlineStr">
        <is>
          <t>Average</t>
        </is>
      </c>
      <c r="AC1440" s="16" t="inlineStr">
        <is>
          <t>No</t>
        </is>
      </c>
      <c r="AD1440" s="19" t="n">
        <v>0.0346</v>
      </c>
      <c r="AE1440" s="19" t="n">
        <v>0.0435</v>
      </c>
      <c r="AF1440" s="19" t="n">
        <v>0.7463</v>
      </c>
      <c r="AG1440" s="19" t="n">
        <v>0.1187</v>
      </c>
      <c r="AH1440" s="23" t="n">
        <v>0.09</v>
      </c>
      <c r="AI1440" s="23" t="n">
        <v>1.1</v>
      </c>
      <c r="AJ1440" s="19" t="n">
        <v>0.0016</v>
      </c>
    </row>
    <row r="1441">
      <c r="A1441" s="16" t="inlineStr">
        <is>
          <t>SIGNPOST</t>
        </is>
      </c>
      <c r="B1441" s="16" t="inlineStr">
        <is>
          <t>Signpost India Ltd.</t>
        </is>
      </c>
      <c r="C1441" s="16" t="inlineStr">
        <is>
          <t>Advertising &amp; Media</t>
        </is>
      </c>
      <c r="D1441" s="16" t="inlineStr">
        <is>
          <t>Media</t>
        </is>
      </c>
      <c r="E1441" s="16" t="inlineStr">
        <is>
          <t>INE0KGZ01021</t>
        </is>
      </c>
      <c r="F1441" s="17" t="n">
        <v>1305.52</v>
      </c>
      <c r="G1441" s="18" t="n">
        <v>244.25</v>
      </c>
      <c r="H1441" s="19" t="n">
        <v>-0.0049</v>
      </c>
      <c r="I1441" s="20" t="n">
        <v>35</v>
      </c>
      <c r="J1441" s="16" t="inlineStr">
        <is>
          <t>red</t>
        </is>
      </c>
      <c r="K1441" s="20" t="n">
        <v>17</v>
      </c>
      <c r="L1441" s="18" t="n">
        <v>27.02</v>
      </c>
      <c r="M1441" s="18" t="n">
        <v>252.76</v>
      </c>
      <c r="N1441" s="18" t="n">
        <v>284.01</v>
      </c>
      <c r="O1441" s="18" t="n">
        <v>251.43</v>
      </c>
      <c r="P1441" s="18" t="n">
        <v>326.9</v>
      </c>
      <c r="Q1441" s="18" t="n">
        <v>198.57</v>
      </c>
      <c r="R1441" s="21">
        <f>IF(OR(G1441="",P1441=""),"",G1441/P1441-1)</f>
        <v/>
      </c>
      <c r="S1441" s="19" t="n">
        <v>0.6495000000000001</v>
      </c>
      <c r="T1441" s="22" t="n">
        <v>0.0086</v>
      </c>
      <c r="U1441" s="16" t="inlineStr">
        <is>
          <t>Yes</t>
        </is>
      </c>
      <c r="V1441" s="16" t="inlineStr">
        <is>
          <t>No</t>
        </is>
      </c>
      <c r="W1441" s="16" t="inlineStr">
        <is>
          <t>No</t>
        </is>
      </c>
      <c r="X1441" s="16" t="inlineStr">
        <is>
          <t>Yes</t>
        </is>
      </c>
      <c r="Y1441" s="20" t="n">
        <v>97</v>
      </c>
      <c r="Z1441" s="19" t="n">
        <v>0.1296</v>
      </c>
      <c r="AA1441" s="18" t="n">
        <v>40</v>
      </c>
      <c r="AB1441" s="16" t="inlineStr">
        <is>
          <t>Weak</t>
        </is>
      </c>
      <c r="AC1441" s="16" t="inlineStr">
        <is>
          <t>No</t>
        </is>
      </c>
      <c r="AD1441" s="19" t="n">
        <v>0.2101</v>
      </c>
      <c r="AE1441" s="19" t="n">
        <v>0.1968</v>
      </c>
      <c r="AF1441" s="19" t="n">
        <v>-0.3284</v>
      </c>
      <c r="AG1441" s="19" t="n">
        <v>0.1967</v>
      </c>
      <c r="AH1441" s="23" t="n">
        <v>0.71</v>
      </c>
      <c r="AI1441" s="23" t="n">
        <v>2.47</v>
      </c>
      <c r="AJ1441" s="19" t="n">
        <v>0.08689999999999999</v>
      </c>
    </row>
    <row r="1442">
      <c r="A1442" s="16" t="inlineStr">
        <is>
          <t>EIMCOELECO</t>
        </is>
      </c>
      <c r="B1442" s="16" t="inlineStr">
        <is>
          <t>Eimco Elecon (India) Ltd.</t>
        </is>
      </c>
      <c r="C1442" s="16" t="inlineStr">
        <is>
          <t>Industrial Machinery</t>
        </is>
      </c>
      <c r="D1442" s="16" t="inlineStr">
        <is>
          <t>General Industrials</t>
        </is>
      </c>
      <c r="E1442" s="16" t="inlineStr">
        <is>
          <t>INE158B01016</t>
        </is>
      </c>
      <c r="F1442" s="17" t="n">
        <v>1300.43</v>
      </c>
      <c r="G1442" s="18" t="n">
        <v>2254.4</v>
      </c>
      <c r="H1442" s="19" t="n">
        <v>-0.0114</v>
      </c>
      <c r="I1442" s="20" t="n">
        <v>78</v>
      </c>
      <c r="J1442" s="16" t="inlineStr">
        <is>
          <t>amber</t>
        </is>
      </c>
      <c r="K1442" s="20" t="n">
        <v>6</v>
      </c>
      <c r="L1442" s="18" t="n">
        <v>60.74</v>
      </c>
      <c r="M1442" s="18" t="n">
        <v>2216.39</v>
      </c>
      <c r="N1442" s="18" t="n">
        <v>1937.95</v>
      </c>
      <c r="O1442" s="18" t="n">
        <v>1684.46</v>
      </c>
      <c r="P1442" s="18" t="n">
        <v>2316.72</v>
      </c>
      <c r="Q1442" s="18" t="n">
        <v>1425.06</v>
      </c>
      <c r="R1442" s="21">
        <f>IF(OR(G1442="",P1442=""),"",G1442/P1442-1)</f>
        <v/>
      </c>
      <c r="S1442" s="19" t="n">
        <v>0.4497</v>
      </c>
      <c r="T1442" s="22" t="n">
        <v>0.0204</v>
      </c>
      <c r="U1442" s="16" t="inlineStr">
        <is>
          <t>Yes</t>
        </is>
      </c>
      <c r="V1442" s="16" t="inlineStr">
        <is>
          <t>Yes</t>
        </is>
      </c>
      <c r="W1442" s="16" t="inlineStr">
        <is>
          <t>Yes</t>
        </is>
      </c>
      <c r="X1442" s="16" t="inlineStr">
        <is>
          <t>Yes</t>
        </is>
      </c>
      <c r="Y1442" s="20" t="n">
        <v>37</v>
      </c>
      <c r="Z1442" s="19" t="n">
        <v>0.1505</v>
      </c>
      <c r="AA1442" s="18" t="n">
        <v>58.25</v>
      </c>
      <c r="AB1442" s="16" t="inlineStr">
        <is>
          <t>Good</t>
        </is>
      </c>
      <c r="AC1442" s="16" t="inlineStr">
        <is>
          <t>No</t>
        </is>
      </c>
      <c r="AD1442" s="19" t="n">
        <v>0.1002</v>
      </c>
      <c r="AE1442" s="19" t="n">
        <v>0.1294</v>
      </c>
      <c r="AF1442" s="19" t="n">
        <v>0.3571</v>
      </c>
      <c r="AG1442" s="19" t="n">
        <v>0.1133</v>
      </c>
      <c r="AH1442" s="23" t="n">
        <v>0.01</v>
      </c>
      <c r="AI1442" s="23" t="n">
        <v>2.01</v>
      </c>
      <c r="AJ1442" s="19" t="n">
        <v>0.4372</v>
      </c>
    </row>
    <row r="1443">
      <c r="A1443" s="16" t="inlineStr">
        <is>
          <t>MANAKCOAT</t>
        </is>
      </c>
      <c r="B1443" s="16" t="inlineStr">
        <is>
          <t>Manaksia Coated Metals &amp; Industries Ltd.</t>
        </is>
      </c>
      <c r="C1443" s="16" t="inlineStr">
        <is>
          <t>Iron &amp; Steel/Interm.Products</t>
        </is>
      </c>
      <c r="D1443" s="16" t="inlineStr">
        <is>
          <t>Metals &amp; Mining</t>
        </is>
      </c>
      <c r="E1443" s="16" t="inlineStr">
        <is>
          <t>INE830Q01018</t>
        </is>
      </c>
      <c r="F1443" s="17" t="n">
        <v>1298.8</v>
      </c>
      <c r="G1443" s="18" t="n">
        <v>121.8</v>
      </c>
      <c r="H1443" s="19" t="n">
        <v>0.0095</v>
      </c>
      <c r="I1443" s="20" t="n">
        <v>39</v>
      </c>
      <c r="J1443" s="16" t="inlineStr">
        <is>
          <t>red</t>
        </is>
      </c>
      <c r="K1443" s="20" t="n">
        <v>107</v>
      </c>
      <c r="L1443" s="18" t="n">
        <v>49.92</v>
      </c>
      <c r="M1443" s="18" t="n">
        <v>121.92</v>
      </c>
      <c r="N1443" s="18" t="n">
        <v>121.02</v>
      </c>
      <c r="O1443" s="18" t="n">
        <v>118.64</v>
      </c>
      <c r="P1443" s="18" t="n">
        <v>180.24</v>
      </c>
      <c r="Q1443" s="18" t="n">
        <v>96.68000000000001</v>
      </c>
      <c r="R1443" s="21">
        <f>IF(OR(G1443="",P1443=""),"",G1443/P1443-1)</f>
        <v/>
      </c>
      <c r="S1443" s="19" t="n">
        <v>0.3371</v>
      </c>
      <c r="T1443" s="22" t="n">
        <v>-0.0257</v>
      </c>
      <c r="U1443" s="16" t="inlineStr">
        <is>
          <t>No</t>
        </is>
      </c>
      <c r="V1443" s="16" t="inlineStr">
        <is>
          <t>Yes</t>
        </is>
      </c>
      <c r="W1443" s="16" t="inlineStr">
        <is>
          <t>No</t>
        </is>
      </c>
      <c r="X1443" s="16" t="inlineStr">
        <is>
          <t>Yes</t>
        </is>
      </c>
      <c r="Y1443" s="20" t="n">
        <v>7</v>
      </c>
      <c r="Z1443" s="19" t="n">
        <v>0.0201</v>
      </c>
      <c r="AA1443" s="18" t="n">
        <v>53.16</v>
      </c>
      <c r="AB1443" s="16" t="inlineStr">
        <is>
          <t>Good</t>
        </is>
      </c>
      <c r="AC1443" s="16" t="inlineStr">
        <is>
          <t>No</t>
        </is>
      </c>
      <c r="AD1443" s="19" t="n">
        <v>0.0861</v>
      </c>
      <c r="AE1443" s="19" t="n">
        <v>0.1515</v>
      </c>
      <c r="AF1443" s="19" t="n">
        <v>0.4981</v>
      </c>
      <c r="AG1443" s="19" t="n">
        <v>0.11</v>
      </c>
      <c r="AH1443" s="23" t="n">
        <v>0.33</v>
      </c>
      <c r="AI1443" s="23" t="n">
        <v>4.45</v>
      </c>
      <c r="AJ1443" s="19" t="n">
        <v>0.1538</v>
      </c>
    </row>
    <row r="1444">
      <c r="A1444" s="16" t="inlineStr">
        <is>
          <t>GPTHEALTH</t>
        </is>
      </c>
      <c r="B1444" s="16" t="inlineStr">
        <is>
          <t>GPT Healthcare Ltd.</t>
        </is>
      </c>
      <c r="C1444" s="16" t="inlineStr">
        <is>
          <t>Healthcare Facilities</t>
        </is>
      </c>
      <c r="D1444" s="16" t="inlineStr">
        <is>
          <t>Healthcare</t>
        </is>
      </c>
      <c r="E1444" s="16" t="inlineStr">
        <is>
          <t>INE486R01017</t>
        </is>
      </c>
      <c r="F1444" s="17" t="n">
        <v>1297.86</v>
      </c>
      <c r="G1444" s="18" t="n">
        <v>158.17</v>
      </c>
      <c r="H1444" s="19" t="n">
        <v>0.0292</v>
      </c>
      <c r="I1444" s="20" t="n">
        <v>59</v>
      </c>
      <c r="J1444" s="16" t="inlineStr">
        <is>
          <t>red</t>
        </is>
      </c>
      <c r="K1444" s="20" t="n">
        <v>18</v>
      </c>
      <c r="L1444" s="18" t="n">
        <v>62.64</v>
      </c>
      <c r="M1444" s="18" t="n">
        <v>152.81</v>
      </c>
      <c r="N1444" s="18" t="n">
        <v>155.49</v>
      </c>
      <c r="O1444" s="18" t="n">
        <v>139.88</v>
      </c>
      <c r="P1444" s="18" t="n">
        <v>170.49</v>
      </c>
      <c r="Q1444" s="18" t="n">
        <v>114.28</v>
      </c>
      <c r="R1444" s="21">
        <f>IF(OR(G1444="",P1444=""),"",G1444/P1444-1)</f>
        <v/>
      </c>
      <c r="S1444" s="19" t="n">
        <v>1.4115</v>
      </c>
      <c r="T1444" s="22" t="n">
        <v>0.006</v>
      </c>
      <c r="U1444" s="16" t="inlineStr">
        <is>
          <t>Yes</t>
        </is>
      </c>
      <c r="V1444" s="16" t="inlineStr">
        <is>
          <t>Yes</t>
        </is>
      </c>
      <c r="W1444" s="16" t="inlineStr">
        <is>
          <t>Yes</t>
        </is>
      </c>
      <c r="X1444" s="16" t="inlineStr">
        <is>
          <t>Yes</t>
        </is>
      </c>
      <c r="Y1444" s="20" t="n">
        <v>61</v>
      </c>
      <c r="Z1444" s="19" t="n">
        <v>0.1116</v>
      </c>
      <c r="AA1444" s="18" t="n">
        <v>52.08</v>
      </c>
      <c r="AB1444" s="16" t="inlineStr">
        <is>
          <t>Average</t>
        </is>
      </c>
      <c r="AC1444" s="16" t="inlineStr">
        <is>
          <t>No</t>
        </is>
      </c>
      <c r="AD1444" s="19" t="n">
        <v>0.1922</v>
      </c>
      <c r="AE1444" s="19" t="n">
        <v>0.242</v>
      </c>
      <c r="AF1444" s="19" t="n">
        <v>0.0406</v>
      </c>
      <c r="AG1444" s="19" t="n">
        <v>0.09820000000000001</v>
      </c>
      <c r="AH1444" s="23" t="n">
        <v>0.34</v>
      </c>
      <c r="AI1444" s="23" t="n">
        <v>1.37</v>
      </c>
      <c r="AJ1444" s="19" t="n">
        <v>0.0071</v>
      </c>
    </row>
    <row r="1445">
      <c r="A1445" s="16" t="inlineStr">
        <is>
          <t>EXCELINDUS</t>
        </is>
      </c>
      <c r="B1445" s="16" t="inlineStr">
        <is>
          <t>Excel Industries Ltd.</t>
        </is>
      </c>
      <c r="C1445" s="16" t="inlineStr">
        <is>
          <t>Specialty Chemicals</t>
        </is>
      </c>
      <c r="D1445" s="16" t="inlineStr">
        <is>
          <t>Chemicals &amp; Petrochemicals</t>
        </is>
      </c>
      <c r="E1445" s="16" t="inlineStr">
        <is>
          <t>INE369A01029</t>
        </is>
      </c>
      <c r="F1445" s="17" t="n">
        <v>1296.54</v>
      </c>
      <c r="G1445" s="18" t="n">
        <v>1031.4</v>
      </c>
      <c r="H1445" s="19" t="n">
        <v>-0.0034</v>
      </c>
      <c r="I1445" s="20" t="n">
        <v>51</v>
      </c>
      <c r="J1445" s="16" t="inlineStr">
        <is>
          <t>red</t>
        </is>
      </c>
      <c r="K1445" s="20" t="n">
        <v>12</v>
      </c>
      <c r="L1445" s="18" t="n">
        <v>56.22</v>
      </c>
      <c r="M1445" s="18" t="n">
        <v>1033.44</v>
      </c>
      <c r="N1445" s="18" t="n">
        <v>983.45</v>
      </c>
      <c r="O1445" s="18" t="n">
        <v>944.97</v>
      </c>
      <c r="P1445" s="18" t="n">
        <v>1198.6</v>
      </c>
      <c r="Q1445" s="18" t="n">
        <v>806.4</v>
      </c>
      <c r="R1445" s="21">
        <f>IF(OR(G1445="",P1445=""),"",G1445/P1445-1)</f>
        <v/>
      </c>
      <c r="S1445" s="19" t="n">
        <v>0.09269999999999999</v>
      </c>
      <c r="T1445" s="22" t="n">
        <v>-0.0048</v>
      </c>
      <c r="U1445" s="16" t="inlineStr">
        <is>
          <t>No</t>
        </is>
      </c>
      <c r="V1445" s="16" t="inlineStr">
        <is>
          <t>Yes</t>
        </is>
      </c>
      <c r="W1445" s="16" t="inlineStr">
        <is>
          <t>No</t>
        </is>
      </c>
      <c r="X1445" s="16" t="inlineStr">
        <is>
          <t>Yes</t>
        </is>
      </c>
      <c r="Y1445" s="20" t="n">
        <v>14</v>
      </c>
      <c r="Z1445" s="19" t="n">
        <v>0.0407</v>
      </c>
      <c r="AA1445" s="18" t="n">
        <v>45.41</v>
      </c>
      <c r="AB1445" s="16" t="inlineStr">
        <is>
          <t>Average</t>
        </is>
      </c>
      <c r="AC1445" s="16" t="inlineStr">
        <is>
          <t>No</t>
        </is>
      </c>
      <c r="AD1445" s="19" t="n">
        <v>0.0367</v>
      </c>
      <c r="AE1445" s="19" t="n">
        <v>0.0491</v>
      </c>
      <c r="AF1445" s="19" t="n">
        <v>0.743</v>
      </c>
      <c r="AG1445" s="19" t="n">
        <v>0.0227</v>
      </c>
      <c r="AH1445" s="23" t="n">
        <v>0</v>
      </c>
      <c r="AI1445" s="23" t="n">
        <v>2.3</v>
      </c>
      <c r="AJ1445" s="19" t="n">
        <v>0.0793</v>
      </c>
    </row>
    <row r="1446">
      <c r="A1446" s="16" t="inlineStr">
        <is>
          <t>PRIZOR</t>
        </is>
      </c>
      <c r="B1446" s="16" t="inlineStr">
        <is>
          <t>Prizor Viztech Ltd.</t>
        </is>
      </c>
      <c r="C1446" s="16" t="inlineStr">
        <is>
          <t>Consumer Electronics</t>
        </is>
      </c>
      <c r="D1446" s="16" t="inlineStr">
        <is>
          <t>Consumer Durables</t>
        </is>
      </c>
      <c r="E1446" s="16" t="inlineStr">
        <is>
          <t>INE0V9N01017</t>
        </is>
      </c>
      <c r="F1446" s="17" t="n">
        <v>1295.98</v>
      </c>
      <c r="G1446" s="18" t="n">
        <v>1200.4</v>
      </c>
      <c r="H1446" s="19" t="n">
        <v>0.02</v>
      </c>
      <c r="I1446" s="20" t="n">
        <v>98</v>
      </c>
      <c r="J1446" s="16" t="inlineStr">
        <is>
          <t>green</t>
        </is>
      </c>
      <c r="K1446" s="20" t="n">
        <v>184</v>
      </c>
      <c r="L1446" s="18" t="n">
        <v>94.56999999999999</v>
      </c>
      <c r="M1446" s="18" t="n">
        <v>1121.27</v>
      </c>
      <c r="N1446" s="18" t="n">
        <v>904.8</v>
      </c>
      <c r="O1446" s="18" t="n">
        <v>566.26</v>
      </c>
      <c r="P1446" s="18" t="n">
        <v>1200.4</v>
      </c>
      <c r="Q1446" s="18" t="n">
        <v>229.25</v>
      </c>
      <c r="R1446" s="21">
        <f>IF(OR(G1446="",P1446=""),"",G1446/P1446-1)</f>
        <v/>
      </c>
      <c r="S1446" s="19" t="n">
        <v>0.3127</v>
      </c>
      <c r="T1446" s="22" t="n">
        <v>0.1317</v>
      </c>
      <c r="U1446" s="16" t="inlineStr">
        <is>
          <t>Yes</t>
        </is>
      </c>
      <c r="V1446" s="16" t="inlineStr">
        <is>
          <t>Yes</t>
        </is>
      </c>
      <c r="W1446" s="16" t="inlineStr">
        <is>
          <t>Yes</t>
        </is>
      </c>
      <c r="X1446" s="16" t="inlineStr">
        <is>
          <t>Yes</t>
        </is>
      </c>
      <c r="Y1446" s="20" t="n">
        <v>306</v>
      </c>
      <c r="Z1446" s="19" t="n">
        <v>0.5979</v>
      </c>
      <c r="AA1446" s="18" t="n"/>
      <c r="AB1446" s="16" t="n"/>
      <c r="AC1446" s="16" t="inlineStr">
        <is>
          <t>No</t>
        </is>
      </c>
      <c r="AD1446" s="19" t="n"/>
      <c r="AE1446" s="19" t="n"/>
      <c r="AF1446" s="19" t="n"/>
      <c r="AG1446" s="19" t="n"/>
      <c r="AH1446" s="23" t="n"/>
      <c r="AI1446" s="23" t="n"/>
      <c r="AJ1446" s="19" t="n"/>
    </row>
    <row r="1447">
      <c r="A1447" s="16" t="inlineStr">
        <is>
          <t>SOLARWORLD</t>
        </is>
      </c>
      <c r="B1447" s="16" t="inlineStr">
        <is>
          <t>Solarworld Energy Solutions Ltd.</t>
        </is>
      </c>
      <c r="C1447" s="16" t="inlineStr">
        <is>
          <t>Green &amp; Renewable Energy</t>
        </is>
      </c>
      <c r="D1447" s="16" t="inlineStr">
        <is>
          <t>Utilities</t>
        </is>
      </c>
      <c r="E1447" s="16" t="inlineStr">
        <is>
          <t>INE0TY101024</t>
        </is>
      </c>
      <c r="F1447" s="17" t="n">
        <v>1294.2</v>
      </c>
      <c r="G1447" s="18" t="n">
        <v>149.32</v>
      </c>
      <c r="H1447" s="19" t="n">
        <v>-0.0029</v>
      </c>
      <c r="I1447" s="20" t="n">
        <v>5</v>
      </c>
      <c r="J1447" s="16" t="inlineStr">
        <is>
          <t>red</t>
        </is>
      </c>
      <c r="K1447" s="20" t="n">
        <v>170</v>
      </c>
      <c r="L1447" s="18" t="n">
        <v>42.52</v>
      </c>
      <c r="M1447" s="18" t="n">
        <v>147.45</v>
      </c>
      <c r="N1447" s="18" t="n">
        <v>178.38</v>
      </c>
      <c r="O1447" s="18" t="n">
        <v>210.03</v>
      </c>
      <c r="P1447" s="18" t="n">
        <v>338.4</v>
      </c>
      <c r="Q1447" s="18" t="n">
        <v>142.55</v>
      </c>
      <c r="R1447" s="21">
        <f>IF(OR(G1447="",P1447=""),"",G1447/P1447-1)</f>
        <v/>
      </c>
      <c r="S1447" s="19" t="n">
        <v>0.6106</v>
      </c>
      <c r="T1447" s="22" t="n">
        <v>-0.0684</v>
      </c>
      <c r="U1447" s="16" t="inlineStr">
        <is>
          <t>No</t>
        </is>
      </c>
      <c r="V1447" s="16" t="inlineStr">
        <is>
          <t>No</t>
        </is>
      </c>
      <c r="W1447" s="16" t="inlineStr">
        <is>
          <t>Yes</t>
        </is>
      </c>
      <c r="X1447" s="16" t="inlineStr">
        <is>
          <t>No</t>
        </is>
      </c>
      <c r="Y1447" s="20" t="n">
        <v>34</v>
      </c>
      <c r="Z1447" s="19" t="n">
        <v>-0.1507</v>
      </c>
      <c r="AA1447" s="18" t="n">
        <v>81.36</v>
      </c>
      <c r="AB1447" s="16" t="inlineStr">
        <is>
          <t>High</t>
        </is>
      </c>
      <c r="AC1447" s="16" t="inlineStr">
        <is>
          <t>No</t>
        </is>
      </c>
      <c r="AD1447" s="19" t="n">
        <v>0.3646</v>
      </c>
      <c r="AE1447" s="19" t="n">
        <v>0.3281</v>
      </c>
      <c r="AF1447" s="19" t="n">
        <v>1.2196</v>
      </c>
      <c r="AG1447" s="19" t="n">
        <v>0.9227</v>
      </c>
      <c r="AH1447" s="23" t="n">
        <v>0.3</v>
      </c>
      <c r="AI1447" s="23" t="n">
        <v>7.35</v>
      </c>
      <c r="AJ1447" s="19" t="n">
        <v>0.2271</v>
      </c>
    </row>
    <row r="1448">
      <c r="A1448" s="16" t="inlineStr">
        <is>
          <t>PASHUPATI</t>
        </is>
      </c>
      <c r="B1448" s="16" t="inlineStr">
        <is>
          <t>Pashupati Cotspin Ltd.</t>
        </is>
      </c>
      <c r="C1448" s="16" t="inlineStr">
        <is>
          <t>Textiles</t>
        </is>
      </c>
      <c r="D1448" s="16" t="inlineStr">
        <is>
          <t>Textiles Apparels &amp; Accessories</t>
        </is>
      </c>
      <c r="E1448" s="16" t="inlineStr">
        <is>
          <t>INE124Y01028</t>
        </is>
      </c>
      <c r="F1448" s="17" t="n">
        <v>1293.34</v>
      </c>
      <c r="G1448" s="18" t="n">
        <v>81.94</v>
      </c>
      <c r="H1448" s="19" t="n">
        <v>-0.014</v>
      </c>
      <c r="I1448" s="20" t="n">
        <v>34</v>
      </c>
      <c r="J1448" s="16" t="inlineStr">
        <is>
          <t>red</t>
        </is>
      </c>
      <c r="K1448" s="20" t="n">
        <v>28</v>
      </c>
      <c r="L1448" s="18" t="n">
        <v>32.3</v>
      </c>
      <c r="M1448" s="18" t="n">
        <v>83.37</v>
      </c>
      <c r="N1448" s="18" t="n">
        <v>85.90000000000001</v>
      </c>
      <c r="O1448" s="18" t="n">
        <v>87.98999999999999</v>
      </c>
      <c r="P1448" s="18" t="n">
        <v>101.45</v>
      </c>
      <c r="Q1448" s="18" t="n">
        <v>67.17</v>
      </c>
      <c r="R1448" s="21">
        <f>IF(OR(G1448="",P1448=""),"",G1448/P1448-1)</f>
        <v/>
      </c>
      <c r="S1448" s="19" t="n">
        <v>0.3186</v>
      </c>
      <c r="T1448" s="22" t="n">
        <v>0.004500000000000001</v>
      </c>
      <c r="U1448" s="16" t="inlineStr">
        <is>
          <t>Yes</t>
        </is>
      </c>
      <c r="V1448" s="16" t="inlineStr">
        <is>
          <t>No</t>
        </is>
      </c>
      <c r="W1448" s="16" t="inlineStr">
        <is>
          <t>No</t>
        </is>
      </c>
      <c r="X1448" s="16" t="inlineStr">
        <is>
          <t>No</t>
        </is>
      </c>
      <c r="Y1448" s="20" t="n">
        <v>20</v>
      </c>
      <c r="Z1448" s="19" t="n">
        <v>-0.0238</v>
      </c>
      <c r="AA1448" s="18" t="n">
        <v>38.51</v>
      </c>
      <c r="AB1448" s="16" t="inlineStr">
        <is>
          <t>Weak</t>
        </is>
      </c>
      <c r="AC1448" s="16" t="inlineStr">
        <is>
          <t>No</t>
        </is>
      </c>
      <c r="AD1448" s="19" t="n">
        <v>0.07490000000000001</v>
      </c>
      <c r="AE1448" s="19" t="n">
        <v>0.106</v>
      </c>
      <c r="AF1448" s="19" t="n">
        <v>-0.2244</v>
      </c>
      <c r="AG1448" s="19" t="n">
        <v>0.2768</v>
      </c>
      <c r="AH1448" s="23" t="n">
        <v>0.6</v>
      </c>
      <c r="AI1448" s="23" t="n">
        <v>5.67</v>
      </c>
      <c r="AJ1448" s="19" t="n">
        <v>0.0012</v>
      </c>
    </row>
    <row r="1449">
      <c r="A1449" s="16" t="inlineStr">
        <is>
          <t>ATULAUTO</t>
        </is>
      </c>
      <c r="B1449" s="16" t="inlineStr">
        <is>
          <t>Atul Auto Ltd.</t>
        </is>
      </c>
      <c r="C1449" s="16" t="inlineStr">
        <is>
          <t>2/3 Wheelers</t>
        </is>
      </c>
      <c r="D1449" s="16" t="inlineStr">
        <is>
          <t>Automobiles &amp; Auto Components</t>
        </is>
      </c>
      <c r="E1449" s="16" t="inlineStr">
        <is>
          <t>INE951D01028</t>
        </is>
      </c>
      <c r="F1449" s="17" t="n">
        <v>1290.85</v>
      </c>
      <c r="G1449" s="18" t="n">
        <v>465.15</v>
      </c>
      <c r="H1449" s="19" t="n">
        <v>0.0083</v>
      </c>
      <c r="I1449" s="20" t="n">
        <v>45</v>
      </c>
      <c r="J1449" s="16" t="inlineStr">
        <is>
          <t>red</t>
        </is>
      </c>
      <c r="K1449" s="20" t="n">
        <v>20</v>
      </c>
      <c r="L1449" s="18" t="n">
        <v>22.87</v>
      </c>
      <c r="M1449" s="18" t="n">
        <v>475.95</v>
      </c>
      <c r="N1449" s="18" t="n">
        <v>495.26</v>
      </c>
      <c r="O1449" s="18" t="n">
        <v>465.01</v>
      </c>
      <c r="P1449" s="18" t="n">
        <v>580.95</v>
      </c>
      <c r="Q1449" s="18" t="n">
        <v>382.2</v>
      </c>
      <c r="R1449" s="21">
        <f>IF(OR(G1449="",P1449=""),"",G1449/P1449-1)</f>
        <v/>
      </c>
      <c r="S1449" s="19" t="n">
        <v>0.2568</v>
      </c>
      <c r="T1449" s="22" t="n">
        <v>0.0024</v>
      </c>
      <c r="U1449" s="16" t="inlineStr">
        <is>
          <t>Yes</t>
        </is>
      </c>
      <c r="V1449" s="16" t="inlineStr">
        <is>
          <t>No</t>
        </is>
      </c>
      <c r="W1449" s="16" t="inlineStr">
        <is>
          <t>No</t>
        </is>
      </c>
      <c r="X1449" s="16" t="inlineStr">
        <is>
          <t>Yes</t>
        </is>
      </c>
      <c r="Y1449" s="20" t="n">
        <v>71</v>
      </c>
      <c r="Z1449" s="19" t="n">
        <v>0.06509999999999999</v>
      </c>
      <c r="AA1449" s="18" t="n">
        <v>43.31</v>
      </c>
      <c r="AB1449" s="16" t="inlineStr">
        <is>
          <t>Average</t>
        </is>
      </c>
      <c r="AC1449" s="16" t="inlineStr">
        <is>
          <t>No</t>
        </is>
      </c>
      <c r="AD1449" s="19" t="n">
        <v>0.0526</v>
      </c>
      <c r="AE1449" s="19" t="n">
        <v>0.0728</v>
      </c>
      <c r="AF1449" s="19" t="n">
        <v>0.3869</v>
      </c>
      <c r="AG1449" s="19" t="n">
        <v>0.1792</v>
      </c>
      <c r="AH1449" s="23" t="n">
        <v>0.3</v>
      </c>
      <c r="AI1449" s="23" t="n">
        <v>3.41</v>
      </c>
      <c r="AJ1449" s="19" t="n">
        <v>0.0114</v>
      </c>
    </row>
    <row r="1450">
      <c r="A1450" s="16" t="inlineStr">
        <is>
          <t>ANDHRAPAP</t>
        </is>
      </c>
      <c r="B1450" s="16" t="inlineStr">
        <is>
          <t>Andhra Paper Ltd.</t>
        </is>
      </c>
      <c r="C1450" s="16" t="inlineStr">
        <is>
          <t>Paper &amp; Paper Products</t>
        </is>
      </c>
      <c r="D1450" s="16" t="inlineStr">
        <is>
          <t>Commercial Services &amp; Supplies</t>
        </is>
      </c>
      <c r="E1450" s="16" t="inlineStr">
        <is>
          <t>INE435A01051</t>
        </is>
      </c>
      <c r="F1450" s="17" t="n">
        <v>1281.59</v>
      </c>
      <c r="G1450" s="18" t="n">
        <v>64.45</v>
      </c>
      <c r="H1450" s="19" t="n">
        <v>0.0183</v>
      </c>
      <c r="I1450" s="20" t="n">
        <v>35</v>
      </c>
      <c r="J1450" s="16" t="inlineStr">
        <is>
          <t>red</t>
        </is>
      </c>
      <c r="K1450" s="20" t="n">
        <v>501</v>
      </c>
      <c r="L1450" s="18" t="n">
        <v>68.03</v>
      </c>
      <c r="M1450" s="18" t="n">
        <v>61.46</v>
      </c>
      <c r="N1450" s="18" t="n">
        <v>61.05</v>
      </c>
      <c r="O1450" s="18" t="n">
        <v>63.74</v>
      </c>
      <c r="P1450" s="18" t="n">
        <v>84.62</v>
      </c>
      <c r="Q1450" s="18" t="n">
        <v>57.96</v>
      </c>
      <c r="R1450" s="21">
        <f>IF(OR(G1450="",P1450=""),"",G1450/P1450-1)</f>
        <v/>
      </c>
      <c r="S1450" s="19" t="n">
        <v>1.4777</v>
      </c>
      <c r="T1450" s="22" t="n">
        <v>-0.0214</v>
      </c>
      <c r="U1450" s="16" t="inlineStr">
        <is>
          <t>No</t>
        </is>
      </c>
      <c r="V1450" s="16" t="inlineStr">
        <is>
          <t>Yes</t>
        </is>
      </c>
      <c r="W1450" s="16" t="inlineStr">
        <is>
          <t>Yes</t>
        </is>
      </c>
      <c r="X1450" s="16" t="inlineStr">
        <is>
          <t>No</t>
        </is>
      </c>
      <c r="Y1450" s="20" t="n">
        <v>195</v>
      </c>
      <c r="Z1450" s="19" t="n">
        <v>-0.0421</v>
      </c>
      <c r="AA1450" s="18" t="n">
        <v>31.74</v>
      </c>
      <c r="AB1450" s="16" t="inlineStr">
        <is>
          <t>Poor</t>
        </is>
      </c>
      <c r="AC1450" s="16" t="inlineStr">
        <is>
          <t>No</t>
        </is>
      </c>
      <c r="AD1450" s="19" t="n">
        <v>0.07829999999999999</v>
      </c>
      <c r="AE1450" s="19" t="n">
        <v>0.1029</v>
      </c>
      <c r="AF1450" s="19" t="n">
        <v>-0.696</v>
      </c>
      <c r="AG1450" s="19" t="n">
        <v>-0.0594</v>
      </c>
      <c r="AH1450" s="23" t="n">
        <v>0.12</v>
      </c>
      <c r="AI1450" s="23" t="n">
        <v>1.3</v>
      </c>
      <c r="AJ1450" s="19" t="n">
        <v>0.2351</v>
      </c>
    </row>
    <row r="1451">
      <c r="A1451" s="16" t="inlineStr">
        <is>
          <t>ONIDA</t>
        </is>
      </c>
      <c r="B1451" s="16" t="inlineStr">
        <is>
          <t>Onida Electronics Ltd.</t>
        </is>
      </c>
      <c r="C1451" s="16" t="inlineStr">
        <is>
          <t>Consumer Electronics</t>
        </is>
      </c>
      <c r="D1451" s="16" t="inlineStr">
        <is>
          <t>Consumer Durables</t>
        </is>
      </c>
      <c r="E1451" s="16" t="inlineStr">
        <is>
          <t>INE831A01028</t>
        </is>
      </c>
      <c r="F1451" s="17" t="n">
        <v>1280.04</v>
      </c>
      <c r="G1451" s="18" t="n">
        <v>34.64</v>
      </c>
      <c r="H1451" s="19" t="n">
        <v>0.008399999999999999</v>
      </c>
      <c r="I1451" s="20" t="n">
        <v>62</v>
      </c>
      <c r="J1451" s="16" t="inlineStr">
        <is>
          <t>amber</t>
        </is>
      </c>
      <c r="K1451" s="20" t="n">
        <v>19</v>
      </c>
      <c r="L1451" s="18" t="n">
        <v>41.71</v>
      </c>
      <c r="M1451" s="18" t="n">
        <v>35.7</v>
      </c>
      <c r="N1451" s="18" t="n">
        <v>38.51</v>
      </c>
      <c r="O1451" s="18" t="n">
        <v>33.37</v>
      </c>
      <c r="P1451" s="18" t="n">
        <v>46.12</v>
      </c>
      <c r="Q1451" s="18" t="n">
        <v>21.8</v>
      </c>
      <c r="R1451" s="21">
        <f>IF(OR(G1451="",P1451=""),"",G1451/P1451-1)</f>
        <v/>
      </c>
      <c r="S1451" s="19" t="n">
        <v>0.6970000000000001</v>
      </c>
      <c r="T1451" s="22" t="n">
        <v>0.0284</v>
      </c>
      <c r="U1451" s="16" t="inlineStr">
        <is>
          <t>Yes</t>
        </is>
      </c>
      <c r="V1451" s="16" t="inlineStr">
        <is>
          <t>No</t>
        </is>
      </c>
      <c r="W1451" s="16" t="inlineStr">
        <is>
          <t>No</t>
        </is>
      </c>
      <c r="X1451" s="16" t="inlineStr">
        <is>
          <t>Yes</t>
        </is>
      </c>
      <c r="Y1451" s="20" t="n">
        <v>259</v>
      </c>
      <c r="Z1451" s="19" t="n">
        <v>0.154</v>
      </c>
      <c r="AA1451" s="18" t="n">
        <v>19.38</v>
      </c>
      <c r="AB1451" s="16" t="inlineStr">
        <is>
          <t>Poor</t>
        </is>
      </c>
      <c r="AC1451" s="16" t="inlineStr">
        <is>
          <t>No</t>
        </is>
      </c>
      <c r="AD1451" s="19" t="n">
        <v>-0.2723</v>
      </c>
      <c r="AE1451" s="19" t="n">
        <v>-0.1132</v>
      </c>
      <c r="AF1451" s="19" t="n">
        <v>-0.68</v>
      </c>
      <c r="AG1451" s="19" t="n">
        <v>-0.1568</v>
      </c>
      <c r="AH1451" s="23" t="n">
        <v>0.33</v>
      </c>
      <c r="AI1451" s="23" t="n">
        <v>9.130000000000001</v>
      </c>
      <c r="AJ1451" s="19" t="n">
        <v>0.0066</v>
      </c>
    </row>
    <row r="1452">
      <c r="A1452" s="16" t="inlineStr">
        <is>
          <t>PPEL</t>
        </is>
      </c>
      <c r="B1452" s="16" t="inlineStr">
        <is>
          <t>Poojaa Precision Engg. Ltd.</t>
        </is>
      </c>
      <c r="C1452" s="16" t="inlineStr">
        <is>
          <t>Auto Parts &amp; Equipment</t>
        </is>
      </c>
      <c r="D1452" s="16" t="inlineStr">
        <is>
          <t>Automobiles &amp; Auto Components</t>
        </is>
      </c>
      <c r="E1452" s="16" t="inlineStr">
        <is>
          <t>INE288301026</t>
        </is>
      </c>
      <c r="F1452" s="17" t="n">
        <v>1279.07</v>
      </c>
      <c r="G1452" s="18" t="n">
        <v>641.3</v>
      </c>
      <c r="H1452" s="19" t="n">
        <v>0.0373</v>
      </c>
      <c r="I1452" s="20" t="n"/>
      <c r="J1452" s="16" t="n"/>
      <c r="K1452" s="20" t="n"/>
      <c r="L1452" s="18" t="n">
        <v>57.09</v>
      </c>
      <c r="M1452" s="18" t="n">
        <v>637.99</v>
      </c>
      <c r="N1452" s="18" t="n"/>
      <c r="O1452" s="18" t="n"/>
      <c r="P1452" s="18" t="n">
        <v>687.55</v>
      </c>
      <c r="Q1452" s="18" t="n">
        <v>453.15</v>
      </c>
      <c r="R1452" s="21">
        <f>IF(OR(G1452="",P1452=""),"",G1452/P1452-1)</f>
        <v/>
      </c>
      <c r="S1452" s="19" t="n">
        <v>0.3518</v>
      </c>
      <c r="T1452" s="22" t="n"/>
      <c r="U1452" s="16" t="n"/>
      <c r="V1452" s="16" t="n"/>
      <c r="W1452" s="16" t="inlineStr">
        <is>
          <t>Yes</t>
        </is>
      </c>
      <c r="X1452" s="16" t="n"/>
      <c r="Y1452" s="20" t="n"/>
      <c r="Z1452" s="19" t="n"/>
      <c r="AA1452" s="18" t="n"/>
      <c r="AB1452" s="16" t="n"/>
      <c r="AC1452" s="16" t="inlineStr">
        <is>
          <t>No</t>
        </is>
      </c>
      <c r="AD1452" s="19" t="n"/>
      <c r="AE1452" s="19" t="n"/>
      <c r="AF1452" s="19" t="n"/>
      <c r="AG1452" s="19" t="n"/>
      <c r="AH1452" s="23" t="n"/>
      <c r="AI1452" s="23" t="n"/>
      <c r="AJ1452" s="19" t="n"/>
    </row>
    <row r="1453">
      <c r="A1453" s="16" t="inlineStr">
        <is>
          <t>CAPITALSFB</t>
        </is>
      </c>
      <c r="B1453" s="16" t="inlineStr">
        <is>
          <t>Capital Small Finance Bank Ltd.</t>
        </is>
      </c>
      <c r="C1453" s="16" t="inlineStr">
        <is>
          <t>Microfinance Institutions</t>
        </is>
      </c>
      <c r="D1453" s="16" t="inlineStr">
        <is>
          <t>Banking and Finance</t>
        </is>
      </c>
      <c r="E1453" s="16" t="inlineStr">
        <is>
          <t>INE646H01017</t>
        </is>
      </c>
      <c r="F1453" s="17" t="n">
        <v>1277.34</v>
      </c>
      <c r="G1453" s="18" t="n">
        <v>280.95</v>
      </c>
      <c r="H1453" s="19" t="n">
        <v>-0.0032</v>
      </c>
      <c r="I1453" s="20" t="n">
        <v>47</v>
      </c>
      <c r="J1453" s="16" t="inlineStr">
        <is>
          <t>red</t>
        </is>
      </c>
      <c r="K1453" s="20" t="n">
        <v>28</v>
      </c>
      <c r="L1453" s="18" t="n">
        <v>48.92</v>
      </c>
      <c r="M1453" s="18" t="n">
        <v>282.73</v>
      </c>
      <c r="N1453" s="18" t="n">
        <v>290.77</v>
      </c>
      <c r="O1453" s="18" t="n">
        <v>268.34</v>
      </c>
      <c r="P1453" s="18" t="n">
        <v>305.25</v>
      </c>
      <c r="Q1453" s="18" t="n">
        <v>215.23</v>
      </c>
      <c r="R1453" s="21">
        <f>IF(OR(G1453="",P1453=""),"",G1453/P1453-1)</f>
        <v/>
      </c>
      <c r="S1453" s="19" t="n">
        <v>0.2726</v>
      </c>
      <c r="T1453" s="22" t="n">
        <v>0.0053</v>
      </c>
      <c r="U1453" s="16" t="inlineStr">
        <is>
          <t>Yes</t>
        </is>
      </c>
      <c r="V1453" s="16" t="inlineStr">
        <is>
          <t>No</t>
        </is>
      </c>
      <c r="W1453" s="16" t="inlineStr">
        <is>
          <t>No</t>
        </is>
      </c>
      <c r="X1453" s="16" t="inlineStr">
        <is>
          <t>Yes</t>
        </is>
      </c>
      <c r="Y1453" s="20" t="n">
        <v>61</v>
      </c>
      <c r="Z1453" s="19" t="n">
        <v>0.08359999999999999</v>
      </c>
      <c r="AA1453" s="18" t="n">
        <v>46.12</v>
      </c>
      <c r="AB1453" s="16" t="inlineStr">
        <is>
          <t>Average</t>
        </is>
      </c>
      <c r="AC1453" s="16" t="inlineStr">
        <is>
          <t>Yes</t>
        </is>
      </c>
      <c r="AD1453" s="19" t="n">
        <v>0.096</v>
      </c>
      <c r="AE1453" s="19" t="n"/>
      <c r="AF1453" s="19" t="n">
        <v>0.1631</v>
      </c>
      <c r="AG1453" s="19" t="n">
        <v>0.1471</v>
      </c>
      <c r="AH1453" s="23" t="n">
        <v>0.34</v>
      </c>
      <c r="AI1453" s="23" t="n">
        <v>5.78</v>
      </c>
      <c r="AJ1453" s="19" t="n">
        <v>0</v>
      </c>
    </row>
    <row r="1454">
      <c r="A1454" s="16" t="inlineStr">
        <is>
          <t>ULTRAMAR</t>
        </is>
      </c>
      <c r="B1454" s="16" t="inlineStr">
        <is>
          <t>Ultramarine &amp; Pigments Ltd.</t>
        </is>
      </c>
      <c r="C1454" s="16" t="inlineStr">
        <is>
          <t>Dyes &amp; Pigments</t>
        </is>
      </c>
      <c r="D1454" s="16" t="inlineStr">
        <is>
          <t>Chemicals &amp; Petrochemicals</t>
        </is>
      </c>
      <c r="E1454" s="16" t="inlineStr">
        <is>
          <t>INE405A01021</t>
        </is>
      </c>
      <c r="F1454" s="17" t="n">
        <v>1275.16</v>
      </c>
      <c r="G1454" s="18" t="n">
        <v>436.7</v>
      </c>
      <c r="H1454" s="19" t="n">
        <v>0.004099999999999999</v>
      </c>
      <c r="I1454" s="20" t="n">
        <v>46</v>
      </c>
      <c r="J1454" s="16" t="inlineStr">
        <is>
          <t>red</t>
        </is>
      </c>
      <c r="K1454" s="20" t="n">
        <v>120</v>
      </c>
      <c r="L1454" s="18" t="n">
        <v>64.90000000000001</v>
      </c>
      <c r="M1454" s="18" t="n">
        <v>431.02</v>
      </c>
      <c r="N1454" s="18" t="n">
        <v>394.77</v>
      </c>
      <c r="O1454" s="18" t="n">
        <v>404.44</v>
      </c>
      <c r="P1454" s="18" t="n">
        <v>482.74</v>
      </c>
      <c r="Q1454" s="18" t="n">
        <v>360.38</v>
      </c>
      <c r="R1454" s="21">
        <f>IF(OR(G1454="",P1454=""),"",G1454/P1454-1)</f>
        <v/>
      </c>
      <c r="S1454" s="19" t="n">
        <v>0.3238</v>
      </c>
      <c r="T1454" s="22" t="n">
        <v>-0.0074</v>
      </c>
      <c r="U1454" s="16" t="inlineStr">
        <is>
          <t>No</t>
        </is>
      </c>
      <c r="V1454" s="16" t="inlineStr">
        <is>
          <t>Yes</t>
        </is>
      </c>
      <c r="W1454" s="16" t="inlineStr">
        <is>
          <t>Yes</t>
        </is>
      </c>
      <c r="X1454" s="16" t="inlineStr">
        <is>
          <t>No</t>
        </is>
      </c>
      <c r="Y1454" s="20" t="n">
        <v>227</v>
      </c>
      <c r="Z1454" s="19" t="n">
        <v>-0.0239</v>
      </c>
      <c r="AA1454" s="18" t="n"/>
      <c r="AB1454" s="16" t="n"/>
      <c r="AC1454" s="16" t="inlineStr">
        <is>
          <t>No</t>
        </is>
      </c>
      <c r="AD1454" s="19" t="n"/>
      <c r="AE1454" s="19" t="n"/>
      <c r="AF1454" s="19" t="n"/>
      <c r="AG1454" s="19" t="n"/>
      <c r="AH1454" s="23" t="n"/>
      <c r="AI1454" s="23" t="n"/>
      <c r="AJ1454" s="19" t="n"/>
    </row>
    <row r="1455">
      <c r="A1455" s="16" t="inlineStr">
        <is>
          <t>META</t>
        </is>
      </c>
      <c r="B1455" s="16" t="inlineStr">
        <is>
          <t>String Metaverse Ltd.</t>
        </is>
      </c>
      <c r="C1455" s="16" t="inlineStr">
        <is>
          <t>Internet Software &amp; Services</t>
        </is>
      </c>
      <c r="D1455" s="16" t="inlineStr">
        <is>
          <t>Software &amp; Services</t>
        </is>
      </c>
      <c r="E1455" s="16" t="inlineStr">
        <is>
          <t>INE958L01034</t>
        </is>
      </c>
      <c r="F1455" s="17" t="n">
        <v>1275.06</v>
      </c>
      <c r="G1455" s="18" t="n">
        <v>8.960000000000001</v>
      </c>
      <c r="H1455" s="19" t="n">
        <v>-0.0407</v>
      </c>
      <c r="I1455" s="20" t="n">
        <v>4</v>
      </c>
      <c r="J1455" s="16" t="inlineStr">
        <is>
          <t>red</t>
        </is>
      </c>
      <c r="K1455" s="20" t="n">
        <v>124</v>
      </c>
      <c r="L1455" s="18" t="n">
        <v>60.92</v>
      </c>
      <c r="M1455" s="18" t="n">
        <v>8.26</v>
      </c>
      <c r="N1455" s="18" t="n">
        <v>7.04</v>
      </c>
      <c r="O1455" s="18" t="n">
        <v>10.77</v>
      </c>
      <c r="P1455" s="18" t="n">
        <v>26.43</v>
      </c>
      <c r="Q1455" s="18" t="n">
        <v>5.15</v>
      </c>
      <c r="R1455" s="21">
        <f>IF(OR(G1455="",P1455=""),"",G1455/P1455-1)</f>
        <v/>
      </c>
      <c r="S1455" s="19" t="n">
        <v>1.8062</v>
      </c>
      <c r="T1455" s="22" t="n">
        <v>-0.129</v>
      </c>
      <c r="U1455" s="16" t="inlineStr">
        <is>
          <t>No</t>
        </is>
      </c>
      <c r="V1455" s="16" t="inlineStr">
        <is>
          <t>Yes</t>
        </is>
      </c>
      <c r="W1455" s="16" t="inlineStr">
        <is>
          <t>Yes</t>
        </is>
      </c>
      <c r="X1455" s="16" t="inlineStr">
        <is>
          <t>No</t>
        </is>
      </c>
      <c r="Y1455" s="20" t="n">
        <v>152</v>
      </c>
      <c r="Z1455" s="19" t="n">
        <v>-0.346</v>
      </c>
      <c r="AA1455" s="18" t="n"/>
      <c r="AB1455" s="16" t="n"/>
      <c r="AC1455" s="16" t="inlineStr">
        <is>
          <t>No</t>
        </is>
      </c>
      <c r="AD1455" s="19" t="n"/>
      <c r="AE1455" s="19" t="n"/>
      <c r="AF1455" s="19" t="n"/>
      <c r="AG1455" s="19" t="n"/>
      <c r="AH1455" s="23" t="n"/>
      <c r="AI1455" s="23" t="n"/>
      <c r="AJ1455" s="19" t="n"/>
    </row>
    <row r="1456">
      <c r="A1456" s="16" t="inlineStr">
        <is>
          <t>INVPRECQ</t>
        </is>
      </c>
      <c r="B1456" s="16" t="inlineStr">
        <is>
          <t>Investment &amp; Precision Castings Ltd.</t>
        </is>
      </c>
      <c r="C1456" s="16" t="inlineStr">
        <is>
          <t>Castings &amp; Forgings</t>
        </is>
      </c>
      <c r="D1456" s="16" t="inlineStr">
        <is>
          <t>General Industrials</t>
        </is>
      </c>
      <c r="E1456" s="16" t="inlineStr">
        <is>
          <t>INE155E01016</t>
        </is>
      </c>
      <c r="F1456" s="17" t="n">
        <v>1275</v>
      </c>
      <c r="G1456" s="18" t="n">
        <v>1275</v>
      </c>
      <c r="H1456" s="19" t="n">
        <v>-0.0116</v>
      </c>
      <c r="I1456" s="20" t="n">
        <v>97</v>
      </c>
      <c r="J1456" s="16" t="inlineStr">
        <is>
          <t>green</t>
        </is>
      </c>
      <c r="K1456" s="20" t="n">
        <v>56</v>
      </c>
      <c r="L1456" s="18" t="n">
        <v>64.81</v>
      </c>
      <c r="M1456" s="18" t="n">
        <v>1286.19</v>
      </c>
      <c r="N1456" s="18" t="n">
        <v>1055.63</v>
      </c>
      <c r="O1456" s="18" t="n">
        <v>680.64</v>
      </c>
      <c r="P1456" s="18" t="n">
        <v>1346.8</v>
      </c>
      <c r="Q1456" s="18" t="n">
        <v>403.95</v>
      </c>
      <c r="R1456" s="21">
        <f>IF(OR(G1456="",P1456=""),"",G1456/P1456-1)</f>
        <v/>
      </c>
      <c r="S1456" s="19" t="n">
        <v>1.6684</v>
      </c>
      <c r="T1456" s="22" t="n">
        <v>0.1232</v>
      </c>
      <c r="U1456" s="16" t="inlineStr">
        <is>
          <t>Yes</t>
        </is>
      </c>
      <c r="V1456" s="16" t="inlineStr">
        <is>
          <t>Yes</t>
        </is>
      </c>
      <c r="W1456" s="16" t="inlineStr">
        <is>
          <t>No</t>
        </is>
      </c>
      <c r="X1456" s="16" t="inlineStr">
        <is>
          <t>Yes</t>
        </is>
      </c>
      <c r="Y1456" s="20" t="n">
        <v>311</v>
      </c>
      <c r="Z1456" s="19" t="n">
        <v>0.5509000000000001</v>
      </c>
      <c r="AA1456" s="18" t="n"/>
      <c r="AB1456" s="16" t="n"/>
      <c r="AC1456" s="16" t="inlineStr">
        <is>
          <t>No</t>
        </is>
      </c>
      <c r="AD1456" s="19" t="n"/>
      <c r="AE1456" s="19" t="n"/>
      <c r="AF1456" s="19" t="n"/>
      <c r="AG1456" s="19" t="n"/>
      <c r="AH1456" s="23" t="n"/>
      <c r="AI1456" s="23" t="n"/>
      <c r="AJ1456" s="19" t="n"/>
    </row>
    <row r="1457">
      <c r="A1457" s="16" t="inlineStr">
        <is>
          <t>SAFEENTP</t>
        </is>
      </c>
      <c r="B1457" s="16" t="inlineStr">
        <is>
          <t>Safe Enterprises Retail Fixtures Ltd.</t>
        </is>
      </c>
      <c r="C1457" s="16" t="inlineStr">
        <is>
          <t>Misc. Commercial Services</t>
        </is>
      </c>
      <c r="D1457" s="16" t="inlineStr">
        <is>
          <t>Commercial Services &amp; Supplies</t>
        </is>
      </c>
      <c r="E1457" s="16" t="inlineStr">
        <is>
          <t>INE17D601016</t>
        </is>
      </c>
      <c r="F1457" s="17" t="n">
        <v>1272.3</v>
      </c>
      <c r="G1457" s="18" t="n"/>
      <c r="H1457" s="19" t="n"/>
      <c r="I1457" s="20" t="n"/>
      <c r="J1457" s="16" t="n"/>
      <c r="K1457" s="20" t="n"/>
      <c r="L1457" s="18" t="n"/>
      <c r="M1457" s="18" t="n"/>
      <c r="N1457" s="18" t="n"/>
      <c r="O1457" s="18" t="n"/>
      <c r="P1457" s="18" t="n"/>
      <c r="Q1457" s="18" t="n"/>
      <c r="R1457" s="21">
        <f>IF(OR(G1457="",P1457=""),"",G1457/P1457-1)</f>
        <v/>
      </c>
      <c r="S1457" s="19" t="n"/>
      <c r="T1457" s="22" t="n"/>
      <c r="U1457" s="16" t="n"/>
      <c r="V1457" s="16" t="n"/>
      <c r="W1457" s="16" t="n"/>
      <c r="X1457" s="16" t="n"/>
      <c r="Y1457" s="20" t="n"/>
      <c r="Z1457" s="19" t="n"/>
      <c r="AA1457" s="18" t="n"/>
      <c r="AB1457" s="16" t="n"/>
      <c r="AC1457" s="16" t="inlineStr">
        <is>
          <t>No</t>
        </is>
      </c>
      <c r="AD1457" s="19" t="n"/>
      <c r="AE1457" s="19" t="n"/>
      <c r="AF1457" s="19" t="n"/>
      <c r="AG1457" s="19" t="n"/>
      <c r="AH1457" s="23" t="n"/>
      <c r="AI1457" s="23" t="n"/>
      <c r="AJ1457" s="19" t="n"/>
    </row>
    <row r="1458">
      <c r="A1458" s="16" t="inlineStr">
        <is>
          <t>PLATIND</t>
        </is>
      </c>
      <c r="B1458" s="16" t="inlineStr">
        <is>
          <t>Platinum Industries Ltd.</t>
        </is>
      </c>
      <c r="C1458" s="16" t="inlineStr">
        <is>
          <t>Specialty Chemicals</t>
        </is>
      </c>
      <c r="D1458" s="16" t="inlineStr">
        <is>
          <t>Chemicals &amp; Petrochemicals</t>
        </is>
      </c>
      <c r="E1458" s="16" t="inlineStr">
        <is>
          <t>INE0PT501018</t>
        </is>
      </c>
      <c r="F1458" s="17" t="n">
        <v>1271.73</v>
      </c>
      <c r="G1458" s="18" t="n">
        <v>231.54</v>
      </c>
      <c r="H1458" s="19" t="n">
        <v>-0.0124</v>
      </c>
      <c r="I1458" s="20" t="n">
        <v>40</v>
      </c>
      <c r="J1458" s="16" t="inlineStr">
        <is>
          <t>red</t>
        </is>
      </c>
      <c r="K1458" s="20" t="n">
        <v>348</v>
      </c>
      <c r="L1458" s="18" t="n">
        <v>63.61</v>
      </c>
      <c r="M1458" s="18" t="n">
        <v>229.37</v>
      </c>
      <c r="N1458" s="18" t="n">
        <v>225.9</v>
      </c>
      <c r="O1458" s="18" t="n">
        <v>229.86</v>
      </c>
      <c r="P1458" s="18" t="n">
        <v>325.1</v>
      </c>
      <c r="Q1458" s="18" t="n">
        <v>185.26</v>
      </c>
      <c r="R1458" s="21">
        <f>IF(OR(G1458="",P1458=""),"",G1458/P1458-1)</f>
        <v/>
      </c>
      <c r="S1458" s="19" t="n">
        <v>1.1539</v>
      </c>
      <c r="T1458" s="22" t="n">
        <v>-0.0215</v>
      </c>
      <c r="U1458" s="16" t="inlineStr">
        <is>
          <t>No</t>
        </is>
      </c>
      <c r="V1458" s="16" t="inlineStr">
        <is>
          <t>Yes</t>
        </is>
      </c>
      <c r="W1458" s="16" t="inlineStr">
        <is>
          <t>Yes</t>
        </is>
      </c>
      <c r="X1458" s="16" t="inlineStr">
        <is>
          <t>No</t>
        </is>
      </c>
      <c r="Y1458" s="20" t="n">
        <v>185</v>
      </c>
      <c r="Z1458" s="19" t="n">
        <v>-0.0172</v>
      </c>
      <c r="AA1458" s="18" t="n">
        <v>40</v>
      </c>
      <c r="AB1458" s="16" t="inlineStr">
        <is>
          <t>Weak</t>
        </is>
      </c>
      <c r="AC1458" s="16" t="inlineStr">
        <is>
          <t>No</t>
        </is>
      </c>
      <c r="AD1458" s="19" t="n">
        <v>0.1258</v>
      </c>
      <c r="AE1458" s="19" t="n">
        <v>0.1674</v>
      </c>
      <c r="AF1458" s="19" t="n">
        <v>-0.2079</v>
      </c>
      <c r="AG1458" s="19" t="n">
        <v>0.2584</v>
      </c>
      <c r="AH1458" s="23" t="n">
        <v>0.02</v>
      </c>
      <c r="AI1458" s="23" t="n">
        <v>3.37</v>
      </c>
      <c r="AJ1458" s="19" t="n">
        <v>0.3373</v>
      </c>
    </row>
    <row r="1459">
      <c r="A1459" s="16" t="inlineStr">
        <is>
          <t>AIRLTD</t>
        </is>
      </c>
      <c r="B1459" s="16" t="inlineStr">
        <is>
          <t>Avishkar Infra Realty Ltd.</t>
        </is>
      </c>
      <c r="C1459" s="16" t="inlineStr">
        <is>
          <t>Realty</t>
        </is>
      </c>
      <c r="D1459" s="16" t="inlineStr">
        <is>
          <t>Realty</t>
        </is>
      </c>
      <c r="E1459" s="16" t="inlineStr">
        <is>
          <t>INE433O01024</t>
        </is>
      </c>
      <c r="F1459" s="17" t="n">
        <v>1270.72</v>
      </c>
      <c r="G1459" s="18" t="n">
        <v>567.2</v>
      </c>
      <c r="H1459" s="19" t="n">
        <v>0</v>
      </c>
      <c r="I1459" s="20" t="n">
        <v>57</v>
      </c>
      <c r="J1459" s="16" t="inlineStr">
        <is>
          <t>red</t>
        </is>
      </c>
      <c r="K1459" s="20" t="n">
        <v>2</v>
      </c>
      <c r="L1459" s="18" t="n">
        <v>0</v>
      </c>
      <c r="M1459" s="18" t="n">
        <v>567.2</v>
      </c>
      <c r="N1459" s="18" t="n">
        <v>578.12</v>
      </c>
      <c r="O1459" s="18" t="n">
        <v>620.87</v>
      </c>
      <c r="P1459" s="18" t="n">
        <v>706.9</v>
      </c>
      <c r="Q1459" s="18" t="n">
        <v>287.85</v>
      </c>
      <c r="R1459" s="21">
        <f>IF(OR(G1459="",P1459=""),"",G1459/P1459-1)</f>
        <v/>
      </c>
      <c r="S1459" s="19" t="n">
        <v>0</v>
      </c>
      <c r="T1459" s="22" t="n">
        <v>-0.0071</v>
      </c>
      <c r="U1459" s="16" t="inlineStr">
        <is>
          <t>No</t>
        </is>
      </c>
      <c r="V1459" s="16" t="inlineStr">
        <is>
          <t>No</t>
        </is>
      </c>
      <c r="W1459" s="16" t="inlineStr">
        <is>
          <t>Yes</t>
        </is>
      </c>
      <c r="X1459" s="16" t="inlineStr">
        <is>
          <t>No</t>
        </is>
      </c>
      <c r="Y1459" s="20" t="n">
        <v>45</v>
      </c>
      <c r="Z1459" s="19" t="n">
        <v>-0.0689</v>
      </c>
      <c r="AA1459" s="18" t="n"/>
      <c r="AB1459" s="16" t="n"/>
      <c r="AC1459" s="16" t="inlineStr">
        <is>
          <t>No</t>
        </is>
      </c>
      <c r="AD1459" s="19" t="n"/>
      <c r="AE1459" s="19" t="n"/>
      <c r="AF1459" s="19" t="n"/>
      <c r="AG1459" s="19" t="n"/>
      <c r="AH1459" s="23" t="n"/>
      <c r="AI1459" s="23" t="n"/>
      <c r="AJ1459" s="19" t="n"/>
    </row>
    <row r="1460">
      <c r="A1460" s="16" t="inlineStr">
        <is>
          <t>IVALUE</t>
        </is>
      </c>
      <c r="B1460" s="16" t="inlineStr">
        <is>
          <t>Ivalue Infosolutions Ltd.</t>
        </is>
      </c>
      <c r="C1460" s="16" t="inlineStr">
        <is>
          <t>IT Consulting &amp; Software</t>
        </is>
      </c>
      <c r="D1460" s="16" t="inlineStr">
        <is>
          <t>Software &amp; Services</t>
        </is>
      </c>
      <c r="E1460" s="16" t="inlineStr">
        <is>
          <t>INE056801025</t>
        </is>
      </c>
      <c r="F1460" s="17" t="n">
        <v>1260.76</v>
      </c>
      <c r="G1460" s="18" t="n">
        <v>230.26</v>
      </c>
      <c r="H1460" s="19" t="n">
        <v>-0.0251</v>
      </c>
      <c r="I1460" s="20" t="n">
        <v>28</v>
      </c>
      <c r="J1460" s="16" t="inlineStr">
        <is>
          <t>red</t>
        </is>
      </c>
      <c r="K1460" s="20" t="n">
        <v>9</v>
      </c>
      <c r="L1460" s="18" t="n">
        <v>18.73</v>
      </c>
      <c r="M1460" s="18" t="n">
        <v>249.97</v>
      </c>
      <c r="N1460" s="18" t="n">
        <v>278.78</v>
      </c>
      <c r="O1460" s="18" t="n">
        <v>259.22</v>
      </c>
      <c r="P1460" s="18" t="n">
        <v>326.8</v>
      </c>
      <c r="Q1460" s="18" t="n">
        <v>212.6</v>
      </c>
      <c r="R1460" s="21">
        <f>IF(OR(G1460="",P1460=""),"",G1460/P1460-1)</f>
        <v/>
      </c>
      <c r="S1460" s="19" t="n">
        <v>0.4684</v>
      </c>
      <c r="T1460" s="22" t="n">
        <v>-0.0076</v>
      </c>
      <c r="U1460" s="16" t="inlineStr">
        <is>
          <t>No</t>
        </is>
      </c>
      <c r="V1460" s="16" t="inlineStr">
        <is>
          <t>No</t>
        </is>
      </c>
      <c r="W1460" s="16" t="inlineStr">
        <is>
          <t>No</t>
        </is>
      </c>
      <c r="X1460" s="16" t="inlineStr">
        <is>
          <t>Yes</t>
        </is>
      </c>
      <c r="Y1460" s="20" t="n">
        <v>34</v>
      </c>
      <c r="Z1460" s="19" t="n">
        <v>0.07539999999999999</v>
      </c>
      <c r="AA1460" s="18" t="n">
        <v>65.17</v>
      </c>
      <c r="AB1460" s="16" t="inlineStr">
        <is>
          <t>High</t>
        </is>
      </c>
      <c r="AC1460" s="16" t="inlineStr">
        <is>
          <t>No</t>
        </is>
      </c>
      <c r="AD1460" s="19" t="n">
        <v>0.1829</v>
      </c>
      <c r="AE1460" s="19" t="n">
        <v>0.233</v>
      </c>
      <c r="AF1460" s="19" t="n">
        <v>0.1714</v>
      </c>
      <c r="AG1460" s="19" t="n">
        <v>0.1019</v>
      </c>
      <c r="AH1460" s="23" t="n">
        <v>0.12</v>
      </c>
      <c r="AI1460" s="23" t="n">
        <v>37.63</v>
      </c>
      <c r="AJ1460" s="19" t="n">
        <v>0</v>
      </c>
    </row>
    <row r="1461">
      <c r="A1461" s="16" t="inlineStr">
        <is>
          <t>SULA</t>
        </is>
      </c>
      <c r="B1461" s="16" t="inlineStr">
        <is>
          <t>Sula Vineyards Ltd.</t>
        </is>
      </c>
      <c r="C1461" s="16" t="inlineStr">
        <is>
          <t>Breweries &amp; Distilleries</t>
        </is>
      </c>
      <c r="D1461" s="16" t="inlineStr">
        <is>
          <t>Food, Beverages &amp; Tobacco</t>
        </is>
      </c>
      <c r="E1461" s="16" t="inlineStr">
        <is>
          <t>INE142Q01026</t>
        </is>
      </c>
      <c r="F1461" s="17" t="n">
        <v>1258.26</v>
      </c>
      <c r="G1461" s="18" t="n">
        <v>149</v>
      </c>
      <c r="H1461" s="19" t="n">
        <v>0.0098</v>
      </c>
      <c r="I1461" s="20" t="n">
        <v>9</v>
      </c>
      <c r="J1461" s="16" t="inlineStr">
        <is>
          <t>red</t>
        </is>
      </c>
      <c r="K1461" s="20" t="n">
        <v>501</v>
      </c>
      <c r="L1461" s="18" t="n">
        <v>49.54</v>
      </c>
      <c r="M1461" s="18" t="n">
        <v>147.91</v>
      </c>
      <c r="N1461" s="18" t="n">
        <v>152.4</v>
      </c>
      <c r="O1461" s="18" t="n">
        <v>172.63</v>
      </c>
      <c r="P1461" s="18" t="n">
        <v>284.07</v>
      </c>
      <c r="Q1461" s="18" t="n">
        <v>137.6</v>
      </c>
      <c r="R1461" s="21">
        <f>IF(OR(G1461="",P1461=""),"",G1461/P1461-1)</f>
        <v/>
      </c>
      <c r="S1461" s="19" t="n">
        <v>0.3146</v>
      </c>
      <c r="T1461" s="22" t="n">
        <v>-0.0542</v>
      </c>
      <c r="U1461" s="16" t="inlineStr">
        <is>
          <t>No</t>
        </is>
      </c>
      <c r="V1461" s="16" t="inlineStr">
        <is>
          <t>No</t>
        </is>
      </c>
      <c r="W1461" s="16" t="inlineStr">
        <is>
          <t>Yes</t>
        </is>
      </c>
      <c r="X1461" s="16" t="inlineStr">
        <is>
          <t>No</t>
        </is>
      </c>
      <c r="Y1461" s="20" t="n">
        <v>547</v>
      </c>
      <c r="Z1461" s="19" t="n">
        <v>-0.1172</v>
      </c>
      <c r="AA1461" s="18" t="n">
        <v>29.27</v>
      </c>
      <c r="AB1461" s="16" t="inlineStr">
        <is>
          <t>Poor</t>
        </is>
      </c>
      <c r="AC1461" s="16" t="inlineStr">
        <is>
          <t>No</t>
        </is>
      </c>
      <c r="AD1461" s="19" t="n">
        <v>0.111</v>
      </c>
      <c r="AE1461" s="19" t="n">
        <v>0.1236</v>
      </c>
      <c r="AF1461" s="19" t="n">
        <v>-0.2654</v>
      </c>
      <c r="AG1461" s="19" t="n">
        <v>0.027</v>
      </c>
      <c r="AH1461" s="23" t="n">
        <v>0.57</v>
      </c>
      <c r="AI1461" s="23" t="n">
        <v>0.98</v>
      </c>
      <c r="AJ1461" s="19" t="n">
        <v>0.0211</v>
      </c>
    </row>
    <row r="1462">
      <c r="A1462" s="16" t="inlineStr">
        <is>
          <t>DHANBANK</t>
        </is>
      </c>
      <c r="B1462" s="16" t="inlineStr">
        <is>
          <t>Dhanlaxmi Bank Ltd.</t>
        </is>
      </c>
      <c r="C1462" s="16" t="inlineStr">
        <is>
          <t>Banks</t>
        </is>
      </c>
      <c r="D1462" s="16" t="inlineStr">
        <is>
          <t>Banking and Finance</t>
        </is>
      </c>
      <c r="E1462" s="16" t="inlineStr">
        <is>
          <t>INE680A01011</t>
        </is>
      </c>
      <c r="F1462" s="17" t="n">
        <v>1257.51</v>
      </c>
      <c r="G1462" s="18" t="n">
        <v>31.86</v>
      </c>
      <c r="H1462" s="19" t="n">
        <v>0.0044</v>
      </c>
      <c r="I1462" s="20" t="n">
        <v>62</v>
      </c>
      <c r="J1462" s="16" t="inlineStr">
        <is>
          <t>amber</t>
        </is>
      </c>
      <c r="K1462" s="20" t="n">
        <v>32</v>
      </c>
      <c r="L1462" s="18" t="n">
        <v>44.71</v>
      </c>
      <c r="M1462" s="18" t="n">
        <v>32.18</v>
      </c>
      <c r="N1462" s="18" t="n">
        <v>33.12</v>
      </c>
      <c r="O1462" s="18" t="n">
        <v>28.56</v>
      </c>
      <c r="P1462" s="18" t="n">
        <v>36.22</v>
      </c>
      <c r="Q1462" s="18" t="n">
        <v>19.64</v>
      </c>
      <c r="R1462" s="21">
        <f>IF(OR(G1462="",P1462=""),"",G1462/P1462-1)</f>
        <v/>
      </c>
      <c r="S1462" s="19" t="n">
        <v>0.275</v>
      </c>
      <c r="T1462" s="22" t="n">
        <v>0.0208</v>
      </c>
      <c r="U1462" s="16" t="inlineStr">
        <is>
          <t>Yes</t>
        </is>
      </c>
      <c r="V1462" s="16" t="inlineStr">
        <is>
          <t>No</t>
        </is>
      </c>
      <c r="W1462" s="16" t="inlineStr">
        <is>
          <t>No</t>
        </is>
      </c>
      <c r="X1462" s="16" t="inlineStr">
        <is>
          <t>Yes</t>
        </is>
      </c>
      <c r="Y1462" s="20" t="n">
        <v>83</v>
      </c>
      <c r="Z1462" s="19" t="n">
        <v>0.1597</v>
      </c>
      <c r="AA1462" s="18" t="n">
        <v>41.3</v>
      </c>
      <c r="AB1462" s="16" t="inlineStr">
        <is>
          <t>Average</t>
        </is>
      </c>
      <c r="AC1462" s="16" t="inlineStr">
        <is>
          <t>Yes</t>
        </is>
      </c>
      <c r="AD1462" s="19" t="n">
        <v>0.0579</v>
      </c>
      <c r="AE1462" s="19" t="n"/>
      <c r="AF1462" s="19" t="n">
        <v>0.1847</v>
      </c>
      <c r="AG1462" s="19" t="n">
        <v>0.143</v>
      </c>
      <c r="AH1462" s="23" t="n">
        <v>0.5</v>
      </c>
      <c r="AI1462" s="23" t="n">
        <v>2.81</v>
      </c>
      <c r="AJ1462" s="19" t="n">
        <v>0</v>
      </c>
    </row>
    <row r="1463">
      <c r="A1463" s="16" t="inlineStr">
        <is>
          <t>3BBLACKBIO</t>
        </is>
      </c>
      <c r="B1463" s="16" t="inlineStr">
        <is>
          <t>3B BlackBio Dx Ltd.</t>
        </is>
      </c>
      <c r="C1463" s="16" t="inlineStr">
        <is>
          <t>Agrochemicals</t>
        </is>
      </c>
      <c r="D1463" s="16" t="inlineStr">
        <is>
          <t>Chemicals &amp; Petrochemicals</t>
        </is>
      </c>
      <c r="E1463" s="16" t="inlineStr">
        <is>
          <t>INE994E01018</t>
        </is>
      </c>
      <c r="F1463" s="17" t="n">
        <v>1257.24</v>
      </c>
      <c r="G1463" s="18" t="n">
        <v>1464.85</v>
      </c>
      <c r="H1463" s="19" t="n">
        <v>-0.0114</v>
      </c>
      <c r="I1463" s="20" t="n">
        <v>63</v>
      </c>
      <c r="J1463" s="16" t="inlineStr">
        <is>
          <t>amber</t>
        </is>
      </c>
      <c r="K1463" s="20" t="n">
        <v>6</v>
      </c>
      <c r="L1463" s="18" t="n">
        <v>83.72</v>
      </c>
      <c r="M1463" s="18" t="n">
        <v>1436.86</v>
      </c>
      <c r="N1463" s="18" t="n">
        <v>1254.1</v>
      </c>
      <c r="O1463" s="18" t="n">
        <v>1321.88</v>
      </c>
      <c r="P1463" s="18" t="n">
        <v>1695.75</v>
      </c>
      <c r="Q1463" s="18" t="n">
        <v>1105.25</v>
      </c>
      <c r="R1463" s="21">
        <f>IF(OR(G1463="",P1463=""),"",G1463/P1463-1)</f>
        <v/>
      </c>
      <c r="S1463" s="19" t="n">
        <v>1.1879</v>
      </c>
      <c r="T1463" s="22" t="n">
        <v>-0.0051</v>
      </c>
      <c r="U1463" s="16" t="inlineStr">
        <is>
          <t>No</t>
        </is>
      </c>
      <c r="V1463" s="16" t="inlineStr">
        <is>
          <t>Yes</t>
        </is>
      </c>
      <c r="W1463" s="16" t="inlineStr">
        <is>
          <t>Yes</t>
        </is>
      </c>
      <c r="X1463" s="16" t="inlineStr">
        <is>
          <t>No</t>
        </is>
      </c>
      <c r="Y1463" s="20" t="n">
        <v>106</v>
      </c>
      <c r="Z1463" s="19" t="n">
        <v>-0.0513</v>
      </c>
      <c r="AA1463" s="18" t="n"/>
      <c r="AB1463" s="16" t="n"/>
      <c r="AC1463" s="16" t="inlineStr">
        <is>
          <t>No</t>
        </is>
      </c>
      <c r="AD1463" s="19" t="n"/>
      <c r="AE1463" s="19" t="n"/>
      <c r="AF1463" s="19" t="n"/>
      <c r="AG1463" s="19" t="n"/>
      <c r="AH1463" s="23" t="n"/>
      <c r="AI1463" s="23" t="n"/>
      <c r="AJ1463" s="19" t="n"/>
    </row>
    <row r="1464">
      <c r="A1464" s="16" t="inlineStr">
        <is>
          <t>KELENRG</t>
        </is>
      </c>
      <c r="B1464" s="16" t="inlineStr">
        <is>
          <t>Keltech Energies Ltd.</t>
        </is>
      </c>
      <c r="C1464" s="16" t="inlineStr">
        <is>
          <t>Other Industrial Products</t>
        </is>
      </c>
      <c r="D1464" s="16" t="inlineStr">
        <is>
          <t>General Industrials</t>
        </is>
      </c>
      <c r="E1464" s="16" t="inlineStr">
        <is>
          <t>INE881E01017</t>
        </is>
      </c>
      <c r="F1464" s="17" t="n">
        <v>1254.04</v>
      </c>
      <c r="G1464" s="18" t="n">
        <v>12540.4</v>
      </c>
      <c r="H1464" s="19" t="n">
        <v>-0.02</v>
      </c>
      <c r="I1464" s="20" t="n">
        <v>98</v>
      </c>
      <c r="J1464" s="16" t="inlineStr">
        <is>
          <t>green</t>
        </is>
      </c>
      <c r="K1464" s="20" t="n">
        <v>87</v>
      </c>
      <c r="L1464" s="18" t="n">
        <v>43.24</v>
      </c>
      <c r="M1464" s="18" t="n">
        <v>13473.55</v>
      </c>
      <c r="N1464" s="18" t="n">
        <v>10292.01</v>
      </c>
      <c r="O1464" s="18" t="n">
        <v>5598.14</v>
      </c>
      <c r="P1464" s="18" t="n">
        <v>14740</v>
      </c>
      <c r="Q1464" s="18" t="n">
        <v>3004.57</v>
      </c>
      <c r="R1464" s="21">
        <f>IF(OR(G1464="",P1464=""),"",G1464/P1464-1)</f>
        <v/>
      </c>
      <c r="S1464" s="19" t="n">
        <v>0.4694</v>
      </c>
      <c r="T1464" s="22" t="n">
        <v>0.186</v>
      </c>
      <c r="U1464" s="16" t="inlineStr">
        <is>
          <t>Yes</t>
        </is>
      </c>
      <c r="V1464" s="16" t="inlineStr">
        <is>
          <t>Yes</t>
        </is>
      </c>
      <c r="W1464" s="16" t="inlineStr">
        <is>
          <t>No</t>
        </is>
      </c>
      <c r="X1464" s="16" t="inlineStr">
        <is>
          <t>Yes</t>
        </is>
      </c>
      <c r="Y1464" s="20" t="n">
        <v>76</v>
      </c>
      <c r="Z1464" s="19" t="n">
        <v>0.8384999999999999</v>
      </c>
      <c r="AA1464" s="18" t="n"/>
      <c r="AB1464" s="16" t="n"/>
      <c r="AC1464" s="16" t="inlineStr">
        <is>
          <t>No</t>
        </is>
      </c>
      <c r="AD1464" s="19" t="n"/>
      <c r="AE1464" s="19" t="n"/>
      <c r="AF1464" s="19" t="n"/>
      <c r="AG1464" s="19" t="n"/>
      <c r="AH1464" s="23" t="n"/>
      <c r="AI1464" s="23" t="n"/>
      <c r="AJ1464" s="19" t="n"/>
    </row>
    <row r="1465">
      <c r="A1465" s="16" t="inlineStr">
        <is>
          <t>RIR</t>
        </is>
      </c>
      <c r="B1465" s="16" t="inlineStr">
        <is>
          <t>RIR Power Electronics Ltd.</t>
        </is>
      </c>
      <c r="C1465" s="16" t="inlineStr">
        <is>
          <t>Electronic Components</t>
        </is>
      </c>
      <c r="D1465" s="16" t="inlineStr">
        <is>
          <t>Commercial Services &amp; Supplies</t>
        </is>
      </c>
      <c r="E1465" s="16" t="inlineStr">
        <is>
          <t>INE302D01024</t>
        </is>
      </c>
      <c r="F1465" s="17" t="n">
        <v>1251.97</v>
      </c>
      <c r="G1465" s="18" t="n">
        <v>163.15</v>
      </c>
      <c r="H1465" s="19" t="n">
        <v>0.0359</v>
      </c>
      <c r="I1465" s="20" t="n">
        <v>16</v>
      </c>
      <c r="J1465" s="16" t="inlineStr">
        <is>
          <t>red</t>
        </is>
      </c>
      <c r="K1465" s="20" t="n">
        <v>201</v>
      </c>
      <c r="L1465" s="18" t="n">
        <v>29.69</v>
      </c>
      <c r="M1465" s="18" t="n">
        <v>160.32</v>
      </c>
      <c r="N1465" s="18" t="n">
        <v>161.91</v>
      </c>
      <c r="O1465" s="18" t="n">
        <v>177.03</v>
      </c>
      <c r="P1465" s="18" t="n">
        <v>373.95</v>
      </c>
      <c r="Q1465" s="18" t="n">
        <v>132.2</v>
      </c>
      <c r="R1465" s="21">
        <f>IF(OR(G1465="",P1465=""),"",G1465/P1465-1)</f>
        <v/>
      </c>
      <c r="S1465" s="19" t="n">
        <v>19.8682</v>
      </c>
      <c r="T1465" s="22" t="n">
        <v>-0.0629</v>
      </c>
      <c r="U1465" s="16" t="inlineStr">
        <is>
          <t>No</t>
        </is>
      </c>
      <c r="V1465" s="16" t="inlineStr">
        <is>
          <t>Yes</t>
        </is>
      </c>
      <c r="W1465" s="16" t="inlineStr">
        <is>
          <t>Yes</t>
        </is>
      </c>
      <c r="X1465" s="16" t="inlineStr">
        <is>
          <t>No</t>
        </is>
      </c>
      <c r="Y1465" s="20" t="n">
        <v>175</v>
      </c>
      <c r="Z1465" s="19" t="n">
        <v>-0.08539999999999999</v>
      </c>
      <c r="AA1465" s="18" t="n"/>
      <c r="AB1465" s="16" t="n"/>
      <c r="AC1465" s="16" t="inlineStr">
        <is>
          <t>No</t>
        </is>
      </c>
      <c r="AD1465" s="19" t="n"/>
      <c r="AE1465" s="19" t="n"/>
      <c r="AF1465" s="19" t="n"/>
      <c r="AG1465" s="19" t="n"/>
      <c r="AH1465" s="23" t="n"/>
      <c r="AI1465" s="23" t="n"/>
      <c r="AJ1465" s="19" t="n"/>
    </row>
    <row r="1466">
      <c r="A1466" s="16" t="inlineStr">
        <is>
          <t>ELECTHERM</t>
        </is>
      </c>
      <c r="B1466" s="16" t="inlineStr">
        <is>
          <t>Electrotherm (India) Ltd.</t>
        </is>
      </c>
      <c r="C1466" s="16" t="inlineStr">
        <is>
          <t>Iron &amp; Steel Products</t>
        </is>
      </c>
      <c r="D1466" s="16" t="inlineStr">
        <is>
          <t>Metals &amp; Mining</t>
        </is>
      </c>
      <c r="E1466" s="16" t="inlineStr">
        <is>
          <t>INE822G01016</t>
        </is>
      </c>
      <c r="F1466" s="17" t="n">
        <v>1249.94</v>
      </c>
      <c r="G1466" s="18" t="n">
        <v>980.9</v>
      </c>
      <c r="H1466" s="19" t="n">
        <v>0.001</v>
      </c>
      <c r="I1466" s="20" t="n">
        <v>62</v>
      </c>
      <c r="J1466" s="16" t="inlineStr">
        <is>
          <t>amber</t>
        </is>
      </c>
      <c r="K1466" s="20" t="n">
        <v>8</v>
      </c>
      <c r="L1466" s="18" t="n">
        <v>51.41</v>
      </c>
      <c r="M1466" s="18" t="n">
        <v>1004.51</v>
      </c>
      <c r="N1466" s="18" t="n">
        <v>1046.59</v>
      </c>
      <c r="O1466" s="18" t="n">
        <v>869.99</v>
      </c>
      <c r="P1466" s="18" t="n">
        <v>1230.5</v>
      </c>
      <c r="Q1466" s="18" t="n">
        <v>555.35</v>
      </c>
      <c r="R1466" s="21">
        <f>IF(OR(G1466="",P1466=""),"",G1466/P1466-1)</f>
        <v/>
      </c>
      <c r="S1466" s="19" t="n">
        <v>0.3787</v>
      </c>
      <c r="T1466" s="22" t="n">
        <v>0.005500000000000001</v>
      </c>
      <c r="U1466" s="16" t="inlineStr">
        <is>
          <t>Yes</t>
        </is>
      </c>
      <c r="V1466" s="16" t="inlineStr">
        <is>
          <t>No</t>
        </is>
      </c>
      <c r="W1466" s="16" t="inlineStr">
        <is>
          <t>No</t>
        </is>
      </c>
      <c r="X1466" s="16" t="inlineStr">
        <is>
          <t>Yes</t>
        </is>
      </c>
      <c r="Y1466" s="20" t="n">
        <v>55</v>
      </c>
      <c r="Z1466" s="19" t="n">
        <v>0.203</v>
      </c>
      <c r="AA1466" s="18" t="n">
        <v>67.95999999999999</v>
      </c>
      <c r="AB1466" s="16" t="inlineStr">
        <is>
          <t>High</t>
        </is>
      </c>
      <c r="AC1466" s="16" t="inlineStr">
        <is>
          <t>No</t>
        </is>
      </c>
      <c r="AD1466" s="19" t="n">
        <v>-1.0297</v>
      </c>
      <c r="AE1466" s="19" t="n">
        <v>0.2618</v>
      </c>
      <c r="AF1466" s="19" t="n">
        <v>9.0662</v>
      </c>
      <c r="AG1466" s="19" t="n">
        <v>0.0849</v>
      </c>
      <c r="AH1466" s="23" t="n">
        <v>-6.91</v>
      </c>
      <c r="AI1466" s="23" t="n">
        <v>4.84</v>
      </c>
      <c r="AJ1466" s="19" t="n">
        <v>0.1814</v>
      </c>
    </row>
    <row r="1467">
      <c r="A1467" s="16" t="inlineStr">
        <is>
          <t>DOLATALGO</t>
        </is>
      </c>
      <c r="B1467" s="16" t="inlineStr">
        <is>
          <t>Dolat Algotech Ltd.</t>
        </is>
      </c>
      <c r="C1467" s="16" t="inlineStr">
        <is>
          <t>Capital Markets</t>
        </is>
      </c>
      <c r="D1467" s="16" t="inlineStr">
        <is>
          <t>Banking and Finance</t>
        </is>
      </c>
      <c r="E1467" s="16" t="inlineStr">
        <is>
          <t>INE966A01022</t>
        </is>
      </c>
      <c r="F1467" s="17" t="n">
        <v>1248.02</v>
      </c>
      <c r="G1467" s="18" t="n">
        <v>70.91</v>
      </c>
      <c r="H1467" s="19" t="n">
        <v>0.0123</v>
      </c>
      <c r="I1467" s="20" t="n">
        <v>28</v>
      </c>
      <c r="J1467" s="16" t="inlineStr">
        <is>
          <t>red</t>
        </is>
      </c>
      <c r="K1467" s="20" t="n">
        <v>125</v>
      </c>
      <c r="L1467" s="18" t="n">
        <v>49</v>
      </c>
      <c r="M1467" s="18" t="n">
        <v>71.88</v>
      </c>
      <c r="N1467" s="18" t="n">
        <v>71</v>
      </c>
      <c r="O1467" s="18" t="n">
        <v>76.16</v>
      </c>
      <c r="P1467" s="18" t="n">
        <v>93.55</v>
      </c>
      <c r="Q1467" s="18" t="n">
        <v>65.95999999999999</v>
      </c>
      <c r="R1467" s="21">
        <f>IF(OR(G1467="",P1467=""),"",G1467/P1467-1)</f>
        <v/>
      </c>
      <c r="S1467" s="19" t="n">
        <v>1.0483</v>
      </c>
      <c r="T1467" s="22" t="n">
        <v>-0.0083</v>
      </c>
      <c r="U1467" s="16" t="inlineStr">
        <is>
          <t>No</t>
        </is>
      </c>
      <c r="V1467" s="16" t="inlineStr">
        <is>
          <t>No</t>
        </is>
      </c>
      <c r="W1467" s="16" t="inlineStr">
        <is>
          <t>No</t>
        </is>
      </c>
      <c r="X1467" s="16" t="inlineStr">
        <is>
          <t>No</t>
        </is>
      </c>
      <c r="Y1467" s="20" t="n">
        <v>418</v>
      </c>
      <c r="Z1467" s="19" t="n">
        <v>-0.0678</v>
      </c>
      <c r="AA1467" s="18" t="n">
        <v>66.94</v>
      </c>
      <c r="AB1467" s="16" t="inlineStr">
        <is>
          <t>High</t>
        </is>
      </c>
      <c r="AC1467" s="16" t="inlineStr">
        <is>
          <t>Yes</t>
        </is>
      </c>
      <c r="AD1467" s="19" t="n">
        <v>0.1758</v>
      </c>
      <c r="AE1467" s="19" t="n">
        <v>0.2505</v>
      </c>
      <c r="AF1467" s="19" t="n">
        <v>0.1079</v>
      </c>
      <c r="AG1467" s="19" t="n">
        <v>0.2367</v>
      </c>
      <c r="AH1467" s="23" t="n">
        <v>0.25</v>
      </c>
      <c r="AI1467" s="23" t="n">
        <v>64.56999999999999</v>
      </c>
      <c r="AJ1467" s="19" t="n">
        <v>0</v>
      </c>
    </row>
    <row r="1468">
      <c r="A1468" s="16" t="inlineStr">
        <is>
          <t>ZSARACOM</t>
        </is>
      </c>
      <c r="B1468" s="16" t="inlineStr">
        <is>
          <t>Saraswati Commercial (India) Ltd.</t>
        </is>
      </c>
      <c r="C1468" s="16" t="inlineStr">
        <is>
          <t>Finance (including NBFCs)</t>
        </is>
      </c>
      <c r="D1468" s="16" t="inlineStr">
        <is>
          <t>Banking and Finance</t>
        </is>
      </c>
      <c r="E1468" s="16" t="inlineStr">
        <is>
          <t>INE967G01019</t>
        </is>
      </c>
      <c r="F1468" s="17" t="n">
        <v>1248.01</v>
      </c>
      <c r="G1468" s="18" t="n">
        <v>11388</v>
      </c>
      <c r="H1468" s="19" t="n">
        <v>0.136</v>
      </c>
      <c r="I1468" s="20" t="n">
        <v>51</v>
      </c>
      <c r="J1468" s="16" t="inlineStr">
        <is>
          <t>red</t>
        </is>
      </c>
      <c r="K1468" s="20" t="n">
        <v>13</v>
      </c>
      <c r="L1468" s="18" t="n">
        <v>36.44</v>
      </c>
      <c r="M1468" s="18" t="n">
        <v>10812.76</v>
      </c>
      <c r="N1468" s="18" t="n">
        <v>11870.39</v>
      </c>
      <c r="O1468" s="18" t="n">
        <v>11244.38</v>
      </c>
      <c r="P1468" s="18" t="n">
        <v>13979.85</v>
      </c>
      <c r="Q1468" s="18" t="n">
        <v>8753.6</v>
      </c>
      <c r="R1468" s="21">
        <f>IF(OR(G1468="",P1468=""),"",G1468/P1468-1)</f>
        <v/>
      </c>
      <c r="S1468" s="19" t="n">
        <v>0.9566</v>
      </c>
      <c r="T1468" s="22" t="n">
        <v>-0.008699999999999999</v>
      </c>
      <c r="U1468" s="16" t="inlineStr">
        <is>
          <t>No</t>
        </is>
      </c>
      <c r="V1468" s="16" t="inlineStr">
        <is>
          <t>No</t>
        </is>
      </c>
      <c r="W1468" s="16" t="inlineStr">
        <is>
          <t>Yes</t>
        </is>
      </c>
      <c r="X1468" s="16" t="inlineStr">
        <is>
          <t>Yes</t>
        </is>
      </c>
      <c r="Y1468" s="20" t="n">
        <v>14</v>
      </c>
      <c r="Z1468" s="19" t="n">
        <v>0.0557</v>
      </c>
      <c r="AA1468" s="18" t="n"/>
      <c r="AB1468" s="16" t="n"/>
      <c r="AC1468" s="16" t="inlineStr">
        <is>
          <t>No</t>
        </is>
      </c>
      <c r="AD1468" s="19" t="n"/>
      <c r="AE1468" s="19" t="n"/>
      <c r="AF1468" s="19" t="n"/>
      <c r="AG1468" s="19" t="n"/>
      <c r="AH1468" s="23" t="n"/>
      <c r="AI1468" s="23" t="n"/>
      <c r="AJ1468" s="19" t="n"/>
    </row>
    <row r="1469">
      <c r="A1469" s="16" t="inlineStr">
        <is>
          <t>SOBME</t>
        </is>
      </c>
      <c r="B1469" s="16" t="inlineStr">
        <is>
          <t>Sobhagya Mercantile Ltd.</t>
        </is>
      </c>
      <c r="C1469" s="16" t="inlineStr">
        <is>
          <t>Misc. Commercial Services</t>
        </is>
      </c>
      <c r="D1469" s="16" t="inlineStr">
        <is>
          <t>Commercial Services &amp; Supplies</t>
        </is>
      </c>
      <c r="E1469" s="16" t="inlineStr">
        <is>
          <t>INE754D01018</t>
        </is>
      </c>
      <c r="F1469" s="17" t="n">
        <v>1247.78</v>
      </c>
      <c r="G1469" s="18" t="n">
        <v>1485.45</v>
      </c>
      <c r="H1469" s="19" t="n">
        <v>0.0336</v>
      </c>
      <c r="I1469" s="20" t="n">
        <v>92</v>
      </c>
      <c r="J1469" s="16" t="inlineStr">
        <is>
          <t>green</t>
        </is>
      </c>
      <c r="K1469" s="20" t="n">
        <v>24</v>
      </c>
      <c r="L1469" s="18" t="n">
        <v>79.28</v>
      </c>
      <c r="M1469" s="18" t="n">
        <v>1363.7</v>
      </c>
      <c r="N1469" s="18" t="n">
        <v>1076.85</v>
      </c>
      <c r="O1469" s="18" t="n">
        <v>908.33</v>
      </c>
      <c r="P1469" s="18" t="n">
        <v>1485.45</v>
      </c>
      <c r="Q1469" s="18" t="n">
        <v>700.3</v>
      </c>
      <c r="R1469" s="21">
        <f>IF(OR(G1469="",P1469=""),"",G1469/P1469-1)</f>
        <v/>
      </c>
      <c r="S1469" s="19" t="n">
        <v>1.9803</v>
      </c>
      <c r="T1469" s="22" t="n">
        <v>0.0413</v>
      </c>
      <c r="U1469" s="16" t="inlineStr">
        <is>
          <t>Yes</t>
        </is>
      </c>
      <c r="V1469" s="16" t="inlineStr">
        <is>
          <t>Yes</t>
        </is>
      </c>
      <c r="W1469" s="16" t="inlineStr">
        <is>
          <t>Yes</t>
        </is>
      </c>
      <c r="X1469" s="16" t="inlineStr">
        <is>
          <t>Yes</t>
        </is>
      </c>
      <c r="Y1469" s="20" t="n">
        <v>71</v>
      </c>
      <c r="Z1469" s="19" t="n">
        <v>0.1855</v>
      </c>
      <c r="AA1469" s="18" t="n"/>
      <c r="AB1469" s="16" t="n"/>
      <c r="AC1469" s="16" t="inlineStr">
        <is>
          <t>No</t>
        </is>
      </c>
      <c r="AD1469" s="19" t="n"/>
      <c r="AE1469" s="19" t="n"/>
      <c r="AF1469" s="19" t="n"/>
      <c r="AG1469" s="19" t="n"/>
      <c r="AH1469" s="23" t="n"/>
      <c r="AI1469" s="23" t="n"/>
      <c r="AJ1469" s="19" t="n"/>
    </row>
    <row r="1470">
      <c r="A1470" s="16" t="inlineStr">
        <is>
          <t>BHARATWIRE</t>
        </is>
      </c>
      <c r="B1470" s="16" t="inlineStr">
        <is>
          <t>Bharat Wire Ropes Ltd.</t>
        </is>
      </c>
      <c r="C1470" s="16" t="inlineStr">
        <is>
          <t>Iron &amp; Steel Products</t>
        </is>
      </c>
      <c r="D1470" s="16" t="inlineStr">
        <is>
          <t>Metals &amp; Mining</t>
        </is>
      </c>
      <c r="E1470" s="16" t="inlineStr">
        <is>
          <t>INE316L01019</t>
        </is>
      </c>
      <c r="F1470" s="17" t="n">
        <v>1247.17</v>
      </c>
      <c r="G1470" s="18" t="n">
        <v>181.32</v>
      </c>
      <c r="H1470" s="19" t="n">
        <v>0.005</v>
      </c>
      <c r="I1470" s="20" t="n">
        <v>34</v>
      </c>
      <c r="J1470" s="16" t="inlineStr">
        <is>
          <t>red</t>
        </is>
      </c>
      <c r="K1470" s="20" t="n">
        <v>38</v>
      </c>
      <c r="L1470" s="18" t="n">
        <v>35.13</v>
      </c>
      <c r="M1470" s="18" t="n">
        <v>181.76</v>
      </c>
      <c r="N1470" s="18" t="n">
        <v>197.37</v>
      </c>
      <c r="O1470" s="18" t="n">
        <v>191.4</v>
      </c>
      <c r="P1470" s="18" t="n">
        <v>252.83</v>
      </c>
      <c r="Q1470" s="18" t="n">
        <v>153.96</v>
      </c>
      <c r="R1470" s="21">
        <f>IF(OR(G1470="",P1470=""),"",G1470/P1470-1)</f>
        <v/>
      </c>
      <c r="S1470" s="19" t="n">
        <v>0.9812000000000001</v>
      </c>
      <c r="T1470" s="22" t="n">
        <v>-0.0053</v>
      </c>
      <c r="U1470" s="16" t="inlineStr">
        <is>
          <t>No</t>
        </is>
      </c>
      <c r="V1470" s="16" t="inlineStr">
        <is>
          <t>No</t>
        </is>
      </c>
      <c r="W1470" s="16" t="inlineStr">
        <is>
          <t>No</t>
        </is>
      </c>
      <c r="X1470" s="16" t="inlineStr">
        <is>
          <t>Yes</t>
        </is>
      </c>
      <c r="Y1470" s="20" t="n">
        <v>90</v>
      </c>
      <c r="Z1470" s="19" t="n">
        <v>0.0312</v>
      </c>
      <c r="AA1470" s="18" t="n">
        <v>40</v>
      </c>
      <c r="AB1470" s="16" t="inlineStr">
        <is>
          <t>Weak</t>
        </is>
      </c>
      <c r="AC1470" s="16" t="inlineStr">
        <is>
          <t>No</t>
        </is>
      </c>
      <c r="AD1470" s="19" t="n">
        <v>0.1112</v>
      </c>
      <c r="AE1470" s="19" t="n">
        <v>0.1433</v>
      </c>
      <c r="AF1470" s="19" t="n">
        <v>-0.0063</v>
      </c>
      <c r="AG1470" s="19" t="n">
        <v>0.0264</v>
      </c>
      <c r="AH1470" s="23" t="n">
        <v>0.09</v>
      </c>
      <c r="AI1470" s="23" t="n">
        <v>1.1</v>
      </c>
      <c r="AJ1470" s="19" t="n">
        <v>0.007900000000000001</v>
      </c>
    </row>
    <row r="1471">
      <c r="A1471" s="16" t="inlineStr">
        <is>
          <t>SPICEJET</t>
        </is>
      </c>
      <c r="B1471" s="16" t="inlineStr">
        <is>
          <t>Spicejet Ltd.</t>
        </is>
      </c>
      <c r="C1471" s="16" t="inlineStr">
        <is>
          <t>Airlines</t>
        </is>
      </c>
      <c r="D1471" s="16" t="inlineStr">
        <is>
          <t>Transportation</t>
        </is>
      </c>
      <c r="E1471" s="16" t="inlineStr">
        <is>
          <t>INE285B01017</t>
        </is>
      </c>
      <c r="F1471" s="17" t="n">
        <v>1247.08</v>
      </c>
      <c r="G1471" s="18" t="n">
        <v>9.73</v>
      </c>
      <c r="H1471" s="19" t="n">
        <v>0.0072</v>
      </c>
      <c r="I1471" s="20" t="n"/>
      <c r="J1471" s="16" t="n"/>
      <c r="K1471" s="20" t="n"/>
      <c r="L1471" s="18" t="n">
        <v>16.6</v>
      </c>
      <c r="M1471" s="18" t="n">
        <v>10.16</v>
      </c>
      <c r="N1471" s="18" t="n"/>
      <c r="O1471" s="18" t="n"/>
      <c r="P1471" s="18" t="n">
        <v>12.58</v>
      </c>
      <c r="Q1471" s="18" t="n">
        <v>9.539999999999999</v>
      </c>
      <c r="R1471" s="21">
        <f>IF(OR(G1471="",P1471=""),"",G1471/P1471-1)</f>
        <v/>
      </c>
      <c r="S1471" s="19" t="n">
        <v>0.9819</v>
      </c>
      <c r="T1471" s="22" t="n"/>
      <c r="U1471" s="16" t="n"/>
      <c r="V1471" s="16" t="n"/>
      <c r="W1471" s="16" t="inlineStr">
        <is>
          <t>No</t>
        </is>
      </c>
      <c r="X1471" s="16" t="n"/>
      <c r="Y1471" s="20" t="n"/>
      <c r="Z1471" s="19" t="n"/>
      <c r="AA1471" s="18" t="n"/>
      <c r="AB1471" s="16" t="n"/>
      <c r="AC1471" s="16" t="inlineStr">
        <is>
          <t>No</t>
        </is>
      </c>
      <c r="AD1471" s="19" t="n"/>
      <c r="AE1471" s="19" t="n"/>
      <c r="AF1471" s="19" t="n"/>
      <c r="AG1471" s="19" t="n"/>
      <c r="AH1471" s="23" t="n"/>
      <c r="AI1471" s="23" t="n"/>
      <c r="AJ1471" s="19" t="n"/>
    </row>
    <row r="1472">
      <c r="A1472" s="16" t="inlineStr">
        <is>
          <t>LINCOLN</t>
        </is>
      </c>
      <c r="B1472" s="16" t="inlineStr">
        <is>
          <t>Lincoln Pharmaceuticals Ltd.</t>
        </is>
      </c>
      <c r="C1472" s="16" t="inlineStr">
        <is>
          <t>Pharmaceuticals</t>
        </is>
      </c>
      <c r="D1472" s="16" t="inlineStr">
        <is>
          <t>Pharmaceuticals &amp; Biotechnology</t>
        </is>
      </c>
      <c r="E1472" s="16" t="inlineStr">
        <is>
          <t>INE405C01035</t>
        </is>
      </c>
      <c r="F1472" s="17" t="n">
        <v>1243.44</v>
      </c>
      <c r="G1472" s="18" t="n">
        <v>620.8</v>
      </c>
      <c r="H1472" s="19" t="n">
        <v>-0.003</v>
      </c>
      <c r="I1472" s="20" t="n">
        <v>50</v>
      </c>
      <c r="J1472" s="16" t="inlineStr">
        <is>
          <t>red</t>
        </is>
      </c>
      <c r="K1472" s="20" t="n">
        <v>31</v>
      </c>
      <c r="L1472" s="18" t="n">
        <v>48.35</v>
      </c>
      <c r="M1472" s="18" t="n">
        <v>614.96</v>
      </c>
      <c r="N1472" s="18" t="n">
        <v>605.54</v>
      </c>
      <c r="O1472" s="18" t="n">
        <v>581.14</v>
      </c>
      <c r="P1472" s="18" t="n">
        <v>758.15</v>
      </c>
      <c r="Q1472" s="18" t="n">
        <v>444.2</v>
      </c>
      <c r="R1472" s="21">
        <f>IF(OR(G1472="",P1472=""),"",G1472/P1472-1)</f>
        <v/>
      </c>
      <c r="S1472" s="19" t="n">
        <v>0.4456</v>
      </c>
      <c r="T1472" s="22" t="n">
        <v>0.0152</v>
      </c>
      <c r="U1472" s="16" t="inlineStr">
        <is>
          <t>Yes</t>
        </is>
      </c>
      <c r="V1472" s="16" t="inlineStr">
        <is>
          <t>Yes</t>
        </is>
      </c>
      <c r="W1472" s="16" t="inlineStr">
        <is>
          <t>Yes</t>
        </is>
      </c>
      <c r="X1472" s="16" t="inlineStr">
        <is>
          <t>Yes</t>
        </is>
      </c>
      <c r="Y1472" s="20" t="n">
        <v>121</v>
      </c>
      <c r="Z1472" s="19" t="n">
        <v>0.042</v>
      </c>
      <c r="AA1472" s="18" t="n">
        <v>58.19</v>
      </c>
      <c r="AB1472" s="16" t="inlineStr">
        <is>
          <t>Good</t>
        </is>
      </c>
      <c r="AC1472" s="16" t="inlineStr">
        <is>
          <t>No</t>
        </is>
      </c>
      <c r="AD1472" s="19" t="n">
        <v>0.132</v>
      </c>
      <c r="AE1472" s="19" t="n">
        <v>0.1756</v>
      </c>
      <c r="AF1472" s="19" t="n">
        <v>0.0765</v>
      </c>
      <c r="AG1472" s="19" t="n">
        <v>0.1</v>
      </c>
      <c r="AH1472" s="23" t="n">
        <v>0.01</v>
      </c>
      <c r="AI1472" s="23" t="n">
        <v>3.44</v>
      </c>
      <c r="AJ1472" s="19" t="n">
        <v>0.0268</v>
      </c>
    </row>
    <row r="1473">
      <c r="A1473" s="16" t="inlineStr">
        <is>
          <t>BHAGYANGR</t>
        </is>
      </c>
      <c r="B1473" s="16" t="inlineStr">
        <is>
          <t>Bhagyanagar India Ltd.</t>
        </is>
      </c>
      <c r="C1473" s="16" t="inlineStr">
        <is>
          <t>Copper</t>
        </is>
      </c>
      <c r="D1473" s="16" t="inlineStr">
        <is>
          <t>Metals &amp; Mining</t>
        </is>
      </c>
      <c r="E1473" s="16" t="inlineStr">
        <is>
          <t>INE458B01036</t>
        </is>
      </c>
      <c r="F1473" s="17" t="n">
        <v>1240.87</v>
      </c>
      <c r="G1473" s="18" t="n">
        <v>370.45</v>
      </c>
      <c r="H1473" s="19" t="n">
        <v>-0.008</v>
      </c>
      <c r="I1473" s="20" t="n">
        <v>97</v>
      </c>
      <c r="J1473" s="16" t="inlineStr">
        <is>
          <t>green</t>
        </is>
      </c>
      <c r="K1473" s="20" t="n">
        <v>217</v>
      </c>
      <c r="L1473" s="18" t="n">
        <v>43.55</v>
      </c>
      <c r="M1473" s="18" t="n">
        <v>380.96</v>
      </c>
      <c r="N1473" s="18" t="n">
        <v>386.7</v>
      </c>
      <c r="O1473" s="18" t="n">
        <v>250.61</v>
      </c>
      <c r="P1473" s="18" t="n">
        <v>431.85</v>
      </c>
      <c r="Q1473" s="18" t="n">
        <v>88.42</v>
      </c>
      <c r="R1473" s="21">
        <f>IF(OR(G1473="",P1473=""),"",G1473/P1473-1)</f>
        <v/>
      </c>
      <c r="S1473" s="19" t="n">
        <v>0.6248</v>
      </c>
      <c r="T1473" s="22" t="n">
        <v>0.1098</v>
      </c>
      <c r="U1473" s="16" t="inlineStr">
        <is>
          <t>Yes</t>
        </is>
      </c>
      <c r="V1473" s="16" t="inlineStr">
        <is>
          <t>No</t>
        </is>
      </c>
      <c r="W1473" s="16" t="inlineStr">
        <is>
          <t>No</t>
        </is>
      </c>
      <c r="X1473" s="16" t="inlineStr">
        <is>
          <t>Yes</t>
        </is>
      </c>
      <c r="Y1473" s="20" t="n">
        <v>269</v>
      </c>
      <c r="Z1473" s="19" t="n">
        <v>0.5429999999999999</v>
      </c>
      <c r="AA1473" s="18" t="n">
        <v>57.57</v>
      </c>
      <c r="AB1473" s="16" t="inlineStr">
        <is>
          <t>Good</t>
        </is>
      </c>
      <c r="AC1473" s="16" t="inlineStr">
        <is>
          <t>No</t>
        </is>
      </c>
      <c r="AD1473" s="19" t="n">
        <v>0.1663</v>
      </c>
      <c r="AE1473" s="19" t="n">
        <v>0.1688</v>
      </c>
      <c r="AF1473" s="19" t="n">
        <v>1.7981</v>
      </c>
      <c r="AG1473" s="19" t="n">
        <v>0.1248</v>
      </c>
      <c r="AH1473" s="23" t="n">
        <v>1.01</v>
      </c>
      <c r="AI1473" s="23" t="n">
        <v>28.47</v>
      </c>
      <c r="AJ1473" s="19" t="n">
        <v>0</v>
      </c>
    </row>
    <row r="1474">
      <c r="A1474" s="16" t="inlineStr">
        <is>
          <t>GODAVARIB</t>
        </is>
      </c>
      <c r="B1474" s="16" t="inlineStr">
        <is>
          <t>Godavari Biorefineries Ltd.</t>
        </is>
      </c>
      <c r="C1474" s="16" t="inlineStr">
        <is>
          <t>Specialty Chemicals</t>
        </is>
      </c>
      <c r="D1474" s="16" t="inlineStr">
        <is>
          <t>Chemicals &amp; Petrochemicals</t>
        </is>
      </c>
      <c r="E1474" s="16" t="inlineStr">
        <is>
          <t>INE497S01012</t>
        </is>
      </c>
      <c r="F1474" s="17" t="n">
        <v>1236.92</v>
      </c>
      <c r="G1474" s="18" t="n">
        <v>241.7</v>
      </c>
      <c r="H1474" s="19" t="n">
        <v>-0.0145</v>
      </c>
      <c r="I1474" s="20" t="n">
        <v>19</v>
      </c>
      <c r="J1474" s="16" t="inlineStr">
        <is>
          <t>red</t>
        </is>
      </c>
      <c r="K1474" s="20" t="n">
        <v>69</v>
      </c>
      <c r="L1474" s="18" t="n">
        <v>45.09</v>
      </c>
      <c r="M1474" s="18" t="n">
        <v>239.36</v>
      </c>
      <c r="N1474" s="18" t="n">
        <v>258.98</v>
      </c>
      <c r="O1474" s="18" t="n">
        <v>278.43</v>
      </c>
      <c r="P1474" s="18" t="n">
        <v>334.9</v>
      </c>
      <c r="Q1474" s="18" t="n">
        <v>232.25</v>
      </c>
      <c r="R1474" s="21">
        <f>IF(OR(G1474="",P1474=""),"",G1474/P1474-1)</f>
        <v/>
      </c>
      <c r="S1474" s="19" t="n">
        <v>0.1248</v>
      </c>
      <c r="T1474" s="22" t="n">
        <v>-0.0067</v>
      </c>
      <c r="U1474" s="16" t="inlineStr">
        <is>
          <t>No</t>
        </is>
      </c>
      <c r="V1474" s="16" t="inlineStr">
        <is>
          <t>No</t>
        </is>
      </c>
      <c r="W1474" s="16" t="inlineStr">
        <is>
          <t>Yes</t>
        </is>
      </c>
      <c r="X1474" s="16" t="inlineStr">
        <is>
          <t>No</t>
        </is>
      </c>
      <c r="Y1474" s="20" t="n">
        <v>28</v>
      </c>
      <c r="Z1474" s="19" t="n">
        <v>-0.0699</v>
      </c>
      <c r="AA1474" s="18" t="n">
        <v>18.87</v>
      </c>
      <c r="AB1474" s="16" t="inlineStr">
        <is>
          <t>Poor</t>
        </is>
      </c>
      <c r="AC1474" s="16" t="inlineStr">
        <is>
          <t>No</t>
        </is>
      </c>
      <c r="AD1474" s="19" t="n">
        <v>-0.0003</v>
      </c>
      <c r="AE1474" s="19" t="n">
        <v>0.0559</v>
      </c>
      <c r="AF1474" s="19" t="n">
        <v>-0.8347</v>
      </c>
      <c r="AG1474" s="19" t="n">
        <v>0.003</v>
      </c>
      <c r="AH1474" s="23" t="n">
        <v>0.67</v>
      </c>
      <c r="AI1474" s="23" t="n">
        <v>2</v>
      </c>
      <c r="AJ1474" s="19" t="n">
        <v>0.1301</v>
      </c>
    </row>
    <row r="1475">
      <c r="A1475" s="16" t="inlineStr">
        <is>
          <t>ASTEC</t>
        </is>
      </c>
      <c r="B1475" s="16" t="inlineStr">
        <is>
          <t>Astec Lifesciences Ltd.</t>
        </is>
      </c>
      <c r="C1475" s="16" t="inlineStr">
        <is>
          <t>Agrochemicals</t>
        </is>
      </c>
      <c r="D1475" s="16" t="inlineStr">
        <is>
          <t>Chemicals &amp; Petrochemicals</t>
        </is>
      </c>
      <c r="E1475" s="16" t="inlineStr">
        <is>
          <t>INE563J01010</t>
        </is>
      </c>
      <c r="F1475" s="17" t="n">
        <v>1235.47</v>
      </c>
      <c r="G1475" s="18" t="n">
        <v>554.45</v>
      </c>
      <c r="H1475" s="19" t="n">
        <v>-0.0328</v>
      </c>
      <c r="I1475" s="20" t="n">
        <v>4</v>
      </c>
      <c r="J1475" s="16" t="inlineStr">
        <is>
          <t>red</t>
        </is>
      </c>
      <c r="K1475" s="20" t="n">
        <v>52</v>
      </c>
      <c r="L1475" s="18" t="n">
        <v>37.65</v>
      </c>
      <c r="M1475" s="18" t="n">
        <v>573.03</v>
      </c>
      <c r="N1475" s="18" t="n">
        <v>638.83</v>
      </c>
      <c r="O1475" s="18" t="n">
        <v>675.63</v>
      </c>
      <c r="P1475" s="18" t="n">
        <v>918.75</v>
      </c>
      <c r="Q1475" s="18" t="n">
        <v>521.85</v>
      </c>
      <c r="R1475" s="21">
        <f>IF(OR(G1475="",P1475=""),"",G1475/P1475-1)</f>
        <v/>
      </c>
      <c r="S1475" s="19" t="n">
        <v>1.2221</v>
      </c>
      <c r="T1475" s="22" t="n">
        <v>-0.0091</v>
      </c>
      <c r="U1475" s="16" t="inlineStr">
        <is>
          <t>No</t>
        </is>
      </c>
      <c r="V1475" s="16" t="inlineStr">
        <is>
          <t>No</t>
        </is>
      </c>
      <c r="W1475" s="16" t="inlineStr">
        <is>
          <t>No</t>
        </is>
      </c>
      <c r="X1475" s="16" t="inlineStr">
        <is>
          <t>No</t>
        </is>
      </c>
      <c r="Y1475" s="20" t="n">
        <v>11</v>
      </c>
      <c r="Z1475" s="19" t="n">
        <v>-0.0545</v>
      </c>
      <c r="AA1475" s="18" t="n">
        <v>6.29</v>
      </c>
      <c r="AB1475" s="16" t="inlineStr">
        <is>
          <t>Poor</t>
        </is>
      </c>
      <c r="AC1475" s="16" t="inlineStr">
        <is>
          <t>No</t>
        </is>
      </c>
      <c r="AD1475" s="19" t="n">
        <v>-0.3028</v>
      </c>
      <c r="AE1475" s="19" t="n">
        <v>-0.0771</v>
      </c>
      <c r="AF1475" s="19" t="n">
        <v>-1.4261</v>
      </c>
      <c r="AG1475" s="19" t="n">
        <v>-0.0888</v>
      </c>
      <c r="AH1475" s="23" t="n">
        <v>1.15</v>
      </c>
      <c r="AI1475" s="23" t="n">
        <v>0.98</v>
      </c>
      <c r="AJ1475" s="19" t="n">
        <v>0.0026</v>
      </c>
    </row>
    <row r="1476">
      <c r="A1476" s="16" t="inlineStr">
        <is>
          <t>RAMBHAJO</t>
        </is>
      </c>
      <c r="B1476" s="16" t="inlineStr">
        <is>
          <t>Advit Jewels Ltd.</t>
        </is>
      </c>
      <c r="C1476" s="16" t="inlineStr">
        <is>
          <t>Gems &amp; Jewellery</t>
        </is>
      </c>
      <c r="D1476" s="16" t="inlineStr">
        <is>
          <t>Textiles Apparels &amp; Accessories</t>
        </is>
      </c>
      <c r="E1476" s="16" t="inlineStr">
        <is>
          <t>INE1SJO01012</t>
        </is>
      </c>
      <c r="F1476" s="17" t="n">
        <v>1230.82</v>
      </c>
      <c r="G1476" s="18" t="n">
        <v>268.68</v>
      </c>
      <c r="H1476" s="19" t="n">
        <v>0.1</v>
      </c>
      <c r="I1476" s="20" t="n"/>
      <c r="J1476" s="16" t="n"/>
      <c r="K1476" s="20" t="n"/>
      <c r="L1476" s="18" t="n">
        <v>77.62</v>
      </c>
      <c r="M1476" s="18" t="n">
        <v>250.78</v>
      </c>
      <c r="N1476" s="18" t="n"/>
      <c r="O1476" s="18" t="n"/>
      <c r="P1476" s="18" t="n">
        <v>268.68</v>
      </c>
      <c r="Q1476" s="18" t="n">
        <v>167.3</v>
      </c>
      <c r="R1476" s="21">
        <f>IF(OR(G1476="",P1476=""),"",G1476/P1476-1)</f>
        <v/>
      </c>
      <c r="S1476" s="19" t="n">
        <v>1.0042</v>
      </c>
      <c r="T1476" s="22" t="n"/>
      <c r="U1476" s="16" t="n"/>
      <c r="V1476" s="16" t="n"/>
      <c r="W1476" s="16" t="inlineStr">
        <is>
          <t>Yes</t>
        </is>
      </c>
      <c r="X1476" s="16" t="n"/>
      <c r="Y1476" s="20" t="n"/>
      <c r="Z1476" s="19" t="n"/>
      <c r="AA1476" s="18" t="n">
        <v>40</v>
      </c>
      <c r="AB1476" s="16" t="inlineStr">
        <is>
          <t>Weak</t>
        </is>
      </c>
      <c r="AC1476" s="16" t="inlineStr">
        <is>
          <t>No</t>
        </is>
      </c>
      <c r="AD1476" s="19" t="n">
        <v>0.4865</v>
      </c>
      <c r="AE1476" s="19" t="n">
        <v>0.3815</v>
      </c>
      <c r="AF1476" s="19" t="n">
        <v>-0.293</v>
      </c>
      <c r="AG1476" s="19" t="n">
        <v>0.6446999999999999</v>
      </c>
      <c r="AH1476" s="23" t="n">
        <v>1.3</v>
      </c>
      <c r="AI1476" s="23" t="n">
        <v>8.58</v>
      </c>
      <c r="AJ1476" s="19" t="n">
        <v>0</v>
      </c>
    </row>
    <row r="1477">
      <c r="A1477" s="16" t="inlineStr">
        <is>
          <t>RAJRILTD</t>
        </is>
      </c>
      <c r="B1477" s="16" t="inlineStr">
        <is>
          <t>Raj Rayon Industries Ltd.</t>
        </is>
      </c>
      <c r="C1477" s="16" t="inlineStr">
        <is>
          <t>Textiles</t>
        </is>
      </c>
      <c r="D1477" s="16" t="inlineStr">
        <is>
          <t>Textiles Apparels &amp; Accessories</t>
        </is>
      </c>
      <c r="E1477" s="16" t="inlineStr">
        <is>
          <t>INE533D01032</t>
        </is>
      </c>
      <c r="F1477" s="17" t="n">
        <v>1228.39</v>
      </c>
      <c r="G1477" s="18" t="n">
        <v>22.09</v>
      </c>
      <c r="H1477" s="19" t="n">
        <v>-0.0103</v>
      </c>
      <c r="I1477" s="20" t="n">
        <v>38</v>
      </c>
      <c r="J1477" s="16" t="inlineStr">
        <is>
          <t>red</t>
        </is>
      </c>
      <c r="K1477" s="20" t="n">
        <v>125</v>
      </c>
      <c r="L1477" s="18" t="n">
        <v>52.47</v>
      </c>
      <c r="M1477" s="18" t="n">
        <v>22.76</v>
      </c>
      <c r="N1477" s="18" t="n">
        <v>22.09</v>
      </c>
      <c r="O1477" s="18" t="n">
        <v>21.74</v>
      </c>
      <c r="P1477" s="18" t="n">
        <v>28.49</v>
      </c>
      <c r="Q1477" s="18" t="n">
        <v>19.55</v>
      </c>
      <c r="R1477" s="21">
        <f>IF(OR(G1477="",P1477=""),"",G1477/P1477-1)</f>
        <v/>
      </c>
      <c r="S1477" s="19" t="n">
        <v>0.1658</v>
      </c>
      <c r="T1477" s="22" t="n">
        <v>-0.0097</v>
      </c>
      <c r="U1477" s="16" t="inlineStr">
        <is>
          <t>No</t>
        </is>
      </c>
      <c r="V1477" s="16" t="inlineStr">
        <is>
          <t>Yes</t>
        </is>
      </c>
      <c r="W1477" s="16" t="inlineStr">
        <is>
          <t>No</t>
        </is>
      </c>
      <c r="X1477" s="16" t="inlineStr">
        <is>
          <t>Yes</t>
        </is>
      </c>
      <c r="Y1477" s="20" t="n">
        <v>11</v>
      </c>
      <c r="Z1477" s="19" t="n">
        <v>0.0159</v>
      </c>
      <c r="AA1477" s="18" t="n">
        <v>48.81</v>
      </c>
      <c r="AB1477" s="16" t="inlineStr">
        <is>
          <t>Average</t>
        </is>
      </c>
      <c r="AC1477" s="16" t="inlineStr">
        <is>
          <t>No</t>
        </is>
      </c>
      <c r="AD1477" s="19" t="n">
        <v>0.1224</v>
      </c>
      <c r="AE1477" s="19" t="n">
        <v>0.0864</v>
      </c>
      <c r="AF1477" s="19" t="n">
        <v>1.4058</v>
      </c>
      <c r="AG1477" s="19" t="n">
        <v>1.6531</v>
      </c>
      <c r="AH1477" s="23" t="n">
        <v>1.42</v>
      </c>
      <c r="AI1477" s="23" t="n">
        <v>3.44</v>
      </c>
      <c r="AJ1477" s="19" t="n">
        <v>0.0025</v>
      </c>
    </row>
    <row r="1478">
      <c r="A1478" s="16" t="inlineStr">
        <is>
          <t>ARROWGREEN</t>
        </is>
      </c>
      <c r="B1478" s="16" t="inlineStr">
        <is>
          <t>Arrow Greentech Ltd.</t>
        </is>
      </c>
      <c r="C1478" s="16" t="inlineStr">
        <is>
          <t>Plastic Products</t>
        </is>
      </c>
      <c r="D1478" s="16" t="inlineStr">
        <is>
          <t>General Industrials</t>
        </is>
      </c>
      <c r="E1478" s="16" t="inlineStr">
        <is>
          <t>INE570D01018</t>
        </is>
      </c>
      <c r="F1478" s="17" t="n">
        <v>1228.31</v>
      </c>
      <c r="G1478" s="18" t="n">
        <v>814.1</v>
      </c>
      <c r="H1478" s="19" t="n">
        <v>0.0472</v>
      </c>
      <c r="I1478" s="20" t="n">
        <v>88</v>
      </c>
      <c r="J1478" s="16" t="inlineStr">
        <is>
          <t>green</t>
        </is>
      </c>
      <c r="K1478" s="20" t="n">
        <v>4</v>
      </c>
      <c r="L1478" s="18" t="n">
        <v>57.96</v>
      </c>
      <c r="M1478" s="18" t="n">
        <v>734.14</v>
      </c>
      <c r="N1478" s="18" t="n">
        <v>709.99</v>
      </c>
      <c r="O1478" s="18" t="n">
        <v>548.8</v>
      </c>
      <c r="P1478" s="18" t="n">
        <v>814.1</v>
      </c>
      <c r="Q1478" s="18" t="n">
        <v>345.8</v>
      </c>
      <c r="R1478" s="21">
        <f>IF(OR(G1478="",P1478=""),"",G1478/P1478-1)</f>
        <v/>
      </c>
      <c r="S1478" s="19" t="n">
        <v>1.5385</v>
      </c>
      <c r="T1478" s="22" t="n">
        <v>0.0282</v>
      </c>
      <c r="U1478" s="16" t="inlineStr">
        <is>
          <t>Yes</t>
        </is>
      </c>
      <c r="V1478" s="16" t="inlineStr">
        <is>
          <t>Yes</t>
        </is>
      </c>
      <c r="W1478" s="16" t="inlineStr">
        <is>
          <t>Yes</t>
        </is>
      </c>
      <c r="X1478" s="16" t="inlineStr">
        <is>
          <t>Yes</t>
        </is>
      </c>
      <c r="Y1478" s="20" t="n">
        <v>67</v>
      </c>
      <c r="Z1478" s="19" t="n">
        <v>0.2937</v>
      </c>
      <c r="AA1478" s="18" t="n">
        <v>82.72</v>
      </c>
      <c r="AB1478" s="16" t="inlineStr">
        <is>
          <t>High</t>
        </is>
      </c>
      <c r="AC1478" s="16" t="inlineStr">
        <is>
          <t>No</t>
        </is>
      </c>
      <c r="AD1478" s="19" t="n">
        <v>0.2566</v>
      </c>
      <c r="AE1478" s="19" t="n">
        <v>0.3507</v>
      </c>
      <c r="AF1478" s="19" t="n">
        <v>0.7282</v>
      </c>
      <c r="AG1478" s="19" t="n">
        <v>0.2763</v>
      </c>
      <c r="AH1478" s="23" t="n">
        <v>0.01</v>
      </c>
      <c r="AI1478" s="23" t="n">
        <v>6.44</v>
      </c>
      <c r="AJ1478" s="19" t="n">
        <v>0.0154</v>
      </c>
    </row>
    <row r="1479">
      <c r="A1479" s="16" t="inlineStr">
        <is>
          <t>ALLDIGI</t>
        </is>
      </c>
      <c r="B1479" s="16" t="inlineStr">
        <is>
          <t>Alldigi Tech Ltd.</t>
        </is>
      </c>
      <c r="C1479" s="16" t="inlineStr">
        <is>
          <t>BPO/KPO</t>
        </is>
      </c>
      <c r="D1479" s="16" t="inlineStr">
        <is>
          <t>Software &amp; Services</t>
        </is>
      </c>
      <c r="E1479" s="16" t="inlineStr">
        <is>
          <t>INE835G01018</t>
        </is>
      </c>
      <c r="F1479" s="17" t="n">
        <v>1227.98</v>
      </c>
      <c r="G1479" s="18" t="n">
        <v>805.85</v>
      </c>
      <c r="H1479" s="19" t="n">
        <v>0.0052</v>
      </c>
      <c r="I1479" s="20" t="n">
        <v>39</v>
      </c>
      <c r="J1479" s="16" t="inlineStr">
        <is>
          <t>red</t>
        </is>
      </c>
      <c r="K1479" s="20" t="n">
        <v>103</v>
      </c>
      <c r="L1479" s="18" t="n">
        <v>48.12</v>
      </c>
      <c r="M1479" s="18" t="n">
        <v>806.4299999999999</v>
      </c>
      <c r="N1479" s="18" t="n">
        <v>803.52</v>
      </c>
      <c r="O1479" s="18" t="n">
        <v>789.2</v>
      </c>
      <c r="P1479" s="18" t="n">
        <v>917.62</v>
      </c>
      <c r="Q1479" s="18" t="n">
        <v>678.53</v>
      </c>
      <c r="R1479" s="21">
        <f>IF(OR(G1479="",P1479=""),"",G1479/P1479-1)</f>
        <v/>
      </c>
      <c r="S1479" s="19" t="n">
        <v>0.1791</v>
      </c>
      <c r="T1479" s="22" t="n">
        <v>-0.0026</v>
      </c>
      <c r="U1479" s="16" t="inlineStr">
        <is>
          <t>No</t>
        </is>
      </c>
      <c r="V1479" s="16" t="inlineStr">
        <is>
          <t>Yes</t>
        </is>
      </c>
      <c r="W1479" s="16" t="inlineStr">
        <is>
          <t>No</t>
        </is>
      </c>
      <c r="X1479" s="16" t="inlineStr">
        <is>
          <t>Yes</t>
        </is>
      </c>
      <c r="Y1479" s="20" t="n">
        <v>29</v>
      </c>
      <c r="Z1479" s="19" t="n">
        <v>0.0182</v>
      </c>
      <c r="AA1479" s="18" t="n">
        <v>59.85</v>
      </c>
      <c r="AB1479" s="16" t="inlineStr">
        <is>
          <t>Good</t>
        </is>
      </c>
      <c r="AC1479" s="16" t="inlineStr">
        <is>
          <t>No</t>
        </is>
      </c>
      <c r="AD1479" s="19" t="n">
        <v>0.3031</v>
      </c>
      <c r="AE1479" s="19" t="n">
        <v>0.3043</v>
      </c>
      <c r="AF1479" s="19" t="n">
        <v>0.1996</v>
      </c>
      <c r="AG1479" s="19" t="n">
        <v>0.154</v>
      </c>
      <c r="AH1479" s="23" t="n">
        <v>0.68</v>
      </c>
      <c r="AI1479" s="23" t="n">
        <v>3.03</v>
      </c>
      <c r="AJ1479" s="19" t="n">
        <v>0.0051</v>
      </c>
    </row>
    <row r="1480">
      <c r="A1480" s="16" t="inlineStr">
        <is>
          <t>ROTO</t>
        </is>
      </c>
      <c r="B1480" s="16" t="inlineStr">
        <is>
          <t>Roto Pumps Ltd.</t>
        </is>
      </c>
      <c r="C1480" s="16" t="inlineStr">
        <is>
          <t>Compressors &amp; Pumps</t>
        </is>
      </c>
      <c r="D1480" s="16" t="inlineStr">
        <is>
          <t>General Industrials</t>
        </is>
      </c>
      <c r="E1480" s="16" t="inlineStr">
        <is>
          <t>INE535D01037</t>
        </is>
      </c>
      <c r="F1480" s="17" t="n">
        <v>1225.46</v>
      </c>
      <c r="G1480" s="18" t="n">
        <v>65.03</v>
      </c>
      <c r="H1480" s="19" t="n">
        <v>0.0199</v>
      </c>
      <c r="I1480" s="20" t="n">
        <v>44</v>
      </c>
      <c r="J1480" s="16" t="inlineStr">
        <is>
          <t>red</t>
        </is>
      </c>
      <c r="K1480" s="20" t="n">
        <v>275</v>
      </c>
      <c r="L1480" s="18" t="n">
        <v>47.56</v>
      </c>
      <c r="M1480" s="18" t="n">
        <v>64.68000000000001</v>
      </c>
      <c r="N1480" s="18" t="n">
        <v>67.45</v>
      </c>
      <c r="O1480" s="18" t="n">
        <v>62.18</v>
      </c>
      <c r="P1480" s="18" t="n">
        <v>84.09999999999999</v>
      </c>
      <c r="Q1480" s="18" t="n">
        <v>48.07</v>
      </c>
      <c r="R1480" s="21">
        <f>IF(OR(G1480="",P1480=""),"",G1480/P1480-1)</f>
        <v/>
      </c>
      <c r="S1480" s="19" t="n">
        <v>0.5326</v>
      </c>
      <c r="T1480" s="22" t="n">
        <v>-0.0027</v>
      </c>
      <c r="U1480" s="16" t="inlineStr">
        <is>
          <t>No</t>
        </is>
      </c>
      <c r="V1480" s="16" t="inlineStr">
        <is>
          <t>No</t>
        </is>
      </c>
      <c r="W1480" s="16" t="inlineStr">
        <is>
          <t>Yes</t>
        </is>
      </c>
      <c r="X1480" s="16" t="inlineStr">
        <is>
          <t>Yes</t>
        </is>
      </c>
      <c r="Y1480" s="20" t="n">
        <v>40</v>
      </c>
      <c r="Z1480" s="19" t="n">
        <v>0.08460000000000001</v>
      </c>
      <c r="AA1480" s="18" t="n">
        <v>40</v>
      </c>
      <c r="AB1480" s="16" t="inlineStr">
        <is>
          <t>Weak</t>
        </is>
      </c>
      <c r="AC1480" s="16" t="inlineStr">
        <is>
          <t>No</t>
        </is>
      </c>
      <c r="AD1480" s="19" t="n">
        <v>0.1523</v>
      </c>
      <c r="AE1480" s="19" t="n">
        <v>0.1859</v>
      </c>
      <c r="AF1480" s="19" t="n">
        <v>-0.2721</v>
      </c>
      <c r="AG1480" s="19" t="n">
        <v>0.0872</v>
      </c>
      <c r="AH1480" s="23" t="n">
        <v>0.13</v>
      </c>
      <c r="AI1480" s="23" t="n">
        <v>2.31</v>
      </c>
      <c r="AJ1480" s="19" t="n">
        <v>0.144</v>
      </c>
    </row>
    <row r="1481">
      <c r="A1481" s="16" t="inlineStr">
        <is>
          <t>XTRANET</t>
        </is>
      </c>
      <c r="B1481" s="16" t="inlineStr">
        <is>
          <t>Xtranet Technologies Ltd.</t>
        </is>
      </c>
      <c r="C1481" s="16" t="inlineStr">
        <is>
          <t>IT Consulting &amp; Software</t>
        </is>
      </c>
      <c r="D1481" s="16" t="inlineStr">
        <is>
          <t>Software &amp; Services</t>
        </is>
      </c>
      <c r="E1481" s="16" t="inlineStr">
        <is>
          <t>INE0NG701011</t>
        </is>
      </c>
      <c r="F1481" s="17" t="n">
        <v>1224.74</v>
      </c>
      <c r="G1481" s="18" t="n">
        <v>234.24</v>
      </c>
      <c r="H1481" s="19" t="n">
        <v>0.2</v>
      </c>
      <c r="I1481" s="20" t="n"/>
      <c r="J1481" s="16" t="n"/>
      <c r="K1481" s="20" t="n"/>
      <c r="L1481" s="18" t="n">
        <v>79.36</v>
      </c>
      <c r="M1481" s="18" t="n">
        <v>190.81</v>
      </c>
      <c r="N1481" s="18" t="n"/>
      <c r="O1481" s="18" t="n"/>
      <c r="P1481" s="18" t="n">
        <v>234.24</v>
      </c>
      <c r="Q1481" s="18" t="n">
        <v>124.01</v>
      </c>
      <c r="R1481" s="21">
        <f>IF(OR(G1481="",P1481=""),"",G1481/P1481-1)</f>
        <v/>
      </c>
      <c r="S1481" s="19" t="n">
        <v>3.7416</v>
      </c>
      <c r="T1481" s="22" t="n"/>
      <c r="U1481" s="16" t="n"/>
      <c r="V1481" s="16" t="n"/>
      <c r="W1481" s="16" t="inlineStr">
        <is>
          <t>Yes</t>
        </is>
      </c>
      <c r="X1481" s="16" t="n"/>
      <c r="Y1481" s="20" t="n"/>
      <c r="Z1481" s="19" t="n"/>
      <c r="AA1481" s="18" t="n">
        <v>67.95</v>
      </c>
      <c r="AB1481" s="16" t="inlineStr">
        <is>
          <t>High</t>
        </is>
      </c>
      <c r="AC1481" s="16" t="inlineStr">
        <is>
          <t>No</t>
        </is>
      </c>
      <c r="AD1481" s="19" t="n">
        <v>0.2971</v>
      </c>
      <c r="AE1481" s="19" t="n">
        <v>0.2794</v>
      </c>
      <c r="AF1481" s="19" t="n"/>
      <c r="AG1481" s="19" t="n">
        <v>0.185</v>
      </c>
      <c r="AH1481" s="23" t="n">
        <v>0.63</v>
      </c>
      <c r="AI1481" s="23" t="n">
        <v>4.98</v>
      </c>
      <c r="AJ1481" s="19" t="n">
        <v>0.3444</v>
      </c>
    </row>
    <row r="1482">
      <c r="A1482" s="16" t="inlineStr">
        <is>
          <t>BIL</t>
        </is>
      </c>
      <c r="B1482" s="16" t="inlineStr">
        <is>
          <t>Bhartiya International Ltd.</t>
        </is>
      </c>
      <c r="C1482" s="16" t="inlineStr">
        <is>
          <t>Other Apparels &amp; Accessories</t>
        </is>
      </c>
      <c r="D1482" s="16" t="inlineStr">
        <is>
          <t>Textiles Apparels &amp; Accessories</t>
        </is>
      </c>
      <c r="E1482" s="16" t="inlineStr">
        <is>
          <t>INE828A01016</t>
        </is>
      </c>
      <c r="F1482" s="17" t="n">
        <v>1217.46</v>
      </c>
      <c r="G1482" s="18" t="n">
        <v>907.85</v>
      </c>
      <c r="H1482" s="19" t="n">
        <v>-0.008699999999999999</v>
      </c>
      <c r="I1482" s="20" t="n">
        <v>68</v>
      </c>
      <c r="J1482" s="16" t="inlineStr">
        <is>
          <t>amber</t>
        </is>
      </c>
      <c r="K1482" s="20" t="n">
        <v>4</v>
      </c>
      <c r="L1482" s="18" t="n">
        <v>64.73</v>
      </c>
      <c r="M1482" s="18" t="n">
        <v>877.48</v>
      </c>
      <c r="N1482" s="18" t="n">
        <v>794.25</v>
      </c>
      <c r="O1482" s="18" t="n">
        <v>765.67</v>
      </c>
      <c r="P1482" s="18" t="n">
        <v>954.1</v>
      </c>
      <c r="Q1482" s="18" t="n">
        <v>613.15</v>
      </c>
      <c r="R1482" s="21">
        <f>IF(OR(G1482="",P1482=""),"",G1482/P1482-1)</f>
        <v/>
      </c>
      <c r="S1482" s="19" t="n">
        <v>0.6074000000000001</v>
      </c>
      <c r="T1482" s="22" t="n">
        <v>0.0035</v>
      </c>
      <c r="U1482" s="16" t="inlineStr">
        <is>
          <t>Yes</t>
        </is>
      </c>
      <c r="V1482" s="16" t="inlineStr">
        <is>
          <t>Yes</t>
        </is>
      </c>
      <c r="W1482" s="16" t="inlineStr">
        <is>
          <t>Yes</t>
        </is>
      </c>
      <c r="X1482" s="16" t="inlineStr">
        <is>
          <t>Yes</t>
        </is>
      </c>
      <c r="Y1482" s="20" t="n">
        <v>12</v>
      </c>
      <c r="Z1482" s="19" t="n">
        <v>0.0373</v>
      </c>
      <c r="AA1482" s="18" t="n">
        <v>44.42</v>
      </c>
      <c r="AB1482" s="16" t="inlineStr">
        <is>
          <t>Average</t>
        </is>
      </c>
      <c r="AC1482" s="16" t="inlineStr">
        <is>
          <t>No</t>
        </is>
      </c>
      <c r="AD1482" s="19" t="n">
        <v>0.021</v>
      </c>
      <c r="AE1482" s="19" t="n">
        <v>0.0677</v>
      </c>
      <c r="AF1482" s="19" t="n">
        <v>20.0554</v>
      </c>
      <c r="AG1482" s="19" t="n">
        <v>0.2047</v>
      </c>
      <c r="AH1482" s="23" t="n">
        <v>1.11</v>
      </c>
      <c r="AI1482" s="23" t="n">
        <v>8.73</v>
      </c>
      <c r="AJ1482" s="19" t="n">
        <v>0.0747</v>
      </c>
    </row>
    <row r="1483">
      <c r="A1483" s="16" t="inlineStr">
        <is>
          <t>FAZE3Q</t>
        </is>
      </c>
      <c r="B1483" s="16" t="inlineStr">
        <is>
          <t>Faze Three Ltd.</t>
        </is>
      </c>
      <c r="C1483" s="16" t="inlineStr">
        <is>
          <t>Textiles</t>
        </is>
      </c>
      <c r="D1483" s="16" t="inlineStr">
        <is>
          <t>Textiles Apparels &amp; Accessories</t>
        </is>
      </c>
      <c r="E1483" s="16" t="inlineStr">
        <is>
          <t>INE963C01033</t>
        </is>
      </c>
      <c r="F1483" s="17" t="n">
        <v>1215.01</v>
      </c>
      <c r="G1483" s="18" t="n">
        <v>493.95</v>
      </c>
      <c r="H1483" s="19" t="n">
        <v>-0.0089</v>
      </c>
      <c r="I1483" s="20" t="n">
        <v>40</v>
      </c>
      <c r="J1483" s="16" t="inlineStr">
        <is>
          <t>red</t>
        </is>
      </c>
      <c r="K1483" s="20" t="n">
        <v>18</v>
      </c>
      <c r="L1483" s="18" t="n">
        <v>58.35</v>
      </c>
      <c r="M1483" s="18" t="n">
        <v>490.58</v>
      </c>
      <c r="N1483" s="18" t="n">
        <v>542.96</v>
      </c>
      <c r="O1483" s="18" t="n">
        <v>489.79</v>
      </c>
      <c r="P1483" s="18" t="n">
        <v>621.85</v>
      </c>
      <c r="Q1483" s="18" t="n">
        <v>349.8</v>
      </c>
      <c r="R1483" s="21">
        <f>IF(OR(G1483="",P1483=""),"",G1483/P1483-1)</f>
        <v/>
      </c>
      <c r="S1483" s="19" t="n">
        <v>0.2521</v>
      </c>
      <c r="T1483" s="22" t="n">
        <v>0.0011</v>
      </c>
      <c r="U1483" s="16" t="inlineStr">
        <is>
          <t>Yes</t>
        </is>
      </c>
      <c r="V1483" s="16" t="inlineStr">
        <is>
          <t>No</t>
        </is>
      </c>
      <c r="W1483" s="16" t="inlineStr">
        <is>
          <t>Yes</t>
        </is>
      </c>
      <c r="X1483" s="16" t="inlineStr">
        <is>
          <t>Yes</t>
        </is>
      </c>
      <c r="Y1483" s="20" t="n">
        <v>64</v>
      </c>
      <c r="Z1483" s="19" t="n">
        <v>0.1086</v>
      </c>
      <c r="AA1483" s="18" t="n">
        <v>36.2</v>
      </c>
      <c r="AB1483" s="16" t="inlineStr">
        <is>
          <t>Weak</t>
        </is>
      </c>
      <c r="AC1483" s="16" t="inlineStr">
        <is>
          <t>No</t>
        </is>
      </c>
      <c r="AD1483" s="19" t="n">
        <v>0.0978</v>
      </c>
      <c r="AE1483" s="19" t="n">
        <v>0.1094</v>
      </c>
      <c r="AF1483" s="19" t="n">
        <v>-0.4427</v>
      </c>
      <c r="AG1483" s="19" t="n">
        <v>0.211</v>
      </c>
      <c r="AH1483" s="23" t="n">
        <v>0.61</v>
      </c>
      <c r="AI1483" s="23" t="n">
        <v>2.49</v>
      </c>
      <c r="AJ1483" s="19" t="n">
        <v>0.0336</v>
      </c>
    </row>
    <row r="1484">
      <c r="A1484" s="16" t="inlineStr">
        <is>
          <t>IRISDOREME</t>
        </is>
      </c>
      <c r="B1484" s="16" t="inlineStr">
        <is>
          <t>IRIS Clothings Ltd.</t>
        </is>
      </c>
      <c r="C1484" s="16" t="inlineStr">
        <is>
          <t>Textiles</t>
        </is>
      </c>
      <c r="D1484" s="16" t="inlineStr">
        <is>
          <t>Textiles Apparels &amp; Accessories</t>
        </is>
      </c>
      <c r="E1484" s="16" t="inlineStr">
        <is>
          <t>INE01GN01025</t>
        </is>
      </c>
      <c r="F1484" s="17" t="n">
        <v>1210.13</v>
      </c>
      <c r="G1484" s="18" t="n">
        <v>63.58</v>
      </c>
      <c r="H1484" s="19" t="n">
        <v>0.06</v>
      </c>
      <c r="I1484" s="20" t="n">
        <v>94</v>
      </c>
      <c r="J1484" s="16" t="inlineStr">
        <is>
          <t>green</t>
        </is>
      </c>
      <c r="K1484" s="20" t="n">
        <v>38</v>
      </c>
      <c r="L1484" s="18" t="n">
        <v>69.27</v>
      </c>
      <c r="M1484" s="18" t="n">
        <v>59.09</v>
      </c>
      <c r="N1484" s="18" t="n">
        <v>51.49</v>
      </c>
      <c r="O1484" s="18" t="n">
        <v>38.63</v>
      </c>
      <c r="P1484" s="18" t="n">
        <v>63.58</v>
      </c>
      <c r="Q1484" s="18" t="n">
        <v>27.83</v>
      </c>
      <c r="R1484" s="21">
        <f>IF(OR(G1484="",P1484=""),"",G1484/P1484-1)</f>
        <v/>
      </c>
      <c r="S1484" s="19" t="n">
        <v>1.7105</v>
      </c>
      <c r="T1484" s="22" t="n">
        <v>0.0699</v>
      </c>
      <c r="U1484" s="16" t="inlineStr">
        <is>
          <t>Yes</t>
        </is>
      </c>
      <c r="V1484" s="16" t="inlineStr">
        <is>
          <t>Yes</t>
        </is>
      </c>
      <c r="W1484" s="16" t="inlineStr">
        <is>
          <t>Yes</t>
        </is>
      </c>
      <c r="X1484" s="16" t="inlineStr">
        <is>
          <t>Yes</t>
        </is>
      </c>
      <c r="Y1484" s="20" t="n">
        <v>78</v>
      </c>
      <c r="Z1484" s="19" t="n">
        <v>0.3331</v>
      </c>
      <c r="AA1484" s="18" t="n">
        <v>40</v>
      </c>
      <c r="AB1484" s="16" t="inlineStr">
        <is>
          <t>Weak</t>
        </is>
      </c>
      <c r="AC1484" s="16" t="inlineStr">
        <is>
          <t>No</t>
        </is>
      </c>
      <c r="AD1484" s="19" t="n">
        <v>0.1501</v>
      </c>
      <c r="AE1484" s="19" t="n">
        <v>0.1617</v>
      </c>
      <c r="AF1484" s="19" t="n">
        <v>-0.1296</v>
      </c>
      <c r="AG1484" s="19" t="n">
        <v>0.1962</v>
      </c>
      <c r="AH1484" s="23" t="n">
        <v>0.24</v>
      </c>
      <c r="AI1484" s="23" t="n">
        <v>4.79</v>
      </c>
      <c r="AJ1484" s="19" t="n">
        <v>0.1754</v>
      </c>
    </row>
    <row r="1485">
      <c r="A1485" s="16" t="inlineStr">
        <is>
          <t>COMSYN</t>
        </is>
      </c>
      <c r="B1485" s="16" t="inlineStr">
        <is>
          <t>Commercial Syn Bags Ltd.</t>
        </is>
      </c>
      <c r="C1485" s="16" t="inlineStr">
        <is>
          <t>Containers &amp; Packaging</t>
        </is>
      </c>
      <c r="D1485" s="16" t="inlineStr">
        <is>
          <t>Commercial Services &amp; Supplies</t>
        </is>
      </c>
      <c r="E1485" s="16" t="inlineStr">
        <is>
          <t>INE073V01015</t>
        </is>
      </c>
      <c r="F1485" s="17" t="n">
        <v>1203.76</v>
      </c>
      <c r="G1485" s="18" t="n">
        <v>301.3</v>
      </c>
      <c r="H1485" s="19" t="n">
        <v>-0.0046</v>
      </c>
      <c r="I1485" s="20" t="n">
        <v>95</v>
      </c>
      <c r="J1485" s="16" t="inlineStr">
        <is>
          <t>green</t>
        </is>
      </c>
      <c r="K1485" s="20" t="n">
        <v>28</v>
      </c>
      <c r="L1485" s="18" t="n">
        <v>68.43000000000001</v>
      </c>
      <c r="M1485" s="18" t="n">
        <v>295.32</v>
      </c>
      <c r="N1485" s="18" t="n">
        <v>230.24</v>
      </c>
      <c r="O1485" s="18" t="n">
        <v>173.96</v>
      </c>
      <c r="P1485" s="18" t="n">
        <v>304.35</v>
      </c>
      <c r="Q1485" s="18" t="n">
        <v>138</v>
      </c>
      <c r="R1485" s="21">
        <f>IF(OR(G1485="",P1485=""),"",G1485/P1485-1)</f>
        <v/>
      </c>
      <c r="S1485" s="19" t="n">
        <v>0.0975</v>
      </c>
      <c r="T1485" s="22" t="n">
        <v>0.0851</v>
      </c>
      <c r="U1485" s="16" t="inlineStr">
        <is>
          <t>Yes</t>
        </is>
      </c>
      <c r="V1485" s="16" t="inlineStr">
        <is>
          <t>Yes</t>
        </is>
      </c>
      <c r="W1485" s="16" t="inlineStr">
        <is>
          <t>Yes</t>
        </is>
      </c>
      <c r="X1485" s="16" t="inlineStr">
        <is>
          <t>Yes</t>
        </is>
      </c>
      <c r="Y1485" s="20" t="n">
        <v>424</v>
      </c>
      <c r="Z1485" s="19" t="n">
        <v>0.3235</v>
      </c>
      <c r="AA1485" s="18" t="n">
        <v>38.42</v>
      </c>
      <c r="AB1485" s="16" t="inlineStr">
        <is>
          <t>Weak</t>
        </is>
      </c>
      <c r="AC1485" s="16" t="inlineStr">
        <is>
          <t>No</t>
        </is>
      </c>
      <c r="AD1485" s="19" t="n">
        <v>0.1078</v>
      </c>
      <c r="AE1485" s="19" t="n">
        <v>0.1082</v>
      </c>
      <c r="AF1485" s="19" t="n">
        <v>0.0416</v>
      </c>
      <c r="AG1485" s="19" t="n">
        <v>0.1044</v>
      </c>
      <c r="AH1485" s="23" t="n">
        <v>0.72</v>
      </c>
      <c r="AI1485" s="23" t="n">
        <v>2.97</v>
      </c>
      <c r="AJ1485" s="19" t="n">
        <v>0.2001</v>
      </c>
    </row>
    <row r="1486">
      <c r="A1486" s="16" t="inlineStr">
        <is>
          <t>HARAFIN</t>
        </is>
      </c>
      <c r="B1486" s="16" t="inlineStr">
        <is>
          <t>Haryana Financial Corporation</t>
        </is>
      </c>
      <c r="C1486" s="16" t="inlineStr">
        <is>
          <t>Financial Institutions</t>
        </is>
      </c>
      <c r="D1486" s="16" t="inlineStr">
        <is>
          <t>Banking and Finance</t>
        </is>
      </c>
      <c r="E1486" s="16" t="inlineStr">
        <is>
          <t>INE737G01016</t>
        </is>
      </c>
      <c r="F1486" s="17" t="n">
        <v>1203.38</v>
      </c>
      <c r="G1486" s="18" t="n">
        <v>57.95</v>
      </c>
      <c r="H1486" s="19" t="n">
        <v>0</v>
      </c>
      <c r="I1486" s="20" t="n">
        <v>8</v>
      </c>
      <c r="J1486" s="16" t="inlineStr">
        <is>
          <t>red</t>
        </is>
      </c>
      <c r="K1486" s="20" t="n">
        <v>78</v>
      </c>
      <c r="L1486" s="18" t="n">
        <v>17.15</v>
      </c>
      <c r="M1486" s="18" t="n">
        <v>63.22</v>
      </c>
      <c r="N1486" s="18" t="n">
        <v>65.13</v>
      </c>
      <c r="O1486" s="18" t="n">
        <v>73.47</v>
      </c>
      <c r="P1486" s="18" t="n">
        <v>93.73999999999999</v>
      </c>
      <c r="Q1486" s="18" t="n">
        <v>57.95</v>
      </c>
      <c r="R1486" s="21">
        <f>IF(OR(G1486="",P1486=""),"",G1486/P1486-1)</f>
        <v/>
      </c>
      <c r="S1486" s="19" t="n">
        <v>0</v>
      </c>
      <c r="T1486" s="22" t="n">
        <v>-0.0321</v>
      </c>
      <c r="U1486" s="16" t="inlineStr">
        <is>
          <t>No</t>
        </is>
      </c>
      <c r="V1486" s="16" t="inlineStr">
        <is>
          <t>No</t>
        </is>
      </c>
      <c r="W1486" s="16" t="inlineStr">
        <is>
          <t>No</t>
        </is>
      </c>
      <c r="X1486" s="16" t="inlineStr">
        <is>
          <t>No</t>
        </is>
      </c>
      <c r="Y1486" s="20" t="n">
        <v>102</v>
      </c>
      <c r="Z1486" s="19" t="n">
        <v>-0.1135</v>
      </c>
      <c r="AA1486" s="18" t="n"/>
      <c r="AB1486" s="16" t="n"/>
      <c r="AC1486" s="16" t="inlineStr">
        <is>
          <t>No</t>
        </is>
      </c>
      <c r="AD1486" s="19" t="n"/>
      <c r="AE1486" s="19" t="n"/>
      <c r="AF1486" s="19" t="n"/>
      <c r="AG1486" s="19" t="n"/>
      <c r="AH1486" s="23" t="n"/>
      <c r="AI1486" s="23" t="n"/>
      <c r="AJ1486" s="19" t="n"/>
    </row>
    <row r="1487">
      <c r="A1487" s="16" t="inlineStr">
        <is>
          <t>COSMICCRF</t>
        </is>
      </c>
      <c r="B1487" s="16" t="inlineStr">
        <is>
          <t>Cosmic CRF Ltd.</t>
        </is>
      </c>
      <c r="C1487" s="16" t="inlineStr">
        <is>
          <t>Iron &amp; Steel Products</t>
        </is>
      </c>
      <c r="D1487" s="16" t="inlineStr">
        <is>
          <t>Metals &amp; Mining</t>
        </is>
      </c>
      <c r="E1487" s="16" t="inlineStr">
        <is>
          <t>INE0ORA01015</t>
        </is>
      </c>
      <c r="F1487" s="17" t="n">
        <v>1198.71</v>
      </c>
      <c r="G1487" s="18" t="n">
        <v>1304.7</v>
      </c>
      <c r="H1487" s="19" t="n">
        <v>0.002</v>
      </c>
      <c r="I1487" s="20" t="n">
        <v>66</v>
      </c>
      <c r="J1487" s="16" t="inlineStr">
        <is>
          <t>amber</t>
        </is>
      </c>
      <c r="K1487" s="20" t="n">
        <v>10</v>
      </c>
      <c r="L1487" s="18" t="n">
        <v>59.91</v>
      </c>
      <c r="M1487" s="18" t="n">
        <v>1339</v>
      </c>
      <c r="N1487" s="18" t="n">
        <v>1300.91</v>
      </c>
      <c r="O1487" s="18" t="n">
        <v>1085.3</v>
      </c>
      <c r="P1487" s="18" t="n">
        <v>1458.7</v>
      </c>
      <c r="Q1487" s="18" t="n">
        <v>562</v>
      </c>
      <c r="R1487" s="21">
        <f>IF(OR(G1487="",P1487=""),"",G1487/P1487-1)</f>
        <v/>
      </c>
      <c r="S1487" s="19" t="n">
        <v>0.3738</v>
      </c>
      <c r="T1487" s="22" t="n">
        <v>0.0109</v>
      </c>
      <c r="U1487" s="16" t="inlineStr">
        <is>
          <t>Yes</t>
        </is>
      </c>
      <c r="V1487" s="16" t="inlineStr">
        <is>
          <t>Yes</t>
        </is>
      </c>
      <c r="W1487" s="16" t="inlineStr">
        <is>
          <t>No</t>
        </is>
      </c>
      <c r="X1487" s="16" t="inlineStr">
        <is>
          <t>Yes</t>
        </is>
      </c>
      <c r="Y1487" s="20" t="n">
        <v>38</v>
      </c>
      <c r="Z1487" s="19" t="n">
        <v>0.1987</v>
      </c>
      <c r="AA1487" s="18" t="n"/>
      <c r="AB1487" s="16" t="n"/>
      <c r="AC1487" s="16" t="inlineStr">
        <is>
          <t>No</t>
        </is>
      </c>
      <c r="AD1487" s="19" t="n"/>
      <c r="AE1487" s="19" t="n"/>
      <c r="AF1487" s="19" t="n"/>
      <c r="AG1487" s="19" t="n"/>
      <c r="AH1487" s="23" t="n"/>
      <c r="AI1487" s="23" t="n"/>
      <c r="AJ1487" s="19" t="n"/>
    </row>
    <row r="1488">
      <c r="A1488" s="16" t="inlineStr">
        <is>
          <t>EKC</t>
        </is>
      </c>
      <c r="B1488" s="16" t="inlineStr">
        <is>
          <t>Everest Kanto Cylinder Ltd.</t>
        </is>
      </c>
      <c r="C1488" s="16" t="inlineStr">
        <is>
          <t>Other Industrial Products</t>
        </is>
      </c>
      <c r="D1488" s="16" t="inlineStr">
        <is>
          <t>General Industrials</t>
        </is>
      </c>
      <c r="E1488" s="16" t="inlineStr">
        <is>
          <t>INE184H01027</t>
        </is>
      </c>
      <c r="F1488" s="17" t="n">
        <v>1194.11</v>
      </c>
      <c r="G1488" s="18" t="n">
        <v>106.42</v>
      </c>
      <c r="H1488" s="19" t="n">
        <v>-0.0054</v>
      </c>
      <c r="I1488" s="20" t="n">
        <v>26</v>
      </c>
      <c r="J1488" s="16" t="inlineStr">
        <is>
          <t>red</t>
        </is>
      </c>
      <c r="K1488" s="20" t="n">
        <v>211</v>
      </c>
      <c r="L1488" s="18" t="n">
        <v>41.56</v>
      </c>
      <c r="M1488" s="18" t="n">
        <v>107.64</v>
      </c>
      <c r="N1488" s="18" t="n">
        <v>111.78</v>
      </c>
      <c r="O1488" s="18" t="n">
        <v>113.84</v>
      </c>
      <c r="P1488" s="18" t="n">
        <v>151.72</v>
      </c>
      <c r="Q1488" s="18" t="n">
        <v>90.89</v>
      </c>
      <c r="R1488" s="21">
        <f>IF(OR(G1488="",P1488=""),"",G1488/P1488-1)</f>
        <v/>
      </c>
      <c r="S1488" s="19" t="n">
        <v>0.8027</v>
      </c>
      <c r="T1488" s="22" t="n">
        <v>-0.0277</v>
      </c>
      <c r="U1488" s="16" t="inlineStr">
        <is>
          <t>No</t>
        </is>
      </c>
      <c r="V1488" s="16" t="inlineStr">
        <is>
          <t>No</t>
        </is>
      </c>
      <c r="W1488" s="16" t="inlineStr">
        <is>
          <t>No</t>
        </is>
      </c>
      <c r="X1488" s="16" t="inlineStr">
        <is>
          <t>No</t>
        </is>
      </c>
      <c r="Y1488" s="20" t="n">
        <v>177</v>
      </c>
      <c r="Z1488" s="19" t="n">
        <v>-0.0181</v>
      </c>
      <c r="AA1488" s="18" t="n">
        <v>44.69</v>
      </c>
      <c r="AB1488" s="16" t="inlineStr">
        <is>
          <t>Average</t>
        </is>
      </c>
      <c r="AC1488" s="16" t="inlineStr">
        <is>
          <t>No</t>
        </is>
      </c>
      <c r="AD1488" s="19" t="n">
        <v>0.09210000000000002</v>
      </c>
      <c r="AE1488" s="19" t="n">
        <v>0.1039</v>
      </c>
      <c r="AF1488" s="19" t="n">
        <v>0.263</v>
      </c>
      <c r="AG1488" s="19" t="n">
        <v>0.06059999999999999</v>
      </c>
      <c r="AH1488" s="23" t="n">
        <v>0.19</v>
      </c>
      <c r="AI1488" s="23" t="n">
        <v>2.04</v>
      </c>
      <c r="AJ1488" s="19" t="n">
        <v>0.2248</v>
      </c>
    </row>
    <row r="1489">
      <c r="A1489" s="16" t="inlineStr">
        <is>
          <t>TNPETRO</t>
        </is>
      </c>
      <c r="B1489" s="16" t="inlineStr">
        <is>
          <t>Tamilnadu Petroproducts Ltd.</t>
        </is>
      </c>
      <c r="C1489" s="16" t="inlineStr">
        <is>
          <t>Commodity Chemicals</t>
        </is>
      </c>
      <c r="D1489" s="16" t="inlineStr">
        <is>
          <t>Chemicals &amp; Petrochemicals</t>
        </is>
      </c>
      <c r="E1489" s="16" t="inlineStr">
        <is>
          <t>INE148A01019</t>
        </is>
      </c>
      <c r="F1489" s="17" t="n">
        <v>1193.92</v>
      </c>
      <c r="G1489" s="18" t="n">
        <v>132.7</v>
      </c>
      <c r="H1489" s="19" t="n">
        <v>-0.0371</v>
      </c>
      <c r="I1489" s="20" t="n">
        <v>83</v>
      </c>
      <c r="J1489" s="16" t="inlineStr">
        <is>
          <t>green</t>
        </is>
      </c>
      <c r="K1489" s="20" t="n">
        <v>4</v>
      </c>
      <c r="L1489" s="18" t="n">
        <v>69.88</v>
      </c>
      <c r="M1489" s="18" t="n">
        <v>123.89</v>
      </c>
      <c r="N1489" s="18" t="n">
        <v>104.2</v>
      </c>
      <c r="O1489" s="18" t="n">
        <v>96.12</v>
      </c>
      <c r="P1489" s="18" t="n">
        <v>137.81</v>
      </c>
      <c r="Q1489" s="18" t="n">
        <v>79.90000000000001</v>
      </c>
      <c r="R1489" s="21">
        <f>IF(OR(G1489="",P1489=""),"",G1489/P1489-1)</f>
        <v/>
      </c>
      <c r="S1489" s="19" t="n">
        <v>0.5632</v>
      </c>
      <c r="T1489" s="22" t="n">
        <v>0.0015</v>
      </c>
      <c r="U1489" s="16" t="inlineStr">
        <is>
          <t>Yes</t>
        </is>
      </c>
      <c r="V1489" s="16" t="inlineStr">
        <is>
          <t>Yes</t>
        </is>
      </c>
      <c r="W1489" s="16" t="inlineStr">
        <is>
          <t>Yes</t>
        </is>
      </c>
      <c r="X1489" s="16" t="inlineStr">
        <is>
          <t>Yes</t>
        </is>
      </c>
      <c r="Y1489" s="20" t="n">
        <v>15</v>
      </c>
      <c r="Z1489" s="19" t="n">
        <v>0.08400000000000001</v>
      </c>
      <c r="AA1489" s="18" t="n">
        <v>29.32</v>
      </c>
      <c r="AB1489" s="16" t="inlineStr">
        <is>
          <t>Poor</t>
        </is>
      </c>
      <c r="AC1489" s="16" t="inlineStr">
        <is>
          <t>No</t>
        </is>
      </c>
      <c r="AD1489" s="19" t="n">
        <v>0.0727</v>
      </c>
      <c r="AE1489" s="19" t="n">
        <v>0.0861</v>
      </c>
      <c r="AF1489" s="19" t="n">
        <v>0.1223</v>
      </c>
      <c r="AG1489" s="19" t="n">
        <v>-0.1088</v>
      </c>
      <c r="AH1489" s="23" t="n">
        <v>0.46</v>
      </c>
      <c r="AI1489" s="23" t="n">
        <v>1.51</v>
      </c>
      <c r="AJ1489" s="19" t="n">
        <v>0.1201</v>
      </c>
    </row>
    <row r="1490">
      <c r="A1490" s="16" t="inlineStr">
        <is>
          <t>PANORAMA</t>
        </is>
      </c>
      <c r="B1490" s="16" t="inlineStr">
        <is>
          <t>Panorama Studios International Ltd.</t>
        </is>
      </c>
      <c r="C1490" s="16" t="inlineStr">
        <is>
          <t>Movies &amp; Entertainment</t>
        </is>
      </c>
      <c r="D1490" s="16" t="inlineStr">
        <is>
          <t>Media</t>
        </is>
      </c>
      <c r="E1490" s="16" t="inlineStr">
        <is>
          <t>INE258R01028</t>
        </is>
      </c>
      <c r="F1490" s="17" t="n">
        <v>1191.27</v>
      </c>
      <c r="G1490" s="18" t="n">
        <v>47.98</v>
      </c>
      <c r="H1490" s="19" t="n">
        <v>0.0508</v>
      </c>
      <c r="I1490" s="20" t="n">
        <v>37</v>
      </c>
      <c r="J1490" s="16" t="inlineStr">
        <is>
          <t>red</t>
        </is>
      </c>
      <c r="K1490" s="20" t="n">
        <v>17</v>
      </c>
      <c r="L1490" s="18" t="n">
        <v>54.92</v>
      </c>
      <c r="M1490" s="18" t="n">
        <v>45.71</v>
      </c>
      <c r="N1490" s="18" t="n">
        <v>48.11</v>
      </c>
      <c r="O1490" s="18" t="n">
        <v>44.2</v>
      </c>
      <c r="P1490" s="18" t="n">
        <v>58.53</v>
      </c>
      <c r="Q1490" s="18" t="n">
        <v>32.38</v>
      </c>
      <c r="R1490" s="21">
        <f>IF(OR(G1490="",P1490=""),"",G1490/P1490-1)</f>
        <v/>
      </c>
      <c r="S1490" s="19" t="n">
        <v>0.5504</v>
      </c>
      <c r="T1490" s="22" t="n">
        <v>-0.0143</v>
      </c>
      <c r="U1490" s="16" t="inlineStr">
        <is>
          <t>No</t>
        </is>
      </c>
      <c r="V1490" s="16" t="inlineStr">
        <is>
          <t>No</t>
        </is>
      </c>
      <c r="W1490" s="16" t="inlineStr">
        <is>
          <t>Yes</t>
        </is>
      </c>
      <c r="X1490" s="16" t="inlineStr">
        <is>
          <t>Yes</t>
        </is>
      </c>
      <c r="Y1490" s="20" t="n">
        <v>40</v>
      </c>
      <c r="Z1490" s="19" t="n">
        <v>0.0885</v>
      </c>
      <c r="AA1490" s="18" t="n"/>
      <c r="AB1490" s="16" t="n"/>
      <c r="AC1490" s="16" t="inlineStr">
        <is>
          <t>No</t>
        </is>
      </c>
      <c r="AD1490" s="19" t="n"/>
      <c r="AE1490" s="19" t="n"/>
      <c r="AF1490" s="19" t="n"/>
      <c r="AG1490" s="19" t="n"/>
      <c r="AH1490" s="23" t="n"/>
      <c r="AI1490" s="23" t="n"/>
      <c r="AJ1490" s="19" t="n"/>
    </row>
    <row r="1491">
      <c r="A1491" s="16" t="inlineStr">
        <is>
          <t>MONTECARLO</t>
        </is>
      </c>
      <c r="B1491" s="16" t="inlineStr">
        <is>
          <t>Monte Carlo Fashions Ltd.</t>
        </is>
      </c>
      <c r="C1491" s="16" t="inlineStr">
        <is>
          <t>Other Apparels &amp; Accessories</t>
        </is>
      </c>
      <c r="D1491" s="16" t="inlineStr">
        <is>
          <t>Textiles Apparels &amp; Accessories</t>
        </is>
      </c>
      <c r="E1491" s="16" t="inlineStr">
        <is>
          <t>INE950M01013</t>
        </is>
      </c>
      <c r="F1491" s="17" t="n">
        <v>1191.06</v>
      </c>
      <c r="G1491" s="18" t="n">
        <v>574.5</v>
      </c>
      <c r="H1491" s="19" t="n">
        <v>0.0178</v>
      </c>
      <c r="I1491" s="20" t="n">
        <v>41</v>
      </c>
      <c r="J1491" s="16" t="inlineStr">
        <is>
          <t>red</t>
        </is>
      </c>
      <c r="K1491" s="20" t="n">
        <v>159</v>
      </c>
      <c r="L1491" s="18" t="n">
        <v>70.93000000000001</v>
      </c>
      <c r="M1491" s="18" t="n">
        <v>545.59</v>
      </c>
      <c r="N1491" s="18" t="n">
        <v>536.12</v>
      </c>
      <c r="O1491" s="18" t="n">
        <v>580.49</v>
      </c>
      <c r="P1491" s="18" t="n">
        <v>834.85</v>
      </c>
      <c r="Q1491" s="18" t="n">
        <v>466.9</v>
      </c>
      <c r="R1491" s="21">
        <f>IF(OR(G1491="",P1491=""),"",G1491/P1491-1)</f>
        <v/>
      </c>
      <c r="S1491" s="19" t="n">
        <v>0.6604000000000001</v>
      </c>
      <c r="T1491" s="22" t="n">
        <v>-0.0309</v>
      </c>
      <c r="U1491" s="16" t="inlineStr">
        <is>
          <t>No</t>
        </is>
      </c>
      <c r="V1491" s="16" t="inlineStr">
        <is>
          <t>Yes</t>
        </is>
      </c>
      <c r="W1491" s="16" t="inlineStr">
        <is>
          <t>Yes</t>
        </is>
      </c>
      <c r="X1491" s="16" t="inlineStr">
        <is>
          <t>No</t>
        </is>
      </c>
      <c r="Y1491" s="20" t="n">
        <v>136</v>
      </c>
      <c r="Z1491" s="19" t="n">
        <v>-0.0764</v>
      </c>
      <c r="AA1491" s="18" t="n">
        <v>35.65</v>
      </c>
      <c r="AB1491" s="16" t="inlineStr">
        <is>
          <t>Weak</t>
        </is>
      </c>
      <c r="AC1491" s="16" t="inlineStr">
        <is>
          <t>No</t>
        </is>
      </c>
      <c r="AD1491" s="19" t="n">
        <v>0.09880000000000001</v>
      </c>
      <c r="AE1491" s="19" t="n">
        <v>0.118</v>
      </c>
      <c r="AF1491" s="19" t="n">
        <v>0.0624</v>
      </c>
      <c r="AG1491" s="19" t="n">
        <v>0.0491</v>
      </c>
      <c r="AH1491" s="23" t="n">
        <v>0.64</v>
      </c>
      <c r="AI1491" s="23" t="n">
        <v>3.11</v>
      </c>
      <c r="AJ1491" s="19" t="n">
        <v>0.0575</v>
      </c>
    </row>
    <row r="1492">
      <c r="A1492" s="16" t="inlineStr">
        <is>
          <t>JYOTISTRUC</t>
        </is>
      </c>
      <c r="B1492" s="16" t="inlineStr">
        <is>
          <t>Jyoti Structures Ltd.</t>
        </is>
      </c>
      <c r="C1492" s="16" t="inlineStr">
        <is>
          <t>Construction &amp; Engineering</t>
        </is>
      </c>
      <c r="D1492" s="16" t="inlineStr">
        <is>
          <t>Cement and Construction</t>
        </is>
      </c>
      <c r="E1492" s="16" t="inlineStr">
        <is>
          <t>INE197A01024</t>
        </is>
      </c>
      <c r="F1492" s="17" t="n">
        <v>1190.82</v>
      </c>
      <c r="G1492" s="18" t="n">
        <v>10.02</v>
      </c>
      <c r="H1492" s="19" t="n">
        <v>0.0224</v>
      </c>
      <c r="I1492" s="20" t="n">
        <v>7</v>
      </c>
      <c r="J1492" s="16" t="inlineStr">
        <is>
          <t>red</t>
        </is>
      </c>
      <c r="K1492" s="20" t="n">
        <v>82</v>
      </c>
      <c r="L1492" s="18" t="n">
        <v>28.28</v>
      </c>
      <c r="M1492" s="18" t="n">
        <v>10.01</v>
      </c>
      <c r="N1492" s="18" t="n">
        <v>11.01</v>
      </c>
      <c r="O1492" s="18" t="n">
        <v>11.21</v>
      </c>
      <c r="P1492" s="18" t="n">
        <v>17.08</v>
      </c>
      <c r="Q1492" s="18" t="n">
        <v>7.97</v>
      </c>
      <c r="R1492" s="21">
        <f>IF(OR(G1492="",P1492=""),"",G1492/P1492-1)</f>
        <v/>
      </c>
      <c r="S1492" s="19" t="n">
        <v>2.0834</v>
      </c>
      <c r="T1492" s="22" t="n">
        <v>-0.0177</v>
      </c>
      <c r="U1492" s="16" t="inlineStr">
        <is>
          <t>No</t>
        </is>
      </c>
      <c r="V1492" s="16" t="inlineStr">
        <is>
          <t>No</t>
        </is>
      </c>
      <c r="W1492" s="16" t="inlineStr">
        <is>
          <t>Yes</t>
        </is>
      </c>
      <c r="X1492" s="16" t="inlineStr">
        <is>
          <t>No</t>
        </is>
      </c>
      <c r="Y1492" s="20" t="n">
        <v>7</v>
      </c>
      <c r="Z1492" s="19" t="n">
        <v>-0.0171</v>
      </c>
      <c r="AA1492" s="18" t="n">
        <v>19.75</v>
      </c>
      <c r="AB1492" s="16" t="inlineStr">
        <is>
          <t>Poor</t>
        </is>
      </c>
      <c r="AC1492" s="16" t="inlineStr">
        <is>
          <t>No</t>
        </is>
      </c>
      <c r="AD1492" s="19" t="n">
        <v>-0.316</v>
      </c>
      <c r="AE1492" s="19" t="n">
        <v>0.0157</v>
      </c>
      <c r="AF1492" s="19" t="n">
        <v>2.6156</v>
      </c>
      <c r="AG1492" s="19" t="n">
        <v>0.5171</v>
      </c>
      <c r="AH1492" s="23" t="n">
        <v>4.39</v>
      </c>
      <c r="AI1492" s="23" t="n">
        <v>10.48</v>
      </c>
      <c r="AJ1492" s="19" t="n">
        <v>0.0187</v>
      </c>
    </row>
    <row r="1493">
      <c r="A1493" s="16" t="inlineStr">
        <is>
          <t>TGVSL</t>
        </is>
      </c>
      <c r="B1493" s="16" t="inlineStr">
        <is>
          <t>TGV SRAAC Ltd.</t>
        </is>
      </c>
      <c r="C1493" s="16" t="inlineStr">
        <is>
          <t>Commodity Chemicals</t>
        </is>
      </c>
      <c r="D1493" s="16" t="inlineStr">
        <is>
          <t>Chemicals &amp; Petrochemicals</t>
        </is>
      </c>
      <c r="E1493" s="16" t="inlineStr">
        <is>
          <t>INE284B01028</t>
        </is>
      </c>
      <c r="F1493" s="17" t="n">
        <v>1179.06</v>
      </c>
      <c r="G1493" s="18" t="n">
        <v>110.1</v>
      </c>
      <c r="H1493" s="19" t="n">
        <v>0.0124</v>
      </c>
      <c r="I1493" s="20" t="n">
        <v>44</v>
      </c>
      <c r="J1493" s="16" t="inlineStr">
        <is>
          <t>red</t>
        </is>
      </c>
      <c r="K1493" s="20" t="n">
        <v>59</v>
      </c>
      <c r="L1493" s="18" t="n">
        <v>62.55</v>
      </c>
      <c r="M1493" s="18" t="n">
        <v>105.69</v>
      </c>
      <c r="N1493" s="18" t="n">
        <v>104.42</v>
      </c>
      <c r="O1493" s="18" t="n">
        <v>102.37</v>
      </c>
      <c r="P1493" s="18" t="n">
        <v>132.69</v>
      </c>
      <c r="Q1493" s="18" t="n">
        <v>79.22</v>
      </c>
      <c r="R1493" s="21">
        <f>IF(OR(G1493="",P1493=""),"",G1493/P1493-1)</f>
        <v/>
      </c>
      <c r="S1493" s="19" t="n">
        <v>1.9834</v>
      </c>
      <c r="T1493" s="22" t="n">
        <v>-0.0117</v>
      </c>
      <c r="U1493" s="16" t="inlineStr">
        <is>
          <t>No</t>
        </is>
      </c>
      <c r="V1493" s="16" t="inlineStr">
        <is>
          <t>Yes</t>
        </is>
      </c>
      <c r="W1493" s="16" t="inlineStr">
        <is>
          <t>Yes</t>
        </is>
      </c>
      <c r="X1493" s="16" t="inlineStr">
        <is>
          <t>Yes</t>
        </is>
      </c>
      <c r="Y1493" s="20" t="n">
        <v>60</v>
      </c>
      <c r="Z1493" s="19" t="n">
        <v>0.02</v>
      </c>
      <c r="AA1493" s="18" t="n"/>
      <c r="AB1493" s="16" t="n"/>
      <c r="AC1493" s="16" t="inlineStr">
        <is>
          <t>No</t>
        </is>
      </c>
      <c r="AD1493" s="19" t="n"/>
      <c r="AE1493" s="19" t="n"/>
      <c r="AF1493" s="19" t="n"/>
      <c r="AG1493" s="19" t="n"/>
      <c r="AH1493" s="23" t="n"/>
      <c r="AI1493" s="23" t="n"/>
      <c r="AJ1493" s="19" t="n"/>
    </row>
    <row r="1494">
      <c r="A1494" s="16" t="inlineStr">
        <is>
          <t>PRECAM</t>
        </is>
      </c>
      <c r="B1494" s="16" t="inlineStr">
        <is>
          <t>Precision Camshafts Ltd.</t>
        </is>
      </c>
      <c r="C1494" s="16" t="inlineStr">
        <is>
          <t>Auto Parts &amp; Equipment</t>
        </is>
      </c>
      <c r="D1494" s="16" t="inlineStr">
        <is>
          <t>Automobiles &amp; Auto Components</t>
        </is>
      </c>
      <c r="E1494" s="16" t="inlineStr">
        <is>
          <t>INE484I01029</t>
        </is>
      </c>
      <c r="F1494" s="17" t="n">
        <v>1178.01</v>
      </c>
      <c r="G1494" s="18" t="n">
        <v>124.02</v>
      </c>
      <c r="H1494" s="19" t="n">
        <v>0.0157</v>
      </c>
      <c r="I1494" s="20" t="n">
        <v>11</v>
      </c>
      <c r="J1494" s="16" t="inlineStr">
        <is>
          <t>red</t>
        </is>
      </c>
      <c r="K1494" s="20" t="n">
        <v>84</v>
      </c>
      <c r="L1494" s="18" t="n">
        <v>16.47</v>
      </c>
      <c r="M1494" s="18" t="n">
        <v>124.88</v>
      </c>
      <c r="N1494" s="18" t="n">
        <v>138.38</v>
      </c>
      <c r="O1494" s="18" t="n">
        <v>145.98</v>
      </c>
      <c r="P1494" s="18" t="n">
        <v>253.12</v>
      </c>
      <c r="Q1494" s="18" t="n">
        <v>104.34</v>
      </c>
      <c r="R1494" s="21">
        <f>IF(OR(G1494="",P1494=""),"",G1494/P1494-1)</f>
        <v/>
      </c>
      <c r="S1494" s="19" t="n">
        <v>0.9320999999999999</v>
      </c>
      <c r="T1494" s="22" t="n">
        <v>-0.0357</v>
      </c>
      <c r="U1494" s="16" t="inlineStr">
        <is>
          <t>No</t>
        </is>
      </c>
      <c r="V1494" s="16" t="inlineStr">
        <is>
          <t>No</t>
        </is>
      </c>
      <c r="W1494" s="16" t="inlineStr">
        <is>
          <t>No</t>
        </is>
      </c>
      <c r="X1494" s="16" t="inlineStr">
        <is>
          <t>No</t>
        </is>
      </c>
      <c r="Y1494" s="20" t="n">
        <v>189</v>
      </c>
      <c r="Z1494" s="19" t="n">
        <v>-0.0521</v>
      </c>
      <c r="AA1494" s="18" t="n">
        <v>37.19</v>
      </c>
      <c r="AB1494" s="16" t="inlineStr">
        <is>
          <t>Weak</t>
        </is>
      </c>
      <c r="AC1494" s="16" t="inlineStr">
        <is>
          <t>No</t>
        </is>
      </c>
      <c r="AD1494" s="19" t="n">
        <v>0.0612</v>
      </c>
      <c r="AE1494" s="19" t="n">
        <v>0.09039999999999999</v>
      </c>
      <c r="AF1494" s="19" t="n">
        <v>0.0537</v>
      </c>
      <c r="AG1494" s="19" t="n">
        <v>-0.1047</v>
      </c>
      <c r="AH1494" s="23" t="n">
        <v>0.06</v>
      </c>
      <c r="AI1494" s="23" t="n">
        <v>2.15</v>
      </c>
      <c r="AJ1494" s="19" t="n">
        <v>0.1829</v>
      </c>
    </row>
    <row r="1495">
      <c r="A1495" s="16" t="inlineStr">
        <is>
          <t>SALSTEEL</t>
        </is>
      </c>
      <c r="B1495" s="16" t="inlineStr">
        <is>
          <t>SAL Steel Ltd.</t>
        </is>
      </c>
      <c r="C1495" s="16" t="inlineStr">
        <is>
          <t>Iron &amp; Steel/Interm.Products</t>
        </is>
      </c>
      <c r="D1495" s="16" t="inlineStr">
        <is>
          <t>Metals &amp; Mining</t>
        </is>
      </c>
      <c r="E1495" s="16" t="inlineStr">
        <is>
          <t>INE658G01014</t>
        </is>
      </c>
      <c r="F1495" s="17" t="n">
        <v>1177.97</v>
      </c>
      <c r="G1495" s="18" t="n">
        <v>81.37</v>
      </c>
      <c r="H1495" s="19" t="n">
        <v>-0.008199999999999999</v>
      </c>
      <c r="I1495" s="20" t="n">
        <v>96</v>
      </c>
      <c r="J1495" s="16" t="inlineStr">
        <is>
          <t>green</t>
        </is>
      </c>
      <c r="K1495" s="20" t="n">
        <v>248</v>
      </c>
      <c r="L1495" s="18" t="n">
        <v>67.67</v>
      </c>
      <c r="M1495" s="18" t="n">
        <v>78.13</v>
      </c>
      <c r="N1495" s="18" t="n">
        <v>63.92</v>
      </c>
      <c r="O1495" s="18" t="n">
        <v>51.46</v>
      </c>
      <c r="P1495" s="18" t="n">
        <v>82.43000000000001</v>
      </c>
      <c r="Q1495" s="18" t="n">
        <v>18.02</v>
      </c>
      <c r="R1495" s="21">
        <f>IF(OR(G1495="",P1495=""),"",G1495/P1495-1)</f>
        <v/>
      </c>
      <c r="S1495" s="19" t="n">
        <v>0.3722</v>
      </c>
      <c r="T1495" s="22" t="n">
        <v>0.07440000000000001</v>
      </c>
      <c r="U1495" s="16" t="inlineStr">
        <is>
          <t>Yes</t>
        </is>
      </c>
      <c r="V1495" s="16" t="inlineStr">
        <is>
          <t>Yes</t>
        </is>
      </c>
      <c r="W1495" s="16" t="inlineStr">
        <is>
          <t>Yes</t>
        </is>
      </c>
      <c r="X1495" s="16" t="inlineStr">
        <is>
          <t>Yes</t>
        </is>
      </c>
      <c r="Y1495" s="20" t="n">
        <v>238</v>
      </c>
      <c r="Z1495" s="19" t="n">
        <v>0.2423</v>
      </c>
      <c r="AA1495" s="18" t="n">
        <v>0</v>
      </c>
      <c r="AB1495" s="16" t="inlineStr">
        <is>
          <t>Poor</t>
        </is>
      </c>
      <c r="AC1495" s="16" t="inlineStr">
        <is>
          <t>No</t>
        </is>
      </c>
      <c r="AD1495" s="19" t="n">
        <v>-0.0524</v>
      </c>
      <c r="AE1495" s="19" t="n">
        <v>0.0545</v>
      </c>
      <c r="AF1495" s="19" t="n">
        <v>-2.7605</v>
      </c>
      <c r="AG1495" s="19" t="n">
        <v>-0.1706</v>
      </c>
      <c r="AH1495" s="23" t="n">
        <v>2.38</v>
      </c>
      <c r="AI1495" s="23" t="n">
        <v>0.66</v>
      </c>
      <c r="AJ1495" s="19" t="n">
        <v>0.5508</v>
      </c>
    </row>
    <row r="1496">
      <c r="A1496" s="16" t="inlineStr">
        <is>
          <t>BOROSCI</t>
        </is>
      </c>
      <c r="B1496" s="16" t="inlineStr">
        <is>
          <t>Borosil Scientific Ltd.</t>
        </is>
      </c>
      <c r="C1496" s="16" t="inlineStr">
        <is>
          <t>Containers &amp; Packaging</t>
        </is>
      </c>
      <c r="D1496" s="16" t="inlineStr">
        <is>
          <t>Commercial Services &amp; Supplies</t>
        </is>
      </c>
      <c r="E1496" s="16" t="inlineStr">
        <is>
          <t>INE02L001032</t>
        </is>
      </c>
      <c r="F1496" s="17" t="n">
        <v>1175.58</v>
      </c>
      <c r="G1496" s="18" t="n">
        <v>132.16</v>
      </c>
      <c r="H1496" s="19" t="n">
        <v>-0.0205</v>
      </c>
      <c r="I1496" s="20" t="n">
        <v>39</v>
      </c>
      <c r="J1496" s="16" t="inlineStr">
        <is>
          <t>red</t>
        </is>
      </c>
      <c r="K1496" s="20" t="n">
        <v>19</v>
      </c>
      <c r="L1496" s="18" t="n">
        <v>49.09</v>
      </c>
      <c r="M1496" s="18" t="n">
        <v>128.3</v>
      </c>
      <c r="N1496" s="18" t="n">
        <v>146.82</v>
      </c>
      <c r="O1496" s="18" t="n">
        <v>127.56</v>
      </c>
      <c r="P1496" s="18" t="n">
        <v>173.52</v>
      </c>
      <c r="Q1496" s="18" t="n">
        <v>100.97</v>
      </c>
      <c r="R1496" s="21">
        <f>IF(OR(G1496="",P1496=""),"",G1496/P1496-1)</f>
        <v/>
      </c>
      <c r="S1496" s="19" t="n">
        <v>0.5279</v>
      </c>
      <c r="T1496" s="22" t="n">
        <v>-0.0026</v>
      </c>
      <c r="U1496" s="16" t="inlineStr">
        <is>
          <t>No</t>
        </is>
      </c>
      <c r="V1496" s="16" t="inlineStr">
        <is>
          <t>No</t>
        </is>
      </c>
      <c r="W1496" s="16" t="inlineStr">
        <is>
          <t>Yes</t>
        </is>
      </c>
      <c r="X1496" s="16" t="inlineStr">
        <is>
          <t>Yes</t>
        </is>
      </c>
      <c r="Y1496" s="20" t="n">
        <v>64</v>
      </c>
      <c r="Z1496" s="19" t="n">
        <v>0.151</v>
      </c>
      <c r="AA1496" s="18" t="n">
        <v>63.13</v>
      </c>
      <c r="AB1496" s="16" t="inlineStr">
        <is>
          <t>Good</t>
        </is>
      </c>
      <c r="AC1496" s="16" t="inlineStr">
        <is>
          <t>No</t>
        </is>
      </c>
      <c r="AD1496" s="19" t="n">
        <v>0.06909999999999999</v>
      </c>
      <c r="AE1496" s="19" t="n">
        <v>0.0949</v>
      </c>
      <c r="AF1496" s="19" t="n">
        <v>3.2205</v>
      </c>
      <c r="AG1496" s="19" t="n">
        <v>1.0673</v>
      </c>
      <c r="AH1496" s="23" t="n">
        <v>0.02</v>
      </c>
      <c r="AI1496" s="23" t="n">
        <v>3.58</v>
      </c>
      <c r="AJ1496" s="19" t="n">
        <v>0.0673</v>
      </c>
    </row>
    <row r="1497">
      <c r="A1497" s="16" t="inlineStr">
        <is>
          <t>APEX</t>
        </is>
      </c>
      <c r="B1497" s="16" t="inlineStr">
        <is>
          <t>Apex Frozen Foods Ltd.</t>
        </is>
      </c>
      <c r="C1497" s="16" t="inlineStr">
        <is>
          <t>Other Food &amp; Beverages</t>
        </is>
      </c>
      <c r="D1497" s="16" t="inlineStr">
        <is>
          <t>Food, Beverages &amp; Tobacco</t>
        </is>
      </c>
      <c r="E1497" s="16" t="inlineStr">
        <is>
          <t>INE346W01013</t>
        </is>
      </c>
      <c r="F1497" s="17" t="n">
        <v>1172.34</v>
      </c>
      <c r="G1497" s="18" t="n">
        <v>375.15</v>
      </c>
      <c r="H1497" s="19" t="n">
        <v>-0.0042</v>
      </c>
      <c r="I1497" s="20" t="n">
        <v>66</v>
      </c>
      <c r="J1497" s="16" t="inlineStr">
        <is>
          <t>amber</t>
        </is>
      </c>
      <c r="K1497" s="20" t="n">
        <v>5</v>
      </c>
      <c r="L1497" s="18" t="n">
        <v>17.62</v>
      </c>
      <c r="M1497" s="18" t="n">
        <v>377.63</v>
      </c>
      <c r="N1497" s="18" t="n">
        <v>389.49</v>
      </c>
      <c r="O1497" s="18" t="n">
        <v>376.01</v>
      </c>
      <c r="P1497" s="18" t="n">
        <v>501.3</v>
      </c>
      <c r="Q1497" s="18" t="n">
        <v>216.48</v>
      </c>
      <c r="R1497" s="21">
        <f>IF(OR(G1497="",P1497=""),"",G1497/P1497-1)</f>
        <v/>
      </c>
      <c r="S1497" s="19" t="n">
        <v>0.2</v>
      </c>
      <c r="T1497" s="22" t="n">
        <v>0.0365</v>
      </c>
      <c r="U1497" s="16" t="inlineStr">
        <is>
          <t>Yes</t>
        </is>
      </c>
      <c r="V1497" s="16" t="inlineStr">
        <is>
          <t>No</t>
        </is>
      </c>
      <c r="W1497" s="16" t="inlineStr">
        <is>
          <t>No</t>
        </is>
      </c>
      <c r="X1497" s="16" t="inlineStr">
        <is>
          <t>Yes</t>
        </is>
      </c>
      <c r="Y1497" s="20" t="n">
        <v>283</v>
      </c>
      <c r="Z1497" s="19" t="n">
        <v>0.0359</v>
      </c>
      <c r="AA1497" s="18" t="n">
        <v>31.8</v>
      </c>
      <c r="AB1497" s="16" t="inlineStr">
        <is>
          <t>Poor</t>
        </is>
      </c>
      <c r="AC1497" s="16" t="inlineStr">
        <is>
          <t>No</t>
        </is>
      </c>
      <c r="AD1497" s="19" t="n">
        <v>0.0369</v>
      </c>
      <c r="AE1497" s="19" t="n">
        <v>0.0603</v>
      </c>
      <c r="AF1497" s="19" t="n">
        <v>-0.7759</v>
      </c>
      <c r="AG1497" s="19" t="n">
        <v>-0.0298</v>
      </c>
      <c r="AH1497" s="23" t="n">
        <v>0.01</v>
      </c>
      <c r="AI1497" s="23" t="n">
        <v>3.66</v>
      </c>
      <c r="AJ1497" s="19" t="n">
        <v>0.008199999999999999</v>
      </c>
    </row>
    <row r="1498">
      <c r="A1498" s="16" t="inlineStr">
        <is>
          <t>AIRFLOA</t>
        </is>
      </c>
      <c r="B1498" s="16" t="inlineStr">
        <is>
          <t>Airfloa Rail Technology Ltd.</t>
        </is>
      </c>
      <c r="C1498" s="16" t="inlineStr">
        <is>
          <t>Auto Parts &amp; Equipment</t>
        </is>
      </c>
      <c r="D1498" s="16" t="inlineStr">
        <is>
          <t>Automobiles &amp; Auto Components</t>
        </is>
      </c>
      <c r="E1498" s="16" t="inlineStr">
        <is>
          <t>INE0XBS01012</t>
        </is>
      </c>
      <c r="F1498" s="17" t="n">
        <v>1167.82</v>
      </c>
      <c r="G1498" s="18" t="n">
        <v>487.2</v>
      </c>
      <c r="H1498" s="19" t="n">
        <v>0.0164</v>
      </c>
      <c r="I1498" s="20" t="n">
        <v>87</v>
      </c>
      <c r="J1498" s="16" t="inlineStr">
        <is>
          <t>green</t>
        </is>
      </c>
      <c r="K1498" s="20" t="n">
        <v>11</v>
      </c>
      <c r="L1498" s="18" t="n">
        <v>96.81999999999999</v>
      </c>
      <c r="M1498" s="18" t="n">
        <v>467.51</v>
      </c>
      <c r="N1498" s="18" t="n">
        <v>355.58</v>
      </c>
      <c r="O1498" s="18" t="n">
        <v>324.28</v>
      </c>
      <c r="P1498" s="18" t="n">
        <v>487.2</v>
      </c>
      <c r="Q1498" s="18" t="n">
        <v>250.15</v>
      </c>
      <c r="R1498" s="21">
        <f>IF(OR(G1498="",P1498=""),"",G1498/P1498-1)</f>
        <v/>
      </c>
      <c r="S1498" s="19" t="n">
        <v>1.6346</v>
      </c>
      <c r="T1498" s="22" t="n">
        <v>0.008100000000000001</v>
      </c>
      <c r="U1498" s="16" t="inlineStr">
        <is>
          <t>Yes</t>
        </is>
      </c>
      <c r="V1498" s="16" t="inlineStr">
        <is>
          <t>Yes</t>
        </is>
      </c>
      <c r="W1498" s="16" t="inlineStr">
        <is>
          <t>Yes</t>
        </is>
      </c>
      <c r="X1498" s="16" t="inlineStr">
        <is>
          <t>Yes</t>
        </is>
      </c>
      <c r="Y1498" s="20" t="n">
        <v>20</v>
      </c>
      <c r="Z1498" s="19" t="n">
        <v>0.0965</v>
      </c>
      <c r="AA1498" s="18" t="n"/>
      <c r="AB1498" s="16" t="n"/>
      <c r="AC1498" s="16" t="inlineStr">
        <is>
          <t>No</t>
        </is>
      </c>
      <c r="AD1498" s="19" t="n"/>
      <c r="AE1498" s="19" t="n"/>
      <c r="AF1498" s="19" t="n"/>
      <c r="AG1498" s="19" t="n"/>
      <c r="AH1498" s="23" t="n"/>
      <c r="AI1498" s="23" t="n"/>
      <c r="AJ1498" s="19" t="n"/>
    </row>
    <row r="1499">
      <c r="A1499" s="16" t="inlineStr">
        <is>
          <t>ICEMAKE</t>
        </is>
      </c>
      <c r="B1499" s="16" t="inlineStr">
        <is>
          <t>ICE Make Refrigeration Ltd.</t>
        </is>
      </c>
      <c r="C1499" s="16" t="inlineStr">
        <is>
          <t>Industrial Machinery</t>
        </is>
      </c>
      <c r="D1499" s="16" t="inlineStr">
        <is>
          <t>General Industrials</t>
        </is>
      </c>
      <c r="E1499" s="16" t="inlineStr">
        <is>
          <t>INE520Y01019</t>
        </is>
      </c>
      <c r="F1499" s="17" t="n">
        <v>1165.49</v>
      </c>
      <c r="G1499" s="18" t="n">
        <v>738.6</v>
      </c>
      <c r="H1499" s="19" t="n">
        <v>-0.0009</v>
      </c>
      <c r="I1499" s="20" t="n">
        <v>36</v>
      </c>
      <c r="J1499" s="16" t="inlineStr">
        <is>
          <t>red</t>
        </is>
      </c>
      <c r="K1499" s="20" t="n">
        <v>21</v>
      </c>
      <c r="L1499" s="18" t="n">
        <v>61.01</v>
      </c>
      <c r="M1499" s="18" t="n">
        <v>740.5599999999999</v>
      </c>
      <c r="N1499" s="18" t="n">
        <v>785.3</v>
      </c>
      <c r="O1499" s="18" t="n">
        <v>773.11</v>
      </c>
      <c r="P1499" s="18" t="n">
        <v>885.95</v>
      </c>
      <c r="Q1499" s="18" t="n">
        <v>665.4</v>
      </c>
      <c r="R1499" s="21">
        <f>IF(OR(G1499="",P1499=""),"",G1499/P1499-1)</f>
        <v/>
      </c>
      <c r="S1499" s="19" t="n">
        <v>0.2384</v>
      </c>
      <c r="T1499" s="22" t="n">
        <v>0.005699999999999999</v>
      </c>
      <c r="U1499" s="16" t="inlineStr">
        <is>
          <t>Yes</t>
        </is>
      </c>
      <c r="V1499" s="16" t="inlineStr">
        <is>
          <t>No</t>
        </is>
      </c>
      <c r="W1499" s="16" t="inlineStr">
        <is>
          <t>No</t>
        </is>
      </c>
      <c r="X1499" s="16" t="inlineStr">
        <is>
          <t>Yes</t>
        </is>
      </c>
      <c r="Y1499" s="20" t="n">
        <v>137</v>
      </c>
      <c r="Z1499" s="19" t="n">
        <v>0.0158</v>
      </c>
      <c r="AA1499" s="18" t="n">
        <v>40</v>
      </c>
      <c r="AB1499" s="16" t="inlineStr">
        <is>
          <t>Weak</t>
        </is>
      </c>
      <c r="AC1499" s="16" t="inlineStr">
        <is>
          <t>No</t>
        </is>
      </c>
      <c r="AD1499" s="19" t="n">
        <v>0.1767</v>
      </c>
      <c r="AE1499" s="19" t="n">
        <v>0.1824</v>
      </c>
      <c r="AF1499" s="19" t="n">
        <v>-0.286</v>
      </c>
      <c r="AG1499" s="19" t="n">
        <v>0.291</v>
      </c>
      <c r="AH1499" s="23" t="n">
        <v>1.19</v>
      </c>
      <c r="AI1499" s="23" t="n">
        <v>4.08</v>
      </c>
      <c r="AJ1499" s="19" t="n">
        <v>0.1542</v>
      </c>
    </row>
    <row r="1500">
      <c r="A1500" s="16" t="inlineStr">
        <is>
          <t>GULPOLY</t>
        </is>
      </c>
      <c r="B1500" s="16" t="inlineStr">
        <is>
          <t>Gulshan Polyols Ltd.</t>
        </is>
      </c>
      <c r="C1500" s="16" t="inlineStr">
        <is>
          <t>Commodity Chemicals</t>
        </is>
      </c>
      <c r="D1500" s="16" t="inlineStr">
        <is>
          <t>Chemicals &amp; Petrochemicals</t>
        </is>
      </c>
      <c r="E1500" s="16" t="inlineStr">
        <is>
          <t>INE255D01024</t>
        </is>
      </c>
      <c r="F1500" s="17" t="n">
        <v>1160.16</v>
      </c>
      <c r="G1500" s="18" t="n">
        <v>186.01</v>
      </c>
      <c r="H1500" s="19" t="n">
        <v>-0.0014</v>
      </c>
      <c r="I1500" s="20" t="n">
        <v>53</v>
      </c>
      <c r="J1500" s="16" t="inlineStr">
        <is>
          <t>red</t>
        </is>
      </c>
      <c r="K1500" s="20" t="n">
        <v>2</v>
      </c>
      <c r="L1500" s="18" t="n">
        <v>43.87</v>
      </c>
      <c r="M1500" s="18" t="n">
        <v>189.5</v>
      </c>
      <c r="N1500" s="18" t="n">
        <v>190.01</v>
      </c>
      <c r="O1500" s="18" t="n">
        <v>167.67</v>
      </c>
      <c r="P1500" s="18" t="n">
        <v>213.28</v>
      </c>
      <c r="Q1500" s="18" t="n">
        <v>124.35</v>
      </c>
      <c r="R1500" s="21">
        <f>IF(OR(G1500="",P1500=""),"",G1500/P1500-1)</f>
        <v/>
      </c>
      <c r="S1500" s="19" t="n">
        <v>0.2745</v>
      </c>
      <c r="T1500" s="22" t="n">
        <v>0.0244</v>
      </c>
      <c r="U1500" s="16" t="inlineStr">
        <is>
          <t>Yes</t>
        </is>
      </c>
      <c r="V1500" s="16" t="inlineStr">
        <is>
          <t>No</t>
        </is>
      </c>
      <c r="W1500" s="16" t="inlineStr">
        <is>
          <t>No</t>
        </is>
      </c>
      <c r="X1500" s="16" t="inlineStr">
        <is>
          <t>Yes</t>
        </is>
      </c>
      <c r="Y1500" s="20" t="n">
        <v>101</v>
      </c>
      <c r="Z1500" s="19" t="n">
        <v>0.1332</v>
      </c>
      <c r="AA1500" s="18" t="n">
        <v>48.33</v>
      </c>
      <c r="AB1500" s="16" t="inlineStr">
        <is>
          <t>Average</t>
        </is>
      </c>
      <c r="AC1500" s="16" t="inlineStr">
        <is>
          <t>No</t>
        </is>
      </c>
      <c r="AD1500" s="19" t="n">
        <v>0.0732</v>
      </c>
      <c r="AE1500" s="19" t="n">
        <v>0.0944</v>
      </c>
      <c r="AF1500" s="19" t="n">
        <v>1.038</v>
      </c>
      <c r="AG1500" s="19" t="n">
        <v>0.267</v>
      </c>
      <c r="AH1500" s="23" t="n">
        <v>0.43</v>
      </c>
      <c r="AI1500" s="23" t="n">
        <v>3.3</v>
      </c>
      <c r="AJ1500" s="19" t="n">
        <v>0.01</v>
      </c>
    </row>
    <row r="1501">
      <c r="A1501" s="16" t="inlineStr">
        <is>
          <t>FINOPB</t>
        </is>
      </c>
      <c r="B1501" s="16" t="inlineStr">
        <is>
          <t>Fino Payments Bank Ltd.</t>
        </is>
      </c>
      <c r="C1501" s="16" t="inlineStr">
        <is>
          <t>Microfinance Institutions</t>
        </is>
      </c>
      <c r="D1501" s="16" t="inlineStr">
        <is>
          <t>Banking and Finance</t>
        </is>
      </c>
      <c r="E1501" s="16" t="inlineStr">
        <is>
          <t>INE02NC01014</t>
        </is>
      </c>
      <c r="F1501" s="17" t="n">
        <v>1159.48</v>
      </c>
      <c r="G1501" s="18" t="n">
        <v>139.33</v>
      </c>
      <c r="H1501" s="19" t="n">
        <v>-0.0064</v>
      </c>
      <c r="I1501" s="20" t="n">
        <v>5</v>
      </c>
      <c r="J1501" s="16" t="inlineStr">
        <is>
          <t>red</t>
        </is>
      </c>
      <c r="K1501" s="20" t="n">
        <v>184</v>
      </c>
      <c r="L1501" s="18" t="n">
        <v>36.99</v>
      </c>
      <c r="M1501" s="18" t="n">
        <v>140.76</v>
      </c>
      <c r="N1501" s="18" t="n">
        <v>152.58</v>
      </c>
      <c r="O1501" s="18" t="n">
        <v>180.08</v>
      </c>
      <c r="P1501" s="18" t="n">
        <v>336</v>
      </c>
      <c r="Q1501" s="18" t="n">
        <v>112.46</v>
      </c>
      <c r="R1501" s="21">
        <f>IF(OR(G1501="",P1501=""),"",G1501/P1501-1)</f>
        <v/>
      </c>
      <c r="S1501" s="19" t="n">
        <v>0.2154</v>
      </c>
      <c r="T1501" s="22" t="n">
        <v>-0.07429999999999999</v>
      </c>
      <c r="U1501" s="16" t="inlineStr">
        <is>
          <t>No</t>
        </is>
      </c>
      <c r="V1501" s="16" t="inlineStr">
        <is>
          <t>No</t>
        </is>
      </c>
      <c r="W1501" s="16" t="inlineStr">
        <is>
          <t>No</t>
        </is>
      </c>
      <c r="X1501" s="16" t="inlineStr">
        <is>
          <t>No</t>
        </is>
      </c>
      <c r="Y1501" s="20" t="n">
        <v>159</v>
      </c>
      <c r="Z1501" s="19" t="n">
        <v>-0.1527</v>
      </c>
      <c r="AA1501" s="18" t="n">
        <v>40</v>
      </c>
      <c r="AB1501" s="16" t="inlineStr">
        <is>
          <t>Weak</t>
        </is>
      </c>
      <c r="AC1501" s="16" t="inlineStr">
        <is>
          <t>Yes</t>
        </is>
      </c>
      <c r="AD1501" s="19" t="n">
        <v>0.1077</v>
      </c>
      <c r="AE1501" s="19" t="n"/>
      <c r="AF1501" s="19" t="n">
        <v>-0.2019</v>
      </c>
      <c r="AG1501" s="19" t="n">
        <v>0.7434000000000001</v>
      </c>
      <c r="AH1501" s="23" t="n">
        <v>1.91</v>
      </c>
      <c r="AI1501" s="23" t="n">
        <v>4.05</v>
      </c>
      <c r="AJ1501" s="19" t="n">
        <v>0</v>
      </c>
    </row>
    <row r="1502">
      <c r="A1502" s="16" t="inlineStr">
        <is>
          <t>VHL</t>
        </is>
      </c>
      <c r="B1502" s="16" t="inlineStr">
        <is>
          <t>Vardhman Holdings Ltd.</t>
        </is>
      </c>
      <c r="C1502" s="16" t="inlineStr">
        <is>
          <t>Finance (including NBFCs)</t>
        </is>
      </c>
      <c r="D1502" s="16" t="inlineStr">
        <is>
          <t>Banking and Finance</t>
        </is>
      </c>
      <c r="E1502" s="16" t="inlineStr">
        <is>
          <t>INE701A01023</t>
        </is>
      </c>
      <c r="F1502" s="17" t="n">
        <v>1157.37</v>
      </c>
      <c r="G1502" s="18" t="n">
        <v>3626.4</v>
      </c>
      <c r="H1502" s="19" t="n">
        <v>0.0054</v>
      </c>
      <c r="I1502" s="20" t="n">
        <v>48</v>
      </c>
      <c r="J1502" s="16" t="inlineStr">
        <is>
          <t>red</t>
        </is>
      </c>
      <c r="K1502" s="20" t="n">
        <v>209</v>
      </c>
      <c r="L1502" s="18" t="n">
        <v>63.62</v>
      </c>
      <c r="M1502" s="18" t="n">
        <v>3529.94</v>
      </c>
      <c r="N1502" s="18" t="n">
        <v>3500.22</v>
      </c>
      <c r="O1502" s="18" t="n">
        <v>3437.01</v>
      </c>
      <c r="P1502" s="18" t="n">
        <v>4227.86</v>
      </c>
      <c r="Q1502" s="18" t="n">
        <v>2972.51</v>
      </c>
      <c r="R1502" s="21">
        <f>IF(OR(G1502="",P1502=""),"",G1502/P1502-1)</f>
        <v/>
      </c>
      <c r="S1502" s="19" t="n">
        <v>0.8629000000000001</v>
      </c>
      <c r="T1502" s="22" t="n">
        <v>-0.0142</v>
      </c>
      <c r="U1502" s="16" t="inlineStr">
        <is>
          <t>No</t>
        </is>
      </c>
      <c r="V1502" s="16" t="inlineStr">
        <is>
          <t>Yes</t>
        </is>
      </c>
      <c r="W1502" s="16" t="inlineStr">
        <is>
          <t>Yes</t>
        </is>
      </c>
      <c r="X1502" s="16" t="inlineStr">
        <is>
          <t>Yes</t>
        </is>
      </c>
      <c r="Y1502" s="20" t="n">
        <v>22</v>
      </c>
      <c r="Z1502" s="19" t="n">
        <v>0.0184</v>
      </c>
      <c r="AA1502" s="18" t="n">
        <v>20.83</v>
      </c>
      <c r="AB1502" s="16" t="inlineStr">
        <is>
          <t>Poor</t>
        </is>
      </c>
      <c r="AC1502" s="16" t="inlineStr">
        <is>
          <t>Yes</t>
        </is>
      </c>
      <c r="AD1502" s="19" t="n">
        <v>0.0621</v>
      </c>
      <c r="AE1502" s="19" t="n">
        <v>0.0471</v>
      </c>
      <c r="AF1502" s="19" t="n">
        <v>0.014</v>
      </c>
      <c r="AG1502" s="19" t="n">
        <v>-0.3585</v>
      </c>
      <c r="AH1502" s="23" t="n">
        <v>0</v>
      </c>
      <c r="AI1502" s="23" t="n">
        <v>1.27</v>
      </c>
      <c r="AJ1502" s="19" t="n">
        <v>0</v>
      </c>
    </row>
    <row r="1503">
      <c r="A1503" s="16" t="inlineStr">
        <is>
          <t>SHRIAHIMSA</t>
        </is>
      </c>
      <c r="B1503" s="16" t="inlineStr">
        <is>
          <t>Shri Ahimsa Naturals Ltd.</t>
        </is>
      </c>
      <c r="C1503" s="16" t="inlineStr">
        <is>
          <t>Tea &amp; Coffee</t>
        </is>
      </c>
      <c r="D1503" s="16" t="inlineStr">
        <is>
          <t>Food, Beverages &amp; Tobacco</t>
        </is>
      </c>
      <c r="E1503" s="16" t="inlineStr">
        <is>
          <t>INE0DM401012</t>
        </is>
      </c>
      <c r="F1503" s="17" t="n">
        <v>1155.9</v>
      </c>
      <c r="G1503" s="18" t="n"/>
      <c r="H1503" s="19" t="n"/>
      <c r="I1503" s="20" t="n"/>
      <c r="J1503" s="16" t="n"/>
      <c r="K1503" s="20" t="n"/>
      <c r="L1503" s="18" t="n"/>
      <c r="M1503" s="18" t="n"/>
      <c r="N1503" s="18" t="n"/>
      <c r="O1503" s="18" t="n"/>
      <c r="P1503" s="18" t="n"/>
      <c r="Q1503" s="18" t="n"/>
      <c r="R1503" s="21">
        <f>IF(OR(G1503="",P1503=""),"",G1503/P1503-1)</f>
        <v/>
      </c>
      <c r="S1503" s="19" t="n"/>
      <c r="T1503" s="22" t="n"/>
      <c r="U1503" s="16" t="n"/>
      <c r="V1503" s="16" t="n"/>
      <c r="W1503" s="16" t="n"/>
      <c r="X1503" s="16" t="n"/>
      <c r="Y1503" s="20" t="n"/>
      <c r="Z1503" s="19" t="n"/>
      <c r="AA1503" s="18" t="n"/>
      <c r="AB1503" s="16" t="n"/>
      <c r="AC1503" s="16" t="inlineStr">
        <is>
          <t>No</t>
        </is>
      </c>
      <c r="AD1503" s="19" t="n"/>
      <c r="AE1503" s="19" t="n"/>
      <c r="AF1503" s="19" t="n"/>
      <c r="AG1503" s="19" t="n"/>
      <c r="AH1503" s="23" t="n"/>
      <c r="AI1503" s="23" t="n"/>
      <c r="AJ1503" s="19" t="n"/>
    </row>
    <row r="1504">
      <c r="A1504" s="16" t="inlineStr">
        <is>
          <t>IRMENERGY</t>
        </is>
      </c>
      <c r="B1504" s="16" t="inlineStr">
        <is>
          <t>IRM Energy Ltd.</t>
        </is>
      </c>
      <c r="C1504" s="16" t="inlineStr">
        <is>
          <t>Utilities:Non-Electrical</t>
        </is>
      </c>
      <c r="D1504" s="16" t="inlineStr">
        <is>
          <t>Utilities</t>
        </is>
      </c>
      <c r="E1504" s="16" t="inlineStr">
        <is>
          <t>INE07U701015</t>
        </is>
      </c>
      <c r="F1504" s="17" t="n">
        <v>1155.42</v>
      </c>
      <c r="G1504" s="18" t="n">
        <v>281.4</v>
      </c>
      <c r="H1504" s="19" t="n">
        <v>-0.0086</v>
      </c>
      <c r="I1504" s="20" t="n">
        <v>55</v>
      </c>
      <c r="J1504" s="16" t="inlineStr">
        <is>
          <t>red</t>
        </is>
      </c>
      <c r="K1504" s="20" t="n">
        <v>54</v>
      </c>
      <c r="L1504" s="18" t="n">
        <v>37.29</v>
      </c>
      <c r="M1504" s="18" t="n">
        <v>283.46</v>
      </c>
      <c r="N1504" s="18" t="n">
        <v>274.09</v>
      </c>
      <c r="O1504" s="18" t="n">
        <v>262.74</v>
      </c>
      <c r="P1504" s="18" t="n">
        <v>376.75</v>
      </c>
      <c r="Q1504" s="18" t="n">
        <v>176.06</v>
      </c>
      <c r="R1504" s="21">
        <f>IF(OR(G1504="",P1504=""),"",G1504/P1504-1)</f>
        <v/>
      </c>
      <c r="S1504" s="19" t="n">
        <v>0.5122</v>
      </c>
      <c r="T1504" s="22" t="n">
        <v>-0.0102</v>
      </c>
      <c r="U1504" s="16" t="inlineStr">
        <is>
          <t>No</t>
        </is>
      </c>
      <c r="V1504" s="16" t="inlineStr">
        <is>
          <t>Yes</t>
        </is>
      </c>
      <c r="W1504" s="16" t="inlineStr">
        <is>
          <t>No</t>
        </is>
      </c>
      <c r="X1504" s="16" t="inlineStr">
        <is>
          <t>Yes</t>
        </is>
      </c>
      <c r="Y1504" s="20" t="n">
        <v>20</v>
      </c>
      <c r="Z1504" s="19" t="n">
        <v>0.0432</v>
      </c>
      <c r="AA1504" s="18" t="n">
        <v>47.19</v>
      </c>
      <c r="AB1504" s="16" t="inlineStr">
        <is>
          <t>Average</t>
        </is>
      </c>
      <c r="AC1504" s="16" t="inlineStr">
        <is>
          <t>No</t>
        </is>
      </c>
      <c r="AD1504" s="19" t="n">
        <v>0.06419999999999999</v>
      </c>
      <c r="AE1504" s="19" t="n">
        <v>0.09910000000000001</v>
      </c>
      <c r="AF1504" s="19" t="n">
        <v>4.0835</v>
      </c>
      <c r="AG1504" s="19" t="n">
        <v>0.0328</v>
      </c>
      <c r="AH1504" s="23" t="n">
        <v>0.07000000000000001</v>
      </c>
      <c r="AI1504" s="23" t="n">
        <v>1.21</v>
      </c>
      <c r="AJ1504" s="19" t="n">
        <v>0.1124</v>
      </c>
    </row>
    <row r="1505">
      <c r="A1505" s="16" t="inlineStr">
        <is>
          <t>RUPA</t>
        </is>
      </c>
      <c r="B1505" s="16" t="inlineStr">
        <is>
          <t>Rupa &amp; Company Ltd.</t>
        </is>
      </c>
      <c r="C1505" s="16" t="inlineStr">
        <is>
          <t>Other Apparels &amp; Accessories</t>
        </is>
      </c>
      <c r="D1505" s="16" t="inlineStr">
        <is>
          <t>Textiles Apparels &amp; Accessories</t>
        </is>
      </c>
      <c r="E1505" s="16" t="inlineStr">
        <is>
          <t>INE895B01021</t>
        </is>
      </c>
      <c r="F1505" s="17" t="n">
        <v>1149.05</v>
      </c>
      <c r="G1505" s="18" t="n">
        <v>144.49</v>
      </c>
      <c r="H1505" s="19" t="n">
        <v>0.0004</v>
      </c>
      <c r="I1505" s="20" t="n">
        <v>25</v>
      </c>
      <c r="J1505" s="16" t="inlineStr">
        <is>
          <t>red</t>
        </is>
      </c>
      <c r="K1505" s="20" t="n">
        <v>48</v>
      </c>
      <c r="L1505" s="18" t="n">
        <v>40.21</v>
      </c>
      <c r="M1505" s="18" t="n">
        <v>146.42</v>
      </c>
      <c r="N1505" s="18" t="n">
        <v>160</v>
      </c>
      <c r="O1505" s="18" t="n">
        <v>152.77</v>
      </c>
      <c r="P1505" s="18" t="n">
        <v>209.52</v>
      </c>
      <c r="Q1505" s="18" t="n">
        <v>110.68</v>
      </c>
      <c r="R1505" s="21">
        <f>IF(OR(G1505="",P1505=""),"",G1505/P1505-1)</f>
        <v/>
      </c>
      <c r="S1505" s="19" t="n">
        <v>0.8139</v>
      </c>
      <c r="T1505" s="22" t="n">
        <v>-0.0282</v>
      </c>
      <c r="U1505" s="16" t="inlineStr">
        <is>
          <t>No</t>
        </is>
      </c>
      <c r="V1505" s="16" t="inlineStr">
        <is>
          <t>No</t>
        </is>
      </c>
      <c r="W1505" s="16" t="inlineStr">
        <is>
          <t>No</t>
        </is>
      </c>
      <c r="X1505" s="16" t="inlineStr">
        <is>
          <t>Yes</t>
        </is>
      </c>
      <c r="Y1505" s="20" t="n">
        <v>31</v>
      </c>
      <c r="Z1505" s="19" t="n">
        <v>0.0474</v>
      </c>
      <c r="AA1505" s="18" t="n">
        <v>33.78</v>
      </c>
      <c r="AB1505" s="16" t="inlineStr">
        <is>
          <t>Poor</t>
        </is>
      </c>
      <c r="AC1505" s="16" t="inlineStr">
        <is>
          <t>No</t>
        </is>
      </c>
      <c r="AD1505" s="19" t="n">
        <v>0.0742</v>
      </c>
      <c r="AE1505" s="19" t="n">
        <v>0.0973</v>
      </c>
      <c r="AF1505" s="19" t="n">
        <v>-0.1696</v>
      </c>
      <c r="AG1505" s="19" t="n">
        <v>0.0333</v>
      </c>
      <c r="AH1505" s="23" t="n">
        <v>0.24</v>
      </c>
      <c r="AI1505" s="23" t="n">
        <v>5.3</v>
      </c>
      <c r="AJ1505" s="19" t="n">
        <v>0</v>
      </c>
    </row>
    <row r="1506">
      <c r="A1506" s="16" t="inlineStr">
        <is>
          <t>BMW</t>
        </is>
      </c>
      <c r="B1506" s="16" t="inlineStr">
        <is>
          <t>BMW Industries Ltd.</t>
        </is>
      </c>
      <c r="C1506" s="16" t="inlineStr">
        <is>
          <t>Iron &amp; Steel Products</t>
        </is>
      </c>
      <c r="D1506" s="16" t="inlineStr">
        <is>
          <t>Metals &amp; Mining</t>
        </is>
      </c>
      <c r="E1506" s="16" t="inlineStr">
        <is>
          <t>INE374E01021</t>
        </is>
      </c>
      <c r="F1506" s="17" t="n">
        <v>1147.49</v>
      </c>
      <c r="G1506" s="18" t="n">
        <v>50.98</v>
      </c>
      <c r="H1506" s="19" t="n">
        <v>0.0178</v>
      </c>
      <c r="I1506" s="20" t="n">
        <v>57</v>
      </c>
      <c r="J1506" s="16" t="inlineStr">
        <is>
          <t>red</t>
        </is>
      </c>
      <c r="K1506" s="20" t="n">
        <v>4</v>
      </c>
      <c r="L1506" s="18" t="n">
        <v>58.72</v>
      </c>
      <c r="M1506" s="18" t="n">
        <v>49.41</v>
      </c>
      <c r="N1506" s="18" t="n">
        <v>51.7</v>
      </c>
      <c r="O1506" s="18" t="n">
        <v>44.39</v>
      </c>
      <c r="P1506" s="18" t="n">
        <v>62.76</v>
      </c>
      <c r="Q1506" s="18" t="n">
        <v>26.47</v>
      </c>
      <c r="R1506" s="21">
        <f>IF(OR(G1506="",P1506=""),"",G1506/P1506-1)</f>
        <v/>
      </c>
      <c r="S1506" s="19" t="n">
        <v>0.9679000000000001</v>
      </c>
      <c r="T1506" s="22" t="n">
        <v>0.0173</v>
      </c>
      <c r="U1506" s="16" t="inlineStr">
        <is>
          <t>Yes</t>
        </is>
      </c>
      <c r="V1506" s="16" t="inlineStr">
        <is>
          <t>No</t>
        </is>
      </c>
      <c r="W1506" s="16" t="inlineStr">
        <is>
          <t>Yes</t>
        </is>
      </c>
      <c r="X1506" s="16" t="inlineStr">
        <is>
          <t>Yes</t>
        </is>
      </c>
      <c r="Y1506" s="20" t="n">
        <v>74</v>
      </c>
      <c r="Z1506" s="19" t="n">
        <v>0.1647</v>
      </c>
      <c r="AA1506" s="18" t="n"/>
      <c r="AB1506" s="16" t="n"/>
      <c r="AC1506" s="16" t="inlineStr">
        <is>
          <t>No</t>
        </is>
      </c>
      <c r="AD1506" s="19" t="n"/>
      <c r="AE1506" s="19" t="n"/>
      <c r="AF1506" s="19" t="n"/>
      <c r="AG1506" s="19" t="n"/>
      <c r="AH1506" s="23" t="n"/>
      <c r="AI1506" s="23" t="n"/>
      <c r="AJ1506" s="19" t="n"/>
    </row>
    <row r="1507">
      <c r="A1507" s="16" t="inlineStr">
        <is>
          <t>AKCAPIT</t>
        </is>
      </c>
      <c r="B1507" s="16" t="inlineStr">
        <is>
          <t>AK Capital Services Ltd.</t>
        </is>
      </c>
      <c r="C1507" s="16" t="inlineStr">
        <is>
          <t>Finance (including NBFCs)</t>
        </is>
      </c>
      <c r="D1507" s="16" t="inlineStr">
        <is>
          <t>Banking and Finance</t>
        </is>
      </c>
      <c r="E1507" s="16" t="inlineStr">
        <is>
          <t>INE701G01012</t>
        </is>
      </c>
      <c r="F1507" s="17" t="n">
        <v>1146.35</v>
      </c>
      <c r="G1507" s="18" t="n">
        <v>1736.9</v>
      </c>
      <c r="H1507" s="19" t="n">
        <v>0.0331</v>
      </c>
      <c r="I1507" s="20" t="n">
        <v>69</v>
      </c>
      <c r="J1507" s="16" t="inlineStr">
        <is>
          <t>amber</t>
        </is>
      </c>
      <c r="K1507" s="20" t="n">
        <v>22</v>
      </c>
      <c r="L1507" s="18" t="n">
        <v>53.42</v>
      </c>
      <c r="M1507" s="18" t="n">
        <v>1705.58</v>
      </c>
      <c r="N1507" s="18" t="n">
        <v>1716.61</v>
      </c>
      <c r="O1507" s="18" t="n">
        <v>1559.98</v>
      </c>
      <c r="P1507" s="18" t="n">
        <v>1790.39</v>
      </c>
      <c r="Q1507" s="18" t="n">
        <v>999.4299999999999</v>
      </c>
      <c r="R1507" s="21">
        <f>IF(OR(G1507="",P1507=""),"",G1507/P1507-1)</f>
        <v/>
      </c>
      <c r="S1507" s="19" t="n">
        <v>1.6365</v>
      </c>
      <c r="T1507" s="22" t="n">
        <v>0.0341</v>
      </c>
      <c r="U1507" s="16" t="inlineStr">
        <is>
          <t>Yes</t>
        </is>
      </c>
      <c r="V1507" s="16" t="inlineStr">
        <is>
          <t>Yes</t>
        </is>
      </c>
      <c r="W1507" s="16" t="inlineStr">
        <is>
          <t>Yes</t>
        </is>
      </c>
      <c r="X1507" s="16" t="inlineStr">
        <is>
          <t>Yes</t>
        </is>
      </c>
      <c r="Y1507" s="20" t="n">
        <v>236</v>
      </c>
      <c r="Z1507" s="19" t="n">
        <v>0.1004</v>
      </c>
      <c r="AA1507" s="18" t="n"/>
      <c r="AB1507" s="16" t="n"/>
      <c r="AC1507" s="16" t="inlineStr">
        <is>
          <t>No</t>
        </is>
      </c>
      <c r="AD1507" s="19" t="n"/>
      <c r="AE1507" s="19" t="n"/>
      <c r="AF1507" s="19" t="n"/>
      <c r="AG1507" s="19" t="n"/>
      <c r="AH1507" s="23" t="n"/>
      <c r="AI1507" s="23" t="n"/>
      <c r="AJ1507" s="19" t="n"/>
    </row>
    <row r="1508">
      <c r="A1508" s="16" t="inlineStr">
        <is>
          <t>MWL</t>
        </is>
      </c>
      <c r="B1508" s="16" t="inlineStr">
        <is>
          <t>Mangalam Worldwide Ltd.</t>
        </is>
      </c>
      <c r="C1508" s="16" t="inlineStr">
        <is>
          <t>Iron &amp; Steel Products</t>
        </is>
      </c>
      <c r="D1508" s="16" t="inlineStr">
        <is>
          <t>Metals &amp; Mining</t>
        </is>
      </c>
      <c r="E1508" s="16" t="inlineStr">
        <is>
          <t>INE0JYY01029</t>
        </is>
      </c>
      <c r="F1508" s="17" t="n">
        <v>1145.26</v>
      </c>
      <c r="G1508" s="18" t="n">
        <v>38.56</v>
      </c>
      <c r="H1508" s="19" t="n">
        <v>-0.0133</v>
      </c>
      <c r="I1508" s="20" t="n">
        <v>81</v>
      </c>
      <c r="J1508" s="16" t="inlineStr">
        <is>
          <t>green</t>
        </is>
      </c>
      <c r="K1508" s="20" t="n">
        <v>250</v>
      </c>
      <c r="L1508" s="18" t="n">
        <v>33.66</v>
      </c>
      <c r="M1508" s="18" t="n">
        <v>38.99</v>
      </c>
      <c r="N1508" s="18" t="n">
        <v>38.64</v>
      </c>
      <c r="O1508" s="18" t="n">
        <v>31.93</v>
      </c>
      <c r="P1508" s="18" t="n">
        <v>43.04</v>
      </c>
      <c r="Q1508" s="18" t="n">
        <v>18.49</v>
      </c>
      <c r="R1508" s="21">
        <f>IF(OR(G1508="",P1508=""),"",G1508/P1508-1)</f>
        <v/>
      </c>
      <c r="S1508" s="19" t="n">
        <v>0.2197</v>
      </c>
      <c r="T1508" s="22" t="n">
        <v>0.0579</v>
      </c>
      <c r="U1508" s="16" t="inlineStr">
        <is>
          <t>Yes</t>
        </is>
      </c>
      <c r="V1508" s="16" t="inlineStr">
        <is>
          <t>No</t>
        </is>
      </c>
      <c r="W1508" s="16" t="inlineStr">
        <is>
          <t>No</t>
        </is>
      </c>
      <c r="X1508" s="16" t="inlineStr">
        <is>
          <t>Yes</t>
        </is>
      </c>
      <c r="Y1508" s="20" t="n">
        <v>633</v>
      </c>
      <c r="Z1508" s="19" t="n">
        <v>0.21</v>
      </c>
      <c r="AA1508" s="18" t="n">
        <v>56.04</v>
      </c>
      <c r="AB1508" s="16" t="inlineStr">
        <is>
          <t>Good</t>
        </is>
      </c>
      <c r="AC1508" s="16" t="inlineStr">
        <is>
          <t>No</t>
        </is>
      </c>
      <c r="AD1508" s="19" t="n">
        <v>0.1345</v>
      </c>
      <c r="AE1508" s="19" t="n">
        <v>0.1348</v>
      </c>
      <c r="AF1508" s="19" t="n">
        <v>0.3240999999999999</v>
      </c>
      <c r="AG1508" s="19" t="n">
        <v>0.2349</v>
      </c>
      <c r="AH1508" s="23" t="n">
        <v>0.79</v>
      </c>
      <c r="AI1508" s="23" t="n">
        <v>11.26</v>
      </c>
      <c r="AJ1508" s="19" t="n">
        <v>0.1525</v>
      </c>
    </row>
    <row r="1509">
      <c r="A1509" s="16" t="inlineStr">
        <is>
          <t>UNIHEALTH</t>
        </is>
      </c>
      <c r="B1509" s="16" t="inlineStr">
        <is>
          <t>Unihealth Hospitals Ltd.</t>
        </is>
      </c>
      <c r="C1509" s="16" t="inlineStr">
        <is>
          <t>Healthcare Services</t>
        </is>
      </c>
      <c r="D1509" s="16" t="inlineStr">
        <is>
          <t>Diversified Consumer Services</t>
        </is>
      </c>
      <c r="E1509" s="16" t="inlineStr">
        <is>
          <t>INE0PRF01011</t>
        </is>
      </c>
      <c r="F1509" s="17" t="n">
        <v>1143.92</v>
      </c>
      <c r="G1509" s="18" t="n">
        <v>724</v>
      </c>
      <c r="H1509" s="19" t="n">
        <v>0.005600000000000001</v>
      </c>
      <c r="I1509" s="20" t="n">
        <v>97</v>
      </c>
      <c r="J1509" s="16" t="inlineStr">
        <is>
          <t>green</t>
        </is>
      </c>
      <c r="K1509" s="20" t="n">
        <v>200</v>
      </c>
      <c r="L1509" s="18" t="n">
        <v>53.83</v>
      </c>
      <c r="M1509" s="18" t="n">
        <v>717.39</v>
      </c>
      <c r="N1509" s="18" t="n">
        <v>720.5599999999999</v>
      </c>
      <c r="O1509" s="18" t="n">
        <v>461.74</v>
      </c>
      <c r="P1509" s="18" t="n">
        <v>807.35</v>
      </c>
      <c r="Q1509" s="18" t="n">
        <v>151.9</v>
      </c>
      <c r="R1509" s="21">
        <f>IF(OR(G1509="",P1509=""),"",G1509/P1509-1)</f>
        <v/>
      </c>
      <c r="S1509" s="19" t="n">
        <v>0.6143999999999999</v>
      </c>
      <c r="T1509" s="22" t="n">
        <v>0.1375</v>
      </c>
      <c r="U1509" s="16" t="inlineStr">
        <is>
          <t>Yes</t>
        </is>
      </c>
      <c r="V1509" s="16" t="inlineStr">
        <is>
          <t>Yes</t>
        </is>
      </c>
      <c r="W1509" s="16" t="inlineStr">
        <is>
          <t>Yes</t>
        </is>
      </c>
      <c r="X1509" s="16" t="inlineStr">
        <is>
          <t>Yes</t>
        </is>
      </c>
      <c r="Y1509" s="20" t="n">
        <v>325</v>
      </c>
      <c r="Z1509" s="19" t="n">
        <v>0.5605</v>
      </c>
      <c r="AA1509" s="18" t="n"/>
      <c r="AB1509" s="16" t="n"/>
      <c r="AC1509" s="16" t="inlineStr">
        <is>
          <t>No</t>
        </is>
      </c>
      <c r="AD1509" s="19" t="n"/>
      <c r="AE1509" s="19" t="n"/>
      <c r="AF1509" s="19" t="n"/>
      <c r="AG1509" s="19" t="n"/>
      <c r="AH1509" s="23" t="n"/>
      <c r="AI1509" s="23" t="n"/>
      <c r="AJ1509" s="19" t="n"/>
    </row>
    <row r="1510">
      <c r="A1510" s="16" t="inlineStr">
        <is>
          <t>INDIAHOMES</t>
        </is>
      </c>
      <c r="B1510" s="16" t="inlineStr">
        <is>
          <t>India Homes Ltd.</t>
        </is>
      </c>
      <c r="C1510" s="16" t="inlineStr">
        <is>
          <t>Iron &amp; Steel/Interm.Products</t>
        </is>
      </c>
      <c r="D1510" s="16" t="inlineStr">
        <is>
          <t>Metals &amp; Mining</t>
        </is>
      </c>
      <c r="E1510" s="16" t="inlineStr">
        <is>
          <t>INE072A01029</t>
        </is>
      </c>
      <c r="F1510" s="17" t="n">
        <v>1143.29</v>
      </c>
      <c r="G1510" s="18" t="n">
        <v>28.72</v>
      </c>
      <c r="H1510" s="19" t="n">
        <v>0.0327</v>
      </c>
      <c r="I1510" s="20" t="n">
        <v>95</v>
      </c>
      <c r="J1510" s="16" t="inlineStr">
        <is>
          <t>green</t>
        </is>
      </c>
      <c r="K1510" s="20" t="n">
        <v>282</v>
      </c>
      <c r="L1510" s="18" t="n">
        <v>78.22</v>
      </c>
      <c r="M1510" s="18" t="n">
        <v>26.81</v>
      </c>
      <c r="N1510" s="18" t="n">
        <v>23.89</v>
      </c>
      <c r="O1510" s="18" t="n">
        <v>17.94</v>
      </c>
      <c r="P1510" s="18" t="n">
        <v>28.72</v>
      </c>
      <c r="Q1510" s="18" t="n">
        <v>9.65</v>
      </c>
      <c r="R1510" s="21">
        <f>IF(OR(G1510="",P1510=""),"",G1510/P1510-1)</f>
        <v/>
      </c>
      <c r="S1510" s="19" t="n">
        <v>0.8695000000000001</v>
      </c>
      <c r="T1510" s="22" t="n">
        <v>0.0825</v>
      </c>
      <c r="U1510" s="16" t="inlineStr">
        <is>
          <t>Yes</t>
        </is>
      </c>
      <c r="V1510" s="16" t="inlineStr">
        <is>
          <t>Yes</t>
        </is>
      </c>
      <c r="W1510" s="16" t="inlineStr">
        <is>
          <t>Yes</t>
        </is>
      </c>
      <c r="X1510" s="16" t="inlineStr">
        <is>
          <t>Yes</t>
        </is>
      </c>
      <c r="Y1510" s="20" t="n">
        <v>348</v>
      </c>
      <c r="Z1510" s="19" t="n">
        <v>0.3312</v>
      </c>
      <c r="AA1510" s="18" t="n"/>
      <c r="AB1510" s="16" t="n"/>
      <c r="AC1510" s="16" t="inlineStr">
        <is>
          <t>No</t>
        </is>
      </c>
      <c r="AD1510" s="19" t="n"/>
      <c r="AE1510" s="19" t="n"/>
      <c r="AF1510" s="19" t="n"/>
      <c r="AG1510" s="19" t="n"/>
      <c r="AH1510" s="23" t="n"/>
      <c r="AI1510" s="23" t="n"/>
      <c r="AJ1510" s="19" t="n"/>
    </row>
    <row r="1511">
      <c r="A1511" s="16" t="inlineStr">
        <is>
          <t>BALAJITELE</t>
        </is>
      </c>
      <c r="B1511" s="16" t="inlineStr">
        <is>
          <t>Balaji Telefilms Ltd.</t>
        </is>
      </c>
      <c r="C1511" s="16" t="inlineStr">
        <is>
          <t>Broadcasting &amp; Cable TV</t>
        </is>
      </c>
      <c r="D1511" s="16" t="inlineStr">
        <is>
          <t>Media</t>
        </is>
      </c>
      <c r="E1511" s="16" t="inlineStr">
        <is>
          <t>INE794B01026</t>
        </is>
      </c>
      <c r="F1511" s="17" t="n">
        <v>1135.76</v>
      </c>
      <c r="G1511" s="18" t="n">
        <v>93.17</v>
      </c>
      <c r="H1511" s="19" t="n">
        <v>0.0204</v>
      </c>
      <c r="I1511" s="20" t="n">
        <v>31</v>
      </c>
      <c r="J1511" s="16" t="inlineStr">
        <is>
          <t>red</t>
        </is>
      </c>
      <c r="K1511" s="20" t="n">
        <v>76</v>
      </c>
      <c r="L1511" s="18" t="n">
        <v>51.19</v>
      </c>
      <c r="M1511" s="18" t="n">
        <v>92.84</v>
      </c>
      <c r="N1511" s="18" t="n">
        <v>89.66</v>
      </c>
      <c r="O1511" s="18" t="n">
        <v>95.73999999999999</v>
      </c>
      <c r="P1511" s="18" t="n">
        <v>136.93</v>
      </c>
      <c r="Q1511" s="18" t="n">
        <v>71.11</v>
      </c>
      <c r="R1511" s="21">
        <f>IF(OR(G1511="",P1511=""),"",G1511/P1511-1)</f>
        <v/>
      </c>
      <c r="S1511" s="19" t="n">
        <v>4.6156</v>
      </c>
      <c r="T1511" s="22" t="n">
        <v>-0.026</v>
      </c>
      <c r="U1511" s="16" t="inlineStr">
        <is>
          <t>No</t>
        </is>
      </c>
      <c r="V1511" s="16" t="inlineStr">
        <is>
          <t>Yes</t>
        </is>
      </c>
      <c r="W1511" s="16" t="inlineStr">
        <is>
          <t>Yes</t>
        </is>
      </c>
      <c r="X1511" s="16" t="inlineStr">
        <is>
          <t>No</t>
        </is>
      </c>
      <c r="Y1511" s="20" t="n">
        <v>140</v>
      </c>
      <c r="Z1511" s="19" t="n">
        <v>-0.0635</v>
      </c>
      <c r="AA1511" s="18" t="n">
        <v>41.48</v>
      </c>
      <c r="AB1511" s="16" t="inlineStr">
        <is>
          <t>Average</t>
        </is>
      </c>
      <c r="AC1511" s="16" t="inlineStr">
        <is>
          <t>No</t>
        </is>
      </c>
      <c r="AD1511" s="19" t="n">
        <v>0.0332</v>
      </c>
      <c r="AE1511" s="19" t="n">
        <v>-0.0071</v>
      </c>
      <c r="AF1511" s="19" t="n">
        <v>1.1098</v>
      </c>
      <c r="AG1511" s="19" t="n">
        <v>-0.2503</v>
      </c>
      <c r="AH1511" s="23" t="n">
        <v>0.03</v>
      </c>
      <c r="AI1511" s="23" t="n">
        <v>14.72</v>
      </c>
      <c r="AJ1511" s="19" t="n">
        <v>0</v>
      </c>
    </row>
    <row r="1512">
      <c r="A1512" s="16" t="inlineStr">
        <is>
          <t>SUNRAKSHAK</t>
        </is>
      </c>
      <c r="B1512" s="16" t="inlineStr">
        <is>
          <t>SunRakshakk Industries India Ltd.</t>
        </is>
      </c>
      <c r="C1512" s="16" t="inlineStr">
        <is>
          <t>Textiles</t>
        </is>
      </c>
      <c r="D1512" s="16" t="inlineStr">
        <is>
          <t>Textiles Apparels &amp; Accessories</t>
        </is>
      </c>
      <c r="E1512" s="16" t="inlineStr">
        <is>
          <t>INE671K01027</t>
        </is>
      </c>
      <c r="F1512" s="17" t="n">
        <v>1135.31</v>
      </c>
      <c r="G1512" s="18" t="n">
        <v>366.15</v>
      </c>
      <c r="H1512" s="19" t="n">
        <v>-0.0163</v>
      </c>
      <c r="I1512" s="20" t="n">
        <v>81</v>
      </c>
      <c r="J1512" s="16" t="inlineStr">
        <is>
          <t>green</t>
        </is>
      </c>
      <c r="K1512" s="20" t="n">
        <v>26</v>
      </c>
      <c r="L1512" s="18" t="n">
        <v>43.23</v>
      </c>
      <c r="M1512" s="18" t="n">
        <v>369.89</v>
      </c>
      <c r="N1512" s="18" t="n">
        <v>353.13</v>
      </c>
      <c r="O1512" s="18" t="n">
        <v>283.77</v>
      </c>
      <c r="P1512" s="18" t="n">
        <v>379.9</v>
      </c>
      <c r="Q1512" s="18" t="n">
        <v>201.27</v>
      </c>
      <c r="R1512" s="21">
        <f>IF(OR(G1512="",P1512=""),"",G1512/P1512-1)</f>
        <v/>
      </c>
      <c r="S1512" s="19" t="n">
        <v>0.3883</v>
      </c>
      <c r="T1512" s="22" t="n">
        <v>0.0512</v>
      </c>
      <c r="U1512" s="16" t="inlineStr">
        <is>
          <t>Yes</t>
        </is>
      </c>
      <c r="V1512" s="16" t="inlineStr">
        <is>
          <t>Yes</t>
        </is>
      </c>
      <c r="W1512" s="16" t="inlineStr">
        <is>
          <t>No</t>
        </is>
      </c>
      <c r="X1512" s="16" t="inlineStr">
        <is>
          <t>Yes</t>
        </is>
      </c>
      <c r="Y1512" s="20" t="n">
        <v>123</v>
      </c>
      <c r="Z1512" s="19" t="n">
        <v>0.2444</v>
      </c>
      <c r="AA1512" s="18" t="n"/>
      <c r="AB1512" s="16" t="n"/>
      <c r="AC1512" s="16" t="inlineStr">
        <is>
          <t>No</t>
        </is>
      </c>
      <c r="AD1512" s="19" t="n"/>
      <c r="AE1512" s="19" t="n"/>
      <c r="AF1512" s="19" t="n"/>
      <c r="AG1512" s="19" t="n"/>
      <c r="AH1512" s="23" t="n"/>
      <c r="AI1512" s="23" t="n"/>
      <c r="AJ1512" s="19" t="n"/>
    </row>
    <row r="1513">
      <c r="A1513" s="16" t="inlineStr">
        <is>
          <t>ROBU</t>
        </is>
      </c>
      <c r="B1513" s="16" t="inlineStr">
        <is>
          <t>Macfos Ltd.</t>
        </is>
      </c>
      <c r="C1513" s="16" t="inlineStr">
        <is>
          <t>Internet Software &amp; Services</t>
        </is>
      </c>
      <c r="D1513" s="16" t="inlineStr">
        <is>
          <t>Software &amp; Services</t>
        </is>
      </c>
      <c r="E1513" s="16" t="inlineStr">
        <is>
          <t>INE0OLH01013</t>
        </is>
      </c>
      <c r="F1513" s="17" t="n">
        <v>1134.36</v>
      </c>
      <c r="G1513" s="18" t="n">
        <v>1095.1</v>
      </c>
      <c r="H1513" s="19" t="n">
        <v>0.0049</v>
      </c>
      <c r="I1513" s="20" t="n">
        <v>71</v>
      </c>
      <c r="J1513" s="16" t="inlineStr">
        <is>
          <t>amber</t>
        </is>
      </c>
      <c r="K1513" s="20" t="n">
        <v>14</v>
      </c>
      <c r="L1513" s="18" t="n">
        <v>41.41</v>
      </c>
      <c r="M1513" s="18" t="n">
        <v>1096.81</v>
      </c>
      <c r="N1513" s="18" t="n">
        <v>1147.44</v>
      </c>
      <c r="O1513" s="18" t="n">
        <v>938.63</v>
      </c>
      <c r="P1513" s="18" t="n">
        <v>1300.25</v>
      </c>
      <c r="Q1513" s="18" t="n">
        <v>650</v>
      </c>
      <c r="R1513" s="21">
        <f>IF(OR(G1513="",P1513=""),"",G1513/P1513-1)</f>
        <v/>
      </c>
      <c r="S1513" s="19" t="n">
        <v>2.1013</v>
      </c>
      <c r="T1513" s="22" t="n">
        <v>0.0451</v>
      </c>
      <c r="U1513" s="16" t="inlineStr">
        <is>
          <t>Yes</t>
        </is>
      </c>
      <c r="V1513" s="16" t="inlineStr">
        <is>
          <t>No</t>
        </is>
      </c>
      <c r="W1513" s="16" t="inlineStr">
        <is>
          <t>No</t>
        </is>
      </c>
      <c r="X1513" s="16" t="inlineStr">
        <is>
          <t>Yes</t>
        </is>
      </c>
      <c r="Y1513" s="20" t="n">
        <v>194</v>
      </c>
      <c r="Z1513" s="19" t="n">
        <v>0.2225</v>
      </c>
      <c r="AA1513" s="18" t="n"/>
      <c r="AB1513" s="16" t="n"/>
      <c r="AC1513" s="16" t="inlineStr">
        <is>
          <t>No</t>
        </is>
      </c>
      <c r="AD1513" s="19" t="n"/>
      <c r="AE1513" s="19" t="n"/>
      <c r="AF1513" s="19" t="n"/>
      <c r="AG1513" s="19" t="n"/>
      <c r="AH1513" s="23" t="n"/>
      <c r="AI1513" s="23" t="n"/>
      <c r="AJ1513" s="19" t="n"/>
    </row>
    <row r="1514">
      <c r="A1514" s="16" t="inlineStr">
        <is>
          <t>RIIL</t>
        </is>
      </c>
      <c r="B1514" s="16" t="inlineStr">
        <is>
          <t>Reliance Industrial InfraStructure Ltd.</t>
        </is>
      </c>
      <c r="C1514" s="16" t="inlineStr">
        <is>
          <t>Construction &amp; Engineering</t>
        </is>
      </c>
      <c r="D1514" s="16" t="inlineStr">
        <is>
          <t>Cement and Construction</t>
        </is>
      </c>
      <c r="E1514" s="16" t="inlineStr">
        <is>
          <t>INE046A01015</t>
        </is>
      </c>
      <c r="F1514" s="17" t="n">
        <v>1133.93</v>
      </c>
      <c r="G1514" s="18" t="n">
        <v>750.95</v>
      </c>
      <c r="H1514" s="19" t="n">
        <v>-0.0027</v>
      </c>
      <c r="I1514" s="20" t="n">
        <v>29</v>
      </c>
      <c r="J1514" s="16" t="inlineStr">
        <is>
          <t>red</t>
        </is>
      </c>
      <c r="K1514" s="20" t="n">
        <v>56</v>
      </c>
      <c r="L1514" s="18" t="n">
        <v>51.51</v>
      </c>
      <c r="M1514" s="18" t="n">
        <v>754.08</v>
      </c>
      <c r="N1514" s="18" t="n">
        <v>764.95</v>
      </c>
      <c r="O1514" s="18" t="n">
        <v>762.62</v>
      </c>
      <c r="P1514" s="18" t="n">
        <v>929.47</v>
      </c>
      <c r="Q1514" s="18" t="n">
        <v>621.5700000000001</v>
      </c>
      <c r="R1514" s="21">
        <f>IF(OR(G1514="",P1514=""),"",G1514/P1514-1)</f>
        <v/>
      </c>
      <c r="S1514" s="19" t="n">
        <v>0.5357</v>
      </c>
      <c r="T1514" s="22" t="n">
        <v>-0.0169</v>
      </c>
      <c r="U1514" s="16" t="inlineStr">
        <is>
          <t>No</t>
        </is>
      </c>
      <c r="V1514" s="16" t="inlineStr">
        <is>
          <t>No</t>
        </is>
      </c>
      <c r="W1514" s="16" t="inlineStr">
        <is>
          <t>No</t>
        </is>
      </c>
      <c r="X1514" s="16" t="inlineStr">
        <is>
          <t>Yes</t>
        </is>
      </c>
      <c r="Y1514" s="20" t="n">
        <v>40</v>
      </c>
      <c r="Z1514" s="19" t="n">
        <v>0.0031</v>
      </c>
      <c r="AA1514" s="18" t="n">
        <v>31.14</v>
      </c>
      <c r="AB1514" s="16" t="inlineStr">
        <is>
          <t>Poor</t>
        </is>
      </c>
      <c r="AC1514" s="16" t="inlineStr">
        <is>
          <t>No</t>
        </is>
      </c>
      <c r="AD1514" s="19" t="n">
        <v>0.0268</v>
      </c>
      <c r="AE1514" s="19" t="n">
        <v>-0.0222</v>
      </c>
      <c r="AF1514" s="19" t="n">
        <v>0.1049</v>
      </c>
      <c r="AG1514" s="19" t="n">
        <v>-0.1255</v>
      </c>
      <c r="AH1514" s="23" t="n">
        <v>0</v>
      </c>
      <c r="AI1514" s="23" t="n">
        <v>1.76</v>
      </c>
      <c r="AJ1514" s="19" t="n">
        <v>0</v>
      </c>
    </row>
    <row r="1515">
      <c r="A1515" s="16" t="inlineStr">
        <is>
          <t>TEMBO</t>
        </is>
      </c>
      <c r="B1515" s="16" t="inlineStr">
        <is>
          <t>Tembo Global Industries Ltd.</t>
        </is>
      </c>
      <c r="C1515" s="16" t="inlineStr">
        <is>
          <t>Iron &amp; Steel Products</t>
        </is>
      </c>
      <c r="D1515" s="16" t="inlineStr">
        <is>
          <t>Metals &amp; Mining</t>
        </is>
      </c>
      <c r="E1515" s="16" t="inlineStr">
        <is>
          <t>INE869Y01028</t>
        </is>
      </c>
      <c r="F1515" s="17" t="n">
        <v>1131.7</v>
      </c>
      <c r="G1515" s="18" t="n">
        <v>58.47</v>
      </c>
      <c r="H1515" s="19" t="n">
        <v>0.0452</v>
      </c>
      <c r="I1515" s="20" t="n">
        <v>35</v>
      </c>
      <c r="J1515" s="16" t="inlineStr">
        <is>
          <t>red</t>
        </is>
      </c>
      <c r="K1515" s="20" t="n">
        <v>21</v>
      </c>
      <c r="L1515" s="18" t="n">
        <v>43.1</v>
      </c>
      <c r="M1515" s="18" t="n">
        <v>57.43</v>
      </c>
      <c r="N1515" s="18" t="n">
        <v>57.43</v>
      </c>
      <c r="O1515" s="18" t="n">
        <v>58.91</v>
      </c>
      <c r="P1515" s="18" t="n">
        <v>81.2</v>
      </c>
      <c r="Q1515" s="18" t="n">
        <v>46.74</v>
      </c>
      <c r="R1515" s="21">
        <f>IF(OR(G1515="",P1515=""),"",G1515/P1515-1)</f>
        <v/>
      </c>
      <c r="S1515" s="19" t="n">
        <v>2.5917</v>
      </c>
      <c r="T1515" s="22" t="n">
        <v>-0.0169</v>
      </c>
      <c r="U1515" s="16" t="inlineStr">
        <is>
          <t>No</t>
        </is>
      </c>
      <c r="V1515" s="16" t="inlineStr">
        <is>
          <t>Yes</t>
        </is>
      </c>
      <c r="W1515" s="16" t="inlineStr">
        <is>
          <t>Yes</t>
        </is>
      </c>
      <c r="X1515" s="16" t="inlineStr">
        <is>
          <t>No</t>
        </is>
      </c>
      <c r="Y1515" s="20" t="n">
        <v>129</v>
      </c>
      <c r="Z1515" s="19" t="n">
        <v>-0.0251</v>
      </c>
      <c r="AA1515" s="18" t="n">
        <v>68.56</v>
      </c>
      <c r="AB1515" s="16" t="inlineStr">
        <is>
          <t>High</t>
        </is>
      </c>
      <c r="AC1515" s="16" t="inlineStr">
        <is>
          <t>No</t>
        </is>
      </c>
      <c r="AD1515" s="19" t="n">
        <v>0.2303</v>
      </c>
      <c r="AE1515" s="19" t="n">
        <v>0.1953</v>
      </c>
      <c r="AF1515" s="19" t="n">
        <v>0.6604000000000001</v>
      </c>
      <c r="AG1515" s="19" t="n">
        <v>0.6388</v>
      </c>
      <c r="AH1515" s="23" t="n">
        <v>0.85</v>
      </c>
      <c r="AI1515" s="23" t="n">
        <v>5.88</v>
      </c>
      <c r="AJ1515" s="19" t="n">
        <v>0.3685</v>
      </c>
    </row>
    <row r="1516">
      <c r="A1516" s="16" t="inlineStr">
        <is>
          <t>WAAREEINDO</t>
        </is>
      </c>
      <c r="B1516" s="16" t="inlineStr">
        <is>
          <t>Indosolar Ltd.</t>
        </is>
      </c>
      <c r="C1516" s="16" t="inlineStr">
        <is>
          <t>Other Electrical Equipment/Products</t>
        </is>
      </c>
      <c r="D1516" s="16" t="inlineStr">
        <is>
          <t>Consumer Durables</t>
        </is>
      </c>
      <c r="E1516" s="16" t="inlineStr">
        <is>
          <t>INE866K01023</t>
        </is>
      </c>
      <c r="F1516" s="17" t="n">
        <v>1131.62</v>
      </c>
      <c r="G1516" s="18" t="n">
        <v>272</v>
      </c>
      <c r="H1516" s="19" t="n">
        <v>-0.0104</v>
      </c>
      <c r="I1516" s="20" t="n">
        <v>2</v>
      </c>
      <c r="J1516" s="16" t="inlineStr">
        <is>
          <t>red</t>
        </is>
      </c>
      <c r="K1516" s="20" t="n">
        <v>50</v>
      </c>
      <c r="L1516" s="18" t="n">
        <v>24.62</v>
      </c>
      <c r="M1516" s="18" t="n">
        <v>271.61</v>
      </c>
      <c r="N1516" s="18" t="n">
        <v>331.81</v>
      </c>
      <c r="O1516" s="18" t="n">
        <v>405.05</v>
      </c>
      <c r="P1516" s="18" t="n">
        <v>711.7</v>
      </c>
      <c r="Q1516" s="18" t="n">
        <v>264.95</v>
      </c>
      <c r="R1516" s="21">
        <f>IF(OR(G1516="",P1516=""),"",G1516/P1516-1)</f>
        <v/>
      </c>
      <c r="S1516" s="19" t="n">
        <v>0.6653</v>
      </c>
      <c r="T1516" s="22" t="n">
        <v>-0.06909999999999999</v>
      </c>
      <c r="U1516" s="16" t="inlineStr">
        <is>
          <t>No</t>
        </is>
      </c>
      <c r="V1516" s="16" t="inlineStr">
        <is>
          <t>No</t>
        </is>
      </c>
      <c r="W1516" s="16" t="inlineStr">
        <is>
          <t>Yes</t>
        </is>
      </c>
      <c r="X1516" s="16" t="inlineStr">
        <is>
          <t>No</t>
        </is>
      </c>
      <c r="Y1516" s="20" t="n">
        <v>125</v>
      </c>
      <c r="Z1516" s="19" t="n">
        <v>-0.1808</v>
      </c>
      <c r="AA1516" s="18" t="n">
        <v>88.18000000000001</v>
      </c>
      <c r="AB1516" s="16" t="inlineStr">
        <is>
          <t>High</t>
        </is>
      </c>
      <c r="AC1516" s="16" t="inlineStr">
        <is>
          <t>No</t>
        </is>
      </c>
      <c r="AD1516" s="19" t="n">
        <v>1.0965</v>
      </c>
      <c r="AE1516" s="19" t="n">
        <v>0.4911</v>
      </c>
      <c r="AF1516" s="19" t="n">
        <v>2.3431</v>
      </c>
      <c r="AG1516" s="19" t="n">
        <v>1.0989</v>
      </c>
      <c r="AH1516" s="23" t="n">
        <v>0.01</v>
      </c>
      <c r="AI1516" s="23" t="n">
        <v>7.47</v>
      </c>
      <c r="AJ1516" s="19" t="n">
        <v>0</v>
      </c>
    </row>
    <row r="1517">
      <c r="A1517" s="16" t="inlineStr">
        <is>
          <t>BIRLACABLE</t>
        </is>
      </c>
      <c r="B1517" s="16" t="inlineStr">
        <is>
          <t>Birla Cable Ltd.</t>
        </is>
      </c>
      <c r="C1517" s="16" t="inlineStr">
        <is>
          <t>Telecom Cables</t>
        </is>
      </c>
      <c r="D1517" s="16" t="inlineStr">
        <is>
          <t>Telecommunications Equipment</t>
        </is>
      </c>
      <c r="E1517" s="16" t="inlineStr">
        <is>
          <t>INE800A01015</t>
        </is>
      </c>
      <c r="F1517" s="17" t="n">
        <v>1129.65</v>
      </c>
      <c r="G1517" s="18" t="n">
        <v>376.55</v>
      </c>
      <c r="H1517" s="19" t="n">
        <v>0.0499</v>
      </c>
      <c r="I1517" s="20" t="n">
        <v>97</v>
      </c>
      <c r="J1517" s="16" t="inlineStr">
        <is>
          <t>green</t>
        </is>
      </c>
      <c r="K1517" s="20" t="n">
        <v>28</v>
      </c>
      <c r="L1517" s="18" t="n">
        <v>82.18000000000001</v>
      </c>
      <c r="M1517" s="18" t="n">
        <v>319.48</v>
      </c>
      <c r="N1517" s="18" t="n">
        <v>238.01</v>
      </c>
      <c r="O1517" s="18" t="n">
        <v>172.2</v>
      </c>
      <c r="P1517" s="18" t="n">
        <v>376.55</v>
      </c>
      <c r="Q1517" s="18" t="n">
        <v>103.64</v>
      </c>
      <c r="R1517" s="21">
        <f>IF(OR(G1517="",P1517=""),"",G1517/P1517-1)</f>
        <v/>
      </c>
      <c r="S1517" s="19" t="n">
        <v>1.087</v>
      </c>
      <c r="T1517" s="22" t="n">
        <v>0.08990000000000001</v>
      </c>
      <c r="U1517" s="16" t="inlineStr">
        <is>
          <t>Yes</t>
        </is>
      </c>
      <c r="V1517" s="16" t="inlineStr">
        <is>
          <t>Yes</t>
        </is>
      </c>
      <c r="W1517" s="16" t="inlineStr">
        <is>
          <t>Yes</t>
        </is>
      </c>
      <c r="X1517" s="16" t="inlineStr">
        <is>
          <t>Yes</t>
        </is>
      </c>
      <c r="Y1517" s="20" t="n">
        <v>71</v>
      </c>
      <c r="Z1517" s="19" t="n">
        <v>0.3821</v>
      </c>
      <c r="AA1517" s="18" t="n">
        <v>35.1</v>
      </c>
      <c r="AB1517" s="16" t="inlineStr">
        <is>
          <t>Weak</t>
        </is>
      </c>
      <c r="AC1517" s="16" t="inlineStr">
        <is>
          <t>No</t>
        </is>
      </c>
      <c r="AD1517" s="19" t="n">
        <v>0.0559</v>
      </c>
      <c r="AE1517" s="19" t="n">
        <v>0.0775</v>
      </c>
      <c r="AF1517" s="19" t="n">
        <v>0.449</v>
      </c>
      <c r="AG1517" s="19" t="n">
        <v>-0.0111</v>
      </c>
      <c r="AH1517" s="23" t="n">
        <v>0.47</v>
      </c>
      <c r="AI1517" s="23" t="n">
        <v>6.69</v>
      </c>
      <c r="AJ1517" s="19" t="n">
        <v>0</v>
      </c>
    </row>
    <row r="1518">
      <c r="A1518" s="16" t="inlineStr">
        <is>
          <t>ALICON</t>
        </is>
      </c>
      <c r="B1518" s="16" t="inlineStr">
        <is>
          <t>Alicon Castalloy Ltd.</t>
        </is>
      </c>
      <c r="C1518" s="16" t="inlineStr">
        <is>
          <t>Auto Parts &amp; Equipment</t>
        </is>
      </c>
      <c r="D1518" s="16" t="inlineStr">
        <is>
          <t>Automobiles &amp; Auto Components</t>
        </is>
      </c>
      <c r="E1518" s="16" t="inlineStr">
        <is>
          <t>INE062D01024</t>
        </is>
      </c>
      <c r="F1518" s="17" t="n">
        <v>1122.9</v>
      </c>
      <c r="G1518" s="18" t="n">
        <v>684.2</v>
      </c>
      <c r="H1518" s="19" t="n">
        <v>-0.0005</v>
      </c>
      <c r="I1518" s="20" t="n">
        <v>25</v>
      </c>
      <c r="J1518" s="16" t="inlineStr">
        <is>
          <t>red</t>
        </is>
      </c>
      <c r="K1518" s="20" t="n">
        <v>140</v>
      </c>
      <c r="L1518" s="18" t="n">
        <v>36.59</v>
      </c>
      <c r="M1518" s="18" t="n">
        <v>677.46</v>
      </c>
      <c r="N1518" s="18" t="n">
        <v>680.97</v>
      </c>
      <c r="O1518" s="18" t="n">
        <v>720.27</v>
      </c>
      <c r="P1518" s="18" t="n">
        <v>981.05</v>
      </c>
      <c r="Q1518" s="18" t="n">
        <v>584.48</v>
      </c>
      <c r="R1518" s="21">
        <f>IF(OR(G1518="",P1518=""),"",G1518/P1518-1)</f>
        <v/>
      </c>
      <c r="S1518" s="19" t="n">
        <v>0.2526</v>
      </c>
      <c r="T1518" s="22" t="n">
        <v>-0.0257</v>
      </c>
      <c r="U1518" s="16" t="inlineStr">
        <is>
          <t>No</t>
        </is>
      </c>
      <c r="V1518" s="16" t="inlineStr">
        <is>
          <t>Yes</t>
        </is>
      </c>
      <c r="W1518" s="16" t="inlineStr">
        <is>
          <t>Yes</t>
        </is>
      </c>
      <c r="X1518" s="16" t="inlineStr">
        <is>
          <t>No</t>
        </is>
      </c>
      <c r="Y1518" s="20" t="n">
        <v>155</v>
      </c>
      <c r="Z1518" s="19" t="n">
        <v>-0.0546</v>
      </c>
      <c r="AA1518" s="18" t="n">
        <v>33.76</v>
      </c>
      <c r="AB1518" s="16" t="inlineStr">
        <is>
          <t>Poor</t>
        </is>
      </c>
      <c r="AC1518" s="16" t="inlineStr">
        <is>
          <t>No</t>
        </is>
      </c>
      <c r="AD1518" s="19" t="n">
        <v>0.081</v>
      </c>
      <c r="AE1518" s="19" t="n">
        <v>0.1125</v>
      </c>
      <c r="AF1518" s="19" t="n">
        <v>-0.3574</v>
      </c>
      <c r="AG1518" s="19" t="n">
        <v>0.1004</v>
      </c>
      <c r="AH1518" s="23" t="n">
        <v>0.5600000000000001</v>
      </c>
      <c r="AI1518" s="23" t="n">
        <v>3.08</v>
      </c>
      <c r="AJ1518" s="19" t="n">
        <v>0.1012</v>
      </c>
    </row>
    <row r="1519">
      <c r="A1519" s="16" t="inlineStr">
        <is>
          <t>KOPRAN</t>
        </is>
      </c>
      <c r="B1519" s="16" t="inlineStr">
        <is>
          <t>Kopran Ltd.</t>
        </is>
      </c>
      <c r="C1519" s="16" t="inlineStr">
        <is>
          <t>Pharmaceuticals</t>
        </is>
      </c>
      <c r="D1519" s="16" t="inlineStr">
        <is>
          <t>Pharmaceuticals &amp; Biotechnology</t>
        </is>
      </c>
      <c r="E1519" s="16" t="inlineStr">
        <is>
          <t>INE082A01010</t>
        </is>
      </c>
      <c r="F1519" s="17" t="n">
        <v>1122.83</v>
      </c>
      <c r="G1519" s="18" t="n">
        <v>232.54</v>
      </c>
      <c r="H1519" s="19" t="n">
        <v>0.0013</v>
      </c>
      <c r="I1519" s="20" t="n">
        <v>86</v>
      </c>
      <c r="J1519" s="16" t="inlineStr">
        <is>
          <t>green</t>
        </is>
      </c>
      <c r="K1519" s="20" t="n">
        <v>5</v>
      </c>
      <c r="L1519" s="18" t="n">
        <v>74.53</v>
      </c>
      <c r="M1519" s="18" t="n">
        <v>213.5</v>
      </c>
      <c r="N1519" s="18" t="n">
        <v>194.83</v>
      </c>
      <c r="O1519" s="18" t="n">
        <v>157.98</v>
      </c>
      <c r="P1519" s="18" t="n">
        <v>232.54</v>
      </c>
      <c r="Q1519" s="18" t="n">
        <v>106.22</v>
      </c>
      <c r="R1519" s="21">
        <f>IF(OR(G1519="",P1519=""),"",G1519/P1519-1)</f>
        <v/>
      </c>
      <c r="S1519" s="19" t="n">
        <v>2.4893</v>
      </c>
      <c r="T1519" s="22" t="n">
        <v>0.0291</v>
      </c>
      <c r="U1519" s="16" t="inlineStr">
        <is>
          <t>Yes</t>
        </is>
      </c>
      <c r="V1519" s="16" t="inlineStr">
        <is>
          <t>Yes</t>
        </is>
      </c>
      <c r="W1519" s="16" t="inlineStr">
        <is>
          <t>Yes</t>
        </is>
      </c>
      <c r="X1519" s="16" t="inlineStr">
        <is>
          <t>Yes</t>
        </is>
      </c>
      <c r="Y1519" s="20" t="n">
        <v>72</v>
      </c>
      <c r="Z1519" s="19" t="n">
        <v>0.2333</v>
      </c>
      <c r="AA1519" s="18" t="n">
        <v>32.67</v>
      </c>
      <c r="AB1519" s="16" t="inlineStr">
        <is>
          <t>Poor</t>
        </is>
      </c>
      <c r="AC1519" s="16" t="inlineStr">
        <is>
          <t>No</t>
        </is>
      </c>
      <c r="AD1519" s="19" t="n">
        <v>0.0755</v>
      </c>
      <c r="AE1519" s="19" t="n">
        <v>0.09269999999999999</v>
      </c>
      <c r="AF1519" s="19" t="n">
        <v>-0.1251</v>
      </c>
      <c r="AG1519" s="19" t="n">
        <v>0.0731</v>
      </c>
      <c r="AH1519" s="23" t="n">
        <v>0.29</v>
      </c>
      <c r="AI1519" s="23" t="n">
        <v>1.97</v>
      </c>
      <c r="AJ1519" s="19" t="n">
        <v>0.0194</v>
      </c>
    </row>
    <row r="1520">
      <c r="A1520" s="16" t="inlineStr">
        <is>
          <t>MUNJALAU</t>
        </is>
      </c>
      <c r="B1520" s="16" t="inlineStr">
        <is>
          <t>Munjal Auto Industries Ltd.</t>
        </is>
      </c>
      <c r="C1520" s="16" t="inlineStr">
        <is>
          <t>Auto Parts &amp; Equipment</t>
        </is>
      </c>
      <c r="D1520" s="16" t="inlineStr">
        <is>
          <t>Automobiles &amp; Auto Components</t>
        </is>
      </c>
      <c r="E1520" s="16" t="inlineStr">
        <is>
          <t>INE672B01032</t>
        </is>
      </c>
      <c r="F1520" s="17" t="n">
        <v>1122.8</v>
      </c>
      <c r="G1520" s="18" t="n">
        <v>112.28</v>
      </c>
      <c r="H1520" s="19" t="n">
        <v>-0.005699999999999999</v>
      </c>
      <c r="I1520" s="20" t="n">
        <v>75</v>
      </c>
      <c r="J1520" s="16" t="inlineStr">
        <is>
          <t>amber</t>
        </is>
      </c>
      <c r="K1520" s="20" t="n">
        <v>3</v>
      </c>
      <c r="L1520" s="18" t="n">
        <v>36.44</v>
      </c>
      <c r="M1520" s="18" t="n">
        <v>113.57</v>
      </c>
      <c r="N1520" s="18" t="n">
        <v>105.86</v>
      </c>
      <c r="O1520" s="18" t="n">
        <v>87.26000000000001</v>
      </c>
      <c r="P1520" s="18" t="n">
        <v>119.48</v>
      </c>
      <c r="Q1520" s="18" t="n">
        <v>67.19</v>
      </c>
      <c r="R1520" s="21">
        <f>IF(OR(G1520="",P1520=""),"",G1520/P1520-1)</f>
        <v/>
      </c>
      <c r="S1520" s="19" t="n">
        <v>0.1033</v>
      </c>
      <c r="T1520" s="22" t="n">
        <v>0.0269</v>
      </c>
      <c r="U1520" s="16" t="inlineStr">
        <is>
          <t>Yes</t>
        </is>
      </c>
      <c r="V1520" s="16" t="inlineStr">
        <is>
          <t>Yes</t>
        </is>
      </c>
      <c r="W1520" s="16" t="inlineStr">
        <is>
          <t>No</t>
        </is>
      </c>
      <c r="X1520" s="16" t="inlineStr">
        <is>
          <t>Yes</t>
        </is>
      </c>
      <c r="Y1520" s="20" t="n">
        <v>63</v>
      </c>
      <c r="Z1520" s="19" t="n">
        <v>0.2132</v>
      </c>
      <c r="AA1520" s="18" t="n">
        <v>29.09</v>
      </c>
      <c r="AB1520" s="16" t="inlineStr">
        <is>
          <t>Poor</t>
        </is>
      </c>
      <c r="AC1520" s="16" t="inlineStr">
        <is>
          <t>No</t>
        </is>
      </c>
      <c r="AD1520" s="19" t="n">
        <v>0.0911</v>
      </c>
      <c r="AE1520" s="19" t="n">
        <v>0.114</v>
      </c>
      <c r="AF1520" s="19" t="n">
        <v>-0.4561</v>
      </c>
      <c r="AG1520" s="19" t="n">
        <v>0.0554</v>
      </c>
      <c r="AH1520" s="23" t="n">
        <v>0.95</v>
      </c>
      <c r="AI1520" s="23" t="n">
        <v>4.97</v>
      </c>
      <c r="AJ1520" s="19" t="n">
        <v>0.0142</v>
      </c>
    </row>
    <row r="1521">
      <c r="A1521" s="16" t="inlineStr">
        <is>
          <t>STEL</t>
        </is>
      </c>
      <c r="B1521" s="16" t="inlineStr">
        <is>
          <t>STEL Holdings Ltd.</t>
        </is>
      </c>
      <c r="C1521" s="16" t="inlineStr">
        <is>
          <t>Holding Companies</t>
        </is>
      </c>
      <c r="D1521" s="16" t="inlineStr">
        <is>
          <t>Diversified</t>
        </is>
      </c>
      <c r="E1521" s="16" t="inlineStr">
        <is>
          <t>INE577L01016</t>
        </is>
      </c>
      <c r="F1521" s="17" t="n">
        <v>1121.9</v>
      </c>
      <c r="G1521" s="18" t="n">
        <v>607.9</v>
      </c>
      <c r="H1521" s="19" t="n">
        <v>0.0016</v>
      </c>
      <c r="I1521" s="20" t="n">
        <v>60</v>
      </c>
      <c r="J1521" s="16" t="inlineStr">
        <is>
          <t>amber</t>
        </is>
      </c>
      <c r="K1521" s="20" t="n">
        <v>4</v>
      </c>
      <c r="L1521" s="18" t="n">
        <v>54.99</v>
      </c>
      <c r="M1521" s="18" t="n">
        <v>622.48</v>
      </c>
      <c r="N1521" s="18" t="n">
        <v>573.98</v>
      </c>
      <c r="O1521" s="18" t="n">
        <v>509.8</v>
      </c>
      <c r="P1521" s="18" t="n">
        <v>661.2</v>
      </c>
      <c r="Q1521" s="18" t="n">
        <v>389.3</v>
      </c>
      <c r="R1521" s="21">
        <f>IF(OR(G1521="",P1521=""),"",G1521/P1521-1)</f>
        <v/>
      </c>
      <c r="S1521" s="19" t="n">
        <v>0.8819</v>
      </c>
      <c r="T1521" s="22" t="n">
        <v>0.034</v>
      </c>
      <c r="U1521" s="16" t="inlineStr">
        <is>
          <t>Yes</t>
        </is>
      </c>
      <c r="V1521" s="16" t="inlineStr">
        <is>
          <t>Yes</t>
        </is>
      </c>
      <c r="W1521" s="16" t="inlineStr">
        <is>
          <t>No</t>
        </is>
      </c>
      <c r="X1521" s="16" t="inlineStr">
        <is>
          <t>Yes</t>
        </is>
      </c>
      <c r="Y1521" s="20" t="n">
        <v>62</v>
      </c>
      <c r="Z1521" s="19" t="n">
        <v>0.1259</v>
      </c>
      <c r="AA1521" s="18" t="n">
        <v>21.11</v>
      </c>
      <c r="AB1521" s="16" t="inlineStr">
        <is>
          <t>Poor</t>
        </is>
      </c>
      <c r="AC1521" s="16" t="inlineStr">
        <is>
          <t>Yes</t>
        </is>
      </c>
      <c r="AD1521" s="19" t="n">
        <v>0.0101</v>
      </c>
      <c r="AE1521" s="19" t="n">
        <v>0.0132</v>
      </c>
      <c r="AF1521" s="19" t="n">
        <v>-0.2404</v>
      </c>
      <c r="AG1521" s="19" t="n">
        <v>0.2049</v>
      </c>
      <c r="AH1521" s="23" t="n"/>
      <c r="AI1521" s="23" t="n">
        <v>38.63</v>
      </c>
      <c r="AJ1521" s="19" t="n">
        <v>0</v>
      </c>
    </row>
    <row r="1522">
      <c r="A1522" s="16" t="inlineStr">
        <is>
          <t>ETL</t>
        </is>
      </c>
      <c r="B1522" s="16" t="inlineStr">
        <is>
          <t>Emkay Tools Ltd.</t>
        </is>
      </c>
      <c r="C1522" s="16" t="inlineStr">
        <is>
          <t>Industrial Machinery</t>
        </is>
      </c>
      <c r="D1522" s="16" t="inlineStr">
        <is>
          <t>General Industrials</t>
        </is>
      </c>
      <c r="E1522" s="16" t="inlineStr">
        <is>
          <t>INE0PXC01024</t>
        </is>
      </c>
      <c r="F1522" s="17" t="n">
        <v>1117.29</v>
      </c>
      <c r="G1522" s="18" t="n"/>
      <c r="H1522" s="19" t="n"/>
      <c r="I1522" s="20" t="n"/>
      <c r="J1522" s="16" t="n"/>
      <c r="K1522" s="20" t="n"/>
      <c r="L1522" s="18" t="n"/>
      <c r="M1522" s="18" t="n"/>
      <c r="N1522" s="18" t="n"/>
      <c r="O1522" s="18" t="n"/>
      <c r="P1522" s="18" t="n"/>
      <c r="Q1522" s="18" t="n"/>
      <c r="R1522" s="21">
        <f>IF(OR(G1522="",P1522=""),"",G1522/P1522-1)</f>
        <v/>
      </c>
      <c r="S1522" s="19" t="n"/>
      <c r="T1522" s="22" t="n"/>
      <c r="U1522" s="16" t="n"/>
      <c r="V1522" s="16" t="n"/>
      <c r="W1522" s="16" t="n"/>
      <c r="X1522" s="16" t="n"/>
      <c r="Y1522" s="20" t="n"/>
      <c r="Z1522" s="19" t="n"/>
      <c r="AA1522" s="18" t="n"/>
      <c r="AB1522" s="16" t="n"/>
      <c r="AC1522" s="16" t="inlineStr">
        <is>
          <t>No</t>
        </is>
      </c>
      <c r="AD1522" s="19" t="n"/>
      <c r="AE1522" s="19" t="n"/>
      <c r="AF1522" s="19" t="n"/>
      <c r="AG1522" s="19" t="n"/>
      <c r="AH1522" s="23" t="n"/>
      <c r="AI1522" s="23" t="n"/>
      <c r="AJ1522" s="19" t="n"/>
    </row>
    <row r="1523">
      <c r="A1523" s="16" t="inlineStr">
        <is>
          <t>BUTTERFLY</t>
        </is>
      </c>
      <c r="B1523" s="16" t="inlineStr">
        <is>
          <t>Butterfly Gandhimathi Appliances Ltd.</t>
        </is>
      </c>
      <c r="C1523" s="16" t="inlineStr">
        <is>
          <t>Household Appliances</t>
        </is>
      </c>
      <c r="D1523" s="16" t="inlineStr">
        <is>
          <t>Consumer Durables</t>
        </is>
      </c>
      <c r="E1523" s="16" t="inlineStr">
        <is>
          <t>INE295F01017</t>
        </is>
      </c>
      <c r="F1523" s="17" t="n">
        <v>1117.21</v>
      </c>
      <c r="G1523" s="18" t="n">
        <v>624.85</v>
      </c>
      <c r="H1523" s="19" t="n">
        <v>0.0183</v>
      </c>
      <c r="I1523" s="20" t="n">
        <v>28</v>
      </c>
      <c r="J1523" s="16" t="inlineStr">
        <is>
          <t>red</t>
        </is>
      </c>
      <c r="K1523" s="20" t="n">
        <v>24</v>
      </c>
      <c r="L1523" s="18" t="n">
        <v>30.39</v>
      </c>
      <c r="M1523" s="18" t="n">
        <v>625.77</v>
      </c>
      <c r="N1523" s="18" t="n">
        <v>692.5700000000001</v>
      </c>
      <c r="O1523" s="18" t="n">
        <v>652.15</v>
      </c>
      <c r="P1523" s="18" t="n">
        <v>780.2</v>
      </c>
      <c r="Q1523" s="18" t="n">
        <v>583.7</v>
      </c>
      <c r="R1523" s="21">
        <f>IF(OR(G1523="",P1523=""),"",G1523/P1523-1)</f>
        <v/>
      </c>
      <c r="S1523" s="19" t="n">
        <v>0.4303</v>
      </c>
      <c r="T1523" s="22" t="n">
        <v>-0.0127</v>
      </c>
      <c r="U1523" s="16" t="inlineStr">
        <is>
          <t>No</t>
        </is>
      </c>
      <c r="V1523" s="16" t="inlineStr">
        <is>
          <t>No</t>
        </is>
      </c>
      <c r="W1523" s="16" t="inlineStr">
        <is>
          <t>No</t>
        </is>
      </c>
      <c r="X1523" s="16" t="inlineStr">
        <is>
          <t>Yes</t>
        </is>
      </c>
      <c r="Y1523" s="20" t="n">
        <v>43</v>
      </c>
      <c r="Z1523" s="19" t="n">
        <v>0.062</v>
      </c>
      <c r="AA1523" s="18" t="n">
        <v>51.33</v>
      </c>
      <c r="AB1523" s="16" t="inlineStr">
        <is>
          <t>Average</t>
        </is>
      </c>
      <c r="AC1523" s="16" t="inlineStr">
        <is>
          <t>No</t>
        </is>
      </c>
      <c r="AD1523" s="19" t="n">
        <v>0.08259999999999999</v>
      </c>
      <c r="AE1523" s="19" t="n">
        <v>0.1165</v>
      </c>
      <c r="AF1523" s="19" t="n">
        <v>0.5165999999999999</v>
      </c>
      <c r="AG1523" s="19" t="n">
        <v>-0.0327</v>
      </c>
      <c r="AH1523" s="23" t="n">
        <v>0.02</v>
      </c>
      <c r="AI1523" s="23" t="n">
        <v>7.11</v>
      </c>
      <c r="AJ1523" s="19" t="n">
        <v>0.0338</v>
      </c>
    </row>
    <row r="1524">
      <c r="A1524" s="16" t="inlineStr">
        <is>
          <t>UTSSAV</t>
        </is>
      </c>
      <c r="B1524" s="16" t="inlineStr">
        <is>
          <t>Utssav CZ Gold Jewels Ltd.</t>
        </is>
      </c>
      <c r="C1524" s="16" t="inlineStr">
        <is>
          <t>Gems &amp; Jewellery</t>
        </is>
      </c>
      <c r="D1524" s="16" t="inlineStr">
        <is>
          <t>Textiles Apparels &amp; Accessories</t>
        </is>
      </c>
      <c r="E1524" s="16" t="inlineStr">
        <is>
          <t>INE06IJ01010</t>
        </is>
      </c>
      <c r="F1524" s="17" t="n">
        <v>1115.4</v>
      </c>
      <c r="G1524" s="18" t="n"/>
      <c r="H1524" s="19" t="n"/>
      <c r="I1524" s="20" t="n"/>
      <c r="J1524" s="16" t="n"/>
      <c r="K1524" s="20" t="n"/>
      <c r="L1524" s="18" t="n"/>
      <c r="M1524" s="18" t="n"/>
      <c r="N1524" s="18" t="n"/>
      <c r="O1524" s="18" t="n"/>
      <c r="P1524" s="18" t="n"/>
      <c r="Q1524" s="18" t="n"/>
      <c r="R1524" s="21">
        <f>IF(OR(G1524="",P1524=""),"",G1524/P1524-1)</f>
        <v/>
      </c>
      <c r="S1524" s="19" t="n"/>
      <c r="T1524" s="22" t="n"/>
      <c r="U1524" s="16" t="n"/>
      <c r="V1524" s="16" t="n"/>
      <c r="W1524" s="16" t="n"/>
      <c r="X1524" s="16" t="n"/>
      <c r="Y1524" s="20" t="n"/>
      <c r="Z1524" s="19" t="n"/>
      <c r="AA1524" s="18" t="n"/>
      <c r="AB1524" s="16" t="n"/>
      <c r="AC1524" s="16" t="inlineStr">
        <is>
          <t>No</t>
        </is>
      </c>
      <c r="AD1524" s="19" t="n"/>
      <c r="AE1524" s="19" t="n"/>
      <c r="AF1524" s="19" t="n"/>
      <c r="AG1524" s="19" t="n"/>
      <c r="AH1524" s="23" t="n"/>
      <c r="AI1524" s="23" t="n"/>
      <c r="AJ1524" s="19" t="n"/>
    </row>
    <row r="1525">
      <c r="A1525" s="16" t="inlineStr">
        <is>
          <t>HARIOMPIPE</t>
        </is>
      </c>
      <c r="B1525" s="16" t="inlineStr">
        <is>
          <t>Hariom Pipe Industries Ltd.</t>
        </is>
      </c>
      <c r="C1525" s="16" t="inlineStr">
        <is>
          <t>Iron &amp; Steel Products</t>
        </is>
      </c>
      <c r="D1525" s="16" t="inlineStr">
        <is>
          <t>Metals &amp; Mining</t>
        </is>
      </c>
      <c r="E1525" s="16" t="inlineStr">
        <is>
          <t>INE00EV01017</t>
        </is>
      </c>
      <c r="F1525" s="17" t="n">
        <v>1112.35</v>
      </c>
      <c r="G1525" s="18" t="n">
        <v>359.2</v>
      </c>
      <c r="H1525" s="19" t="n">
        <v>0.0106</v>
      </c>
      <c r="I1525" s="20" t="n">
        <v>18</v>
      </c>
      <c r="J1525" s="16" t="inlineStr">
        <is>
          <t>red</t>
        </is>
      </c>
      <c r="K1525" s="20" t="n">
        <v>42</v>
      </c>
      <c r="L1525" s="18" t="n">
        <v>60.72</v>
      </c>
      <c r="M1525" s="18" t="n">
        <v>348.88</v>
      </c>
      <c r="N1525" s="18" t="n">
        <v>379.18</v>
      </c>
      <c r="O1525" s="18" t="n">
        <v>365.84</v>
      </c>
      <c r="P1525" s="18" t="n">
        <v>549.53</v>
      </c>
      <c r="Q1525" s="18" t="n">
        <v>270.15</v>
      </c>
      <c r="R1525" s="21">
        <f>IF(OR(G1525="",P1525=""),"",G1525/P1525-1)</f>
        <v/>
      </c>
      <c r="S1525" s="19" t="n">
        <v>0.9934999999999999</v>
      </c>
      <c r="T1525" s="22" t="n">
        <v>-0.0188</v>
      </c>
      <c r="U1525" s="16" t="inlineStr">
        <is>
          <t>No</t>
        </is>
      </c>
      <c r="V1525" s="16" t="inlineStr">
        <is>
          <t>No</t>
        </is>
      </c>
      <c r="W1525" s="16" t="inlineStr">
        <is>
          <t>Yes</t>
        </is>
      </c>
      <c r="X1525" s="16" t="inlineStr">
        <is>
          <t>Yes</t>
        </is>
      </c>
      <c r="Y1525" s="20" t="n">
        <v>39</v>
      </c>
      <c r="Z1525" s="19" t="n">
        <v>0.0365</v>
      </c>
      <c r="AA1525" s="18" t="n">
        <v>49.31</v>
      </c>
      <c r="AB1525" s="16" t="inlineStr">
        <is>
          <t>Average</t>
        </is>
      </c>
      <c r="AC1525" s="16" t="inlineStr">
        <is>
          <t>No</t>
        </is>
      </c>
      <c r="AD1525" s="19" t="n">
        <v>0.1158</v>
      </c>
      <c r="AE1525" s="19" t="n">
        <v>0.1375</v>
      </c>
      <c r="AF1525" s="19" t="n">
        <v>0.1054</v>
      </c>
      <c r="AG1525" s="19" t="n">
        <v>0.3989</v>
      </c>
      <c r="AH1525" s="23" t="n">
        <v>0.63</v>
      </c>
      <c r="AI1525" s="23" t="n">
        <v>3.34</v>
      </c>
      <c r="AJ1525" s="19" t="n">
        <v>0.0315</v>
      </c>
    </row>
    <row r="1526">
      <c r="A1526" s="16" t="inlineStr">
        <is>
          <t>THEMISMED</t>
        </is>
      </c>
      <c r="B1526" s="16" t="inlineStr">
        <is>
          <t>Themis Medicare Ltd.</t>
        </is>
      </c>
      <c r="C1526" s="16" t="inlineStr">
        <is>
          <t>Pharmaceuticals</t>
        </is>
      </c>
      <c r="D1526" s="16" t="inlineStr">
        <is>
          <t>Pharmaceuticals &amp; Biotechnology</t>
        </is>
      </c>
      <c r="E1526" s="16" t="inlineStr">
        <is>
          <t>INE083B01024</t>
        </is>
      </c>
      <c r="F1526" s="17" t="n">
        <v>1109.07</v>
      </c>
      <c r="G1526" s="18" t="n">
        <v>120.42</v>
      </c>
      <c r="H1526" s="19" t="n">
        <v>-0.0356</v>
      </c>
      <c r="I1526" s="20" t="n">
        <v>69</v>
      </c>
      <c r="J1526" s="16" t="inlineStr">
        <is>
          <t>amber</t>
        </is>
      </c>
      <c r="K1526" s="20" t="n">
        <v>10</v>
      </c>
      <c r="L1526" s="18" t="n">
        <v>69.51000000000001</v>
      </c>
      <c r="M1526" s="18" t="n">
        <v>124.46</v>
      </c>
      <c r="N1526" s="18" t="n">
        <v>113.34</v>
      </c>
      <c r="O1526" s="18" t="n">
        <v>99.15000000000001</v>
      </c>
      <c r="P1526" s="18" t="n">
        <v>142.46</v>
      </c>
      <c r="Q1526" s="18" t="n">
        <v>66.06999999999999</v>
      </c>
      <c r="R1526" s="21">
        <f>IF(OR(G1526="",P1526=""),"",G1526/P1526-1)</f>
        <v/>
      </c>
      <c r="S1526" s="19" t="n">
        <v>0.7806999999999999</v>
      </c>
      <c r="T1526" s="22" t="n">
        <v>-0.006500000000000001</v>
      </c>
      <c r="U1526" s="16" t="inlineStr">
        <is>
          <t>No</t>
        </is>
      </c>
      <c r="V1526" s="16" t="inlineStr">
        <is>
          <t>Yes</t>
        </is>
      </c>
      <c r="W1526" s="16" t="inlineStr">
        <is>
          <t>No</t>
        </is>
      </c>
      <c r="X1526" s="16" t="inlineStr">
        <is>
          <t>Yes</t>
        </is>
      </c>
      <c r="Y1526" s="20" t="n">
        <v>52</v>
      </c>
      <c r="Z1526" s="19" t="n">
        <v>0.1432</v>
      </c>
      <c r="AA1526" s="18" t="n">
        <v>27.1</v>
      </c>
      <c r="AB1526" s="16" t="inlineStr">
        <is>
          <t>Poor</t>
        </is>
      </c>
      <c r="AC1526" s="16" t="inlineStr">
        <is>
          <t>No</t>
        </is>
      </c>
      <c r="AD1526" s="19" t="n">
        <v>0.0641</v>
      </c>
      <c r="AE1526" s="19" t="n">
        <v>0.08560000000000001</v>
      </c>
      <c r="AF1526" s="19" t="n">
        <v>-0.5162</v>
      </c>
      <c r="AG1526" s="19" t="n">
        <v>0.004699999999999999</v>
      </c>
      <c r="AH1526" s="23" t="n">
        <v>0.25</v>
      </c>
      <c r="AI1526" s="23" t="n">
        <v>2.03</v>
      </c>
      <c r="AJ1526" s="19" t="n">
        <v>0.0146</v>
      </c>
    </row>
    <row r="1527">
      <c r="A1527" s="16" t="inlineStr">
        <is>
          <t>ADCINDIA</t>
        </is>
      </c>
      <c r="B1527" s="16" t="inlineStr">
        <is>
          <t>ADC India Communications Ltd.</t>
        </is>
      </c>
      <c r="C1527" s="16" t="inlineStr">
        <is>
          <t>Telecom Equipment</t>
        </is>
      </c>
      <c r="D1527" s="16" t="inlineStr">
        <is>
          <t>Telecommunications Equipment</t>
        </is>
      </c>
      <c r="E1527" s="16" t="inlineStr">
        <is>
          <t>INE833A01016</t>
        </is>
      </c>
      <c r="F1527" s="17" t="n">
        <v>1108.14</v>
      </c>
      <c r="G1527" s="18" t="n">
        <v>2409</v>
      </c>
      <c r="H1527" s="19" t="n">
        <v>0.0122</v>
      </c>
      <c r="I1527" s="20" t="n">
        <v>82</v>
      </c>
      <c r="J1527" s="16" t="inlineStr">
        <is>
          <t>green</t>
        </is>
      </c>
      <c r="K1527" s="20" t="n">
        <v>94</v>
      </c>
      <c r="L1527" s="18" t="n">
        <v>47.12</v>
      </c>
      <c r="M1527" s="18" t="n">
        <v>2412.13</v>
      </c>
      <c r="N1527" s="18" t="n">
        <v>2302.62</v>
      </c>
      <c r="O1527" s="18" t="n">
        <v>1766.86</v>
      </c>
      <c r="P1527" s="18" t="n">
        <v>2527.75</v>
      </c>
      <c r="Q1527" s="18" t="n">
        <v>1166.12</v>
      </c>
      <c r="R1527" s="21">
        <f>IF(OR(G1527="",P1527=""),"",G1527/P1527-1)</f>
        <v/>
      </c>
      <c r="S1527" s="19" t="n">
        <v>0.2787</v>
      </c>
      <c r="T1527" s="22" t="n">
        <v>0.0557</v>
      </c>
      <c r="U1527" s="16" t="inlineStr">
        <is>
          <t>Yes</t>
        </is>
      </c>
      <c r="V1527" s="16" t="inlineStr">
        <is>
          <t>Yes</t>
        </is>
      </c>
      <c r="W1527" s="16" t="inlineStr">
        <is>
          <t>No</t>
        </is>
      </c>
      <c r="X1527" s="16" t="inlineStr">
        <is>
          <t>Yes</t>
        </is>
      </c>
      <c r="Y1527" s="20" t="n">
        <v>85</v>
      </c>
      <c r="Z1527" s="19" t="n">
        <v>0.3032</v>
      </c>
      <c r="AA1527" s="18" t="n"/>
      <c r="AB1527" s="16" t="n"/>
      <c r="AC1527" s="16" t="inlineStr">
        <is>
          <t>No</t>
        </is>
      </c>
      <c r="AD1527" s="19" t="n"/>
      <c r="AE1527" s="19" t="n"/>
      <c r="AF1527" s="19" t="n"/>
      <c r="AG1527" s="19" t="n"/>
      <c r="AH1527" s="23" t="n"/>
      <c r="AI1527" s="23" t="n"/>
      <c r="AJ1527" s="19" t="n"/>
    </row>
    <row r="1528">
      <c r="A1528" s="16" t="inlineStr">
        <is>
          <t>KAMDHENU</t>
        </is>
      </c>
      <c r="B1528" s="16" t="inlineStr">
        <is>
          <t>Kamdhenu Ltd.</t>
        </is>
      </c>
      <c r="C1528" s="16" t="inlineStr">
        <is>
          <t>Iron &amp; Steel/Interm.Products</t>
        </is>
      </c>
      <c r="D1528" s="16" t="inlineStr">
        <is>
          <t>Metals &amp; Mining</t>
        </is>
      </c>
      <c r="E1528" s="16" t="inlineStr">
        <is>
          <t>INE390H01020</t>
        </is>
      </c>
      <c r="F1528" s="17" t="n">
        <v>1106.11</v>
      </c>
      <c r="G1528" s="18" t="n">
        <v>39.24</v>
      </c>
      <c r="H1528" s="19" t="n">
        <v>0.0121</v>
      </c>
      <c r="I1528" s="20" t="n">
        <v>86</v>
      </c>
      <c r="J1528" s="16" t="inlineStr">
        <is>
          <t>green</t>
        </is>
      </c>
      <c r="K1528" s="20" t="n">
        <v>13</v>
      </c>
      <c r="L1528" s="18" t="n">
        <v>79.45</v>
      </c>
      <c r="M1528" s="18" t="n">
        <v>36.98</v>
      </c>
      <c r="N1528" s="18" t="n">
        <v>34.13</v>
      </c>
      <c r="O1528" s="18" t="n">
        <v>26.33</v>
      </c>
      <c r="P1528" s="18" t="n">
        <v>39.24</v>
      </c>
      <c r="Q1528" s="18" t="n">
        <v>17.29</v>
      </c>
      <c r="R1528" s="21">
        <f>IF(OR(G1528="",P1528=""),"",G1528/P1528-1)</f>
        <v/>
      </c>
      <c r="S1528" s="19" t="n">
        <v>1.7662</v>
      </c>
      <c r="T1528" s="22" t="n">
        <v>0.0307</v>
      </c>
      <c r="U1528" s="16" t="inlineStr">
        <is>
          <t>Yes</t>
        </is>
      </c>
      <c r="V1528" s="16" t="inlineStr">
        <is>
          <t>Yes</t>
        </is>
      </c>
      <c r="W1528" s="16" t="inlineStr">
        <is>
          <t>Yes</t>
        </is>
      </c>
      <c r="X1528" s="16" t="inlineStr">
        <is>
          <t>Yes</t>
        </is>
      </c>
      <c r="Y1528" s="20" t="n">
        <v>57</v>
      </c>
      <c r="Z1528" s="19" t="n">
        <v>0.2963</v>
      </c>
      <c r="AA1528" s="18" t="n">
        <v>70.20999999999999</v>
      </c>
      <c r="AB1528" s="16" t="inlineStr">
        <is>
          <t>High</t>
        </is>
      </c>
      <c r="AC1528" s="16" t="inlineStr">
        <is>
          <t>No</t>
        </is>
      </c>
      <c r="AD1528" s="19" t="n">
        <v>0.2004</v>
      </c>
      <c r="AE1528" s="19" t="n">
        <v>0.2657</v>
      </c>
      <c r="AF1528" s="19" t="n">
        <v>0.2144</v>
      </c>
      <c r="AG1528" s="19" t="n">
        <v>0.0142</v>
      </c>
      <c r="AH1528" s="23" t="n">
        <v>0.02</v>
      </c>
      <c r="AI1528" s="23" t="n">
        <v>12.83</v>
      </c>
      <c r="AJ1528" s="19" t="n">
        <v>0.1808</v>
      </c>
    </row>
    <row r="1529">
      <c r="A1529" s="16" t="inlineStr">
        <is>
          <t>SVRL</t>
        </is>
      </c>
      <c r="B1529" s="16" t="inlineStr">
        <is>
          <t>Shri Venkatesh Refineries Ltd.</t>
        </is>
      </c>
      <c r="C1529" s="16" t="inlineStr">
        <is>
          <t>Edible Oils</t>
        </is>
      </c>
      <c r="D1529" s="16" t="inlineStr">
        <is>
          <t>FMCG</t>
        </is>
      </c>
      <c r="E1529" s="16" t="inlineStr">
        <is>
          <t>INE0HLJ01013</t>
        </is>
      </c>
      <c r="F1529" s="17" t="n">
        <v>1103.75</v>
      </c>
      <c r="G1529" s="18" t="n">
        <v>499</v>
      </c>
      <c r="H1529" s="19" t="n">
        <v>-0.0262</v>
      </c>
      <c r="I1529" s="20" t="n">
        <v>95</v>
      </c>
      <c r="J1529" s="16" t="inlineStr">
        <is>
          <t>green</t>
        </is>
      </c>
      <c r="K1529" s="20" t="n">
        <v>43</v>
      </c>
      <c r="L1529" s="18" t="n">
        <v>34.94</v>
      </c>
      <c r="M1529" s="18" t="n">
        <v>517.6</v>
      </c>
      <c r="N1529" s="18" t="n">
        <v>437.5</v>
      </c>
      <c r="O1529" s="18" t="n">
        <v>309.94</v>
      </c>
      <c r="P1529" s="18" t="n">
        <v>550.9</v>
      </c>
      <c r="Q1529" s="18" t="n">
        <v>223.15</v>
      </c>
      <c r="R1529" s="21">
        <f>IF(OR(G1529="",P1529=""),"",G1529/P1529-1)</f>
        <v/>
      </c>
      <c r="S1529" s="19" t="n">
        <v>1.7992</v>
      </c>
      <c r="T1529" s="22" t="n">
        <v>0.0885</v>
      </c>
      <c r="U1529" s="16" t="inlineStr">
        <is>
          <t>Yes</t>
        </is>
      </c>
      <c r="V1529" s="16" t="inlineStr">
        <is>
          <t>Yes</t>
        </is>
      </c>
      <c r="W1529" s="16" t="inlineStr">
        <is>
          <t>No</t>
        </is>
      </c>
      <c r="X1529" s="16" t="inlineStr">
        <is>
          <t>Yes</t>
        </is>
      </c>
      <c r="Y1529" s="20" t="n">
        <v>37</v>
      </c>
      <c r="Z1529" s="19" t="n">
        <v>0.4116</v>
      </c>
      <c r="AA1529" s="18" t="n"/>
      <c r="AB1529" s="16" t="n"/>
      <c r="AC1529" s="16" t="inlineStr">
        <is>
          <t>No</t>
        </is>
      </c>
      <c r="AD1529" s="19" t="n"/>
      <c r="AE1529" s="19" t="n"/>
      <c r="AF1529" s="19" t="n"/>
      <c r="AG1529" s="19" t="n"/>
      <c r="AH1529" s="23" t="n"/>
      <c r="AI1529" s="23" t="n"/>
      <c r="AJ1529" s="19" t="n"/>
    </row>
    <row r="1530">
      <c r="A1530" s="16" t="inlineStr">
        <is>
          <t>SHREDIGCEM</t>
        </is>
      </c>
      <c r="B1530" s="16" t="inlineStr">
        <is>
          <t>Shree Digvijay Cement Company Ltd.</t>
        </is>
      </c>
      <c r="C1530" s="16" t="inlineStr">
        <is>
          <t>Cement &amp; Cement Products</t>
        </is>
      </c>
      <c r="D1530" s="16" t="inlineStr">
        <is>
          <t>Cement and Construction</t>
        </is>
      </c>
      <c r="E1530" s="16" t="inlineStr">
        <is>
          <t>INE232A01011</t>
        </is>
      </c>
      <c r="F1530" s="17" t="n">
        <v>1101.07</v>
      </c>
      <c r="G1530" s="18" t="n">
        <v>74.44</v>
      </c>
      <c r="H1530" s="19" t="n">
        <v>0.0022</v>
      </c>
      <c r="I1530" s="20" t="n">
        <v>34</v>
      </c>
      <c r="J1530" s="16" t="inlineStr">
        <is>
          <t>red</t>
        </is>
      </c>
      <c r="K1530" s="20" t="n">
        <v>155</v>
      </c>
      <c r="L1530" s="18" t="n">
        <v>60.32</v>
      </c>
      <c r="M1530" s="18" t="n">
        <v>74.98999999999999</v>
      </c>
      <c r="N1530" s="18" t="n">
        <v>73.62</v>
      </c>
      <c r="O1530" s="18" t="n">
        <v>75.59</v>
      </c>
      <c r="P1530" s="18" t="n">
        <v>96.27</v>
      </c>
      <c r="Q1530" s="18" t="n">
        <v>55.48</v>
      </c>
      <c r="R1530" s="21">
        <f>IF(OR(G1530="",P1530=""),"",G1530/P1530-1)</f>
        <v/>
      </c>
      <c r="S1530" s="19" t="n">
        <v>1.8375</v>
      </c>
      <c r="T1530" s="22" t="n">
        <v>-0.0225</v>
      </c>
      <c r="U1530" s="16" t="inlineStr">
        <is>
          <t>No</t>
        </is>
      </c>
      <c r="V1530" s="16" t="inlineStr">
        <is>
          <t>Yes</t>
        </is>
      </c>
      <c r="W1530" s="16" t="inlineStr">
        <is>
          <t>No</t>
        </is>
      </c>
      <c r="X1530" s="16" t="inlineStr">
        <is>
          <t>No</t>
        </is>
      </c>
      <c r="Y1530" s="20" t="n">
        <v>142</v>
      </c>
      <c r="Z1530" s="19" t="n">
        <v>-0.0261</v>
      </c>
      <c r="AA1530" s="18" t="n">
        <v>31.34</v>
      </c>
      <c r="AB1530" s="16" t="inlineStr">
        <is>
          <t>Poor</t>
        </is>
      </c>
      <c r="AC1530" s="16" t="inlineStr">
        <is>
          <t>No</t>
        </is>
      </c>
      <c r="AD1530" s="19" t="n">
        <v>0.1225</v>
      </c>
      <c r="AE1530" s="19" t="n">
        <v>0.1472</v>
      </c>
      <c r="AF1530" s="19" t="n">
        <v>-0.0718</v>
      </c>
      <c r="AG1530" s="19" t="n">
        <v>0.014</v>
      </c>
      <c r="AH1530" s="23" t="n">
        <v>1.41</v>
      </c>
      <c r="AI1530" s="23" t="n">
        <v>1.89</v>
      </c>
      <c r="AJ1530" s="19" t="n">
        <v>0.0107</v>
      </c>
    </row>
    <row r="1531">
      <c r="A1531" s="16" t="inlineStr">
        <is>
          <t>ACGL</t>
        </is>
      </c>
      <c r="B1531" s="16" t="inlineStr">
        <is>
          <t>Automobile Corporation Of Goa Ltd.</t>
        </is>
      </c>
      <c r="C1531" s="16" t="inlineStr">
        <is>
          <t>Auto Parts &amp; Equipment</t>
        </is>
      </c>
      <c r="D1531" s="16" t="inlineStr">
        <is>
          <t>Automobiles &amp; Auto Components</t>
        </is>
      </c>
      <c r="E1531" s="16" t="inlineStr">
        <is>
          <t>INE451C01013</t>
        </is>
      </c>
      <c r="F1531" s="17" t="n">
        <v>1100.09</v>
      </c>
      <c r="G1531" s="18" t="n">
        <v>1806.8</v>
      </c>
      <c r="H1531" s="19" t="n">
        <v>0.0164</v>
      </c>
      <c r="I1531" s="20" t="n">
        <v>26</v>
      </c>
      <c r="J1531" s="16" t="inlineStr">
        <is>
          <t>red</t>
        </is>
      </c>
      <c r="K1531" s="20" t="n">
        <v>22</v>
      </c>
      <c r="L1531" s="18" t="n">
        <v>56.13</v>
      </c>
      <c r="M1531" s="18" t="n">
        <v>1789.29</v>
      </c>
      <c r="N1531" s="18" t="n">
        <v>2052.96</v>
      </c>
      <c r="O1531" s="18" t="n">
        <v>1863.84</v>
      </c>
      <c r="P1531" s="18" t="n">
        <v>2356.6</v>
      </c>
      <c r="Q1531" s="18" t="n">
        <v>1440.65</v>
      </c>
      <c r="R1531" s="21">
        <f>IF(OR(G1531="",P1531=""),"",G1531/P1531-1)</f>
        <v/>
      </c>
      <c r="S1531" s="19" t="n">
        <v>0.0611</v>
      </c>
      <c r="T1531" s="22" t="n">
        <v>-0.004699999999999999</v>
      </c>
      <c r="U1531" s="16" t="inlineStr">
        <is>
          <t>No</t>
        </is>
      </c>
      <c r="V1531" s="16" t="inlineStr">
        <is>
          <t>No</t>
        </is>
      </c>
      <c r="W1531" s="16" t="inlineStr">
        <is>
          <t>Yes</t>
        </is>
      </c>
      <c r="X1531" s="16" t="inlineStr">
        <is>
          <t>Yes</t>
        </is>
      </c>
      <c r="Y1531" s="20" t="n">
        <v>66</v>
      </c>
      <c r="Z1531" s="19" t="n">
        <v>0.1015</v>
      </c>
      <c r="AA1531" s="18" t="n"/>
      <c r="AB1531" s="16" t="n"/>
      <c r="AC1531" s="16" t="inlineStr">
        <is>
          <t>No</t>
        </is>
      </c>
      <c r="AD1531" s="19" t="n"/>
      <c r="AE1531" s="19" t="n"/>
      <c r="AF1531" s="19" t="n"/>
      <c r="AG1531" s="19" t="n"/>
      <c r="AH1531" s="23" t="n"/>
      <c r="AI1531" s="23" t="n"/>
      <c r="AJ1531" s="19" t="n"/>
    </row>
    <row r="1532">
      <c r="A1532" s="16" t="inlineStr">
        <is>
          <t>FLYSBS</t>
        </is>
      </c>
      <c r="B1532" s="16" t="inlineStr">
        <is>
          <t>FlySBS Aviation Ltd.</t>
        </is>
      </c>
      <c r="C1532" s="16" t="inlineStr">
        <is>
          <t>Airlines</t>
        </is>
      </c>
      <c r="D1532" s="16" t="inlineStr">
        <is>
          <t>Transportation</t>
        </is>
      </c>
      <c r="E1532" s="16" t="inlineStr">
        <is>
          <t>INE0VCK01011</t>
        </is>
      </c>
      <c r="F1532" s="17" t="n">
        <v>1099.83</v>
      </c>
      <c r="G1532" s="18" t="n"/>
      <c r="H1532" s="19" t="n"/>
      <c r="I1532" s="20" t="n"/>
      <c r="J1532" s="16" t="n"/>
      <c r="K1532" s="20" t="n"/>
      <c r="L1532" s="18" t="n"/>
      <c r="M1532" s="18" t="n"/>
      <c r="N1532" s="18" t="n"/>
      <c r="O1532" s="18" t="n"/>
      <c r="P1532" s="18" t="n"/>
      <c r="Q1532" s="18" t="n"/>
      <c r="R1532" s="21">
        <f>IF(OR(G1532="",P1532=""),"",G1532/P1532-1)</f>
        <v/>
      </c>
      <c r="S1532" s="19" t="n"/>
      <c r="T1532" s="22" t="n"/>
      <c r="U1532" s="16" t="n"/>
      <c r="V1532" s="16" t="n"/>
      <c r="W1532" s="16" t="n"/>
      <c r="X1532" s="16" t="n"/>
      <c r="Y1532" s="20" t="n"/>
      <c r="Z1532" s="19" t="n"/>
      <c r="AA1532" s="18" t="n"/>
      <c r="AB1532" s="16" t="n"/>
      <c r="AC1532" s="16" t="inlineStr">
        <is>
          <t>No</t>
        </is>
      </c>
      <c r="AD1532" s="19" t="n"/>
      <c r="AE1532" s="19" t="n"/>
      <c r="AF1532" s="19" t="n"/>
      <c r="AG1532" s="19" t="n"/>
      <c r="AH1532" s="23" t="n"/>
      <c r="AI1532" s="23" t="n"/>
      <c r="AJ1532" s="19" t="n"/>
    </row>
    <row r="1533">
      <c r="A1533" s="16" t="inlineStr">
        <is>
          <t>CENTRUM</t>
        </is>
      </c>
      <c r="B1533" s="16" t="inlineStr">
        <is>
          <t>Centrum Capital Ltd.</t>
        </is>
      </c>
      <c r="C1533" s="16" t="inlineStr">
        <is>
          <t>Other Financial Services</t>
        </is>
      </c>
      <c r="D1533" s="16" t="inlineStr">
        <is>
          <t>Banking and Finance</t>
        </is>
      </c>
      <c r="E1533" s="16" t="inlineStr">
        <is>
          <t>INE660C01027</t>
        </is>
      </c>
      <c r="F1533" s="17" t="n">
        <v>1097.8</v>
      </c>
      <c r="G1533" s="18" t="n">
        <v>22.55</v>
      </c>
      <c r="H1533" s="19" t="n">
        <v>0.004500000000000001</v>
      </c>
      <c r="I1533" s="20" t="n">
        <v>19</v>
      </c>
      <c r="J1533" s="16" t="inlineStr">
        <is>
          <t>red</t>
        </is>
      </c>
      <c r="K1533" s="20" t="n">
        <v>105</v>
      </c>
      <c r="L1533" s="18" t="n">
        <v>21.86</v>
      </c>
      <c r="M1533" s="18" t="n">
        <v>22.81</v>
      </c>
      <c r="N1533" s="18" t="n">
        <v>24</v>
      </c>
      <c r="O1533" s="18" t="n">
        <v>25.16</v>
      </c>
      <c r="P1533" s="18" t="n">
        <v>37.61</v>
      </c>
      <c r="Q1533" s="18" t="n">
        <v>20.38</v>
      </c>
      <c r="R1533" s="21">
        <f>IF(OR(G1533="",P1533=""),"",G1533/P1533-1)</f>
        <v/>
      </c>
      <c r="S1533" s="19" t="n">
        <v>0.4565</v>
      </c>
      <c r="T1533" s="22" t="n">
        <v>-0.0371</v>
      </c>
      <c r="U1533" s="16" t="inlineStr">
        <is>
          <t>No</t>
        </is>
      </c>
      <c r="V1533" s="16" t="inlineStr">
        <is>
          <t>No</t>
        </is>
      </c>
      <c r="W1533" s="16" t="inlineStr">
        <is>
          <t>No</t>
        </is>
      </c>
      <c r="X1533" s="16" t="inlineStr">
        <is>
          <t>No</t>
        </is>
      </c>
      <c r="Y1533" s="20" t="n">
        <v>180</v>
      </c>
      <c r="Z1533" s="19" t="n">
        <v>-0.0459</v>
      </c>
      <c r="AA1533" s="18" t="n">
        <v>34.38</v>
      </c>
      <c r="AB1533" s="16" t="inlineStr">
        <is>
          <t>Poor</t>
        </is>
      </c>
      <c r="AC1533" s="16" t="inlineStr">
        <is>
          <t>Yes</t>
        </is>
      </c>
      <c r="AD1533" s="19" t="n">
        <v>-0.4468</v>
      </c>
      <c r="AE1533" s="19" t="n">
        <v>0.07730000000000001</v>
      </c>
      <c r="AF1533" s="19" t="n">
        <v>0.1497</v>
      </c>
      <c r="AG1533" s="19" t="n">
        <v>0.3889</v>
      </c>
      <c r="AH1533" s="23" t="n">
        <v>51.52</v>
      </c>
      <c r="AI1533" s="23" t="n">
        <v>3.27</v>
      </c>
      <c r="AJ1533" s="19" t="n">
        <v>0.1595</v>
      </c>
    </row>
    <row r="1534">
      <c r="A1534" s="16" t="inlineStr">
        <is>
          <t>MASTERTR</t>
        </is>
      </c>
      <c r="B1534" s="16" t="inlineStr">
        <is>
          <t>Master Trust Ltd.</t>
        </is>
      </c>
      <c r="C1534" s="16" t="inlineStr">
        <is>
          <t>Capital Markets</t>
        </is>
      </c>
      <c r="D1534" s="16" t="inlineStr">
        <is>
          <t>Banking and Finance</t>
        </is>
      </c>
      <c r="E1534" s="16" t="inlineStr">
        <is>
          <t>INE677D01037</t>
        </is>
      </c>
      <c r="F1534" s="17" t="n">
        <v>1096.81</v>
      </c>
      <c r="G1534" s="18" t="n">
        <v>89.16</v>
      </c>
      <c r="H1534" s="19" t="n">
        <v>0.1003</v>
      </c>
      <c r="I1534" s="20" t="n">
        <v>29</v>
      </c>
      <c r="J1534" s="16" t="inlineStr">
        <is>
          <t>red</t>
        </is>
      </c>
      <c r="K1534" s="20" t="n">
        <v>222</v>
      </c>
      <c r="L1534" s="18" t="n">
        <v>69.65000000000001</v>
      </c>
      <c r="M1534" s="18" t="n">
        <v>83.23</v>
      </c>
      <c r="N1534" s="18" t="n">
        <v>82.43000000000001</v>
      </c>
      <c r="O1534" s="18" t="n">
        <v>89.5</v>
      </c>
      <c r="P1534" s="18" t="n">
        <v>161.91</v>
      </c>
      <c r="Q1534" s="18" t="n">
        <v>56.34</v>
      </c>
      <c r="R1534" s="21">
        <f>IF(OR(G1534="",P1534=""),"",G1534/P1534-1)</f>
        <v/>
      </c>
      <c r="S1534" s="19" t="n">
        <v>14.0687</v>
      </c>
      <c r="T1534" s="22" t="n">
        <v>-0.0471</v>
      </c>
      <c r="U1534" s="16" t="inlineStr">
        <is>
          <t>No</t>
        </is>
      </c>
      <c r="V1534" s="16" t="inlineStr">
        <is>
          <t>Yes</t>
        </is>
      </c>
      <c r="W1534" s="16" t="inlineStr">
        <is>
          <t>Yes</t>
        </is>
      </c>
      <c r="X1534" s="16" t="inlineStr">
        <is>
          <t>No</t>
        </is>
      </c>
      <c r="Y1534" s="20" t="n">
        <v>207</v>
      </c>
      <c r="Z1534" s="19" t="n">
        <v>-0.079</v>
      </c>
      <c r="AA1534" s="18" t="n">
        <v>74.94</v>
      </c>
      <c r="AB1534" s="16" t="inlineStr">
        <is>
          <t>High</t>
        </is>
      </c>
      <c r="AC1534" s="16" t="inlineStr">
        <is>
          <t>Yes</t>
        </is>
      </c>
      <c r="AD1534" s="19" t="n">
        <v>0.1914</v>
      </c>
      <c r="AE1534" s="19" t="n">
        <v>0.2595</v>
      </c>
      <c r="AF1534" s="19" t="n">
        <v>0.2353</v>
      </c>
      <c r="AG1534" s="19" t="n">
        <v>0.2771</v>
      </c>
      <c r="AH1534" s="23" t="n">
        <v>0.28</v>
      </c>
      <c r="AI1534" s="23" t="n">
        <v>41.33</v>
      </c>
      <c r="AJ1534" s="19" t="n">
        <v>0</v>
      </c>
    </row>
    <row r="1535">
      <c r="A1535" s="16" t="inlineStr">
        <is>
          <t>LAXMIDENTL</t>
        </is>
      </c>
      <c r="B1535" s="16" t="inlineStr">
        <is>
          <t>Laxmi Dental Ltd.</t>
        </is>
      </c>
      <c r="C1535" s="16" t="inlineStr">
        <is>
          <t>Healthcare Supplies</t>
        </is>
      </c>
      <c r="D1535" s="16" t="inlineStr">
        <is>
          <t>Healthcare</t>
        </is>
      </c>
      <c r="E1535" s="16" t="inlineStr">
        <is>
          <t>INE0WO601020</t>
        </is>
      </c>
      <c r="F1535" s="17" t="n">
        <v>1095.86</v>
      </c>
      <c r="G1535" s="18" t="n">
        <v>199.14</v>
      </c>
      <c r="H1535" s="19" t="n">
        <v>-0.0003</v>
      </c>
      <c r="I1535" s="20" t="n">
        <v>12</v>
      </c>
      <c r="J1535" s="16" t="inlineStr">
        <is>
          <t>red</t>
        </is>
      </c>
      <c r="K1535" s="20" t="n">
        <v>278</v>
      </c>
      <c r="L1535" s="18" t="n">
        <v>47.85</v>
      </c>
      <c r="M1535" s="18" t="n">
        <v>196.52</v>
      </c>
      <c r="N1535" s="18" t="n">
        <v>211.7</v>
      </c>
      <c r="O1535" s="18" t="n">
        <v>217.81</v>
      </c>
      <c r="P1535" s="18" t="n">
        <v>362.35</v>
      </c>
      <c r="Q1535" s="18" t="n">
        <v>158.25</v>
      </c>
      <c r="R1535" s="21">
        <f>IF(OR(G1535="",P1535=""),"",G1535/P1535-1)</f>
        <v/>
      </c>
      <c r="S1535" s="19" t="n">
        <v>0.333</v>
      </c>
      <c r="T1535" s="22" t="n">
        <v>-0.0505</v>
      </c>
      <c r="U1535" s="16" t="inlineStr">
        <is>
          <t>No</t>
        </is>
      </c>
      <c r="V1535" s="16" t="inlineStr">
        <is>
          <t>No</t>
        </is>
      </c>
      <c r="W1535" s="16" t="inlineStr">
        <is>
          <t>Yes</t>
        </is>
      </c>
      <c r="X1535" s="16" t="inlineStr">
        <is>
          <t>No</t>
        </is>
      </c>
      <c r="Y1535" s="20" t="n">
        <v>208</v>
      </c>
      <c r="Z1535" s="19" t="n">
        <v>-0.0281</v>
      </c>
      <c r="AA1535" s="18" t="n">
        <v>70.83</v>
      </c>
      <c r="AB1535" s="16" t="inlineStr">
        <is>
          <t>High</t>
        </is>
      </c>
      <c r="AC1535" s="16" t="inlineStr">
        <is>
          <t>No</t>
        </is>
      </c>
      <c r="AD1535" s="19" t="n">
        <v>0.285</v>
      </c>
      <c r="AE1535" s="19" t="n">
        <v>0.1425</v>
      </c>
      <c r="AF1535" s="19" t="n">
        <v>2.4916</v>
      </c>
      <c r="AG1535" s="19" t="n">
        <v>0.196</v>
      </c>
      <c r="AH1535" s="23" t="n">
        <v>0.05</v>
      </c>
      <c r="AI1535" s="23" t="n">
        <v>4.58</v>
      </c>
      <c r="AJ1535" s="19" t="n">
        <v>0</v>
      </c>
    </row>
    <row r="1536">
      <c r="A1536" s="16" t="inlineStr">
        <is>
          <t>DHAMPURSUG</t>
        </is>
      </c>
      <c r="B1536" s="16" t="inlineStr">
        <is>
          <t>Dhampur Sugar Mills Ltd.</t>
        </is>
      </c>
      <c r="C1536" s="16" t="inlineStr">
        <is>
          <t>Sugar</t>
        </is>
      </c>
      <c r="D1536" s="16" t="inlineStr">
        <is>
          <t>Food, Beverages &amp; Tobacco</t>
        </is>
      </c>
      <c r="E1536" s="16" t="inlineStr">
        <is>
          <t>INE041A01016</t>
        </is>
      </c>
      <c r="F1536" s="17" t="n">
        <v>1095.83</v>
      </c>
      <c r="G1536" s="18" t="n">
        <v>167.59</v>
      </c>
      <c r="H1536" s="19" t="n">
        <v>-0.0534</v>
      </c>
      <c r="I1536" s="20" t="n">
        <v>73</v>
      </c>
      <c r="J1536" s="16" t="inlineStr">
        <is>
          <t>amber</t>
        </is>
      </c>
      <c r="K1536" s="20" t="n">
        <v>4</v>
      </c>
      <c r="L1536" s="18" t="n">
        <v>48.02</v>
      </c>
      <c r="M1536" s="18" t="n">
        <v>174.64</v>
      </c>
      <c r="N1536" s="18" t="n">
        <v>154.72</v>
      </c>
      <c r="O1536" s="18" t="n">
        <v>135.75</v>
      </c>
      <c r="P1536" s="18" t="n">
        <v>189.76</v>
      </c>
      <c r="Q1536" s="18" t="n">
        <v>108.96</v>
      </c>
      <c r="R1536" s="21">
        <f>IF(OR(G1536="",P1536=""),"",G1536/P1536-1)</f>
        <v/>
      </c>
      <c r="S1536" s="19" t="n">
        <v>0.6181</v>
      </c>
      <c r="T1536" s="22" t="n">
        <v>0.0299</v>
      </c>
      <c r="U1536" s="16" t="inlineStr">
        <is>
          <t>Yes</t>
        </is>
      </c>
      <c r="V1536" s="16" t="inlineStr">
        <is>
          <t>Yes</t>
        </is>
      </c>
      <c r="W1536" s="16" t="inlineStr">
        <is>
          <t>No</t>
        </is>
      </c>
      <c r="X1536" s="16" t="inlineStr">
        <is>
          <t>Yes</t>
        </is>
      </c>
      <c r="Y1536" s="20" t="n">
        <v>90</v>
      </c>
      <c r="Z1536" s="19" t="n">
        <v>0.1398</v>
      </c>
      <c r="AA1536" s="18" t="n">
        <v>21.02</v>
      </c>
      <c r="AB1536" s="16" t="inlineStr">
        <is>
          <t>Poor</t>
        </is>
      </c>
      <c r="AC1536" s="16" t="inlineStr">
        <is>
          <t>No</t>
        </is>
      </c>
      <c r="AD1536" s="19" t="n">
        <v>0.07389999999999999</v>
      </c>
      <c r="AE1536" s="19" t="n">
        <v>0.07969999999999999</v>
      </c>
      <c r="AF1536" s="19" t="n">
        <v>-0.1625</v>
      </c>
      <c r="AG1536" s="19" t="n">
        <v>-0.0672</v>
      </c>
      <c r="AH1536" s="23" t="n">
        <v>0.75</v>
      </c>
      <c r="AI1536" s="23" t="n">
        <v>1.77</v>
      </c>
      <c r="AJ1536" s="19" t="n">
        <v>0.0113</v>
      </c>
    </row>
    <row r="1537">
      <c r="A1537" s="16" t="inlineStr">
        <is>
          <t>MATRIMONY</t>
        </is>
      </c>
      <c r="B1537" s="16" t="inlineStr">
        <is>
          <t>Matrimony.com Ltd.</t>
        </is>
      </c>
      <c r="C1537" s="16" t="inlineStr">
        <is>
          <t>Internet Software &amp; Services</t>
        </is>
      </c>
      <c r="D1537" s="16" t="inlineStr">
        <is>
          <t>Software &amp; Services</t>
        </is>
      </c>
      <c r="E1537" s="16" t="inlineStr">
        <is>
          <t>INE866R01028</t>
        </is>
      </c>
      <c r="F1537" s="17" t="n">
        <v>1094.89</v>
      </c>
      <c r="G1537" s="18" t="n">
        <v>529.05</v>
      </c>
      <c r="H1537" s="19" t="n">
        <v>-0.001</v>
      </c>
      <c r="I1537" s="20" t="n">
        <v>69</v>
      </c>
      <c r="J1537" s="16" t="inlineStr">
        <is>
          <t>amber</t>
        </is>
      </c>
      <c r="K1537" s="20" t="n">
        <v>18</v>
      </c>
      <c r="L1537" s="18" t="n">
        <v>42.46</v>
      </c>
      <c r="M1537" s="18" t="n">
        <v>519.52</v>
      </c>
      <c r="N1537" s="18" t="n">
        <v>467.3</v>
      </c>
      <c r="O1537" s="18" t="n">
        <v>461.09</v>
      </c>
      <c r="P1537" s="18" t="n">
        <v>562.85</v>
      </c>
      <c r="Q1537" s="18" t="n">
        <v>374.9</v>
      </c>
      <c r="R1537" s="21">
        <f>IF(OR(G1537="",P1537=""),"",G1537/P1537-1)</f>
        <v/>
      </c>
      <c r="S1537" s="19" t="n">
        <v>0.08710000000000001</v>
      </c>
      <c r="T1537" s="22" t="n">
        <v>0.0052</v>
      </c>
      <c r="U1537" s="16" t="inlineStr">
        <is>
          <t>Yes</t>
        </is>
      </c>
      <c r="V1537" s="16" t="inlineStr">
        <is>
          <t>Yes</t>
        </is>
      </c>
      <c r="W1537" s="16" t="inlineStr">
        <is>
          <t>Yes</t>
        </is>
      </c>
      <c r="X1537" s="16" t="inlineStr">
        <is>
          <t>Yes</t>
        </is>
      </c>
      <c r="Y1537" s="20" t="n">
        <v>3</v>
      </c>
      <c r="Z1537" s="19" t="n">
        <v>0.0135</v>
      </c>
      <c r="AA1537" s="18" t="n">
        <v>40</v>
      </c>
      <c r="AB1537" s="16" t="inlineStr">
        <is>
          <t>Weak</t>
        </is>
      </c>
      <c r="AC1537" s="16" t="inlineStr">
        <is>
          <t>No</t>
        </is>
      </c>
      <c r="AD1537" s="19" t="n">
        <v>0.1743</v>
      </c>
      <c r="AE1537" s="19" t="n">
        <v>0.1995</v>
      </c>
      <c r="AF1537" s="19" t="n">
        <v>-0.0759</v>
      </c>
      <c r="AG1537" s="19" t="n">
        <v>0.004099999999999999</v>
      </c>
      <c r="AH1537" s="23" t="n">
        <v>0.24</v>
      </c>
      <c r="AI1537" s="23" t="n">
        <v>7.25</v>
      </c>
      <c r="AJ1537" s="19" t="n">
        <v>0.0019</v>
      </c>
    </row>
    <row r="1538">
      <c r="A1538" s="16" t="inlineStr">
        <is>
          <t>GANDHITUBE</t>
        </is>
      </c>
      <c r="B1538" s="16" t="inlineStr">
        <is>
          <t>Gandhi Special Tubes Ltd.</t>
        </is>
      </c>
      <c r="C1538" s="16" t="inlineStr">
        <is>
          <t>Iron &amp; Steel Products</t>
        </is>
      </c>
      <c r="D1538" s="16" t="inlineStr">
        <is>
          <t>Metals &amp; Mining</t>
        </is>
      </c>
      <c r="E1538" s="16" t="inlineStr">
        <is>
          <t>INE524B01027</t>
        </is>
      </c>
      <c r="F1538" s="17" t="n">
        <v>1093.86</v>
      </c>
      <c r="G1538" s="18" t="n">
        <v>900.15</v>
      </c>
      <c r="H1538" s="19" t="n">
        <v>-0.0027</v>
      </c>
      <c r="I1538" s="20" t="n">
        <v>55</v>
      </c>
      <c r="J1538" s="16" t="inlineStr">
        <is>
          <t>red</t>
        </is>
      </c>
      <c r="K1538" s="20" t="n">
        <v>8</v>
      </c>
      <c r="L1538" s="18" t="n">
        <v>71.56</v>
      </c>
      <c r="M1538" s="18" t="n">
        <v>899.9400000000001</v>
      </c>
      <c r="N1538" s="18" t="n">
        <v>873.86</v>
      </c>
      <c r="O1538" s="18" t="n">
        <v>817.58</v>
      </c>
      <c r="P1538" s="18" t="n">
        <v>987.08</v>
      </c>
      <c r="Q1538" s="18" t="n">
        <v>685.9299999999999</v>
      </c>
      <c r="R1538" s="21">
        <f>IF(OR(G1538="",P1538=""),"",G1538/P1538-1)</f>
        <v/>
      </c>
      <c r="S1538" s="19" t="n">
        <v>0.1536</v>
      </c>
      <c r="T1538" s="22" t="n">
        <v>0.0074</v>
      </c>
      <c r="U1538" s="16" t="inlineStr">
        <is>
          <t>Yes</t>
        </is>
      </c>
      <c r="V1538" s="16" t="inlineStr">
        <is>
          <t>Yes</t>
        </is>
      </c>
      <c r="W1538" s="16" t="inlineStr">
        <is>
          <t>Yes</t>
        </is>
      </c>
      <c r="X1538" s="16" t="inlineStr">
        <is>
          <t>Yes</t>
        </is>
      </c>
      <c r="Y1538" s="20" t="n">
        <v>108</v>
      </c>
      <c r="Z1538" s="19" t="n">
        <v>0.0688</v>
      </c>
      <c r="AA1538" s="18" t="n">
        <v>67.59</v>
      </c>
      <c r="AB1538" s="16" t="inlineStr">
        <is>
          <t>High</t>
        </is>
      </c>
      <c r="AC1538" s="16" t="inlineStr">
        <is>
          <t>No</t>
        </is>
      </c>
      <c r="AD1538" s="19" t="n">
        <v>0.2289</v>
      </c>
      <c r="AE1538" s="19" t="n">
        <v>0.3022</v>
      </c>
      <c r="AF1538" s="19" t="n">
        <v>0.1317</v>
      </c>
      <c r="AG1538" s="19" t="n">
        <v>0.0501</v>
      </c>
      <c r="AH1538" s="23" t="n">
        <v>0</v>
      </c>
      <c r="AI1538" s="23" t="n">
        <v>4.51</v>
      </c>
      <c r="AJ1538" s="19" t="n">
        <v>0.0014</v>
      </c>
    </row>
    <row r="1539">
      <c r="A1539" s="16" t="inlineStr">
        <is>
          <t>ORIENTTECH</t>
        </is>
      </c>
      <c r="B1539" s="16" t="inlineStr">
        <is>
          <t>Orient Technologies Ltd.</t>
        </is>
      </c>
      <c r="C1539" s="16" t="inlineStr">
        <is>
          <t>IT Consulting &amp; Software</t>
        </is>
      </c>
      <c r="D1539" s="16" t="inlineStr">
        <is>
          <t>Software &amp; Services</t>
        </is>
      </c>
      <c r="E1539" s="16" t="inlineStr">
        <is>
          <t>INE0PPK01015</t>
        </is>
      </c>
      <c r="F1539" s="17" t="n">
        <v>1091.97</v>
      </c>
      <c r="G1539" s="18" t="n">
        <v>238.39</v>
      </c>
      <c r="H1539" s="19" t="n">
        <v>-0.0015</v>
      </c>
      <c r="I1539" s="20" t="n">
        <v>16</v>
      </c>
      <c r="J1539" s="16" t="inlineStr">
        <is>
          <t>red</t>
        </is>
      </c>
      <c r="K1539" s="20" t="n">
        <v>131</v>
      </c>
      <c r="L1539" s="18" t="n">
        <v>25.31</v>
      </c>
      <c r="M1539" s="18" t="n">
        <v>240.62</v>
      </c>
      <c r="N1539" s="18" t="n">
        <v>255.87</v>
      </c>
      <c r="O1539" s="18" t="n">
        <v>288.42</v>
      </c>
      <c r="P1539" s="18" t="n">
        <v>459.45</v>
      </c>
      <c r="Q1539" s="18" t="n">
        <v>224</v>
      </c>
      <c r="R1539" s="21">
        <f>IF(OR(G1539="",P1539=""),"",G1539/P1539-1)</f>
        <v/>
      </c>
      <c r="S1539" s="19" t="n">
        <v>0.1469</v>
      </c>
      <c r="T1539" s="22" t="n">
        <v>-0.0479</v>
      </c>
      <c r="U1539" s="16" t="inlineStr">
        <is>
          <t>No</t>
        </is>
      </c>
      <c r="V1539" s="16" t="inlineStr">
        <is>
          <t>No</t>
        </is>
      </c>
      <c r="W1539" s="16" t="inlineStr">
        <is>
          <t>No</t>
        </is>
      </c>
      <c r="X1539" s="16" t="inlineStr">
        <is>
          <t>No</t>
        </is>
      </c>
      <c r="Y1539" s="20" t="n">
        <v>120</v>
      </c>
      <c r="Z1539" s="19" t="n">
        <v>-0.1129</v>
      </c>
      <c r="AA1539" s="18" t="n">
        <v>40</v>
      </c>
      <c r="AB1539" s="16" t="inlineStr">
        <is>
          <t>Weak</t>
        </is>
      </c>
      <c r="AC1539" s="16" t="inlineStr">
        <is>
          <t>No</t>
        </is>
      </c>
      <c r="AD1539" s="19" t="n">
        <v>0.1343</v>
      </c>
      <c r="AE1539" s="19" t="n">
        <v>0.178</v>
      </c>
      <c r="AF1539" s="19" t="n">
        <v>-0.209</v>
      </c>
      <c r="AG1539" s="19" t="n">
        <v>0.185</v>
      </c>
      <c r="AH1539" s="23" t="n">
        <v>0.19</v>
      </c>
      <c r="AI1539" s="23" t="n">
        <v>10.96</v>
      </c>
      <c r="AJ1539" s="19" t="n">
        <v>0</v>
      </c>
    </row>
    <row r="1540">
      <c r="A1540" s="16" t="inlineStr">
        <is>
          <t>BIRLANU</t>
        </is>
      </c>
      <c r="B1540" s="16" t="inlineStr">
        <is>
          <t>BirlaNu Ltd.</t>
        </is>
      </c>
      <c r="C1540" s="16" t="inlineStr">
        <is>
          <t>Cement &amp; Cement Products</t>
        </is>
      </c>
      <c r="D1540" s="16" t="inlineStr">
        <is>
          <t>Cement and Construction</t>
        </is>
      </c>
      <c r="E1540" s="16" t="inlineStr">
        <is>
          <t>INE557A01011</t>
        </is>
      </c>
      <c r="F1540" s="17" t="n">
        <v>1091.92</v>
      </c>
      <c r="G1540" s="18" t="n">
        <v>1448</v>
      </c>
      <c r="H1540" s="19" t="n">
        <v>0.0172</v>
      </c>
      <c r="I1540" s="20" t="n">
        <v>37</v>
      </c>
      <c r="J1540" s="16" t="inlineStr">
        <is>
          <t>red</t>
        </is>
      </c>
      <c r="K1540" s="20" t="n">
        <v>501</v>
      </c>
      <c r="L1540" s="18" t="n">
        <v>31.58</v>
      </c>
      <c r="M1540" s="18" t="n">
        <v>1443.2</v>
      </c>
      <c r="N1540" s="18" t="n">
        <v>1414.74</v>
      </c>
      <c r="O1540" s="18" t="n">
        <v>1472.02</v>
      </c>
      <c r="P1540" s="18" t="n">
        <v>2010.11</v>
      </c>
      <c r="Q1540" s="18" t="n">
        <v>1188.44</v>
      </c>
      <c r="R1540" s="21">
        <f>IF(OR(G1540="",P1540=""),"",G1540/P1540-1)</f>
        <v/>
      </c>
      <c r="S1540" s="19" t="n">
        <v>0.1807</v>
      </c>
      <c r="T1540" s="22" t="n">
        <v>-0.0211</v>
      </c>
      <c r="U1540" s="16" t="inlineStr">
        <is>
          <t>No</t>
        </is>
      </c>
      <c r="V1540" s="16" t="inlineStr">
        <is>
          <t>Yes</t>
        </is>
      </c>
      <c r="W1540" s="16" t="inlineStr">
        <is>
          <t>Yes</t>
        </is>
      </c>
      <c r="X1540" s="16" t="inlineStr">
        <is>
          <t>No</t>
        </is>
      </c>
      <c r="Y1540" s="20" t="n">
        <v>247</v>
      </c>
      <c r="Z1540" s="19" t="n">
        <v>-0.0389</v>
      </c>
      <c r="AA1540" s="18" t="n">
        <v>14.46</v>
      </c>
      <c r="AB1540" s="16" t="inlineStr">
        <is>
          <t>Poor</t>
        </is>
      </c>
      <c r="AC1540" s="16" t="inlineStr">
        <is>
          <t>No</t>
        </is>
      </c>
      <c r="AD1540" s="19" t="n">
        <v>-0.0357</v>
      </c>
      <c r="AE1540" s="19" t="n">
        <v>0.008199999999999999</v>
      </c>
      <c r="AF1540" s="19" t="n">
        <v>-1.7406</v>
      </c>
      <c r="AG1540" s="19" t="n">
        <v>0.0247</v>
      </c>
      <c r="AH1540" s="23" t="n">
        <v>1</v>
      </c>
      <c r="AI1540" s="23" t="n">
        <v>2.58</v>
      </c>
      <c r="AJ1540" s="19" t="n">
        <v>0.0384</v>
      </c>
    </row>
    <row r="1541">
      <c r="A1541" s="16" t="inlineStr">
        <is>
          <t>GREENPOWER</t>
        </is>
      </c>
      <c r="B1541" s="16" t="inlineStr">
        <is>
          <t>Orient Green Power Company Ltd.</t>
        </is>
      </c>
      <c r="C1541" s="16" t="inlineStr">
        <is>
          <t>Green &amp; Renewable Energy</t>
        </is>
      </c>
      <c r="D1541" s="16" t="inlineStr">
        <is>
          <t>Utilities</t>
        </is>
      </c>
      <c r="E1541" s="16" t="inlineStr">
        <is>
          <t>INE999K01014</t>
        </is>
      </c>
      <c r="F1541" s="17" t="n">
        <v>1088.57</v>
      </c>
      <c r="G1541" s="18" t="n">
        <v>9.279999999999999</v>
      </c>
      <c r="H1541" s="19" t="n">
        <v>0.0098</v>
      </c>
      <c r="I1541" s="20" t="n">
        <v>10</v>
      </c>
      <c r="J1541" s="16" t="inlineStr">
        <is>
          <t>red</t>
        </is>
      </c>
      <c r="K1541" s="20" t="n">
        <v>90</v>
      </c>
      <c r="L1541" s="18" t="n">
        <v>37.61</v>
      </c>
      <c r="M1541" s="18" t="n">
        <v>9.279999999999999</v>
      </c>
      <c r="N1541" s="18" t="n">
        <v>9.85</v>
      </c>
      <c r="O1541" s="18" t="n">
        <v>10.65</v>
      </c>
      <c r="P1541" s="18" t="n">
        <v>14.34</v>
      </c>
      <c r="Q1541" s="18" t="n">
        <v>8.039999999999999</v>
      </c>
      <c r="R1541" s="21">
        <f>IF(OR(G1541="",P1541=""),"",G1541/P1541-1)</f>
        <v/>
      </c>
      <c r="S1541" s="19" t="n">
        <v>0.8758</v>
      </c>
      <c r="T1541" s="22" t="n">
        <v>-0.0378</v>
      </c>
      <c r="U1541" s="16" t="inlineStr">
        <is>
          <t>No</t>
        </is>
      </c>
      <c r="V1541" s="16" t="inlineStr">
        <is>
          <t>No</t>
        </is>
      </c>
      <c r="W1541" s="16" t="inlineStr">
        <is>
          <t>No</t>
        </is>
      </c>
      <c r="X1541" s="16" t="inlineStr">
        <is>
          <t>No</t>
        </is>
      </c>
      <c r="Y1541" s="20" t="n">
        <v>193</v>
      </c>
      <c r="Z1541" s="19" t="n">
        <v>-0.0756</v>
      </c>
      <c r="AA1541" s="18" t="n">
        <v>29.87</v>
      </c>
      <c r="AB1541" s="16" t="inlineStr">
        <is>
          <t>Poor</t>
        </is>
      </c>
      <c r="AC1541" s="16" t="inlineStr">
        <is>
          <t>No</t>
        </is>
      </c>
      <c r="AD1541" s="19" t="n">
        <v>0.0476</v>
      </c>
      <c r="AE1541" s="19" t="n">
        <v>0.0722</v>
      </c>
      <c r="AF1541" s="19" t="n">
        <v>0.2301</v>
      </c>
      <c r="AG1541" s="19" t="n">
        <v>0.0444</v>
      </c>
      <c r="AH1541" s="23" t="n">
        <v>0.45</v>
      </c>
      <c r="AI1541" s="23" t="n">
        <v>0.2</v>
      </c>
      <c r="AJ1541" s="19" t="n">
        <v>0.0698</v>
      </c>
    </row>
    <row r="1542">
      <c r="A1542" s="16" t="inlineStr">
        <is>
          <t>SACHEEROME</t>
        </is>
      </c>
      <c r="B1542" s="16" t="inlineStr">
        <is>
          <t>Sacheerome Ltd.</t>
        </is>
      </c>
      <c r="C1542" s="16" t="inlineStr">
        <is>
          <t>Personal Products</t>
        </is>
      </c>
      <c r="D1542" s="16" t="inlineStr">
        <is>
          <t>FMCG</t>
        </is>
      </c>
      <c r="E1542" s="16" t="inlineStr">
        <is>
          <t>INE1ARD01016</t>
        </is>
      </c>
      <c r="F1542" s="17" t="n">
        <v>1085.64</v>
      </c>
      <c r="G1542" s="18" t="n"/>
      <c r="H1542" s="19" t="n"/>
      <c r="I1542" s="20" t="n"/>
      <c r="J1542" s="16" t="n"/>
      <c r="K1542" s="20" t="n"/>
      <c r="L1542" s="18" t="n"/>
      <c r="M1542" s="18" t="n"/>
      <c r="N1542" s="18" t="n"/>
      <c r="O1542" s="18" t="n"/>
      <c r="P1542" s="18" t="n"/>
      <c r="Q1542" s="18" t="n"/>
      <c r="R1542" s="21">
        <f>IF(OR(G1542="",P1542=""),"",G1542/P1542-1)</f>
        <v/>
      </c>
      <c r="S1542" s="19" t="n"/>
      <c r="T1542" s="22" t="n"/>
      <c r="U1542" s="16" t="n"/>
      <c r="V1542" s="16" t="n"/>
      <c r="W1542" s="16" t="n"/>
      <c r="X1542" s="16" t="n"/>
      <c r="Y1542" s="20" t="n"/>
      <c r="Z1542" s="19" t="n"/>
      <c r="AA1542" s="18" t="n"/>
      <c r="AB1542" s="16" t="n"/>
      <c r="AC1542" s="16" t="inlineStr">
        <is>
          <t>No</t>
        </is>
      </c>
      <c r="AD1542" s="19" t="n"/>
      <c r="AE1542" s="19" t="n"/>
      <c r="AF1542" s="19" t="n"/>
      <c r="AG1542" s="19" t="n"/>
      <c r="AH1542" s="23" t="n"/>
      <c r="AI1542" s="23" t="n"/>
      <c r="AJ1542" s="19" t="n"/>
    </row>
    <row r="1543">
      <c r="A1543" s="16" t="inlineStr">
        <is>
          <t>INDOSMC</t>
        </is>
      </c>
      <c r="B1543" s="16" t="inlineStr">
        <is>
          <t>INDO SMC Ltd.</t>
        </is>
      </c>
      <c r="C1543" s="16" t="inlineStr">
        <is>
          <t>Other Electrical Equipment/Products</t>
        </is>
      </c>
      <c r="D1543" s="16" t="inlineStr">
        <is>
          <t>Consumer Durables</t>
        </is>
      </c>
      <c r="E1543" s="16" t="inlineStr">
        <is>
          <t>INE0WKY01013</t>
        </is>
      </c>
      <c r="F1543" s="17" t="n">
        <v>1082.2</v>
      </c>
      <c r="G1543" s="18" t="n">
        <v>473.5</v>
      </c>
      <c r="H1543" s="19" t="n">
        <v>-0.0257</v>
      </c>
      <c r="I1543" s="20" t="n">
        <v>96</v>
      </c>
      <c r="J1543" s="16" t="inlineStr">
        <is>
          <t>green</t>
        </is>
      </c>
      <c r="K1543" s="20" t="n">
        <v>93</v>
      </c>
      <c r="L1543" s="18" t="n">
        <v>39.36</v>
      </c>
      <c r="M1543" s="18" t="n">
        <v>486.38</v>
      </c>
      <c r="N1543" s="18" t="n">
        <v>449.41</v>
      </c>
      <c r="O1543" s="18" t="n"/>
      <c r="P1543" s="18" t="n">
        <v>525.1</v>
      </c>
      <c r="Q1543" s="18" t="n">
        <v>140.15</v>
      </c>
      <c r="R1543" s="21">
        <f>IF(OR(G1543="",P1543=""),"",G1543/P1543-1)</f>
        <v/>
      </c>
      <c r="S1543" s="19" t="n">
        <v>0.327</v>
      </c>
      <c r="T1543" s="22" t="n"/>
      <c r="U1543" s="16" t="n"/>
      <c r="V1543" s="16" t="inlineStr">
        <is>
          <t>Yes</t>
        </is>
      </c>
      <c r="W1543" s="16" t="inlineStr">
        <is>
          <t>No</t>
        </is>
      </c>
      <c r="X1543" s="16" t="n"/>
      <c r="Y1543" s="20" t="n"/>
      <c r="Z1543" s="19" t="n"/>
      <c r="AA1543" s="18" t="n"/>
      <c r="AB1543" s="16" t="n"/>
      <c r="AC1543" s="16" t="inlineStr">
        <is>
          <t>No</t>
        </is>
      </c>
      <c r="AD1543" s="19" t="n"/>
      <c r="AE1543" s="19" t="n"/>
      <c r="AF1543" s="19" t="n"/>
      <c r="AG1543" s="19" t="n"/>
      <c r="AH1543" s="23" t="n"/>
      <c r="AI1543" s="23" t="n"/>
      <c r="AJ1543" s="19" t="n"/>
    </row>
    <row r="1544">
      <c r="A1544" s="16" t="inlineStr">
        <is>
          <t>BAJAJHCARE</t>
        </is>
      </c>
      <c r="B1544" s="16" t="inlineStr">
        <is>
          <t>Bajaj Healthcare Ltd.</t>
        </is>
      </c>
      <c r="C1544" s="16" t="inlineStr">
        <is>
          <t>Pharmaceuticals</t>
        </is>
      </c>
      <c r="D1544" s="16" t="inlineStr">
        <is>
          <t>Pharmaceuticals &amp; Biotechnology</t>
        </is>
      </c>
      <c r="E1544" s="16" t="inlineStr">
        <is>
          <t>INE411U01027</t>
        </is>
      </c>
      <c r="F1544" s="17" t="n">
        <v>1082.17</v>
      </c>
      <c r="G1544" s="18" t="n">
        <v>321.45</v>
      </c>
      <c r="H1544" s="19" t="n">
        <v>-0.0115</v>
      </c>
      <c r="I1544" s="20" t="n">
        <v>29</v>
      </c>
      <c r="J1544" s="16" t="inlineStr">
        <is>
          <t>red</t>
        </is>
      </c>
      <c r="K1544" s="20" t="n">
        <v>275</v>
      </c>
      <c r="L1544" s="18" t="n">
        <v>48.5</v>
      </c>
      <c r="M1544" s="18" t="n">
        <v>325.96</v>
      </c>
      <c r="N1544" s="18" t="n">
        <v>335.35</v>
      </c>
      <c r="O1544" s="18" t="n">
        <v>344.77</v>
      </c>
      <c r="P1544" s="18" t="n">
        <v>507.25</v>
      </c>
      <c r="Q1544" s="18" t="n">
        <v>274.95</v>
      </c>
      <c r="R1544" s="21">
        <f>IF(OR(G1544="",P1544=""),"",G1544/P1544-1)</f>
        <v/>
      </c>
      <c r="S1544" s="19" t="n">
        <v>3.5528</v>
      </c>
      <c r="T1544" s="22" t="n">
        <v>-0.0354</v>
      </c>
      <c r="U1544" s="16" t="inlineStr">
        <is>
          <t>No</t>
        </is>
      </c>
      <c r="V1544" s="16" t="inlineStr">
        <is>
          <t>No</t>
        </is>
      </c>
      <c r="W1544" s="16" t="inlineStr">
        <is>
          <t>No</t>
        </is>
      </c>
      <c r="X1544" s="16" t="inlineStr">
        <is>
          <t>No</t>
        </is>
      </c>
      <c r="Y1544" s="20" t="n">
        <v>288</v>
      </c>
      <c r="Z1544" s="19" t="n">
        <v>-0.0273</v>
      </c>
      <c r="AA1544" s="18" t="n">
        <v>19.8</v>
      </c>
      <c r="AB1544" s="16" t="inlineStr">
        <is>
          <t>Poor</t>
        </is>
      </c>
      <c r="AC1544" s="16" t="inlineStr">
        <is>
          <t>No</t>
        </is>
      </c>
      <c r="AD1544" s="19" t="n">
        <v>-0.0622</v>
      </c>
      <c r="AE1544" s="19" t="n">
        <v>0.0643</v>
      </c>
      <c r="AF1544" s="19" t="n">
        <v>-0.7119</v>
      </c>
      <c r="AG1544" s="19" t="n">
        <v>0.0019</v>
      </c>
      <c r="AH1544" s="23" t="n">
        <v>0.47</v>
      </c>
      <c r="AI1544" s="23" t="n">
        <v>2.39</v>
      </c>
      <c r="AJ1544" s="19" t="n">
        <v>0.0311</v>
      </c>
    </row>
    <row r="1545">
      <c r="A1545" s="16" t="inlineStr">
        <is>
          <t>BCLIND</t>
        </is>
      </c>
      <c r="B1545" s="16" t="inlineStr">
        <is>
          <t>BCL Industries Ltd.</t>
        </is>
      </c>
      <c r="C1545" s="16" t="inlineStr">
        <is>
          <t>Edible Oils</t>
        </is>
      </c>
      <c r="D1545" s="16" t="inlineStr">
        <is>
          <t>FMCG</t>
        </is>
      </c>
      <c r="E1545" s="16" t="inlineStr">
        <is>
          <t>INE412G01024</t>
        </is>
      </c>
      <c r="F1545" s="17" t="n">
        <v>1080.89</v>
      </c>
      <c r="G1545" s="18" t="n">
        <v>36.62</v>
      </c>
      <c r="H1545" s="19" t="n">
        <v>0.011</v>
      </c>
      <c r="I1545" s="20" t="n">
        <v>48</v>
      </c>
      <c r="J1545" s="16" t="inlineStr">
        <is>
          <t>red</t>
        </is>
      </c>
      <c r="K1545" s="20" t="n">
        <v>7</v>
      </c>
      <c r="L1545" s="18" t="n">
        <v>51.98</v>
      </c>
      <c r="M1545" s="18" t="n">
        <v>36.65</v>
      </c>
      <c r="N1545" s="18" t="n">
        <v>36.04</v>
      </c>
      <c r="O1545" s="18" t="n">
        <v>32.87</v>
      </c>
      <c r="P1545" s="18" t="n">
        <v>43.16</v>
      </c>
      <c r="Q1545" s="18" t="n">
        <v>25.68</v>
      </c>
      <c r="R1545" s="21">
        <f>IF(OR(G1545="",P1545=""),"",G1545/P1545-1)</f>
        <v/>
      </c>
      <c r="S1545" s="19" t="n">
        <v>0.6052000000000001</v>
      </c>
      <c r="T1545" s="22" t="n">
        <v>-0.0068</v>
      </c>
      <c r="U1545" s="16" t="inlineStr">
        <is>
          <t>No</t>
        </is>
      </c>
      <c r="V1545" s="16" t="inlineStr">
        <is>
          <t>Yes</t>
        </is>
      </c>
      <c r="W1545" s="16" t="inlineStr">
        <is>
          <t>No</t>
        </is>
      </c>
      <c r="X1545" s="16" t="inlineStr">
        <is>
          <t>Yes</t>
        </is>
      </c>
      <c r="Y1545" s="20" t="n">
        <v>61</v>
      </c>
      <c r="Z1545" s="19" t="n">
        <v>0.0965</v>
      </c>
      <c r="AA1545" s="18" t="n">
        <v>40</v>
      </c>
      <c r="AB1545" s="16" t="inlineStr">
        <is>
          <t>Weak</t>
        </is>
      </c>
      <c r="AC1545" s="16" t="inlineStr">
        <is>
          <t>No</t>
        </is>
      </c>
      <c r="AD1545" s="19" t="n">
        <v>0.1278</v>
      </c>
      <c r="AE1545" s="19" t="n">
        <v>0.1347</v>
      </c>
      <c r="AF1545" s="19" t="n">
        <v>-0.2534</v>
      </c>
      <c r="AG1545" s="19" t="n">
        <v>0.1663</v>
      </c>
      <c r="AH1545" s="23" t="n">
        <v>0.63</v>
      </c>
      <c r="AI1545" s="23" t="n">
        <v>3.47</v>
      </c>
      <c r="AJ1545" s="19" t="n">
        <v>0.0086</v>
      </c>
    </row>
    <row r="1546">
      <c r="A1546" s="16" t="inlineStr">
        <is>
          <t>TNPL</t>
        </is>
      </c>
      <c r="B1546" s="16" t="inlineStr">
        <is>
          <t>Tamil Nadu Newsprint And Papers Ltd.</t>
        </is>
      </c>
      <c r="C1546" s="16" t="inlineStr">
        <is>
          <t>Paper &amp; Paper Products</t>
        </is>
      </c>
      <c r="D1546" s="16" t="inlineStr">
        <is>
          <t>Commercial Services &amp; Supplies</t>
        </is>
      </c>
      <c r="E1546" s="16" t="inlineStr">
        <is>
          <t>INE107A01015</t>
        </is>
      </c>
      <c r="F1546" s="17" t="n">
        <v>1077.96</v>
      </c>
      <c r="G1546" s="18" t="n">
        <v>155.75</v>
      </c>
      <c r="H1546" s="19" t="n">
        <v>0.009000000000000001</v>
      </c>
      <c r="I1546" s="20" t="n">
        <v>50</v>
      </c>
      <c r="J1546" s="16" t="inlineStr">
        <is>
          <t>red</t>
        </is>
      </c>
      <c r="K1546" s="20" t="n">
        <v>77</v>
      </c>
      <c r="L1546" s="18" t="n">
        <v>72.67</v>
      </c>
      <c r="M1546" s="18" t="n">
        <v>145.98</v>
      </c>
      <c r="N1546" s="18" t="n">
        <v>146.79</v>
      </c>
      <c r="O1546" s="18" t="n">
        <v>142.99</v>
      </c>
      <c r="P1546" s="18" t="n">
        <v>162.19</v>
      </c>
      <c r="Q1546" s="18" t="n">
        <v>122.54</v>
      </c>
      <c r="R1546" s="21">
        <f>IF(OR(G1546="",P1546=""),"",G1546/P1546-1)</f>
        <v/>
      </c>
      <c r="S1546" s="19" t="n">
        <v>1.3369</v>
      </c>
      <c r="T1546" s="22" t="n">
        <v>-0.0051</v>
      </c>
      <c r="U1546" s="16" t="inlineStr">
        <is>
          <t>No</t>
        </is>
      </c>
      <c r="V1546" s="16" t="inlineStr">
        <is>
          <t>Yes</t>
        </is>
      </c>
      <c r="W1546" s="16" t="inlineStr">
        <is>
          <t>Yes</t>
        </is>
      </c>
      <c r="X1546" s="16" t="inlineStr">
        <is>
          <t>Yes</t>
        </is>
      </c>
      <c r="Y1546" s="20" t="n">
        <v>60</v>
      </c>
      <c r="Z1546" s="19" t="n">
        <v>0.0265</v>
      </c>
      <c r="AA1546" s="18" t="n">
        <v>20.21</v>
      </c>
      <c r="AB1546" s="16" t="inlineStr">
        <is>
          <t>Poor</t>
        </is>
      </c>
      <c r="AC1546" s="16" t="inlineStr">
        <is>
          <t>No</t>
        </is>
      </c>
      <c r="AD1546" s="19" t="n">
        <v>0.06950000000000001</v>
      </c>
      <c r="AE1546" s="19" t="n">
        <v>0.0848</v>
      </c>
      <c r="AF1546" s="19" t="n">
        <v>-0.8151</v>
      </c>
      <c r="AG1546" s="19" t="n">
        <v>-0.0348</v>
      </c>
      <c r="AH1546" s="23" t="n">
        <v>0.7</v>
      </c>
      <c r="AI1546" s="23" t="n">
        <v>1.05</v>
      </c>
      <c r="AJ1546" s="19" t="n">
        <v>0.1088</v>
      </c>
    </row>
    <row r="1547">
      <c r="A1547" s="16" t="inlineStr">
        <is>
          <t>GRPLTD</t>
        </is>
      </c>
      <c r="B1547" s="16" t="inlineStr">
        <is>
          <t>GRP Ltd.</t>
        </is>
      </c>
      <c r="C1547" s="16" t="inlineStr">
        <is>
          <t>Auto Tyres &amp; Rubber Products</t>
        </is>
      </c>
      <c r="D1547" s="16" t="inlineStr">
        <is>
          <t>Automobiles &amp; Auto Components</t>
        </is>
      </c>
      <c r="E1547" s="16" t="inlineStr">
        <is>
          <t>INE137I01015</t>
        </is>
      </c>
      <c r="F1547" s="17" t="n">
        <v>1073.59</v>
      </c>
      <c r="G1547" s="18" t="n">
        <v>2013</v>
      </c>
      <c r="H1547" s="19" t="n">
        <v>0.0168</v>
      </c>
      <c r="I1547" s="20" t="n">
        <v>55</v>
      </c>
      <c r="J1547" s="16" t="inlineStr">
        <is>
          <t>red</t>
        </is>
      </c>
      <c r="K1547" s="20" t="n">
        <v>14</v>
      </c>
      <c r="L1547" s="18" t="n">
        <v>45.66</v>
      </c>
      <c r="M1547" s="18" t="n">
        <v>1994.5</v>
      </c>
      <c r="N1547" s="18" t="n">
        <v>1959.47</v>
      </c>
      <c r="O1547" s="18" t="n">
        <v>1839.55</v>
      </c>
      <c r="P1547" s="18" t="n">
        <v>2296.16</v>
      </c>
      <c r="Q1547" s="18" t="n">
        <v>1539.56</v>
      </c>
      <c r="R1547" s="21">
        <f>IF(OR(G1547="",P1547=""),"",G1547/P1547-1)</f>
        <v/>
      </c>
      <c r="S1547" s="19" t="n">
        <v>0.64</v>
      </c>
      <c r="T1547" s="22" t="n">
        <v>-0.0035</v>
      </c>
      <c r="U1547" s="16" t="inlineStr">
        <is>
          <t>No</t>
        </is>
      </c>
      <c r="V1547" s="16" t="inlineStr">
        <is>
          <t>Yes</t>
        </is>
      </c>
      <c r="W1547" s="16" t="inlineStr">
        <is>
          <t>Yes</t>
        </is>
      </c>
      <c r="X1547" s="16" t="inlineStr">
        <is>
          <t>Yes</t>
        </is>
      </c>
      <c r="Y1547" s="20" t="n">
        <v>26</v>
      </c>
      <c r="Z1547" s="19" t="n">
        <v>0.06519999999999999</v>
      </c>
      <c r="AA1547" s="18" t="n">
        <v>30.33</v>
      </c>
      <c r="AB1547" s="16" t="inlineStr">
        <is>
          <t>Poor</t>
        </is>
      </c>
      <c r="AC1547" s="16" t="inlineStr">
        <is>
          <t>No</t>
        </is>
      </c>
      <c r="AD1547" s="19" t="n">
        <v>0.1047</v>
      </c>
      <c r="AE1547" s="19" t="n">
        <v>0.1136</v>
      </c>
      <c r="AF1547" s="19" t="n">
        <v>0.0281</v>
      </c>
      <c r="AG1547" s="19" t="n">
        <v>0.045</v>
      </c>
      <c r="AH1547" s="23" t="n">
        <v>1.16</v>
      </c>
      <c r="AI1547" s="23" t="n">
        <v>2.19</v>
      </c>
      <c r="AJ1547" s="19" t="n">
        <v>0.0251</v>
      </c>
    </row>
    <row r="1548">
      <c r="A1548" s="16" t="inlineStr">
        <is>
          <t>UTTAMSUGAR</t>
        </is>
      </c>
      <c r="B1548" s="16" t="inlineStr">
        <is>
          <t>Uttam Sugar Mills Ltd.</t>
        </is>
      </c>
      <c r="C1548" s="16" t="inlineStr">
        <is>
          <t>Sugar</t>
        </is>
      </c>
      <c r="D1548" s="16" t="inlineStr">
        <is>
          <t>Food, Beverages &amp; Tobacco</t>
        </is>
      </c>
      <c r="E1548" s="16" t="inlineStr">
        <is>
          <t>INE786F01031</t>
        </is>
      </c>
      <c r="F1548" s="17" t="n">
        <v>1072.44</v>
      </c>
      <c r="G1548" s="18" t="n">
        <v>281.2</v>
      </c>
      <c r="H1548" s="19" t="n">
        <v>-0.0595</v>
      </c>
      <c r="I1548" s="20" t="n">
        <v>69</v>
      </c>
      <c r="J1548" s="16" t="inlineStr">
        <is>
          <t>amber</t>
        </is>
      </c>
      <c r="K1548" s="20" t="n">
        <v>4</v>
      </c>
      <c r="L1548" s="18" t="n">
        <v>49.47</v>
      </c>
      <c r="M1548" s="18" t="n">
        <v>298.98</v>
      </c>
      <c r="N1548" s="18" t="n">
        <v>258.56</v>
      </c>
      <c r="O1548" s="18" t="n">
        <v>239.33</v>
      </c>
      <c r="P1548" s="18" t="n">
        <v>336.22</v>
      </c>
      <c r="Q1548" s="18" t="n">
        <v>187.38</v>
      </c>
      <c r="R1548" s="21">
        <f>IF(OR(G1548="",P1548=""),"",G1548/P1548-1)</f>
        <v/>
      </c>
      <c r="S1548" s="19" t="n">
        <v>0.835</v>
      </c>
      <c r="T1548" s="22" t="n">
        <v>0.0215</v>
      </c>
      <c r="U1548" s="16" t="inlineStr">
        <is>
          <t>Yes</t>
        </is>
      </c>
      <c r="V1548" s="16" t="inlineStr">
        <is>
          <t>Yes</t>
        </is>
      </c>
      <c r="W1548" s="16" t="inlineStr">
        <is>
          <t>No</t>
        </is>
      </c>
      <c r="X1548" s="16" t="inlineStr">
        <is>
          <t>Yes</t>
        </is>
      </c>
      <c r="Y1548" s="20" t="n">
        <v>22</v>
      </c>
      <c r="Z1548" s="19" t="n">
        <v>0.0803</v>
      </c>
      <c r="AA1548" s="18" t="n">
        <v>31.4</v>
      </c>
      <c r="AB1548" s="16" t="inlineStr">
        <is>
          <t>Poor</t>
        </is>
      </c>
      <c r="AC1548" s="16" t="inlineStr">
        <is>
          <t>No</t>
        </is>
      </c>
      <c r="AD1548" s="19" t="n">
        <v>0.1388</v>
      </c>
      <c r="AE1548" s="19" t="n">
        <v>0.1286</v>
      </c>
      <c r="AF1548" s="19" t="n">
        <v>-0.4208</v>
      </c>
      <c r="AG1548" s="19" t="n">
        <v>0.0309</v>
      </c>
      <c r="AH1548" s="23" t="n">
        <v>0.82</v>
      </c>
      <c r="AI1548" s="23" t="n">
        <v>2.48</v>
      </c>
      <c r="AJ1548" s="19" t="n">
        <v>0.0086</v>
      </c>
    </row>
    <row r="1549">
      <c r="A1549" s="16" t="inlineStr">
        <is>
          <t>UNITECH</t>
        </is>
      </c>
      <c r="B1549" s="16" t="inlineStr">
        <is>
          <t>Unitech Ltd.</t>
        </is>
      </c>
      <c r="C1549" s="16" t="inlineStr">
        <is>
          <t>Realty</t>
        </is>
      </c>
      <c r="D1549" s="16" t="inlineStr">
        <is>
          <t>Realty</t>
        </is>
      </c>
      <c r="E1549" s="16" t="inlineStr">
        <is>
          <t>INE694A01020</t>
        </is>
      </c>
      <c r="F1549" s="17" t="n">
        <v>1067.45</v>
      </c>
      <c r="G1549" s="18" t="n">
        <v>4.08</v>
      </c>
      <c r="H1549" s="19" t="n">
        <v>0.09970000000000001</v>
      </c>
      <c r="I1549" s="20" t="n">
        <v>5</v>
      </c>
      <c r="J1549" s="16" t="inlineStr">
        <is>
          <t>red</t>
        </is>
      </c>
      <c r="K1549" s="20" t="n">
        <v>300</v>
      </c>
      <c r="L1549" s="18" t="n">
        <v>56.31</v>
      </c>
      <c r="M1549" s="18" t="n">
        <v>3.86</v>
      </c>
      <c r="N1549" s="18" t="n">
        <v>4.27</v>
      </c>
      <c r="O1549" s="18" t="n">
        <v>4.88</v>
      </c>
      <c r="P1549" s="18" t="n">
        <v>7.65</v>
      </c>
      <c r="Q1549" s="18" t="n">
        <v>3.16</v>
      </c>
      <c r="R1549" s="21">
        <f>IF(OR(G1549="",P1549=""),"",G1549/P1549-1)</f>
        <v/>
      </c>
      <c r="S1549" s="19" t="n">
        <v>3.384</v>
      </c>
      <c r="T1549" s="22" t="n">
        <v>-0.0573</v>
      </c>
      <c r="U1549" s="16" t="inlineStr">
        <is>
          <t>No</t>
        </is>
      </c>
      <c r="V1549" s="16" t="inlineStr">
        <is>
          <t>No</t>
        </is>
      </c>
      <c r="W1549" s="16" t="inlineStr">
        <is>
          <t>Yes</t>
        </is>
      </c>
      <c r="X1549" s="16" t="inlineStr">
        <is>
          <t>No</t>
        </is>
      </c>
      <c r="Y1549" s="20" t="n">
        <v>263</v>
      </c>
      <c r="Z1549" s="19" t="n">
        <v>-0.1259</v>
      </c>
      <c r="AA1549" s="18" t="n">
        <v>56.09</v>
      </c>
      <c r="AB1549" s="16" t="inlineStr">
        <is>
          <t>Good</t>
        </is>
      </c>
      <c r="AC1549" s="16" t="inlineStr">
        <is>
          <t>No</t>
        </is>
      </c>
      <c r="AD1549" s="19" t="n">
        <v>0.4786</v>
      </c>
      <c r="AE1549" s="19" t="n">
        <v>-0.4406</v>
      </c>
      <c r="AF1549" s="19" t="n">
        <v>0.0263</v>
      </c>
      <c r="AG1549" s="19" t="n">
        <v>0.1532</v>
      </c>
      <c r="AH1549" s="23" t="n">
        <v>-0.8</v>
      </c>
      <c r="AI1549" s="23" t="n">
        <v>1.92</v>
      </c>
      <c r="AJ1549" s="19" t="n">
        <v>0.7624</v>
      </c>
    </row>
    <row r="1550">
      <c r="A1550" s="16" t="inlineStr">
        <is>
          <t>HITECHGEAR</t>
        </is>
      </c>
      <c r="B1550" s="16" t="inlineStr">
        <is>
          <t>The Hi-Tech Gears Ltd.</t>
        </is>
      </c>
      <c r="C1550" s="16" t="inlineStr">
        <is>
          <t>Auto Parts &amp; Equipment</t>
        </is>
      </c>
      <c r="D1550" s="16" t="inlineStr">
        <is>
          <t>Automobiles &amp; Auto Components</t>
        </is>
      </c>
      <c r="E1550" s="16" t="inlineStr">
        <is>
          <t>INE127B01011</t>
        </is>
      </c>
      <c r="F1550" s="17" t="n">
        <v>1067.38</v>
      </c>
      <c r="G1550" s="18" t="n">
        <v>567.15</v>
      </c>
      <c r="H1550" s="19" t="n">
        <v>-0.0146</v>
      </c>
      <c r="I1550" s="20" t="n">
        <v>24</v>
      </c>
      <c r="J1550" s="16" t="inlineStr">
        <is>
          <t>red</t>
        </is>
      </c>
      <c r="K1550" s="20" t="n">
        <v>115</v>
      </c>
      <c r="L1550" s="18" t="n">
        <v>60.21</v>
      </c>
      <c r="M1550" s="18" t="n">
        <v>564.4</v>
      </c>
      <c r="N1550" s="18" t="n">
        <v>593.3</v>
      </c>
      <c r="O1550" s="18" t="n">
        <v>628.17</v>
      </c>
      <c r="P1550" s="18" t="n">
        <v>876.05</v>
      </c>
      <c r="Q1550" s="18" t="n">
        <v>530.9</v>
      </c>
      <c r="R1550" s="21">
        <f>IF(OR(G1550="",P1550=""),"",G1550/P1550-1)</f>
        <v/>
      </c>
      <c r="S1550" s="19" t="n">
        <v>0.304</v>
      </c>
      <c r="T1550" s="22" t="n">
        <v>-0.0346</v>
      </c>
      <c r="U1550" s="16" t="inlineStr">
        <is>
          <t>No</t>
        </is>
      </c>
      <c r="V1550" s="16" t="inlineStr">
        <is>
          <t>No</t>
        </is>
      </c>
      <c r="W1550" s="16" t="inlineStr">
        <is>
          <t>Yes</t>
        </is>
      </c>
      <c r="X1550" s="16" t="inlineStr">
        <is>
          <t>No</t>
        </is>
      </c>
      <c r="Y1550" s="20" t="n">
        <v>148</v>
      </c>
      <c r="Z1550" s="19" t="n">
        <v>-0.0555</v>
      </c>
      <c r="AA1550" s="18" t="n">
        <v>45.04</v>
      </c>
      <c r="AB1550" s="16" t="inlineStr">
        <is>
          <t>Average</t>
        </is>
      </c>
      <c r="AC1550" s="16" t="inlineStr">
        <is>
          <t>No</t>
        </is>
      </c>
      <c r="AD1550" s="19" t="n">
        <v>0.1229</v>
      </c>
      <c r="AE1550" s="19" t="n">
        <v>0.1403</v>
      </c>
      <c r="AF1550" s="19" t="n">
        <v>0.7635999999999999</v>
      </c>
      <c r="AG1550" s="19" t="n">
        <v>-0.07769999999999999</v>
      </c>
      <c r="AH1550" s="23" t="n">
        <v>0.35</v>
      </c>
      <c r="AI1550" s="23" t="n">
        <v>2.44</v>
      </c>
      <c r="AJ1550" s="19" t="n">
        <v>0.0184</v>
      </c>
    </row>
    <row r="1551">
      <c r="A1551" s="16" t="inlineStr">
        <is>
          <t>SRM</t>
        </is>
      </c>
      <c r="B1551" s="16" t="inlineStr">
        <is>
          <t>SRM Contractors Ltd.</t>
        </is>
      </c>
      <c r="C1551" s="16" t="inlineStr">
        <is>
          <t>Construction &amp; Engineering</t>
        </is>
      </c>
      <c r="D1551" s="16" t="inlineStr">
        <is>
          <t>Cement and Construction</t>
        </is>
      </c>
      <c r="E1551" s="16" t="inlineStr">
        <is>
          <t>INE0R6Z01013</t>
        </is>
      </c>
      <c r="F1551" s="17" t="n">
        <v>1060.83</v>
      </c>
      <c r="G1551" s="18" t="n">
        <v>462.35</v>
      </c>
      <c r="H1551" s="19" t="n">
        <v>-0.0169</v>
      </c>
      <c r="I1551" s="20" t="n">
        <v>33</v>
      </c>
      <c r="J1551" s="16" t="inlineStr">
        <is>
          <t>red</t>
        </is>
      </c>
      <c r="K1551" s="20" t="n">
        <v>51</v>
      </c>
      <c r="L1551" s="18" t="n">
        <v>46.4</v>
      </c>
      <c r="M1551" s="18" t="n">
        <v>457.27</v>
      </c>
      <c r="N1551" s="18" t="n">
        <v>491.87</v>
      </c>
      <c r="O1551" s="18" t="n">
        <v>485.83</v>
      </c>
      <c r="P1551" s="18" t="n">
        <v>634.1</v>
      </c>
      <c r="Q1551" s="18" t="n">
        <v>373.7</v>
      </c>
      <c r="R1551" s="21">
        <f>IF(OR(G1551="",P1551=""),"",G1551/P1551-1)</f>
        <v/>
      </c>
      <c r="S1551" s="19" t="n">
        <v>1.349</v>
      </c>
      <c r="T1551" s="22" t="n">
        <v>-0.0199</v>
      </c>
      <c r="U1551" s="16" t="inlineStr">
        <is>
          <t>No</t>
        </is>
      </c>
      <c r="V1551" s="16" t="inlineStr">
        <is>
          <t>No</t>
        </is>
      </c>
      <c r="W1551" s="16" t="inlineStr">
        <is>
          <t>Yes</t>
        </is>
      </c>
      <c r="X1551" s="16" t="inlineStr">
        <is>
          <t>Yes</t>
        </is>
      </c>
      <c r="Y1551" s="20" t="n">
        <v>35</v>
      </c>
      <c r="Z1551" s="19" t="n">
        <v>0.0124</v>
      </c>
      <c r="AA1551" s="18" t="n">
        <v>74.04000000000001</v>
      </c>
      <c r="AB1551" s="16" t="inlineStr">
        <is>
          <t>High</t>
        </is>
      </c>
      <c r="AC1551" s="16" t="inlineStr">
        <is>
          <t>No</t>
        </is>
      </c>
      <c r="AD1551" s="19" t="n">
        <v>0.2357</v>
      </c>
      <c r="AE1551" s="19" t="n">
        <v>0.2678</v>
      </c>
      <c r="AF1551" s="19" t="n">
        <v>5.1293</v>
      </c>
      <c r="AG1551" s="19" t="n">
        <v>0.5415</v>
      </c>
      <c r="AH1551" s="23" t="n">
        <v>0.36</v>
      </c>
      <c r="AI1551" s="23" t="n">
        <v>4.73</v>
      </c>
      <c r="AJ1551" s="19" t="n">
        <v>0.0005</v>
      </c>
    </row>
    <row r="1552">
      <c r="A1552" s="16" t="inlineStr">
        <is>
          <t>ONEGLOBAL</t>
        </is>
      </c>
      <c r="B1552" s="16" t="inlineStr">
        <is>
          <t>One Global Service Provider Ltd.</t>
        </is>
      </c>
      <c r="C1552" s="16" t="inlineStr">
        <is>
          <t>Healthcare Services</t>
        </is>
      </c>
      <c r="D1552" s="16" t="inlineStr">
        <is>
          <t>Healthcare</t>
        </is>
      </c>
      <c r="E1552" s="16" t="inlineStr">
        <is>
          <t>INE670O01013</t>
        </is>
      </c>
      <c r="F1552" s="17" t="n">
        <v>1060.11</v>
      </c>
      <c r="G1552" s="18" t="n">
        <v>542.45</v>
      </c>
      <c r="H1552" s="19" t="n">
        <v>0.0295</v>
      </c>
      <c r="I1552" s="20" t="n">
        <v>65</v>
      </c>
      <c r="J1552" s="16" t="inlineStr">
        <is>
          <t>amber</t>
        </is>
      </c>
      <c r="K1552" s="20" t="n">
        <v>2</v>
      </c>
      <c r="L1552" s="18" t="n">
        <v>44.33</v>
      </c>
      <c r="M1552" s="18" t="n">
        <v>533.9</v>
      </c>
      <c r="N1552" s="18" t="n">
        <v>583.12</v>
      </c>
      <c r="O1552" s="18" t="n">
        <v>578.28</v>
      </c>
      <c r="P1552" s="18" t="n">
        <v>783.35</v>
      </c>
      <c r="Q1552" s="18" t="n">
        <v>253.75</v>
      </c>
      <c r="R1552" s="21">
        <f>IF(OR(G1552="",P1552=""),"",G1552/P1552-1)</f>
        <v/>
      </c>
      <c r="S1552" s="19" t="n">
        <v>0.3222</v>
      </c>
      <c r="T1552" s="22" t="n">
        <v>0.0341</v>
      </c>
      <c r="U1552" s="16" t="inlineStr">
        <is>
          <t>Yes</t>
        </is>
      </c>
      <c r="V1552" s="16" t="inlineStr">
        <is>
          <t>No</t>
        </is>
      </c>
      <c r="W1552" s="16" t="inlineStr">
        <is>
          <t>Yes</t>
        </is>
      </c>
      <c r="X1552" s="16" t="inlineStr">
        <is>
          <t>Yes</t>
        </is>
      </c>
      <c r="Y1552" s="20" t="n">
        <v>210</v>
      </c>
      <c r="Z1552" s="19" t="n">
        <v>0.008399999999999999</v>
      </c>
      <c r="AA1552" s="18" t="n"/>
      <c r="AB1552" s="16" t="n"/>
      <c r="AC1552" s="16" t="inlineStr">
        <is>
          <t>No</t>
        </is>
      </c>
      <c r="AD1552" s="19" t="n"/>
      <c r="AE1552" s="19" t="n"/>
      <c r="AF1552" s="19" t="n"/>
      <c r="AG1552" s="19" t="n"/>
      <c r="AH1552" s="23" t="n"/>
      <c r="AI1552" s="23" t="n"/>
      <c r="AJ1552" s="19" t="n"/>
    </row>
    <row r="1553">
      <c r="A1553" s="16" t="inlineStr">
        <is>
          <t>INDPRUD</t>
        </is>
      </c>
      <c r="B1553" s="16" t="inlineStr">
        <is>
          <t>Industrial &amp; Prudential Investment Company Ltd.</t>
        </is>
      </c>
      <c r="C1553" s="16" t="inlineStr">
        <is>
          <t>Investment Companies</t>
        </is>
      </c>
      <c r="D1553" s="16" t="inlineStr">
        <is>
          <t>Others</t>
        </is>
      </c>
      <c r="E1553" s="16" t="inlineStr">
        <is>
          <t>INE620D01011</t>
        </is>
      </c>
      <c r="F1553" s="17" t="n">
        <v>1055.75</v>
      </c>
      <c r="G1553" s="18" t="n">
        <v>6300</v>
      </c>
      <c r="H1553" s="19" t="n">
        <v>0.0048</v>
      </c>
      <c r="I1553" s="20" t="n">
        <v>49</v>
      </c>
      <c r="J1553" s="16" t="inlineStr">
        <is>
          <t>red</t>
        </is>
      </c>
      <c r="K1553" s="20" t="n">
        <v>37</v>
      </c>
      <c r="L1553" s="18" t="n">
        <v>48.34</v>
      </c>
      <c r="M1553" s="18" t="n">
        <v>6286.81</v>
      </c>
      <c r="N1553" s="18" t="n">
        <v>6359.45</v>
      </c>
      <c r="O1553" s="18" t="n">
        <v>5869.6</v>
      </c>
      <c r="P1553" s="18" t="n">
        <v>6820.65</v>
      </c>
      <c r="Q1553" s="18" t="n">
        <v>4823.53</v>
      </c>
      <c r="R1553" s="21">
        <f>IF(OR(G1553="",P1553=""),"",G1553/P1553-1)</f>
        <v/>
      </c>
      <c r="S1553" s="19" t="n">
        <v>0.1538</v>
      </c>
      <c r="T1553" s="22" t="n">
        <v>0.0061</v>
      </c>
      <c r="U1553" s="16" t="inlineStr">
        <is>
          <t>Yes</t>
        </is>
      </c>
      <c r="V1553" s="16" t="inlineStr">
        <is>
          <t>No</t>
        </is>
      </c>
      <c r="W1553" s="16" t="inlineStr">
        <is>
          <t>Yes</t>
        </is>
      </c>
      <c r="X1553" s="16" t="inlineStr">
        <is>
          <t>Yes</t>
        </is>
      </c>
      <c r="Y1553" s="20" t="n">
        <v>78</v>
      </c>
      <c r="Z1553" s="19" t="n">
        <v>0.08349999999999999</v>
      </c>
      <c r="AA1553" s="18" t="n"/>
      <c r="AB1553" s="16" t="n"/>
      <c r="AC1553" s="16" t="inlineStr">
        <is>
          <t>No</t>
        </is>
      </c>
      <c r="AD1553" s="19" t="n"/>
      <c r="AE1553" s="19" t="n"/>
      <c r="AF1553" s="19" t="n"/>
      <c r="AG1553" s="19" t="n"/>
      <c r="AH1553" s="23" t="n"/>
      <c r="AI1553" s="23" t="n"/>
      <c r="AJ1553" s="19" t="n"/>
    </row>
    <row r="1554">
      <c r="A1554" s="16" t="inlineStr">
        <is>
          <t>BPLPHARMA</t>
        </is>
      </c>
      <c r="B1554" s="16" t="inlineStr">
        <is>
          <t>Bharat Parenterals Ltd.</t>
        </is>
      </c>
      <c r="C1554" s="16" t="inlineStr">
        <is>
          <t>Pharmaceuticals</t>
        </is>
      </c>
      <c r="D1554" s="16" t="inlineStr">
        <is>
          <t>Pharmaceuticals &amp; Biotechnology</t>
        </is>
      </c>
      <c r="E1554" s="16" t="inlineStr">
        <is>
          <t>INE365Y01019</t>
        </is>
      </c>
      <c r="F1554" s="17" t="n">
        <v>1053.06</v>
      </c>
      <c r="G1554" s="18" t="n">
        <v>1527.95</v>
      </c>
      <c r="H1554" s="19" t="n">
        <v>-0.0046</v>
      </c>
      <c r="I1554" s="20" t="n">
        <v>69</v>
      </c>
      <c r="J1554" s="16" t="inlineStr">
        <is>
          <t>amber</t>
        </is>
      </c>
      <c r="K1554" s="20" t="n">
        <v>11</v>
      </c>
      <c r="L1554" s="18" t="n">
        <v>72.95</v>
      </c>
      <c r="M1554" s="18" t="n">
        <v>1534.04</v>
      </c>
      <c r="N1554" s="18" t="n">
        <v>1428.74</v>
      </c>
      <c r="O1554" s="18" t="n">
        <v>1231.75</v>
      </c>
      <c r="P1554" s="18" t="n">
        <v>1551.25</v>
      </c>
      <c r="Q1554" s="18" t="n">
        <v>890.5</v>
      </c>
      <c r="R1554" s="21">
        <f>IF(OR(G1554="",P1554=""),"",G1554/P1554-1)</f>
        <v/>
      </c>
      <c r="S1554" s="19" t="n">
        <v>0.1462</v>
      </c>
      <c r="T1554" s="22" t="n">
        <v>0.0201</v>
      </c>
      <c r="U1554" s="16" t="inlineStr">
        <is>
          <t>Yes</t>
        </is>
      </c>
      <c r="V1554" s="16" t="inlineStr">
        <is>
          <t>Yes</t>
        </is>
      </c>
      <c r="W1554" s="16" t="inlineStr">
        <is>
          <t>No</t>
        </is>
      </c>
      <c r="X1554" s="16" t="inlineStr">
        <is>
          <t>Yes</t>
        </is>
      </c>
      <c r="Y1554" s="20" t="n">
        <v>68</v>
      </c>
      <c r="Z1554" s="19" t="n">
        <v>0.1599</v>
      </c>
      <c r="AA1554" s="18" t="n"/>
      <c r="AB1554" s="16" t="n"/>
      <c r="AC1554" s="16" t="inlineStr">
        <is>
          <t>No</t>
        </is>
      </c>
      <c r="AD1554" s="19" t="n"/>
      <c r="AE1554" s="19" t="n"/>
      <c r="AF1554" s="19" t="n"/>
      <c r="AG1554" s="19" t="n"/>
      <c r="AH1554" s="23" t="n"/>
      <c r="AI1554" s="23" t="n"/>
      <c r="AJ1554" s="19" t="n"/>
    </row>
    <row r="1555">
      <c r="A1555" s="16" t="inlineStr">
        <is>
          <t>AWHCL</t>
        </is>
      </c>
      <c r="B1555" s="16" t="inlineStr">
        <is>
          <t>Antony Waste Handling Cell Ltd.</t>
        </is>
      </c>
      <c r="C1555" s="16" t="inlineStr">
        <is>
          <t>Waste Management</t>
        </is>
      </c>
      <c r="D1555" s="16" t="inlineStr">
        <is>
          <t>Utilities</t>
        </is>
      </c>
      <c r="E1555" s="16" t="inlineStr">
        <is>
          <t>INE01BK01022</t>
        </is>
      </c>
      <c r="F1555" s="17" t="n">
        <v>1052.41</v>
      </c>
      <c r="G1555" s="18" t="n">
        <v>370.8</v>
      </c>
      <c r="H1555" s="19" t="n">
        <v>-0.0016</v>
      </c>
      <c r="I1555" s="20" t="n">
        <v>7</v>
      </c>
      <c r="J1555" s="16" t="inlineStr">
        <is>
          <t>red</t>
        </is>
      </c>
      <c r="K1555" s="20" t="n">
        <v>122</v>
      </c>
      <c r="L1555" s="18" t="n">
        <v>33.66</v>
      </c>
      <c r="M1555" s="18" t="n">
        <v>379.6</v>
      </c>
      <c r="N1555" s="18" t="n">
        <v>421.89</v>
      </c>
      <c r="O1555" s="18" t="n">
        <v>465.67</v>
      </c>
      <c r="P1555" s="18" t="n">
        <v>603.78</v>
      </c>
      <c r="Q1555" s="18" t="n">
        <v>370.8</v>
      </c>
      <c r="R1555" s="21">
        <f>IF(OR(G1555="",P1555=""),"",G1555/P1555-1)</f>
        <v/>
      </c>
      <c r="S1555" s="19" t="n">
        <v>0.5341</v>
      </c>
      <c r="T1555" s="22" t="n">
        <v>-0.0264</v>
      </c>
      <c r="U1555" s="16" t="inlineStr">
        <is>
          <t>No</t>
        </is>
      </c>
      <c r="V1555" s="16" t="inlineStr">
        <is>
          <t>No</t>
        </is>
      </c>
      <c r="W1555" s="16" t="inlineStr">
        <is>
          <t>No</t>
        </is>
      </c>
      <c r="X1555" s="16" t="inlineStr">
        <is>
          <t>No</t>
        </is>
      </c>
      <c r="Y1555" s="20" t="n">
        <v>228</v>
      </c>
      <c r="Z1555" s="19" t="n">
        <v>-0.094</v>
      </c>
      <c r="AA1555" s="18" t="n">
        <v>36.69</v>
      </c>
      <c r="AB1555" s="16" t="inlineStr">
        <is>
          <t>Weak</t>
        </is>
      </c>
      <c r="AC1555" s="16" t="inlineStr">
        <is>
          <t>No</t>
        </is>
      </c>
      <c r="AD1555" s="19" t="n">
        <v>0.1273</v>
      </c>
      <c r="AE1555" s="19" t="n">
        <v>0.1302</v>
      </c>
      <c r="AF1555" s="19" t="n">
        <v>-0.249</v>
      </c>
      <c r="AG1555" s="19" t="n">
        <v>0.07339999999999999</v>
      </c>
      <c r="AH1555" s="23" t="n">
        <v>0.62</v>
      </c>
      <c r="AI1555" s="23" t="n">
        <v>2.2</v>
      </c>
      <c r="AJ1555" s="19" t="n">
        <v>0.0848</v>
      </c>
    </row>
    <row r="1556">
      <c r="A1556" s="16" t="inlineStr">
        <is>
          <t>ARIS</t>
        </is>
      </c>
      <c r="B1556" s="16" t="inlineStr">
        <is>
          <t>Arisinfra Solutions Ltd.</t>
        </is>
      </c>
      <c r="C1556" s="16" t="inlineStr">
        <is>
          <t>Construction Materials</t>
        </is>
      </c>
      <c r="D1556" s="16" t="inlineStr">
        <is>
          <t>Cement and Construction</t>
        </is>
      </c>
      <c r="E1556" s="16" t="inlineStr">
        <is>
          <t>INE0H9P01028</t>
        </is>
      </c>
      <c r="F1556" s="17" t="n">
        <v>1051.54</v>
      </c>
      <c r="G1556" s="18" t="n">
        <v>128.56</v>
      </c>
      <c r="H1556" s="19" t="n">
        <v>-0.0067</v>
      </c>
      <c r="I1556" s="20" t="n">
        <v>49</v>
      </c>
      <c r="J1556" s="16" t="inlineStr">
        <is>
          <t>red</t>
        </is>
      </c>
      <c r="K1556" s="20" t="n">
        <v>4</v>
      </c>
      <c r="L1556" s="18" t="n">
        <v>42.11</v>
      </c>
      <c r="M1556" s="18" t="n">
        <v>137.93</v>
      </c>
      <c r="N1556" s="18" t="n">
        <v>125.96</v>
      </c>
      <c r="O1556" s="18" t="n">
        <v>121.07</v>
      </c>
      <c r="P1556" s="18" t="n">
        <v>175.58</v>
      </c>
      <c r="Q1556" s="18" t="n">
        <v>84.18000000000001</v>
      </c>
      <c r="R1556" s="21">
        <f>IF(OR(G1556="",P1556=""),"",G1556/P1556-1)</f>
        <v/>
      </c>
      <c r="S1556" s="19" t="n">
        <v>0.8887</v>
      </c>
      <c r="T1556" s="22" t="n">
        <v>-0.0197</v>
      </c>
      <c r="U1556" s="16" t="inlineStr">
        <is>
          <t>No</t>
        </is>
      </c>
      <c r="V1556" s="16" t="inlineStr">
        <is>
          <t>Yes</t>
        </is>
      </c>
      <c r="W1556" s="16" t="inlineStr">
        <is>
          <t>No</t>
        </is>
      </c>
      <c r="X1556" s="16" t="inlineStr">
        <is>
          <t>Yes</t>
        </is>
      </c>
      <c r="Y1556" s="20" t="n">
        <v>10</v>
      </c>
      <c r="Z1556" s="19" t="n">
        <v>0.0404</v>
      </c>
      <c r="AA1556" s="18" t="n">
        <v>54.92</v>
      </c>
      <c r="AB1556" s="16" t="inlineStr">
        <is>
          <t>Good</t>
        </is>
      </c>
      <c r="AC1556" s="16" t="inlineStr">
        <is>
          <t>No</t>
        </is>
      </c>
      <c r="AD1556" s="19" t="n">
        <v>-0.0171</v>
      </c>
      <c r="AE1556" s="19" t="n">
        <v>0.08449999999999999</v>
      </c>
      <c r="AF1556" s="19" t="n">
        <v>9.051499999999999</v>
      </c>
      <c r="AG1556" s="19" t="n">
        <v>0.1421</v>
      </c>
      <c r="AH1556" s="23" t="n">
        <v>0.1</v>
      </c>
      <c r="AI1556" s="23" t="n">
        <v>46.01</v>
      </c>
      <c r="AJ1556" s="19" t="n">
        <v>0.0457</v>
      </c>
    </row>
    <row r="1557">
      <c r="A1557" s="16" t="inlineStr">
        <is>
          <t>PCCL</t>
        </is>
      </c>
      <c r="B1557" s="16" t="inlineStr">
        <is>
          <t>Petro Carbon and Chemicals Ltd.</t>
        </is>
      </c>
      <c r="C1557" s="16" t="inlineStr">
        <is>
          <t>Petrochemicals</t>
        </is>
      </c>
      <c r="D1557" s="16" t="inlineStr">
        <is>
          <t>Chemicals &amp; Petrochemicals</t>
        </is>
      </c>
      <c r="E1557" s="16" t="inlineStr">
        <is>
          <t>INE998U01015</t>
        </is>
      </c>
      <c r="F1557" s="17" t="n">
        <v>1050.12</v>
      </c>
      <c r="G1557" s="18" t="n">
        <v>425.15</v>
      </c>
      <c r="H1557" s="19" t="n">
        <v>-0.035</v>
      </c>
      <c r="I1557" s="20" t="n">
        <v>94</v>
      </c>
      <c r="J1557" s="16" t="inlineStr">
        <is>
          <t>green</t>
        </is>
      </c>
      <c r="K1557" s="20" t="n">
        <v>24</v>
      </c>
      <c r="L1557" s="18" t="n">
        <v>89</v>
      </c>
      <c r="M1557" s="18" t="n">
        <v>402.71</v>
      </c>
      <c r="N1557" s="18" t="n">
        <v>299.95</v>
      </c>
      <c r="O1557" s="18" t="n">
        <v>252.79</v>
      </c>
      <c r="P1557" s="18" t="n">
        <v>440.55</v>
      </c>
      <c r="Q1557" s="18" t="n">
        <v>171.5</v>
      </c>
      <c r="R1557" s="21">
        <f>IF(OR(G1557="",P1557=""),"",G1557/P1557-1)</f>
        <v/>
      </c>
      <c r="S1557" s="19" t="n">
        <v>0.5997</v>
      </c>
      <c r="T1557" s="22" t="n">
        <v>0.07389999999999999</v>
      </c>
      <c r="U1557" s="16" t="inlineStr">
        <is>
          <t>Yes</t>
        </is>
      </c>
      <c r="V1557" s="16" t="inlineStr">
        <is>
          <t>Yes</t>
        </is>
      </c>
      <c r="W1557" s="16" t="inlineStr">
        <is>
          <t>Yes</t>
        </is>
      </c>
      <c r="X1557" s="16" t="inlineStr">
        <is>
          <t>Yes</t>
        </is>
      </c>
      <c r="Y1557" s="20" t="n">
        <v>190</v>
      </c>
      <c r="Z1557" s="19" t="n">
        <v>0.1866</v>
      </c>
      <c r="AA1557" s="18" t="n"/>
      <c r="AB1557" s="16" t="n"/>
      <c r="AC1557" s="16" t="inlineStr">
        <is>
          <t>No</t>
        </is>
      </c>
      <c r="AD1557" s="19" t="n"/>
      <c r="AE1557" s="19" t="n"/>
      <c r="AF1557" s="19" t="n"/>
      <c r="AG1557" s="19" t="n"/>
      <c r="AH1557" s="23" t="n"/>
      <c r="AI1557" s="23" t="n"/>
      <c r="AJ1557" s="19" t="n"/>
    </row>
    <row r="1558">
      <c r="A1558" s="16" t="inlineStr">
        <is>
          <t>MADRASFERT</t>
        </is>
      </c>
      <c r="B1558" s="16" t="inlineStr">
        <is>
          <t>Madras Fertilizers Ltd.</t>
        </is>
      </c>
      <c r="C1558" s="16" t="inlineStr">
        <is>
          <t>Fertilizers</t>
        </is>
      </c>
      <c r="D1558" s="16" t="inlineStr">
        <is>
          <t>Fertilizers</t>
        </is>
      </c>
      <c r="E1558" s="16" t="inlineStr">
        <is>
          <t>INE414A01015</t>
        </is>
      </c>
      <c r="F1558" s="17" t="n">
        <v>1049.09</v>
      </c>
      <c r="G1558" s="18" t="n">
        <v>65.12</v>
      </c>
      <c r="H1558" s="19" t="n">
        <v>-0.0002</v>
      </c>
      <c r="I1558" s="20" t="n">
        <v>22</v>
      </c>
      <c r="J1558" s="16" t="inlineStr">
        <is>
          <t>red</t>
        </is>
      </c>
      <c r="K1558" s="20" t="n">
        <v>162</v>
      </c>
      <c r="L1558" s="18" t="n">
        <v>50.34</v>
      </c>
      <c r="M1558" s="18" t="n">
        <v>66.2</v>
      </c>
      <c r="N1558" s="18" t="n">
        <v>66.93000000000001</v>
      </c>
      <c r="O1558" s="18" t="n">
        <v>69.70999999999999</v>
      </c>
      <c r="P1558" s="18" t="n">
        <v>94.34999999999999</v>
      </c>
      <c r="Q1558" s="18" t="n">
        <v>53.06</v>
      </c>
      <c r="R1558" s="21">
        <f>IF(OR(G1558="",P1558=""),"",G1558/P1558-1)</f>
        <v/>
      </c>
      <c r="S1558" s="19" t="n">
        <v>0.2757</v>
      </c>
      <c r="T1558" s="22" t="n">
        <v>-0.0214</v>
      </c>
      <c r="U1558" s="16" t="inlineStr">
        <is>
          <t>No</t>
        </is>
      </c>
      <c r="V1558" s="16" t="inlineStr">
        <is>
          <t>No</t>
        </is>
      </c>
      <c r="W1558" s="16" t="inlineStr">
        <is>
          <t>No</t>
        </is>
      </c>
      <c r="X1558" s="16" t="inlineStr">
        <is>
          <t>No</t>
        </is>
      </c>
      <c r="Y1558" s="20" t="n">
        <v>209</v>
      </c>
      <c r="Z1558" s="19" t="n">
        <v>-0.0399</v>
      </c>
      <c r="AA1558" s="18" t="n">
        <v>29.4</v>
      </c>
      <c r="AB1558" s="16" t="inlineStr">
        <is>
          <t>Poor</t>
        </is>
      </c>
      <c r="AC1558" s="16" t="inlineStr">
        <is>
          <t>No</t>
        </is>
      </c>
      <c r="AD1558" s="19" t="n">
        <v>-0.3814</v>
      </c>
      <c r="AE1558" s="19" t="n">
        <v>0.1251</v>
      </c>
      <c r="AF1558" s="19" t="n">
        <v>2.8101</v>
      </c>
      <c r="AG1558" s="19" t="n">
        <v>3.041</v>
      </c>
      <c r="AH1558" s="23" t="n">
        <v>6.9</v>
      </c>
      <c r="AI1558" s="23" t="n">
        <v>9.74</v>
      </c>
      <c r="AJ1558" s="19" t="n">
        <v>0.1136</v>
      </c>
    </row>
    <row r="1559">
      <c r="A1559" s="16" t="inlineStr">
        <is>
          <t>REMUS</t>
        </is>
      </c>
      <c r="B1559" s="16" t="inlineStr">
        <is>
          <t>Remus Pharmaceuticals Ltd.</t>
        </is>
      </c>
      <c r="C1559" s="16" t="inlineStr">
        <is>
          <t>Pharmaceuticals</t>
        </is>
      </c>
      <c r="D1559" s="16" t="inlineStr">
        <is>
          <t>Pharmaceuticals &amp; Biotechnology</t>
        </is>
      </c>
      <c r="E1559" s="16" t="inlineStr">
        <is>
          <t>INE0O5T01011</t>
        </is>
      </c>
      <c r="F1559" s="17" t="n">
        <v>1048.83</v>
      </c>
      <c r="G1559" s="18" t="n">
        <v>890.05</v>
      </c>
      <c r="H1559" s="19" t="n">
        <v>-0.004500000000000001</v>
      </c>
      <c r="I1559" s="20" t="n">
        <v>72</v>
      </c>
      <c r="J1559" s="16" t="inlineStr">
        <is>
          <t>amber</t>
        </is>
      </c>
      <c r="K1559" s="20" t="n">
        <v>15</v>
      </c>
      <c r="L1559" s="18" t="n">
        <v>47.19</v>
      </c>
      <c r="M1559" s="18" t="n">
        <v>895.14</v>
      </c>
      <c r="N1559" s="18" t="n">
        <v>807.7</v>
      </c>
      <c r="O1559" s="18" t="n">
        <v>724.34</v>
      </c>
      <c r="P1559" s="18" t="n">
        <v>961.65</v>
      </c>
      <c r="Q1559" s="18" t="n">
        <v>582.85</v>
      </c>
      <c r="R1559" s="21">
        <f>IF(OR(G1559="",P1559=""),"",G1559/P1559-1)</f>
        <v/>
      </c>
      <c r="S1559" s="19" t="n">
        <v>0.2375</v>
      </c>
      <c r="T1559" s="22" t="n">
        <v>0.0227</v>
      </c>
      <c r="U1559" s="16" t="inlineStr">
        <is>
          <t>Yes</t>
        </is>
      </c>
      <c r="V1559" s="16" t="inlineStr">
        <is>
          <t>Yes</t>
        </is>
      </c>
      <c r="W1559" s="16" t="inlineStr">
        <is>
          <t>No</t>
        </is>
      </c>
      <c r="X1559" s="16" t="inlineStr">
        <is>
          <t>Yes</t>
        </is>
      </c>
      <c r="Y1559" s="20" t="n">
        <v>58</v>
      </c>
      <c r="Z1559" s="19" t="n">
        <v>0.1151</v>
      </c>
      <c r="AA1559" s="18" t="n"/>
      <c r="AB1559" s="16" t="n"/>
      <c r="AC1559" s="16" t="inlineStr">
        <is>
          <t>No</t>
        </is>
      </c>
      <c r="AD1559" s="19" t="n"/>
      <c r="AE1559" s="19" t="n"/>
      <c r="AF1559" s="19" t="n"/>
      <c r="AG1559" s="19" t="n"/>
      <c r="AH1559" s="23" t="n"/>
      <c r="AI1559" s="23" t="n"/>
      <c r="AJ1559" s="19" t="n"/>
    </row>
    <row r="1560">
      <c r="A1560" s="16" t="inlineStr">
        <is>
          <t>JPOLYINVST</t>
        </is>
      </c>
      <c r="B1560" s="16" t="inlineStr">
        <is>
          <t>Jindal Poly Investment &amp; Finance Company Ltd.</t>
        </is>
      </c>
      <c r="C1560" s="16" t="inlineStr">
        <is>
          <t>Other Financial Services</t>
        </is>
      </c>
      <c r="D1560" s="16" t="inlineStr">
        <is>
          <t>Banking and Finance</t>
        </is>
      </c>
      <c r="E1560" s="16" t="inlineStr">
        <is>
          <t>INE147P01019</t>
        </is>
      </c>
      <c r="F1560" s="17" t="n">
        <v>1048.51</v>
      </c>
      <c r="G1560" s="18" t="n">
        <v>997.45</v>
      </c>
      <c r="H1560" s="19" t="n">
        <v>-0.009000000000000001</v>
      </c>
      <c r="I1560" s="20" t="n">
        <v>24</v>
      </c>
      <c r="J1560" s="16" t="inlineStr">
        <is>
          <t>red</t>
        </is>
      </c>
      <c r="K1560" s="20" t="n">
        <v>16</v>
      </c>
      <c r="L1560" s="18" t="n">
        <v>48.37</v>
      </c>
      <c r="M1560" s="18" t="n">
        <v>1000.17</v>
      </c>
      <c r="N1560" s="18" t="n">
        <v>1045.2</v>
      </c>
      <c r="O1560" s="18" t="n">
        <v>1069.54</v>
      </c>
      <c r="P1560" s="18" t="n">
        <v>1415.6</v>
      </c>
      <c r="Q1560" s="18" t="n">
        <v>869</v>
      </c>
      <c r="R1560" s="21">
        <f>IF(OR(G1560="",P1560=""),"",G1560/P1560-1)</f>
        <v/>
      </c>
      <c r="S1560" s="19" t="n">
        <v>0.1761</v>
      </c>
      <c r="T1560" s="22" t="n">
        <v>0.0018</v>
      </c>
      <c r="U1560" s="16" t="inlineStr">
        <is>
          <t>Yes</t>
        </is>
      </c>
      <c r="V1560" s="16" t="inlineStr">
        <is>
          <t>No</t>
        </is>
      </c>
      <c r="W1560" s="16" t="inlineStr">
        <is>
          <t>No</t>
        </is>
      </c>
      <c r="X1560" s="16" t="inlineStr">
        <is>
          <t>No</t>
        </is>
      </c>
      <c r="Y1560" s="20" t="n">
        <v>12</v>
      </c>
      <c r="Z1560" s="19" t="n">
        <v>-0.0227</v>
      </c>
      <c r="AA1560" s="18" t="n">
        <v>89.23</v>
      </c>
      <c r="AB1560" s="16" t="inlineStr">
        <is>
          <t>High</t>
        </is>
      </c>
      <c r="AC1560" s="16" t="inlineStr">
        <is>
          <t>Yes</t>
        </is>
      </c>
      <c r="AD1560" s="19" t="n">
        <v>0.2799</v>
      </c>
      <c r="AE1560" s="19" t="n">
        <v>0.302</v>
      </c>
      <c r="AF1560" s="19" t="n">
        <v>0.6503</v>
      </c>
      <c r="AG1560" s="19" t="n">
        <v>5.6278</v>
      </c>
      <c r="AH1560" s="23" t="n">
        <v>0.01</v>
      </c>
      <c r="AI1560" s="23" t="n"/>
      <c r="AJ1560" s="19" t="n"/>
    </row>
    <row r="1561">
      <c r="A1561" s="16" t="inlineStr">
        <is>
          <t>TCC</t>
        </is>
      </c>
      <c r="B1561" s="16" t="inlineStr">
        <is>
          <t>TCC Concept Ltd.</t>
        </is>
      </c>
      <c r="C1561" s="16" t="inlineStr">
        <is>
          <t>Commodity Trading  &amp; Distribution</t>
        </is>
      </c>
      <c r="D1561" s="16" t="inlineStr">
        <is>
          <t>Commercial Services &amp; Supplies</t>
        </is>
      </c>
      <c r="E1561" s="16" t="inlineStr">
        <is>
          <t>INE887D01024</t>
        </is>
      </c>
      <c r="F1561" s="17" t="n">
        <v>1047.99</v>
      </c>
      <c r="G1561" s="18" t="n">
        <v>44.1</v>
      </c>
      <c r="H1561" s="19" t="n">
        <v>-0.0547</v>
      </c>
      <c r="I1561" s="20" t="n">
        <v>1</v>
      </c>
      <c r="J1561" s="16" t="inlineStr">
        <is>
          <t>red</t>
        </is>
      </c>
      <c r="K1561" s="20" t="n">
        <v>199</v>
      </c>
      <c r="L1561" s="18" t="n">
        <v>22.62</v>
      </c>
      <c r="M1561" s="18" t="n">
        <v>45.74</v>
      </c>
      <c r="N1561" s="18" t="n">
        <v>55.53</v>
      </c>
      <c r="O1561" s="18" t="n">
        <v>75.43000000000001</v>
      </c>
      <c r="P1561" s="18" t="n">
        <v>132.69</v>
      </c>
      <c r="Q1561" s="18" t="n">
        <v>44.1</v>
      </c>
      <c r="R1561" s="21">
        <f>IF(OR(G1561="",P1561=""),"",G1561/P1561-1)</f>
        <v/>
      </c>
      <c r="S1561" s="19" t="n">
        <v>0.1474</v>
      </c>
      <c r="T1561" s="22" t="n">
        <v>-0.07690000000000001</v>
      </c>
      <c r="U1561" s="16" t="inlineStr">
        <is>
          <t>No</t>
        </is>
      </c>
      <c r="V1561" s="16" t="inlineStr">
        <is>
          <t>No</t>
        </is>
      </c>
      <c r="W1561" s="16" t="inlineStr">
        <is>
          <t>No</t>
        </is>
      </c>
      <c r="X1561" s="16" t="inlineStr">
        <is>
          <t>No</t>
        </is>
      </c>
      <c r="Y1561" s="20" t="n">
        <v>172</v>
      </c>
      <c r="Z1561" s="19" t="n">
        <v>-0.2638</v>
      </c>
      <c r="AA1561" s="18" t="n"/>
      <c r="AB1561" s="16" t="n"/>
      <c r="AC1561" s="16" t="inlineStr">
        <is>
          <t>No</t>
        </is>
      </c>
      <c r="AD1561" s="19" t="n"/>
      <c r="AE1561" s="19" t="n"/>
      <c r="AF1561" s="19" t="n"/>
      <c r="AG1561" s="19" t="n"/>
      <c r="AH1561" s="23" t="n"/>
      <c r="AI1561" s="23" t="n"/>
      <c r="AJ1561" s="19" t="n"/>
    </row>
    <row r="1562">
      <c r="A1562" s="16" t="inlineStr">
        <is>
          <t>JINDALPHOT</t>
        </is>
      </c>
      <c r="B1562" s="16" t="inlineStr">
        <is>
          <t>Jindal Photo Ltd.</t>
        </is>
      </c>
      <c r="C1562" s="16" t="inlineStr">
        <is>
          <t>Photographic Products</t>
        </is>
      </c>
      <c r="D1562" s="16" t="inlineStr">
        <is>
          <t>General Industrials</t>
        </is>
      </c>
      <c r="E1562" s="16" t="inlineStr">
        <is>
          <t>INE796G01012</t>
        </is>
      </c>
      <c r="F1562" s="17" t="n">
        <v>1047.58</v>
      </c>
      <c r="G1562" s="18" t="n">
        <v>1021.2</v>
      </c>
      <c r="H1562" s="19" t="n">
        <v>-0.0049</v>
      </c>
      <c r="I1562" s="20" t="n">
        <v>12</v>
      </c>
      <c r="J1562" s="16" t="inlineStr">
        <is>
          <t>red</t>
        </is>
      </c>
      <c r="K1562" s="20" t="n">
        <v>95</v>
      </c>
      <c r="L1562" s="18" t="n">
        <v>37.62</v>
      </c>
      <c r="M1562" s="18" t="n">
        <v>1026.79</v>
      </c>
      <c r="N1562" s="18" t="n">
        <v>1084.6</v>
      </c>
      <c r="O1562" s="18" t="n">
        <v>1212.19</v>
      </c>
      <c r="P1562" s="18" t="n">
        <v>1555.5</v>
      </c>
      <c r="Q1562" s="18" t="n">
        <v>981.7</v>
      </c>
      <c r="R1562" s="21">
        <f>IF(OR(G1562="",P1562=""),"",G1562/P1562-1)</f>
        <v/>
      </c>
      <c r="S1562" s="19" t="n">
        <v>0.9083</v>
      </c>
      <c r="T1562" s="22" t="n">
        <v>-0.0267</v>
      </c>
      <c r="U1562" s="16" t="inlineStr">
        <is>
          <t>No</t>
        </is>
      </c>
      <c r="V1562" s="16" t="inlineStr">
        <is>
          <t>No</t>
        </is>
      </c>
      <c r="W1562" s="16" t="inlineStr">
        <is>
          <t>No</t>
        </is>
      </c>
      <c r="X1562" s="16" t="inlineStr">
        <is>
          <t>No</t>
        </is>
      </c>
      <c r="Y1562" s="20" t="n">
        <v>97</v>
      </c>
      <c r="Z1562" s="19" t="n">
        <v>-0.1053</v>
      </c>
      <c r="AA1562" s="18" t="n">
        <v>40</v>
      </c>
      <c r="AB1562" s="16" t="inlineStr">
        <is>
          <t>Weak</t>
        </is>
      </c>
      <c r="AC1562" s="16" t="inlineStr">
        <is>
          <t>No</t>
        </is>
      </c>
      <c r="AD1562" s="19" t="n">
        <v>0.1095</v>
      </c>
      <c r="AE1562" s="19" t="n">
        <v>0.1092</v>
      </c>
      <c r="AF1562" s="19" t="n">
        <v>-0.2205</v>
      </c>
      <c r="AG1562" s="19" t="n">
        <v>14.949</v>
      </c>
      <c r="AH1562" s="23" t="n">
        <v>0.06</v>
      </c>
      <c r="AI1562" s="23" t="n">
        <v>4.36</v>
      </c>
      <c r="AJ1562" s="19" t="n">
        <v>0</v>
      </c>
    </row>
    <row r="1563">
      <c r="A1563" s="16" t="inlineStr">
        <is>
          <t>NAHARSPING</t>
        </is>
      </c>
      <c r="B1563" s="16" t="inlineStr">
        <is>
          <t>Nahar Spinning Mills Ltd.</t>
        </is>
      </c>
      <c r="C1563" s="16" t="inlineStr">
        <is>
          <t>Textiles</t>
        </is>
      </c>
      <c r="D1563" s="16" t="inlineStr">
        <is>
          <t>Textiles Apparels &amp; Accessories</t>
        </is>
      </c>
      <c r="E1563" s="16" t="inlineStr">
        <is>
          <t>INE290A01027</t>
        </is>
      </c>
      <c r="F1563" s="17" t="n">
        <v>1045.17</v>
      </c>
      <c r="G1563" s="18" t="n">
        <v>289.8</v>
      </c>
      <c r="H1563" s="19" t="n">
        <v>-0.0075</v>
      </c>
      <c r="I1563" s="20" t="n">
        <v>74</v>
      </c>
      <c r="J1563" s="16" t="inlineStr">
        <is>
          <t>amber</t>
        </is>
      </c>
      <c r="K1563" s="20" t="n">
        <v>10</v>
      </c>
      <c r="L1563" s="18" t="n">
        <v>44.81</v>
      </c>
      <c r="M1563" s="18" t="n">
        <v>291.69</v>
      </c>
      <c r="N1563" s="18" t="n">
        <v>285.75</v>
      </c>
      <c r="O1563" s="18" t="n">
        <v>233.9</v>
      </c>
      <c r="P1563" s="18" t="n">
        <v>327.83</v>
      </c>
      <c r="Q1563" s="18" t="n">
        <v>150.33</v>
      </c>
      <c r="R1563" s="21">
        <f>IF(OR(G1563="",P1563=""),"",G1563/P1563-1)</f>
        <v/>
      </c>
      <c r="S1563" s="19" t="n">
        <v>0.6579</v>
      </c>
      <c r="T1563" s="22" t="n">
        <v>0.0407</v>
      </c>
      <c r="U1563" s="16" t="inlineStr">
        <is>
          <t>Yes</t>
        </is>
      </c>
      <c r="V1563" s="16" t="inlineStr">
        <is>
          <t>Yes</t>
        </is>
      </c>
      <c r="W1563" s="16" t="inlineStr">
        <is>
          <t>No</t>
        </is>
      </c>
      <c r="X1563" s="16" t="inlineStr">
        <is>
          <t>Yes</t>
        </is>
      </c>
      <c r="Y1563" s="20" t="n">
        <v>95</v>
      </c>
      <c r="Z1563" s="19" t="n">
        <v>0.2217</v>
      </c>
      <c r="AA1563" s="18" t="n">
        <v>21.25</v>
      </c>
      <c r="AB1563" s="16" t="inlineStr">
        <is>
          <t>Poor</t>
        </is>
      </c>
      <c r="AC1563" s="16" t="inlineStr">
        <is>
          <t>No</t>
        </is>
      </c>
      <c r="AD1563" s="19" t="n">
        <v>-0.0039</v>
      </c>
      <c r="AE1563" s="19" t="n">
        <v>0.0235</v>
      </c>
      <c r="AF1563" s="19" t="n">
        <v>-0.402</v>
      </c>
      <c r="AG1563" s="19" t="n">
        <v>0.0571</v>
      </c>
      <c r="AH1563" s="23" t="n">
        <v>0.65</v>
      </c>
      <c r="AI1563" s="23" t="n">
        <v>3.82</v>
      </c>
      <c r="AJ1563" s="19" t="n">
        <v>0.038</v>
      </c>
    </row>
    <row r="1564">
      <c r="A1564" s="16" t="inlineStr">
        <is>
          <t>HMAAGRO</t>
        </is>
      </c>
      <c r="B1564" s="16" t="inlineStr">
        <is>
          <t>HMA Agro Industries Ltd.</t>
        </is>
      </c>
      <c r="C1564" s="16" t="inlineStr">
        <is>
          <t>Other Food &amp; Beverages</t>
        </is>
      </c>
      <c r="D1564" s="16" t="inlineStr">
        <is>
          <t>Food, Beverages &amp; Tobacco</t>
        </is>
      </c>
      <c r="E1564" s="16" t="inlineStr">
        <is>
          <t>INE0ECP01024</t>
        </is>
      </c>
      <c r="F1564" s="17" t="n">
        <v>1043.6</v>
      </c>
      <c r="G1564" s="18" t="n">
        <v>20.84</v>
      </c>
      <c r="H1564" s="19" t="n">
        <v>-0.0043</v>
      </c>
      <c r="I1564" s="20" t="n">
        <v>8</v>
      </c>
      <c r="J1564" s="16" t="inlineStr">
        <is>
          <t>red</t>
        </is>
      </c>
      <c r="K1564" s="20" t="n">
        <v>501</v>
      </c>
      <c r="L1564" s="18" t="n">
        <v>6.22</v>
      </c>
      <c r="M1564" s="18" t="n">
        <v>20.92</v>
      </c>
      <c r="N1564" s="18" t="n">
        <v>21.62</v>
      </c>
      <c r="O1564" s="18" t="n">
        <v>24.82</v>
      </c>
      <c r="P1564" s="18" t="n">
        <v>33.03</v>
      </c>
      <c r="Q1564" s="18" t="n">
        <v>20.52</v>
      </c>
      <c r="R1564" s="21">
        <f>IF(OR(G1564="",P1564=""),"",G1564/P1564-1)</f>
        <v/>
      </c>
      <c r="S1564" s="19" t="n">
        <v>0.1237</v>
      </c>
      <c r="T1564" s="22" t="n">
        <v>-0.0356</v>
      </c>
      <c r="U1564" s="16" t="inlineStr">
        <is>
          <t>No</t>
        </is>
      </c>
      <c r="V1564" s="16" t="inlineStr">
        <is>
          <t>No</t>
        </is>
      </c>
      <c r="W1564" s="16" t="inlineStr">
        <is>
          <t>No</t>
        </is>
      </c>
      <c r="X1564" s="16" t="inlineStr">
        <is>
          <t>No</t>
        </is>
      </c>
      <c r="Y1564" s="20" t="n">
        <v>588</v>
      </c>
      <c r="Z1564" s="19" t="n">
        <v>-0.1289</v>
      </c>
      <c r="AA1564" s="18" t="n">
        <v>40</v>
      </c>
      <c r="AB1564" s="16" t="inlineStr">
        <is>
          <t>Weak</t>
        </is>
      </c>
      <c r="AC1564" s="16" t="inlineStr">
        <is>
          <t>No</t>
        </is>
      </c>
      <c r="AD1564" s="19" t="n">
        <v>0.1418</v>
      </c>
      <c r="AE1564" s="19" t="n">
        <v>0.125</v>
      </c>
      <c r="AF1564" s="19" t="n">
        <v>-0.4307</v>
      </c>
      <c r="AG1564" s="19" t="n">
        <v>0.3046</v>
      </c>
      <c r="AH1564" s="23" t="n">
        <v>0.9</v>
      </c>
      <c r="AI1564" s="23" t="n">
        <v>21.56</v>
      </c>
      <c r="AJ1564" s="19" t="n">
        <v>0.1913</v>
      </c>
    </row>
    <row r="1565">
      <c r="A1565" s="16" t="inlineStr">
        <is>
          <t>JYOTIRES</t>
        </is>
      </c>
      <c r="B1565" s="16" t="inlineStr">
        <is>
          <t>Jyoti Resins &amp; Adhesives Ltd.</t>
        </is>
      </c>
      <c r="C1565" s="16" t="inlineStr">
        <is>
          <t>Specialty Chemicals</t>
        </is>
      </c>
      <c r="D1565" s="16" t="inlineStr">
        <is>
          <t>Chemicals &amp; Petrochemicals</t>
        </is>
      </c>
      <c r="E1565" s="16" t="inlineStr">
        <is>
          <t>INE577D01013</t>
        </is>
      </c>
      <c r="F1565" s="17" t="n">
        <v>1043.1</v>
      </c>
      <c r="G1565" s="18" t="n">
        <v>869.25</v>
      </c>
      <c r="H1565" s="19" t="n">
        <v>-0.0007000000000000001</v>
      </c>
      <c r="I1565" s="20" t="n">
        <v>19</v>
      </c>
      <c r="J1565" s="16" t="inlineStr">
        <is>
          <t>red</t>
        </is>
      </c>
      <c r="K1565" s="20" t="n">
        <v>280</v>
      </c>
      <c r="L1565" s="18" t="n">
        <v>54.82</v>
      </c>
      <c r="M1565" s="18" t="n">
        <v>877.87</v>
      </c>
      <c r="N1565" s="18" t="n">
        <v>920.86</v>
      </c>
      <c r="O1565" s="18" t="n">
        <v>955.01</v>
      </c>
      <c r="P1565" s="18" t="n">
        <v>1295.05</v>
      </c>
      <c r="Q1565" s="18" t="n">
        <v>703.7</v>
      </c>
      <c r="R1565" s="21">
        <f>IF(OR(G1565="",P1565=""),"",G1565/P1565-1)</f>
        <v/>
      </c>
      <c r="S1565" s="19" t="n">
        <v>0.3756</v>
      </c>
      <c r="T1565" s="22" t="n">
        <v>-0.0369</v>
      </c>
      <c r="U1565" s="16" t="inlineStr">
        <is>
          <t>No</t>
        </is>
      </c>
      <c r="V1565" s="16" t="inlineStr">
        <is>
          <t>No</t>
        </is>
      </c>
      <c r="W1565" s="16" t="inlineStr">
        <is>
          <t>No</t>
        </is>
      </c>
      <c r="X1565" s="16" t="inlineStr">
        <is>
          <t>No</t>
        </is>
      </c>
      <c r="Y1565" s="20" t="n">
        <v>229</v>
      </c>
      <c r="Z1565" s="19" t="n">
        <v>-0.0358</v>
      </c>
      <c r="AA1565" s="18" t="n"/>
      <c r="AB1565" s="16" t="n"/>
      <c r="AC1565" s="16" t="inlineStr">
        <is>
          <t>No</t>
        </is>
      </c>
      <c r="AD1565" s="19" t="n"/>
      <c r="AE1565" s="19" t="n"/>
      <c r="AF1565" s="19" t="n"/>
      <c r="AG1565" s="19" t="n"/>
      <c r="AH1565" s="23" t="n"/>
      <c r="AI1565" s="23" t="n"/>
      <c r="AJ1565" s="19" t="n"/>
    </row>
    <row r="1566">
      <c r="A1566" s="16" t="inlineStr">
        <is>
          <t>SEKURITIND</t>
        </is>
      </c>
      <c r="B1566" s="16" t="inlineStr">
        <is>
          <t>Saint-Gobain Sekurit India Ltd.</t>
        </is>
      </c>
      <c r="C1566" s="16" t="inlineStr">
        <is>
          <t>Auto Parts &amp; Equipment</t>
        </is>
      </c>
      <c r="D1566" s="16" t="inlineStr">
        <is>
          <t>Automobiles &amp; Auto Components</t>
        </is>
      </c>
      <c r="E1566" s="16" t="inlineStr">
        <is>
          <t>INE068B01017</t>
        </is>
      </c>
      <c r="F1566" s="17" t="n">
        <v>1042.25</v>
      </c>
      <c r="G1566" s="18" t="n">
        <v>114.4</v>
      </c>
      <c r="H1566" s="19" t="n">
        <v>-0.0044</v>
      </c>
      <c r="I1566" s="20" t="n">
        <v>42</v>
      </c>
      <c r="J1566" s="16" t="inlineStr">
        <is>
          <t>red</t>
        </is>
      </c>
      <c r="K1566" s="20" t="n">
        <v>10</v>
      </c>
      <c r="L1566" s="18" t="n">
        <v>38.79</v>
      </c>
      <c r="M1566" s="18" t="n">
        <v>115.59</v>
      </c>
      <c r="N1566" s="18" t="n">
        <v>124.61</v>
      </c>
      <c r="O1566" s="18" t="n">
        <v>108.76</v>
      </c>
      <c r="P1566" s="18" t="n">
        <v>133.58</v>
      </c>
      <c r="Q1566" s="18" t="n">
        <v>84.44</v>
      </c>
      <c r="R1566" s="21">
        <f>IF(OR(G1566="",P1566=""),"",G1566/P1566-1)</f>
        <v/>
      </c>
      <c r="S1566" s="19" t="n">
        <v>0.3611</v>
      </c>
      <c r="T1566" s="22" t="n">
        <v>0.0062</v>
      </c>
      <c r="U1566" s="16" t="inlineStr">
        <is>
          <t>Yes</t>
        </is>
      </c>
      <c r="V1566" s="16" t="inlineStr">
        <is>
          <t>No</t>
        </is>
      </c>
      <c r="W1566" s="16" t="inlineStr">
        <is>
          <t>No</t>
        </is>
      </c>
      <c r="X1566" s="16" t="inlineStr">
        <is>
          <t>Yes</t>
        </is>
      </c>
      <c r="Y1566" s="20" t="n">
        <v>60</v>
      </c>
      <c r="Z1566" s="19" t="n">
        <v>0.1458</v>
      </c>
      <c r="AA1566" s="18" t="n"/>
      <c r="AB1566" s="16" t="n"/>
      <c r="AC1566" s="16" t="inlineStr">
        <is>
          <t>No</t>
        </is>
      </c>
      <c r="AD1566" s="19" t="n"/>
      <c r="AE1566" s="19" t="n"/>
      <c r="AF1566" s="19" t="n"/>
      <c r="AG1566" s="19" t="n"/>
      <c r="AH1566" s="23" t="n"/>
      <c r="AI1566" s="23" t="n"/>
      <c r="AJ1566" s="19" t="n"/>
    </row>
    <row r="1567">
      <c r="A1567" s="16" t="inlineStr">
        <is>
          <t>SSEGL</t>
        </is>
      </c>
      <c r="B1567" s="16" t="inlineStr">
        <is>
          <t>Sathlokhar Synergys E&amp;C Global Ltd.</t>
        </is>
      </c>
      <c r="C1567" s="16" t="inlineStr">
        <is>
          <t>Construction &amp; Engineering</t>
        </is>
      </c>
      <c r="D1567" s="16" t="inlineStr">
        <is>
          <t>Cement and Construction</t>
        </is>
      </c>
      <c r="E1567" s="16" t="inlineStr">
        <is>
          <t>INE0RFP01011</t>
        </is>
      </c>
      <c r="F1567" s="17" t="n">
        <v>1040.7</v>
      </c>
      <c r="G1567" s="18" t="n"/>
      <c r="H1567" s="19" t="n"/>
      <c r="I1567" s="20" t="n"/>
      <c r="J1567" s="16" t="n"/>
      <c r="K1567" s="20" t="n"/>
      <c r="L1567" s="18" t="n"/>
      <c r="M1567" s="18" t="n"/>
      <c r="N1567" s="18" t="n"/>
      <c r="O1567" s="18" t="n"/>
      <c r="P1567" s="18" t="n"/>
      <c r="Q1567" s="18" t="n"/>
      <c r="R1567" s="21">
        <f>IF(OR(G1567="",P1567=""),"",G1567/P1567-1)</f>
        <v/>
      </c>
      <c r="S1567" s="19" t="n"/>
      <c r="T1567" s="22" t="n"/>
      <c r="U1567" s="16" t="n"/>
      <c r="V1567" s="16" t="n"/>
      <c r="W1567" s="16" t="n"/>
      <c r="X1567" s="16" t="n"/>
      <c r="Y1567" s="20" t="n"/>
      <c r="Z1567" s="19" t="n"/>
      <c r="AA1567" s="18" t="n"/>
      <c r="AB1567" s="16" t="n"/>
      <c r="AC1567" s="16" t="inlineStr">
        <is>
          <t>No</t>
        </is>
      </c>
      <c r="AD1567" s="19" t="n"/>
      <c r="AE1567" s="19" t="n"/>
      <c r="AF1567" s="19" t="n"/>
      <c r="AG1567" s="19" t="n"/>
      <c r="AH1567" s="23" t="n"/>
      <c r="AI1567" s="23" t="n"/>
      <c r="AJ1567" s="19" t="n"/>
    </row>
    <row r="1568">
      <c r="A1568" s="16" t="inlineStr">
        <is>
          <t>RSWM</t>
        </is>
      </c>
      <c r="B1568" s="16" t="inlineStr">
        <is>
          <t>RSWM Ltd.</t>
        </is>
      </c>
      <c r="C1568" s="16" t="inlineStr">
        <is>
          <t>Textiles</t>
        </is>
      </c>
      <c r="D1568" s="16" t="inlineStr">
        <is>
          <t>Textiles Apparels &amp; Accessories</t>
        </is>
      </c>
      <c r="E1568" s="16" t="inlineStr">
        <is>
          <t>INE611A01016</t>
        </is>
      </c>
      <c r="F1568" s="17" t="n">
        <v>1039.2</v>
      </c>
      <c r="G1568" s="18" t="n">
        <v>220.63</v>
      </c>
      <c r="H1568" s="19" t="n">
        <v>0.0154</v>
      </c>
      <c r="I1568" s="20" t="n">
        <v>74</v>
      </c>
      <c r="J1568" s="16" t="inlineStr">
        <is>
          <t>amber</t>
        </is>
      </c>
      <c r="K1568" s="20" t="n">
        <v>18</v>
      </c>
      <c r="L1568" s="18" t="n">
        <v>72.03</v>
      </c>
      <c r="M1568" s="18" t="n">
        <v>204</v>
      </c>
      <c r="N1568" s="18" t="n">
        <v>205.4</v>
      </c>
      <c r="O1568" s="18" t="n">
        <v>168.83</v>
      </c>
      <c r="P1568" s="18" t="n">
        <v>235.26</v>
      </c>
      <c r="Q1568" s="18" t="n">
        <v>120.73</v>
      </c>
      <c r="R1568" s="21">
        <f>IF(OR(G1568="",P1568=""),"",G1568/P1568-1)</f>
        <v/>
      </c>
      <c r="S1568" s="19" t="n">
        <v>1.1034</v>
      </c>
      <c r="T1568" s="22" t="n">
        <v>0.0297</v>
      </c>
      <c r="U1568" s="16" t="inlineStr">
        <is>
          <t>Yes</t>
        </is>
      </c>
      <c r="V1568" s="16" t="inlineStr">
        <is>
          <t>Yes</t>
        </is>
      </c>
      <c r="W1568" s="16" t="inlineStr">
        <is>
          <t>Yes</t>
        </is>
      </c>
      <c r="X1568" s="16" t="inlineStr">
        <is>
          <t>Yes</t>
        </is>
      </c>
      <c r="Y1568" s="20" t="n">
        <v>75</v>
      </c>
      <c r="Z1568" s="19" t="n">
        <v>0.2166</v>
      </c>
      <c r="AA1568" s="18" t="n">
        <v>23.88</v>
      </c>
      <c r="AB1568" s="16" t="inlineStr">
        <is>
          <t>Poor</t>
        </is>
      </c>
      <c r="AC1568" s="16" t="inlineStr">
        <is>
          <t>No</t>
        </is>
      </c>
      <c r="AD1568" s="19" t="n">
        <v>-0.003</v>
      </c>
      <c r="AE1568" s="19" t="n">
        <v>0.0363</v>
      </c>
      <c r="AF1568" s="19" t="n">
        <v>0.0851</v>
      </c>
      <c r="AG1568" s="19" t="n">
        <v>0.07429999999999999</v>
      </c>
      <c r="AH1568" s="23" t="n">
        <v>1.24</v>
      </c>
      <c r="AI1568" s="23" t="n">
        <v>2.96</v>
      </c>
      <c r="AJ1568" s="19" t="n">
        <v>0.0442</v>
      </c>
    </row>
    <row r="1569">
      <c r="A1569" s="16" t="inlineStr">
        <is>
          <t>SEPC</t>
        </is>
      </c>
      <c r="B1569" s="16" t="inlineStr">
        <is>
          <t>SEPC Ltd.</t>
        </is>
      </c>
      <c r="C1569" s="16" t="inlineStr">
        <is>
          <t>Construction &amp; Engineering</t>
        </is>
      </c>
      <c r="D1569" s="16" t="inlineStr">
        <is>
          <t>Cement and Construction</t>
        </is>
      </c>
      <c r="E1569" s="16" t="inlineStr">
        <is>
          <t>INE964H01014</t>
        </is>
      </c>
      <c r="F1569" s="17" t="n">
        <v>1030.55</v>
      </c>
      <c r="G1569" s="18" t="n">
        <v>5.38</v>
      </c>
      <c r="H1569" s="19" t="n">
        <v>0.0019</v>
      </c>
      <c r="I1569" s="20" t="n">
        <v>3</v>
      </c>
      <c r="J1569" s="16" t="inlineStr">
        <is>
          <t>red</t>
        </is>
      </c>
      <c r="K1569" s="20" t="n">
        <v>450</v>
      </c>
      <c r="L1569" s="18" t="n">
        <v>30.58</v>
      </c>
      <c r="M1569" s="18" t="n">
        <v>5.5</v>
      </c>
      <c r="N1569" s="18" t="n">
        <v>6.05</v>
      </c>
      <c r="O1569" s="18" t="n">
        <v>7.5</v>
      </c>
      <c r="P1569" s="18" t="n">
        <v>13.12</v>
      </c>
      <c r="Q1569" s="18" t="n">
        <v>4.65</v>
      </c>
      <c r="R1569" s="21">
        <f>IF(OR(G1569="",P1569=""),"",G1569/P1569-1)</f>
        <v/>
      </c>
      <c r="S1569" s="19" t="n">
        <v>0.3943</v>
      </c>
      <c r="T1569" s="22" t="n">
        <v>-0.06660000000000001</v>
      </c>
      <c r="U1569" s="16" t="inlineStr">
        <is>
          <t>No</t>
        </is>
      </c>
      <c r="V1569" s="16" t="inlineStr">
        <is>
          <t>No</t>
        </is>
      </c>
      <c r="W1569" s="16" t="inlineStr">
        <is>
          <t>No</t>
        </is>
      </c>
      <c r="X1569" s="16" t="inlineStr">
        <is>
          <t>No</t>
        </is>
      </c>
      <c r="Y1569" s="20" t="n">
        <v>406</v>
      </c>
      <c r="Z1569" s="19" t="n">
        <v>-0.1933</v>
      </c>
      <c r="AA1569" s="18" t="n">
        <v>53.31</v>
      </c>
      <c r="AB1569" s="16" t="inlineStr">
        <is>
          <t>Good</t>
        </is>
      </c>
      <c r="AC1569" s="16" t="inlineStr">
        <is>
          <t>No</t>
        </is>
      </c>
      <c r="AD1569" s="19" t="n">
        <v>0.0211</v>
      </c>
      <c r="AE1569" s="19" t="n">
        <v>0.0428</v>
      </c>
      <c r="AF1569" s="19" t="n">
        <v>1.8972</v>
      </c>
      <c r="AG1569" s="19" t="n">
        <v>0.4368</v>
      </c>
      <c r="AH1569" s="23" t="n">
        <v>0.18</v>
      </c>
      <c r="AI1569" s="23" t="n">
        <v>47.46</v>
      </c>
      <c r="AJ1569" s="19" t="n">
        <v>0</v>
      </c>
    </row>
    <row r="1570">
      <c r="A1570" s="16" t="inlineStr">
        <is>
          <t>AFSL</t>
        </is>
      </c>
      <c r="B1570" s="16" t="inlineStr">
        <is>
          <t>Abans Financial Services Ltd.</t>
        </is>
      </c>
      <c r="C1570" s="16" t="inlineStr">
        <is>
          <t>Finance (including NBFCs)</t>
        </is>
      </c>
      <c r="D1570" s="16" t="inlineStr">
        <is>
          <t>Banking and Finance</t>
        </is>
      </c>
      <c r="E1570" s="16" t="inlineStr">
        <is>
          <t>INE00ZE01026</t>
        </is>
      </c>
      <c r="F1570" s="17" t="n">
        <v>1027.32</v>
      </c>
      <c r="G1570" s="18" t="n">
        <v>202.07</v>
      </c>
      <c r="H1570" s="19" t="n">
        <v>-0.0321</v>
      </c>
      <c r="I1570" s="20" t="n">
        <v>38</v>
      </c>
      <c r="J1570" s="16" t="inlineStr">
        <is>
          <t>red</t>
        </is>
      </c>
      <c r="K1570" s="20" t="n">
        <v>101</v>
      </c>
      <c r="L1570" s="18" t="n">
        <v>51.18</v>
      </c>
      <c r="M1570" s="18" t="n">
        <v>207.01</v>
      </c>
      <c r="N1570" s="18" t="n">
        <v>202.99</v>
      </c>
      <c r="O1570" s="18" t="n">
        <v>202.24</v>
      </c>
      <c r="P1570" s="18" t="n">
        <v>225.75</v>
      </c>
      <c r="Q1570" s="18" t="n">
        <v>201</v>
      </c>
      <c r="R1570" s="21">
        <f>IF(OR(G1570="",P1570=""),"",G1570/P1570-1)</f>
        <v/>
      </c>
      <c r="S1570" s="19" t="n">
        <v>0.5021</v>
      </c>
      <c r="T1570" s="22" t="n">
        <v>0.0005999999999999999</v>
      </c>
      <c r="U1570" s="16" t="inlineStr">
        <is>
          <t>Yes</t>
        </is>
      </c>
      <c r="V1570" s="16" t="inlineStr">
        <is>
          <t>No</t>
        </is>
      </c>
      <c r="W1570" s="16" t="inlineStr">
        <is>
          <t>No</t>
        </is>
      </c>
      <c r="X1570" s="16" t="inlineStr">
        <is>
          <t>Yes</t>
        </is>
      </c>
      <c r="Y1570" s="20" t="n">
        <v>5</v>
      </c>
      <c r="Z1570" s="19" t="n">
        <v>0.0037</v>
      </c>
      <c r="AA1570" s="18" t="n">
        <v>37.01</v>
      </c>
      <c r="AB1570" s="16" t="inlineStr">
        <is>
          <t>Weak</t>
        </is>
      </c>
      <c r="AC1570" s="16" t="inlineStr">
        <is>
          <t>Yes</t>
        </is>
      </c>
      <c r="AD1570" s="19" t="n">
        <v>0.08929999999999999</v>
      </c>
      <c r="AE1570" s="19" t="n">
        <v>0.0849</v>
      </c>
      <c r="AF1570" s="19" t="n">
        <v>-0.1987</v>
      </c>
      <c r="AG1570" s="19" t="n">
        <v>2.6378</v>
      </c>
      <c r="AH1570" s="23" t="n">
        <v>0.6</v>
      </c>
      <c r="AI1570" s="23" t="n">
        <v>900.55</v>
      </c>
      <c r="AJ1570" s="19" t="n">
        <v>0</v>
      </c>
    </row>
    <row r="1571">
      <c r="A1571" s="16" t="inlineStr">
        <is>
          <t>MMP</t>
        </is>
      </c>
      <c r="B1571" s="16" t="inlineStr">
        <is>
          <t>MMP Industries Ltd.</t>
        </is>
      </c>
      <c r="C1571" s="16" t="inlineStr">
        <is>
          <t>Aluminium and Aluminium Products</t>
        </is>
      </c>
      <c r="D1571" s="16" t="inlineStr">
        <is>
          <t>Metals &amp; Mining</t>
        </is>
      </c>
      <c r="E1571" s="16" t="inlineStr">
        <is>
          <t>INE511Y01018</t>
        </is>
      </c>
      <c r="F1571" s="17" t="n">
        <v>1026.65</v>
      </c>
      <c r="G1571" s="18" t="n">
        <v>404.15</v>
      </c>
      <c r="H1571" s="19" t="n">
        <v>0.0259</v>
      </c>
      <c r="I1571" s="20" t="n">
        <v>87</v>
      </c>
      <c r="J1571" s="16" t="inlineStr">
        <is>
          <t>green</t>
        </is>
      </c>
      <c r="K1571" s="20" t="n">
        <v>14</v>
      </c>
      <c r="L1571" s="18" t="n">
        <v>71.31999999999999</v>
      </c>
      <c r="M1571" s="18" t="n">
        <v>394.44</v>
      </c>
      <c r="N1571" s="18" t="n">
        <v>322.02</v>
      </c>
      <c r="O1571" s="18" t="n">
        <v>269.41</v>
      </c>
      <c r="P1571" s="18" t="n">
        <v>404.3</v>
      </c>
      <c r="Q1571" s="18" t="n">
        <v>188.15</v>
      </c>
      <c r="R1571" s="21">
        <f>IF(OR(G1571="",P1571=""),"",G1571/P1571-1)</f>
        <v/>
      </c>
      <c r="S1571" s="19" t="n">
        <v>0.9551999999999999</v>
      </c>
      <c r="T1571" s="22" t="n">
        <v>0.0416</v>
      </c>
      <c r="U1571" s="16" t="inlineStr">
        <is>
          <t>Yes</t>
        </is>
      </c>
      <c r="V1571" s="16" t="inlineStr">
        <is>
          <t>Yes</t>
        </is>
      </c>
      <c r="W1571" s="16" t="inlineStr">
        <is>
          <t>Yes</t>
        </is>
      </c>
      <c r="X1571" s="16" t="inlineStr">
        <is>
          <t>Yes</t>
        </is>
      </c>
      <c r="Y1571" s="20" t="n">
        <v>63</v>
      </c>
      <c r="Z1571" s="19" t="n">
        <v>0.1953</v>
      </c>
      <c r="AA1571" s="18" t="n">
        <v>40</v>
      </c>
      <c r="AB1571" s="16" t="inlineStr">
        <is>
          <t>Weak</t>
        </is>
      </c>
      <c r="AC1571" s="16" t="inlineStr">
        <is>
          <t>No</t>
        </is>
      </c>
      <c r="AD1571" s="19" t="n">
        <v>0.1064</v>
      </c>
      <c r="AE1571" s="19" t="n">
        <v>0.117</v>
      </c>
      <c r="AF1571" s="19" t="n">
        <v>-0.09539999999999998</v>
      </c>
      <c r="AG1571" s="19" t="n">
        <v>0.1541</v>
      </c>
      <c r="AH1571" s="23" t="n">
        <v>0.53</v>
      </c>
      <c r="AI1571" s="23" t="n">
        <v>2.86</v>
      </c>
      <c r="AJ1571" s="19" t="n">
        <v>0.1328</v>
      </c>
    </row>
    <row r="1572">
      <c r="A1572" s="16" t="inlineStr">
        <is>
          <t>DAMCAPITAL</t>
        </is>
      </c>
      <c r="B1572" s="16" t="inlineStr">
        <is>
          <t>DAM Capital Advisors Ltd.</t>
        </is>
      </c>
      <c r="C1572" s="16" t="inlineStr">
        <is>
          <t>Capital Markets</t>
        </is>
      </c>
      <c r="D1572" s="16" t="inlineStr">
        <is>
          <t>Banking and Finance</t>
        </is>
      </c>
      <c r="E1572" s="16" t="inlineStr">
        <is>
          <t>INE284H01025</t>
        </is>
      </c>
      <c r="F1572" s="17" t="n">
        <v>1024.24</v>
      </c>
      <c r="G1572" s="18" t="n">
        <v>144.9</v>
      </c>
      <c r="H1572" s="19" t="n">
        <v>-0.0026</v>
      </c>
      <c r="I1572" s="20" t="n">
        <v>16</v>
      </c>
      <c r="J1572" s="16" t="inlineStr">
        <is>
          <t>red</t>
        </is>
      </c>
      <c r="K1572" s="20" t="n">
        <v>200</v>
      </c>
      <c r="L1572" s="18" t="n">
        <v>48.84</v>
      </c>
      <c r="M1572" s="18" t="n">
        <v>145.56</v>
      </c>
      <c r="N1572" s="18" t="n">
        <v>150.97</v>
      </c>
      <c r="O1572" s="18" t="n">
        <v>164.47</v>
      </c>
      <c r="P1572" s="18" t="n">
        <v>261.45</v>
      </c>
      <c r="Q1572" s="18" t="n">
        <v>120.67</v>
      </c>
      <c r="R1572" s="21">
        <f>IF(OR(G1572="",P1572=""),"",G1572/P1572-1)</f>
        <v/>
      </c>
      <c r="S1572" s="19" t="n">
        <v>0.5996</v>
      </c>
      <c r="T1572" s="22" t="n">
        <v>-0.05769999999999999</v>
      </c>
      <c r="U1572" s="16" t="inlineStr">
        <is>
          <t>No</t>
        </is>
      </c>
      <c r="V1572" s="16" t="inlineStr">
        <is>
          <t>No</t>
        </is>
      </c>
      <c r="W1572" s="16" t="inlineStr">
        <is>
          <t>No</t>
        </is>
      </c>
      <c r="X1572" s="16" t="inlineStr">
        <is>
          <t>No</t>
        </is>
      </c>
      <c r="Y1572" s="20" t="n">
        <v>178</v>
      </c>
      <c r="Z1572" s="19" t="n">
        <v>-0.08210000000000001</v>
      </c>
      <c r="AA1572" s="18" t="n">
        <v>94.53</v>
      </c>
      <c r="AB1572" s="16" t="inlineStr">
        <is>
          <t>High</t>
        </is>
      </c>
      <c r="AC1572" s="16" t="inlineStr">
        <is>
          <t>Yes</t>
        </is>
      </c>
      <c r="AD1572" s="19" t="n">
        <v>0.3486</v>
      </c>
      <c r="AE1572" s="19" t="n">
        <v>0.4264</v>
      </c>
      <c r="AF1572" s="19" t="n">
        <v>2.4283</v>
      </c>
      <c r="AG1572" s="19" t="n">
        <v>0.4769</v>
      </c>
      <c r="AH1572" s="23" t="n">
        <v>0.01</v>
      </c>
      <c r="AI1572" s="23" t="n">
        <v>2.28</v>
      </c>
      <c r="AJ1572" s="19" t="n">
        <v>0.0046</v>
      </c>
    </row>
    <row r="1573">
      <c r="A1573" s="16" t="inlineStr">
        <is>
          <t>CREST</t>
        </is>
      </c>
      <c r="B1573" s="16" t="inlineStr">
        <is>
          <t>Crest Ventures Ltd.</t>
        </is>
      </c>
      <c r="C1573" s="16" t="inlineStr">
        <is>
          <t>Finance (including NBFCs)</t>
        </is>
      </c>
      <c r="D1573" s="16" t="inlineStr">
        <is>
          <t>Banking and Finance</t>
        </is>
      </c>
      <c r="E1573" s="16" t="inlineStr">
        <is>
          <t>INE559D01011</t>
        </is>
      </c>
      <c r="F1573" s="17" t="n">
        <v>1021.35</v>
      </c>
      <c r="G1573" s="18" t="n">
        <v>359</v>
      </c>
      <c r="H1573" s="19" t="n">
        <v>-0.0172</v>
      </c>
      <c r="I1573" s="20" t="n">
        <v>39</v>
      </c>
      <c r="J1573" s="16" t="inlineStr">
        <is>
          <t>red</t>
        </is>
      </c>
      <c r="K1573" s="20" t="n">
        <v>53</v>
      </c>
      <c r="L1573" s="18" t="n">
        <v>53.25</v>
      </c>
      <c r="M1573" s="18" t="n">
        <v>366.74</v>
      </c>
      <c r="N1573" s="18" t="n">
        <v>370.49</v>
      </c>
      <c r="O1573" s="18" t="n">
        <v>363.48</v>
      </c>
      <c r="P1573" s="18" t="n">
        <v>403.34</v>
      </c>
      <c r="Q1573" s="18" t="n">
        <v>308.35</v>
      </c>
      <c r="R1573" s="21">
        <f>IF(OR(G1573="",P1573=""),"",G1573/P1573-1)</f>
        <v/>
      </c>
      <c r="S1573" s="19" t="n">
        <v>0.3121</v>
      </c>
      <c r="T1573" s="22" t="n">
        <v>-0.0029</v>
      </c>
      <c r="U1573" s="16" t="inlineStr">
        <is>
          <t>No</t>
        </is>
      </c>
      <c r="V1573" s="16" t="inlineStr">
        <is>
          <t>No</t>
        </is>
      </c>
      <c r="W1573" s="16" t="inlineStr">
        <is>
          <t>No</t>
        </is>
      </c>
      <c r="X1573" s="16" t="inlineStr">
        <is>
          <t>Yes</t>
        </is>
      </c>
      <c r="Y1573" s="20" t="n">
        <v>55</v>
      </c>
      <c r="Z1573" s="19" t="n">
        <v>0.0193</v>
      </c>
      <c r="AA1573" s="18" t="n">
        <v>23.18</v>
      </c>
      <c r="AB1573" s="16" t="inlineStr">
        <is>
          <t>Poor</t>
        </is>
      </c>
      <c r="AC1573" s="16" t="inlineStr">
        <is>
          <t>Yes</t>
        </is>
      </c>
      <c r="AD1573" s="19" t="n">
        <v>0.0548</v>
      </c>
      <c r="AE1573" s="19" t="n">
        <v>0.06269999999999999</v>
      </c>
      <c r="AF1573" s="19" t="n">
        <v>-0.4588</v>
      </c>
      <c r="AG1573" s="19" t="n">
        <v>0.1947</v>
      </c>
      <c r="AH1573" s="23" t="n">
        <v>0.22</v>
      </c>
      <c r="AI1573" s="23" t="n">
        <v>8.220000000000001</v>
      </c>
      <c r="AJ1573" s="19" t="n">
        <v>0</v>
      </c>
    </row>
    <row r="1574">
      <c r="A1574" s="16" t="inlineStr">
        <is>
          <t>WEL</t>
        </is>
      </c>
      <c r="B1574" s="16" t="inlineStr">
        <is>
          <t>Wonder Electricals Ltd.</t>
        </is>
      </c>
      <c r="C1574" s="16" t="inlineStr">
        <is>
          <t>Household Appliances</t>
        </is>
      </c>
      <c r="D1574" s="16" t="inlineStr">
        <is>
          <t>Consumer Durables</t>
        </is>
      </c>
      <c r="E1574" s="16" t="inlineStr">
        <is>
          <t>INE02WG01024</t>
        </is>
      </c>
      <c r="F1574" s="17" t="n">
        <v>1018.86</v>
      </c>
      <c r="G1574" s="18" t="n">
        <v>76.03</v>
      </c>
      <c r="H1574" s="19" t="n">
        <v>-0.0421</v>
      </c>
      <c r="I1574" s="20" t="n">
        <v>2</v>
      </c>
      <c r="J1574" s="16" t="inlineStr">
        <is>
          <t>red</t>
        </is>
      </c>
      <c r="K1574" s="20" t="n">
        <v>7</v>
      </c>
      <c r="L1574" s="18" t="n">
        <v>23.55</v>
      </c>
      <c r="M1574" s="18" t="n">
        <v>97.81</v>
      </c>
      <c r="N1574" s="18" t="n">
        <v>113.82</v>
      </c>
      <c r="O1574" s="18" t="n">
        <v>123.84</v>
      </c>
      <c r="P1574" s="18" t="n">
        <v>179.61</v>
      </c>
      <c r="Q1574" s="18" t="n">
        <v>75.98</v>
      </c>
      <c r="R1574" s="21">
        <f>IF(OR(G1574="",P1574=""),"",G1574/P1574-1)</f>
        <v/>
      </c>
      <c r="S1574" s="19" t="n">
        <v>0.2831</v>
      </c>
      <c r="T1574" s="22" t="n">
        <v>-0.0232</v>
      </c>
      <c r="U1574" s="16" t="inlineStr">
        <is>
          <t>No</t>
        </is>
      </c>
      <c r="V1574" s="16" t="inlineStr">
        <is>
          <t>No</t>
        </is>
      </c>
      <c r="W1574" s="16" t="inlineStr">
        <is>
          <t>No</t>
        </is>
      </c>
      <c r="X1574" s="16" t="inlineStr">
        <is>
          <t>No</t>
        </is>
      </c>
      <c r="Y1574" s="20" t="n">
        <v>151</v>
      </c>
      <c r="Z1574" s="19" t="n">
        <v>-0.0809</v>
      </c>
      <c r="AA1574" s="18" t="n">
        <v>50.6</v>
      </c>
      <c r="AB1574" s="16" t="inlineStr">
        <is>
          <t>Average</t>
        </is>
      </c>
      <c r="AC1574" s="16" t="inlineStr">
        <is>
          <t>No</t>
        </is>
      </c>
      <c r="AD1574" s="19" t="n">
        <v>0.129</v>
      </c>
      <c r="AE1574" s="19" t="n">
        <v>0.1256</v>
      </c>
      <c r="AF1574" s="19" t="n">
        <v>0.3214</v>
      </c>
      <c r="AG1574" s="19" t="n">
        <v>0.2456</v>
      </c>
      <c r="AH1574" s="23" t="n">
        <v>1.08</v>
      </c>
      <c r="AI1574" s="23" t="n">
        <v>14.42</v>
      </c>
      <c r="AJ1574" s="19" t="n">
        <v>0</v>
      </c>
    </row>
    <row r="1575">
      <c r="A1575" s="16" t="inlineStr">
        <is>
          <t>NELCAST</t>
        </is>
      </c>
      <c r="B1575" s="16" t="inlineStr">
        <is>
          <t>Nelcast Ltd.</t>
        </is>
      </c>
      <c r="C1575" s="16" t="inlineStr">
        <is>
          <t>Castings &amp; Forgings</t>
        </is>
      </c>
      <c r="D1575" s="16" t="inlineStr">
        <is>
          <t>General Industrials</t>
        </is>
      </c>
      <c r="E1575" s="16" t="inlineStr">
        <is>
          <t>INE189I01024</t>
        </is>
      </c>
      <c r="F1575" s="17" t="n">
        <v>1017.83</v>
      </c>
      <c r="G1575" s="18" t="n">
        <v>116.99</v>
      </c>
      <c r="H1575" s="19" t="n">
        <v>-0.0149</v>
      </c>
      <c r="I1575" s="20" t="n">
        <v>22</v>
      </c>
      <c r="J1575" s="16" t="inlineStr">
        <is>
          <t>red</t>
        </is>
      </c>
      <c r="K1575" s="20" t="n">
        <v>30</v>
      </c>
      <c r="L1575" s="18" t="n">
        <v>50.13</v>
      </c>
      <c r="M1575" s="18" t="n">
        <v>117.52</v>
      </c>
      <c r="N1575" s="18" t="n">
        <v>125.57</v>
      </c>
      <c r="O1575" s="18" t="n">
        <v>121.52</v>
      </c>
      <c r="P1575" s="18" t="n">
        <v>159.35</v>
      </c>
      <c r="Q1575" s="18" t="n">
        <v>87.70999999999999</v>
      </c>
      <c r="R1575" s="21">
        <f>IF(OR(G1575="",P1575=""),"",G1575/P1575-1)</f>
        <v/>
      </c>
      <c r="S1575" s="19" t="n">
        <v>0.398</v>
      </c>
      <c r="T1575" s="22" t="n">
        <v>0.0022</v>
      </c>
      <c r="U1575" s="16" t="inlineStr">
        <is>
          <t>Yes</t>
        </is>
      </c>
      <c r="V1575" s="16" t="inlineStr">
        <is>
          <t>No</t>
        </is>
      </c>
      <c r="W1575" s="16" t="inlineStr">
        <is>
          <t>No</t>
        </is>
      </c>
      <c r="X1575" s="16" t="inlineStr">
        <is>
          <t>Yes</t>
        </is>
      </c>
      <c r="Y1575" s="20" t="n">
        <v>86</v>
      </c>
      <c r="Z1575" s="19" t="n">
        <v>0.0333</v>
      </c>
      <c r="AA1575" s="18" t="n">
        <v>36.02</v>
      </c>
      <c r="AB1575" s="16" t="inlineStr">
        <is>
          <t>Weak</t>
        </is>
      </c>
      <c r="AC1575" s="16" t="inlineStr">
        <is>
          <t>No</t>
        </is>
      </c>
      <c r="AD1575" s="19" t="n">
        <v>0.08449999999999999</v>
      </c>
      <c r="AE1575" s="19" t="n">
        <v>0.0999</v>
      </c>
      <c r="AF1575" s="19" t="n">
        <v>0.2708</v>
      </c>
      <c r="AG1575" s="19" t="n">
        <v>0.0164</v>
      </c>
      <c r="AH1575" s="23" t="n">
        <v>0.43</v>
      </c>
      <c r="AI1575" s="23" t="n">
        <v>2.6</v>
      </c>
      <c r="AJ1575" s="19" t="n">
        <v>0.008399999999999999</v>
      </c>
    </row>
    <row r="1576">
      <c r="A1576" s="16" t="inlineStr">
        <is>
          <t>DVL</t>
        </is>
      </c>
      <c r="B1576" s="16" t="inlineStr">
        <is>
          <t>Dhunseri Ventures Ltd.</t>
        </is>
      </c>
      <c r="C1576" s="16" t="inlineStr">
        <is>
          <t>Other Financial Services</t>
        </is>
      </c>
      <c r="D1576" s="16" t="inlineStr">
        <is>
          <t>Banking and Finance</t>
        </is>
      </c>
      <c r="E1576" s="16" t="inlineStr">
        <is>
          <t>INE477B01010</t>
        </is>
      </c>
      <c r="F1576" s="17" t="n">
        <v>1015.89</v>
      </c>
      <c r="G1576" s="18" t="n">
        <v>290.05</v>
      </c>
      <c r="H1576" s="19" t="n">
        <v>0.0149</v>
      </c>
      <c r="I1576" s="20" t="n">
        <v>58</v>
      </c>
      <c r="J1576" s="16" t="inlineStr">
        <is>
          <t>red</t>
        </is>
      </c>
      <c r="K1576" s="20" t="n">
        <v>220</v>
      </c>
      <c r="L1576" s="18" t="n">
        <v>65.54000000000001</v>
      </c>
      <c r="M1576" s="18" t="n">
        <v>285.59</v>
      </c>
      <c r="N1576" s="18" t="n">
        <v>256.14</v>
      </c>
      <c r="O1576" s="18" t="n">
        <v>251.28</v>
      </c>
      <c r="P1576" s="18" t="n">
        <v>362.43</v>
      </c>
      <c r="Q1576" s="18" t="n">
        <v>186.4</v>
      </c>
      <c r="R1576" s="21">
        <f>IF(OR(G1576="",P1576=""),"",G1576/P1576-1)</f>
        <v/>
      </c>
      <c r="S1576" s="19" t="n">
        <v>0.3701</v>
      </c>
      <c r="T1576" s="22" t="n">
        <v>-0.016</v>
      </c>
      <c r="U1576" s="16" t="inlineStr">
        <is>
          <t>No</t>
        </is>
      </c>
      <c r="V1576" s="16" t="inlineStr">
        <is>
          <t>Yes</t>
        </is>
      </c>
      <c r="W1576" s="16" t="inlineStr">
        <is>
          <t>Yes</t>
        </is>
      </c>
      <c r="X1576" s="16" t="inlineStr">
        <is>
          <t>Yes</t>
        </is>
      </c>
      <c r="Y1576" s="20" t="n">
        <v>5</v>
      </c>
      <c r="Z1576" s="19" t="n">
        <v>0.0193</v>
      </c>
      <c r="AA1576" s="18" t="n">
        <v>20.3</v>
      </c>
      <c r="AB1576" s="16" t="inlineStr">
        <is>
          <t>Poor</t>
        </is>
      </c>
      <c r="AC1576" s="16" t="inlineStr">
        <is>
          <t>Yes</t>
        </is>
      </c>
      <c r="AD1576" s="19" t="n">
        <v>0.0415</v>
      </c>
      <c r="AE1576" s="19" t="n">
        <v>0.0513</v>
      </c>
      <c r="AF1576" s="19" t="n">
        <v>-0.5920000000000001</v>
      </c>
      <c r="AG1576" s="19" t="n">
        <v>0.1882</v>
      </c>
      <c r="AH1576" s="23" t="n">
        <v>0.29</v>
      </c>
      <c r="AI1576" s="23" t="n">
        <v>0.19</v>
      </c>
      <c r="AJ1576" s="19" t="n">
        <v>0.616</v>
      </c>
    </row>
    <row r="1577">
      <c r="A1577" s="16" t="inlineStr">
        <is>
          <t>MAMATA</t>
        </is>
      </c>
      <c r="B1577" s="16" t="inlineStr">
        <is>
          <t>Mamata Machinery Ltd.</t>
        </is>
      </c>
      <c r="C1577" s="16" t="inlineStr">
        <is>
          <t>Industrial Machinery</t>
        </is>
      </c>
      <c r="D1577" s="16" t="inlineStr">
        <is>
          <t>General Industrials</t>
        </is>
      </c>
      <c r="E1577" s="16" t="inlineStr">
        <is>
          <t>INE0TO701015</t>
        </is>
      </c>
      <c r="F1577" s="17" t="n">
        <v>1015.19</v>
      </c>
      <c r="G1577" s="18" t="n">
        <v>412.55</v>
      </c>
      <c r="H1577" s="19" t="n">
        <v>0.0198</v>
      </c>
      <c r="I1577" s="20" t="n">
        <v>48</v>
      </c>
      <c r="J1577" s="16" t="inlineStr">
        <is>
          <t>red</t>
        </is>
      </c>
      <c r="K1577" s="20" t="n">
        <v>118</v>
      </c>
      <c r="L1577" s="18" t="n">
        <v>55.08</v>
      </c>
      <c r="M1577" s="18" t="n">
        <v>404.39</v>
      </c>
      <c r="N1577" s="18" t="n">
        <v>403.1</v>
      </c>
      <c r="O1577" s="18" t="n">
        <v>401.27</v>
      </c>
      <c r="P1577" s="18" t="n">
        <v>498.75</v>
      </c>
      <c r="Q1577" s="18" t="n">
        <v>298.86</v>
      </c>
      <c r="R1577" s="21">
        <f>IF(OR(G1577="",P1577=""),"",G1577/P1577-1)</f>
        <v/>
      </c>
      <c r="S1577" s="19" t="n">
        <v>0.5403</v>
      </c>
      <c r="T1577" s="22" t="n">
        <v>-0.0058</v>
      </c>
      <c r="U1577" s="16" t="inlineStr">
        <is>
          <t>No</t>
        </is>
      </c>
      <c r="V1577" s="16" t="inlineStr">
        <is>
          <t>Yes</t>
        </is>
      </c>
      <c r="W1577" s="16" t="inlineStr">
        <is>
          <t>Yes</t>
        </is>
      </c>
      <c r="X1577" s="16" t="inlineStr">
        <is>
          <t>Yes</t>
        </is>
      </c>
      <c r="Y1577" s="20" t="n">
        <v>7</v>
      </c>
      <c r="Z1577" s="19" t="n">
        <v>0.0046</v>
      </c>
      <c r="AA1577" s="18" t="n">
        <v>68.59</v>
      </c>
      <c r="AB1577" s="16" t="inlineStr">
        <is>
          <t>High</t>
        </is>
      </c>
      <c r="AC1577" s="16" t="inlineStr">
        <is>
          <t>No</t>
        </is>
      </c>
      <c r="AD1577" s="19" t="n">
        <v>0.1965</v>
      </c>
      <c r="AE1577" s="19" t="n">
        <v>0.2491</v>
      </c>
      <c r="AF1577" s="19" t="n">
        <v>2.8597</v>
      </c>
      <c r="AG1577" s="19" t="n">
        <v>0.0575</v>
      </c>
      <c r="AH1577" s="23" t="n">
        <v>0.05</v>
      </c>
      <c r="AI1577" s="23" t="n">
        <v>3.56</v>
      </c>
      <c r="AJ1577" s="19" t="n">
        <v>0</v>
      </c>
    </row>
    <row r="1578">
      <c r="A1578" s="16" t="inlineStr">
        <is>
          <t>FOSECOC</t>
        </is>
      </c>
      <c r="B1578" s="16" t="inlineStr">
        <is>
          <t>Foseco Crucible (India) Ltd.</t>
        </is>
      </c>
      <c r="C1578" s="16" t="inlineStr">
        <is>
          <t>Other Industrial Goods</t>
        </is>
      </c>
      <c r="D1578" s="16" t="inlineStr">
        <is>
          <t>General Industrials</t>
        </is>
      </c>
      <c r="E1578" s="16" t="inlineStr">
        <is>
          <t>INE599F01020</t>
        </is>
      </c>
      <c r="F1578" s="17" t="n">
        <v>1012.73</v>
      </c>
      <c r="G1578" s="18" t="n">
        <v>1808.45</v>
      </c>
      <c r="H1578" s="19" t="n">
        <v>-0.0112</v>
      </c>
      <c r="I1578" s="20" t="n">
        <v>78</v>
      </c>
      <c r="J1578" s="16" t="inlineStr">
        <is>
          <t>amber</t>
        </is>
      </c>
      <c r="K1578" s="20" t="n">
        <v>3</v>
      </c>
      <c r="L1578" s="18" t="n">
        <v>76.88</v>
      </c>
      <c r="M1578" s="18" t="n">
        <v>1761.44</v>
      </c>
      <c r="N1578" s="18" t="n">
        <v>1481.32</v>
      </c>
      <c r="O1578" s="18" t="n">
        <v>1401.21</v>
      </c>
      <c r="P1578" s="18" t="n">
        <v>1856.3</v>
      </c>
      <c r="Q1578" s="18" t="n">
        <v>1151.11</v>
      </c>
      <c r="R1578" s="21">
        <f>IF(OR(G1578="",P1578=""),"",G1578/P1578-1)</f>
        <v/>
      </c>
      <c r="S1578" s="19" t="n">
        <v>0.6718999999999999</v>
      </c>
      <c r="T1578" s="22" t="n">
        <v>0.0071</v>
      </c>
      <c r="U1578" s="16" t="inlineStr">
        <is>
          <t>Yes</t>
        </is>
      </c>
      <c r="V1578" s="16" t="inlineStr">
        <is>
          <t>Yes</t>
        </is>
      </c>
      <c r="W1578" s="16" t="inlineStr">
        <is>
          <t>Yes</t>
        </is>
      </c>
      <c r="X1578" s="16" t="inlineStr">
        <is>
          <t>Yes</t>
        </is>
      </c>
      <c r="Y1578" s="20" t="n">
        <v>10</v>
      </c>
      <c r="Z1578" s="19" t="n">
        <v>0.0572</v>
      </c>
      <c r="AA1578" s="18" t="n"/>
      <c r="AB1578" s="16" t="n"/>
      <c r="AC1578" s="16" t="inlineStr">
        <is>
          <t>No</t>
        </is>
      </c>
      <c r="AD1578" s="19" t="n"/>
      <c r="AE1578" s="19" t="n"/>
      <c r="AF1578" s="19" t="n"/>
      <c r="AG1578" s="19" t="n"/>
      <c r="AH1578" s="23" t="n"/>
      <c r="AI1578" s="23" t="n"/>
      <c r="AJ1578" s="19" t="n"/>
    </row>
    <row r="1579">
      <c r="A1579" s="16" t="inlineStr">
        <is>
          <t>FINKURVE</t>
        </is>
      </c>
      <c r="B1579" s="16" t="inlineStr">
        <is>
          <t>Finkurve Financial Services Ltd.</t>
        </is>
      </c>
      <c r="C1579" s="16" t="inlineStr">
        <is>
          <t>Finance (including NBFCs)</t>
        </is>
      </c>
      <c r="D1579" s="16" t="inlineStr">
        <is>
          <t>Banking and Finance</t>
        </is>
      </c>
      <c r="E1579" s="16" t="inlineStr">
        <is>
          <t>INE734I01027</t>
        </is>
      </c>
      <c r="F1579" s="17" t="n">
        <v>1012.71</v>
      </c>
      <c r="G1579" s="18" t="n">
        <v>72.31</v>
      </c>
      <c r="H1579" s="19" t="n">
        <v>0.0296</v>
      </c>
      <c r="I1579" s="20" t="n">
        <v>43</v>
      </c>
      <c r="J1579" s="16" t="inlineStr">
        <is>
          <t>red</t>
        </is>
      </c>
      <c r="K1579" s="20" t="n">
        <v>166</v>
      </c>
      <c r="L1579" s="18" t="n">
        <v>49.17</v>
      </c>
      <c r="M1579" s="18" t="n">
        <v>73.02</v>
      </c>
      <c r="N1579" s="18" t="n">
        <v>66.73</v>
      </c>
      <c r="O1579" s="18" t="n">
        <v>76.01000000000001</v>
      </c>
      <c r="P1579" s="18" t="n">
        <v>123.73</v>
      </c>
      <c r="Q1579" s="18" t="n">
        <v>51.07</v>
      </c>
      <c r="R1579" s="21">
        <f>IF(OR(G1579="",P1579=""),"",G1579/P1579-1)</f>
        <v/>
      </c>
      <c r="S1579" s="19" t="n">
        <v>0.3198</v>
      </c>
      <c r="T1579" s="22" t="n">
        <v>-0.0521</v>
      </c>
      <c r="U1579" s="16" t="inlineStr">
        <is>
          <t>No</t>
        </is>
      </c>
      <c r="V1579" s="16" t="inlineStr">
        <is>
          <t>Yes</t>
        </is>
      </c>
      <c r="W1579" s="16" t="inlineStr">
        <is>
          <t>No</t>
        </is>
      </c>
      <c r="X1579" s="16" t="inlineStr">
        <is>
          <t>No</t>
        </is>
      </c>
      <c r="Y1579" s="20" t="n">
        <v>30</v>
      </c>
      <c r="Z1579" s="19" t="n">
        <v>-0.1221</v>
      </c>
      <c r="AA1579" s="18" t="n">
        <v>41.51</v>
      </c>
      <c r="AB1579" s="16" t="inlineStr">
        <is>
          <t>Average</t>
        </is>
      </c>
      <c r="AC1579" s="16" t="inlineStr">
        <is>
          <t>Yes</t>
        </is>
      </c>
      <c r="AD1579" s="19" t="n">
        <v>0.08169999999999999</v>
      </c>
      <c r="AE1579" s="19" t="n">
        <v>0.0716</v>
      </c>
      <c r="AF1579" s="19" t="n"/>
      <c r="AG1579" s="19" t="n">
        <v>0.6025</v>
      </c>
      <c r="AH1579" s="23" t="n">
        <v>2.46</v>
      </c>
      <c r="AI1579" s="23" t="n">
        <v>7.48</v>
      </c>
      <c r="AJ1579" s="19" t="n">
        <v>0</v>
      </c>
    </row>
    <row r="1580">
      <c r="A1580" s="16" t="inlineStr">
        <is>
          <t>GAYAPROJ</t>
        </is>
      </c>
      <c r="B1580" s="16" t="inlineStr">
        <is>
          <t>Gayatri Projects Ltd.</t>
        </is>
      </c>
      <c r="C1580" s="16" t="inlineStr">
        <is>
          <t>Construction &amp; Engineering</t>
        </is>
      </c>
      <c r="D1580" s="16" t="inlineStr">
        <is>
          <t>Cement and Construction</t>
        </is>
      </c>
      <c r="E1580" s="16" t="inlineStr">
        <is>
          <t>INE336H01023</t>
        </is>
      </c>
      <c r="F1580" s="17" t="n">
        <v>1010.31</v>
      </c>
      <c r="G1580" s="18" t="n">
        <v>21.76</v>
      </c>
      <c r="H1580" s="19" t="n">
        <v>-0.0189</v>
      </c>
      <c r="I1580" s="20" t="n">
        <v>90</v>
      </c>
      <c r="J1580" s="16" t="inlineStr">
        <is>
          <t>green</t>
        </is>
      </c>
      <c r="K1580" s="20" t="n">
        <v>246</v>
      </c>
      <c r="L1580" s="18" t="n">
        <v>46.77</v>
      </c>
      <c r="M1580" s="18" t="n">
        <v>21.74</v>
      </c>
      <c r="N1580" s="18" t="n">
        <v>21.04</v>
      </c>
      <c r="O1580" s="18" t="n">
        <v>16.59</v>
      </c>
      <c r="P1580" s="18" t="n">
        <v>25.26</v>
      </c>
      <c r="Q1580" s="18" t="n">
        <v>8.449999999999999</v>
      </c>
      <c r="R1580" s="21">
        <f>IF(OR(G1580="",P1580=""),"",G1580/P1580-1)</f>
        <v/>
      </c>
      <c r="S1580" s="19" t="n">
        <v>0.8034</v>
      </c>
      <c r="T1580" s="22" t="n">
        <v>0.0649</v>
      </c>
      <c r="U1580" s="16" t="inlineStr">
        <is>
          <t>Yes</t>
        </is>
      </c>
      <c r="V1580" s="16" t="inlineStr">
        <is>
          <t>Yes</t>
        </is>
      </c>
      <c r="W1580" s="16" t="inlineStr">
        <is>
          <t>Yes</t>
        </is>
      </c>
      <c r="X1580" s="16" t="inlineStr">
        <is>
          <t>Yes</t>
        </is>
      </c>
      <c r="Y1580" s="20" t="n">
        <v>286</v>
      </c>
      <c r="Z1580" s="19" t="n">
        <v>0.2683</v>
      </c>
      <c r="AA1580" s="18" t="n">
        <v>69.04000000000001</v>
      </c>
      <c r="AB1580" s="16" t="inlineStr">
        <is>
          <t>High</t>
        </is>
      </c>
      <c r="AC1580" s="16" t="inlineStr">
        <is>
          <t>No</t>
        </is>
      </c>
      <c r="AD1580" s="19" t="n">
        <v>1.084</v>
      </c>
      <c r="AE1580" s="19" t="n">
        <v>0.7890999999999999</v>
      </c>
      <c r="AF1580" s="19" t="n">
        <v>0.6743000000000001</v>
      </c>
      <c r="AG1580" s="19" t="n">
        <v>0.0708</v>
      </c>
      <c r="AH1580" s="23" t="n">
        <v>0.51</v>
      </c>
      <c r="AI1580" s="23" t="n">
        <v>10.19</v>
      </c>
      <c r="AJ1580" s="19" t="n">
        <v>0.07000000000000001</v>
      </c>
    </row>
    <row r="1581">
      <c r="A1581" s="16" t="inlineStr">
        <is>
          <t>SUNSHIEL</t>
        </is>
      </c>
      <c r="B1581" s="16" t="inlineStr">
        <is>
          <t>Sunshield Chemicals Ltd.</t>
        </is>
      </c>
      <c r="C1581" s="16" t="inlineStr">
        <is>
          <t>Specialty Chemicals</t>
        </is>
      </c>
      <c r="D1581" s="16" t="inlineStr">
        <is>
          <t>Chemicals &amp; Petrochemicals</t>
        </is>
      </c>
      <c r="E1581" s="16" t="inlineStr">
        <is>
          <t>INE199E01014</t>
        </is>
      </c>
      <c r="F1581" s="17" t="n">
        <v>1005.03</v>
      </c>
      <c r="G1581" s="18" t="n">
        <v>1142.75</v>
      </c>
      <c r="H1581" s="19" t="n">
        <v>0.0024</v>
      </c>
      <c r="I1581" s="20" t="n">
        <v>60</v>
      </c>
      <c r="J1581" s="16" t="inlineStr">
        <is>
          <t>amber</t>
        </is>
      </c>
      <c r="K1581" s="20" t="n">
        <v>10</v>
      </c>
      <c r="L1581" s="18" t="n">
        <v>31.64</v>
      </c>
      <c r="M1581" s="18" t="n">
        <v>1157.81</v>
      </c>
      <c r="N1581" s="18" t="n">
        <v>1195.02</v>
      </c>
      <c r="O1581" s="18" t="n">
        <v>982.64</v>
      </c>
      <c r="P1581" s="18" t="n">
        <v>1277.05</v>
      </c>
      <c r="Q1581" s="18" t="n">
        <v>727.26</v>
      </c>
      <c r="R1581" s="21">
        <f>IF(OR(G1581="",P1581=""),"",G1581/P1581-1)</f>
        <v/>
      </c>
      <c r="S1581" s="19" t="n">
        <v>0.1601</v>
      </c>
      <c r="T1581" s="22" t="n">
        <v>0.0246</v>
      </c>
      <c r="U1581" s="16" t="inlineStr">
        <is>
          <t>Yes</t>
        </is>
      </c>
      <c r="V1581" s="16" t="inlineStr">
        <is>
          <t>No</t>
        </is>
      </c>
      <c r="W1581" s="16" t="inlineStr">
        <is>
          <t>No</t>
        </is>
      </c>
      <c r="X1581" s="16" t="inlineStr">
        <is>
          <t>Yes</t>
        </is>
      </c>
      <c r="Y1581" s="20" t="n">
        <v>60</v>
      </c>
      <c r="Z1581" s="19" t="n">
        <v>0.2161</v>
      </c>
      <c r="AA1581" s="18" t="n"/>
      <c r="AB1581" s="16" t="n"/>
      <c r="AC1581" s="16" t="inlineStr">
        <is>
          <t>No</t>
        </is>
      </c>
      <c r="AD1581" s="19" t="n"/>
      <c r="AE1581" s="19" t="n"/>
      <c r="AF1581" s="19" t="n"/>
      <c r="AG1581" s="19" t="n"/>
      <c r="AH1581" s="23" t="n"/>
      <c r="AI1581" s="23" t="n"/>
      <c r="AJ1581" s="19" t="n"/>
    </row>
    <row r="1582">
      <c r="A1582" s="16" t="inlineStr">
        <is>
          <t>HIIL</t>
        </is>
      </c>
      <c r="B1582" s="16" t="inlineStr">
        <is>
          <t>Hindusthan Insulators &amp; Industries Ltd.</t>
        </is>
      </c>
      <c r="C1582" s="16" t="inlineStr">
        <is>
          <t>Electronic Components</t>
        </is>
      </c>
      <c r="D1582" s="16" t="inlineStr">
        <is>
          <t>Commercial Services &amp; Supplies</t>
        </is>
      </c>
      <c r="E1582" s="16" t="inlineStr">
        <is>
          <t>INE799B01025</t>
        </is>
      </c>
      <c r="F1582" s="17" t="n">
        <v>1002.3</v>
      </c>
      <c r="G1582" s="18" t="n">
        <v>463.1</v>
      </c>
      <c r="H1582" s="19" t="n">
        <v>0</v>
      </c>
      <c r="I1582" s="20" t="n">
        <v>97</v>
      </c>
      <c r="J1582" s="16" t="inlineStr">
        <is>
          <t>green</t>
        </is>
      </c>
      <c r="K1582" s="20" t="n">
        <v>112</v>
      </c>
      <c r="L1582" s="18" t="n">
        <v>100</v>
      </c>
      <c r="M1582" s="18" t="n">
        <v>461.39</v>
      </c>
      <c r="N1582" s="18" t="n">
        <v>443.21</v>
      </c>
      <c r="O1582" s="18" t="n">
        <v>284.54</v>
      </c>
      <c r="P1582" s="18" t="n">
        <v>463.1</v>
      </c>
      <c r="Q1582" s="18" t="n">
        <v>125.44</v>
      </c>
      <c r="R1582" s="21">
        <f>IF(OR(G1582="",P1582=""),"",G1582/P1582-1)</f>
        <v/>
      </c>
      <c r="S1582" s="19" t="n">
        <v>0</v>
      </c>
      <c r="T1582" s="22" t="n">
        <v>0.1232</v>
      </c>
      <c r="U1582" s="16" t="inlineStr">
        <is>
          <t>Yes</t>
        </is>
      </c>
      <c r="V1582" s="16" t="inlineStr">
        <is>
          <t>Yes</t>
        </is>
      </c>
      <c r="W1582" s="16" t="inlineStr">
        <is>
          <t>Yes</t>
        </is>
      </c>
      <c r="X1582" s="16" t="inlineStr">
        <is>
          <t>Yes</t>
        </is>
      </c>
      <c r="Y1582" s="20" t="n">
        <v>130</v>
      </c>
      <c r="Z1582" s="19" t="n">
        <v>0.5576</v>
      </c>
      <c r="AA1582" s="18" t="n"/>
      <c r="AB1582" s="16" t="n"/>
      <c r="AC1582" s="16" t="inlineStr">
        <is>
          <t>No</t>
        </is>
      </c>
      <c r="AD1582" s="19" t="n"/>
      <c r="AE1582" s="19" t="n"/>
      <c r="AF1582" s="19" t="n"/>
      <c r="AG1582" s="19" t="n"/>
      <c r="AH1582" s="23" t="n"/>
      <c r="AI1582" s="23" t="n"/>
      <c r="AJ1582" s="19" t="n"/>
    </row>
    <row r="1583">
      <c r="A1583" s="16" t="inlineStr">
        <is>
          <t>FRESHARA</t>
        </is>
      </c>
      <c r="B1583" s="16" t="inlineStr">
        <is>
          <t>Freshara Agro Exports Ltd.</t>
        </is>
      </c>
      <c r="C1583" s="16" t="inlineStr">
        <is>
          <t>Other Food &amp; Beverages</t>
        </is>
      </c>
      <c r="D1583" s="16" t="inlineStr">
        <is>
          <t>Food, Beverages &amp; Tobacco</t>
        </is>
      </c>
      <c r="E1583" s="16" t="inlineStr">
        <is>
          <t>INE0SFW01015</t>
        </is>
      </c>
      <c r="F1583" s="17" t="n">
        <v>1000.36</v>
      </c>
      <c r="G1583" s="18" t="n"/>
      <c r="H1583" s="19" t="n"/>
      <c r="I1583" s="20" t="n"/>
      <c r="J1583" s="16" t="n"/>
      <c r="K1583" s="20" t="n"/>
      <c r="L1583" s="18" t="n"/>
      <c r="M1583" s="18" t="n"/>
      <c r="N1583" s="18" t="n"/>
      <c r="O1583" s="18" t="n"/>
      <c r="P1583" s="18" t="n"/>
      <c r="Q1583" s="18" t="n"/>
      <c r="R1583" s="21">
        <f>IF(OR(G1583="",P1583=""),"",G1583/P1583-1)</f>
        <v/>
      </c>
      <c r="S1583" s="19" t="n"/>
      <c r="T1583" s="22" t="n"/>
      <c r="U1583" s="16" t="n"/>
      <c r="V1583" s="16" t="n"/>
      <c r="W1583" s="16" t="n"/>
      <c r="X1583" s="16" t="n"/>
      <c r="Y1583" s="20" t="n"/>
      <c r="Z1583" s="19" t="n"/>
      <c r="AA1583" s="18" t="n"/>
      <c r="AB1583" s="16" t="n"/>
      <c r="AC1583" s="16" t="inlineStr">
        <is>
          <t>No</t>
        </is>
      </c>
      <c r="AD1583" s="19" t="n"/>
      <c r="AE1583" s="19" t="n"/>
      <c r="AF1583" s="19" t="n"/>
      <c r="AG1583" s="19" t="n"/>
      <c r="AH1583" s="23" t="n"/>
      <c r="AI1583" s="23" t="n"/>
      <c r="AJ1583" s="19" t="n"/>
    </row>
    <row r="1584">
      <c r="A1584" s="16" t="inlineStr">
        <is>
          <t>PREMIERPOL</t>
        </is>
      </c>
      <c r="B1584" s="16" t="inlineStr">
        <is>
          <t>Premier Polyfilm Ltd.</t>
        </is>
      </c>
      <c r="C1584" s="16" t="inlineStr">
        <is>
          <t>Plastic Products</t>
        </is>
      </c>
      <c r="D1584" s="16" t="inlineStr">
        <is>
          <t>General Industrials</t>
        </is>
      </c>
      <c r="E1584" s="16" t="inlineStr">
        <is>
          <t>INE309M01020</t>
        </is>
      </c>
      <c r="F1584" s="17" t="n">
        <v>998.8200000000001</v>
      </c>
      <c r="G1584" s="18" t="n">
        <v>95.36</v>
      </c>
      <c r="H1584" s="19" t="n">
        <v>0.0326</v>
      </c>
      <c r="I1584" s="20" t="n">
        <v>93</v>
      </c>
      <c r="J1584" s="16" t="inlineStr">
        <is>
          <t>green</t>
        </is>
      </c>
      <c r="K1584" s="20" t="n">
        <v>38</v>
      </c>
      <c r="L1584" s="18" t="n">
        <v>68.45</v>
      </c>
      <c r="M1584" s="18" t="n">
        <v>92.3</v>
      </c>
      <c r="N1584" s="18" t="n">
        <v>76.56</v>
      </c>
      <c r="O1584" s="18" t="n">
        <v>58.23</v>
      </c>
      <c r="P1584" s="18" t="n">
        <v>95.36</v>
      </c>
      <c r="Q1584" s="18" t="n">
        <v>38.28</v>
      </c>
      <c r="R1584" s="21">
        <f>IF(OR(G1584="",P1584=""),"",G1584/P1584-1)</f>
        <v/>
      </c>
      <c r="S1584" s="19" t="n">
        <v>1.7356</v>
      </c>
      <c r="T1584" s="22" t="n">
        <v>0.08160000000000001</v>
      </c>
      <c r="U1584" s="16" t="inlineStr">
        <is>
          <t>Yes</t>
        </is>
      </c>
      <c r="V1584" s="16" t="inlineStr">
        <is>
          <t>Yes</t>
        </is>
      </c>
      <c r="W1584" s="16" t="inlineStr">
        <is>
          <t>Yes</t>
        </is>
      </c>
      <c r="X1584" s="16" t="inlineStr">
        <is>
          <t>Yes</t>
        </is>
      </c>
      <c r="Y1584" s="20" t="n">
        <v>129</v>
      </c>
      <c r="Z1584" s="19" t="n">
        <v>0.3147</v>
      </c>
      <c r="AA1584" s="18" t="n">
        <v>75.11</v>
      </c>
      <c r="AB1584" s="16" t="inlineStr">
        <is>
          <t>High</t>
        </is>
      </c>
      <c r="AC1584" s="16" t="inlineStr">
        <is>
          <t>No</t>
        </is>
      </c>
      <c r="AD1584" s="19" t="n">
        <v>0.2185</v>
      </c>
      <c r="AE1584" s="19" t="n">
        <v>0.2728</v>
      </c>
      <c r="AF1584" s="19" t="n">
        <v>2.4183</v>
      </c>
      <c r="AG1584" s="19" t="n">
        <v>0.0588</v>
      </c>
      <c r="AH1584" s="23" t="n">
        <v>0</v>
      </c>
      <c r="AI1584" s="23" t="n">
        <v>5.59</v>
      </c>
      <c r="AJ1584" s="19" t="n">
        <v>0.008199999999999999</v>
      </c>
    </row>
    <row r="1585">
      <c r="A1585" s="16" t="inlineStr">
        <is>
          <t>NRAIL</t>
        </is>
      </c>
      <c r="B1585" s="16" t="inlineStr">
        <is>
          <t>N R Agarwal Industries Ltd.</t>
        </is>
      </c>
      <c r="C1585" s="16" t="inlineStr">
        <is>
          <t>Paper &amp; Paper Products</t>
        </is>
      </c>
      <c r="D1585" s="16" t="inlineStr">
        <is>
          <t>Commercial Services &amp; Supplies</t>
        </is>
      </c>
      <c r="E1585" s="16" t="inlineStr">
        <is>
          <t>INE740D01017</t>
        </is>
      </c>
      <c r="F1585" s="17" t="n">
        <v>993.92</v>
      </c>
      <c r="G1585" s="18" t="n">
        <v>584</v>
      </c>
      <c r="H1585" s="19" t="n">
        <v>0.1773</v>
      </c>
      <c r="I1585" s="20" t="n">
        <v>77</v>
      </c>
      <c r="J1585" s="16" t="inlineStr">
        <is>
          <t>amber</t>
        </is>
      </c>
      <c r="K1585" s="20" t="n">
        <v>1</v>
      </c>
      <c r="L1585" s="18" t="n">
        <v>71.95999999999999</v>
      </c>
      <c r="M1585" s="18" t="n">
        <v>512.8200000000001</v>
      </c>
      <c r="N1585" s="18" t="n">
        <v>475.62</v>
      </c>
      <c r="O1585" s="18" t="n">
        <v>459.67</v>
      </c>
      <c r="P1585" s="18" t="n">
        <v>584</v>
      </c>
      <c r="Q1585" s="18" t="n">
        <v>367.43</v>
      </c>
      <c r="R1585" s="21">
        <f>IF(OR(G1585="",P1585=""),"",G1585/P1585-1)</f>
        <v/>
      </c>
      <c r="S1585" s="19" t="n">
        <v>7.3488</v>
      </c>
      <c r="T1585" s="22" t="n">
        <v>0.0111</v>
      </c>
      <c r="U1585" s="16" t="inlineStr">
        <is>
          <t>Yes</t>
        </is>
      </c>
      <c r="V1585" s="16" t="inlineStr">
        <is>
          <t>Yes</t>
        </is>
      </c>
      <c r="W1585" s="16" t="inlineStr">
        <is>
          <t>Yes</t>
        </is>
      </c>
      <c r="X1585" s="16" t="inlineStr">
        <is>
          <t>Yes</t>
        </is>
      </c>
      <c r="Y1585" s="20" t="n">
        <v>19</v>
      </c>
      <c r="Z1585" s="19" t="n">
        <v>0.0347</v>
      </c>
      <c r="AA1585" s="18" t="n">
        <v>26.11</v>
      </c>
      <c r="AB1585" s="16" t="inlineStr">
        <is>
          <t>Poor</t>
        </is>
      </c>
      <c r="AC1585" s="16" t="inlineStr">
        <is>
          <t>No</t>
        </is>
      </c>
      <c r="AD1585" s="19" t="n">
        <v>0.0805</v>
      </c>
      <c r="AE1585" s="19" t="n">
        <v>0.0796</v>
      </c>
      <c r="AF1585" s="19" t="n">
        <v>-0.532</v>
      </c>
      <c r="AG1585" s="19" t="n">
        <v>0.1072</v>
      </c>
      <c r="AH1585" s="23" t="n">
        <v>1.01</v>
      </c>
      <c r="AI1585" s="23" t="n">
        <v>1.49</v>
      </c>
      <c r="AJ1585" s="19" t="n">
        <v>0.1576</v>
      </c>
    </row>
    <row r="1586">
      <c r="A1586" s="16" t="inlineStr">
        <is>
          <t>ARIHANTSUP</t>
        </is>
      </c>
      <c r="B1586" s="16" t="inlineStr">
        <is>
          <t>Arihant Superstructures Ltd.</t>
        </is>
      </c>
      <c r="C1586" s="16" t="inlineStr">
        <is>
          <t>Realty</t>
        </is>
      </c>
      <c r="D1586" s="16" t="inlineStr">
        <is>
          <t>Realty</t>
        </is>
      </c>
      <c r="E1586" s="16" t="inlineStr">
        <is>
          <t>INE643K01018</t>
        </is>
      </c>
      <c r="F1586" s="17" t="n">
        <v>992.59</v>
      </c>
      <c r="G1586" s="18" t="n">
        <v>229.5</v>
      </c>
      <c r="H1586" s="19" t="n">
        <v>-0.0282</v>
      </c>
      <c r="I1586" s="20" t="n">
        <v>7</v>
      </c>
      <c r="J1586" s="16" t="inlineStr">
        <is>
          <t>red</t>
        </is>
      </c>
      <c r="K1586" s="20" t="n">
        <v>208</v>
      </c>
      <c r="L1586" s="18" t="n">
        <v>27.94</v>
      </c>
      <c r="M1586" s="18" t="n">
        <v>248.98</v>
      </c>
      <c r="N1586" s="18" t="n">
        <v>257.42</v>
      </c>
      <c r="O1586" s="18" t="n">
        <v>272.46</v>
      </c>
      <c r="P1586" s="18" t="n">
        <v>432.1</v>
      </c>
      <c r="Q1586" s="18" t="n">
        <v>192.7</v>
      </c>
      <c r="R1586" s="21">
        <f>IF(OR(G1586="",P1586=""),"",G1586/P1586-1)</f>
        <v/>
      </c>
      <c r="S1586" s="19" t="n">
        <v>1.9924</v>
      </c>
      <c r="T1586" s="22" t="n">
        <v>-0.0546</v>
      </c>
      <c r="U1586" s="16" t="inlineStr">
        <is>
          <t>No</t>
        </is>
      </c>
      <c r="V1586" s="16" t="inlineStr">
        <is>
          <t>No</t>
        </is>
      </c>
      <c r="W1586" s="16" t="inlineStr">
        <is>
          <t>No</t>
        </is>
      </c>
      <c r="X1586" s="16" t="inlineStr">
        <is>
          <t>No</t>
        </is>
      </c>
      <c r="Y1586" s="20" t="n">
        <v>187</v>
      </c>
      <c r="Z1586" s="19" t="n">
        <v>-0.0552</v>
      </c>
      <c r="AA1586" s="18" t="n">
        <v>28.42</v>
      </c>
      <c r="AB1586" s="16" t="inlineStr">
        <is>
          <t>Poor</t>
        </is>
      </c>
      <c r="AC1586" s="16" t="inlineStr">
        <is>
          <t>No</t>
        </is>
      </c>
      <c r="AD1586" s="19" t="n">
        <v>0.1869</v>
      </c>
      <c r="AE1586" s="19" t="n">
        <v>0.1181</v>
      </c>
      <c r="AF1586" s="19" t="n">
        <v>0.2662</v>
      </c>
      <c r="AG1586" s="19" t="n">
        <v>0.1303</v>
      </c>
      <c r="AH1586" s="23" t="n">
        <v>2.41</v>
      </c>
      <c r="AI1586" s="23" t="n">
        <v>4.96</v>
      </c>
      <c r="AJ1586" s="19" t="n">
        <v>0.1927</v>
      </c>
    </row>
    <row r="1587">
      <c r="A1587" s="16" t="inlineStr">
        <is>
          <t>JARO</t>
        </is>
      </c>
      <c r="B1587" s="16" t="inlineStr">
        <is>
          <t>Jaro Institute of Technology Management and Research Ltd.</t>
        </is>
      </c>
      <c r="C1587" s="16" t="inlineStr">
        <is>
          <t>Education</t>
        </is>
      </c>
      <c r="D1587" s="16" t="inlineStr">
        <is>
          <t>Diversified Consumer Services</t>
        </is>
      </c>
      <c r="E1587" s="16" t="inlineStr">
        <is>
          <t>INE00YJ01010</t>
        </is>
      </c>
      <c r="F1587" s="17" t="n">
        <v>992.48</v>
      </c>
      <c r="G1587" s="18" t="n">
        <v>445.65</v>
      </c>
      <c r="H1587" s="19" t="n">
        <v>-0.0193</v>
      </c>
      <c r="I1587" s="20" t="n">
        <v>15</v>
      </c>
      <c r="J1587" s="16" t="inlineStr">
        <is>
          <t>red</t>
        </is>
      </c>
      <c r="K1587" s="20" t="n">
        <v>43</v>
      </c>
      <c r="L1587" s="18" t="n">
        <v>47.94</v>
      </c>
      <c r="M1587" s="18" t="n">
        <v>457.77</v>
      </c>
      <c r="N1587" s="18" t="n">
        <v>473.96</v>
      </c>
      <c r="O1587" s="18" t="n">
        <v>488.52</v>
      </c>
      <c r="P1587" s="18" t="n">
        <v>782.42</v>
      </c>
      <c r="Q1587" s="18" t="n">
        <v>384.95</v>
      </c>
      <c r="R1587" s="21">
        <f>IF(OR(G1587="",P1587=""),"",G1587/P1587-1)</f>
        <v/>
      </c>
      <c r="S1587" s="19" t="n">
        <v>1.0366</v>
      </c>
      <c r="T1587" s="22" t="n">
        <v>-0.0357</v>
      </c>
      <c r="U1587" s="16" t="inlineStr">
        <is>
          <t>No</t>
        </is>
      </c>
      <c r="V1587" s="16" t="inlineStr">
        <is>
          <t>No</t>
        </is>
      </c>
      <c r="W1587" s="16" t="inlineStr">
        <is>
          <t>No</t>
        </is>
      </c>
      <c r="X1587" s="16" t="inlineStr">
        <is>
          <t>No</t>
        </is>
      </c>
      <c r="Y1587" s="20" t="n">
        <v>17</v>
      </c>
      <c r="Z1587" s="19" t="n">
        <v>-0.0298</v>
      </c>
      <c r="AA1587" s="18" t="n">
        <v>82.84999999999999</v>
      </c>
      <c r="AB1587" s="16" t="inlineStr">
        <is>
          <t>High</t>
        </is>
      </c>
      <c r="AC1587" s="16" t="inlineStr">
        <is>
          <t>No</t>
        </is>
      </c>
      <c r="AD1587" s="19" t="n">
        <v>0.2572</v>
      </c>
      <c r="AE1587" s="19" t="n">
        <v>0.2911</v>
      </c>
      <c r="AF1587" s="19" t="n">
        <v>0.5889</v>
      </c>
      <c r="AG1587" s="19" t="n">
        <v>0.3276</v>
      </c>
      <c r="AH1587" s="23" t="n">
        <v>0.02</v>
      </c>
      <c r="AI1587" s="23" t="n">
        <v>29.7</v>
      </c>
      <c r="AJ1587" s="19" t="n">
        <v>0</v>
      </c>
    </row>
    <row r="1588">
      <c r="A1588" s="16" t="inlineStr">
        <is>
          <t>RADHIKAJWE</t>
        </is>
      </c>
      <c r="B1588" s="16" t="inlineStr">
        <is>
          <t>Radhika Jeweltech Ltd.</t>
        </is>
      </c>
      <c r="C1588" s="16" t="inlineStr">
        <is>
          <t>Gems &amp; Jewellery</t>
        </is>
      </c>
      <c r="D1588" s="16" t="inlineStr">
        <is>
          <t>Textiles Apparels &amp; Accessories</t>
        </is>
      </c>
      <c r="E1588" s="16" t="inlineStr">
        <is>
          <t>INE583V01021</t>
        </is>
      </c>
      <c r="F1588" s="17" t="n">
        <v>981.29</v>
      </c>
      <c r="G1588" s="18" t="n">
        <v>83.16</v>
      </c>
      <c r="H1588" s="19" t="n">
        <v>0.166</v>
      </c>
      <c r="I1588" s="20" t="n">
        <v>71</v>
      </c>
      <c r="J1588" s="16" t="inlineStr">
        <is>
          <t>amber</t>
        </is>
      </c>
      <c r="K1588" s="20" t="n">
        <v>1</v>
      </c>
      <c r="L1588" s="18" t="n">
        <v>76.06</v>
      </c>
      <c r="M1588" s="18" t="n">
        <v>71.78</v>
      </c>
      <c r="N1588" s="18" t="n">
        <v>66.17</v>
      </c>
      <c r="O1588" s="18" t="n">
        <v>66.33</v>
      </c>
      <c r="P1588" s="18" t="n">
        <v>95.3</v>
      </c>
      <c r="Q1588" s="18" t="n">
        <v>50.54</v>
      </c>
      <c r="R1588" s="21">
        <f>IF(OR(G1588="",P1588=""),"",G1588/P1588-1)</f>
        <v/>
      </c>
      <c r="S1588" s="19" t="n">
        <v>7.3486</v>
      </c>
      <c r="T1588" s="22" t="n">
        <v>-0.0237</v>
      </c>
      <c r="U1588" s="16" t="inlineStr">
        <is>
          <t>No</t>
        </is>
      </c>
      <c r="V1588" s="16" t="inlineStr">
        <is>
          <t>Yes</t>
        </is>
      </c>
      <c r="W1588" s="16" t="inlineStr">
        <is>
          <t>Yes</t>
        </is>
      </c>
      <c r="X1588" s="16" t="inlineStr">
        <is>
          <t>No</t>
        </is>
      </c>
      <c r="Y1588" s="20" t="n">
        <v>220</v>
      </c>
      <c r="Z1588" s="19" t="n">
        <v>-0.0024</v>
      </c>
      <c r="AA1588" s="18" t="n">
        <v>73.79000000000001</v>
      </c>
      <c r="AB1588" s="16" t="inlineStr">
        <is>
          <t>High</t>
        </is>
      </c>
      <c r="AC1588" s="16" t="inlineStr">
        <is>
          <t>No</t>
        </is>
      </c>
      <c r="AD1588" s="19" t="n">
        <v>0.1871</v>
      </c>
      <c r="AE1588" s="19" t="n">
        <v>0.2285</v>
      </c>
      <c r="AF1588" s="19" t="n">
        <v>0.3747</v>
      </c>
      <c r="AG1588" s="19" t="n">
        <v>0.3025</v>
      </c>
      <c r="AH1588" s="23" t="n">
        <v>0.15</v>
      </c>
      <c r="AI1588" s="23" t="n">
        <v>69.40000000000001</v>
      </c>
      <c r="AJ1588" s="19" t="n">
        <v>0</v>
      </c>
    </row>
    <row r="1589">
      <c r="A1589" s="16" t="inlineStr">
        <is>
          <t>UNIABEXAL</t>
        </is>
      </c>
      <c r="B1589" s="16" t="inlineStr">
        <is>
          <t>Uni Abex Alloy Products Ltd.</t>
        </is>
      </c>
      <c r="C1589" s="16" t="inlineStr">
        <is>
          <t>Iron &amp; Steel Products</t>
        </is>
      </c>
      <c r="D1589" s="16" t="inlineStr">
        <is>
          <t>Metals &amp; Mining</t>
        </is>
      </c>
      <c r="E1589" s="16" t="inlineStr">
        <is>
          <t>INE361D01012</t>
        </is>
      </c>
      <c r="F1589" s="17" t="n">
        <v>979.6</v>
      </c>
      <c r="G1589" s="18" t="n">
        <v>4960</v>
      </c>
      <c r="H1589" s="19" t="n">
        <v>0.0117</v>
      </c>
      <c r="I1589" s="20" t="n">
        <v>81</v>
      </c>
      <c r="J1589" s="16" t="inlineStr">
        <is>
          <t>green</t>
        </is>
      </c>
      <c r="K1589" s="20" t="n">
        <v>75</v>
      </c>
      <c r="L1589" s="18" t="n">
        <v>75.48</v>
      </c>
      <c r="M1589" s="18" t="n">
        <v>4895.51</v>
      </c>
      <c r="N1589" s="18" t="n">
        <v>4858.94</v>
      </c>
      <c r="O1589" s="18" t="n">
        <v>3664.43</v>
      </c>
      <c r="P1589" s="18" t="n">
        <v>5604.98</v>
      </c>
      <c r="Q1589" s="18" t="n">
        <v>2652.27</v>
      </c>
      <c r="R1589" s="21">
        <f>IF(OR(G1589="",P1589=""),"",G1589/P1589-1)</f>
        <v/>
      </c>
      <c r="S1589" s="19" t="n">
        <v>0.9558</v>
      </c>
      <c r="T1589" s="22" t="n">
        <v>0.0413</v>
      </c>
      <c r="U1589" s="16" t="inlineStr">
        <is>
          <t>Yes</t>
        </is>
      </c>
      <c r="V1589" s="16" t="inlineStr">
        <is>
          <t>Yes</t>
        </is>
      </c>
      <c r="W1589" s="16" t="inlineStr">
        <is>
          <t>Yes</t>
        </is>
      </c>
      <c r="X1589" s="16" t="inlineStr">
        <is>
          <t>Yes</t>
        </is>
      </c>
      <c r="Y1589" s="20" t="n">
        <v>71</v>
      </c>
      <c r="Z1589" s="19" t="n">
        <v>0.326</v>
      </c>
      <c r="AA1589" s="18" t="n"/>
      <c r="AB1589" s="16" t="n"/>
      <c r="AC1589" s="16" t="inlineStr">
        <is>
          <t>No</t>
        </is>
      </c>
      <c r="AD1589" s="19" t="n"/>
      <c r="AE1589" s="19" t="n"/>
      <c r="AF1589" s="19" t="n"/>
      <c r="AG1589" s="19" t="n"/>
      <c r="AH1589" s="23" t="n"/>
      <c r="AI1589" s="23" t="n"/>
      <c r="AJ1589" s="19" t="n"/>
    </row>
    <row r="1590">
      <c r="A1590" s="16" t="inlineStr">
        <is>
          <t>KRISHIVAL</t>
        </is>
      </c>
      <c r="B1590" s="16" t="inlineStr">
        <is>
          <t>Krishival Foods Ltd.</t>
        </is>
      </c>
      <c r="C1590" s="16" t="inlineStr">
        <is>
          <t>Other Food &amp; Beverages</t>
        </is>
      </c>
      <c r="D1590" s="16" t="inlineStr">
        <is>
          <t>Food, Beverages &amp; Tobacco</t>
        </is>
      </c>
      <c r="E1590" s="16" t="inlineStr">
        <is>
          <t>INE0GGO01015</t>
        </is>
      </c>
      <c r="F1590" s="17" t="n">
        <v>976.71</v>
      </c>
      <c r="G1590" s="18" t="n">
        <v>416.3</v>
      </c>
      <c r="H1590" s="19" t="n">
        <v>0.0068</v>
      </c>
      <c r="I1590" s="20" t="n">
        <v>46</v>
      </c>
      <c r="J1590" s="16" t="inlineStr">
        <is>
          <t>red</t>
        </is>
      </c>
      <c r="K1590" s="20" t="n">
        <v>34</v>
      </c>
      <c r="L1590" s="18" t="n">
        <v>52.86</v>
      </c>
      <c r="M1590" s="18" t="n">
        <v>409.4</v>
      </c>
      <c r="N1590" s="18" t="n">
        <v>398.28</v>
      </c>
      <c r="O1590" s="18" t="n">
        <v>373.91</v>
      </c>
      <c r="P1590" s="18" t="n">
        <v>502.8</v>
      </c>
      <c r="Q1590" s="18" t="n">
        <v>309.25</v>
      </c>
      <c r="R1590" s="21">
        <f>IF(OR(G1590="",P1590=""),"",G1590/P1590-1)</f>
        <v/>
      </c>
      <c r="S1590" s="19" t="n">
        <v>0.8989</v>
      </c>
      <c r="T1590" s="22" t="n">
        <v>-0.0227</v>
      </c>
      <c r="U1590" s="16" t="inlineStr">
        <is>
          <t>No</t>
        </is>
      </c>
      <c r="V1590" s="16" t="inlineStr">
        <is>
          <t>Yes</t>
        </is>
      </c>
      <c r="W1590" s="16" t="inlineStr">
        <is>
          <t>Yes</t>
        </is>
      </c>
      <c r="X1590" s="16" t="inlineStr">
        <is>
          <t>Yes</t>
        </is>
      </c>
      <c r="Y1590" s="20" t="n">
        <v>42</v>
      </c>
      <c r="Z1590" s="19" t="n">
        <v>0.06519999999999999</v>
      </c>
      <c r="AA1590" s="18" t="n">
        <v>60.7</v>
      </c>
      <c r="AB1590" s="16" t="inlineStr">
        <is>
          <t>Good</t>
        </is>
      </c>
      <c r="AC1590" s="16" t="inlineStr">
        <is>
          <t>No</t>
        </is>
      </c>
      <c r="AD1590" s="19" t="n">
        <v>0.09609999999999999</v>
      </c>
      <c r="AE1590" s="19" t="n">
        <v>0.1272</v>
      </c>
      <c r="AF1590" s="19" t="n">
        <v>0.4234000000000001</v>
      </c>
      <c r="AG1590" s="19" t="n">
        <v>0.6278</v>
      </c>
      <c r="AH1590" s="23" t="n">
        <v>0.19</v>
      </c>
      <c r="AI1590" s="23" t="n">
        <v>4.52</v>
      </c>
      <c r="AJ1590" s="19" t="n">
        <v>0.1628</v>
      </c>
    </row>
    <row r="1591">
      <c r="A1591" s="16" t="inlineStr">
        <is>
          <t>VIESL</t>
        </is>
      </c>
      <c r="B1591" s="16" t="inlineStr">
        <is>
          <t>Vision Infra Equipment Solutions Ltd.</t>
        </is>
      </c>
      <c r="C1591" s="16" t="inlineStr">
        <is>
          <t>Misc. Commercial Services</t>
        </is>
      </c>
      <c r="D1591" s="16" t="inlineStr">
        <is>
          <t>Commercial Services &amp; Supplies</t>
        </is>
      </c>
      <c r="E1591" s="16" t="inlineStr">
        <is>
          <t>INE0TR001017</t>
        </is>
      </c>
      <c r="F1591" s="17" t="n">
        <v>976.55</v>
      </c>
      <c r="G1591" s="18" t="n"/>
      <c r="H1591" s="19" t="n"/>
      <c r="I1591" s="20" t="n"/>
      <c r="J1591" s="16" t="n"/>
      <c r="K1591" s="20" t="n"/>
      <c r="L1591" s="18" t="n"/>
      <c r="M1591" s="18" t="n"/>
      <c r="N1591" s="18" t="n"/>
      <c r="O1591" s="18" t="n"/>
      <c r="P1591" s="18" t="n"/>
      <c r="Q1591" s="18" t="n"/>
      <c r="R1591" s="21">
        <f>IF(OR(G1591="",P1591=""),"",G1591/P1591-1)</f>
        <v/>
      </c>
      <c r="S1591" s="19" t="n"/>
      <c r="T1591" s="22" t="n"/>
      <c r="U1591" s="16" t="n"/>
      <c r="V1591" s="16" t="n"/>
      <c r="W1591" s="16" t="n"/>
      <c r="X1591" s="16" t="n"/>
      <c r="Y1591" s="20" t="n"/>
      <c r="Z1591" s="19" t="n"/>
      <c r="AA1591" s="18" t="n"/>
      <c r="AB1591" s="16" t="n"/>
      <c r="AC1591" s="16" t="inlineStr">
        <is>
          <t>No</t>
        </is>
      </c>
      <c r="AD1591" s="19" t="n"/>
      <c r="AE1591" s="19" t="n"/>
      <c r="AF1591" s="19" t="n"/>
      <c r="AG1591" s="19" t="n"/>
      <c r="AH1591" s="23" t="n"/>
      <c r="AI1591" s="23" t="n"/>
      <c r="AJ1591" s="19" t="n"/>
    </row>
    <row r="1592">
      <c r="A1592" s="16" t="inlineStr">
        <is>
          <t>SAHANA</t>
        </is>
      </c>
      <c r="B1592" s="16" t="inlineStr">
        <is>
          <t>Sahana System Ltd.</t>
        </is>
      </c>
      <c r="C1592" s="16" t="inlineStr">
        <is>
          <t>IT Consulting &amp; Software</t>
        </is>
      </c>
      <c r="D1592" s="16" t="inlineStr">
        <is>
          <t>Software &amp; Services</t>
        </is>
      </c>
      <c r="E1592" s="16" t="inlineStr">
        <is>
          <t>INE0LEX01011</t>
        </is>
      </c>
      <c r="F1592" s="17" t="n">
        <v>975.9299999999999</v>
      </c>
      <c r="G1592" s="18" t="n">
        <v>920.3</v>
      </c>
      <c r="H1592" s="19" t="n">
        <v>-0.008199999999999999</v>
      </c>
      <c r="I1592" s="20" t="n">
        <v>41</v>
      </c>
      <c r="J1592" s="16" t="inlineStr">
        <is>
          <t>red</t>
        </is>
      </c>
      <c r="K1592" s="20" t="n">
        <v>301</v>
      </c>
      <c r="L1592" s="18" t="n">
        <v>80.94</v>
      </c>
      <c r="M1592" s="18" t="n">
        <v>924.38</v>
      </c>
      <c r="N1592" s="18" t="n">
        <v>852.08</v>
      </c>
      <c r="O1592" s="18" t="n">
        <v>886.63</v>
      </c>
      <c r="P1592" s="18" t="n">
        <v>1232.8</v>
      </c>
      <c r="Q1592" s="18" t="n">
        <v>706.25</v>
      </c>
      <c r="R1592" s="21">
        <f>IF(OR(G1592="",P1592=""),"",G1592/P1592-1)</f>
        <v/>
      </c>
      <c r="S1592" s="19" t="n">
        <v>0.5113</v>
      </c>
      <c r="T1592" s="22" t="n">
        <v>-0.0242</v>
      </c>
      <c r="U1592" s="16" t="inlineStr">
        <is>
          <t>No</t>
        </is>
      </c>
      <c r="V1592" s="16" t="inlineStr">
        <is>
          <t>Yes</t>
        </is>
      </c>
      <c r="W1592" s="16" t="inlineStr">
        <is>
          <t>No</t>
        </is>
      </c>
      <c r="X1592" s="16" t="inlineStr">
        <is>
          <t>No</t>
        </is>
      </c>
      <c r="Y1592" s="20" t="n">
        <v>277</v>
      </c>
      <c r="Z1592" s="19" t="n">
        <v>-0.039</v>
      </c>
      <c r="AA1592" s="18" t="n"/>
      <c r="AB1592" s="16" t="n"/>
      <c r="AC1592" s="16" t="inlineStr">
        <is>
          <t>No</t>
        </is>
      </c>
      <c r="AD1592" s="19" t="n"/>
      <c r="AE1592" s="19" t="n"/>
      <c r="AF1592" s="19" t="n"/>
      <c r="AG1592" s="19" t="n"/>
      <c r="AH1592" s="23" t="n"/>
      <c r="AI1592" s="23" t="n"/>
      <c r="AJ1592" s="19" t="n"/>
    </row>
    <row r="1593">
      <c r="A1593" s="16" t="inlineStr">
        <is>
          <t>ESTER</t>
        </is>
      </c>
      <c r="B1593" s="16" t="inlineStr">
        <is>
          <t>Ester Industries Ltd.</t>
        </is>
      </c>
      <c r="C1593" s="16" t="inlineStr">
        <is>
          <t>Containers &amp; Packaging</t>
        </is>
      </c>
      <c r="D1593" s="16" t="inlineStr">
        <is>
          <t>Commercial Services &amp; Supplies</t>
        </is>
      </c>
      <c r="E1593" s="16" t="inlineStr">
        <is>
          <t>INE778B01029</t>
        </is>
      </c>
      <c r="F1593" s="17" t="n">
        <v>975.89</v>
      </c>
      <c r="G1593" s="18" t="n">
        <v>93.56999999999999</v>
      </c>
      <c r="H1593" s="19" t="n">
        <v>-0.0049</v>
      </c>
      <c r="I1593" s="20" t="n">
        <v>30</v>
      </c>
      <c r="J1593" s="16" t="inlineStr">
        <is>
          <t>red</t>
        </is>
      </c>
      <c r="K1593" s="20" t="n">
        <v>340</v>
      </c>
      <c r="L1593" s="18" t="n">
        <v>32.16</v>
      </c>
      <c r="M1593" s="18" t="n">
        <v>93.26000000000001</v>
      </c>
      <c r="N1593" s="18" t="n">
        <v>92</v>
      </c>
      <c r="O1593" s="18" t="n">
        <v>95.18000000000001</v>
      </c>
      <c r="P1593" s="18" t="n">
        <v>120.03</v>
      </c>
      <c r="Q1593" s="18" t="n">
        <v>70.67</v>
      </c>
      <c r="R1593" s="21">
        <f>IF(OR(G1593="",P1593=""),"",G1593/P1593-1)</f>
        <v/>
      </c>
      <c r="S1593" s="19" t="n">
        <v>0.1775</v>
      </c>
      <c r="T1593" s="22" t="n">
        <v>-0.0146</v>
      </c>
      <c r="U1593" s="16" t="inlineStr">
        <is>
          <t>No</t>
        </is>
      </c>
      <c r="V1593" s="16" t="inlineStr">
        <is>
          <t>Yes</t>
        </is>
      </c>
      <c r="W1593" s="16" t="inlineStr">
        <is>
          <t>Yes</t>
        </is>
      </c>
      <c r="X1593" s="16" t="inlineStr">
        <is>
          <t>No</t>
        </is>
      </c>
      <c r="Y1593" s="20" t="n">
        <v>365</v>
      </c>
      <c r="Z1593" s="19" t="n">
        <v>-0.0334</v>
      </c>
      <c r="AA1593" s="18" t="n">
        <v>15.57</v>
      </c>
      <c r="AB1593" s="16" t="inlineStr">
        <is>
          <t>Poor</t>
        </is>
      </c>
      <c r="AC1593" s="16" t="inlineStr">
        <is>
          <t>No</t>
        </is>
      </c>
      <c r="AD1593" s="19" t="n">
        <v>-0.062</v>
      </c>
      <c r="AE1593" s="19" t="n">
        <v>0.0166</v>
      </c>
      <c r="AF1593" s="19" t="n">
        <v>-1.2377</v>
      </c>
      <c r="AG1593" s="19" t="n">
        <v>0.0799</v>
      </c>
      <c r="AH1593" s="23" t="n">
        <v>0.93</v>
      </c>
      <c r="AI1593" s="23" t="n">
        <v>1.36</v>
      </c>
      <c r="AJ1593" s="19" t="n">
        <v>0.0357</v>
      </c>
    </row>
    <row r="1594">
      <c r="A1594" s="16" t="inlineStr">
        <is>
          <t>UNIECOM</t>
        </is>
      </c>
      <c r="B1594" s="16" t="inlineStr">
        <is>
          <t>Unicommerce eSolutions Ltd.</t>
        </is>
      </c>
      <c r="C1594" s="16" t="inlineStr">
        <is>
          <t>IT Software Products</t>
        </is>
      </c>
      <c r="D1594" s="16" t="inlineStr">
        <is>
          <t>Software &amp; Services</t>
        </is>
      </c>
      <c r="E1594" s="16" t="inlineStr">
        <is>
          <t>INE00U401027</t>
        </is>
      </c>
      <c r="F1594" s="17" t="n">
        <v>975.75</v>
      </c>
      <c r="G1594" s="18" t="n">
        <v>87.62</v>
      </c>
      <c r="H1594" s="19" t="n">
        <v>0.0197</v>
      </c>
      <c r="I1594" s="20" t="n">
        <v>13</v>
      </c>
      <c r="J1594" s="16" t="inlineStr">
        <is>
          <t>red</t>
        </is>
      </c>
      <c r="K1594" s="20" t="n">
        <v>232</v>
      </c>
      <c r="L1594" s="18" t="n">
        <v>56.19</v>
      </c>
      <c r="M1594" s="18" t="n">
        <v>86.63</v>
      </c>
      <c r="N1594" s="18" t="n">
        <v>86.61</v>
      </c>
      <c r="O1594" s="18" t="n">
        <v>98.37</v>
      </c>
      <c r="P1594" s="18" t="n">
        <v>151.74</v>
      </c>
      <c r="Q1594" s="18" t="n">
        <v>79.08</v>
      </c>
      <c r="R1594" s="21">
        <f>IF(OR(G1594="",P1594=""),"",G1594/P1594-1)</f>
        <v/>
      </c>
      <c r="S1594" s="19" t="n">
        <v>0.6668000000000001</v>
      </c>
      <c r="T1594" s="22" t="n">
        <v>-0.0433</v>
      </c>
      <c r="U1594" s="16" t="inlineStr">
        <is>
          <t>No</t>
        </is>
      </c>
      <c r="V1594" s="16" t="inlineStr">
        <is>
          <t>Yes</t>
        </is>
      </c>
      <c r="W1594" s="16" t="inlineStr">
        <is>
          <t>Yes</t>
        </is>
      </c>
      <c r="X1594" s="16" t="inlineStr">
        <is>
          <t>No</t>
        </is>
      </c>
      <c r="Y1594" s="20" t="n">
        <v>182</v>
      </c>
      <c r="Z1594" s="19" t="n">
        <v>-0.1195</v>
      </c>
      <c r="AA1594" s="18" t="n">
        <v>76.68000000000001</v>
      </c>
      <c r="AB1594" s="16" t="inlineStr">
        <is>
          <t>High</t>
        </is>
      </c>
      <c r="AC1594" s="16" t="inlineStr">
        <is>
          <t>No</t>
        </is>
      </c>
      <c r="AD1594" s="19" t="n">
        <v>0.1828</v>
      </c>
      <c r="AE1594" s="19" t="n">
        <v>0.2323</v>
      </c>
      <c r="AF1594" s="19" t="n">
        <v>0.4577000000000001</v>
      </c>
      <c r="AG1594" s="19" t="n">
        <v>0.3225</v>
      </c>
      <c r="AH1594" s="23" t="n">
        <v>0.05</v>
      </c>
      <c r="AI1594" s="23" t="n">
        <v>19.17</v>
      </c>
      <c r="AJ1594" s="19" t="n">
        <v>0</v>
      </c>
    </row>
    <row r="1595">
      <c r="A1595" s="16" t="inlineStr">
        <is>
          <t>SALZERELEC</t>
        </is>
      </c>
      <c r="B1595" s="16" t="inlineStr">
        <is>
          <t>Salzer Electronics Ltd.</t>
        </is>
      </c>
      <c r="C1595" s="16" t="inlineStr">
        <is>
          <t>Other Electrical Equipment/Products</t>
        </is>
      </c>
      <c r="D1595" s="16" t="inlineStr">
        <is>
          <t>Consumer Durables</t>
        </is>
      </c>
      <c r="E1595" s="16" t="inlineStr">
        <is>
          <t>INE457F01013</t>
        </is>
      </c>
      <c r="F1595" s="17" t="n">
        <v>972.02</v>
      </c>
      <c r="G1595" s="18" t="n">
        <v>549.7</v>
      </c>
      <c r="H1595" s="19" t="n">
        <v>0.0231</v>
      </c>
      <c r="I1595" s="20" t="n">
        <v>9</v>
      </c>
      <c r="J1595" s="16" t="inlineStr">
        <is>
          <t>red</t>
        </is>
      </c>
      <c r="K1595" s="20" t="n">
        <v>321</v>
      </c>
      <c r="L1595" s="18" t="n">
        <v>37.56</v>
      </c>
      <c r="M1595" s="18" t="n">
        <v>544.91</v>
      </c>
      <c r="N1595" s="18" t="n">
        <v>582.17</v>
      </c>
      <c r="O1595" s="18" t="n">
        <v>623.92</v>
      </c>
      <c r="P1595" s="18" t="n">
        <v>912.71</v>
      </c>
      <c r="Q1595" s="18" t="n">
        <v>488.86</v>
      </c>
      <c r="R1595" s="21">
        <f>IF(OR(G1595="",P1595=""),"",G1595/P1595-1)</f>
        <v/>
      </c>
      <c r="S1595" s="19" t="n">
        <v>0.9317</v>
      </c>
      <c r="T1595" s="22" t="n">
        <v>-0.0345</v>
      </c>
      <c r="U1595" s="16" t="inlineStr">
        <is>
          <t>No</t>
        </is>
      </c>
      <c r="V1595" s="16" t="inlineStr">
        <is>
          <t>No</t>
        </is>
      </c>
      <c r="W1595" s="16" t="inlineStr">
        <is>
          <t>Yes</t>
        </is>
      </c>
      <c r="X1595" s="16" t="inlineStr">
        <is>
          <t>No</t>
        </is>
      </c>
      <c r="Y1595" s="20" t="n">
        <v>358</v>
      </c>
      <c r="Z1595" s="19" t="n">
        <v>-0.0669</v>
      </c>
      <c r="AA1595" s="18" t="n">
        <v>41.49</v>
      </c>
      <c r="AB1595" s="16" t="inlineStr">
        <is>
          <t>Average</t>
        </is>
      </c>
      <c r="AC1595" s="16" t="inlineStr">
        <is>
          <t>No</t>
        </is>
      </c>
      <c r="AD1595" s="19" t="n">
        <v>0.0902</v>
      </c>
      <c r="AE1595" s="19" t="n">
        <v>0.1134</v>
      </c>
      <c r="AF1595" s="19" t="n">
        <v>0.1307</v>
      </c>
      <c r="AG1595" s="19" t="n">
        <v>0.1941</v>
      </c>
      <c r="AH1595" s="23" t="n">
        <v>0.9</v>
      </c>
      <c r="AI1595" s="23" t="n">
        <v>5.22</v>
      </c>
      <c r="AJ1595" s="19" t="n">
        <v>0.0217</v>
      </c>
    </row>
    <row r="1596">
      <c r="A1596" s="16" t="inlineStr">
        <is>
          <t>SUBEXLTD</t>
        </is>
      </c>
      <c r="B1596" s="16" t="inlineStr">
        <is>
          <t>Subex Ltd.</t>
        </is>
      </c>
      <c r="C1596" s="16" t="inlineStr">
        <is>
          <t>IT Software Products</t>
        </is>
      </c>
      <c r="D1596" s="16" t="inlineStr">
        <is>
          <t>Software &amp; Services</t>
        </is>
      </c>
      <c r="E1596" s="16" t="inlineStr">
        <is>
          <t>INE754A01055</t>
        </is>
      </c>
      <c r="F1596" s="17" t="n">
        <v>971.14</v>
      </c>
      <c r="G1596" s="18" t="n">
        <v>17.28</v>
      </c>
      <c r="H1596" s="19" t="n">
        <v>-0.0232</v>
      </c>
      <c r="I1596" s="20" t="n">
        <v>90</v>
      </c>
      <c r="J1596" s="16" t="inlineStr">
        <is>
          <t>green</t>
        </is>
      </c>
      <c r="K1596" s="20" t="n">
        <v>14</v>
      </c>
      <c r="L1596" s="18" t="n">
        <v>67.55</v>
      </c>
      <c r="M1596" s="18" t="n">
        <v>17.83</v>
      </c>
      <c r="N1596" s="18" t="n">
        <v>14.15</v>
      </c>
      <c r="O1596" s="18" t="n">
        <v>11.23</v>
      </c>
      <c r="P1596" s="18" t="n">
        <v>18.66</v>
      </c>
      <c r="Q1596" s="18" t="n">
        <v>6.68</v>
      </c>
      <c r="R1596" s="21">
        <f>IF(OR(G1596="",P1596=""),"",G1596/P1596-1)</f>
        <v/>
      </c>
      <c r="S1596" s="19" t="n">
        <v>0.3683</v>
      </c>
      <c r="T1596" s="22" t="n">
        <v>0.0325</v>
      </c>
      <c r="U1596" s="16" t="inlineStr">
        <is>
          <t>Yes</t>
        </is>
      </c>
      <c r="V1596" s="16" t="inlineStr">
        <is>
          <t>Yes</t>
        </is>
      </c>
      <c r="W1596" s="16" t="inlineStr">
        <is>
          <t>No</t>
        </is>
      </c>
      <c r="X1596" s="16" t="inlineStr">
        <is>
          <t>Yes</t>
        </is>
      </c>
      <c r="Y1596" s="20" t="n">
        <v>44</v>
      </c>
      <c r="Z1596" s="19" t="n">
        <v>0.26</v>
      </c>
      <c r="AA1596" s="18" t="n">
        <v>29.99</v>
      </c>
      <c r="AB1596" s="16" t="inlineStr">
        <is>
          <t>Poor</t>
        </is>
      </c>
      <c r="AC1596" s="16" t="inlineStr">
        <is>
          <t>No</t>
        </is>
      </c>
      <c r="AD1596" s="19" t="n">
        <v>-0.1983</v>
      </c>
      <c r="AE1596" s="19" t="n">
        <v>-0.1411</v>
      </c>
      <c r="AF1596" s="19" t="n">
        <v>-0.0002</v>
      </c>
      <c r="AG1596" s="19" t="n">
        <v>0.0035</v>
      </c>
      <c r="AH1596" s="23" t="n">
        <v>0.08</v>
      </c>
      <c r="AI1596" s="23" t="n">
        <v>8.720000000000001</v>
      </c>
      <c r="AJ1596" s="19" t="n">
        <v>0</v>
      </c>
    </row>
    <row r="1597">
      <c r="A1597" s="16" t="inlineStr">
        <is>
          <t>TEJASCARGO</t>
        </is>
      </c>
      <c r="B1597" s="16" t="inlineStr">
        <is>
          <t>Tejas Cargo India Ltd.</t>
        </is>
      </c>
      <c r="C1597" s="16" t="inlineStr">
        <is>
          <t>Warehousing &amp; Logistics</t>
        </is>
      </c>
      <c r="D1597" s="16" t="inlineStr">
        <is>
          <t>Transportation</t>
        </is>
      </c>
      <c r="E1597" s="16" t="inlineStr">
        <is>
          <t>INE17WC01013</t>
        </is>
      </c>
      <c r="F1597" s="17" t="n">
        <v>967.66</v>
      </c>
      <c r="G1597" s="18" t="n"/>
      <c r="H1597" s="19" t="n"/>
      <c r="I1597" s="20" t="n"/>
      <c r="J1597" s="16" t="n"/>
      <c r="K1597" s="20" t="n"/>
      <c r="L1597" s="18" t="n"/>
      <c r="M1597" s="18" t="n"/>
      <c r="N1597" s="18" t="n"/>
      <c r="O1597" s="18" t="n"/>
      <c r="P1597" s="18" t="n"/>
      <c r="Q1597" s="18" t="n"/>
      <c r="R1597" s="21">
        <f>IF(OR(G1597="",P1597=""),"",G1597/P1597-1)</f>
        <v/>
      </c>
      <c r="S1597" s="19" t="n"/>
      <c r="T1597" s="22" t="n"/>
      <c r="U1597" s="16" t="n"/>
      <c r="V1597" s="16" t="n"/>
      <c r="W1597" s="16" t="n"/>
      <c r="X1597" s="16" t="n"/>
      <c r="Y1597" s="20" t="n"/>
      <c r="Z1597" s="19" t="n"/>
      <c r="AA1597" s="18" t="n"/>
      <c r="AB1597" s="16" t="n"/>
      <c r="AC1597" s="16" t="inlineStr">
        <is>
          <t>No</t>
        </is>
      </c>
      <c r="AD1597" s="19" t="n"/>
      <c r="AE1597" s="19" t="n"/>
      <c r="AF1597" s="19" t="n"/>
      <c r="AG1597" s="19" t="n"/>
      <c r="AH1597" s="23" t="n"/>
      <c r="AI1597" s="23" t="n"/>
      <c r="AJ1597" s="19" t="n"/>
    </row>
    <row r="1598">
      <c r="A1598" s="16" t="inlineStr">
        <is>
          <t>PRIMESECU</t>
        </is>
      </c>
      <c r="B1598" s="16" t="inlineStr">
        <is>
          <t>Prime Securities Ltd.</t>
        </is>
      </c>
      <c r="C1598" s="16" t="inlineStr">
        <is>
          <t>Other Financial Services</t>
        </is>
      </c>
      <c r="D1598" s="16" t="inlineStr">
        <is>
          <t>Banking and Finance</t>
        </is>
      </c>
      <c r="E1598" s="16" t="inlineStr">
        <is>
          <t>INE032B01021</t>
        </is>
      </c>
      <c r="F1598" s="17" t="n">
        <v>966.17</v>
      </c>
      <c r="G1598" s="18" t="n">
        <v>284.5</v>
      </c>
      <c r="H1598" s="19" t="n">
        <v>-0.0196</v>
      </c>
      <c r="I1598" s="20" t="n">
        <v>38</v>
      </c>
      <c r="J1598" s="16" t="inlineStr">
        <is>
          <t>red</t>
        </is>
      </c>
      <c r="K1598" s="20" t="n">
        <v>50</v>
      </c>
      <c r="L1598" s="18" t="n">
        <v>51.24</v>
      </c>
      <c r="M1598" s="18" t="n">
        <v>285.4</v>
      </c>
      <c r="N1598" s="18" t="n">
        <v>282.17</v>
      </c>
      <c r="O1598" s="18" t="n">
        <v>282.94</v>
      </c>
      <c r="P1598" s="18" t="n">
        <v>320.25</v>
      </c>
      <c r="Q1598" s="18" t="n">
        <v>251.65</v>
      </c>
      <c r="R1598" s="21">
        <f>IF(OR(G1598="",P1598=""),"",G1598/P1598-1)</f>
        <v/>
      </c>
      <c r="S1598" s="19" t="n">
        <v>0.6075</v>
      </c>
      <c r="T1598" s="22" t="n">
        <v>-0.004699999999999999</v>
      </c>
      <c r="U1598" s="16" t="inlineStr">
        <is>
          <t>No</t>
        </is>
      </c>
      <c r="V1598" s="16" t="inlineStr">
        <is>
          <t>Yes</t>
        </is>
      </c>
      <c r="W1598" s="16" t="inlineStr">
        <is>
          <t>No</t>
        </is>
      </c>
      <c r="X1598" s="16" t="inlineStr">
        <is>
          <t>No</t>
        </is>
      </c>
      <c r="Y1598" s="20" t="n">
        <v>6</v>
      </c>
      <c r="Z1598" s="19" t="n">
        <v>-0.0027</v>
      </c>
      <c r="AA1598" s="18" t="n">
        <v>61.57</v>
      </c>
      <c r="AB1598" s="16" t="inlineStr">
        <is>
          <t>Good</t>
        </is>
      </c>
      <c r="AC1598" s="16" t="inlineStr">
        <is>
          <t>Yes</t>
        </is>
      </c>
      <c r="AD1598" s="19" t="n">
        <v>0.1183</v>
      </c>
      <c r="AE1598" s="19" t="n">
        <v>0.131</v>
      </c>
      <c r="AF1598" s="19" t="n">
        <v>0.3455</v>
      </c>
      <c r="AG1598" s="19" t="n">
        <v>0.4715</v>
      </c>
      <c r="AH1598" s="23" t="n">
        <v>0.02</v>
      </c>
      <c r="AI1598" s="23" t="n">
        <v>11.12</v>
      </c>
      <c r="AJ1598" s="19" t="n">
        <v>0</v>
      </c>
    </row>
    <row r="1599">
      <c r="A1599" s="16" t="inlineStr">
        <is>
          <t>GKWLIMITED</t>
        </is>
      </c>
      <c r="B1599" s="16" t="inlineStr">
        <is>
          <t>GKW Ltd.</t>
        </is>
      </c>
      <c r="C1599" s="16" t="inlineStr">
        <is>
          <t>Other Financial Services</t>
        </is>
      </c>
      <c r="D1599" s="16" t="inlineStr">
        <is>
          <t>Banking and Finance</t>
        </is>
      </c>
      <c r="E1599" s="16" t="inlineStr">
        <is>
          <t>INE528A01020</t>
        </is>
      </c>
      <c r="F1599" s="17" t="n">
        <v>961.14</v>
      </c>
      <c r="G1599" s="18" t="n">
        <v>1610.9</v>
      </c>
      <c r="H1599" s="19" t="n">
        <v>0.0068</v>
      </c>
      <c r="I1599" s="20" t="n">
        <v>25</v>
      </c>
      <c r="J1599" s="16" t="inlineStr">
        <is>
          <t>red</t>
        </is>
      </c>
      <c r="K1599" s="20" t="n">
        <v>111</v>
      </c>
      <c r="L1599" s="18" t="n">
        <v>50.67</v>
      </c>
      <c r="M1599" s="18" t="n">
        <v>1582.08</v>
      </c>
      <c r="N1599" s="18" t="n">
        <v>1654.46</v>
      </c>
      <c r="O1599" s="18" t="n">
        <v>1674.55</v>
      </c>
      <c r="P1599" s="18" t="n">
        <v>1849.7</v>
      </c>
      <c r="Q1599" s="18" t="n">
        <v>1407.4</v>
      </c>
      <c r="R1599" s="21">
        <f>IF(OR(G1599="",P1599=""),"",G1599/P1599-1)</f>
        <v/>
      </c>
      <c r="S1599" s="19" t="n">
        <v>0.1131</v>
      </c>
      <c r="T1599" s="22" t="n">
        <v>-0.007800000000000001</v>
      </c>
      <c r="U1599" s="16" t="inlineStr">
        <is>
          <t>No</t>
        </is>
      </c>
      <c r="V1599" s="16" t="inlineStr">
        <is>
          <t>No</t>
        </is>
      </c>
      <c r="W1599" s="16" t="inlineStr">
        <is>
          <t>Yes</t>
        </is>
      </c>
      <c r="X1599" s="16" t="inlineStr">
        <is>
          <t>No</t>
        </is>
      </c>
      <c r="Y1599" s="20" t="n">
        <v>6</v>
      </c>
      <c r="Z1599" s="19" t="n">
        <v>-0.012</v>
      </c>
      <c r="AA1599" s="18" t="n">
        <v>20.85</v>
      </c>
      <c r="AB1599" s="16" t="inlineStr">
        <is>
          <t>Poor</t>
        </is>
      </c>
      <c r="AC1599" s="16" t="inlineStr">
        <is>
          <t>Yes</t>
        </is>
      </c>
      <c r="AD1599" s="19" t="n">
        <v>-0.0007000000000000001</v>
      </c>
      <c r="AE1599" s="19" t="n">
        <v>0.0031</v>
      </c>
      <c r="AF1599" s="19" t="n">
        <v>-0.2515</v>
      </c>
      <c r="AG1599" s="19" t="n">
        <v>0.2438</v>
      </c>
      <c r="AH1599" s="23" t="n">
        <v>0</v>
      </c>
      <c r="AI1599" s="23" t="n">
        <v>0.05</v>
      </c>
      <c r="AJ1599" s="19" t="n">
        <v>0.0012</v>
      </c>
    </row>
    <row r="1600">
      <c r="A1600" s="16" t="inlineStr">
        <is>
          <t>BSHSL</t>
        </is>
      </c>
      <c r="B1600" s="16" t="inlineStr">
        <is>
          <t>Bombay Super Hybrid Seeds Ltd.</t>
        </is>
      </c>
      <c r="C1600" s="16" t="inlineStr">
        <is>
          <t>Other Agricultural Products</t>
        </is>
      </c>
      <c r="D1600" s="16" t="inlineStr">
        <is>
          <t>Food, Beverages &amp; Tobacco</t>
        </is>
      </c>
      <c r="E1600" s="16" t="inlineStr">
        <is>
          <t>INE032Z01020</t>
        </is>
      </c>
      <c r="F1600" s="17" t="n">
        <v>959.97</v>
      </c>
      <c r="G1600" s="18" t="n">
        <v>91.48</v>
      </c>
      <c r="H1600" s="19" t="n">
        <v>0.0226</v>
      </c>
      <c r="I1600" s="20" t="n">
        <v>22</v>
      </c>
      <c r="J1600" s="16" t="inlineStr">
        <is>
          <t>red</t>
        </is>
      </c>
      <c r="K1600" s="20" t="n">
        <v>501</v>
      </c>
      <c r="L1600" s="18" t="n">
        <v>59.03</v>
      </c>
      <c r="M1600" s="18" t="n">
        <v>90.08</v>
      </c>
      <c r="N1600" s="18" t="n">
        <v>88.52</v>
      </c>
      <c r="O1600" s="18" t="n">
        <v>93.8</v>
      </c>
      <c r="P1600" s="18" t="n">
        <v>141.68</v>
      </c>
      <c r="Q1600" s="18" t="n">
        <v>60.7</v>
      </c>
      <c r="R1600" s="21">
        <f>IF(OR(G1600="",P1600=""),"",G1600/P1600-1)</f>
        <v/>
      </c>
      <c r="S1600" s="19" t="n">
        <v>2.1337</v>
      </c>
      <c r="T1600" s="22" t="n">
        <v>-0.0332</v>
      </c>
      <c r="U1600" s="16" t="inlineStr">
        <is>
          <t>No</t>
        </is>
      </c>
      <c r="V1600" s="16" t="inlineStr">
        <is>
          <t>Yes</t>
        </is>
      </c>
      <c r="W1600" s="16" t="inlineStr">
        <is>
          <t>Yes</t>
        </is>
      </c>
      <c r="X1600" s="16" t="inlineStr">
        <is>
          <t>No</t>
        </is>
      </c>
      <c r="Y1600" s="20" t="n">
        <v>751</v>
      </c>
      <c r="Z1600" s="19" t="n">
        <v>-0.0564</v>
      </c>
      <c r="AA1600" s="18" t="n">
        <v>57.45</v>
      </c>
      <c r="AB1600" s="16" t="inlineStr">
        <is>
          <t>Good</t>
        </is>
      </c>
      <c r="AC1600" s="16" t="inlineStr">
        <is>
          <t>No</t>
        </is>
      </c>
      <c r="AD1600" s="19" t="n">
        <v>0.2465</v>
      </c>
      <c r="AE1600" s="19" t="n">
        <v>0.1793</v>
      </c>
      <c r="AF1600" s="19" t="n">
        <v>0.1735</v>
      </c>
      <c r="AG1600" s="19" t="n">
        <v>0.1609</v>
      </c>
      <c r="AH1600" s="23" t="n">
        <v>0.83</v>
      </c>
      <c r="AI1600" s="23" t="n">
        <v>34.76</v>
      </c>
      <c r="AJ1600" s="19" t="n">
        <v>0</v>
      </c>
    </row>
    <row r="1601">
      <c r="A1601" s="16" t="inlineStr">
        <is>
          <t>UNITEDPOLY</t>
        </is>
      </c>
      <c r="B1601" s="16" t="inlineStr">
        <is>
          <t>United Polyfab Gujarat Ltd.</t>
        </is>
      </c>
      <c r="C1601" s="16" t="inlineStr">
        <is>
          <t>Textiles</t>
        </is>
      </c>
      <c r="D1601" s="16" t="inlineStr">
        <is>
          <t>Textiles Apparels &amp; Accessories</t>
        </is>
      </c>
      <c r="E1601" s="16" t="inlineStr">
        <is>
          <t>INE368U01029</t>
        </is>
      </c>
      <c r="F1601" s="17" t="n">
        <v>956.16</v>
      </c>
      <c r="G1601" s="18" t="n">
        <v>41.66</v>
      </c>
      <c r="H1601" s="19" t="n">
        <v>0.0309</v>
      </c>
      <c r="I1601" s="20" t="n">
        <v>76</v>
      </c>
      <c r="J1601" s="16" t="inlineStr">
        <is>
          <t>amber</t>
        </is>
      </c>
      <c r="K1601" s="20" t="n">
        <v>10</v>
      </c>
      <c r="L1601" s="18" t="n">
        <v>76.67</v>
      </c>
      <c r="M1601" s="18" t="n">
        <v>38.46</v>
      </c>
      <c r="N1601" s="18" t="n">
        <v>32.65</v>
      </c>
      <c r="O1601" s="18" t="n">
        <v>30.71</v>
      </c>
      <c r="P1601" s="18" t="n">
        <v>49.63</v>
      </c>
      <c r="Q1601" s="18" t="n">
        <v>21.32</v>
      </c>
      <c r="R1601" s="21">
        <f>IF(OR(G1601="",P1601=""),"",G1601/P1601-1)</f>
        <v/>
      </c>
      <c r="S1601" s="19" t="n">
        <v>2.0225</v>
      </c>
      <c r="T1601" s="22" t="n">
        <v>-0.0222</v>
      </c>
      <c r="U1601" s="16" t="inlineStr">
        <is>
          <t>No</t>
        </is>
      </c>
      <c r="V1601" s="16" t="inlineStr">
        <is>
          <t>Yes</t>
        </is>
      </c>
      <c r="W1601" s="16" t="inlineStr">
        <is>
          <t>Yes</t>
        </is>
      </c>
      <c r="X1601" s="16" t="inlineStr">
        <is>
          <t>Yes</t>
        </is>
      </c>
      <c r="Y1601" s="20" t="n">
        <v>42</v>
      </c>
      <c r="Z1601" s="19" t="n">
        <v>0.06309999999999999</v>
      </c>
      <c r="AA1601" s="18" t="n">
        <v>48.97</v>
      </c>
      <c r="AB1601" s="16" t="inlineStr">
        <is>
          <t>Average</t>
        </is>
      </c>
      <c r="AC1601" s="16" t="inlineStr">
        <is>
          <t>No</t>
        </is>
      </c>
      <c r="AD1601" s="19" t="n">
        <v>0.1493</v>
      </c>
      <c r="AE1601" s="19" t="n">
        <v>0.1409</v>
      </c>
      <c r="AF1601" s="19" t="n">
        <v>0.6886</v>
      </c>
      <c r="AG1601" s="19" t="n">
        <v>0.0625</v>
      </c>
      <c r="AH1601" s="23" t="n">
        <v>0.8</v>
      </c>
      <c r="AI1601" s="23" t="n">
        <v>8.17</v>
      </c>
      <c r="AJ1601" s="19" t="n">
        <v>0</v>
      </c>
    </row>
    <row r="1602">
      <c r="A1602" s="16" t="inlineStr">
        <is>
          <t>ANAWIL</t>
        </is>
      </c>
      <c r="B1602" s="16" t="inlineStr">
        <is>
          <t>Anawil Wire &amp; Engineering Ltd.</t>
        </is>
      </c>
      <c r="C1602" s="16" t="inlineStr">
        <is>
          <t>Other Industrial Products</t>
        </is>
      </c>
      <c r="D1602" s="16" t="inlineStr">
        <is>
          <t>General Industrials</t>
        </is>
      </c>
      <c r="E1602" s="16" t="inlineStr">
        <is>
          <t>INE1J5V01013</t>
        </is>
      </c>
      <c r="F1602" s="17" t="n">
        <v>955.99</v>
      </c>
      <c r="G1602" s="18" t="n"/>
      <c r="H1602" s="19" t="n"/>
      <c r="I1602" s="20" t="n"/>
      <c r="J1602" s="16" t="n"/>
      <c r="K1602" s="20" t="n"/>
      <c r="L1602" s="18" t="n"/>
      <c r="M1602" s="18" t="n"/>
      <c r="N1602" s="18" t="n"/>
      <c r="O1602" s="18" t="n"/>
      <c r="P1602" s="18" t="n"/>
      <c r="Q1602" s="18" t="n"/>
      <c r="R1602" s="21">
        <f>IF(OR(G1602="",P1602=""),"",G1602/P1602-1)</f>
        <v/>
      </c>
      <c r="S1602" s="19" t="n"/>
      <c r="T1602" s="22" t="n"/>
      <c r="U1602" s="16" t="n"/>
      <c r="V1602" s="16" t="n"/>
      <c r="W1602" s="16" t="n"/>
      <c r="X1602" s="16" t="n"/>
      <c r="Y1602" s="20" t="n"/>
      <c r="Z1602" s="19" t="n"/>
      <c r="AA1602" s="18" t="n"/>
      <c r="AB1602" s="16" t="n"/>
      <c r="AC1602" s="16" t="inlineStr">
        <is>
          <t>No</t>
        </is>
      </c>
      <c r="AD1602" s="19" t="n"/>
      <c r="AE1602" s="19" t="n"/>
      <c r="AF1602" s="19" t="n"/>
      <c r="AG1602" s="19" t="n"/>
      <c r="AH1602" s="23" t="n"/>
      <c r="AI1602" s="23" t="n"/>
      <c r="AJ1602" s="19" t="n"/>
    </row>
    <row r="1603">
      <c r="A1603" s="16" t="inlineStr">
        <is>
          <t>BRRL</t>
        </is>
      </c>
      <c r="B1603" s="16" t="inlineStr">
        <is>
          <t>B-Right Realestate Ltd.</t>
        </is>
      </c>
      <c r="C1603" s="16" t="inlineStr">
        <is>
          <t>Realty</t>
        </is>
      </c>
      <c r="D1603" s="16" t="inlineStr">
        <is>
          <t>Realty</t>
        </is>
      </c>
      <c r="E1603" s="16" t="inlineStr">
        <is>
          <t>INE0IZQ01016</t>
        </is>
      </c>
      <c r="F1603" s="17" t="n">
        <v>955.64</v>
      </c>
      <c r="G1603" s="18" t="n">
        <v>925</v>
      </c>
      <c r="H1603" s="19" t="n">
        <v>0.0013</v>
      </c>
      <c r="I1603" s="20" t="n">
        <v>87</v>
      </c>
      <c r="J1603" s="16" t="inlineStr">
        <is>
          <t>green</t>
        </is>
      </c>
      <c r="K1603" s="20" t="n">
        <v>186</v>
      </c>
      <c r="L1603" s="18" t="n">
        <v>51.41</v>
      </c>
      <c r="M1603" s="18" t="n">
        <v>915.47</v>
      </c>
      <c r="N1603" s="18" t="n">
        <v>887.88</v>
      </c>
      <c r="O1603" s="18" t="n">
        <v>789.89</v>
      </c>
      <c r="P1603" s="18" t="n">
        <v>1007.9</v>
      </c>
      <c r="Q1603" s="18" t="n">
        <v>274</v>
      </c>
      <c r="R1603" s="21">
        <f>IF(OR(G1603="",P1603=""),"",G1603/P1603-1)</f>
        <v/>
      </c>
      <c r="S1603" s="19" t="n">
        <v>0.0374</v>
      </c>
      <c r="T1603" s="22" t="n">
        <v>0.0728</v>
      </c>
      <c r="U1603" s="16" t="inlineStr">
        <is>
          <t>Yes</t>
        </is>
      </c>
      <c r="V1603" s="16" t="inlineStr">
        <is>
          <t>Yes</t>
        </is>
      </c>
      <c r="W1603" s="16" t="inlineStr">
        <is>
          <t>Yes</t>
        </is>
      </c>
      <c r="X1603" s="16" t="inlineStr">
        <is>
          <t>Yes</t>
        </is>
      </c>
      <c r="Y1603" s="20" t="n">
        <v>190</v>
      </c>
      <c r="Z1603" s="19" t="n">
        <v>0.124</v>
      </c>
      <c r="AA1603" s="18" t="n"/>
      <c r="AB1603" s="16" t="n"/>
      <c r="AC1603" s="16" t="inlineStr">
        <is>
          <t>No</t>
        </is>
      </c>
      <c r="AD1603" s="19" t="n"/>
      <c r="AE1603" s="19" t="n"/>
      <c r="AF1603" s="19" t="n"/>
      <c r="AG1603" s="19" t="n"/>
      <c r="AH1603" s="23" t="n"/>
      <c r="AI1603" s="23" t="n"/>
      <c r="AJ1603" s="19" t="n"/>
    </row>
    <row r="1604">
      <c r="A1604" s="16" t="inlineStr">
        <is>
          <t>HEALTHX</t>
        </is>
      </c>
      <c r="B1604" s="16" t="inlineStr">
        <is>
          <t>Health X Platform Ltd.</t>
        </is>
      </c>
      <c r="C1604" s="16" t="inlineStr">
        <is>
          <t>Healthcare Services</t>
        </is>
      </c>
      <c r="D1604" s="16" t="inlineStr">
        <is>
          <t>Healthcare</t>
        </is>
      </c>
      <c r="E1604" s="16" t="inlineStr">
        <is>
          <t>INE019J01013</t>
        </is>
      </c>
      <c r="F1604" s="17" t="n">
        <v>955.27</v>
      </c>
      <c r="G1604" s="18" t="n">
        <v>300.3</v>
      </c>
      <c r="H1604" s="19" t="n">
        <v>0.0282</v>
      </c>
      <c r="I1604" s="20" t="n">
        <v>47</v>
      </c>
      <c r="J1604" s="16" t="inlineStr">
        <is>
          <t>red</t>
        </is>
      </c>
      <c r="K1604" s="20" t="n">
        <v>26</v>
      </c>
      <c r="L1604" s="18" t="n">
        <v>55.72</v>
      </c>
      <c r="M1604" s="18" t="n">
        <v>297.22</v>
      </c>
      <c r="N1604" s="18" t="n">
        <v>309</v>
      </c>
      <c r="O1604" s="18" t="n">
        <v>298.73</v>
      </c>
      <c r="P1604" s="18" t="n">
        <v>337.6</v>
      </c>
      <c r="Q1604" s="18" t="n">
        <v>256.95</v>
      </c>
      <c r="R1604" s="21">
        <f>IF(OR(G1604="",P1604=""),"",G1604/P1604-1)</f>
        <v/>
      </c>
      <c r="S1604" s="19" t="n">
        <v>2.5279</v>
      </c>
      <c r="T1604" s="22" t="n">
        <v>0.0001</v>
      </c>
      <c r="U1604" s="16" t="inlineStr">
        <is>
          <t>Yes</t>
        </is>
      </c>
      <c r="V1604" s="16" t="inlineStr">
        <is>
          <t>No</t>
        </is>
      </c>
      <c r="W1604" s="16" t="inlineStr">
        <is>
          <t>Yes</t>
        </is>
      </c>
      <c r="X1604" s="16" t="inlineStr">
        <is>
          <t>Yes</t>
        </is>
      </c>
      <c r="Y1604" s="20" t="n">
        <v>46</v>
      </c>
      <c r="Z1604" s="19" t="n">
        <v>0.0344</v>
      </c>
      <c r="AA1604" s="18" t="n">
        <v>34.01</v>
      </c>
      <c r="AB1604" s="16" t="inlineStr">
        <is>
          <t>Poor</t>
        </is>
      </c>
      <c r="AC1604" s="16" t="inlineStr">
        <is>
          <t>No</t>
        </is>
      </c>
      <c r="AD1604" s="19" t="n">
        <v>-0.0409</v>
      </c>
      <c r="AE1604" s="19" t="n">
        <v>-0.1094</v>
      </c>
      <c r="AF1604" s="19" t="n">
        <v>-3.0498</v>
      </c>
      <c r="AG1604" s="19" t="n">
        <v>0.1033</v>
      </c>
      <c r="AH1604" s="23" t="n">
        <v>0.04</v>
      </c>
      <c r="AI1604" s="23" t="n">
        <v>16.48</v>
      </c>
      <c r="AJ1604" s="19" t="n">
        <v>0.0151</v>
      </c>
    </row>
    <row r="1605">
      <c r="A1605" s="16" t="inlineStr">
        <is>
          <t>ARIHANT</t>
        </is>
      </c>
      <c r="B1605" s="16" t="inlineStr">
        <is>
          <t>Arihant Foundations &amp; Housing Ltd.</t>
        </is>
      </c>
      <c r="C1605" s="16" t="inlineStr">
        <is>
          <t>Realty</t>
        </is>
      </c>
      <c r="D1605" s="16" t="inlineStr">
        <is>
          <t>Realty</t>
        </is>
      </c>
      <c r="E1605" s="16" t="inlineStr">
        <is>
          <t>INE413D01011</t>
        </is>
      </c>
      <c r="F1605" s="17" t="n">
        <v>954.6</v>
      </c>
      <c r="G1605" s="18" t="n">
        <v>957.9</v>
      </c>
      <c r="H1605" s="19" t="n">
        <v>0.0385</v>
      </c>
      <c r="I1605" s="20" t="n">
        <v>34</v>
      </c>
      <c r="J1605" s="16" t="inlineStr">
        <is>
          <t>red</t>
        </is>
      </c>
      <c r="K1605" s="20" t="n">
        <v>17</v>
      </c>
      <c r="L1605" s="18" t="n">
        <v>35.95</v>
      </c>
      <c r="M1605" s="18" t="n">
        <v>940.95</v>
      </c>
      <c r="N1605" s="18" t="n">
        <v>965.2</v>
      </c>
      <c r="O1605" s="18" t="n">
        <v>1010.51</v>
      </c>
      <c r="P1605" s="18" t="n">
        <v>1242.55</v>
      </c>
      <c r="Q1605" s="18" t="n">
        <v>745.9</v>
      </c>
      <c r="R1605" s="21">
        <f>IF(OR(G1605="",P1605=""),"",G1605/P1605-1)</f>
        <v/>
      </c>
      <c r="S1605" s="19" t="n">
        <v>0.1582</v>
      </c>
      <c r="T1605" s="22" t="n">
        <v>-0.006500000000000001</v>
      </c>
      <c r="U1605" s="16" t="inlineStr">
        <is>
          <t>No</t>
        </is>
      </c>
      <c r="V1605" s="16" t="inlineStr">
        <is>
          <t>No</t>
        </is>
      </c>
      <c r="W1605" s="16" t="inlineStr">
        <is>
          <t>Yes</t>
        </is>
      </c>
      <c r="X1605" s="16" t="inlineStr">
        <is>
          <t>No</t>
        </is>
      </c>
      <c r="Y1605" s="20" t="n">
        <v>142</v>
      </c>
      <c r="Z1605" s="19" t="n">
        <v>-0.04480000000000001</v>
      </c>
      <c r="AA1605" s="18" t="n"/>
      <c r="AB1605" s="16" t="n"/>
      <c r="AC1605" s="16" t="inlineStr">
        <is>
          <t>No</t>
        </is>
      </c>
      <c r="AD1605" s="19" t="n"/>
      <c r="AE1605" s="19" t="n"/>
      <c r="AF1605" s="19" t="n"/>
      <c r="AG1605" s="19" t="n"/>
      <c r="AH1605" s="23" t="n"/>
      <c r="AI1605" s="23" t="n"/>
      <c r="AJ1605" s="19" t="n"/>
    </row>
    <row r="1606">
      <c r="A1606" s="16" t="inlineStr">
        <is>
          <t>FEDDERSHOL</t>
        </is>
      </c>
      <c r="B1606" s="16" t="inlineStr">
        <is>
          <t>Fedders Holding Ltd.</t>
        </is>
      </c>
      <c r="C1606" s="16" t="inlineStr">
        <is>
          <t>Finance (including NBFCs)</t>
        </is>
      </c>
      <c r="D1606" s="16" t="inlineStr">
        <is>
          <t>Banking and Finance</t>
        </is>
      </c>
      <c r="E1606" s="16" t="inlineStr">
        <is>
          <t>INE417D01020</t>
        </is>
      </c>
      <c r="F1606" s="17" t="n">
        <v>952.09</v>
      </c>
      <c r="G1606" s="18" t="n">
        <v>47.27</v>
      </c>
      <c r="H1606" s="19" t="n">
        <v>0.0276</v>
      </c>
      <c r="I1606" s="20" t="n">
        <v>60</v>
      </c>
      <c r="J1606" s="16" t="inlineStr">
        <is>
          <t>amber</t>
        </is>
      </c>
      <c r="K1606" s="20" t="n">
        <v>1</v>
      </c>
      <c r="L1606" s="18" t="n">
        <v>86.08</v>
      </c>
      <c r="M1606" s="18" t="n">
        <v>44.88</v>
      </c>
      <c r="N1606" s="18" t="n">
        <v>43.17</v>
      </c>
      <c r="O1606" s="18" t="n">
        <v>42.94</v>
      </c>
      <c r="P1606" s="18" t="n">
        <v>61.79</v>
      </c>
      <c r="Q1606" s="18" t="n">
        <v>31.51</v>
      </c>
      <c r="R1606" s="21">
        <f>IF(OR(G1606="",P1606=""),"",G1606/P1606-1)</f>
        <v/>
      </c>
      <c r="S1606" s="19" t="n">
        <v>0.861</v>
      </c>
      <c r="T1606" s="22" t="n">
        <v>-0.0208</v>
      </c>
      <c r="U1606" s="16" t="inlineStr">
        <is>
          <t>No</t>
        </is>
      </c>
      <c r="V1606" s="16" t="inlineStr">
        <is>
          <t>Yes</t>
        </is>
      </c>
      <c r="W1606" s="16" t="inlineStr">
        <is>
          <t>Yes</t>
        </is>
      </c>
      <c r="X1606" s="16" t="inlineStr">
        <is>
          <t>Yes</t>
        </is>
      </c>
      <c r="Y1606" s="20" t="n">
        <v>3</v>
      </c>
      <c r="Z1606" s="19" t="n">
        <v>0.0053</v>
      </c>
      <c r="AA1606" s="18" t="n"/>
      <c r="AB1606" s="16" t="n"/>
      <c r="AC1606" s="16" t="inlineStr">
        <is>
          <t>No</t>
        </is>
      </c>
      <c r="AD1606" s="19" t="n"/>
      <c r="AE1606" s="19" t="n"/>
      <c r="AF1606" s="19" t="n"/>
      <c r="AG1606" s="19" t="n"/>
      <c r="AH1606" s="23" t="n"/>
      <c r="AI1606" s="23" t="n"/>
      <c r="AJ1606" s="19" t="n"/>
    </row>
    <row r="1607">
      <c r="A1607" s="16" t="inlineStr">
        <is>
          <t>AMNPLST</t>
        </is>
      </c>
      <c r="B1607" s="16" t="inlineStr">
        <is>
          <t>Amines &amp; Plasticizers Ltd.</t>
        </is>
      </c>
      <c r="C1607" s="16" t="inlineStr">
        <is>
          <t>Commodity Chemicals</t>
        </is>
      </c>
      <c r="D1607" s="16" t="inlineStr">
        <is>
          <t>Chemicals &amp; Petrochemicals</t>
        </is>
      </c>
      <c r="E1607" s="16" t="inlineStr">
        <is>
          <t>INE275D01022</t>
        </is>
      </c>
      <c r="F1607" s="17" t="n">
        <v>951.24</v>
      </c>
      <c r="G1607" s="18" t="n">
        <v>172.89</v>
      </c>
      <c r="H1607" s="19" t="n">
        <v>-0.0181</v>
      </c>
      <c r="I1607" s="20" t="n">
        <v>24</v>
      </c>
      <c r="J1607" s="16" t="inlineStr">
        <is>
          <t>red</t>
        </is>
      </c>
      <c r="K1607" s="20" t="n">
        <v>39</v>
      </c>
      <c r="L1607" s="18" t="n">
        <v>31.95</v>
      </c>
      <c r="M1607" s="18" t="n">
        <v>181.5</v>
      </c>
      <c r="N1607" s="18" t="n">
        <v>192.8</v>
      </c>
      <c r="O1607" s="18" t="n">
        <v>180.98</v>
      </c>
      <c r="P1607" s="18" t="n">
        <v>230.57</v>
      </c>
      <c r="Q1607" s="18" t="n">
        <v>128.83</v>
      </c>
      <c r="R1607" s="21">
        <f>IF(OR(G1607="",P1607=""),"",G1607/P1607-1)</f>
        <v/>
      </c>
      <c r="S1607" s="19" t="n">
        <v>0.5583</v>
      </c>
      <c r="T1607" s="22" t="n">
        <v>-0.0132</v>
      </c>
      <c r="U1607" s="16" t="inlineStr">
        <is>
          <t>No</t>
        </is>
      </c>
      <c r="V1607" s="16" t="inlineStr">
        <is>
          <t>No</t>
        </is>
      </c>
      <c r="W1607" s="16" t="inlineStr">
        <is>
          <t>No</t>
        </is>
      </c>
      <c r="X1607" s="16" t="inlineStr">
        <is>
          <t>Yes</t>
        </is>
      </c>
      <c r="Y1607" s="20" t="n">
        <v>48</v>
      </c>
      <c r="Z1607" s="19" t="n">
        <v>0.0653</v>
      </c>
      <c r="AA1607" s="18" t="n">
        <v>57.01</v>
      </c>
      <c r="AB1607" s="16" t="inlineStr">
        <is>
          <t>Good</t>
        </is>
      </c>
      <c r="AC1607" s="16" t="inlineStr">
        <is>
          <t>No</t>
        </is>
      </c>
      <c r="AD1607" s="19" t="n">
        <v>0.1548</v>
      </c>
      <c r="AE1607" s="19" t="n">
        <v>0.1943</v>
      </c>
      <c r="AF1607" s="19" t="n">
        <v>0.2202</v>
      </c>
      <c r="AG1607" s="19" t="n">
        <v>-0.0104</v>
      </c>
      <c r="AH1607" s="23" t="n">
        <v>0.09</v>
      </c>
      <c r="AI1607" s="23" t="n">
        <v>7.53</v>
      </c>
      <c r="AJ1607" s="19" t="n">
        <v>0.0012</v>
      </c>
    </row>
    <row r="1608">
      <c r="A1608" s="16" t="inlineStr">
        <is>
          <t>CONTROLPR</t>
        </is>
      </c>
      <c r="B1608" s="16" t="inlineStr">
        <is>
          <t>Control Print Ltd.</t>
        </is>
      </c>
      <c r="C1608" s="16" t="inlineStr">
        <is>
          <t>Computer Hardware</t>
        </is>
      </c>
      <c r="D1608" s="16" t="inlineStr">
        <is>
          <t>Hardware Technology &amp; Equipment</t>
        </is>
      </c>
      <c r="E1608" s="16" t="inlineStr">
        <is>
          <t>INE663B01015</t>
        </is>
      </c>
      <c r="F1608" s="17" t="n">
        <v>949.02</v>
      </c>
      <c r="G1608" s="18" t="n">
        <v>593.35</v>
      </c>
      <c r="H1608" s="19" t="n">
        <v>-0.0116</v>
      </c>
      <c r="I1608" s="20" t="n">
        <v>21</v>
      </c>
      <c r="J1608" s="16" t="inlineStr">
        <is>
          <t>red</t>
        </is>
      </c>
      <c r="K1608" s="20" t="n">
        <v>150</v>
      </c>
      <c r="L1608" s="18" t="n">
        <v>63.71</v>
      </c>
      <c r="M1608" s="18" t="n">
        <v>599.02</v>
      </c>
      <c r="N1608" s="18" t="n">
        <v>606.84</v>
      </c>
      <c r="O1608" s="18" t="n">
        <v>638.98</v>
      </c>
      <c r="P1608" s="18" t="n">
        <v>815.86</v>
      </c>
      <c r="Q1608" s="18" t="n">
        <v>519.63</v>
      </c>
      <c r="R1608" s="21">
        <f>IF(OR(G1608="",P1608=""),"",G1608/P1608-1)</f>
        <v/>
      </c>
      <c r="S1608" s="19" t="n">
        <v>0.3251</v>
      </c>
      <c r="T1608" s="22" t="n">
        <v>-0.0199</v>
      </c>
      <c r="U1608" s="16" t="inlineStr">
        <is>
          <t>No</t>
        </is>
      </c>
      <c r="V1608" s="16" t="inlineStr">
        <is>
          <t>No</t>
        </is>
      </c>
      <c r="W1608" s="16" t="inlineStr">
        <is>
          <t>No</t>
        </is>
      </c>
      <c r="X1608" s="16" t="inlineStr">
        <is>
          <t>No</t>
        </is>
      </c>
      <c r="Y1608" s="20" t="n">
        <v>170</v>
      </c>
      <c r="Z1608" s="19" t="n">
        <v>-0.0503</v>
      </c>
      <c r="AA1608" s="18" t="n">
        <v>63.41</v>
      </c>
      <c r="AB1608" s="16" t="inlineStr">
        <is>
          <t>Good</t>
        </is>
      </c>
      <c r="AC1608" s="16" t="inlineStr">
        <is>
          <t>No</t>
        </is>
      </c>
      <c r="AD1608" s="19" t="n">
        <v>0.1671</v>
      </c>
      <c r="AE1608" s="19" t="n">
        <v>0.183</v>
      </c>
      <c r="AF1608" s="19" t="n">
        <v>0.1117</v>
      </c>
      <c r="AG1608" s="19" t="n">
        <v>0.1659</v>
      </c>
      <c r="AH1608" s="23" t="n">
        <v>0.02</v>
      </c>
      <c r="AI1608" s="23" t="n">
        <v>3.07</v>
      </c>
      <c r="AJ1608" s="19" t="n">
        <v>0.0267</v>
      </c>
    </row>
    <row r="1609">
      <c r="A1609" s="16" t="inlineStr">
        <is>
          <t>SUDARSHAN</t>
        </is>
      </c>
      <c r="B1609" s="16" t="inlineStr">
        <is>
          <t>Sudarshan Pharma Industries Ltd.</t>
        </is>
      </c>
      <c r="C1609" s="16" t="inlineStr">
        <is>
          <t>Specialty Chemicals</t>
        </is>
      </c>
      <c r="D1609" s="16" t="inlineStr">
        <is>
          <t>Chemicals &amp; Petrochemicals</t>
        </is>
      </c>
      <c r="E1609" s="16" t="inlineStr">
        <is>
          <t>INE00TV01023</t>
        </is>
      </c>
      <c r="F1609" s="17" t="n">
        <v>948.6799999999999</v>
      </c>
      <c r="G1609" s="18" t="n">
        <v>39.42</v>
      </c>
      <c r="H1609" s="19" t="n">
        <v>0.0103</v>
      </c>
      <c r="I1609" s="20" t="n">
        <v>75</v>
      </c>
      <c r="J1609" s="16" t="inlineStr">
        <is>
          <t>amber</t>
        </is>
      </c>
      <c r="K1609" s="20" t="n">
        <v>6</v>
      </c>
      <c r="L1609" s="18" t="n">
        <v>70.76000000000001</v>
      </c>
      <c r="M1609" s="18" t="n">
        <v>39.39</v>
      </c>
      <c r="N1609" s="18" t="n">
        <v>38.48</v>
      </c>
      <c r="O1609" s="18" t="n">
        <v>30.43</v>
      </c>
      <c r="P1609" s="18" t="n">
        <v>42.31</v>
      </c>
      <c r="Q1609" s="18" t="n">
        <v>19.23</v>
      </c>
      <c r="R1609" s="21">
        <f>IF(OR(G1609="",P1609=""),"",G1609/P1609-1)</f>
        <v/>
      </c>
      <c r="S1609" s="19" t="n">
        <v>1.6411</v>
      </c>
      <c r="T1609" s="22" t="n">
        <v>0.0384</v>
      </c>
      <c r="U1609" s="16" t="inlineStr">
        <is>
          <t>Yes</t>
        </is>
      </c>
      <c r="V1609" s="16" t="inlineStr">
        <is>
          <t>Yes</t>
        </is>
      </c>
      <c r="W1609" s="16" t="inlineStr">
        <is>
          <t>Yes</t>
        </is>
      </c>
      <c r="X1609" s="16" t="inlineStr">
        <is>
          <t>Yes</t>
        </is>
      </c>
      <c r="Y1609" s="20" t="n">
        <v>90</v>
      </c>
      <c r="Z1609" s="19" t="n">
        <v>0.2644</v>
      </c>
      <c r="AA1609" s="18" t="n"/>
      <c r="AB1609" s="16" t="n"/>
      <c r="AC1609" s="16" t="inlineStr">
        <is>
          <t>No</t>
        </is>
      </c>
      <c r="AD1609" s="19" t="n"/>
      <c r="AE1609" s="19" t="n"/>
      <c r="AF1609" s="19" t="n"/>
      <c r="AG1609" s="19" t="n"/>
      <c r="AH1609" s="23" t="n"/>
      <c r="AI1609" s="23" t="n"/>
      <c r="AJ1609" s="19" t="n"/>
    </row>
    <row r="1610">
      <c r="A1610" s="16" t="inlineStr">
        <is>
          <t>ZUARI</t>
        </is>
      </c>
      <c r="B1610" s="16" t="inlineStr">
        <is>
          <t>Zuari Agro Chemicals Ltd.</t>
        </is>
      </c>
      <c r="C1610" s="16" t="inlineStr">
        <is>
          <t>Fertilizers</t>
        </is>
      </c>
      <c r="D1610" s="16" t="inlineStr">
        <is>
          <t>Fertilizers</t>
        </is>
      </c>
      <c r="E1610" s="16" t="inlineStr">
        <is>
          <t>INE840M01016</t>
        </is>
      </c>
      <c r="F1610" s="17" t="n">
        <v>948.66</v>
      </c>
      <c r="G1610" s="18" t="n">
        <v>225.56</v>
      </c>
      <c r="H1610" s="19" t="n">
        <v>0.0023</v>
      </c>
      <c r="I1610" s="20" t="n">
        <v>30</v>
      </c>
      <c r="J1610" s="16" t="inlineStr">
        <is>
          <t>red</t>
        </is>
      </c>
      <c r="K1610" s="20" t="n">
        <v>94</v>
      </c>
      <c r="L1610" s="18" t="n">
        <v>52.99</v>
      </c>
      <c r="M1610" s="18" t="n">
        <v>230.28</v>
      </c>
      <c r="N1610" s="18" t="n">
        <v>229.41</v>
      </c>
      <c r="O1610" s="18" t="n">
        <v>243.33</v>
      </c>
      <c r="P1610" s="18" t="n">
        <v>337.35</v>
      </c>
      <c r="Q1610" s="18" t="n">
        <v>181.17</v>
      </c>
      <c r="R1610" s="21">
        <f>IF(OR(G1610="",P1610=""),"",G1610/P1610-1)</f>
        <v/>
      </c>
      <c r="S1610" s="19" t="n">
        <v>0.4584</v>
      </c>
      <c r="T1610" s="22" t="n">
        <v>-0.016</v>
      </c>
      <c r="U1610" s="16" t="inlineStr">
        <is>
          <t>No</t>
        </is>
      </c>
      <c r="V1610" s="16" t="inlineStr">
        <is>
          <t>No</t>
        </is>
      </c>
      <c r="W1610" s="16" t="inlineStr">
        <is>
          <t>No</t>
        </is>
      </c>
      <c r="X1610" s="16" t="inlineStr">
        <is>
          <t>No</t>
        </is>
      </c>
      <c r="Y1610" s="20" t="n">
        <v>126</v>
      </c>
      <c r="Z1610" s="19" t="n">
        <v>-0.0572</v>
      </c>
      <c r="AA1610" s="18" t="n">
        <v>62.39</v>
      </c>
      <c r="AB1610" s="16" t="inlineStr">
        <is>
          <t>Good</t>
        </is>
      </c>
      <c r="AC1610" s="16" t="inlineStr">
        <is>
          <t>No</t>
        </is>
      </c>
      <c r="AD1610" s="19" t="n">
        <v>0.196</v>
      </c>
      <c r="AE1610" s="19" t="n">
        <v>0.2624</v>
      </c>
      <c r="AF1610" s="19" t="n">
        <v>1.4809</v>
      </c>
      <c r="AG1610" s="19" t="n">
        <v>-0.1012</v>
      </c>
      <c r="AH1610" s="23" t="n">
        <v>0.31</v>
      </c>
      <c r="AI1610" s="23" t="n">
        <v>23.87</v>
      </c>
      <c r="AJ1610" s="19" t="n">
        <v>0</v>
      </c>
    </row>
    <row r="1611">
      <c r="A1611" s="16" t="inlineStr">
        <is>
          <t>SWARAJ</t>
        </is>
      </c>
      <c r="B1611" s="16" t="inlineStr">
        <is>
          <t>Swaraj Suiting Ltd.</t>
        </is>
      </c>
      <c r="C1611" s="16" t="inlineStr">
        <is>
          <t>Textiles</t>
        </is>
      </c>
      <c r="D1611" s="16" t="inlineStr">
        <is>
          <t>Textiles Apparels &amp; Accessories</t>
        </is>
      </c>
      <c r="E1611" s="16" t="inlineStr">
        <is>
          <t>INE0GMR01016</t>
        </is>
      </c>
      <c r="F1611" s="17" t="n">
        <v>944.0599999999999</v>
      </c>
      <c r="G1611" s="18" t="n">
        <v>357.35</v>
      </c>
      <c r="H1611" s="19" t="n">
        <v>0.008</v>
      </c>
      <c r="I1611" s="20" t="n">
        <v>87</v>
      </c>
      <c r="J1611" s="16" t="inlineStr">
        <is>
          <t>green</t>
        </is>
      </c>
      <c r="K1611" s="20" t="n">
        <v>45</v>
      </c>
      <c r="L1611" s="18" t="n">
        <v>40.08</v>
      </c>
      <c r="M1611" s="18" t="n">
        <v>362.48</v>
      </c>
      <c r="N1611" s="18" t="n">
        <v>352.44</v>
      </c>
      <c r="O1611" s="18" t="n">
        <v>288.7</v>
      </c>
      <c r="P1611" s="18" t="n">
        <v>377.1</v>
      </c>
      <c r="Q1611" s="18" t="n">
        <v>162.2</v>
      </c>
      <c r="R1611" s="21">
        <f>IF(OR(G1611="",P1611=""),"",G1611/P1611-1)</f>
        <v/>
      </c>
      <c r="S1611" s="19" t="n">
        <v>0.3144</v>
      </c>
      <c r="T1611" s="22" t="n">
        <v>0.0576</v>
      </c>
      <c r="U1611" s="16" t="inlineStr">
        <is>
          <t>Yes</t>
        </is>
      </c>
      <c r="V1611" s="16" t="inlineStr">
        <is>
          <t>Yes</t>
        </is>
      </c>
      <c r="W1611" s="16" t="inlineStr">
        <is>
          <t>No</t>
        </is>
      </c>
      <c r="X1611" s="16" t="inlineStr">
        <is>
          <t>Yes</t>
        </is>
      </c>
      <c r="Y1611" s="20" t="n">
        <v>199</v>
      </c>
      <c r="Z1611" s="19" t="n">
        <v>0.2208</v>
      </c>
      <c r="AA1611" s="18" t="n"/>
      <c r="AB1611" s="16" t="n"/>
      <c r="AC1611" s="16" t="inlineStr">
        <is>
          <t>No</t>
        </is>
      </c>
      <c r="AD1611" s="19" t="n"/>
      <c r="AE1611" s="19" t="n"/>
      <c r="AF1611" s="19" t="n"/>
      <c r="AG1611" s="19" t="n"/>
      <c r="AH1611" s="23" t="n"/>
      <c r="AI1611" s="23" t="n"/>
      <c r="AJ1611" s="19" t="n"/>
    </row>
    <row r="1612">
      <c r="A1612" s="16" t="inlineStr">
        <is>
          <t>IIRM</t>
        </is>
      </c>
      <c r="B1612" s="16" t="inlineStr">
        <is>
          <t>IIRM Holdings India Ltd.</t>
        </is>
      </c>
      <c r="C1612" s="16" t="inlineStr">
        <is>
          <t>Commodity Trading  &amp; Distribution</t>
        </is>
      </c>
      <c r="D1612" s="16" t="inlineStr">
        <is>
          <t>Commercial Services &amp; Supplies</t>
        </is>
      </c>
      <c r="E1612" s="16" t="inlineStr">
        <is>
          <t>INE670C01026</t>
        </is>
      </c>
      <c r="F1612" s="17" t="n">
        <v>943.8</v>
      </c>
      <c r="G1612" s="18" t="n">
        <v>138.5</v>
      </c>
      <c r="H1612" s="19" t="n">
        <v>0.0473</v>
      </c>
      <c r="I1612" s="20" t="n">
        <v>87</v>
      </c>
      <c r="J1612" s="16" t="inlineStr">
        <is>
          <t>green</t>
        </is>
      </c>
      <c r="K1612" s="20" t="n">
        <v>82</v>
      </c>
      <c r="L1612" s="18" t="n">
        <v>66</v>
      </c>
      <c r="M1612" s="18" t="n">
        <v>131.43</v>
      </c>
      <c r="N1612" s="18" t="n">
        <v>132.32</v>
      </c>
      <c r="O1612" s="18" t="n">
        <v>101.78</v>
      </c>
      <c r="P1612" s="18" t="n">
        <v>145</v>
      </c>
      <c r="Q1612" s="18" t="n">
        <v>70</v>
      </c>
      <c r="R1612" s="21">
        <f>IF(OR(G1612="",P1612=""),"",G1612/P1612-1)</f>
        <v/>
      </c>
      <c r="S1612" s="19" t="n">
        <v>4.0335</v>
      </c>
      <c r="T1612" s="22" t="n">
        <v>0.0574</v>
      </c>
      <c r="U1612" s="16" t="inlineStr">
        <is>
          <t>Yes</t>
        </is>
      </c>
      <c r="V1612" s="16" t="inlineStr">
        <is>
          <t>Yes</t>
        </is>
      </c>
      <c r="W1612" s="16" t="inlineStr">
        <is>
          <t>Yes</t>
        </is>
      </c>
      <c r="X1612" s="16" t="inlineStr">
        <is>
          <t>Yes</t>
        </is>
      </c>
      <c r="Y1612" s="20" t="n">
        <v>148</v>
      </c>
      <c r="Z1612" s="19" t="n">
        <v>0.3</v>
      </c>
      <c r="AA1612" s="18" t="n"/>
      <c r="AB1612" s="16" t="n"/>
      <c r="AC1612" s="16" t="inlineStr">
        <is>
          <t>No</t>
        </is>
      </c>
      <c r="AD1612" s="19" t="n"/>
      <c r="AE1612" s="19" t="n"/>
      <c r="AF1612" s="19" t="n"/>
      <c r="AG1612" s="19" t="n"/>
      <c r="AH1612" s="23" t="n"/>
      <c r="AI1612" s="23" t="n"/>
      <c r="AJ1612" s="19" t="n"/>
    </row>
    <row r="1613">
      <c r="A1613" s="16" t="inlineStr">
        <is>
          <t>SGIL</t>
        </is>
      </c>
      <c r="B1613" s="16" t="inlineStr">
        <is>
          <t>Synergy Green Industries Ltd.</t>
        </is>
      </c>
      <c r="C1613" s="16" t="inlineStr">
        <is>
          <t>Other Industrial Products</t>
        </is>
      </c>
      <c r="D1613" s="16" t="inlineStr">
        <is>
          <t>General Industrials</t>
        </is>
      </c>
      <c r="E1613" s="16" t="inlineStr">
        <is>
          <t>INE00QT01015</t>
        </is>
      </c>
      <c r="F1613" s="17" t="n">
        <v>942.22</v>
      </c>
      <c r="G1613" s="18" t="n">
        <v>606.2</v>
      </c>
      <c r="H1613" s="19" t="n">
        <v>0.004</v>
      </c>
      <c r="I1613" s="20" t="n">
        <v>58</v>
      </c>
      <c r="J1613" s="16" t="inlineStr">
        <is>
          <t>red</t>
        </is>
      </c>
      <c r="K1613" s="20" t="n">
        <v>19</v>
      </c>
      <c r="L1613" s="18" t="n">
        <v>80.92</v>
      </c>
      <c r="M1613" s="18" t="n">
        <v>599.76</v>
      </c>
      <c r="N1613" s="18" t="n">
        <v>587.8200000000001</v>
      </c>
      <c r="O1613" s="18" t="n">
        <v>543.9400000000001</v>
      </c>
      <c r="P1613" s="18" t="n">
        <v>617.9</v>
      </c>
      <c r="Q1613" s="18" t="n">
        <v>458.65</v>
      </c>
      <c r="R1613" s="21">
        <f>IF(OR(G1613="",P1613=""),"",G1613/P1613-1)</f>
        <v/>
      </c>
      <c r="S1613" s="19" t="n">
        <v>0.3662</v>
      </c>
      <c r="T1613" s="22" t="n">
        <v>0.008</v>
      </c>
      <c r="U1613" s="16" t="inlineStr">
        <is>
          <t>Yes</t>
        </is>
      </c>
      <c r="V1613" s="16" t="inlineStr">
        <is>
          <t>Yes</t>
        </is>
      </c>
      <c r="W1613" s="16" t="inlineStr">
        <is>
          <t>Yes</t>
        </is>
      </c>
      <c r="X1613" s="16" t="inlineStr">
        <is>
          <t>Yes</t>
        </is>
      </c>
      <c r="Y1613" s="20" t="n">
        <v>66</v>
      </c>
      <c r="Z1613" s="19" t="n">
        <v>0.08070000000000001</v>
      </c>
      <c r="AA1613" s="18" t="n">
        <v>27.83</v>
      </c>
      <c r="AB1613" s="16" t="inlineStr">
        <is>
          <t>Poor</t>
        </is>
      </c>
      <c r="AC1613" s="16" t="inlineStr">
        <is>
          <t>No</t>
        </is>
      </c>
      <c r="AD1613" s="19" t="n">
        <v>0.1488</v>
      </c>
      <c r="AE1613" s="19" t="n">
        <v>0.1526</v>
      </c>
      <c r="AF1613" s="19" t="n">
        <v>3.8498</v>
      </c>
      <c r="AG1613" s="19" t="n">
        <v>0.08119999999999999</v>
      </c>
      <c r="AH1613" s="23" t="n">
        <v>2.16</v>
      </c>
      <c r="AI1613" s="23" t="n">
        <v>1.22</v>
      </c>
      <c r="AJ1613" s="19" t="n">
        <v>0.1613</v>
      </c>
    </row>
    <row r="1614">
      <c r="A1614" s="16" t="inlineStr">
        <is>
          <t>MUKKA</t>
        </is>
      </c>
      <c r="B1614" s="16" t="inlineStr">
        <is>
          <t>Mukka Proteins Ltd.</t>
        </is>
      </c>
      <c r="C1614" s="16" t="inlineStr">
        <is>
          <t>Other Food &amp; Beverages</t>
        </is>
      </c>
      <c r="D1614" s="16" t="inlineStr">
        <is>
          <t>Food, Beverages &amp; Tobacco</t>
        </is>
      </c>
      <c r="E1614" s="16" t="inlineStr">
        <is>
          <t>INE0CG401037</t>
        </is>
      </c>
      <c r="F1614" s="17" t="n">
        <v>940.2</v>
      </c>
      <c r="G1614" s="18" t="n">
        <v>31.34</v>
      </c>
      <c r="H1614" s="19" t="n">
        <v>0.09119999999999999</v>
      </c>
      <c r="I1614" s="20" t="n">
        <v>78</v>
      </c>
      <c r="J1614" s="16" t="inlineStr">
        <is>
          <t>amber</t>
        </is>
      </c>
      <c r="K1614" s="20" t="n">
        <v>4</v>
      </c>
      <c r="L1614" s="18" t="n">
        <v>69.34</v>
      </c>
      <c r="M1614" s="18" t="n">
        <v>26.81</v>
      </c>
      <c r="N1614" s="18" t="n">
        <v>24.44</v>
      </c>
      <c r="O1614" s="18" t="n">
        <v>23.6</v>
      </c>
      <c r="P1614" s="18" t="n">
        <v>31.34</v>
      </c>
      <c r="Q1614" s="18" t="n">
        <v>18.49</v>
      </c>
      <c r="R1614" s="21">
        <f>IF(OR(G1614="",P1614=""),"",G1614/P1614-1)</f>
        <v/>
      </c>
      <c r="S1614" s="19" t="n">
        <v>7.1071</v>
      </c>
      <c r="T1614" s="22" t="n">
        <v>0.005</v>
      </c>
      <c r="U1614" s="16" t="inlineStr">
        <is>
          <t>Yes</t>
        </is>
      </c>
      <c r="V1614" s="16" t="inlineStr">
        <is>
          <t>Yes</t>
        </is>
      </c>
      <c r="W1614" s="16" t="inlineStr">
        <is>
          <t>Yes</t>
        </is>
      </c>
      <c r="X1614" s="16" t="inlineStr">
        <is>
          <t>Yes</t>
        </is>
      </c>
      <c r="Y1614" s="20" t="n">
        <v>16</v>
      </c>
      <c r="Z1614" s="19" t="n">
        <v>0.0356</v>
      </c>
      <c r="AA1614" s="18" t="n">
        <v>44.51</v>
      </c>
      <c r="AB1614" s="16" t="inlineStr">
        <is>
          <t>Average</t>
        </is>
      </c>
      <c r="AC1614" s="16" t="inlineStr">
        <is>
          <t>No</t>
        </is>
      </c>
      <c r="AD1614" s="19" t="n">
        <v>0.1289</v>
      </c>
      <c r="AE1614" s="19" t="n">
        <v>0.1165</v>
      </c>
      <c r="AF1614" s="19" t="n">
        <v>0.2438</v>
      </c>
      <c r="AG1614" s="19" t="n">
        <v>0.1077</v>
      </c>
      <c r="AH1614" s="23" t="n">
        <v>1.56</v>
      </c>
      <c r="AI1614" s="23" t="n">
        <v>6.72</v>
      </c>
      <c r="AJ1614" s="19" t="n">
        <v>0.146</v>
      </c>
    </row>
    <row r="1615">
      <c r="A1615" s="16" t="inlineStr">
        <is>
          <t>AMBIKCO</t>
        </is>
      </c>
      <c r="B1615" s="16" t="inlineStr">
        <is>
          <t>Ambika Cotton Mills Ltd.</t>
        </is>
      </c>
      <c r="C1615" s="16" t="inlineStr">
        <is>
          <t>Textiles</t>
        </is>
      </c>
      <c r="D1615" s="16" t="inlineStr">
        <is>
          <t>Textiles Apparels &amp; Accessories</t>
        </is>
      </c>
      <c r="E1615" s="16" t="inlineStr">
        <is>
          <t>INE540G01014</t>
        </is>
      </c>
      <c r="F1615" s="17" t="n">
        <v>938.38</v>
      </c>
      <c r="G1615" s="18" t="n">
        <v>1639.1</v>
      </c>
      <c r="H1615" s="19" t="n">
        <v>0.0027</v>
      </c>
      <c r="I1615" s="20" t="n">
        <v>59</v>
      </c>
      <c r="J1615" s="16" t="inlineStr">
        <is>
          <t>red</t>
        </is>
      </c>
      <c r="K1615" s="20" t="n">
        <v>1</v>
      </c>
      <c r="L1615" s="18" t="n">
        <v>57.12</v>
      </c>
      <c r="M1615" s="18" t="n">
        <v>1635.25</v>
      </c>
      <c r="N1615" s="18" t="n">
        <v>1696.33</v>
      </c>
      <c r="O1615" s="18" t="n">
        <v>1466.08</v>
      </c>
      <c r="P1615" s="18" t="n">
        <v>1904.3</v>
      </c>
      <c r="Q1615" s="18" t="n">
        <v>1125.3</v>
      </c>
      <c r="R1615" s="21">
        <f>IF(OR(G1615="",P1615=""),"",G1615/P1615-1)</f>
        <v/>
      </c>
      <c r="S1615" s="19" t="n">
        <v>0.2707</v>
      </c>
      <c r="T1615" s="22" t="n">
        <v>0.0202</v>
      </c>
      <c r="U1615" s="16" t="inlineStr">
        <is>
          <t>Yes</t>
        </is>
      </c>
      <c r="V1615" s="16" t="inlineStr">
        <is>
          <t>No</t>
        </is>
      </c>
      <c r="W1615" s="16" t="inlineStr">
        <is>
          <t>Yes</t>
        </is>
      </c>
      <c r="X1615" s="16" t="inlineStr">
        <is>
          <t>Yes</t>
        </is>
      </c>
      <c r="Y1615" s="20" t="n">
        <v>89</v>
      </c>
      <c r="Z1615" s="19" t="n">
        <v>0.1571</v>
      </c>
      <c r="AA1615" s="18" t="n">
        <v>38.69</v>
      </c>
      <c r="AB1615" s="16" t="inlineStr">
        <is>
          <t>Weak</t>
        </is>
      </c>
      <c r="AC1615" s="16" t="inlineStr">
        <is>
          <t>No</t>
        </is>
      </c>
      <c r="AD1615" s="19" t="n">
        <v>0.0737</v>
      </c>
      <c r="AE1615" s="19" t="n">
        <v>0.1125</v>
      </c>
      <c r="AF1615" s="19" t="n">
        <v>-0.4644</v>
      </c>
      <c r="AG1615" s="19" t="n">
        <v>-0.0103</v>
      </c>
      <c r="AH1615" s="23" t="n">
        <v>0</v>
      </c>
      <c r="AI1615" s="23" t="n">
        <v>2.69</v>
      </c>
      <c r="AJ1615" s="19" t="n">
        <v>0.0165</v>
      </c>
    </row>
    <row r="1616">
      <c r="A1616" s="16" t="inlineStr">
        <is>
          <t>SHAHFOOD</t>
        </is>
      </c>
      <c r="B1616" s="16" t="inlineStr">
        <is>
          <t>Shah Foods Ltd.</t>
        </is>
      </c>
      <c r="C1616" s="16" t="inlineStr">
        <is>
          <t>Packaged Foods</t>
        </is>
      </c>
      <c r="D1616" s="16" t="inlineStr">
        <is>
          <t>FMCG</t>
        </is>
      </c>
      <c r="E1616" s="16" t="inlineStr">
        <is>
          <t>INE455D01012</t>
        </is>
      </c>
      <c r="F1616" s="17" t="n">
        <v>936.91</v>
      </c>
      <c r="G1616" s="18" t="n">
        <v>401.85</v>
      </c>
      <c r="H1616" s="19" t="n">
        <v>-0.0499</v>
      </c>
      <c r="I1616" s="20" t="n">
        <v>98</v>
      </c>
      <c r="J1616" s="16" t="inlineStr">
        <is>
          <t>green</t>
        </is>
      </c>
      <c r="K1616" s="20" t="n">
        <v>53</v>
      </c>
      <c r="L1616" s="18" t="n">
        <v>69.78</v>
      </c>
      <c r="M1616" s="18" t="n">
        <v>405.45</v>
      </c>
      <c r="N1616" s="18" t="n">
        <v>356.26</v>
      </c>
      <c r="O1616" s="18" t="n">
        <v>208.64</v>
      </c>
      <c r="P1616" s="18" t="n">
        <v>422.95</v>
      </c>
      <c r="Q1616" s="18" t="n">
        <v>102.6</v>
      </c>
      <c r="R1616" s="21">
        <f>IF(OR(G1616="",P1616=""),"",G1616/P1616-1)</f>
        <v/>
      </c>
      <c r="S1616" s="19" t="n">
        <v>3.2337</v>
      </c>
      <c r="T1616" s="22" t="n">
        <v>0.1434</v>
      </c>
      <c r="U1616" s="16" t="inlineStr">
        <is>
          <t>Yes</t>
        </is>
      </c>
      <c r="V1616" s="16" t="inlineStr">
        <is>
          <t>Yes</t>
        </is>
      </c>
      <c r="W1616" s="16" t="inlineStr">
        <is>
          <t>No</t>
        </is>
      </c>
      <c r="X1616" s="16" t="inlineStr">
        <is>
          <t>Yes</t>
        </is>
      </c>
      <c r="Y1616" s="20" t="n">
        <v>172</v>
      </c>
      <c r="Z1616" s="19" t="n">
        <v>0.7075</v>
      </c>
      <c r="AA1616" s="18" t="n"/>
      <c r="AB1616" s="16" t="n"/>
      <c r="AC1616" s="16" t="inlineStr">
        <is>
          <t>No</t>
        </is>
      </c>
      <c r="AD1616" s="19" t="n"/>
      <c r="AE1616" s="19" t="n"/>
      <c r="AF1616" s="19" t="n"/>
      <c r="AG1616" s="19" t="n"/>
      <c r="AH1616" s="23" t="n"/>
      <c r="AI1616" s="23" t="n"/>
      <c r="AJ1616" s="19" t="n"/>
    </row>
    <row r="1617">
      <c r="A1617" s="16" t="inlineStr">
        <is>
          <t>VIKRAMTH</t>
        </is>
      </c>
      <c r="B1617" s="16" t="inlineStr">
        <is>
          <t>Vikram Thermo (India) Ltd.</t>
        </is>
      </c>
      <c r="C1617" s="16" t="inlineStr">
        <is>
          <t>Pharmaceuticals</t>
        </is>
      </c>
      <c r="D1617" s="16" t="inlineStr">
        <is>
          <t>Pharmaceuticals &amp; Biotechnology</t>
        </is>
      </c>
      <c r="E1617" s="16" t="inlineStr">
        <is>
          <t>INE337E01010</t>
        </is>
      </c>
      <c r="F1617" s="17" t="n">
        <v>934.46</v>
      </c>
      <c r="G1617" s="18" t="n">
        <v>298</v>
      </c>
      <c r="H1617" s="19" t="n">
        <v>-0.0142</v>
      </c>
      <c r="I1617" s="20" t="n">
        <v>92</v>
      </c>
      <c r="J1617" s="16" t="inlineStr">
        <is>
          <t>green</t>
        </is>
      </c>
      <c r="K1617" s="20" t="n">
        <v>59</v>
      </c>
      <c r="L1617" s="18" t="n">
        <v>63.98</v>
      </c>
      <c r="M1617" s="18" t="n">
        <v>299.16</v>
      </c>
      <c r="N1617" s="18" t="n">
        <v>259.78</v>
      </c>
      <c r="O1617" s="18" t="n">
        <v>188.23</v>
      </c>
      <c r="P1617" s="18" t="n">
        <v>306.3</v>
      </c>
      <c r="Q1617" s="18" t="n">
        <v>136.1</v>
      </c>
      <c r="R1617" s="21">
        <f>IF(OR(G1617="",P1617=""),"",G1617/P1617-1)</f>
        <v/>
      </c>
      <c r="S1617" s="19" t="n">
        <v>0.5157</v>
      </c>
      <c r="T1617" s="22" t="n">
        <v>0.06480000000000001</v>
      </c>
      <c r="U1617" s="16" t="inlineStr">
        <is>
          <t>Yes</t>
        </is>
      </c>
      <c r="V1617" s="16" t="inlineStr">
        <is>
          <t>Yes</t>
        </is>
      </c>
      <c r="W1617" s="16" t="inlineStr">
        <is>
          <t>No</t>
        </is>
      </c>
      <c r="X1617" s="16" t="inlineStr">
        <is>
          <t>Yes</t>
        </is>
      </c>
      <c r="Y1617" s="20" t="n">
        <v>61</v>
      </c>
      <c r="Z1617" s="19" t="n">
        <v>0.3801</v>
      </c>
      <c r="AA1617" s="18" t="n"/>
      <c r="AB1617" s="16" t="n"/>
      <c r="AC1617" s="16" t="inlineStr">
        <is>
          <t>No</t>
        </is>
      </c>
      <c r="AD1617" s="19" t="n"/>
      <c r="AE1617" s="19" t="n"/>
      <c r="AF1617" s="19" t="n"/>
      <c r="AG1617" s="19" t="n"/>
      <c r="AH1617" s="23" t="n"/>
      <c r="AI1617" s="23" t="n"/>
      <c r="AJ1617" s="19" t="n"/>
    </row>
    <row r="1618">
      <c r="A1618" s="16" t="inlineStr">
        <is>
          <t>CONSOFINVT</t>
        </is>
      </c>
      <c r="B1618" s="16" t="inlineStr">
        <is>
          <t>Consolidated Finvest &amp; Holdings Ltd.</t>
        </is>
      </c>
      <c r="C1618" s="16" t="inlineStr">
        <is>
          <t>Finance (including NBFCs)</t>
        </is>
      </c>
      <c r="D1618" s="16" t="inlineStr">
        <is>
          <t>Banking and Finance</t>
        </is>
      </c>
      <c r="E1618" s="16" t="inlineStr">
        <is>
          <t>INE025A01027</t>
        </is>
      </c>
      <c r="F1618" s="17" t="n">
        <v>931.97</v>
      </c>
      <c r="G1618" s="18" t="n">
        <v>288.3</v>
      </c>
      <c r="H1618" s="19" t="n">
        <v>0.0499</v>
      </c>
      <c r="I1618" s="20" t="n">
        <v>81</v>
      </c>
      <c r="J1618" s="16" t="inlineStr">
        <is>
          <t>green</t>
        </is>
      </c>
      <c r="K1618" s="20" t="n">
        <v>1</v>
      </c>
      <c r="L1618" s="18" t="n">
        <v>62.59</v>
      </c>
      <c r="M1618" s="18" t="n">
        <v>271.29</v>
      </c>
      <c r="N1618" s="18" t="n">
        <v>271.62</v>
      </c>
      <c r="O1618" s="18" t="n">
        <v>221.56</v>
      </c>
      <c r="P1618" s="18" t="n">
        <v>312.05</v>
      </c>
      <c r="Q1618" s="18" t="n">
        <v>152.79</v>
      </c>
      <c r="R1618" s="21">
        <f>IF(OR(G1618="",P1618=""),"",G1618/P1618-1)</f>
        <v/>
      </c>
      <c r="S1618" s="19" t="n">
        <v>2.4925</v>
      </c>
      <c r="T1618" s="22" t="n">
        <v>0.0438</v>
      </c>
      <c r="U1618" s="16" t="inlineStr">
        <is>
          <t>Yes</t>
        </is>
      </c>
      <c r="V1618" s="16" t="inlineStr">
        <is>
          <t>Yes</t>
        </is>
      </c>
      <c r="W1618" s="16" t="inlineStr">
        <is>
          <t>Yes</t>
        </is>
      </c>
      <c r="X1618" s="16" t="inlineStr">
        <is>
          <t>Yes</t>
        </is>
      </c>
      <c r="Y1618" s="20" t="n">
        <v>130</v>
      </c>
      <c r="Z1618" s="19" t="n">
        <v>0.2259</v>
      </c>
      <c r="AA1618" s="18" t="n">
        <v>76.92</v>
      </c>
      <c r="AB1618" s="16" t="inlineStr">
        <is>
          <t>High</t>
        </is>
      </c>
      <c r="AC1618" s="16" t="inlineStr">
        <is>
          <t>Yes</t>
        </is>
      </c>
      <c r="AD1618" s="19" t="n">
        <v>0.1946</v>
      </c>
      <c r="AE1618" s="19" t="n">
        <v>0.2282</v>
      </c>
      <c r="AF1618" s="19" t="n">
        <v>0.2395</v>
      </c>
      <c r="AG1618" s="19" t="n">
        <v>2.5358</v>
      </c>
      <c r="AH1618" s="23" t="n">
        <v>0</v>
      </c>
      <c r="AI1618" s="23" t="n">
        <v>19.27</v>
      </c>
      <c r="AJ1618" s="19" t="n">
        <v>0</v>
      </c>
    </row>
    <row r="1619">
      <c r="A1619" s="16" t="inlineStr">
        <is>
          <t>ASTAR</t>
        </is>
      </c>
      <c r="B1619" s="16" t="inlineStr">
        <is>
          <t>Asian Star Company Ltd.</t>
        </is>
      </c>
      <c r="C1619" s="16" t="inlineStr">
        <is>
          <t>Gems &amp; Jewellery</t>
        </is>
      </c>
      <c r="D1619" s="16" t="inlineStr">
        <is>
          <t>Textiles Apparels &amp; Accessories</t>
        </is>
      </c>
      <c r="E1619" s="16" t="inlineStr">
        <is>
          <t>INE194D01017</t>
        </is>
      </c>
      <c r="F1619" s="17" t="n">
        <v>928.39</v>
      </c>
      <c r="G1619" s="18" t="n">
        <v>580</v>
      </c>
      <c r="H1619" s="19" t="n">
        <v>0</v>
      </c>
      <c r="I1619" s="20" t="n">
        <v>18</v>
      </c>
      <c r="J1619" s="16" t="inlineStr">
        <is>
          <t>red</t>
        </is>
      </c>
      <c r="K1619" s="20" t="n">
        <v>81</v>
      </c>
      <c r="L1619" s="18" t="n">
        <v>40.35</v>
      </c>
      <c r="M1619" s="18" t="n">
        <v>593.37</v>
      </c>
      <c r="N1619" s="18" t="n">
        <v>602.16</v>
      </c>
      <c r="O1619" s="18" t="n">
        <v>628.2</v>
      </c>
      <c r="P1619" s="18" t="n">
        <v>749.9</v>
      </c>
      <c r="Q1619" s="18" t="n">
        <v>571.2</v>
      </c>
      <c r="R1619" s="21">
        <f>IF(OR(G1619="",P1619=""),"",G1619/P1619-1)</f>
        <v/>
      </c>
      <c r="S1619" s="19" t="n">
        <v>0</v>
      </c>
      <c r="T1619" s="22" t="n">
        <v>-0.019</v>
      </c>
      <c r="U1619" s="16" t="inlineStr">
        <is>
          <t>No</t>
        </is>
      </c>
      <c r="V1619" s="16" t="inlineStr">
        <is>
          <t>No</t>
        </is>
      </c>
      <c r="W1619" s="16" t="inlineStr">
        <is>
          <t>No</t>
        </is>
      </c>
      <c r="X1619" s="16" t="inlineStr">
        <is>
          <t>No</t>
        </is>
      </c>
      <c r="Y1619" s="20" t="n">
        <v>421</v>
      </c>
      <c r="Z1619" s="19" t="n">
        <v>-0.0414</v>
      </c>
      <c r="AA1619" s="18" t="n"/>
      <c r="AB1619" s="16" t="n"/>
      <c r="AC1619" s="16" t="inlineStr">
        <is>
          <t>No</t>
        </is>
      </c>
      <c r="AD1619" s="19" t="n"/>
      <c r="AE1619" s="19" t="n"/>
      <c r="AF1619" s="19" t="n"/>
      <c r="AG1619" s="19" t="n"/>
      <c r="AH1619" s="23" t="n"/>
      <c r="AI1619" s="23" t="n"/>
      <c r="AJ1619" s="19" t="n"/>
    </row>
    <row r="1620">
      <c r="A1620" s="16" t="inlineStr">
        <is>
          <t>RAJOOENG</t>
        </is>
      </c>
      <c r="B1620" s="16" t="inlineStr">
        <is>
          <t>Rajoo Engineers Ltd.</t>
        </is>
      </c>
      <c r="C1620" s="16" t="inlineStr">
        <is>
          <t>Industrial Machinery</t>
        </is>
      </c>
      <c r="D1620" s="16" t="inlineStr">
        <is>
          <t>General Industrials</t>
        </is>
      </c>
      <c r="E1620" s="16" t="inlineStr">
        <is>
          <t>INE535F01024</t>
        </is>
      </c>
      <c r="F1620" s="17" t="n">
        <v>921.79</v>
      </c>
      <c r="G1620" s="18" t="n">
        <v>51.59</v>
      </c>
      <c r="H1620" s="19" t="n">
        <v>0.0499</v>
      </c>
      <c r="I1620" s="20" t="n">
        <v>8</v>
      </c>
      <c r="J1620" s="16" t="inlineStr">
        <is>
          <t>red</t>
        </is>
      </c>
      <c r="K1620" s="20" t="n">
        <v>257</v>
      </c>
      <c r="L1620" s="18" t="n">
        <v>57.75</v>
      </c>
      <c r="M1620" s="18" t="n">
        <v>49.39</v>
      </c>
      <c r="N1620" s="18" t="n">
        <v>51.17</v>
      </c>
      <c r="O1620" s="18" t="n">
        <v>59.27</v>
      </c>
      <c r="P1620" s="18" t="n">
        <v>99.43000000000001</v>
      </c>
      <c r="Q1620" s="18" t="n">
        <v>46.68</v>
      </c>
      <c r="R1620" s="21">
        <f>IF(OR(G1620="",P1620=""),"",G1620/P1620-1)</f>
        <v/>
      </c>
      <c r="S1620" s="19" t="n">
        <v>2.697</v>
      </c>
      <c r="T1620" s="22" t="n">
        <v>-0.0561</v>
      </c>
      <c r="U1620" s="16" t="inlineStr">
        <is>
          <t>No</t>
        </is>
      </c>
      <c r="V1620" s="16" t="inlineStr">
        <is>
          <t>Yes</t>
        </is>
      </c>
      <c r="W1620" s="16" t="inlineStr">
        <is>
          <t>Yes</t>
        </is>
      </c>
      <c r="X1620" s="16" t="inlineStr">
        <is>
          <t>No</t>
        </is>
      </c>
      <c r="Y1620" s="20" t="n">
        <v>121</v>
      </c>
      <c r="Z1620" s="19" t="n">
        <v>-0.1365</v>
      </c>
      <c r="AA1620" s="18" t="n">
        <v>74.88</v>
      </c>
      <c r="AB1620" s="16" t="inlineStr">
        <is>
          <t>High</t>
        </is>
      </c>
      <c r="AC1620" s="16" t="inlineStr">
        <is>
          <t>No</t>
        </is>
      </c>
      <c r="AD1620" s="19" t="n">
        <v>0.1792</v>
      </c>
      <c r="AE1620" s="19" t="n">
        <v>0.234</v>
      </c>
      <c r="AF1620" s="19" t="n">
        <v>0.6074000000000001</v>
      </c>
      <c r="AG1620" s="19" t="n">
        <v>0.299</v>
      </c>
      <c r="AH1620" s="23" t="n">
        <v>0.07000000000000001</v>
      </c>
      <c r="AI1620" s="23" t="n">
        <v>3.23</v>
      </c>
      <c r="AJ1620" s="19" t="n">
        <v>0.1185</v>
      </c>
    </row>
    <row r="1621">
      <c r="A1621" s="16" t="inlineStr">
        <is>
          <t>AMAL</t>
        </is>
      </c>
      <c r="B1621" s="16" t="inlineStr">
        <is>
          <t>Amal Ltd.</t>
        </is>
      </c>
      <c r="C1621" s="16" t="inlineStr">
        <is>
          <t>Specialty Chemicals</t>
        </is>
      </c>
      <c r="D1621" s="16" t="inlineStr">
        <is>
          <t>Chemicals &amp; Petrochemicals</t>
        </is>
      </c>
      <c r="E1621" s="16" t="inlineStr">
        <is>
          <t>INE841D01013</t>
        </is>
      </c>
      <c r="F1621" s="17" t="n">
        <v>921.76</v>
      </c>
      <c r="G1621" s="18" t="n">
        <v>745.6</v>
      </c>
      <c r="H1621" s="19" t="n">
        <v>-0.006999999999999999</v>
      </c>
      <c r="I1621" s="20" t="n">
        <v>70</v>
      </c>
      <c r="J1621" s="16" t="inlineStr">
        <is>
          <t>amber</t>
        </is>
      </c>
      <c r="K1621" s="20" t="n">
        <v>33</v>
      </c>
      <c r="L1621" s="18" t="n">
        <v>46.14</v>
      </c>
      <c r="M1621" s="18" t="n">
        <v>749.23</v>
      </c>
      <c r="N1621" s="18" t="n">
        <v>713.14</v>
      </c>
      <c r="O1621" s="18" t="n">
        <v>607.4</v>
      </c>
      <c r="P1621" s="18" t="n">
        <v>980.23</v>
      </c>
      <c r="Q1621" s="18" t="n">
        <v>412.32</v>
      </c>
      <c r="R1621" s="21">
        <f>IF(OR(G1621="",P1621=""),"",G1621/P1621-1)</f>
        <v/>
      </c>
      <c r="S1621" s="19" t="n">
        <v>0.4764</v>
      </c>
      <c r="T1621" s="22" t="n">
        <v>0.0067</v>
      </c>
      <c r="U1621" s="16" t="inlineStr">
        <is>
          <t>Yes</t>
        </is>
      </c>
      <c r="V1621" s="16" t="inlineStr">
        <is>
          <t>Yes</t>
        </is>
      </c>
      <c r="W1621" s="16" t="inlineStr">
        <is>
          <t>No</t>
        </is>
      </c>
      <c r="X1621" s="16" t="inlineStr">
        <is>
          <t>Yes</t>
        </is>
      </c>
      <c r="Y1621" s="20" t="n">
        <v>26</v>
      </c>
      <c r="Z1621" s="19" t="n">
        <v>0.1741</v>
      </c>
      <c r="AA1621" s="18" t="n"/>
      <c r="AB1621" s="16" t="n"/>
      <c r="AC1621" s="16" t="inlineStr">
        <is>
          <t>No</t>
        </is>
      </c>
      <c r="AD1621" s="19" t="n"/>
      <c r="AE1621" s="19" t="n"/>
      <c r="AF1621" s="19" t="n"/>
      <c r="AG1621" s="19" t="n"/>
      <c r="AH1621" s="23" t="n"/>
      <c r="AI1621" s="23" t="n"/>
      <c r="AJ1621" s="19" t="n"/>
    </row>
    <row r="1622">
      <c r="A1622" s="16" t="inlineStr">
        <is>
          <t>SVLL</t>
        </is>
      </c>
      <c r="B1622" s="16" t="inlineStr">
        <is>
          <t>Shree Vasu Logistics Ltd.</t>
        </is>
      </c>
      <c r="C1622" s="16" t="inlineStr">
        <is>
          <t>Warehousing &amp; Logistics</t>
        </is>
      </c>
      <c r="D1622" s="16" t="inlineStr">
        <is>
          <t>Transportation</t>
        </is>
      </c>
      <c r="E1622" s="16" t="inlineStr">
        <is>
          <t>INE00CE01017</t>
        </is>
      </c>
      <c r="F1622" s="17" t="n">
        <v>918.63</v>
      </c>
      <c r="G1622" s="18" t="n">
        <v>799.25</v>
      </c>
      <c r="H1622" s="19" t="n">
        <v>-0.008399999999999999</v>
      </c>
      <c r="I1622" s="20" t="n">
        <v>62</v>
      </c>
      <c r="J1622" s="16" t="inlineStr">
        <is>
          <t>amber</t>
        </is>
      </c>
      <c r="K1622" s="20" t="n">
        <v>1</v>
      </c>
      <c r="L1622" s="18" t="n">
        <v>71.84</v>
      </c>
      <c r="M1622" s="18" t="n">
        <v>799.12</v>
      </c>
      <c r="N1622" s="18" t="n">
        <v>746.15</v>
      </c>
      <c r="O1622" s="18" t="n">
        <v>657.75</v>
      </c>
      <c r="P1622" s="18" t="n">
        <v>849.15</v>
      </c>
      <c r="Q1622" s="18" t="n">
        <v>479.9</v>
      </c>
      <c r="R1622" s="21">
        <f>IF(OR(G1622="",P1622=""),"",G1622/P1622-1)</f>
        <v/>
      </c>
      <c r="S1622" s="19" t="n">
        <v>0.3165</v>
      </c>
      <c r="T1622" s="22" t="n">
        <v>0.0004</v>
      </c>
      <c r="U1622" s="16" t="inlineStr">
        <is>
          <t>Yes</t>
        </is>
      </c>
      <c r="V1622" s="16" t="inlineStr">
        <is>
          <t>Yes</t>
        </is>
      </c>
      <c r="W1622" s="16" t="inlineStr">
        <is>
          <t>Yes</t>
        </is>
      </c>
      <c r="X1622" s="16" t="inlineStr">
        <is>
          <t>Yes</t>
        </is>
      </c>
      <c r="Y1622" s="20" t="n">
        <v>36</v>
      </c>
      <c r="Z1622" s="19" t="n">
        <v>0.1344</v>
      </c>
      <c r="AA1622" s="18" t="n">
        <v>11.94</v>
      </c>
      <c r="AB1622" s="16" t="inlineStr">
        <is>
          <t>Poor</t>
        </is>
      </c>
      <c r="AC1622" s="16" t="inlineStr">
        <is>
          <t>No</t>
        </is>
      </c>
      <c r="AD1622" s="19" t="n">
        <v>0.078</v>
      </c>
      <c r="AE1622" s="19" t="n">
        <v>0.09420000000000001</v>
      </c>
      <c r="AF1622" s="19" t="n">
        <v>0.1118</v>
      </c>
      <c r="AG1622" s="19" t="n">
        <v>0.2058</v>
      </c>
      <c r="AH1622" s="23" t="n">
        <v>3.91</v>
      </c>
      <c r="AI1622" s="23" t="n">
        <v>1.22</v>
      </c>
      <c r="AJ1622" s="19" t="n">
        <v>0.0352</v>
      </c>
    </row>
    <row r="1623">
      <c r="A1623" s="16" t="inlineStr">
        <is>
          <t>KRYSTAL</t>
        </is>
      </c>
      <c r="B1623" s="16" t="inlineStr">
        <is>
          <t>Krystal Integrated Services Ltd.</t>
        </is>
      </c>
      <c r="C1623" s="16" t="inlineStr">
        <is>
          <t>Misc. Commercial Services</t>
        </is>
      </c>
      <c r="D1623" s="16" t="inlineStr">
        <is>
          <t>Commercial Services &amp; Supplies</t>
        </is>
      </c>
      <c r="E1623" s="16" t="inlineStr">
        <is>
          <t>INE0QN801017</t>
        </is>
      </c>
      <c r="F1623" s="17" t="n">
        <v>914.61</v>
      </c>
      <c r="G1623" s="18" t="n">
        <v>654.6</v>
      </c>
      <c r="H1623" s="19" t="n">
        <v>-0.0111</v>
      </c>
      <c r="I1623" s="20" t="n">
        <v>54</v>
      </c>
      <c r="J1623" s="16" t="inlineStr">
        <is>
          <t>red</t>
        </is>
      </c>
      <c r="K1623" s="20" t="n">
        <v>10</v>
      </c>
      <c r="L1623" s="18" t="n">
        <v>57.38</v>
      </c>
      <c r="M1623" s="18" t="n">
        <v>650.5599999999999</v>
      </c>
      <c r="N1623" s="18" t="n">
        <v>615.78</v>
      </c>
      <c r="O1623" s="18" t="n">
        <v>584.7</v>
      </c>
      <c r="P1623" s="18" t="n">
        <v>697.15</v>
      </c>
      <c r="Q1623" s="18" t="n">
        <v>505.1</v>
      </c>
      <c r="R1623" s="21">
        <f>IF(OR(G1623="",P1623=""),"",G1623/P1623-1)</f>
        <v/>
      </c>
      <c r="S1623" s="19" t="n">
        <v>0.1599</v>
      </c>
      <c r="T1623" s="22" t="n">
        <v>0.0103</v>
      </c>
      <c r="U1623" s="16" t="inlineStr">
        <is>
          <t>Yes</t>
        </is>
      </c>
      <c r="V1623" s="16" t="inlineStr">
        <is>
          <t>Yes</t>
        </is>
      </c>
      <c r="W1623" s="16" t="inlineStr">
        <is>
          <t>Yes</t>
        </is>
      </c>
      <c r="X1623" s="16" t="inlineStr">
        <is>
          <t>Yes</t>
        </is>
      </c>
      <c r="Y1623" s="20" t="n">
        <v>55</v>
      </c>
      <c r="Z1623" s="19" t="n">
        <v>0.0532</v>
      </c>
      <c r="AA1623" s="18" t="n">
        <v>56.95</v>
      </c>
      <c r="AB1623" s="16" t="inlineStr">
        <is>
          <t>Good</t>
        </is>
      </c>
      <c r="AC1623" s="16" t="inlineStr">
        <is>
          <t>No</t>
        </is>
      </c>
      <c r="AD1623" s="19" t="n">
        <v>0.121</v>
      </c>
      <c r="AE1623" s="19" t="n">
        <v>0.1519</v>
      </c>
      <c r="AF1623" s="19" t="n">
        <v>0.1417</v>
      </c>
      <c r="AG1623" s="19" t="n">
        <v>0.2284</v>
      </c>
      <c r="AH1623" s="23" t="n">
        <v>0.24</v>
      </c>
      <c r="AI1623" s="23" t="n">
        <v>12.14</v>
      </c>
      <c r="AJ1623" s="19" t="n">
        <v>0</v>
      </c>
    </row>
    <row r="1624">
      <c r="A1624" s="16" t="inlineStr">
        <is>
          <t>INDOAMIN</t>
        </is>
      </c>
      <c r="B1624" s="16" t="inlineStr">
        <is>
          <t>Indo Amines Ltd.</t>
        </is>
      </c>
      <c r="C1624" s="16" t="inlineStr">
        <is>
          <t>Commodity Chemicals</t>
        </is>
      </c>
      <c r="D1624" s="16" t="inlineStr">
        <is>
          <t>Chemicals &amp; Petrochemicals</t>
        </is>
      </c>
      <c r="E1624" s="16" t="inlineStr">
        <is>
          <t>INE760F01028</t>
        </is>
      </c>
      <c r="F1624" s="17" t="n">
        <v>914.3099999999999</v>
      </c>
      <c r="G1624" s="18" t="n">
        <v>125.96</v>
      </c>
      <c r="H1624" s="19" t="n">
        <v>0.0135</v>
      </c>
      <c r="I1624" s="20" t="n">
        <v>40</v>
      </c>
      <c r="J1624" s="16" t="inlineStr">
        <is>
          <t>red</t>
        </is>
      </c>
      <c r="K1624" s="20" t="n">
        <v>47</v>
      </c>
      <c r="L1624" s="18" t="n">
        <v>54.58</v>
      </c>
      <c r="M1624" s="18" t="n">
        <v>121.94</v>
      </c>
      <c r="N1624" s="18" t="n">
        <v>126.64</v>
      </c>
      <c r="O1624" s="18" t="n">
        <v>120.13</v>
      </c>
      <c r="P1624" s="18" t="n">
        <v>146.72</v>
      </c>
      <c r="Q1624" s="18" t="n">
        <v>82.12</v>
      </c>
      <c r="R1624" s="21">
        <f>IF(OR(G1624="",P1624=""),"",G1624/P1624-1)</f>
        <v/>
      </c>
      <c r="S1624" s="19" t="n">
        <v>0.9590000000000001</v>
      </c>
      <c r="T1624" s="22" t="n">
        <v>-0.0067</v>
      </c>
      <c r="U1624" s="16" t="inlineStr">
        <is>
          <t>No</t>
        </is>
      </c>
      <c r="V1624" s="16" t="inlineStr">
        <is>
          <t>No</t>
        </is>
      </c>
      <c r="W1624" s="16" t="inlineStr">
        <is>
          <t>Yes</t>
        </is>
      </c>
      <c r="X1624" s="16" t="inlineStr">
        <is>
          <t>Yes</t>
        </is>
      </c>
      <c r="Y1624" s="20" t="n">
        <v>57</v>
      </c>
      <c r="Z1624" s="19" t="n">
        <v>0.0542</v>
      </c>
      <c r="AA1624" s="18" t="n">
        <v>50.69</v>
      </c>
      <c r="AB1624" s="16" t="inlineStr">
        <is>
          <t>Average</t>
        </is>
      </c>
      <c r="AC1624" s="16" t="inlineStr">
        <is>
          <t>No</t>
        </is>
      </c>
      <c r="AD1624" s="19" t="n">
        <v>0.1799</v>
      </c>
      <c r="AE1624" s="19" t="n">
        <v>0.1709</v>
      </c>
      <c r="AF1624" s="19" t="n">
        <v>0.2421</v>
      </c>
      <c r="AG1624" s="19" t="n">
        <v>0.0736</v>
      </c>
      <c r="AH1624" s="23" t="n">
        <v>0.79</v>
      </c>
      <c r="AI1624" s="23" t="n">
        <v>3.38</v>
      </c>
      <c r="AJ1624" s="19" t="n">
        <v>0.09119999999999999</v>
      </c>
    </row>
    <row r="1625">
      <c r="A1625" s="16" t="inlineStr">
        <is>
          <t>DHARMAJ</t>
        </is>
      </c>
      <c r="B1625" s="16" t="inlineStr">
        <is>
          <t>Dharmaj Crop Guard Ltd.</t>
        </is>
      </c>
      <c r="C1625" s="16" t="inlineStr">
        <is>
          <t>Agrochemicals</t>
        </is>
      </c>
      <c r="D1625" s="16" t="inlineStr">
        <is>
          <t>Chemicals &amp; Petrochemicals</t>
        </is>
      </c>
      <c r="E1625" s="16" t="inlineStr">
        <is>
          <t>INE00OQ01016</t>
        </is>
      </c>
      <c r="F1625" s="17" t="n">
        <v>912.7</v>
      </c>
      <c r="G1625" s="18" t="n">
        <v>270.05</v>
      </c>
      <c r="H1625" s="19" t="n">
        <v>0.0037</v>
      </c>
      <c r="I1625" s="20" t="n">
        <v>38</v>
      </c>
      <c r="J1625" s="16" t="inlineStr">
        <is>
          <t>red</t>
        </is>
      </c>
      <c r="K1625" s="20" t="n">
        <v>61</v>
      </c>
      <c r="L1625" s="18" t="n">
        <v>51.4</v>
      </c>
      <c r="M1625" s="18" t="n">
        <v>269.96</v>
      </c>
      <c r="N1625" s="18" t="n">
        <v>265.74</v>
      </c>
      <c r="O1625" s="18" t="n">
        <v>254.6</v>
      </c>
      <c r="P1625" s="18" t="n">
        <v>372.4</v>
      </c>
      <c r="Q1625" s="18" t="n">
        <v>215.8</v>
      </c>
      <c r="R1625" s="21">
        <f>IF(OR(G1625="",P1625=""),"",G1625/P1625-1)</f>
        <v/>
      </c>
      <c r="S1625" s="19" t="n">
        <v>0.3828</v>
      </c>
      <c r="T1625" s="22" t="n">
        <v>0.001</v>
      </c>
      <c r="U1625" s="16" t="inlineStr">
        <is>
          <t>Yes</t>
        </is>
      </c>
      <c r="V1625" s="16" t="inlineStr">
        <is>
          <t>Yes</t>
        </is>
      </c>
      <c r="W1625" s="16" t="inlineStr">
        <is>
          <t>Yes</t>
        </is>
      </c>
      <c r="X1625" s="16" t="inlineStr">
        <is>
          <t>Yes</t>
        </is>
      </c>
      <c r="Y1625" s="20" t="n">
        <v>61</v>
      </c>
      <c r="Z1625" s="19" t="n">
        <v>0.0438</v>
      </c>
      <c r="AA1625" s="18" t="n">
        <v>40</v>
      </c>
      <c r="AB1625" s="16" t="inlineStr">
        <is>
          <t>Weak</t>
        </is>
      </c>
      <c r="AC1625" s="16" t="inlineStr">
        <is>
          <t>No</t>
        </is>
      </c>
      <c r="AD1625" s="19" t="n">
        <v>0.1112</v>
      </c>
      <c r="AE1625" s="19" t="n">
        <v>0.1326</v>
      </c>
      <c r="AF1625" s="19" t="n">
        <v>-0.2901</v>
      </c>
      <c r="AG1625" s="19" t="n">
        <v>0.301</v>
      </c>
      <c r="AH1625" s="23" t="n">
        <v>0.29</v>
      </c>
      <c r="AI1625" s="23" t="n">
        <v>3.6</v>
      </c>
      <c r="AJ1625" s="19" t="n">
        <v>0.0197</v>
      </c>
    </row>
    <row r="1626">
      <c r="A1626" s="16" t="inlineStr">
        <is>
          <t>REGAAL</t>
        </is>
      </c>
      <c r="B1626" s="16" t="inlineStr">
        <is>
          <t>Regaal Resources Ltd.</t>
        </is>
      </c>
      <c r="C1626" s="16" t="inlineStr">
        <is>
          <t>Other Agricultural Products</t>
        </is>
      </c>
      <c r="D1626" s="16" t="inlineStr">
        <is>
          <t>Food, Beverages &amp; Tobacco</t>
        </is>
      </c>
      <c r="E1626" s="16" t="inlineStr">
        <is>
          <t>INE0MHO01029</t>
        </is>
      </c>
      <c r="F1626" s="17" t="n">
        <v>911.6</v>
      </c>
      <c r="G1626" s="18" t="n">
        <v>88.51000000000001</v>
      </c>
      <c r="H1626" s="19" t="n">
        <v>-0.0074</v>
      </c>
      <c r="I1626" s="20" t="n">
        <v>55</v>
      </c>
      <c r="J1626" s="16" t="inlineStr">
        <is>
          <t>red</t>
        </is>
      </c>
      <c r="K1626" s="20" t="n">
        <v>9</v>
      </c>
      <c r="L1626" s="18" t="n">
        <v>46.29</v>
      </c>
      <c r="M1626" s="18" t="n">
        <v>90.69</v>
      </c>
      <c r="N1626" s="18" t="n">
        <v>85.23999999999999</v>
      </c>
      <c r="O1626" s="18" t="n">
        <v>77.22</v>
      </c>
      <c r="P1626" s="18" t="n">
        <v>110.58</v>
      </c>
      <c r="Q1626" s="18" t="n">
        <v>58.68</v>
      </c>
      <c r="R1626" s="21">
        <f>IF(OR(G1626="",P1626=""),"",G1626/P1626-1)</f>
        <v/>
      </c>
      <c r="S1626" s="19" t="n">
        <v>1.5661</v>
      </c>
      <c r="T1626" s="22" t="n">
        <v>0.0014</v>
      </c>
      <c r="U1626" s="16" t="inlineStr">
        <is>
          <t>Yes</t>
        </is>
      </c>
      <c r="V1626" s="16" t="inlineStr">
        <is>
          <t>Yes</t>
        </is>
      </c>
      <c r="W1626" s="16" t="inlineStr">
        <is>
          <t>No</t>
        </is>
      </c>
      <c r="X1626" s="16" t="inlineStr">
        <is>
          <t>Yes</t>
        </is>
      </c>
      <c r="Y1626" s="20" t="n">
        <v>62</v>
      </c>
      <c r="Z1626" s="19" t="n">
        <v>0.1039</v>
      </c>
      <c r="AA1626" s="18" t="n">
        <v>51.02</v>
      </c>
      <c r="AB1626" s="16" t="inlineStr">
        <is>
          <t>Average</t>
        </is>
      </c>
      <c r="AC1626" s="16" t="inlineStr">
        <is>
          <t>No</t>
        </is>
      </c>
      <c r="AD1626" s="19" t="n">
        <v>0.1579</v>
      </c>
      <c r="AE1626" s="19" t="n">
        <v>0.1099</v>
      </c>
      <c r="AF1626" s="19" t="n">
        <v>0.5752</v>
      </c>
      <c r="AG1626" s="19" t="n">
        <v>0.3441</v>
      </c>
      <c r="AH1626" s="23" t="n">
        <v>1.26</v>
      </c>
      <c r="AI1626" s="23" t="n">
        <v>1.36</v>
      </c>
      <c r="AJ1626" s="19" t="n">
        <v>0.5567</v>
      </c>
    </row>
    <row r="1627">
      <c r="A1627" s="16" t="inlineStr">
        <is>
          <t>SRHHYPOLTD</t>
        </is>
      </c>
      <c r="B1627" s="16" t="inlineStr">
        <is>
          <t>Sree Rayalaseema Hi-Strength Hypo Ltd.</t>
        </is>
      </c>
      <c r="C1627" s="16" t="inlineStr">
        <is>
          <t>Commodity Chemicals</t>
        </is>
      </c>
      <c r="D1627" s="16" t="inlineStr">
        <is>
          <t>Chemicals &amp; Petrochemicals</t>
        </is>
      </c>
      <c r="E1627" s="16" t="inlineStr">
        <is>
          <t>INE917H01012</t>
        </is>
      </c>
      <c r="F1627" s="17" t="n">
        <v>911.54</v>
      </c>
      <c r="G1627" s="18" t="n">
        <v>531.05</v>
      </c>
      <c r="H1627" s="19" t="n">
        <v>0.0435</v>
      </c>
      <c r="I1627" s="20" t="n">
        <v>47</v>
      </c>
      <c r="J1627" s="16" t="inlineStr">
        <is>
          <t>red</t>
        </is>
      </c>
      <c r="K1627" s="20" t="n">
        <v>85</v>
      </c>
      <c r="L1627" s="18" t="n">
        <v>65.72</v>
      </c>
      <c r="M1627" s="18" t="n">
        <v>493.48</v>
      </c>
      <c r="N1627" s="18" t="n">
        <v>490.48</v>
      </c>
      <c r="O1627" s="18" t="n">
        <v>487.85</v>
      </c>
      <c r="P1627" s="18" t="n">
        <v>626.59</v>
      </c>
      <c r="Q1627" s="18" t="n">
        <v>384</v>
      </c>
      <c r="R1627" s="21">
        <f>IF(OR(G1627="",P1627=""),"",G1627/P1627-1)</f>
        <v/>
      </c>
      <c r="S1627" s="19" t="n">
        <v>4.0464</v>
      </c>
      <c r="T1627" s="22" t="n">
        <v>-0.0116</v>
      </c>
      <c r="U1627" s="16" t="inlineStr">
        <is>
          <t>No</t>
        </is>
      </c>
      <c r="V1627" s="16" t="inlineStr">
        <is>
          <t>Yes</t>
        </is>
      </c>
      <c r="W1627" s="16" t="inlineStr">
        <is>
          <t>Yes</t>
        </is>
      </c>
      <c r="X1627" s="16" t="inlineStr">
        <is>
          <t>Yes</t>
        </is>
      </c>
      <c r="Y1627" s="20" t="n">
        <v>18</v>
      </c>
      <c r="Z1627" s="19" t="n">
        <v>0.0054</v>
      </c>
      <c r="AA1627" s="18" t="n">
        <v>40</v>
      </c>
      <c r="AB1627" s="16" t="inlineStr">
        <is>
          <t>Weak</t>
        </is>
      </c>
      <c r="AC1627" s="16" t="inlineStr">
        <is>
          <t>No</t>
        </is>
      </c>
      <c r="AD1627" s="19" t="n">
        <v>0.0956</v>
      </c>
      <c r="AE1627" s="19" t="n">
        <v>0.1293</v>
      </c>
      <c r="AF1627" s="19" t="n">
        <v>-0.1111</v>
      </c>
      <c r="AG1627" s="19" t="n">
        <v>-0.2301</v>
      </c>
      <c r="AH1627" s="23" t="n">
        <v>0.01</v>
      </c>
      <c r="AI1627" s="23" t="n">
        <v>7.64</v>
      </c>
      <c r="AJ1627" s="19" t="n">
        <v>0</v>
      </c>
    </row>
    <row r="1628">
      <c r="A1628" s="16" t="inlineStr">
        <is>
          <t>TAC</t>
        </is>
      </c>
      <c r="B1628" s="16" t="inlineStr">
        <is>
          <t>TAC Infosec Ltd.</t>
        </is>
      </c>
      <c r="C1628" s="16" t="inlineStr">
        <is>
          <t>IT Consulting &amp; Software</t>
        </is>
      </c>
      <c r="D1628" s="16" t="inlineStr">
        <is>
          <t>Software &amp; Services</t>
        </is>
      </c>
      <c r="E1628" s="16" t="inlineStr">
        <is>
          <t>INE0SOY01013</t>
        </is>
      </c>
      <c r="F1628" s="17" t="n">
        <v>911.17</v>
      </c>
      <c r="G1628" s="18" t="n">
        <v>433.35</v>
      </c>
      <c r="H1628" s="19" t="n">
        <v>-0.0089</v>
      </c>
      <c r="I1628" s="20" t="n">
        <v>14</v>
      </c>
      <c r="J1628" s="16" t="inlineStr">
        <is>
          <t>red</t>
        </is>
      </c>
      <c r="K1628" s="20" t="n">
        <v>229</v>
      </c>
      <c r="L1628" s="18" t="n">
        <v>47.39</v>
      </c>
      <c r="M1628" s="18" t="n">
        <v>421.94</v>
      </c>
      <c r="N1628" s="18" t="n">
        <v>453.27</v>
      </c>
      <c r="O1628" s="18" t="n">
        <v>536.45</v>
      </c>
      <c r="P1628" s="18" t="n">
        <v>1171.45</v>
      </c>
      <c r="Q1628" s="18" t="n">
        <v>348.4</v>
      </c>
      <c r="R1628" s="21">
        <f>IF(OR(G1628="",P1628=""),"",G1628/P1628-1)</f>
        <v/>
      </c>
      <c r="S1628" s="19" t="n">
        <v>0.55</v>
      </c>
      <c r="T1628" s="22" t="n">
        <v>-0.0633</v>
      </c>
      <c r="U1628" s="16" t="inlineStr">
        <is>
          <t>No</t>
        </is>
      </c>
      <c r="V1628" s="16" t="inlineStr">
        <is>
          <t>No</t>
        </is>
      </c>
      <c r="W1628" s="16" t="inlineStr">
        <is>
          <t>Yes</t>
        </is>
      </c>
      <c r="X1628" s="16" t="inlineStr">
        <is>
          <t>No</t>
        </is>
      </c>
      <c r="Y1628" s="20" t="n">
        <v>279</v>
      </c>
      <c r="Z1628" s="19" t="n">
        <v>-0.1551</v>
      </c>
      <c r="AA1628" s="18" t="n"/>
      <c r="AB1628" s="16" t="n"/>
      <c r="AC1628" s="16" t="inlineStr">
        <is>
          <t>No</t>
        </is>
      </c>
      <c r="AD1628" s="19" t="n"/>
      <c r="AE1628" s="19" t="n"/>
      <c r="AF1628" s="19" t="n"/>
      <c r="AG1628" s="19" t="n"/>
      <c r="AH1628" s="23" t="n"/>
      <c r="AI1628" s="23" t="n"/>
      <c r="AJ1628" s="19" t="n"/>
    </row>
    <row r="1629">
      <c r="A1629" s="16" t="inlineStr">
        <is>
          <t>SALASAR</t>
        </is>
      </c>
      <c r="B1629" s="16" t="inlineStr">
        <is>
          <t>Salasar Techno Engineering Ltd.</t>
        </is>
      </c>
      <c r="C1629" s="16" t="inlineStr">
        <is>
          <t>Construction &amp; Engineering</t>
        </is>
      </c>
      <c r="D1629" s="16" t="inlineStr">
        <is>
          <t>Cement and Construction</t>
        </is>
      </c>
      <c r="E1629" s="16" t="inlineStr">
        <is>
          <t>INE170V01027</t>
        </is>
      </c>
      <c r="F1629" s="17" t="n">
        <v>908.9299999999999</v>
      </c>
      <c r="G1629" s="18" t="n">
        <v>5.2</v>
      </c>
      <c r="H1629" s="19" t="n">
        <v>0.0236</v>
      </c>
      <c r="I1629" s="20" t="n">
        <v>3</v>
      </c>
      <c r="J1629" s="16" t="inlineStr">
        <is>
          <t>red</t>
        </is>
      </c>
      <c r="K1629" s="20" t="n">
        <v>165</v>
      </c>
      <c r="L1629" s="18" t="n">
        <v>17.78</v>
      </c>
      <c r="M1629" s="18" t="n">
        <v>5.68</v>
      </c>
      <c r="N1629" s="18" t="n">
        <v>5.93</v>
      </c>
      <c r="O1629" s="18" t="n">
        <v>7.36</v>
      </c>
      <c r="P1629" s="18" t="n">
        <v>10.79</v>
      </c>
      <c r="Q1629" s="18" t="n">
        <v>5.08</v>
      </c>
      <c r="R1629" s="21">
        <f>IF(OR(G1629="",P1629=""),"",G1629/P1629-1)</f>
        <v/>
      </c>
      <c r="S1629" s="19" t="n">
        <v>4.9528</v>
      </c>
      <c r="T1629" s="22" t="n">
        <v>-0.0534</v>
      </c>
      <c r="U1629" s="16" t="inlineStr">
        <is>
          <t>No</t>
        </is>
      </c>
      <c r="V1629" s="16" t="inlineStr">
        <is>
          <t>No</t>
        </is>
      </c>
      <c r="W1629" s="16" t="inlineStr">
        <is>
          <t>No</t>
        </is>
      </c>
      <c r="X1629" s="16" t="inlineStr">
        <is>
          <t>No</t>
        </is>
      </c>
      <c r="Y1629" s="20" t="n">
        <v>140</v>
      </c>
      <c r="Z1629" s="19" t="n">
        <v>-0.194</v>
      </c>
      <c r="AA1629" s="18" t="n">
        <v>32.36</v>
      </c>
      <c r="AB1629" s="16" t="inlineStr">
        <is>
          <t>Poor</t>
        </is>
      </c>
      <c r="AC1629" s="16" t="inlineStr">
        <is>
          <t>No</t>
        </is>
      </c>
      <c r="AD1629" s="19" t="n">
        <v>0.0541</v>
      </c>
      <c r="AE1629" s="19" t="n">
        <v>0.0992</v>
      </c>
      <c r="AF1629" s="19" t="n">
        <v>-0.4563</v>
      </c>
      <c r="AG1629" s="19" t="n">
        <v>0.1569</v>
      </c>
      <c r="AH1629" s="23" t="n">
        <v>0.51</v>
      </c>
      <c r="AI1629" s="23" t="n">
        <v>3.39</v>
      </c>
      <c r="AJ1629" s="19" t="n">
        <v>0.0176</v>
      </c>
    </row>
    <row r="1630">
      <c r="A1630" s="16" t="inlineStr">
        <is>
          <t>SGRL</t>
        </is>
      </c>
      <c r="B1630" s="16" t="inlineStr">
        <is>
          <t>Shree Ganesh Remedies Ltd.</t>
        </is>
      </c>
      <c r="C1630" s="16" t="inlineStr">
        <is>
          <t>Pharmaceuticals</t>
        </is>
      </c>
      <c r="D1630" s="16" t="inlineStr">
        <is>
          <t>Pharmaceuticals &amp; Biotechnology</t>
        </is>
      </c>
      <c r="E1630" s="16" t="inlineStr">
        <is>
          <t>INE414Y01015</t>
        </is>
      </c>
      <c r="F1630" s="17" t="n">
        <v>907.3</v>
      </c>
      <c r="G1630" s="18" t="n">
        <v>706.75</v>
      </c>
      <c r="H1630" s="19" t="n">
        <v>0.0295</v>
      </c>
      <c r="I1630" s="20" t="n">
        <v>74</v>
      </c>
      <c r="J1630" s="16" t="inlineStr">
        <is>
          <t>amber</t>
        </is>
      </c>
      <c r="K1630" s="20" t="n">
        <v>4</v>
      </c>
      <c r="L1630" s="18" t="n">
        <v>83.08</v>
      </c>
      <c r="M1630" s="18" t="n">
        <v>618.5</v>
      </c>
      <c r="N1630" s="18" t="n">
        <v>619.88</v>
      </c>
      <c r="O1630" s="18" t="n">
        <v>532.67</v>
      </c>
      <c r="P1630" s="18" t="n">
        <v>709.55</v>
      </c>
      <c r="Q1630" s="18" t="n">
        <v>400.4</v>
      </c>
      <c r="R1630" s="21">
        <f>IF(OR(G1630="",P1630=""),"",G1630/P1630-1)</f>
        <v/>
      </c>
      <c r="S1630" s="19" t="n">
        <v>0.5417000000000001</v>
      </c>
      <c r="T1630" s="22" t="n">
        <v>0.0161</v>
      </c>
      <c r="U1630" s="16" t="inlineStr">
        <is>
          <t>Yes</t>
        </is>
      </c>
      <c r="V1630" s="16" t="inlineStr">
        <is>
          <t>Yes</t>
        </is>
      </c>
      <c r="W1630" s="16" t="inlineStr">
        <is>
          <t>Yes</t>
        </is>
      </c>
      <c r="X1630" s="16" t="inlineStr">
        <is>
          <t>Yes</t>
        </is>
      </c>
      <c r="Y1630" s="20" t="n">
        <v>78</v>
      </c>
      <c r="Z1630" s="19" t="n">
        <v>0.1637</v>
      </c>
      <c r="AA1630" s="18" t="n"/>
      <c r="AB1630" s="16" t="n"/>
      <c r="AC1630" s="16" t="inlineStr">
        <is>
          <t>No</t>
        </is>
      </c>
      <c r="AD1630" s="19" t="n"/>
      <c r="AE1630" s="19" t="n"/>
      <c r="AF1630" s="19" t="n"/>
      <c r="AG1630" s="19" t="n"/>
      <c r="AH1630" s="23" t="n"/>
      <c r="AI1630" s="23" t="n"/>
      <c r="AJ1630" s="19" t="n"/>
    </row>
    <row r="1631">
      <c r="A1631" s="16" t="inlineStr">
        <is>
          <t>RMDRIP</t>
        </is>
      </c>
      <c r="B1631" s="16" t="inlineStr">
        <is>
          <t>R M Drip and Sprinklers Systems Ltd.</t>
        </is>
      </c>
      <c r="C1631" s="16" t="inlineStr">
        <is>
          <t>Plastic Products</t>
        </is>
      </c>
      <c r="D1631" s="16" t="inlineStr">
        <is>
          <t>General Industrials</t>
        </is>
      </c>
      <c r="E1631" s="16" t="inlineStr">
        <is>
          <t>INE219Y01026</t>
        </is>
      </c>
      <c r="F1631" s="17" t="n">
        <v>904.85</v>
      </c>
      <c r="G1631" s="18" t="n">
        <v>21.13</v>
      </c>
      <c r="H1631" s="19" t="n">
        <v>0.0062</v>
      </c>
      <c r="I1631" s="20" t="n">
        <v>14</v>
      </c>
      <c r="J1631" s="16" t="inlineStr">
        <is>
          <t>red</t>
        </is>
      </c>
      <c r="K1631" s="20" t="n">
        <v>128</v>
      </c>
      <c r="L1631" s="18" t="n">
        <v>77.17</v>
      </c>
      <c r="M1631" s="18" t="n">
        <v>20.74</v>
      </c>
      <c r="N1631" s="18" t="n">
        <v>19</v>
      </c>
      <c r="O1631" s="18" t="n">
        <v>32.29</v>
      </c>
      <c r="P1631" s="18" t="n">
        <v>71.42</v>
      </c>
      <c r="Q1631" s="18" t="n">
        <v>15.49</v>
      </c>
      <c r="R1631" s="21">
        <f>IF(OR(G1631="",P1631=""),"",G1631/P1631-1)</f>
        <v/>
      </c>
      <c r="S1631" s="19" t="n">
        <v>0.3486</v>
      </c>
      <c r="T1631" s="22" t="n">
        <v>-0.0774</v>
      </c>
      <c r="U1631" s="16" t="inlineStr">
        <is>
          <t>No</t>
        </is>
      </c>
      <c r="V1631" s="16" t="inlineStr">
        <is>
          <t>Yes</t>
        </is>
      </c>
      <c r="W1631" s="16" t="inlineStr">
        <is>
          <t>Yes</t>
        </is>
      </c>
      <c r="X1631" s="16" t="inlineStr">
        <is>
          <t>No</t>
        </is>
      </c>
      <c r="Y1631" s="20" t="n">
        <v>104</v>
      </c>
      <c r="Z1631" s="19" t="n">
        <v>-0.4114</v>
      </c>
      <c r="AA1631" s="18" t="n">
        <v>76.64</v>
      </c>
      <c r="AB1631" s="16" t="inlineStr">
        <is>
          <t>High</t>
        </is>
      </c>
      <c r="AC1631" s="16" t="inlineStr">
        <is>
          <t>No</t>
        </is>
      </c>
      <c r="AD1631" s="19" t="n">
        <v>0.2492</v>
      </c>
      <c r="AE1631" s="19" t="n">
        <v>0.2632</v>
      </c>
      <c r="AF1631" s="19" t="n">
        <v>1.5988</v>
      </c>
      <c r="AG1631" s="19" t="n">
        <v>1.9011</v>
      </c>
      <c r="AH1631" s="23" t="n">
        <v>0.48</v>
      </c>
      <c r="AI1631" s="23" t="n">
        <v>7.83</v>
      </c>
      <c r="AJ1631" s="19" t="n">
        <v>0.1138</v>
      </c>
    </row>
    <row r="1632">
      <c r="A1632" s="16" t="inlineStr">
        <is>
          <t>HIMATSEIDE</t>
        </is>
      </c>
      <c r="B1632" s="16" t="inlineStr">
        <is>
          <t>Himatsingka Seide Ltd.</t>
        </is>
      </c>
      <c r="C1632" s="16" t="inlineStr">
        <is>
          <t>Textiles</t>
        </is>
      </c>
      <c r="D1632" s="16" t="inlineStr">
        <is>
          <t>Textiles Apparels &amp; Accessories</t>
        </is>
      </c>
      <c r="E1632" s="16" t="inlineStr">
        <is>
          <t>INE049A01027</t>
        </is>
      </c>
      <c r="F1632" s="17" t="n">
        <v>899.1799999999999</v>
      </c>
      <c r="G1632" s="18" t="n">
        <v>71.51000000000001</v>
      </c>
      <c r="H1632" s="19" t="n">
        <v>0.0169</v>
      </c>
      <c r="I1632" s="20" t="n">
        <v>6</v>
      </c>
      <c r="J1632" s="16" t="inlineStr">
        <is>
          <t>red</t>
        </is>
      </c>
      <c r="K1632" s="20" t="n">
        <v>314</v>
      </c>
      <c r="L1632" s="18" t="n">
        <v>54.1</v>
      </c>
      <c r="M1632" s="18" t="n">
        <v>70.76000000000001</v>
      </c>
      <c r="N1632" s="18" t="n">
        <v>79.48</v>
      </c>
      <c r="O1632" s="18" t="n">
        <v>92.23</v>
      </c>
      <c r="P1632" s="18" t="n">
        <v>131.64</v>
      </c>
      <c r="Q1632" s="18" t="n">
        <v>69.27</v>
      </c>
      <c r="R1632" s="21">
        <f>IF(OR(G1632="",P1632=""),"",G1632/P1632-1)</f>
        <v/>
      </c>
      <c r="S1632" s="19" t="n">
        <v>0.7776000000000001</v>
      </c>
      <c r="T1632" s="22" t="n">
        <v>-0.05139999999999999</v>
      </c>
      <c r="U1632" s="16" t="inlineStr">
        <is>
          <t>No</t>
        </is>
      </c>
      <c r="V1632" s="16" t="inlineStr">
        <is>
          <t>No</t>
        </is>
      </c>
      <c r="W1632" s="16" t="inlineStr">
        <is>
          <t>Yes</t>
        </is>
      </c>
      <c r="X1632" s="16" t="inlineStr">
        <is>
          <t>No</t>
        </is>
      </c>
      <c r="Y1632" s="20" t="n">
        <v>370</v>
      </c>
      <c r="Z1632" s="19" t="n">
        <v>-0.1382</v>
      </c>
      <c r="AA1632" s="18" t="n">
        <v>40.49</v>
      </c>
      <c r="AB1632" s="16" t="inlineStr">
        <is>
          <t>Average</t>
        </is>
      </c>
      <c r="AC1632" s="16" t="inlineStr">
        <is>
          <t>No</t>
        </is>
      </c>
      <c r="AD1632" s="19" t="n">
        <v>0.0462</v>
      </c>
      <c r="AE1632" s="19" t="n">
        <v>0.08410000000000001</v>
      </c>
      <c r="AF1632" s="19" t="n">
        <v>0.6785</v>
      </c>
      <c r="AG1632" s="19" t="n">
        <v>0.3685</v>
      </c>
      <c r="AH1632" s="23" t="n">
        <v>1.23</v>
      </c>
      <c r="AI1632" s="23" t="n">
        <v>2.49</v>
      </c>
      <c r="AJ1632" s="19" t="n">
        <v>0.009599999999999999</v>
      </c>
    </row>
    <row r="1633">
      <c r="A1633" s="16" t="inlineStr">
        <is>
          <t>TIRUPATIFL</t>
        </is>
      </c>
      <c r="B1633" s="16" t="inlineStr">
        <is>
          <t>Tirupati Forge Ltd.</t>
        </is>
      </c>
      <c r="C1633" s="16" t="inlineStr">
        <is>
          <t>Castings &amp; Forgings</t>
        </is>
      </c>
      <c r="D1633" s="16" t="inlineStr">
        <is>
          <t>General Industrials</t>
        </is>
      </c>
      <c r="E1633" s="16" t="inlineStr">
        <is>
          <t>INE319Y01024</t>
        </is>
      </c>
      <c r="F1633" s="17" t="n">
        <v>897.9299999999999</v>
      </c>
      <c r="G1633" s="18" t="n">
        <v>69.05</v>
      </c>
      <c r="H1633" s="19" t="n">
        <v>0.0092</v>
      </c>
      <c r="I1633" s="20" t="n">
        <v>92</v>
      </c>
      <c r="J1633" s="16" t="inlineStr">
        <is>
          <t>green</t>
        </is>
      </c>
      <c r="K1633" s="20" t="n">
        <v>50</v>
      </c>
      <c r="L1633" s="18" t="n">
        <v>62.8</v>
      </c>
      <c r="M1633" s="18" t="n">
        <v>68.56</v>
      </c>
      <c r="N1633" s="18" t="n">
        <v>69.29000000000001</v>
      </c>
      <c r="O1633" s="18" t="n">
        <v>46.97</v>
      </c>
      <c r="P1633" s="18" t="n">
        <v>81.55</v>
      </c>
      <c r="Q1633" s="18" t="n">
        <v>31.34</v>
      </c>
      <c r="R1633" s="21">
        <f>IF(OR(G1633="",P1633=""),"",G1633/P1633-1)</f>
        <v/>
      </c>
      <c r="S1633" s="19" t="n">
        <v>0.8694</v>
      </c>
      <c r="T1633" s="22" t="n">
        <v>0.0667</v>
      </c>
      <c r="U1633" s="16" t="inlineStr">
        <is>
          <t>Yes</t>
        </is>
      </c>
      <c r="V1633" s="16" t="inlineStr">
        <is>
          <t>No</t>
        </is>
      </c>
      <c r="W1633" s="16" t="inlineStr">
        <is>
          <t>Yes</t>
        </is>
      </c>
      <c r="X1633" s="16" t="inlineStr">
        <is>
          <t>Yes</t>
        </is>
      </c>
      <c r="Y1633" s="20" t="n">
        <v>107</v>
      </c>
      <c r="Z1633" s="19" t="n">
        <v>0.4754</v>
      </c>
      <c r="AA1633" s="18" t="n">
        <v>39.53</v>
      </c>
      <c r="AB1633" s="16" t="inlineStr">
        <is>
          <t>Weak</t>
        </is>
      </c>
      <c r="AC1633" s="16" t="inlineStr">
        <is>
          <t>No</t>
        </is>
      </c>
      <c r="AD1633" s="19" t="n">
        <v>0.08460000000000001</v>
      </c>
      <c r="AE1633" s="19" t="n">
        <v>0.1051</v>
      </c>
      <c r="AF1633" s="19" t="n">
        <v>-1</v>
      </c>
      <c r="AG1633" s="19" t="n">
        <v>0.2541</v>
      </c>
      <c r="AH1633" s="23" t="n">
        <v>0.31</v>
      </c>
      <c r="AI1633" s="23" t="n">
        <v>1.31</v>
      </c>
      <c r="AJ1633" s="19" t="n">
        <v>0.5378000000000001</v>
      </c>
    </row>
    <row r="1634">
      <c r="A1634" s="16" t="inlineStr">
        <is>
          <t>VALIANTORG</t>
        </is>
      </c>
      <c r="B1634" s="16" t="inlineStr">
        <is>
          <t>Valiant Organics Ltd.</t>
        </is>
      </c>
      <c r="C1634" s="16" t="inlineStr">
        <is>
          <t>Agrochemicals</t>
        </is>
      </c>
      <c r="D1634" s="16" t="inlineStr">
        <is>
          <t>Chemicals &amp; Petrochemicals</t>
        </is>
      </c>
      <c r="E1634" s="16" t="inlineStr">
        <is>
          <t>INE565V01010</t>
        </is>
      </c>
      <c r="F1634" s="17" t="n">
        <v>897.8099999999999</v>
      </c>
      <c r="G1634" s="18" t="n">
        <v>320.25</v>
      </c>
      <c r="H1634" s="19" t="n">
        <v>0.013</v>
      </c>
      <c r="I1634" s="20" t="n">
        <v>66</v>
      </c>
      <c r="J1634" s="16" t="inlineStr">
        <is>
          <t>amber</t>
        </is>
      </c>
      <c r="K1634" s="20" t="n">
        <v>2</v>
      </c>
      <c r="L1634" s="18" t="n">
        <v>56.79</v>
      </c>
      <c r="M1634" s="18" t="n">
        <v>301.24</v>
      </c>
      <c r="N1634" s="18" t="n">
        <v>287.15</v>
      </c>
      <c r="O1634" s="18" t="n">
        <v>269</v>
      </c>
      <c r="P1634" s="18" t="n">
        <v>389.7</v>
      </c>
      <c r="Q1634" s="18" t="n">
        <v>197.64</v>
      </c>
      <c r="R1634" s="21">
        <f>IF(OR(G1634="",P1634=""),"",G1634/P1634-1)</f>
        <v/>
      </c>
      <c r="S1634" s="19" t="n">
        <v>1.1134</v>
      </c>
      <c r="T1634" s="22" t="n">
        <v>0.0027</v>
      </c>
      <c r="U1634" s="16" t="inlineStr">
        <is>
          <t>Yes</t>
        </is>
      </c>
      <c r="V1634" s="16" t="inlineStr">
        <is>
          <t>Yes</t>
        </is>
      </c>
      <c r="W1634" s="16" t="inlineStr">
        <is>
          <t>Yes</t>
        </is>
      </c>
      <c r="X1634" s="16" t="inlineStr">
        <is>
          <t>Yes</t>
        </is>
      </c>
      <c r="Y1634" s="20" t="n">
        <v>59</v>
      </c>
      <c r="Z1634" s="19" t="n">
        <v>0.0675</v>
      </c>
      <c r="AA1634" s="18" t="n">
        <v>30.33</v>
      </c>
      <c r="AB1634" s="16" t="inlineStr">
        <is>
          <t>Poor</t>
        </is>
      </c>
      <c r="AC1634" s="16" t="inlineStr">
        <is>
          <t>No</t>
        </is>
      </c>
      <c r="AD1634" s="19" t="n">
        <v>0.009000000000000001</v>
      </c>
      <c r="AE1634" s="19" t="n">
        <v>0.0313</v>
      </c>
      <c r="AF1634" s="19" t="n">
        <v>3.3544</v>
      </c>
      <c r="AG1634" s="19" t="n">
        <v>-0.0969</v>
      </c>
      <c r="AH1634" s="23" t="n">
        <v>0.34</v>
      </c>
      <c r="AI1634" s="23" t="n">
        <v>1.05</v>
      </c>
      <c r="AJ1634" s="19" t="n">
        <v>0.0301</v>
      </c>
    </row>
    <row r="1635">
      <c r="A1635" s="16" t="inlineStr">
        <is>
          <t>WEALTH</t>
        </is>
      </c>
      <c r="B1635" s="16" t="inlineStr">
        <is>
          <t>Wealth First Portfolio Managers Ltd.</t>
        </is>
      </c>
      <c r="C1635" s="16" t="inlineStr">
        <is>
          <t>Other Financial Services</t>
        </is>
      </c>
      <c r="D1635" s="16" t="inlineStr">
        <is>
          <t>Banking and Finance</t>
        </is>
      </c>
      <c r="E1635" s="16" t="inlineStr">
        <is>
          <t>INE658T01017</t>
        </is>
      </c>
      <c r="F1635" s="17" t="n">
        <v>896.83</v>
      </c>
      <c r="G1635" s="18" t="n">
        <v>841.7</v>
      </c>
      <c r="H1635" s="19" t="n">
        <v>-0.0068</v>
      </c>
      <c r="I1635" s="20" t="n">
        <v>12</v>
      </c>
      <c r="J1635" s="16" t="inlineStr">
        <is>
          <t>red</t>
        </is>
      </c>
      <c r="K1635" s="20" t="n">
        <v>113</v>
      </c>
      <c r="L1635" s="18" t="n">
        <v>35.27</v>
      </c>
      <c r="M1635" s="18" t="n">
        <v>851.22</v>
      </c>
      <c r="N1635" s="18" t="n">
        <v>924.14</v>
      </c>
      <c r="O1635" s="18" t="n">
        <v>926.14</v>
      </c>
      <c r="P1635" s="18" t="n">
        <v>1265.43</v>
      </c>
      <c r="Q1635" s="18" t="n">
        <v>796.36</v>
      </c>
      <c r="R1635" s="21">
        <f>IF(OR(G1635="",P1635=""),"",G1635/P1635-1)</f>
        <v/>
      </c>
      <c r="S1635" s="19" t="n">
        <v>0.7038</v>
      </c>
      <c r="T1635" s="22" t="n">
        <v>-0.026</v>
      </c>
      <c r="U1635" s="16" t="inlineStr">
        <is>
          <t>No</t>
        </is>
      </c>
      <c r="V1635" s="16" t="inlineStr">
        <is>
          <t>No</t>
        </is>
      </c>
      <c r="W1635" s="16" t="inlineStr">
        <is>
          <t>No</t>
        </is>
      </c>
      <c r="X1635" s="16" t="inlineStr">
        <is>
          <t>No</t>
        </is>
      </c>
      <c r="Y1635" s="20" t="n">
        <v>2</v>
      </c>
      <c r="Z1635" s="19" t="n">
        <v>-0.0022</v>
      </c>
      <c r="AA1635" s="18" t="n">
        <v>80.34999999999999</v>
      </c>
      <c r="AB1635" s="16" t="inlineStr">
        <is>
          <t>High</t>
        </is>
      </c>
      <c r="AC1635" s="16" t="inlineStr">
        <is>
          <t>Yes</t>
        </is>
      </c>
      <c r="AD1635" s="19" t="n">
        <v>0.2945</v>
      </c>
      <c r="AE1635" s="19" t="n">
        <v>0.3881</v>
      </c>
      <c r="AF1635" s="19" t="n">
        <v>0.2954</v>
      </c>
      <c r="AG1635" s="19" t="n">
        <v>0.1747</v>
      </c>
      <c r="AH1635" s="23" t="n">
        <v>0</v>
      </c>
      <c r="AI1635" s="23" t="n">
        <v>28.26</v>
      </c>
      <c r="AJ1635" s="19" t="n">
        <v>0</v>
      </c>
    </row>
    <row r="1636">
      <c r="A1636" s="16" t="inlineStr">
        <is>
          <t>MCCHRLS-B</t>
        </is>
      </c>
      <c r="B1636" s="16" t="inlineStr">
        <is>
          <t>Mac Charles (India) Ltd.</t>
        </is>
      </c>
      <c r="C1636" s="16" t="inlineStr">
        <is>
          <t>Hotels</t>
        </is>
      </c>
      <c r="D1636" s="16" t="inlineStr">
        <is>
          <t>Hotels Restaurants &amp; Tourism</t>
        </is>
      </c>
      <c r="E1636" s="16" t="inlineStr">
        <is>
          <t>INE435D01014</t>
        </is>
      </c>
      <c r="F1636" s="17" t="n">
        <v>890.6799999999999</v>
      </c>
      <c r="G1636" s="18" t="n">
        <v>679.85</v>
      </c>
      <c r="H1636" s="19" t="n">
        <v>0.0073</v>
      </c>
      <c r="I1636" s="20" t="n">
        <v>36</v>
      </c>
      <c r="J1636" s="16" t="inlineStr">
        <is>
          <t>red</t>
        </is>
      </c>
      <c r="K1636" s="20" t="n">
        <v>24</v>
      </c>
      <c r="L1636" s="18" t="n">
        <v>47.09</v>
      </c>
      <c r="M1636" s="18" t="n">
        <v>683.79</v>
      </c>
      <c r="N1636" s="18" t="n">
        <v>695.14</v>
      </c>
      <c r="O1636" s="18" t="n">
        <v>667.37</v>
      </c>
      <c r="P1636" s="18" t="n">
        <v>740.8</v>
      </c>
      <c r="Q1636" s="18" t="n">
        <v>551.3</v>
      </c>
      <c r="R1636" s="21">
        <f>IF(OR(G1636="",P1636=""),"",G1636/P1636-1)</f>
        <v/>
      </c>
      <c r="S1636" s="19" t="n">
        <v>0.4772</v>
      </c>
      <c r="T1636" s="22" t="n">
        <v>-0.0023</v>
      </c>
      <c r="U1636" s="16" t="inlineStr">
        <is>
          <t>No</t>
        </is>
      </c>
      <c r="V1636" s="16" t="inlineStr">
        <is>
          <t>No</t>
        </is>
      </c>
      <c r="W1636" s="16" t="inlineStr">
        <is>
          <t>No</t>
        </is>
      </c>
      <c r="X1636" s="16" t="inlineStr">
        <is>
          <t>Yes</t>
        </is>
      </c>
      <c r="Y1636" s="20" t="n">
        <v>69</v>
      </c>
      <c r="Z1636" s="19" t="n">
        <v>0.0416</v>
      </c>
      <c r="AA1636" s="18" t="n"/>
      <c r="AB1636" s="16" t="n"/>
      <c r="AC1636" s="16" t="inlineStr">
        <is>
          <t>No</t>
        </is>
      </c>
      <c r="AD1636" s="19" t="n"/>
      <c r="AE1636" s="19" t="n"/>
      <c r="AF1636" s="19" t="n"/>
      <c r="AG1636" s="19" t="n"/>
      <c r="AH1636" s="23" t="n"/>
      <c r="AI1636" s="23" t="n"/>
      <c r="AJ1636" s="19" t="n"/>
    </row>
    <row r="1637">
      <c r="A1637" s="16" t="inlineStr">
        <is>
          <t>GANESHBE</t>
        </is>
      </c>
      <c r="B1637" s="16" t="inlineStr">
        <is>
          <t>Ganesh Benzoplast Ltd.</t>
        </is>
      </c>
      <c r="C1637" s="16" t="inlineStr">
        <is>
          <t>Commodity Chemicals</t>
        </is>
      </c>
      <c r="D1637" s="16" t="inlineStr">
        <is>
          <t>Chemicals &amp; Petrochemicals</t>
        </is>
      </c>
      <c r="E1637" s="16" t="inlineStr">
        <is>
          <t>INE388A01029</t>
        </is>
      </c>
      <c r="F1637" s="17" t="n">
        <v>887.13</v>
      </c>
      <c r="G1637" s="18" t="n">
        <v>123.23</v>
      </c>
      <c r="H1637" s="19" t="n">
        <v>0.0169</v>
      </c>
      <c r="I1637" s="20" t="n">
        <v>76</v>
      </c>
      <c r="J1637" s="16" t="inlineStr">
        <is>
          <t>amber</t>
        </is>
      </c>
      <c r="K1637" s="20" t="n">
        <v>5</v>
      </c>
      <c r="L1637" s="18" t="n">
        <v>55.57</v>
      </c>
      <c r="M1637" s="18" t="n">
        <v>120.68</v>
      </c>
      <c r="N1637" s="18" t="n">
        <v>112.42</v>
      </c>
      <c r="O1637" s="18" t="n">
        <v>93.27</v>
      </c>
      <c r="P1637" s="18" t="n">
        <v>125.09</v>
      </c>
      <c r="Q1637" s="18" t="n">
        <v>69.52</v>
      </c>
      <c r="R1637" s="21">
        <f>IF(OR(G1637="",P1637=""),"",G1637/P1637-1)</f>
        <v/>
      </c>
      <c r="S1637" s="19" t="n">
        <v>0.1336</v>
      </c>
      <c r="T1637" s="22" t="n">
        <v>0.03700000000000001</v>
      </c>
      <c r="U1637" s="16" t="inlineStr">
        <is>
          <t>Yes</t>
        </is>
      </c>
      <c r="V1637" s="16" t="inlineStr">
        <is>
          <t>Yes</t>
        </is>
      </c>
      <c r="W1637" s="16" t="inlineStr">
        <is>
          <t>Yes</t>
        </is>
      </c>
      <c r="X1637" s="16" t="inlineStr">
        <is>
          <t>Yes</t>
        </is>
      </c>
      <c r="Y1637" s="20" t="n">
        <v>88</v>
      </c>
      <c r="Z1637" s="19" t="n">
        <v>0.2053</v>
      </c>
      <c r="AA1637" s="18" t="n">
        <v>36.33</v>
      </c>
      <c r="AB1637" s="16" t="inlineStr">
        <is>
          <t>Weak</t>
        </is>
      </c>
      <c r="AC1637" s="16" t="inlineStr">
        <is>
          <t>No</t>
        </is>
      </c>
      <c r="AD1637" s="19" t="n">
        <v>0.1045</v>
      </c>
      <c r="AE1637" s="19" t="n">
        <v>0.1361</v>
      </c>
      <c r="AF1637" s="19" t="n">
        <v>-0.4528</v>
      </c>
      <c r="AG1637" s="19" t="n">
        <v>0.0058</v>
      </c>
      <c r="AH1637" s="23" t="n">
        <v>0.12</v>
      </c>
      <c r="AI1637" s="23" t="n">
        <v>0.98</v>
      </c>
      <c r="AJ1637" s="19" t="n">
        <v>0.04969999999999999</v>
      </c>
    </row>
    <row r="1638">
      <c r="A1638" s="16" t="inlineStr">
        <is>
          <t>ECORECO</t>
        </is>
      </c>
      <c r="B1638" s="16" t="inlineStr">
        <is>
          <t>Eco Recycling Ltd.</t>
        </is>
      </c>
      <c r="C1638" s="16" t="inlineStr">
        <is>
          <t>Waste Management</t>
        </is>
      </c>
      <c r="D1638" s="16" t="inlineStr">
        <is>
          <t>Utilities</t>
        </is>
      </c>
      <c r="E1638" s="16" t="inlineStr">
        <is>
          <t>INE316A01038</t>
        </is>
      </c>
      <c r="F1638" s="17" t="n">
        <v>887.0700000000001</v>
      </c>
      <c r="G1638" s="18" t="n">
        <v>459.7</v>
      </c>
      <c r="H1638" s="19" t="n">
        <v>0.0037</v>
      </c>
      <c r="I1638" s="20" t="n">
        <v>49</v>
      </c>
      <c r="J1638" s="16" t="inlineStr">
        <is>
          <t>red</t>
        </is>
      </c>
      <c r="K1638" s="20" t="n">
        <v>34</v>
      </c>
      <c r="L1638" s="18" t="n">
        <v>37.78</v>
      </c>
      <c r="M1638" s="18" t="n">
        <v>461.93</v>
      </c>
      <c r="N1638" s="18" t="n">
        <v>479.58</v>
      </c>
      <c r="O1638" s="18" t="n">
        <v>438.94</v>
      </c>
      <c r="P1638" s="18" t="n">
        <v>627</v>
      </c>
      <c r="Q1638" s="18" t="n">
        <v>254.25</v>
      </c>
      <c r="R1638" s="21">
        <f>IF(OR(G1638="",P1638=""),"",G1638/P1638-1)</f>
        <v/>
      </c>
      <c r="S1638" s="19" t="n">
        <v>0.7998000000000001</v>
      </c>
      <c r="T1638" s="22" t="n">
        <v>-0.0267</v>
      </c>
      <c r="U1638" s="16" t="inlineStr">
        <is>
          <t>No</t>
        </is>
      </c>
      <c r="V1638" s="16" t="inlineStr">
        <is>
          <t>No</t>
        </is>
      </c>
      <c r="W1638" s="16" t="inlineStr">
        <is>
          <t>No</t>
        </is>
      </c>
      <c r="X1638" s="16" t="inlineStr">
        <is>
          <t>Yes</t>
        </is>
      </c>
      <c r="Y1638" s="20" t="n">
        <v>37</v>
      </c>
      <c r="Z1638" s="19" t="n">
        <v>0.0926</v>
      </c>
      <c r="AA1638" s="18" t="n"/>
      <c r="AB1638" s="16" t="n"/>
      <c r="AC1638" s="16" t="inlineStr">
        <is>
          <t>No</t>
        </is>
      </c>
      <c r="AD1638" s="19" t="n"/>
      <c r="AE1638" s="19" t="n"/>
      <c r="AF1638" s="19" t="n"/>
      <c r="AG1638" s="19" t="n"/>
      <c r="AH1638" s="23" t="n"/>
      <c r="AI1638" s="23" t="n"/>
      <c r="AJ1638" s="19" t="n"/>
    </row>
    <row r="1639">
      <c r="A1639" s="16" t="inlineStr">
        <is>
          <t>MICEL</t>
        </is>
      </c>
      <c r="B1639" s="16" t="inlineStr">
        <is>
          <t>MIC Electronics Ltd.</t>
        </is>
      </c>
      <c r="C1639" s="16" t="inlineStr">
        <is>
          <t>Electronic Components</t>
        </is>
      </c>
      <c r="D1639" s="16" t="inlineStr">
        <is>
          <t>Commercial Services &amp; Supplies</t>
        </is>
      </c>
      <c r="E1639" s="16" t="inlineStr">
        <is>
          <t>INE287C01037</t>
        </is>
      </c>
      <c r="F1639" s="17" t="n">
        <v>885.48</v>
      </c>
      <c r="G1639" s="18" t="n">
        <v>36.74</v>
      </c>
      <c r="H1639" s="19" t="n">
        <v>-0.0197</v>
      </c>
      <c r="I1639" s="20" t="n">
        <v>15</v>
      </c>
      <c r="J1639" s="16" t="inlineStr">
        <is>
          <t>red</t>
        </is>
      </c>
      <c r="K1639" s="20" t="n">
        <v>83</v>
      </c>
      <c r="L1639" s="18" t="n">
        <v>51.49</v>
      </c>
      <c r="M1639" s="18" t="n">
        <v>38.76</v>
      </c>
      <c r="N1639" s="18" t="n">
        <v>37.57</v>
      </c>
      <c r="O1639" s="18" t="n">
        <v>40.28</v>
      </c>
      <c r="P1639" s="18" t="n">
        <v>78.59</v>
      </c>
      <c r="Q1639" s="18" t="n">
        <v>29.97</v>
      </c>
      <c r="R1639" s="21">
        <f>IF(OR(G1639="",P1639=""),"",G1639/P1639-1)</f>
        <v/>
      </c>
      <c r="S1639" s="19" t="n">
        <v>0.4145</v>
      </c>
      <c r="T1639" s="22" t="n">
        <v>-0.0349</v>
      </c>
      <c r="U1639" s="16" t="inlineStr">
        <is>
          <t>No</t>
        </is>
      </c>
      <c r="V1639" s="16" t="inlineStr">
        <is>
          <t>No</t>
        </is>
      </c>
      <c r="W1639" s="16" t="inlineStr">
        <is>
          <t>No</t>
        </is>
      </c>
      <c r="X1639" s="16" t="inlineStr">
        <is>
          <t>No</t>
        </is>
      </c>
      <c r="Y1639" s="20" t="n">
        <v>200</v>
      </c>
      <c r="Z1639" s="19" t="n">
        <v>-0.0673</v>
      </c>
      <c r="AA1639" s="18" t="n">
        <v>63.99</v>
      </c>
      <c r="AB1639" s="16" t="inlineStr">
        <is>
          <t>High</t>
        </is>
      </c>
      <c r="AC1639" s="16" t="inlineStr">
        <is>
          <t>No</t>
        </is>
      </c>
      <c r="AD1639" s="19" t="n">
        <v>0.1643</v>
      </c>
      <c r="AE1639" s="19" t="n">
        <v>0.0993</v>
      </c>
      <c r="AF1639" s="19" t="n">
        <v>91.60610000000001</v>
      </c>
      <c r="AG1639" s="19" t="n">
        <v>3.6302</v>
      </c>
      <c r="AH1639" s="23" t="n">
        <v>0.2</v>
      </c>
      <c r="AI1639" s="23" t="n">
        <v>4.17</v>
      </c>
      <c r="AJ1639" s="19" t="n">
        <v>0</v>
      </c>
    </row>
    <row r="1640">
      <c r="A1640" s="16" t="inlineStr">
        <is>
          <t>PDMJEPAPER</t>
        </is>
      </c>
      <c r="B1640" s="16" t="inlineStr">
        <is>
          <t>Pudumjee Paper Products Ltd.</t>
        </is>
      </c>
      <c r="C1640" s="16" t="inlineStr">
        <is>
          <t>Paper &amp; Paper Products</t>
        </is>
      </c>
      <c r="D1640" s="16" t="inlineStr">
        <is>
          <t>Commercial Services &amp; Supplies</t>
        </is>
      </c>
      <c r="E1640" s="16" t="inlineStr">
        <is>
          <t>INE865T01018</t>
        </is>
      </c>
      <c r="F1640" s="17" t="n">
        <v>885.12</v>
      </c>
      <c r="G1640" s="18" t="n">
        <v>93.22</v>
      </c>
      <c r="H1640" s="19" t="n">
        <v>-0.0143</v>
      </c>
      <c r="I1640" s="20" t="n">
        <v>44</v>
      </c>
      <c r="J1640" s="16" t="inlineStr">
        <is>
          <t>red</t>
        </is>
      </c>
      <c r="K1640" s="20" t="n">
        <v>230</v>
      </c>
      <c r="L1640" s="18" t="n">
        <v>60.5</v>
      </c>
      <c r="M1640" s="18" t="n">
        <v>92.33</v>
      </c>
      <c r="N1640" s="18" t="n">
        <v>89.3</v>
      </c>
      <c r="O1640" s="18" t="n">
        <v>86.15000000000001</v>
      </c>
      <c r="P1640" s="18" t="n">
        <v>129.98</v>
      </c>
      <c r="Q1640" s="18" t="n">
        <v>64.77</v>
      </c>
      <c r="R1640" s="21">
        <f>IF(OR(G1640="",P1640=""),"",G1640/P1640-1)</f>
        <v/>
      </c>
      <c r="S1640" s="19" t="n">
        <v>0.4081</v>
      </c>
      <c r="T1640" s="22" t="n">
        <v>-0.025</v>
      </c>
      <c r="U1640" s="16" t="inlineStr">
        <is>
          <t>No</t>
        </is>
      </c>
      <c r="V1640" s="16" t="inlineStr">
        <is>
          <t>Yes</t>
        </is>
      </c>
      <c r="W1640" s="16" t="inlineStr">
        <is>
          <t>Yes</t>
        </is>
      </c>
      <c r="X1640" s="16" t="inlineStr">
        <is>
          <t>Yes</t>
        </is>
      </c>
      <c r="Y1640" s="20" t="n">
        <v>12</v>
      </c>
      <c r="Z1640" s="19" t="n">
        <v>0.0365</v>
      </c>
      <c r="AA1640" s="18" t="n">
        <v>40</v>
      </c>
      <c r="AB1640" s="16" t="inlineStr">
        <is>
          <t>Weak</t>
        </is>
      </c>
      <c r="AC1640" s="16" t="inlineStr">
        <is>
          <t>No</t>
        </is>
      </c>
      <c r="AD1640" s="19" t="n">
        <v>0.1678</v>
      </c>
      <c r="AE1640" s="19" t="n">
        <v>0.223</v>
      </c>
      <c r="AF1640" s="19" t="n">
        <v>-0.1241</v>
      </c>
      <c r="AG1640" s="19" t="n">
        <v>0.0223</v>
      </c>
      <c r="AH1640" s="23" t="n">
        <v>0.06</v>
      </c>
      <c r="AI1640" s="23" t="n">
        <v>2.81</v>
      </c>
      <c r="AJ1640" s="19" t="n">
        <v>0.0735</v>
      </c>
    </row>
    <row r="1641">
      <c r="A1641" s="16" t="inlineStr">
        <is>
          <t>SUDARCOLOR</t>
        </is>
      </c>
      <c r="B1641" s="16" t="inlineStr">
        <is>
          <t>Sudarshan Colorants India Ltd.</t>
        </is>
      </c>
      <c r="C1641" s="16" t="inlineStr">
        <is>
          <t>Dyes &amp; Pigments</t>
        </is>
      </c>
      <c r="D1641" s="16" t="inlineStr">
        <is>
          <t>Chemicals &amp; Petrochemicals</t>
        </is>
      </c>
      <c r="E1641" s="16" t="inlineStr">
        <is>
          <t>INE492A01029</t>
        </is>
      </c>
      <c r="F1641" s="17" t="n">
        <v>885.0700000000001</v>
      </c>
      <c r="G1641" s="18" t="n">
        <v>383.45</v>
      </c>
      <c r="H1641" s="19" t="n">
        <v>-0.0117</v>
      </c>
      <c r="I1641" s="20" t="n">
        <v>32</v>
      </c>
      <c r="J1641" s="16" t="inlineStr">
        <is>
          <t>red</t>
        </is>
      </c>
      <c r="K1641" s="20" t="n">
        <v>234</v>
      </c>
      <c r="L1641" s="18" t="n">
        <v>33.5</v>
      </c>
      <c r="M1641" s="18" t="n">
        <v>385.24</v>
      </c>
      <c r="N1641" s="18" t="n">
        <v>379.67</v>
      </c>
      <c r="O1641" s="18" t="n">
        <v>380.39</v>
      </c>
      <c r="P1641" s="18" t="n">
        <v>597.1</v>
      </c>
      <c r="Q1641" s="18" t="n">
        <v>272.25</v>
      </c>
      <c r="R1641" s="21">
        <f>IF(OR(G1641="",P1641=""),"",G1641/P1641-1)</f>
        <v/>
      </c>
      <c r="S1641" s="19" t="n">
        <v>0.4538</v>
      </c>
      <c r="T1641" s="22" t="n">
        <v>-0.0272</v>
      </c>
      <c r="U1641" s="16" t="inlineStr">
        <is>
          <t>No</t>
        </is>
      </c>
      <c r="V1641" s="16" t="inlineStr">
        <is>
          <t>Yes</t>
        </is>
      </c>
      <c r="W1641" s="16" t="inlineStr">
        <is>
          <t>No</t>
        </is>
      </c>
      <c r="X1641" s="16" t="inlineStr">
        <is>
          <t>No</t>
        </is>
      </c>
      <c r="Y1641" s="20" t="n">
        <v>221</v>
      </c>
      <c r="Z1641" s="19" t="n">
        <v>-0.0019</v>
      </c>
      <c r="AA1641" s="18" t="n">
        <v>50.18</v>
      </c>
      <c r="AB1641" s="16" t="inlineStr">
        <is>
          <t>Average</t>
        </is>
      </c>
      <c r="AC1641" s="16" t="inlineStr">
        <is>
          <t>No</t>
        </is>
      </c>
      <c r="AD1641" s="19" t="n">
        <v>0.08779999999999999</v>
      </c>
      <c r="AE1641" s="19" t="n">
        <v>0.115</v>
      </c>
      <c r="AF1641" s="19" t="n">
        <v>0.4202</v>
      </c>
      <c r="AG1641" s="19" t="n">
        <v>0.0086</v>
      </c>
      <c r="AH1641" s="23" t="n">
        <v>0.04</v>
      </c>
      <c r="AI1641" s="23" t="n">
        <v>4.71</v>
      </c>
      <c r="AJ1641" s="19" t="n">
        <v>0.0479</v>
      </c>
    </row>
    <row r="1642">
      <c r="A1642" s="16" t="inlineStr">
        <is>
          <t>BAHETI</t>
        </is>
      </c>
      <c r="B1642" s="16" t="inlineStr">
        <is>
          <t>Baheti Recycling Industries Ltd.</t>
        </is>
      </c>
      <c r="C1642" s="16" t="inlineStr">
        <is>
          <t>Aluminium and Aluminium Products</t>
        </is>
      </c>
      <c r="D1642" s="16" t="inlineStr">
        <is>
          <t>Metals &amp; Mining</t>
        </is>
      </c>
      <c r="E1642" s="16" t="inlineStr">
        <is>
          <t>INE029Q01017</t>
        </is>
      </c>
      <c r="F1642" s="17" t="n">
        <v>883.8099999999999</v>
      </c>
      <c r="G1642" s="18" t="n">
        <v>846</v>
      </c>
      <c r="H1642" s="19" t="n">
        <v>-0.004099999999999999</v>
      </c>
      <c r="I1642" s="20" t="n">
        <v>84</v>
      </c>
      <c r="J1642" s="16" t="inlineStr">
        <is>
          <t>green</t>
        </is>
      </c>
      <c r="K1642" s="20" t="n">
        <v>20</v>
      </c>
      <c r="L1642" s="18" t="n">
        <v>69.86</v>
      </c>
      <c r="M1642" s="18" t="n">
        <v>844.48</v>
      </c>
      <c r="N1642" s="18" t="n">
        <v>758.91</v>
      </c>
      <c r="O1642" s="18" t="n">
        <v>631.77</v>
      </c>
      <c r="P1642" s="18" t="n">
        <v>861.8</v>
      </c>
      <c r="Q1642" s="18" t="n">
        <v>483.95</v>
      </c>
      <c r="R1642" s="21">
        <f>IF(OR(G1642="",P1642=""),"",G1642/P1642-1)</f>
        <v/>
      </c>
      <c r="S1642" s="19" t="n">
        <v>0.5710000000000001</v>
      </c>
      <c r="T1642" s="22" t="n">
        <v>0.0404</v>
      </c>
      <c r="U1642" s="16" t="inlineStr">
        <is>
          <t>Yes</t>
        </is>
      </c>
      <c r="V1642" s="16" t="inlineStr">
        <is>
          <t>Yes</t>
        </is>
      </c>
      <c r="W1642" s="16" t="inlineStr">
        <is>
          <t>Yes</t>
        </is>
      </c>
      <c r="X1642" s="16" t="inlineStr">
        <is>
          <t>Yes</t>
        </is>
      </c>
      <c r="Y1642" s="20" t="n">
        <v>67</v>
      </c>
      <c r="Z1642" s="19" t="n">
        <v>0.2012</v>
      </c>
      <c r="AA1642" s="18" t="n"/>
      <c r="AB1642" s="16" t="n"/>
      <c r="AC1642" s="16" t="inlineStr">
        <is>
          <t>No</t>
        </is>
      </c>
      <c r="AD1642" s="19" t="n"/>
      <c r="AE1642" s="19" t="n"/>
      <c r="AF1642" s="19" t="n"/>
      <c r="AG1642" s="19" t="n"/>
      <c r="AH1642" s="23" t="n"/>
      <c r="AI1642" s="23" t="n"/>
      <c r="AJ1642" s="19" t="n"/>
    </row>
    <row r="1643">
      <c r="A1643" s="16" t="inlineStr">
        <is>
          <t>VINSYS</t>
        </is>
      </c>
      <c r="B1643" s="16" t="inlineStr">
        <is>
          <t>Vinsys IT Services India Ltd.</t>
        </is>
      </c>
      <c r="C1643" s="16" t="inlineStr">
        <is>
          <t>IT Training Services</t>
        </is>
      </c>
      <c r="D1643" s="16" t="inlineStr">
        <is>
          <t>Software &amp; Services</t>
        </is>
      </c>
      <c r="E1643" s="16" t="inlineStr">
        <is>
          <t>INE0OSJ01014</t>
        </is>
      </c>
      <c r="F1643" s="17" t="n">
        <v>880.5700000000001</v>
      </c>
      <c r="G1643" s="18" t="n">
        <v>597</v>
      </c>
      <c r="H1643" s="19" t="n">
        <v>0</v>
      </c>
      <c r="I1643" s="20" t="n">
        <v>89</v>
      </c>
      <c r="J1643" s="16" t="inlineStr">
        <is>
          <t>green</t>
        </is>
      </c>
      <c r="K1643" s="20" t="n">
        <v>52</v>
      </c>
      <c r="L1643" s="18" t="n">
        <v>66.28</v>
      </c>
      <c r="M1643" s="18" t="n">
        <v>603.74</v>
      </c>
      <c r="N1643" s="18" t="n">
        <v>544.01</v>
      </c>
      <c r="O1643" s="18" t="n">
        <v>397.64</v>
      </c>
      <c r="P1643" s="18" t="n">
        <v>609</v>
      </c>
      <c r="Q1643" s="18" t="n">
        <v>233.4</v>
      </c>
      <c r="R1643" s="21">
        <f>IF(OR(G1643="",P1643=""),"",G1643/P1643-1)</f>
        <v/>
      </c>
      <c r="S1643" s="19" t="n">
        <v>0.1048</v>
      </c>
      <c r="T1643" s="22" t="n">
        <v>0.0528</v>
      </c>
      <c r="U1643" s="16" t="inlineStr">
        <is>
          <t>Yes</t>
        </is>
      </c>
      <c r="V1643" s="16" t="inlineStr">
        <is>
          <t>Yes</t>
        </is>
      </c>
      <c r="W1643" s="16" t="inlineStr">
        <is>
          <t>No</t>
        </is>
      </c>
      <c r="X1643" s="16" t="inlineStr">
        <is>
          <t>Yes</t>
        </is>
      </c>
      <c r="Y1643" s="20" t="n">
        <v>48</v>
      </c>
      <c r="Z1643" s="19" t="n">
        <v>0.3681</v>
      </c>
      <c r="AA1643" s="18" t="n"/>
      <c r="AB1643" s="16" t="n"/>
      <c r="AC1643" s="16" t="inlineStr">
        <is>
          <t>No</t>
        </is>
      </c>
      <c r="AD1643" s="19" t="n"/>
      <c r="AE1643" s="19" t="n"/>
      <c r="AF1643" s="19" t="n"/>
      <c r="AG1643" s="19" t="n"/>
      <c r="AH1643" s="23" t="n"/>
      <c r="AI1643" s="23" t="n"/>
      <c r="AJ1643" s="19" t="n"/>
    </row>
    <row r="1644">
      <c r="A1644" s="16" t="inlineStr">
        <is>
          <t>DANLAW</t>
        </is>
      </c>
      <c r="B1644" s="16" t="inlineStr">
        <is>
          <t>Danlaw Technologies India Ltd.</t>
        </is>
      </c>
      <c r="C1644" s="16" t="inlineStr">
        <is>
          <t>IT Consulting &amp; Software</t>
        </is>
      </c>
      <c r="D1644" s="16" t="inlineStr">
        <is>
          <t>Software &amp; Services</t>
        </is>
      </c>
      <c r="E1644" s="16" t="inlineStr">
        <is>
          <t>INE310B01013</t>
        </is>
      </c>
      <c r="F1644" s="17" t="n">
        <v>879.21</v>
      </c>
      <c r="G1644" s="18" t="n">
        <v>1805.1</v>
      </c>
      <c r="H1644" s="19" t="n">
        <v>0.05</v>
      </c>
      <c r="I1644" s="20" t="n">
        <v>96</v>
      </c>
      <c r="J1644" s="16" t="inlineStr">
        <is>
          <t>green</t>
        </is>
      </c>
      <c r="K1644" s="20" t="n">
        <v>24</v>
      </c>
      <c r="L1644" s="18" t="n">
        <v>77.43000000000001</v>
      </c>
      <c r="M1644" s="18" t="n">
        <v>1679.47</v>
      </c>
      <c r="N1644" s="18" t="n">
        <v>1216.12</v>
      </c>
      <c r="O1644" s="18" t="n">
        <v>870.7</v>
      </c>
      <c r="P1644" s="18" t="n">
        <v>1805.1</v>
      </c>
      <c r="Q1644" s="18" t="n">
        <v>441.45</v>
      </c>
      <c r="R1644" s="21">
        <f>IF(OR(G1644="",P1644=""),"",G1644/P1644-1)</f>
        <v/>
      </c>
      <c r="S1644" s="19" t="n">
        <v>1.2611</v>
      </c>
      <c r="T1644" s="22" t="n">
        <v>0.091</v>
      </c>
      <c r="U1644" s="16" t="inlineStr">
        <is>
          <t>Yes</t>
        </is>
      </c>
      <c r="V1644" s="16" t="inlineStr">
        <is>
          <t>Yes</t>
        </is>
      </c>
      <c r="W1644" s="16" t="inlineStr">
        <is>
          <t>Yes</t>
        </is>
      </c>
      <c r="X1644" s="16" t="inlineStr">
        <is>
          <t>Yes</t>
        </is>
      </c>
      <c r="Y1644" s="20" t="n">
        <v>64</v>
      </c>
      <c r="Z1644" s="19" t="n">
        <v>0.3967</v>
      </c>
      <c r="AA1644" s="18" t="n"/>
      <c r="AB1644" s="16" t="n"/>
      <c r="AC1644" s="16" t="inlineStr">
        <is>
          <t>No</t>
        </is>
      </c>
      <c r="AD1644" s="19" t="n"/>
      <c r="AE1644" s="19" t="n"/>
      <c r="AF1644" s="19" t="n"/>
      <c r="AG1644" s="19" t="n"/>
      <c r="AH1644" s="23" t="n"/>
      <c r="AI1644" s="23" t="n"/>
      <c r="AJ1644" s="19" t="n"/>
    </row>
    <row r="1645">
      <c r="A1645" s="16" t="inlineStr">
        <is>
          <t>MVGJL</t>
        </is>
      </c>
      <c r="B1645" s="16" t="inlineStr">
        <is>
          <t>Manoj Vaibhav Gems N Jewellers Ltd.</t>
        </is>
      </c>
      <c r="C1645" s="16" t="inlineStr">
        <is>
          <t>Gems &amp; Jewellery</t>
        </is>
      </c>
      <c r="D1645" s="16" t="inlineStr">
        <is>
          <t>Textiles Apparels &amp; Accessories</t>
        </is>
      </c>
      <c r="E1645" s="16" t="inlineStr">
        <is>
          <t>INE0KNT01012</t>
        </is>
      </c>
      <c r="F1645" s="17" t="n">
        <v>878.76</v>
      </c>
      <c r="G1645" s="18" t="n">
        <v>179.9</v>
      </c>
      <c r="H1645" s="19" t="n">
        <v>0.0461</v>
      </c>
      <c r="I1645" s="20" t="n">
        <v>52</v>
      </c>
      <c r="J1645" s="16" t="inlineStr">
        <is>
          <t>red</t>
        </is>
      </c>
      <c r="K1645" s="20" t="n">
        <v>298</v>
      </c>
      <c r="L1645" s="18" t="n">
        <v>76.56</v>
      </c>
      <c r="M1645" s="18" t="n">
        <v>161.35</v>
      </c>
      <c r="N1645" s="18" t="n">
        <v>158.69</v>
      </c>
      <c r="O1645" s="18" t="n">
        <v>165.35</v>
      </c>
      <c r="P1645" s="18" t="n">
        <v>204.35</v>
      </c>
      <c r="Q1645" s="18" t="n">
        <v>131.97</v>
      </c>
      <c r="R1645" s="21">
        <f>IF(OR(G1645="",P1645=""),"",G1645/P1645-1)</f>
        <v/>
      </c>
      <c r="S1645" s="19" t="n">
        <v>7.5923</v>
      </c>
      <c r="T1645" s="22" t="n">
        <v>-0.0218</v>
      </c>
      <c r="U1645" s="16" t="inlineStr">
        <is>
          <t>No</t>
        </is>
      </c>
      <c r="V1645" s="16" t="inlineStr">
        <is>
          <t>Yes</t>
        </is>
      </c>
      <c r="W1645" s="16" t="inlineStr">
        <is>
          <t>Yes</t>
        </is>
      </c>
      <c r="X1645" s="16" t="inlineStr">
        <is>
          <t>No</t>
        </is>
      </c>
      <c r="Y1645" s="20" t="n">
        <v>368</v>
      </c>
      <c r="Z1645" s="19" t="n">
        <v>-0.0403</v>
      </c>
      <c r="AA1645" s="18" t="n">
        <v>40</v>
      </c>
      <c r="AB1645" s="16" t="inlineStr">
        <is>
          <t>Weak</t>
        </is>
      </c>
      <c r="AC1645" s="16" t="inlineStr">
        <is>
          <t>No</t>
        </is>
      </c>
      <c r="AD1645" s="19" t="n">
        <v>0.1362</v>
      </c>
      <c r="AE1645" s="19" t="n">
        <v>0.1466</v>
      </c>
      <c r="AF1645" s="19" t="n">
        <v>-0.2092</v>
      </c>
      <c r="AG1645" s="19" t="n">
        <v>0.1068</v>
      </c>
      <c r="AH1645" s="23" t="n">
        <v>0.59</v>
      </c>
      <c r="AI1645" s="23" t="n">
        <v>42.75</v>
      </c>
      <c r="AJ1645" s="19" t="n">
        <v>0.0224</v>
      </c>
    </row>
    <row r="1646">
      <c r="A1646" s="16" t="inlineStr">
        <is>
          <t>LGHL</t>
        </is>
      </c>
      <c r="B1646" s="16" t="inlineStr">
        <is>
          <t>Laxmi Goldorna House Ltd.</t>
        </is>
      </c>
      <c r="C1646" s="16" t="inlineStr">
        <is>
          <t>Gems &amp; Jewellery</t>
        </is>
      </c>
      <c r="D1646" s="16" t="inlineStr">
        <is>
          <t>Textiles Apparels &amp; Accessories</t>
        </is>
      </c>
      <c r="E1646" s="16" t="inlineStr">
        <is>
          <t>INE258Y01016</t>
        </is>
      </c>
      <c r="F1646" s="17" t="n">
        <v>878.72</v>
      </c>
      <c r="G1646" s="18" t="n">
        <v>175.42</v>
      </c>
      <c r="H1646" s="19" t="n">
        <v>-0.0197</v>
      </c>
      <c r="I1646" s="20" t="n">
        <v>2</v>
      </c>
      <c r="J1646" s="16" t="inlineStr">
        <is>
          <t>red</t>
        </is>
      </c>
      <c r="K1646" s="20" t="n">
        <v>116</v>
      </c>
      <c r="L1646" s="18" t="n">
        <v>47.64</v>
      </c>
      <c r="M1646" s="18" t="n">
        <v>177.33</v>
      </c>
      <c r="N1646" s="18" t="n">
        <v>198.73</v>
      </c>
      <c r="O1646" s="18" t="n">
        <v>248.43</v>
      </c>
      <c r="P1646" s="18" t="n">
        <v>393.96</v>
      </c>
      <c r="Q1646" s="18" t="n">
        <v>173.45</v>
      </c>
      <c r="R1646" s="21">
        <f>IF(OR(G1646="",P1646=""),"",G1646/P1646-1)</f>
        <v/>
      </c>
      <c r="S1646" s="19" t="n">
        <v>0.3926</v>
      </c>
      <c r="T1646" s="22" t="n">
        <v>-0.0371</v>
      </c>
      <c r="U1646" s="16" t="inlineStr">
        <is>
          <t>No</t>
        </is>
      </c>
      <c r="V1646" s="16" t="inlineStr">
        <is>
          <t>No</t>
        </is>
      </c>
      <c r="W1646" s="16" t="inlineStr">
        <is>
          <t>No</t>
        </is>
      </c>
      <c r="X1646" s="16" t="inlineStr">
        <is>
          <t>No</t>
        </is>
      </c>
      <c r="Y1646" s="20" t="n">
        <v>177</v>
      </c>
      <c r="Z1646" s="19" t="n">
        <v>-0.2001</v>
      </c>
      <c r="AA1646" s="18" t="n">
        <v>60.04</v>
      </c>
      <c r="AB1646" s="16" t="inlineStr">
        <is>
          <t>Good</t>
        </is>
      </c>
      <c r="AC1646" s="16" t="inlineStr">
        <is>
          <t>No</t>
        </is>
      </c>
      <c r="AD1646" s="19" t="n">
        <v>0.1444</v>
      </c>
      <c r="AE1646" s="19" t="n">
        <v>0.1343</v>
      </c>
      <c r="AF1646" s="19" t="n">
        <v>7.119800000000001</v>
      </c>
      <c r="AG1646" s="19" t="n">
        <v>0.6465000000000001</v>
      </c>
      <c r="AH1646" s="23" t="n">
        <v>1.53</v>
      </c>
      <c r="AI1646" s="23" t="n">
        <v>221.94</v>
      </c>
      <c r="AJ1646" s="19" t="n">
        <v>0</v>
      </c>
    </row>
    <row r="1647">
      <c r="A1647" s="16" t="inlineStr">
        <is>
          <t>RRPDEFENSE</t>
        </is>
      </c>
      <c r="B1647" s="16" t="inlineStr">
        <is>
          <t>RRP Defense Ltd.</t>
        </is>
      </c>
      <c r="C1647" s="16" t="inlineStr">
        <is>
          <t>Commodity Trading  &amp; Distribution</t>
        </is>
      </c>
      <c r="D1647" s="16" t="inlineStr">
        <is>
          <t>Commercial Services &amp; Supplies</t>
        </is>
      </c>
      <c r="E1647" s="16" t="inlineStr">
        <is>
          <t>INE535P01015</t>
        </is>
      </c>
      <c r="F1647" s="17" t="n">
        <v>877.8</v>
      </c>
      <c r="G1647" s="18" t="n">
        <v>639.85</v>
      </c>
      <c r="H1647" s="19" t="n">
        <v>0</v>
      </c>
      <c r="I1647" s="20" t="n">
        <v>31</v>
      </c>
      <c r="J1647" s="16" t="inlineStr">
        <is>
          <t>red</t>
        </is>
      </c>
      <c r="K1647" s="20" t="n">
        <v>20</v>
      </c>
      <c r="L1647" s="18" t="n">
        <v>0</v>
      </c>
      <c r="M1647" s="18" t="n">
        <v>642.27</v>
      </c>
      <c r="N1647" s="18" t="n">
        <v>669.61</v>
      </c>
      <c r="O1647" s="18" t="n">
        <v>787.59</v>
      </c>
      <c r="P1647" s="18" t="n">
        <v>984.4</v>
      </c>
      <c r="Q1647" s="18" t="n">
        <v>420.8</v>
      </c>
      <c r="R1647" s="21">
        <f>IF(OR(G1647="",P1647=""),"",G1647/P1647-1)</f>
        <v/>
      </c>
      <c r="S1647" s="19" t="n">
        <v>0</v>
      </c>
      <c r="T1647" s="22" t="n">
        <v>-0.033</v>
      </c>
      <c r="U1647" s="16" t="inlineStr">
        <is>
          <t>No</t>
        </is>
      </c>
      <c r="V1647" s="16" t="inlineStr">
        <is>
          <t>No</t>
        </is>
      </c>
      <c r="W1647" s="16" t="inlineStr">
        <is>
          <t>No</t>
        </is>
      </c>
      <c r="X1647" s="16" t="inlineStr">
        <is>
          <t>No</t>
        </is>
      </c>
      <c r="Y1647" s="20" t="n">
        <v>69</v>
      </c>
      <c r="Z1647" s="19" t="n">
        <v>-0.1498</v>
      </c>
      <c r="AA1647" s="18" t="n"/>
      <c r="AB1647" s="16" t="n"/>
      <c r="AC1647" s="16" t="inlineStr">
        <is>
          <t>No</t>
        </is>
      </c>
      <c r="AD1647" s="19" t="n"/>
      <c r="AE1647" s="19" t="n"/>
      <c r="AF1647" s="19" t="n"/>
      <c r="AG1647" s="19" t="n"/>
      <c r="AH1647" s="23" t="n"/>
      <c r="AI1647" s="23" t="n"/>
      <c r="AJ1647" s="19" t="n"/>
    </row>
    <row r="1648">
      <c r="A1648" s="16" t="inlineStr">
        <is>
          <t>VADILENT</t>
        </is>
      </c>
      <c r="B1648" s="16" t="inlineStr">
        <is>
          <t>Vadilal Enterprises Ltd.</t>
        </is>
      </c>
      <c r="C1648" s="16" t="inlineStr">
        <is>
          <t>Packaged Foods</t>
        </is>
      </c>
      <c r="D1648" s="16" t="inlineStr">
        <is>
          <t>FMCG</t>
        </is>
      </c>
      <c r="E1648" s="16" t="inlineStr">
        <is>
          <t>INE693D01018</t>
        </is>
      </c>
      <c r="F1648" s="17" t="n">
        <v>876.83</v>
      </c>
      <c r="G1648" s="18" t="n">
        <v>10163.75</v>
      </c>
      <c r="H1648" s="19" t="n">
        <v>-0.0274</v>
      </c>
      <c r="I1648" s="20" t="n">
        <v>42</v>
      </c>
      <c r="J1648" s="16" t="inlineStr">
        <is>
          <t>red</t>
        </is>
      </c>
      <c r="K1648" s="20" t="n">
        <v>102</v>
      </c>
      <c r="L1648" s="18" t="n">
        <v>51.63</v>
      </c>
      <c r="M1648" s="18" t="n">
        <v>10305.53</v>
      </c>
      <c r="N1648" s="18" t="n">
        <v>9969.16</v>
      </c>
      <c r="O1648" s="18" t="n">
        <v>9946.690000000001</v>
      </c>
      <c r="P1648" s="18" t="n">
        <v>11210.81</v>
      </c>
      <c r="Q1648" s="18" t="n">
        <v>9529.200000000001</v>
      </c>
      <c r="R1648" s="21">
        <f>IF(OR(G1648="",P1648=""),"",G1648/P1648-1)</f>
        <v/>
      </c>
      <c r="S1648" s="19" t="n">
        <v>2.6519</v>
      </c>
      <c r="T1648" s="22" t="n">
        <v>-0.0033</v>
      </c>
      <c r="U1648" s="16" t="inlineStr">
        <is>
          <t>No</t>
        </is>
      </c>
      <c r="V1648" s="16" t="inlineStr">
        <is>
          <t>Yes</t>
        </is>
      </c>
      <c r="W1648" s="16" t="inlineStr">
        <is>
          <t>No</t>
        </is>
      </c>
      <c r="X1648" s="16" t="inlineStr">
        <is>
          <t>Yes</t>
        </is>
      </c>
      <c r="Y1648" s="20" t="n">
        <v>3</v>
      </c>
      <c r="Z1648" s="19" t="n">
        <v>0.0023</v>
      </c>
      <c r="AA1648" s="18" t="n"/>
      <c r="AB1648" s="16" t="n"/>
      <c r="AC1648" s="16" t="inlineStr">
        <is>
          <t>No</t>
        </is>
      </c>
      <c r="AD1648" s="19" t="n"/>
      <c r="AE1648" s="19" t="n"/>
      <c r="AF1648" s="19" t="n"/>
      <c r="AG1648" s="19" t="n"/>
      <c r="AH1648" s="23" t="n"/>
      <c r="AI1648" s="23" t="n"/>
      <c r="AJ1648" s="19" t="n"/>
    </row>
    <row r="1649">
      <c r="A1649" s="16" t="inlineStr">
        <is>
          <t>DWARKESH</t>
        </is>
      </c>
      <c r="B1649" s="16" t="inlineStr">
        <is>
          <t>Dwarikesh Sugar Industries Ltd.</t>
        </is>
      </c>
      <c r="C1649" s="16" t="inlineStr">
        <is>
          <t>Sugar</t>
        </is>
      </c>
      <c r="D1649" s="16" t="inlineStr">
        <is>
          <t>Food, Beverages &amp; Tobacco</t>
        </is>
      </c>
      <c r="E1649" s="16" t="inlineStr">
        <is>
          <t>INE366A01041</t>
        </is>
      </c>
      <c r="F1649" s="17" t="n">
        <v>876.66</v>
      </c>
      <c r="G1649" s="18" t="n">
        <v>47.31</v>
      </c>
      <c r="H1649" s="19" t="n">
        <v>-0.0408</v>
      </c>
      <c r="I1649" s="20" t="n">
        <v>56</v>
      </c>
      <c r="J1649" s="16" t="inlineStr">
        <is>
          <t>red</t>
        </is>
      </c>
      <c r="K1649" s="20" t="n">
        <v>1</v>
      </c>
      <c r="L1649" s="18" t="n">
        <v>54.69</v>
      </c>
      <c r="M1649" s="18" t="n">
        <v>50.47</v>
      </c>
      <c r="N1649" s="18" t="n">
        <v>44.7</v>
      </c>
      <c r="O1649" s="18" t="n">
        <v>41.46</v>
      </c>
      <c r="P1649" s="18" t="n">
        <v>55.38</v>
      </c>
      <c r="Q1649" s="18" t="n">
        <v>32.44</v>
      </c>
      <c r="R1649" s="21">
        <f>IF(OR(G1649="",P1649=""),"",G1649/P1649-1)</f>
        <v/>
      </c>
      <c r="S1649" s="19" t="n">
        <v>0.4359</v>
      </c>
      <c r="T1649" s="22" t="n">
        <v>0.0134</v>
      </c>
      <c r="U1649" s="16" t="inlineStr">
        <is>
          <t>Yes</t>
        </is>
      </c>
      <c r="V1649" s="16" t="inlineStr">
        <is>
          <t>Yes</t>
        </is>
      </c>
      <c r="W1649" s="16" t="inlineStr">
        <is>
          <t>No</t>
        </is>
      </c>
      <c r="X1649" s="16" t="inlineStr">
        <is>
          <t>Yes</t>
        </is>
      </c>
      <c r="Y1649" s="20" t="n">
        <v>92</v>
      </c>
      <c r="Z1649" s="19" t="n">
        <v>0.0781</v>
      </c>
      <c r="AA1649" s="18" t="n">
        <v>23.01</v>
      </c>
      <c r="AB1649" s="16" t="inlineStr">
        <is>
          <t>Poor</t>
        </is>
      </c>
      <c r="AC1649" s="16" t="inlineStr">
        <is>
          <t>No</t>
        </is>
      </c>
      <c r="AD1649" s="19" t="n">
        <v>0.0559</v>
      </c>
      <c r="AE1649" s="19" t="n">
        <v>0.077</v>
      </c>
      <c r="AF1649" s="19" t="n">
        <v>-0.2001</v>
      </c>
      <c r="AG1649" s="19" t="n">
        <v>-0.1187</v>
      </c>
      <c r="AH1649" s="23" t="n">
        <v>0.41</v>
      </c>
      <c r="AI1649" s="23" t="n">
        <v>2.65</v>
      </c>
      <c r="AJ1649" s="19" t="n">
        <v>0</v>
      </c>
    </row>
    <row r="1650">
      <c r="A1650" s="16" t="inlineStr">
        <is>
          <t>NRL</t>
        </is>
      </c>
      <c r="B1650" s="16" t="inlineStr">
        <is>
          <t>Nupur Recyclers Ltd.</t>
        </is>
      </c>
      <c r="C1650" s="16" t="inlineStr">
        <is>
          <t>Commodity Trading  &amp; Distribution</t>
        </is>
      </c>
      <c r="D1650" s="16" t="inlineStr">
        <is>
          <t>Commercial Services &amp; Supplies</t>
        </is>
      </c>
      <c r="E1650" s="16" t="inlineStr">
        <is>
          <t>INE0JM501013</t>
        </is>
      </c>
      <c r="F1650" s="17" t="n">
        <v>876.62</v>
      </c>
      <c r="G1650" s="18" t="n">
        <v>126.92</v>
      </c>
      <c r="H1650" s="19" t="n">
        <v>0.0199</v>
      </c>
      <c r="I1650" s="20" t="n">
        <v>94</v>
      </c>
      <c r="J1650" s="16" t="inlineStr">
        <is>
          <t>green</t>
        </is>
      </c>
      <c r="K1650" s="20" t="n">
        <v>55</v>
      </c>
      <c r="L1650" s="18" t="n">
        <v>70.51000000000001</v>
      </c>
      <c r="M1650" s="18" t="n">
        <v>123.68</v>
      </c>
      <c r="N1650" s="18" t="n">
        <v>109.48</v>
      </c>
      <c r="O1650" s="18" t="n">
        <v>70.59999999999999</v>
      </c>
      <c r="P1650" s="18" t="n">
        <v>126.92</v>
      </c>
      <c r="Q1650" s="18" t="n">
        <v>46.75</v>
      </c>
      <c r="R1650" s="21">
        <f>IF(OR(G1650="",P1650=""),"",G1650/P1650-1)</f>
        <v/>
      </c>
      <c r="S1650" s="19" t="n">
        <v>1.5483</v>
      </c>
      <c r="T1650" s="22" t="n">
        <v>0.0805</v>
      </c>
      <c r="U1650" s="16" t="inlineStr">
        <is>
          <t>Yes</t>
        </is>
      </c>
      <c r="V1650" s="16" t="inlineStr">
        <is>
          <t>Yes</t>
        </is>
      </c>
      <c r="W1650" s="16" t="inlineStr">
        <is>
          <t>Yes</t>
        </is>
      </c>
      <c r="X1650" s="16" t="inlineStr">
        <is>
          <t>Yes</t>
        </is>
      </c>
      <c r="Y1650" s="20" t="n">
        <v>57</v>
      </c>
      <c r="Z1650" s="19" t="n">
        <v>0.5507</v>
      </c>
      <c r="AA1650" s="18" t="n">
        <v>40</v>
      </c>
      <c r="AB1650" s="16" t="inlineStr">
        <is>
          <t>Weak</t>
        </is>
      </c>
      <c r="AC1650" s="16" t="inlineStr">
        <is>
          <t>No</t>
        </is>
      </c>
      <c r="AD1650" s="19" t="n">
        <v>0.1043</v>
      </c>
      <c r="AE1650" s="19" t="n">
        <v>0.1512</v>
      </c>
      <c r="AF1650" s="19" t="n">
        <v>-0.1335</v>
      </c>
      <c r="AG1650" s="19" t="n">
        <v>0.1028</v>
      </c>
      <c r="AH1650" s="23" t="n">
        <v>0.25</v>
      </c>
      <c r="AI1650" s="23" t="n">
        <v>5.37</v>
      </c>
      <c r="AJ1650" s="19" t="n">
        <v>0.1396</v>
      </c>
    </row>
    <row r="1651">
      <c r="A1651" s="16" t="inlineStr">
        <is>
          <t>MAFATIND</t>
        </is>
      </c>
      <c r="B1651" s="16" t="inlineStr">
        <is>
          <t>Mafatlal Industries Ltd.</t>
        </is>
      </c>
      <c r="C1651" s="16" t="inlineStr">
        <is>
          <t>Textiles</t>
        </is>
      </c>
      <c r="D1651" s="16" t="inlineStr">
        <is>
          <t>Textiles Apparels &amp; Accessories</t>
        </is>
      </c>
      <c r="E1651" s="16" t="inlineStr">
        <is>
          <t>INE270B01035</t>
        </is>
      </c>
      <c r="F1651" s="17" t="n">
        <v>874.04</v>
      </c>
      <c r="G1651" s="18" t="n">
        <v>121.55</v>
      </c>
      <c r="H1651" s="19" t="n">
        <v>-0.008199999999999999</v>
      </c>
      <c r="I1651" s="20" t="n">
        <v>21</v>
      </c>
      <c r="J1651" s="16" t="inlineStr">
        <is>
          <t>red</t>
        </is>
      </c>
      <c r="K1651" s="20" t="n">
        <v>50</v>
      </c>
      <c r="L1651" s="18" t="n">
        <v>41.26</v>
      </c>
      <c r="M1651" s="18" t="n">
        <v>121.78</v>
      </c>
      <c r="N1651" s="18" t="n">
        <v>130.11</v>
      </c>
      <c r="O1651" s="18" t="n">
        <v>134.87</v>
      </c>
      <c r="P1651" s="18" t="n">
        <v>193.77</v>
      </c>
      <c r="Q1651" s="18" t="n">
        <v>107.19</v>
      </c>
      <c r="R1651" s="21">
        <f>IF(OR(G1651="",P1651=""),"",G1651/P1651-1)</f>
        <v/>
      </c>
      <c r="S1651" s="19" t="n">
        <v>0.8529000000000001</v>
      </c>
      <c r="T1651" s="22" t="n">
        <v>-0.0357</v>
      </c>
      <c r="U1651" s="16" t="inlineStr">
        <is>
          <t>No</t>
        </is>
      </c>
      <c r="V1651" s="16" t="inlineStr">
        <is>
          <t>No</t>
        </is>
      </c>
      <c r="W1651" s="16" t="inlineStr">
        <is>
          <t>No</t>
        </is>
      </c>
      <c r="X1651" s="16" t="inlineStr">
        <is>
          <t>No</t>
        </is>
      </c>
      <c r="Y1651" s="20" t="n">
        <v>131</v>
      </c>
      <c r="Z1651" s="19" t="n">
        <v>-0.0353</v>
      </c>
      <c r="AA1651" s="18" t="n"/>
      <c r="AB1651" s="16" t="n"/>
      <c r="AC1651" s="16" t="inlineStr">
        <is>
          <t>No</t>
        </is>
      </c>
      <c r="AD1651" s="19" t="n"/>
      <c r="AE1651" s="19" t="n"/>
      <c r="AF1651" s="19" t="n"/>
      <c r="AG1651" s="19" t="n"/>
      <c r="AH1651" s="23" t="n"/>
      <c r="AI1651" s="23" t="n"/>
      <c r="AJ1651" s="19" t="n"/>
    </row>
    <row r="1652">
      <c r="A1652" s="16" t="inlineStr">
        <is>
          <t>ARIHANTCAP</t>
        </is>
      </c>
      <c r="B1652" s="16" t="inlineStr">
        <is>
          <t>Arihant Capital Markets Ltd.</t>
        </is>
      </c>
      <c r="C1652" s="16" t="inlineStr">
        <is>
          <t>Capital Markets</t>
        </is>
      </c>
      <c r="D1652" s="16" t="inlineStr">
        <is>
          <t>Banking and Finance</t>
        </is>
      </c>
      <c r="E1652" s="16" t="inlineStr">
        <is>
          <t>INE420B01036</t>
        </is>
      </c>
      <c r="F1652" s="17" t="n">
        <v>873.5</v>
      </c>
      <c r="G1652" s="18" t="n">
        <v>79.69</v>
      </c>
      <c r="H1652" s="19" t="n">
        <v>0.0149</v>
      </c>
      <c r="I1652" s="20" t="n">
        <v>43</v>
      </c>
      <c r="J1652" s="16" t="inlineStr">
        <is>
          <t>red</t>
        </is>
      </c>
      <c r="K1652" s="20" t="n">
        <v>159</v>
      </c>
      <c r="L1652" s="18" t="n">
        <v>66.68000000000001</v>
      </c>
      <c r="M1652" s="18" t="n">
        <v>79.05</v>
      </c>
      <c r="N1652" s="18" t="n">
        <v>75.59</v>
      </c>
      <c r="O1652" s="18" t="n">
        <v>77.31</v>
      </c>
      <c r="P1652" s="18" t="n">
        <v>117.13</v>
      </c>
      <c r="Q1652" s="18" t="n">
        <v>58.19</v>
      </c>
      <c r="R1652" s="21">
        <f>IF(OR(G1652="",P1652=""),"",G1652/P1652-1)</f>
        <v/>
      </c>
      <c r="S1652" s="19" t="n">
        <v>1.058</v>
      </c>
      <c r="T1652" s="22" t="n">
        <v>-0.0315</v>
      </c>
      <c r="U1652" s="16" t="inlineStr">
        <is>
          <t>No</t>
        </is>
      </c>
      <c r="V1652" s="16" t="inlineStr">
        <is>
          <t>Yes</t>
        </is>
      </c>
      <c r="W1652" s="16" t="inlineStr">
        <is>
          <t>Yes</t>
        </is>
      </c>
      <c r="X1652" s="16" t="inlineStr">
        <is>
          <t>No</t>
        </is>
      </c>
      <c r="Y1652" s="20" t="n">
        <v>151</v>
      </c>
      <c r="Z1652" s="19" t="n">
        <v>-0.0223</v>
      </c>
      <c r="AA1652" s="18" t="n">
        <v>64.39</v>
      </c>
      <c r="AB1652" s="16" t="inlineStr">
        <is>
          <t>High</t>
        </is>
      </c>
      <c r="AC1652" s="16" t="inlineStr">
        <is>
          <t>Yes</t>
        </is>
      </c>
      <c r="AD1652" s="19" t="n">
        <v>0.1475</v>
      </c>
      <c r="AE1652" s="19" t="n">
        <v>0.1818</v>
      </c>
      <c r="AF1652" s="19" t="n">
        <v>0.2485</v>
      </c>
      <c r="AG1652" s="19" t="n">
        <v>0.1901</v>
      </c>
      <c r="AH1652" s="23" t="n">
        <v>0.54</v>
      </c>
      <c r="AI1652" s="23" t="n">
        <v>4.5</v>
      </c>
      <c r="AJ1652" s="19" t="n">
        <v>0</v>
      </c>
    </row>
    <row r="1653">
      <c r="A1653" s="16" t="inlineStr">
        <is>
          <t>HEXATRADEX</t>
        </is>
      </c>
      <c r="B1653" s="16" t="inlineStr">
        <is>
          <t>Hexa Tradex Ltd.</t>
        </is>
      </c>
      <c r="C1653" s="16" t="inlineStr">
        <is>
          <t>Other Financial Services</t>
        </is>
      </c>
      <c r="D1653" s="16" t="inlineStr">
        <is>
          <t>Banking and Finance</t>
        </is>
      </c>
      <c r="E1653" s="16" t="inlineStr">
        <is>
          <t>INE750M01017</t>
        </is>
      </c>
      <c r="F1653" s="17" t="n">
        <v>870.9299999999999</v>
      </c>
      <c r="G1653" s="18" t="n">
        <v>157.65</v>
      </c>
      <c r="H1653" s="19" t="n">
        <v>-0.0022</v>
      </c>
      <c r="I1653" s="20" t="n">
        <v>29</v>
      </c>
      <c r="J1653" s="16" t="inlineStr">
        <is>
          <t>red</t>
        </is>
      </c>
      <c r="K1653" s="20" t="n">
        <v>107</v>
      </c>
      <c r="L1653" s="18" t="n">
        <v>50.76</v>
      </c>
      <c r="M1653" s="18" t="n">
        <v>158.81</v>
      </c>
      <c r="N1653" s="18" t="n">
        <v>158.81</v>
      </c>
      <c r="O1653" s="18" t="n">
        <v>161.76</v>
      </c>
      <c r="P1653" s="18" t="n">
        <v>182.38</v>
      </c>
      <c r="Q1653" s="18" t="n">
        <v>155.04</v>
      </c>
      <c r="R1653" s="21">
        <f>IF(OR(G1653="",P1653=""),"",G1653/P1653-1)</f>
        <v/>
      </c>
      <c r="S1653" s="19" t="n">
        <v>0.3864</v>
      </c>
      <c r="T1653" s="22" t="n">
        <v>-0.009000000000000001</v>
      </c>
      <c r="U1653" s="16" t="inlineStr">
        <is>
          <t>No</t>
        </is>
      </c>
      <c r="V1653" s="16" t="inlineStr">
        <is>
          <t>No</t>
        </is>
      </c>
      <c r="W1653" s="16" t="inlineStr">
        <is>
          <t>No</t>
        </is>
      </c>
      <c r="X1653" s="16" t="inlineStr">
        <is>
          <t>No</t>
        </is>
      </c>
      <c r="Y1653" s="20" t="n">
        <v>380</v>
      </c>
      <c r="Z1653" s="19" t="n">
        <v>-0.0183</v>
      </c>
      <c r="AA1653" s="18" t="n">
        <v>48.73</v>
      </c>
      <c r="AB1653" s="16" t="inlineStr">
        <is>
          <t>Average</t>
        </is>
      </c>
      <c r="AC1653" s="16" t="inlineStr">
        <is>
          <t>Yes</t>
        </is>
      </c>
      <c r="AD1653" s="19" t="n">
        <v>0.005500000000000001</v>
      </c>
      <c r="AE1653" s="19" t="n">
        <v>0.0089</v>
      </c>
      <c r="AF1653" s="19" t="n">
        <v>1.4428</v>
      </c>
      <c r="AG1653" s="19" t="n">
        <v>29.2975</v>
      </c>
      <c r="AH1653" s="23" t="n">
        <v>0</v>
      </c>
      <c r="AI1653" s="23" t="n"/>
      <c r="AJ1653" s="19" t="n"/>
    </row>
    <row r="1654">
      <c r="A1654" s="16" t="inlineStr">
        <is>
          <t>SWELECTES</t>
        </is>
      </c>
      <c r="B1654" s="16" t="inlineStr">
        <is>
          <t>Swelect Energy Systems Ltd.</t>
        </is>
      </c>
      <c r="C1654" s="16" t="inlineStr">
        <is>
          <t>Heavy Electrical Equipment</t>
        </is>
      </c>
      <c r="D1654" s="16" t="inlineStr">
        <is>
          <t>General Industrials</t>
        </is>
      </c>
      <c r="E1654" s="16" t="inlineStr">
        <is>
          <t>INE409B01013</t>
        </is>
      </c>
      <c r="F1654" s="17" t="n">
        <v>867.84</v>
      </c>
      <c r="G1654" s="18" t="n">
        <v>572.5</v>
      </c>
      <c r="H1654" s="19" t="n">
        <v>-0.0076</v>
      </c>
      <c r="I1654" s="20" t="n">
        <v>23</v>
      </c>
      <c r="J1654" s="16" t="inlineStr">
        <is>
          <t>red</t>
        </is>
      </c>
      <c r="K1654" s="20" t="n">
        <v>59</v>
      </c>
      <c r="L1654" s="18" t="n">
        <v>16.39</v>
      </c>
      <c r="M1654" s="18" t="n">
        <v>587.5599999999999</v>
      </c>
      <c r="N1654" s="18" t="n">
        <v>621.48</v>
      </c>
      <c r="O1654" s="18" t="n">
        <v>606.1900000000001</v>
      </c>
      <c r="P1654" s="18" t="n">
        <v>928.84</v>
      </c>
      <c r="Q1654" s="18" t="n">
        <v>493.57</v>
      </c>
      <c r="R1654" s="21">
        <f>IF(OR(G1654="",P1654=""),"",G1654/P1654-1)</f>
        <v/>
      </c>
      <c r="S1654" s="19" t="n">
        <v>0.604</v>
      </c>
      <c r="T1654" s="22" t="n">
        <v>-0.0286</v>
      </c>
      <c r="U1654" s="16" t="inlineStr">
        <is>
          <t>No</t>
        </is>
      </c>
      <c r="V1654" s="16" t="inlineStr">
        <is>
          <t>No</t>
        </is>
      </c>
      <c r="W1654" s="16" t="inlineStr">
        <is>
          <t>No</t>
        </is>
      </c>
      <c r="X1654" s="16" t="inlineStr">
        <is>
          <t>Yes</t>
        </is>
      </c>
      <c r="Y1654" s="20" t="n">
        <v>23</v>
      </c>
      <c r="Z1654" s="19" t="n">
        <v>0.0252</v>
      </c>
      <c r="AA1654" s="18" t="n">
        <v>43.75</v>
      </c>
      <c r="AB1654" s="16" t="inlineStr">
        <is>
          <t>Average</t>
        </is>
      </c>
      <c r="AC1654" s="16" t="inlineStr">
        <is>
          <t>No</t>
        </is>
      </c>
      <c r="AD1654" s="19" t="n">
        <v>0.0495</v>
      </c>
      <c r="AE1654" s="19" t="n">
        <v>0.073</v>
      </c>
      <c r="AF1654" s="19" t="n">
        <v>3.8025</v>
      </c>
      <c r="AG1654" s="19" t="n">
        <v>0.5514</v>
      </c>
      <c r="AH1654" s="23" t="n">
        <v>0.87</v>
      </c>
      <c r="AI1654" s="23" t="n">
        <v>0.75</v>
      </c>
      <c r="AJ1654" s="19" t="n">
        <v>0.1869</v>
      </c>
    </row>
    <row r="1655">
      <c r="A1655" s="16" t="inlineStr">
        <is>
          <t>VILAS</t>
        </is>
      </c>
      <c r="B1655" s="16" t="inlineStr">
        <is>
          <t>Vilas Transcore Ltd.</t>
        </is>
      </c>
      <c r="C1655" s="16" t="inlineStr">
        <is>
          <t>Heavy Electrical Equipment</t>
        </is>
      </c>
      <c r="D1655" s="16" t="inlineStr">
        <is>
          <t>General Industrials</t>
        </is>
      </c>
      <c r="E1655" s="16" t="inlineStr">
        <is>
          <t>INE0AZY01017</t>
        </is>
      </c>
      <c r="F1655" s="17" t="n">
        <v>865.86</v>
      </c>
      <c r="G1655" s="18" t="n">
        <v>353.7</v>
      </c>
      <c r="H1655" s="19" t="n">
        <v>-0.0067</v>
      </c>
      <c r="I1655" s="20" t="n">
        <v>21</v>
      </c>
      <c r="J1655" s="16" t="inlineStr">
        <is>
          <t>red</t>
        </is>
      </c>
      <c r="K1655" s="20" t="n">
        <v>82</v>
      </c>
      <c r="L1655" s="18" t="n">
        <v>49.23</v>
      </c>
      <c r="M1655" s="18" t="n">
        <v>355.36</v>
      </c>
      <c r="N1655" s="18" t="n">
        <v>364.85</v>
      </c>
      <c r="O1655" s="18" t="n">
        <v>382.36</v>
      </c>
      <c r="P1655" s="18" t="n">
        <v>598.25</v>
      </c>
      <c r="Q1655" s="18" t="n">
        <v>324.65</v>
      </c>
      <c r="R1655" s="21">
        <f>IF(OR(G1655="",P1655=""),"",G1655/P1655-1)</f>
        <v/>
      </c>
      <c r="S1655" s="19" t="n">
        <v>0.9617</v>
      </c>
      <c r="T1655" s="22" t="n">
        <v>-0.0197</v>
      </c>
      <c r="U1655" s="16" t="inlineStr">
        <is>
          <t>No</t>
        </is>
      </c>
      <c r="V1655" s="16" t="inlineStr">
        <is>
          <t>No</t>
        </is>
      </c>
      <c r="W1655" s="16" t="inlineStr">
        <is>
          <t>No</t>
        </is>
      </c>
      <c r="X1655" s="16" t="inlineStr">
        <is>
          <t>No</t>
        </is>
      </c>
      <c r="Y1655" s="20" t="n">
        <v>193</v>
      </c>
      <c r="Z1655" s="19" t="n">
        <v>-0.0458</v>
      </c>
      <c r="AA1655" s="18" t="n"/>
      <c r="AB1655" s="16" t="n"/>
      <c r="AC1655" s="16" t="inlineStr">
        <is>
          <t>No</t>
        </is>
      </c>
      <c r="AD1655" s="19" t="n"/>
      <c r="AE1655" s="19" t="n"/>
      <c r="AF1655" s="19" t="n"/>
      <c r="AG1655" s="19" t="n"/>
      <c r="AH1655" s="23" t="n"/>
      <c r="AI1655" s="23" t="n"/>
      <c r="AJ1655" s="19" t="n"/>
    </row>
    <row r="1656">
      <c r="A1656" s="16" t="inlineStr">
        <is>
          <t>MBECL</t>
        </is>
      </c>
      <c r="B1656" s="16" t="inlineStr">
        <is>
          <t>McNally Bharat Engineering Company Ltd.</t>
        </is>
      </c>
      <c r="C1656" s="16" t="inlineStr">
        <is>
          <t>Construction &amp; Engineering</t>
        </is>
      </c>
      <c r="D1656" s="16" t="inlineStr">
        <is>
          <t>Cement and Construction</t>
        </is>
      </c>
      <c r="E1656" s="16" t="inlineStr">
        <is>
          <t>INE748A01024</t>
        </is>
      </c>
      <c r="F1656" s="17" t="n">
        <v>862.97</v>
      </c>
      <c r="G1656" s="18" t="n">
        <v>258.89</v>
      </c>
      <c r="H1656" s="19" t="n">
        <v>0.05</v>
      </c>
      <c r="I1656" s="20" t="n">
        <v>99</v>
      </c>
      <c r="J1656" s="16" t="inlineStr">
        <is>
          <t>green</t>
        </is>
      </c>
      <c r="K1656" s="20" t="n">
        <v>4</v>
      </c>
      <c r="L1656" s="18" t="n">
        <v>100</v>
      </c>
      <c r="M1656" s="18" t="n">
        <v>153.19</v>
      </c>
      <c r="N1656" s="18" t="n">
        <v>79.45</v>
      </c>
      <c r="O1656" s="18" t="n">
        <v>68.91</v>
      </c>
      <c r="P1656" s="18" t="n">
        <v>258.89</v>
      </c>
      <c r="Q1656" s="18" t="n">
        <v>65.40000000000001</v>
      </c>
      <c r="R1656" s="21">
        <f>IF(OR(G1656="",P1656=""),"",G1656/P1656-1)</f>
        <v/>
      </c>
      <c r="S1656" s="19" t="n">
        <v>4.0665</v>
      </c>
      <c r="T1656" s="22" t="n">
        <v>0.0537</v>
      </c>
      <c r="U1656" s="16" t="inlineStr">
        <is>
          <t>Yes</t>
        </is>
      </c>
      <c r="V1656" s="16" t="inlineStr">
        <is>
          <t>Yes</t>
        </is>
      </c>
      <c r="W1656" s="16" t="inlineStr">
        <is>
          <t>Yes</t>
        </is>
      </c>
      <c r="X1656" s="16" t="inlineStr">
        <is>
          <t>Yes</t>
        </is>
      </c>
      <c r="Y1656" s="20" t="n">
        <v>4</v>
      </c>
      <c r="Z1656" s="19" t="n">
        <v>0.1529</v>
      </c>
      <c r="AA1656" s="18" t="n"/>
      <c r="AB1656" s="16" t="n"/>
      <c r="AC1656" s="16" t="inlineStr">
        <is>
          <t>No</t>
        </is>
      </c>
      <c r="AD1656" s="19" t="n"/>
      <c r="AE1656" s="19" t="n"/>
      <c r="AF1656" s="19" t="n"/>
      <c r="AG1656" s="19" t="n"/>
      <c r="AH1656" s="23" t="n"/>
      <c r="AI1656" s="23" t="n"/>
      <c r="AJ1656" s="19" t="n"/>
    </row>
    <row r="1657">
      <c r="A1657" s="16" t="inlineStr">
        <is>
          <t>WANBURY</t>
        </is>
      </c>
      <c r="B1657" s="16" t="inlineStr">
        <is>
          <t>Wanbury Ltd.</t>
        </is>
      </c>
      <c r="C1657" s="16" t="inlineStr">
        <is>
          <t>Pharmaceuticals</t>
        </is>
      </c>
      <c r="D1657" s="16" t="inlineStr">
        <is>
          <t>Pharmaceuticals &amp; Biotechnology</t>
        </is>
      </c>
      <c r="E1657" s="16" t="inlineStr">
        <is>
          <t>INE107F01022</t>
        </is>
      </c>
      <c r="F1657" s="17" t="n">
        <v>860.89</v>
      </c>
      <c r="G1657" s="18" t="n">
        <v>246.2</v>
      </c>
      <c r="H1657" s="19" t="n">
        <v>0.0117</v>
      </c>
      <c r="I1657" s="20" t="n">
        <v>30</v>
      </c>
      <c r="J1657" s="16" t="inlineStr">
        <is>
          <t>red</t>
        </is>
      </c>
      <c r="K1657" s="20" t="n">
        <v>22</v>
      </c>
      <c r="L1657" s="18" t="n">
        <v>46.19</v>
      </c>
      <c r="M1657" s="18" t="n">
        <v>252.04</v>
      </c>
      <c r="N1657" s="18" t="n">
        <v>284.17</v>
      </c>
      <c r="O1657" s="18" t="n">
        <v>256.02</v>
      </c>
      <c r="P1657" s="18" t="n">
        <v>344.75</v>
      </c>
      <c r="Q1657" s="18" t="n">
        <v>163.34</v>
      </c>
      <c r="R1657" s="21">
        <f>IF(OR(G1657="",P1657=""),"",G1657/P1657-1)</f>
        <v/>
      </c>
      <c r="S1657" s="19" t="n">
        <v>0.1421</v>
      </c>
      <c r="T1657" s="22" t="n">
        <v>0.0037</v>
      </c>
      <c r="U1657" s="16" t="inlineStr">
        <is>
          <t>Yes</t>
        </is>
      </c>
      <c r="V1657" s="16" t="inlineStr">
        <is>
          <t>No</t>
        </is>
      </c>
      <c r="W1657" s="16" t="inlineStr">
        <is>
          <t>No</t>
        </is>
      </c>
      <c r="X1657" s="16" t="inlineStr">
        <is>
          <t>Yes</t>
        </is>
      </c>
      <c r="Y1657" s="20" t="n">
        <v>100</v>
      </c>
      <c r="Z1657" s="19" t="n">
        <v>0.11</v>
      </c>
      <c r="AA1657" s="18" t="n">
        <v>62.4</v>
      </c>
      <c r="AB1657" s="16" t="inlineStr">
        <is>
          <t>Good</t>
        </is>
      </c>
      <c r="AC1657" s="16" t="inlineStr">
        <is>
          <t>No</t>
        </is>
      </c>
      <c r="AD1657" s="19" t="n">
        <v>0.9918</v>
      </c>
      <c r="AE1657" s="19" t="n">
        <v>0.3733</v>
      </c>
      <c r="AF1657" s="19" t="n">
        <v>1.6143</v>
      </c>
      <c r="AG1657" s="19" t="n">
        <v>0.09380000000000001</v>
      </c>
      <c r="AH1657" s="23" t="n">
        <v>1.55</v>
      </c>
      <c r="AI1657" s="23" t="n">
        <v>2.58</v>
      </c>
      <c r="AJ1657" s="19" t="n">
        <v>0.1009</v>
      </c>
    </row>
    <row r="1658">
      <c r="A1658" s="16" t="inlineStr">
        <is>
          <t>FAIRCHEMOR</t>
        </is>
      </c>
      <c r="B1658" s="16" t="inlineStr">
        <is>
          <t>Fairchem Organics Ltd.</t>
        </is>
      </c>
      <c r="C1658" s="16" t="inlineStr">
        <is>
          <t>Commodity Chemicals</t>
        </is>
      </c>
      <c r="D1658" s="16" t="inlineStr">
        <is>
          <t>Chemicals &amp; Petrochemicals</t>
        </is>
      </c>
      <c r="E1658" s="16" t="inlineStr">
        <is>
          <t>INE0DNW01011</t>
        </is>
      </c>
      <c r="F1658" s="17" t="n">
        <v>859.7</v>
      </c>
      <c r="G1658" s="18" t="n">
        <v>660.25</v>
      </c>
      <c r="H1658" s="19" t="n">
        <v>-0.0013</v>
      </c>
      <c r="I1658" s="20" t="n">
        <v>47</v>
      </c>
      <c r="J1658" s="16" t="inlineStr">
        <is>
          <t>red</t>
        </is>
      </c>
      <c r="K1658" s="20" t="n">
        <v>18</v>
      </c>
      <c r="L1658" s="18" t="n">
        <v>38.76</v>
      </c>
      <c r="M1658" s="18" t="n">
        <v>669.5599999999999</v>
      </c>
      <c r="N1658" s="18" t="n">
        <v>717.5</v>
      </c>
      <c r="O1658" s="18" t="n">
        <v>640.5700000000001</v>
      </c>
      <c r="P1658" s="18" t="n">
        <v>846.8</v>
      </c>
      <c r="Q1658" s="18" t="n">
        <v>432.39</v>
      </c>
      <c r="R1658" s="21">
        <f>IF(OR(G1658="",P1658=""),"",G1658/P1658-1)</f>
        <v/>
      </c>
      <c r="S1658" s="19" t="n">
        <v>0.1843</v>
      </c>
      <c r="T1658" s="22" t="n">
        <v>-0.0067</v>
      </c>
      <c r="U1658" s="16" t="inlineStr">
        <is>
          <t>No</t>
        </is>
      </c>
      <c r="V1658" s="16" t="inlineStr">
        <is>
          <t>No</t>
        </is>
      </c>
      <c r="W1658" s="16" t="inlineStr">
        <is>
          <t>No</t>
        </is>
      </c>
      <c r="X1658" s="16" t="inlineStr">
        <is>
          <t>Yes</t>
        </is>
      </c>
      <c r="Y1658" s="20" t="n">
        <v>32</v>
      </c>
      <c r="Z1658" s="19" t="n">
        <v>0.1201</v>
      </c>
      <c r="AA1658" s="18" t="n">
        <v>28.38</v>
      </c>
      <c r="AB1658" s="16" t="inlineStr">
        <is>
          <t>Poor</t>
        </is>
      </c>
      <c r="AC1658" s="16" t="inlineStr">
        <is>
          <t>No</t>
        </is>
      </c>
      <c r="AD1658" s="19" t="n">
        <v>0.0779</v>
      </c>
      <c r="AE1658" s="19" t="n">
        <v>0.1072</v>
      </c>
      <c r="AF1658" s="19" t="n">
        <v>-0.4243</v>
      </c>
      <c r="AG1658" s="19" t="n">
        <v>-0.1069</v>
      </c>
      <c r="AH1658" s="23" t="n">
        <v>0.32</v>
      </c>
      <c r="AI1658" s="23" t="n">
        <v>2.14</v>
      </c>
      <c r="AJ1658" s="19" t="n">
        <v>0.0858</v>
      </c>
    </row>
    <row r="1659">
      <c r="A1659" s="16" t="inlineStr">
        <is>
          <t>SUYOG</t>
        </is>
      </c>
      <c r="B1659" s="16" t="inlineStr">
        <is>
          <t>Suyog Telematics Ltd.</t>
        </is>
      </c>
      <c r="C1659" s="16" t="inlineStr">
        <is>
          <t>Other Telecom Services</t>
        </is>
      </c>
      <c r="D1659" s="16" t="inlineStr">
        <is>
          <t>Telecom Services</t>
        </is>
      </c>
      <c r="E1659" s="16" t="inlineStr">
        <is>
          <t>INE442P01014</t>
        </is>
      </c>
      <c r="F1659" s="17" t="n">
        <v>856.75</v>
      </c>
      <c r="G1659" s="18" t="n">
        <v>731.2</v>
      </c>
      <c r="H1659" s="19" t="n">
        <v>-0.0083</v>
      </c>
      <c r="I1659" s="20" t="n">
        <v>46</v>
      </c>
      <c r="J1659" s="16" t="inlineStr">
        <is>
          <t>red</t>
        </is>
      </c>
      <c r="K1659" s="20" t="n">
        <v>15</v>
      </c>
      <c r="L1659" s="18" t="n">
        <v>23.59</v>
      </c>
      <c r="M1659" s="18" t="n">
        <v>742.91</v>
      </c>
      <c r="N1659" s="18" t="n">
        <v>827.22</v>
      </c>
      <c r="O1659" s="18" t="n">
        <v>719.08</v>
      </c>
      <c r="P1659" s="18" t="n">
        <v>901.4</v>
      </c>
      <c r="Q1659" s="18" t="n">
        <v>535.2</v>
      </c>
      <c r="R1659" s="21">
        <f>IF(OR(G1659="",P1659=""),"",G1659/P1659-1)</f>
        <v/>
      </c>
      <c r="S1659" s="19" t="n">
        <v>0.4225</v>
      </c>
      <c r="T1659" s="22" t="n">
        <v>0.0037</v>
      </c>
      <c r="U1659" s="16" t="inlineStr">
        <is>
          <t>Yes</t>
        </is>
      </c>
      <c r="V1659" s="16" t="inlineStr">
        <is>
          <t>No</t>
        </is>
      </c>
      <c r="W1659" s="16" t="inlineStr">
        <is>
          <t>No</t>
        </is>
      </c>
      <c r="X1659" s="16" t="inlineStr">
        <is>
          <t>Yes</t>
        </is>
      </c>
      <c r="Y1659" s="20" t="n">
        <v>84</v>
      </c>
      <c r="Z1659" s="19" t="n">
        <v>0.1504</v>
      </c>
      <c r="AA1659" s="18" t="n">
        <v>45.68</v>
      </c>
      <c r="AB1659" s="16" t="inlineStr">
        <is>
          <t>Average</t>
        </is>
      </c>
      <c r="AC1659" s="16" t="inlineStr">
        <is>
          <t>No</t>
        </is>
      </c>
      <c r="AD1659" s="19" t="n">
        <v>0.1474</v>
      </c>
      <c r="AE1659" s="19" t="n">
        <v>0.1482</v>
      </c>
      <c r="AF1659" s="19" t="n">
        <v>0.1802</v>
      </c>
      <c r="AG1659" s="19" t="n">
        <v>0.1559</v>
      </c>
      <c r="AH1659" s="23" t="n">
        <v>0.76</v>
      </c>
      <c r="AI1659" s="23" t="n">
        <v>0.34</v>
      </c>
      <c r="AJ1659" s="19" t="n">
        <v>0.1324</v>
      </c>
    </row>
    <row r="1660">
      <c r="A1660" s="16" t="inlineStr">
        <is>
          <t>SICALLOG</t>
        </is>
      </c>
      <c r="B1660" s="16" t="inlineStr">
        <is>
          <t>Sical Logistics Ltd.</t>
        </is>
      </c>
      <c r="C1660" s="16" t="inlineStr">
        <is>
          <t>Warehousing &amp; Logistics</t>
        </is>
      </c>
      <c r="D1660" s="16" t="inlineStr">
        <is>
          <t>Transportation</t>
        </is>
      </c>
      <c r="E1660" s="16" t="inlineStr">
        <is>
          <t>INE075B01020</t>
        </is>
      </c>
      <c r="F1660" s="17" t="n">
        <v>856.33</v>
      </c>
      <c r="G1660" s="18" t="n">
        <v>107.33</v>
      </c>
      <c r="H1660" s="19" t="n">
        <v>-0.0142</v>
      </c>
      <c r="I1660" s="20" t="n">
        <v>78</v>
      </c>
      <c r="J1660" s="16" t="inlineStr">
        <is>
          <t>amber</t>
        </is>
      </c>
      <c r="K1660" s="20" t="n">
        <v>1</v>
      </c>
      <c r="L1660" s="18" t="n">
        <v>47.26</v>
      </c>
      <c r="M1660" s="18" t="n">
        <v>103.62</v>
      </c>
      <c r="N1660" s="18" t="n">
        <v>101.23</v>
      </c>
      <c r="O1660" s="18" t="n">
        <v>83.87</v>
      </c>
      <c r="P1660" s="18" t="n">
        <v>117.4</v>
      </c>
      <c r="Q1660" s="18" t="n">
        <v>63</v>
      </c>
      <c r="R1660" s="21">
        <f>IF(OR(G1660="",P1660=""),"",G1660/P1660-1)</f>
        <v/>
      </c>
      <c r="S1660" s="19" t="n">
        <v>1.8776</v>
      </c>
      <c r="T1660" s="22" t="n">
        <v>0.0179</v>
      </c>
      <c r="U1660" s="16" t="inlineStr">
        <is>
          <t>Yes</t>
        </is>
      </c>
      <c r="V1660" s="16" t="inlineStr">
        <is>
          <t>Yes</t>
        </is>
      </c>
      <c r="W1660" s="16" t="inlineStr">
        <is>
          <t>Yes</t>
        </is>
      </c>
      <c r="X1660" s="16" t="inlineStr">
        <is>
          <t>Yes</t>
        </is>
      </c>
      <c r="Y1660" s="20" t="n">
        <v>33</v>
      </c>
      <c r="Z1660" s="19" t="n">
        <v>0.207</v>
      </c>
      <c r="AA1660" s="18" t="n">
        <v>19.85</v>
      </c>
      <c r="AB1660" s="16" t="inlineStr">
        <is>
          <t>Poor</t>
        </is>
      </c>
      <c r="AC1660" s="16" t="inlineStr">
        <is>
          <t>No</t>
        </is>
      </c>
      <c r="AD1660" s="19" t="n">
        <v>1.6414</v>
      </c>
      <c r="AE1660" s="19" t="n">
        <v>0.07389999999999999</v>
      </c>
      <c r="AF1660" s="19" t="n">
        <v>0.4819</v>
      </c>
      <c r="AG1660" s="19" t="n">
        <v>0.102</v>
      </c>
      <c r="AH1660" s="23" t="n">
        <v>3.69</v>
      </c>
      <c r="AI1660" s="23" t="n">
        <v>0.7</v>
      </c>
      <c r="AJ1660" s="19" t="n">
        <v>0.0076</v>
      </c>
    </row>
    <row r="1661">
      <c r="A1661" s="16" t="inlineStr">
        <is>
          <t>PRADPME</t>
        </is>
      </c>
      <c r="B1661" s="16" t="inlineStr">
        <is>
          <t>Pradeep Metals Ltd.</t>
        </is>
      </c>
      <c r="C1661" s="16" t="inlineStr">
        <is>
          <t>Auto Parts &amp; Equipment</t>
        </is>
      </c>
      <c r="D1661" s="16" t="inlineStr">
        <is>
          <t>Automobiles &amp; Auto Components</t>
        </is>
      </c>
      <c r="E1661" s="16" t="inlineStr">
        <is>
          <t>INE770A01010</t>
        </is>
      </c>
      <c r="F1661" s="17" t="n">
        <v>854.86</v>
      </c>
      <c r="G1661" s="18" t="n">
        <v>495</v>
      </c>
      <c r="H1661" s="19" t="n">
        <v>-0.0039</v>
      </c>
      <c r="I1661" s="20" t="n">
        <v>88</v>
      </c>
      <c r="J1661" s="16" t="inlineStr">
        <is>
          <t>green</t>
        </is>
      </c>
      <c r="K1661" s="20" t="n">
        <v>144</v>
      </c>
      <c r="L1661" s="18" t="n">
        <v>48.06</v>
      </c>
      <c r="M1661" s="18" t="n">
        <v>495.51</v>
      </c>
      <c r="N1661" s="18" t="n">
        <v>516.33</v>
      </c>
      <c r="O1661" s="18" t="n">
        <v>385.94</v>
      </c>
      <c r="P1661" s="18" t="n">
        <v>587.27</v>
      </c>
      <c r="Q1661" s="18" t="n">
        <v>210.27</v>
      </c>
      <c r="R1661" s="21">
        <f>IF(OR(G1661="",P1661=""),"",G1661/P1661-1)</f>
        <v/>
      </c>
      <c r="S1661" s="19" t="n">
        <v>2.9509</v>
      </c>
      <c r="T1661" s="22" t="n">
        <v>0.0755</v>
      </c>
      <c r="U1661" s="16" t="inlineStr">
        <is>
          <t>Yes</t>
        </is>
      </c>
      <c r="V1661" s="16" t="inlineStr">
        <is>
          <t>No</t>
        </is>
      </c>
      <c r="W1661" s="16" t="inlineStr">
        <is>
          <t>No</t>
        </is>
      </c>
      <c r="X1661" s="16" t="inlineStr">
        <is>
          <t>Yes</t>
        </is>
      </c>
      <c r="Y1661" s="20" t="n">
        <v>165</v>
      </c>
      <c r="Z1661" s="19" t="n">
        <v>0.3379</v>
      </c>
      <c r="AA1661" s="18" t="n"/>
      <c r="AB1661" s="16" t="n"/>
      <c r="AC1661" s="16" t="inlineStr">
        <is>
          <t>No</t>
        </is>
      </c>
      <c r="AD1661" s="19" t="n"/>
      <c r="AE1661" s="19" t="n"/>
      <c r="AF1661" s="19" t="n"/>
      <c r="AG1661" s="19" t="n"/>
      <c r="AH1661" s="23" t="n"/>
      <c r="AI1661" s="23" t="n"/>
      <c r="AJ1661" s="19" t="n"/>
    </row>
    <row r="1662">
      <c r="A1662" s="16" t="inlineStr">
        <is>
          <t>RITCO</t>
        </is>
      </c>
      <c r="B1662" s="16" t="inlineStr">
        <is>
          <t>Ritco Logistics Ltd.</t>
        </is>
      </c>
      <c r="C1662" s="16" t="inlineStr">
        <is>
          <t>Warehousing &amp; Logistics</t>
        </is>
      </c>
      <c r="D1662" s="16" t="inlineStr">
        <is>
          <t>Transportation</t>
        </is>
      </c>
      <c r="E1662" s="16" t="inlineStr">
        <is>
          <t>INE01EG01016</t>
        </is>
      </c>
      <c r="F1662" s="17" t="n">
        <v>854.78</v>
      </c>
      <c r="G1662" s="18" t="n">
        <v>301.8</v>
      </c>
      <c r="H1662" s="19" t="n">
        <v>0.0027</v>
      </c>
      <c r="I1662" s="20" t="n">
        <v>68</v>
      </c>
      <c r="J1662" s="16" t="inlineStr">
        <is>
          <t>amber</t>
        </is>
      </c>
      <c r="K1662" s="20" t="n">
        <v>40</v>
      </c>
      <c r="L1662" s="18" t="n">
        <v>57.12</v>
      </c>
      <c r="M1662" s="18" t="n">
        <v>305.91</v>
      </c>
      <c r="N1662" s="18" t="n">
        <v>290.43</v>
      </c>
      <c r="O1662" s="18" t="n">
        <v>254.39</v>
      </c>
      <c r="P1662" s="18" t="n">
        <v>322.7</v>
      </c>
      <c r="Q1662" s="18" t="n">
        <v>177.41</v>
      </c>
      <c r="R1662" s="21">
        <f>IF(OR(G1662="",P1662=""),"",G1662/P1662-1)</f>
        <v/>
      </c>
      <c r="S1662" s="19" t="n">
        <v>0.7706999999999999</v>
      </c>
      <c r="T1662" s="22" t="n">
        <v>0.0192</v>
      </c>
      <c r="U1662" s="16" t="inlineStr">
        <is>
          <t>Yes</t>
        </is>
      </c>
      <c r="V1662" s="16" t="inlineStr">
        <is>
          <t>Yes</t>
        </is>
      </c>
      <c r="W1662" s="16" t="inlineStr">
        <is>
          <t>No</t>
        </is>
      </c>
      <c r="X1662" s="16" t="inlineStr">
        <is>
          <t>Yes</t>
        </is>
      </c>
      <c r="Y1662" s="20" t="n">
        <v>51</v>
      </c>
      <c r="Z1662" s="19" t="n">
        <v>0.1417</v>
      </c>
      <c r="AA1662" s="18" t="n">
        <v>45.05</v>
      </c>
      <c r="AB1662" s="16" t="inlineStr">
        <is>
          <t>Average</t>
        </is>
      </c>
      <c r="AC1662" s="16" t="inlineStr">
        <is>
          <t>No</t>
        </is>
      </c>
      <c r="AD1662" s="19" t="n">
        <v>0.1365</v>
      </c>
      <c r="AE1662" s="19" t="n">
        <v>0.1208</v>
      </c>
      <c r="AF1662" s="19" t="n">
        <v>0.1045</v>
      </c>
      <c r="AG1662" s="19" t="n">
        <v>0.2591</v>
      </c>
      <c r="AH1662" s="23" t="n">
        <v>1.3</v>
      </c>
      <c r="AI1662" s="23" t="n">
        <v>7.13</v>
      </c>
      <c r="AJ1662" s="19" t="n">
        <v>0</v>
      </c>
    </row>
    <row r="1663">
      <c r="A1663" s="16" t="inlineStr">
        <is>
          <t>YSL</t>
        </is>
      </c>
      <c r="B1663" s="16" t="inlineStr">
        <is>
          <t>The Yamuna Syndicate Ltd.</t>
        </is>
      </c>
      <c r="C1663" s="16" t="inlineStr">
        <is>
          <t>Commodity Trading  &amp; Distribution</t>
        </is>
      </c>
      <c r="D1663" s="16" t="inlineStr">
        <is>
          <t>Commercial Services &amp; Supplies</t>
        </is>
      </c>
      <c r="E1663" s="16" t="inlineStr">
        <is>
          <t>INE868X01014</t>
        </is>
      </c>
      <c r="F1663" s="17" t="n">
        <v>851.84</v>
      </c>
      <c r="G1663" s="18" t="n">
        <v>27711.05</v>
      </c>
      <c r="H1663" s="19" t="n">
        <v>0.004</v>
      </c>
      <c r="I1663" s="20" t="n">
        <v>26</v>
      </c>
      <c r="J1663" s="16" t="inlineStr">
        <is>
          <t>red</t>
        </is>
      </c>
      <c r="K1663" s="20" t="n">
        <v>317</v>
      </c>
      <c r="L1663" s="18" t="n">
        <v>27.54</v>
      </c>
      <c r="M1663" s="18" t="n">
        <v>28055.26</v>
      </c>
      <c r="N1663" s="18" t="n">
        <v>27254.6</v>
      </c>
      <c r="O1663" s="18" t="n">
        <v>28336.6</v>
      </c>
      <c r="P1663" s="18" t="n">
        <v>37567.97</v>
      </c>
      <c r="Q1663" s="18" t="n">
        <v>24783.06</v>
      </c>
      <c r="R1663" s="21">
        <f>IF(OR(G1663="",P1663=""),"",G1663/P1663-1)</f>
        <v/>
      </c>
      <c r="S1663" s="19" t="n">
        <v>0.2032</v>
      </c>
      <c r="T1663" s="22" t="n">
        <v>-0.021</v>
      </c>
      <c r="U1663" s="16" t="inlineStr">
        <is>
          <t>No</t>
        </is>
      </c>
      <c r="V1663" s="16" t="inlineStr">
        <is>
          <t>Yes</t>
        </is>
      </c>
      <c r="W1663" s="16" t="inlineStr">
        <is>
          <t>No</t>
        </is>
      </c>
      <c r="X1663" s="16" t="inlineStr">
        <is>
          <t>No</t>
        </is>
      </c>
      <c r="Y1663" s="20" t="n">
        <v>239</v>
      </c>
      <c r="Z1663" s="19" t="n">
        <v>-0.0382</v>
      </c>
      <c r="AA1663" s="18" t="n"/>
      <c r="AB1663" s="16" t="n"/>
      <c r="AC1663" s="16" t="inlineStr">
        <is>
          <t>No</t>
        </is>
      </c>
      <c r="AD1663" s="19" t="n"/>
      <c r="AE1663" s="19" t="n"/>
      <c r="AF1663" s="19" t="n"/>
      <c r="AG1663" s="19" t="n"/>
      <c r="AH1663" s="23" t="n"/>
      <c r="AI1663" s="23" t="n"/>
      <c r="AJ1663" s="19" t="n"/>
    </row>
    <row r="1664">
      <c r="A1664" s="16" t="inlineStr">
        <is>
          <t>SURAJEST</t>
        </is>
      </c>
      <c r="B1664" s="16" t="inlineStr">
        <is>
          <t>Suraj Estate Developers Ltd.</t>
        </is>
      </c>
      <c r="C1664" s="16" t="inlineStr">
        <is>
          <t>Realty</t>
        </is>
      </c>
      <c r="D1664" s="16" t="inlineStr">
        <is>
          <t>Realty</t>
        </is>
      </c>
      <c r="E1664" s="16" t="inlineStr">
        <is>
          <t>INE843S01025</t>
        </is>
      </c>
      <c r="F1664" s="17" t="n">
        <v>851.5599999999999</v>
      </c>
      <c r="G1664" s="18" t="n">
        <v>178.25</v>
      </c>
      <c r="H1664" s="19" t="n">
        <v>0.0025</v>
      </c>
      <c r="I1664" s="20" t="n">
        <v>7</v>
      </c>
      <c r="J1664" s="16" t="inlineStr">
        <is>
          <t>red</t>
        </is>
      </c>
      <c r="K1664" s="20" t="n">
        <v>408</v>
      </c>
      <c r="L1664" s="18" t="n">
        <v>11.9</v>
      </c>
      <c r="M1664" s="18" t="n">
        <v>189.87</v>
      </c>
      <c r="N1664" s="18" t="n">
        <v>199.48</v>
      </c>
      <c r="O1664" s="18" t="n">
        <v>219.87</v>
      </c>
      <c r="P1664" s="18" t="n">
        <v>305.4</v>
      </c>
      <c r="Q1664" s="18" t="n">
        <v>175.23</v>
      </c>
      <c r="R1664" s="21">
        <f>IF(OR(G1664="",P1664=""),"",G1664/P1664-1)</f>
        <v/>
      </c>
      <c r="S1664" s="19" t="n">
        <v>1.1029</v>
      </c>
      <c r="T1664" s="22" t="n">
        <v>-0.0377</v>
      </c>
      <c r="U1664" s="16" t="inlineStr">
        <is>
          <t>No</t>
        </is>
      </c>
      <c r="V1664" s="16" t="inlineStr">
        <is>
          <t>No</t>
        </is>
      </c>
      <c r="W1664" s="16" t="inlineStr">
        <is>
          <t>No</t>
        </is>
      </c>
      <c r="X1664" s="16" t="inlineStr">
        <is>
          <t>No</t>
        </is>
      </c>
      <c r="Y1664" s="20" t="n">
        <v>402</v>
      </c>
      <c r="Z1664" s="19" t="n">
        <v>-0.09269999999999999</v>
      </c>
      <c r="AA1664" s="18" t="n">
        <v>53.97</v>
      </c>
      <c r="AB1664" s="16" t="inlineStr">
        <is>
          <t>Good</t>
        </is>
      </c>
      <c r="AC1664" s="16" t="inlineStr">
        <is>
          <t>No</t>
        </is>
      </c>
      <c r="AD1664" s="19" t="n">
        <v>0.1109</v>
      </c>
      <c r="AE1664" s="19" t="n">
        <v>0.1748</v>
      </c>
      <c r="AF1664" s="19" t="n">
        <v>0.2302</v>
      </c>
      <c r="AG1664" s="19" t="n">
        <v>0.2309</v>
      </c>
      <c r="AH1664" s="23" t="n">
        <v>0.65</v>
      </c>
      <c r="AI1664" s="23" t="n">
        <v>9.77</v>
      </c>
      <c r="AJ1664" s="19" t="n">
        <v>0.0033</v>
      </c>
    </row>
    <row r="1665">
      <c r="A1665" s="16" t="inlineStr">
        <is>
          <t>ORICONENT</t>
        </is>
      </c>
      <c r="B1665" s="16" t="inlineStr">
        <is>
          <t>Oricon Enterprises Ltd.</t>
        </is>
      </c>
      <c r="C1665" s="16" t="inlineStr">
        <is>
          <t>Containers &amp; Packaging</t>
        </is>
      </c>
      <c r="D1665" s="16" t="inlineStr">
        <is>
          <t>Commercial Services &amp; Supplies</t>
        </is>
      </c>
      <c r="E1665" s="16" t="inlineStr">
        <is>
          <t>INE730A01022</t>
        </is>
      </c>
      <c r="F1665" s="17" t="n">
        <v>850.41</v>
      </c>
      <c r="G1665" s="18" t="n">
        <v>54.15</v>
      </c>
      <c r="H1665" s="19" t="n">
        <v>0.0219</v>
      </c>
      <c r="I1665" s="20" t="n">
        <v>27</v>
      </c>
      <c r="J1665" s="16" t="inlineStr">
        <is>
          <t>red</t>
        </is>
      </c>
      <c r="K1665" s="20" t="n">
        <v>63</v>
      </c>
      <c r="L1665" s="18" t="n">
        <v>52.51</v>
      </c>
      <c r="M1665" s="18" t="n">
        <v>54.64</v>
      </c>
      <c r="N1665" s="18" t="n">
        <v>55.22</v>
      </c>
      <c r="O1665" s="18" t="n">
        <v>60.8</v>
      </c>
      <c r="P1665" s="18" t="n">
        <v>69.12</v>
      </c>
      <c r="Q1665" s="18" t="n">
        <v>51.79</v>
      </c>
      <c r="R1665" s="21">
        <f>IF(OR(G1665="",P1665=""),"",G1665/P1665-1)</f>
        <v/>
      </c>
      <c r="S1665" s="19" t="n">
        <v>0.245</v>
      </c>
      <c r="T1665" s="22" t="n">
        <v>-0.0012</v>
      </c>
      <c r="U1665" s="16" t="inlineStr">
        <is>
          <t>No</t>
        </is>
      </c>
      <c r="V1665" s="16" t="inlineStr">
        <is>
          <t>No</t>
        </is>
      </c>
      <c r="W1665" s="16" t="inlineStr">
        <is>
          <t>No</t>
        </is>
      </c>
      <c r="X1665" s="16" t="inlineStr">
        <is>
          <t>No</t>
        </is>
      </c>
      <c r="Y1665" s="20" t="n">
        <v>45</v>
      </c>
      <c r="Z1665" s="19" t="n">
        <v>-0.0916</v>
      </c>
      <c r="AA1665" s="18" t="n">
        <v>39.45</v>
      </c>
      <c r="AB1665" s="16" t="inlineStr">
        <is>
          <t>Weak</t>
        </is>
      </c>
      <c r="AC1665" s="16" t="inlineStr">
        <is>
          <t>No</t>
        </is>
      </c>
      <c r="AD1665" s="19" t="n">
        <v>0.053</v>
      </c>
      <c r="AE1665" s="19" t="n">
        <v>0.008500000000000001</v>
      </c>
      <c r="AF1665" s="19" t="n">
        <v>1.2164</v>
      </c>
      <c r="AG1665" s="19" t="n">
        <v>-0.2577</v>
      </c>
      <c r="AH1665" s="23" t="n">
        <v>0</v>
      </c>
      <c r="AI1665" s="23" t="n">
        <v>0.23</v>
      </c>
      <c r="AJ1665" s="19" t="n">
        <v>0.091</v>
      </c>
    </row>
    <row r="1666">
      <c r="A1666" s="16" t="inlineStr">
        <is>
          <t>WCIL</t>
        </is>
      </c>
      <c r="B1666" s="16" t="inlineStr">
        <is>
          <t>Western Carriers (India) Ltd.</t>
        </is>
      </c>
      <c r="C1666" s="16" t="inlineStr">
        <is>
          <t>Warehousing &amp; Logistics</t>
        </is>
      </c>
      <c r="D1666" s="16" t="inlineStr">
        <is>
          <t>Transportation</t>
        </is>
      </c>
      <c r="E1666" s="16" t="inlineStr">
        <is>
          <t>INE0CJF01024</t>
        </is>
      </c>
      <c r="F1666" s="17" t="n">
        <v>850.1</v>
      </c>
      <c r="G1666" s="18" t="n">
        <v>83.38</v>
      </c>
      <c r="H1666" s="19" t="n">
        <v>-0.0069</v>
      </c>
      <c r="I1666" s="20" t="n">
        <v>7</v>
      </c>
      <c r="J1666" s="16" t="inlineStr">
        <is>
          <t>red</t>
        </is>
      </c>
      <c r="K1666" s="20" t="n">
        <v>89</v>
      </c>
      <c r="L1666" s="18" t="n">
        <v>29.44</v>
      </c>
      <c r="M1666" s="18" t="n">
        <v>84.95</v>
      </c>
      <c r="N1666" s="18" t="n">
        <v>90.55</v>
      </c>
      <c r="O1666" s="18" t="n">
        <v>102.96</v>
      </c>
      <c r="P1666" s="18" t="n">
        <v>144.87</v>
      </c>
      <c r="Q1666" s="18" t="n">
        <v>77.87</v>
      </c>
      <c r="R1666" s="21">
        <f>IF(OR(G1666="",P1666=""),"",G1666/P1666-1)</f>
        <v/>
      </c>
      <c r="S1666" s="19" t="n">
        <v>0.4952</v>
      </c>
      <c r="T1666" s="22" t="n">
        <v>-0.0387</v>
      </c>
      <c r="U1666" s="16" t="inlineStr">
        <is>
          <t>No</t>
        </is>
      </c>
      <c r="V1666" s="16" t="inlineStr">
        <is>
          <t>No</t>
        </is>
      </c>
      <c r="W1666" s="16" t="inlineStr">
        <is>
          <t>No</t>
        </is>
      </c>
      <c r="X1666" s="16" t="inlineStr">
        <is>
          <t>No</t>
        </is>
      </c>
      <c r="Y1666" s="20" t="n">
        <v>137</v>
      </c>
      <c r="Z1666" s="19" t="n">
        <v>-0.1206</v>
      </c>
      <c r="AA1666" s="18" t="n">
        <v>40</v>
      </c>
      <c r="AB1666" s="16" t="inlineStr">
        <is>
          <t>Weak</t>
        </is>
      </c>
      <c r="AC1666" s="16" t="inlineStr">
        <is>
          <t>No</t>
        </is>
      </c>
      <c r="AD1666" s="19" t="n">
        <v>0.1084</v>
      </c>
      <c r="AE1666" s="19" t="n">
        <v>0.1225</v>
      </c>
      <c r="AF1666" s="19" t="n">
        <v>-0.323</v>
      </c>
      <c r="AG1666" s="19" t="n">
        <v>0.0387</v>
      </c>
      <c r="AH1666" s="23" t="n">
        <v>0.26</v>
      </c>
      <c r="AI1666" s="23" t="n">
        <v>8.859999999999999</v>
      </c>
      <c r="AJ1666" s="19" t="n">
        <v>0.1521</v>
      </c>
    </row>
    <row r="1667">
      <c r="A1667" s="16" t="inlineStr">
        <is>
          <t>MAXIND</t>
        </is>
      </c>
      <c r="B1667" s="16" t="inlineStr">
        <is>
          <t>Max India Ltd.</t>
        </is>
      </c>
      <c r="C1667" s="16" t="inlineStr">
        <is>
          <t>Holding Companies</t>
        </is>
      </c>
      <c r="D1667" s="16" t="inlineStr">
        <is>
          <t>Diversified</t>
        </is>
      </c>
      <c r="E1667" s="16" t="inlineStr">
        <is>
          <t>INE0CG601016</t>
        </is>
      </c>
      <c r="F1667" s="17" t="n">
        <v>848.53</v>
      </c>
      <c r="G1667" s="18" t="n">
        <v>150.66</v>
      </c>
      <c r="H1667" s="19" t="n">
        <v>-0.0146</v>
      </c>
      <c r="I1667" s="20" t="n">
        <v>16</v>
      </c>
      <c r="J1667" s="16" t="inlineStr">
        <is>
          <t>red</t>
        </is>
      </c>
      <c r="K1667" s="20" t="n">
        <v>229</v>
      </c>
      <c r="L1667" s="18" t="n">
        <v>50.58</v>
      </c>
      <c r="M1667" s="18" t="n">
        <v>150.38</v>
      </c>
      <c r="N1667" s="18" t="n">
        <v>161.22</v>
      </c>
      <c r="O1667" s="18" t="n">
        <v>164.59</v>
      </c>
      <c r="P1667" s="18" t="n">
        <v>224.11</v>
      </c>
      <c r="Q1667" s="18" t="n">
        <v>122.85</v>
      </c>
      <c r="R1667" s="21">
        <f>IF(OR(G1667="",P1667=""),"",G1667/P1667-1)</f>
        <v/>
      </c>
      <c r="S1667" s="19" t="n">
        <v>0.2189</v>
      </c>
      <c r="T1667" s="22" t="n">
        <v>-0.0341</v>
      </c>
      <c r="U1667" s="16" t="inlineStr">
        <is>
          <t>No</t>
        </is>
      </c>
      <c r="V1667" s="16" t="inlineStr">
        <is>
          <t>No</t>
        </is>
      </c>
      <c r="W1667" s="16" t="inlineStr">
        <is>
          <t>Yes</t>
        </is>
      </c>
      <c r="X1667" s="16" t="inlineStr">
        <is>
          <t>No</t>
        </is>
      </c>
      <c r="Y1667" s="20" t="n">
        <v>168</v>
      </c>
      <c r="Z1667" s="19" t="n">
        <v>-0.0205</v>
      </c>
      <c r="AA1667" s="18" t="n">
        <v>3.71</v>
      </c>
      <c r="AB1667" s="16" t="inlineStr">
        <is>
          <t>Poor</t>
        </is>
      </c>
      <c r="AC1667" s="16" t="inlineStr">
        <is>
          <t>Yes</t>
        </is>
      </c>
      <c r="AD1667" s="19" t="n">
        <v>-0.2681</v>
      </c>
      <c r="AE1667" s="19" t="n">
        <v>-0.1927</v>
      </c>
      <c r="AF1667" s="19" t="n">
        <v>-2.1028</v>
      </c>
      <c r="AG1667" s="19" t="n">
        <v>0.0039</v>
      </c>
      <c r="AH1667" s="23" t="n">
        <v>0.24</v>
      </c>
      <c r="AI1667" s="23" t="n">
        <v>1.04</v>
      </c>
      <c r="AJ1667" s="19" t="n">
        <v>0.0125</v>
      </c>
    </row>
    <row r="1668">
      <c r="A1668" s="16" t="inlineStr">
        <is>
          <t>GAUDIUMIVF</t>
        </is>
      </c>
      <c r="B1668" s="16" t="inlineStr">
        <is>
          <t>Gaudium IVF And Women Health Ltd.</t>
        </is>
      </c>
      <c r="C1668" s="16" t="inlineStr">
        <is>
          <t>Misc. Commercial Services</t>
        </is>
      </c>
      <c r="D1668" s="16" t="inlineStr">
        <is>
          <t>Commercial Services &amp; Supplies</t>
        </is>
      </c>
      <c r="E1668" s="16" t="inlineStr">
        <is>
          <t>INE0P8B01020</t>
        </is>
      </c>
      <c r="F1668" s="17" t="n">
        <v>847.46</v>
      </c>
      <c r="G1668" s="18" t="n">
        <v>116.43</v>
      </c>
      <c r="H1668" s="19" t="n">
        <v>-0.0069</v>
      </c>
      <c r="I1668" s="20" t="n">
        <v>71</v>
      </c>
      <c r="J1668" s="16" t="inlineStr">
        <is>
          <t>amber</t>
        </is>
      </c>
      <c r="K1668" s="20" t="n">
        <v>5</v>
      </c>
      <c r="L1668" s="18" t="n">
        <v>44.15</v>
      </c>
      <c r="M1668" s="18" t="n">
        <v>121.33</v>
      </c>
      <c r="N1668" s="18" t="n">
        <v>128.02</v>
      </c>
      <c r="O1668" s="18" t="n"/>
      <c r="P1668" s="18" t="n">
        <v>158.16</v>
      </c>
      <c r="Q1668" s="18" t="n">
        <v>70.67</v>
      </c>
      <c r="R1668" s="21">
        <f>IF(OR(G1668="",P1668=""),"",G1668/P1668-1)</f>
        <v/>
      </c>
      <c r="S1668" s="19" t="n">
        <v>1.7373</v>
      </c>
      <c r="T1668" s="22" t="n"/>
      <c r="U1668" s="16" t="n"/>
      <c r="V1668" s="16" t="inlineStr">
        <is>
          <t>No</t>
        </is>
      </c>
      <c r="W1668" s="16" t="inlineStr">
        <is>
          <t>No</t>
        </is>
      </c>
      <c r="X1668" s="16" t="n"/>
      <c r="Y1668" s="20" t="n"/>
      <c r="Z1668" s="19" t="n"/>
      <c r="AA1668" s="18" t="n">
        <v>40</v>
      </c>
      <c r="AB1668" s="16" t="inlineStr">
        <is>
          <t>Weak</t>
        </is>
      </c>
      <c r="AC1668" s="16" t="inlineStr">
        <is>
          <t>No</t>
        </is>
      </c>
      <c r="AD1668" s="19" t="n">
        <v>0.3191</v>
      </c>
      <c r="AE1668" s="19" t="n">
        <v>0.3314</v>
      </c>
      <c r="AF1668" s="19" t="n">
        <v>-0.1821</v>
      </c>
      <c r="AG1668" s="19" t="n">
        <v>0.345</v>
      </c>
      <c r="AH1668" s="23" t="n">
        <v>0.16</v>
      </c>
      <c r="AI1668" s="23" t="n">
        <v>12.02</v>
      </c>
      <c r="AJ1668" s="19" t="n">
        <v>0</v>
      </c>
    </row>
    <row r="1669">
      <c r="A1669" s="16" t="inlineStr">
        <is>
          <t>TANKUP</t>
        </is>
      </c>
      <c r="B1669" s="16" t="inlineStr">
        <is>
          <t>Tankup Engineers Ltd.</t>
        </is>
      </c>
      <c r="C1669" s="16" t="inlineStr">
        <is>
          <t>Industrial Machinery</t>
        </is>
      </c>
      <c r="D1669" s="16" t="inlineStr">
        <is>
          <t>General Industrials</t>
        </is>
      </c>
      <c r="E1669" s="16" t="inlineStr">
        <is>
          <t>INE0Z7N01017</t>
        </is>
      </c>
      <c r="F1669" s="17" t="n">
        <v>846.14</v>
      </c>
      <c r="G1669" s="18" t="n"/>
      <c r="H1669" s="19" t="n"/>
      <c r="I1669" s="20" t="n"/>
      <c r="J1669" s="16" t="n"/>
      <c r="K1669" s="20" t="n"/>
      <c r="L1669" s="18" t="n"/>
      <c r="M1669" s="18" t="n"/>
      <c r="N1669" s="18" t="n"/>
      <c r="O1669" s="18" t="n"/>
      <c r="P1669" s="18" t="n"/>
      <c r="Q1669" s="18" t="n"/>
      <c r="R1669" s="21">
        <f>IF(OR(G1669="",P1669=""),"",G1669/P1669-1)</f>
        <v/>
      </c>
      <c r="S1669" s="19" t="n"/>
      <c r="T1669" s="22" t="n"/>
      <c r="U1669" s="16" t="n"/>
      <c r="V1669" s="16" t="n"/>
      <c r="W1669" s="16" t="n"/>
      <c r="X1669" s="16" t="n"/>
      <c r="Y1669" s="20" t="n"/>
      <c r="Z1669" s="19" t="n"/>
      <c r="AA1669" s="18" t="n"/>
      <c r="AB1669" s="16" t="n"/>
      <c r="AC1669" s="16" t="inlineStr">
        <is>
          <t>No</t>
        </is>
      </c>
      <c r="AD1669" s="19" t="n"/>
      <c r="AE1669" s="19" t="n"/>
      <c r="AF1669" s="19" t="n"/>
      <c r="AG1669" s="19" t="n"/>
      <c r="AH1669" s="23" t="n"/>
      <c r="AI1669" s="23" t="n"/>
      <c r="AJ1669" s="19" t="n"/>
    </row>
    <row r="1670">
      <c r="A1670" s="16" t="inlineStr">
        <is>
          <t>IFBAGRO</t>
        </is>
      </c>
      <c r="B1670" s="16" t="inlineStr">
        <is>
          <t>IFB Agro Industries Ltd.</t>
        </is>
      </c>
      <c r="C1670" s="16" t="inlineStr">
        <is>
          <t>Breweries &amp; Distilleries</t>
        </is>
      </c>
      <c r="D1670" s="16" t="inlineStr">
        <is>
          <t>Food, Beverages &amp; Tobacco</t>
        </is>
      </c>
      <c r="E1670" s="16" t="inlineStr">
        <is>
          <t>INE076C01018</t>
        </is>
      </c>
      <c r="F1670" s="17" t="n">
        <v>846.13</v>
      </c>
      <c r="G1670" s="18" t="n">
        <v>903.3</v>
      </c>
      <c r="H1670" s="19" t="n">
        <v>0.016</v>
      </c>
      <c r="I1670" s="20" t="n">
        <v>42</v>
      </c>
      <c r="J1670" s="16" t="inlineStr">
        <is>
          <t>red</t>
        </is>
      </c>
      <c r="K1670" s="20" t="n">
        <v>29</v>
      </c>
      <c r="L1670" s="18" t="n">
        <v>15.49</v>
      </c>
      <c r="M1670" s="18" t="n">
        <v>914.22</v>
      </c>
      <c r="N1670" s="18" t="n">
        <v>967.5</v>
      </c>
      <c r="O1670" s="18" t="n">
        <v>1037.83</v>
      </c>
      <c r="P1670" s="18" t="n">
        <v>1753.2</v>
      </c>
      <c r="Q1670" s="18" t="n">
        <v>683.3</v>
      </c>
      <c r="R1670" s="21">
        <f>IF(OR(G1670="",P1670=""),"",G1670/P1670-1)</f>
        <v/>
      </c>
      <c r="S1670" s="19" t="n">
        <v>0.6437</v>
      </c>
      <c r="T1670" s="22" t="n">
        <v>-0.0383</v>
      </c>
      <c r="U1670" s="16" t="inlineStr">
        <is>
          <t>No</t>
        </is>
      </c>
      <c r="V1670" s="16" t="inlineStr">
        <is>
          <t>No</t>
        </is>
      </c>
      <c r="W1670" s="16" t="inlineStr">
        <is>
          <t>No</t>
        </is>
      </c>
      <c r="X1670" s="16" t="inlineStr">
        <is>
          <t>No</t>
        </is>
      </c>
      <c r="Y1670" s="20" t="n">
        <v>114</v>
      </c>
      <c r="Z1670" s="19" t="n">
        <v>-0.0678</v>
      </c>
      <c r="AA1670" s="18" t="n">
        <v>45.36</v>
      </c>
      <c r="AB1670" s="16" t="inlineStr">
        <is>
          <t>Average</t>
        </is>
      </c>
      <c r="AC1670" s="16" t="inlineStr">
        <is>
          <t>No</t>
        </is>
      </c>
      <c r="AD1670" s="19" t="n">
        <v>0.0353</v>
      </c>
      <c r="AE1670" s="19" t="n">
        <v>0.05019999999999999</v>
      </c>
      <c r="AF1670" s="19" t="n">
        <v>1.3769</v>
      </c>
      <c r="AG1670" s="19" t="n">
        <v>0.07049999999999999</v>
      </c>
      <c r="AH1670" s="23" t="n">
        <v>0.11</v>
      </c>
      <c r="AI1670" s="23" t="n">
        <v>5.44</v>
      </c>
      <c r="AJ1670" s="19" t="n">
        <v>0.0365</v>
      </c>
    </row>
    <row r="1671">
      <c r="A1671" s="16" t="inlineStr">
        <is>
          <t>GEMAROMA</t>
        </is>
      </c>
      <c r="B1671" s="16" t="inlineStr">
        <is>
          <t>Gem Aromatics Ltd.</t>
        </is>
      </c>
      <c r="C1671" s="16" t="inlineStr">
        <is>
          <t>Specialty Chemicals</t>
        </is>
      </c>
      <c r="D1671" s="16" t="inlineStr">
        <is>
          <t>Chemicals &amp; Petrochemicals</t>
        </is>
      </c>
      <c r="E1671" s="16" t="inlineStr">
        <is>
          <t>INE06XZ01023</t>
        </is>
      </c>
      <c r="F1671" s="17" t="n">
        <v>843.63</v>
      </c>
      <c r="G1671" s="18" t="n">
        <v>161.5</v>
      </c>
      <c r="H1671" s="19" t="n">
        <v>-0.0044</v>
      </c>
      <c r="I1671" s="20" t="n">
        <v>17</v>
      </c>
      <c r="J1671" s="16" t="inlineStr">
        <is>
          <t>red</t>
        </is>
      </c>
      <c r="K1671" s="20" t="n">
        <v>24</v>
      </c>
      <c r="L1671" s="18" t="n">
        <v>32.73</v>
      </c>
      <c r="M1671" s="18" t="n">
        <v>166.85</v>
      </c>
      <c r="N1671" s="18" t="n">
        <v>181.98</v>
      </c>
      <c r="O1671" s="18" t="n">
        <v>170.99</v>
      </c>
      <c r="P1671" s="18" t="n">
        <v>302.6</v>
      </c>
      <c r="Q1671" s="18" t="n">
        <v>134.63</v>
      </c>
      <c r="R1671" s="21">
        <f>IF(OR(G1671="",P1671=""),"",G1671/P1671-1)</f>
        <v/>
      </c>
      <c r="S1671" s="19" t="n">
        <v>0.9274</v>
      </c>
      <c r="T1671" s="22" t="n">
        <v>-0.0246</v>
      </c>
      <c r="U1671" s="16" t="inlineStr">
        <is>
          <t>No</t>
        </is>
      </c>
      <c r="V1671" s="16" t="inlineStr">
        <is>
          <t>No</t>
        </is>
      </c>
      <c r="W1671" s="16" t="inlineStr">
        <is>
          <t>No</t>
        </is>
      </c>
      <c r="X1671" s="16" t="inlineStr">
        <is>
          <t>Yes</t>
        </is>
      </c>
      <c r="Y1671" s="20" t="n">
        <v>27</v>
      </c>
      <c r="Z1671" s="19" t="n">
        <v>0.0643</v>
      </c>
      <c r="AA1671" s="18" t="n">
        <v>34.73</v>
      </c>
      <c r="AB1671" s="16" t="inlineStr">
        <is>
          <t>Weak</t>
        </is>
      </c>
      <c r="AC1671" s="16" t="inlineStr">
        <is>
          <t>No</t>
        </is>
      </c>
      <c r="AD1671" s="19" t="n">
        <v>0.1362</v>
      </c>
      <c r="AE1671" s="19" t="n">
        <v>0.1352</v>
      </c>
      <c r="AF1671" s="19" t="n">
        <v>-0.2618</v>
      </c>
      <c r="AG1671" s="19" t="n">
        <v>-0.0304</v>
      </c>
      <c r="AH1671" s="23" t="n">
        <v>0.34</v>
      </c>
      <c r="AI1671" s="23" t="n">
        <v>1.4</v>
      </c>
      <c r="AJ1671" s="19" t="n">
        <v>0.026</v>
      </c>
    </row>
    <row r="1672">
      <c r="A1672" s="16" t="inlineStr">
        <is>
          <t>ORIRAIL</t>
        </is>
      </c>
      <c r="B1672" s="16" t="inlineStr">
        <is>
          <t>Oriental Rail Infrastructure Ltd.</t>
        </is>
      </c>
      <c r="C1672" s="16" t="inlineStr">
        <is>
          <t>Other Industrial Products</t>
        </is>
      </c>
      <c r="D1672" s="16" t="inlineStr">
        <is>
          <t>General Industrials</t>
        </is>
      </c>
      <c r="E1672" s="16" t="inlineStr">
        <is>
          <t>INE457G01029</t>
        </is>
      </c>
      <c r="F1672" s="17" t="n">
        <v>841.53</v>
      </c>
      <c r="G1672" s="18" t="n">
        <v>130.35</v>
      </c>
      <c r="H1672" s="19" t="n">
        <v>0.0345</v>
      </c>
      <c r="I1672" s="20" t="n">
        <v>27</v>
      </c>
      <c r="J1672" s="16" t="inlineStr">
        <is>
          <t>red</t>
        </is>
      </c>
      <c r="K1672" s="20" t="n">
        <v>409</v>
      </c>
      <c r="L1672" s="18" t="n">
        <v>69.01000000000001</v>
      </c>
      <c r="M1672" s="18" t="n">
        <v>128.32</v>
      </c>
      <c r="N1672" s="18" t="n">
        <v>116.84</v>
      </c>
      <c r="O1672" s="18" t="n">
        <v>135.26</v>
      </c>
      <c r="P1672" s="18" t="n">
        <v>174.86</v>
      </c>
      <c r="Q1672" s="18" t="n">
        <v>103.42</v>
      </c>
      <c r="R1672" s="21">
        <f>IF(OR(G1672="",P1672=""),"",G1672/P1672-1)</f>
        <v/>
      </c>
      <c r="S1672" s="19" t="n">
        <v>0.9258</v>
      </c>
      <c r="T1672" s="22" t="n">
        <v>-0.0309</v>
      </c>
      <c r="U1672" s="16" t="inlineStr">
        <is>
          <t>No</t>
        </is>
      </c>
      <c r="V1672" s="16" t="inlineStr">
        <is>
          <t>Yes</t>
        </is>
      </c>
      <c r="W1672" s="16" t="inlineStr">
        <is>
          <t>Yes</t>
        </is>
      </c>
      <c r="X1672" s="16" t="inlineStr">
        <is>
          <t>No</t>
        </is>
      </c>
      <c r="Y1672" s="20" t="n">
        <v>460</v>
      </c>
      <c r="Z1672" s="19" t="n">
        <v>-0.1362</v>
      </c>
      <c r="AA1672" s="18" t="n"/>
      <c r="AB1672" s="16" t="n"/>
      <c r="AC1672" s="16" t="inlineStr">
        <is>
          <t>No</t>
        </is>
      </c>
      <c r="AD1672" s="19" t="n"/>
      <c r="AE1672" s="19" t="n"/>
      <c r="AF1672" s="19" t="n"/>
      <c r="AG1672" s="19" t="n"/>
      <c r="AH1672" s="23" t="n"/>
      <c r="AI1672" s="23" t="n"/>
      <c r="AJ1672" s="19" t="n"/>
    </row>
    <row r="1673">
      <c r="A1673" s="16" t="inlineStr">
        <is>
          <t>PANACHE</t>
        </is>
      </c>
      <c r="B1673" s="16" t="inlineStr">
        <is>
          <t>Panache Digilife Ltd.</t>
        </is>
      </c>
      <c r="C1673" s="16" t="inlineStr">
        <is>
          <t>Computer Hardware</t>
        </is>
      </c>
      <c r="D1673" s="16" t="inlineStr">
        <is>
          <t>Hardware Technology &amp; Equipment</t>
        </is>
      </c>
      <c r="E1673" s="16" t="inlineStr">
        <is>
          <t>INE895W01019</t>
        </is>
      </c>
      <c r="F1673" s="17" t="n">
        <v>840.74</v>
      </c>
      <c r="G1673" s="18" t="n">
        <v>525</v>
      </c>
      <c r="H1673" s="19" t="n">
        <v>0</v>
      </c>
      <c r="I1673" s="20" t="n">
        <v>89</v>
      </c>
      <c r="J1673" s="16" t="inlineStr">
        <is>
          <t>green</t>
        </is>
      </c>
      <c r="K1673" s="20" t="n">
        <v>64</v>
      </c>
      <c r="L1673" s="18" t="n">
        <v>41.76</v>
      </c>
      <c r="M1673" s="18" t="n">
        <v>525.62</v>
      </c>
      <c r="N1673" s="18" t="n">
        <v>468.52</v>
      </c>
      <c r="O1673" s="18" t="n">
        <v>370.36</v>
      </c>
      <c r="P1673" s="18" t="n">
        <v>548.55</v>
      </c>
      <c r="Q1673" s="18" t="n">
        <v>243.5</v>
      </c>
      <c r="R1673" s="21">
        <f>IF(OR(G1673="",P1673=""),"",G1673/P1673-1)</f>
        <v/>
      </c>
      <c r="S1673" s="19" t="n">
        <v>0.351</v>
      </c>
      <c r="T1673" s="22" t="n">
        <v>0.028</v>
      </c>
      <c r="U1673" s="16" t="inlineStr">
        <is>
          <t>Yes</t>
        </is>
      </c>
      <c r="V1673" s="16" t="inlineStr">
        <is>
          <t>Yes</t>
        </is>
      </c>
      <c r="W1673" s="16" t="inlineStr">
        <is>
          <t>No</t>
        </is>
      </c>
      <c r="X1673" s="16" t="inlineStr">
        <is>
          <t>Yes</t>
        </is>
      </c>
      <c r="Y1673" s="20" t="n">
        <v>59</v>
      </c>
      <c r="Z1673" s="19" t="n">
        <v>0.265</v>
      </c>
      <c r="AA1673" s="18" t="n">
        <v>60.88</v>
      </c>
      <c r="AB1673" s="16" t="inlineStr">
        <is>
          <t>Good</t>
        </is>
      </c>
      <c r="AC1673" s="16" t="inlineStr">
        <is>
          <t>No</t>
        </is>
      </c>
      <c r="AD1673" s="19" t="n">
        <v>0.09279999999999999</v>
      </c>
      <c r="AE1673" s="19" t="n">
        <v>0.1202</v>
      </c>
      <c r="AF1673" s="19" t="n">
        <v>3.8768</v>
      </c>
      <c r="AG1673" s="19" t="n">
        <v>0.3863</v>
      </c>
      <c r="AH1673" s="23" t="n">
        <v>0.26</v>
      </c>
      <c r="AI1673" s="23" t="n">
        <v>22.21</v>
      </c>
      <c r="AJ1673" s="19" t="n">
        <v>0</v>
      </c>
    </row>
    <row r="1674">
      <c r="A1674" s="16" t="inlineStr">
        <is>
          <t>KECL</t>
        </is>
      </c>
      <c r="B1674" s="16" t="inlineStr">
        <is>
          <t>Kirloskar Electric Company Ltd.</t>
        </is>
      </c>
      <c r="C1674" s="16" t="inlineStr">
        <is>
          <t>Other Electrical Equipment/Products</t>
        </is>
      </c>
      <c r="D1674" s="16" t="inlineStr">
        <is>
          <t>Consumer Durables</t>
        </is>
      </c>
      <c r="E1674" s="16" t="inlineStr">
        <is>
          <t>INE134B01017</t>
        </is>
      </c>
      <c r="F1674" s="17" t="n">
        <v>839.54</v>
      </c>
      <c r="G1674" s="18" t="n">
        <v>126.41</v>
      </c>
      <c r="H1674" s="19" t="n">
        <v>0.0097</v>
      </c>
      <c r="I1674" s="20" t="n">
        <v>72</v>
      </c>
      <c r="J1674" s="16" t="inlineStr">
        <is>
          <t>amber</t>
        </is>
      </c>
      <c r="K1674" s="20" t="n">
        <v>18</v>
      </c>
      <c r="L1674" s="18" t="n">
        <v>32.19</v>
      </c>
      <c r="M1674" s="18" t="n">
        <v>128.82</v>
      </c>
      <c r="N1674" s="18" t="n">
        <v>129.57</v>
      </c>
      <c r="O1674" s="18" t="n">
        <v>108.89</v>
      </c>
      <c r="P1674" s="18" t="n">
        <v>150.21</v>
      </c>
      <c r="Q1674" s="18" t="n">
        <v>77.31</v>
      </c>
      <c r="R1674" s="21">
        <f>IF(OR(G1674="",P1674=""),"",G1674/P1674-1)</f>
        <v/>
      </c>
      <c r="S1674" s="19" t="n">
        <v>0.1711</v>
      </c>
      <c r="T1674" s="22" t="n">
        <v>0.0168</v>
      </c>
      <c r="U1674" s="16" t="inlineStr">
        <is>
          <t>Yes</t>
        </is>
      </c>
      <c r="V1674" s="16" t="inlineStr">
        <is>
          <t>No</t>
        </is>
      </c>
      <c r="W1674" s="16" t="inlineStr">
        <is>
          <t>No</t>
        </is>
      </c>
      <c r="X1674" s="16" t="inlineStr">
        <is>
          <t>Yes</t>
        </is>
      </c>
      <c r="Y1674" s="20" t="n">
        <v>77</v>
      </c>
      <c r="Z1674" s="19" t="n">
        <v>0.1899</v>
      </c>
      <c r="AA1674" s="18" t="n">
        <v>31.73</v>
      </c>
      <c r="AB1674" s="16" t="inlineStr">
        <is>
          <t>Poor</t>
        </is>
      </c>
      <c r="AC1674" s="16" t="inlineStr">
        <is>
          <t>No</t>
        </is>
      </c>
      <c r="AD1674" s="19" t="n">
        <v>0.08810000000000001</v>
      </c>
      <c r="AE1674" s="19" t="n">
        <v>0.1314</v>
      </c>
      <c r="AF1674" s="19" t="n">
        <v>-0.011</v>
      </c>
      <c r="AG1674" s="19" t="n">
        <v>0.0788</v>
      </c>
      <c r="AH1674" s="23" t="n">
        <v>0.76</v>
      </c>
      <c r="AI1674" s="23" t="n">
        <v>1.36</v>
      </c>
      <c r="AJ1674" s="19" t="n">
        <v>0.0044</v>
      </c>
    </row>
    <row r="1675">
      <c r="A1675" s="16" t="inlineStr">
        <is>
          <t>VLSFINANCE</t>
        </is>
      </c>
      <c r="B1675" s="16" t="inlineStr">
        <is>
          <t>VLS Finance Ltd.</t>
        </is>
      </c>
      <c r="C1675" s="16" t="inlineStr">
        <is>
          <t>Other Financial Services</t>
        </is>
      </c>
      <c r="D1675" s="16" t="inlineStr">
        <is>
          <t>Banking and Finance</t>
        </is>
      </c>
      <c r="E1675" s="16" t="inlineStr">
        <is>
          <t>INE709A01018</t>
        </is>
      </c>
      <c r="F1675" s="17" t="n">
        <v>838.15</v>
      </c>
      <c r="G1675" s="18" t="n">
        <v>246.44</v>
      </c>
      <c r="H1675" s="19" t="n">
        <v>-0.0005</v>
      </c>
      <c r="I1675" s="20" t="n">
        <v>43</v>
      </c>
      <c r="J1675" s="16" t="inlineStr">
        <is>
          <t>red</t>
        </is>
      </c>
      <c r="K1675" s="20" t="n">
        <v>15</v>
      </c>
      <c r="L1675" s="18" t="n">
        <v>24.24</v>
      </c>
      <c r="M1675" s="18" t="n">
        <v>244.87</v>
      </c>
      <c r="N1675" s="18" t="n">
        <v>254.03</v>
      </c>
      <c r="O1675" s="18" t="n">
        <v>256.81</v>
      </c>
      <c r="P1675" s="18" t="n">
        <v>333.45</v>
      </c>
      <c r="Q1675" s="18" t="n">
        <v>201.47</v>
      </c>
      <c r="R1675" s="21">
        <f>IF(OR(G1675="",P1675=""),"",G1675/P1675-1)</f>
        <v/>
      </c>
      <c r="S1675" s="19" t="n">
        <v>0.4644</v>
      </c>
      <c r="T1675" s="22" t="n">
        <v>0.0139</v>
      </c>
      <c r="U1675" s="16" t="inlineStr">
        <is>
          <t>Yes</t>
        </is>
      </c>
      <c r="V1675" s="16" t="inlineStr">
        <is>
          <t>No</t>
        </is>
      </c>
      <c r="W1675" s="16" t="inlineStr">
        <is>
          <t>Yes</t>
        </is>
      </c>
      <c r="X1675" s="16" t="inlineStr">
        <is>
          <t>No</t>
        </is>
      </c>
      <c r="Y1675" s="20" t="n">
        <v>107</v>
      </c>
      <c r="Z1675" s="19" t="n">
        <v>-0.0108</v>
      </c>
      <c r="AA1675" s="18" t="n">
        <v>52.38</v>
      </c>
      <c r="AB1675" s="16" t="inlineStr">
        <is>
          <t>Good</t>
        </is>
      </c>
      <c r="AC1675" s="16" t="inlineStr">
        <is>
          <t>Yes</t>
        </is>
      </c>
      <c r="AD1675" s="19" t="n">
        <v>0.0459</v>
      </c>
      <c r="AE1675" s="19" t="n">
        <v>0.0545</v>
      </c>
      <c r="AF1675" s="19" t="n">
        <v>1.3504</v>
      </c>
      <c r="AG1675" s="19" t="n">
        <v>0.9545999999999999</v>
      </c>
      <c r="AH1675" s="23" t="n">
        <v>0</v>
      </c>
      <c r="AI1675" s="23" t="n">
        <v>0.5</v>
      </c>
      <c r="AJ1675" s="19" t="n">
        <v>0</v>
      </c>
    </row>
    <row r="1676">
      <c r="A1676" s="16" t="inlineStr">
        <is>
          <t>JAYTEX</t>
        </is>
      </c>
      <c r="B1676" s="16" t="inlineStr">
        <is>
          <t>Jaybharat Textiles &amp; Real Estate Ltd.</t>
        </is>
      </c>
      <c r="C1676" s="16" t="inlineStr">
        <is>
          <t>Textiles</t>
        </is>
      </c>
      <c r="D1676" s="16" t="inlineStr">
        <is>
          <t>Textiles Apparels &amp; Accessories</t>
        </is>
      </c>
      <c r="E1676" s="16" t="inlineStr">
        <is>
          <t>INE091E01039</t>
        </is>
      </c>
      <c r="F1676" s="17" t="n">
        <v>838.03</v>
      </c>
      <c r="G1676" s="18" t="n">
        <v>21.89</v>
      </c>
      <c r="H1676" s="19" t="n">
        <v>0</v>
      </c>
      <c r="I1676" s="20" t="n">
        <v>12</v>
      </c>
      <c r="J1676" s="16" t="inlineStr">
        <is>
          <t>red</t>
        </is>
      </c>
      <c r="K1676" s="20" t="n">
        <v>101</v>
      </c>
      <c r="L1676" s="18" t="n">
        <v>0</v>
      </c>
      <c r="M1676" s="18" t="n">
        <v>21.93</v>
      </c>
      <c r="N1676" s="18" t="n">
        <v>23.11</v>
      </c>
      <c r="O1676" s="18" t="n">
        <v>25.35</v>
      </c>
      <c r="P1676" s="18" t="n">
        <v>26.17</v>
      </c>
      <c r="Q1676" s="18" t="n">
        <v>21.89</v>
      </c>
      <c r="R1676" s="21">
        <f>IF(OR(G1676="",P1676=""),"",G1676/P1676-1)</f>
        <v/>
      </c>
      <c r="S1676" s="19" t="n">
        <v>0</v>
      </c>
      <c r="T1676" s="22" t="n">
        <v>-0.0151</v>
      </c>
      <c r="U1676" s="16" t="inlineStr">
        <is>
          <t>No</t>
        </is>
      </c>
      <c r="V1676" s="16" t="inlineStr">
        <is>
          <t>No</t>
        </is>
      </c>
      <c r="W1676" s="16" t="inlineStr">
        <is>
          <t>No</t>
        </is>
      </c>
      <c r="X1676" s="16" t="inlineStr">
        <is>
          <t>No</t>
        </is>
      </c>
      <c r="Y1676" s="20" t="n">
        <v>63</v>
      </c>
      <c r="Z1676" s="19" t="n">
        <v>-0.08839999999999999</v>
      </c>
      <c r="AA1676" s="18" t="n"/>
      <c r="AB1676" s="16" t="n"/>
      <c r="AC1676" s="16" t="inlineStr">
        <is>
          <t>No</t>
        </is>
      </c>
      <c r="AD1676" s="19" t="n"/>
      <c r="AE1676" s="19" t="n"/>
      <c r="AF1676" s="19" t="n"/>
      <c r="AG1676" s="19" t="n"/>
      <c r="AH1676" s="23" t="n"/>
      <c r="AI1676" s="23" t="n"/>
      <c r="AJ1676" s="19" t="n"/>
    </row>
    <row r="1677">
      <c r="A1677" s="16" t="inlineStr">
        <is>
          <t>NDTV</t>
        </is>
      </c>
      <c r="B1677" s="16" t="inlineStr">
        <is>
          <t>New Delhi Television Ltd.</t>
        </is>
      </c>
      <c r="C1677" s="16" t="inlineStr">
        <is>
          <t>Broadcasting &amp; Cable TV</t>
        </is>
      </c>
      <c r="D1677" s="16" t="inlineStr">
        <is>
          <t>Media</t>
        </is>
      </c>
      <c r="E1677" s="16" t="inlineStr">
        <is>
          <t>INE155G01029</t>
        </is>
      </c>
      <c r="F1677" s="17" t="n">
        <v>837.95</v>
      </c>
      <c r="G1677" s="18" t="n">
        <v>74.27</v>
      </c>
      <c r="H1677" s="19" t="n">
        <v>0.05110000000000001</v>
      </c>
      <c r="I1677" s="20" t="n">
        <v>16</v>
      </c>
      <c r="J1677" s="16" t="inlineStr">
        <is>
          <t>red</t>
        </is>
      </c>
      <c r="K1677" s="20" t="n">
        <v>501</v>
      </c>
      <c r="L1677" s="18" t="n">
        <v>42.4</v>
      </c>
      <c r="M1677" s="18" t="n">
        <v>72.70999999999999</v>
      </c>
      <c r="N1677" s="18" t="n">
        <v>77.23999999999999</v>
      </c>
      <c r="O1677" s="18" t="n">
        <v>80.90000000000001</v>
      </c>
      <c r="P1677" s="18" t="n">
        <v>131.73</v>
      </c>
      <c r="Q1677" s="18" t="n">
        <v>59.28</v>
      </c>
      <c r="R1677" s="21">
        <f>IF(OR(G1677="",P1677=""),"",G1677/P1677-1)</f>
        <v/>
      </c>
      <c r="S1677" s="19" t="n">
        <v>2.7432</v>
      </c>
      <c r="T1677" s="22" t="n">
        <v>-0.0192</v>
      </c>
      <c r="U1677" s="16" t="inlineStr">
        <is>
          <t>No</t>
        </is>
      </c>
      <c r="V1677" s="16" t="inlineStr">
        <is>
          <t>No</t>
        </is>
      </c>
      <c r="W1677" s="16" t="inlineStr">
        <is>
          <t>Yes</t>
        </is>
      </c>
      <c r="X1677" s="16" t="inlineStr">
        <is>
          <t>No</t>
        </is>
      </c>
      <c r="Y1677" s="20" t="n">
        <v>252</v>
      </c>
      <c r="Z1677" s="19" t="n">
        <v>-0.0452</v>
      </c>
      <c r="AA1677" s="18" t="n">
        <v>0</v>
      </c>
      <c r="AB1677" s="16" t="inlineStr">
        <is>
          <t>Poor</t>
        </is>
      </c>
      <c r="AC1677" s="16" t="inlineStr">
        <is>
          <t>No</t>
        </is>
      </c>
      <c r="AD1677" s="19" t="n">
        <v>-2.0911</v>
      </c>
      <c r="AE1677" s="19" t="n">
        <v>-0.4316</v>
      </c>
      <c r="AF1677" s="19" t="n">
        <v>-3.829</v>
      </c>
      <c r="AG1677" s="19" t="n">
        <v>0.1173</v>
      </c>
      <c r="AH1677" s="23" t="n">
        <v>2.01</v>
      </c>
      <c r="AI1677" s="23" t="n">
        <v>2.8</v>
      </c>
      <c r="AJ1677" s="19" t="n">
        <v>0.0074</v>
      </c>
    </row>
    <row r="1678">
      <c r="A1678" s="16" t="inlineStr">
        <is>
          <t>PRECOT</t>
        </is>
      </c>
      <c r="B1678" s="16" t="inlineStr">
        <is>
          <t>Precot Ltd.</t>
        </is>
      </c>
      <c r="C1678" s="16" t="inlineStr">
        <is>
          <t>Textiles</t>
        </is>
      </c>
      <c r="D1678" s="16" t="inlineStr">
        <is>
          <t>Textiles Apparels &amp; Accessories</t>
        </is>
      </c>
      <c r="E1678" s="16" t="inlineStr">
        <is>
          <t>INE283A01014</t>
        </is>
      </c>
      <c r="F1678" s="17" t="n">
        <v>837.66</v>
      </c>
      <c r="G1678" s="18" t="n">
        <v>698.05</v>
      </c>
      <c r="H1678" s="19" t="n">
        <v>-0.0026</v>
      </c>
      <c r="I1678" s="20" t="n">
        <v>79</v>
      </c>
      <c r="J1678" s="16" t="inlineStr">
        <is>
          <t>amber</t>
        </is>
      </c>
      <c r="K1678" s="20" t="n">
        <v>15</v>
      </c>
      <c r="L1678" s="18" t="n">
        <v>49.9</v>
      </c>
      <c r="M1678" s="18" t="n">
        <v>698.79</v>
      </c>
      <c r="N1678" s="18" t="n">
        <v>764.08</v>
      </c>
      <c r="O1678" s="18" t="n">
        <v>580.1</v>
      </c>
      <c r="P1678" s="18" t="n">
        <v>851.12</v>
      </c>
      <c r="Q1678" s="18" t="n">
        <v>301.88</v>
      </c>
      <c r="R1678" s="21">
        <f>IF(OR(G1678="",P1678=""),"",G1678/P1678-1)</f>
        <v/>
      </c>
      <c r="S1678" s="19" t="n">
        <v>0.2734</v>
      </c>
      <c r="T1678" s="22" t="n">
        <v>0.0473</v>
      </c>
      <c r="U1678" s="16" t="inlineStr">
        <is>
          <t>Yes</t>
        </is>
      </c>
      <c r="V1678" s="16" t="inlineStr">
        <is>
          <t>No</t>
        </is>
      </c>
      <c r="W1678" s="16" t="inlineStr">
        <is>
          <t>No</t>
        </is>
      </c>
      <c r="X1678" s="16" t="inlineStr">
        <is>
          <t>Yes</t>
        </is>
      </c>
      <c r="Y1678" s="20" t="n">
        <v>105</v>
      </c>
      <c r="Z1678" s="19" t="n">
        <v>0.3172</v>
      </c>
      <c r="AA1678" s="18" t="n">
        <v>30.29</v>
      </c>
      <c r="AB1678" s="16" t="inlineStr">
        <is>
          <t>Poor</t>
        </is>
      </c>
      <c r="AC1678" s="16" t="inlineStr">
        <is>
          <t>No</t>
        </is>
      </c>
      <c r="AD1678" s="19" t="n">
        <v>0.06269999999999999</v>
      </c>
      <c r="AE1678" s="19" t="n">
        <v>0.0958</v>
      </c>
      <c r="AF1678" s="19" t="n">
        <v>0.3225</v>
      </c>
      <c r="AG1678" s="19" t="n">
        <v>-0.0218</v>
      </c>
      <c r="AH1678" s="23" t="n">
        <v>0.72</v>
      </c>
      <c r="AI1678" s="23" t="n">
        <v>1.6</v>
      </c>
      <c r="AJ1678" s="19" t="n">
        <v>0.0346</v>
      </c>
    </row>
    <row r="1679">
      <c r="A1679" s="16" t="inlineStr">
        <is>
          <t>SARLAPOLY</t>
        </is>
      </c>
      <c r="B1679" s="16" t="inlineStr">
        <is>
          <t>Sarla Performance Fibers Ltd.</t>
        </is>
      </c>
      <c r="C1679" s="16" t="inlineStr">
        <is>
          <t>Textiles</t>
        </is>
      </c>
      <c r="D1679" s="16" t="inlineStr">
        <is>
          <t>Textiles Apparels &amp; Accessories</t>
        </is>
      </c>
      <c r="E1679" s="16" t="inlineStr">
        <is>
          <t>INE453D01025</t>
        </is>
      </c>
      <c r="F1679" s="17" t="n">
        <v>836.7</v>
      </c>
      <c r="G1679" s="18" t="n">
        <v>100.2</v>
      </c>
      <c r="H1679" s="19" t="n">
        <v>-0.0191</v>
      </c>
      <c r="I1679" s="20" t="n">
        <v>54</v>
      </c>
      <c r="J1679" s="16" t="inlineStr">
        <is>
          <t>red</t>
        </is>
      </c>
      <c r="K1679" s="20" t="n">
        <v>12</v>
      </c>
      <c r="L1679" s="18" t="n">
        <v>46.11</v>
      </c>
      <c r="M1679" s="18" t="n">
        <v>101.04</v>
      </c>
      <c r="N1679" s="18" t="n">
        <v>100.35</v>
      </c>
      <c r="O1679" s="18" t="n">
        <v>89.93000000000001</v>
      </c>
      <c r="P1679" s="18" t="n">
        <v>105.01</v>
      </c>
      <c r="Q1679" s="18" t="n">
        <v>68.33</v>
      </c>
      <c r="R1679" s="21">
        <f>IF(OR(G1679="",P1679=""),"",G1679/P1679-1)</f>
        <v/>
      </c>
      <c r="S1679" s="19" t="n">
        <v>1.6218</v>
      </c>
      <c r="T1679" s="22" t="n">
        <v>0.012</v>
      </c>
      <c r="U1679" s="16" t="inlineStr">
        <is>
          <t>Yes</t>
        </is>
      </c>
      <c r="V1679" s="16" t="inlineStr">
        <is>
          <t>No</t>
        </is>
      </c>
      <c r="W1679" s="16" t="inlineStr">
        <is>
          <t>No</t>
        </is>
      </c>
      <c r="X1679" s="16" t="inlineStr">
        <is>
          <t>Yes</t>
        </is>
      </c>
      <c r="Y1679" s="20" t="n">
        <v>66</v>
      </c>
      <c r="Z1679" s="19" t="n">
        <v>0.1159</v>
      </c>
      <c r="AA1679" s="18" t="n">
        <v>28.37</v>
      </c>
      <c r="AB1679" s="16" t="inlineStr">
        <is>
          <t>Poor</t>
        </is>
      </c>
      <c r="AC1679" s="16" t="inlineStr">
        <is>
          <t>No</t>
        </is>
      </c>
      <c r="AD1679" s="19" t="n">
        <v>0.0595</v>
      </c>
      <c r="AE1679" s="19" t="n">
        <v>0.07049999999999999</v>
      </c>
      <c r="AF1679" s="19" t="n">
        <v>0.07490000000000001</v>
      </c>
      <c r="AG1679" s="19" t="n">
        <v>0.0095</v>
      </c>
      <c r="AH1679" s="23" t="n">
        <v>0.38</v>
      </c>
      <c r="AI1679" s="23" t="n">
        <v>1.75</v>
      </c>
      <c r="AJ1679" s="19" t="n">
        <v>0.0296</v>
      </c>
    </row>
    <row r="1680">
      <c r="A1680" s="16" t="inlineStr">
        <is>
          <t>VELJAN</t>
        </is>
      </c>
      <c r="B1680" s="16" t="inlineStr">
        <is>
          <t>Veljan Denison Ltd.</t>
        </is>
      </c>
      <c r="C1680" s="16" t="inlineStr">
        <is>
          <t>Auto Parts &amp; Equipment</t>
        </is>
      </c>
      <c r="D1680" s="16" t="inlineStr">
        <is>
          <t>Automobiles &amp; Auto Components</t>
        </is>
      </c>
      <c r="E1680" s="16" t="inlineStr">
        <is>
          <t>INE232E01013</t>
        </is>
      </c>
      <c r="F1680" s="17" t="n">
        <v>835.52</v>
      </c>
      <c r="G1680" s="18" t="n">
        <v>1856.7</v>
      </c>
      <c r="H1680" s="19" t="n">
        <v>0.0015</v>
      </c>
      <c r="I1680" s="20" t="n">
        <v>88</v>
      </c>
      <c r="J1680" s="16" t="inlineStr">
        <is>
          <t>green</t>
        </is>
      </c>
      <c r="K1680" s="20" t="n">
        <v>49</v>
      </c>
      <c r="L1680" s="18" t="n">
        <v>56.13</v>
      </c>
      <c r="M1680" s="18" t="n">
        <v>1811.54</v>
      </c>
      <c r="N1680" s="18" t="n">
        <v>1733.52</v>
      </c>
      <c r="O1680" s="18" t="n">
        <v>1244.14</v>
      </c>
      <c r="P1680" s="18" t="n">
        <v>1861.29</v>
      </c>
      <c r="Q1680" s="18" t="n">
        <v>756.51</v>
      </c>
      <c r="R1680" s="21">
        <f>IF(OR(G1680="",P1680=""),"",G1680/P1680-1)</f>
        <v/>
      </c>
      <c r="S1680" s="19" t="n">
        <v>0.7440000000000001</v>
      </c>
      <c r="T1680" s="22" t="n">
        <v>0.0528</v>
      </c>
      <c r="U1680" s="16" t="inlineStr">
        <is>
          <t>Yes</t>
        </is>
      </c>
      <c r="V1680" s="16" t="inlineStr">
        <is>
          <t>Yes</t>
        </is>
      </c>
      <c r="W1680" s="16" t="inlineStr">
        <is>
          <t>Yes</t>
        </is>
      </c>
      <c r="X1680" s="16" t="inlineStr">
        <is>
          <t>Yes</t>
        </is>
      </c>
      <c r="Y1680" s="20" t="n">
        <v>48</v>
      </c>
      <c r="Z1680" s="19" t="n">
        <v>0.3933</v>
      </c>
      <c r="AA1680" s="18" t="n"/>
      <c r="AB1680" s="16" t="n"/>
      <c r="AC1680" s="16" t="inlineStr">
        <is>
          <t>No</t>
        </is>
      </c>
      <c r="AD1680" s="19" t="n"/>
      <c r="AE1680" s="19" t="n"/>
      <c r="AF1680" s="19" t="n"/>
      <c r="AG1680" s="19" t="n"/>
      <c r="AH1680" s="23" t="n"/>
      <c r="AI1680" s="23" t="n"/>
      <c r="AJ1680" s="19" t="n"/>
    </row>
    <row r="1681">
      <c r="A1681" s="16" t="inlineStr">
        <is>
          <t>BEEZAASAN</t>
        </is>
      </c>
      <c r="B1681" s="16" t="inlineStr">
        <is>
          <t>Beezaasan Explotech Ltd.</t>
        </is>
      </c>
      <c r="C1681" s="16" t="inlineStr">
        <is>
          <t>Other Industrial Products</t>
        </is>
      </c>
      <c r="D1681" s="16" t="inlineStr">
        <is>
          <t>General Industrials</t>
        </is>
      </c>
      <c r="E1681" s="16" t="inlineStr">
        <is>
          <t>INE13VU01016</t>
        </is>
      </c>
      <c r="F1681" s="17" t="n">
        <v>834.33</v>
      </c>
      <c r="G1681" s="18" t="n">
        <v>550.65</v>
      </c>
      <c r="H1681" s="19" t="n">
        <v>-0.0199</v>
      </c>
      <c r="I1681" s="20" t="n">
        <v>97</v>
      </c>
      <c r="J1681" s="16" t="inlineStr">
        <is>
          <t>green</t>
        </is>
      </c>
      <c r="K1681" s="20" t="n">
        <v>61</v>
      </c>
      <c r="L1681" s="18" t="n">
        <v>75.28</v>
      </c>
      <c r="M1681" s="18" t="n">
        <v>566.54</v>
      </c>
      <c r="N1681" s="18" t="n">
        <v>432.57</v>
      </c>
      <c r="O1681" s="18" t="n">
        <v>283.06</v>
      </c>
      <c r="P1681" s="18" t="n">
        <v>585</v>
      </c>
      <c r="Q1681" s="18" t="n">
        <v>186.45</v>
      </c>
      <c r="R1681" s="21">
        <f>IF(OR(G1681="",P1681=""),"",G1681/P1681-1)</f>
        <v/>
      </c>
      <c r="S1681" s="19" t="n">
        <v>0.1402</v>
      </c>
      <c r="T1681" s="22" t="n">
        <v>0.1058</v>
      </c>
      <c r="U1681" s="16" t="inlineStr">
        <is>
          <t>Yes</t>
        </is>
      </c>
      <c r="V1681" s="16" t="inlineStr">
        <is>
          <t>Yes</t>
        </is>
      </c>
      <c r="W1681" s="16" t="inlineStr">
        <is>
          <t>No</t>
        </is>
      </c>
      <c r="X1681" s="16" t="inlineStr">
        <is>
          <t>Yes</t>
        </is>
      </c>
      <c r="Y1681" s="20" t="n">
        <v>63</v>
      </c>
      <c r="Z1681" s="19" t="n">
        <v>0.5282</v>
      </c>
      <c r="AA1681" s="18" t="n"/>
      <c r="AB1681" s="16" t="n"/>
      <c r="AC1681" s="16" t="inlineStr">
        <is>
          <t>No</t>
        </is>
      </c>
      <c r="AD1681" s="19" t="n"/>
      <c r="AE1681" s="19" t="n"/>
      <c r="AF1681" s="19" t="n"/>
      <c r="AG1681" s="19" t="n"/>
      <c r="AH1681" s="23" t="n"/>
      <c r="AI1681" s="23" t="n"/>
      <c r="AJ1681" s="19" t="n"/>
    </row>
    <row r="1682">
      <c r="A1682" s="16" t="inlineStr">
        <is>
          <t>EFFWA</t>
        </is>
      </c>
      <c r="B1682" s="16" t="inlineStr">
        <is>
          <t>Effwa Infra &amp; Research Ltd.</t>
        </is>
      </c>
      <c r="C1682" s="16" t="inlineStr">
        <is>
          <t>Construction &amp; Engineering</t>
        </is>
      </c>
      <c r="D1682" s="16" t="inlineStr">
        <is>
          <t>Cement and Construction</t>
        </is>
      </c>
      <c r="E1682" s="16" t="inlineStr">
        <is>
          <t>INE0U9101019</t>
        </is>
      </c>
      <c r="F1682" s="17" t="n">
        <v>833.3</v>
      </c>
      <c r="G1682" s="18" t="n">
        <v>360</v>
      </c>
      <c r="H1682" s="19" t="n">
        <v>-0.0221</v>
      </c>
      <c r="I1682" s="20" t="n">
        <v>83</v>
      </c>
      <c r="J1682" s="16" t="inlineStr">
        <is>
          <t>green</t>
        </is>
      </c>
      <c r="K1682" s="20" t="n">
        <v>3</v>
      </c>
      <c r="L1682" s="18" t="n">
        <v>55.15</v>
      </c>
      <c r="M1682" s="18" t="n">
        <v>336.14</v>
      </c>
      <c r="N1682" s="18" t="n">
        <v>362.24</v>
      </c>
      <c r="O1682" s="18" t="n">
        <v>270.26</v>
      </c>
      <c r="P1682" s="18" t="n">
        <v>397.65</v>
      </c>
      <c r="Q1682" s="18" t="n">
        <v>166.8</v>
      </c>
      <c r="R1682" s="21">
        <f>IF(OR(G1682="",P1682=""),"",G1682/P1682-1)</f>
        <v/>
      </c>
      <c r="S1682" s="19" t="n">
        <v>0.4776</v>
      </c>
      <c r="T1682" s="22" t="n">
        <v>0.04650000000000001</v>
      </c>
      <c r="U1682" s="16" t="inlineStr">
        <is>
          <t>Yes</t>
        </is>
      </c>
      <c r="V1682" s="16" t="inlineStr">
        <is>
          <t>No</t>
        </is>
      </c>
      <c r="W1682" s="16" t="inlineStr">
        <is>
          <t>Yes</t>
        </is>
      </c>
      <c r="X1682" s="16" t="inlineStr">
        <is>
          <t>Yes</t>
        </is>
      </c>
      <c r="Y1682" s="20" t="n">
        <v>78</v>
      </c>
      <c r="Z1682" s="19" t="n">
        <v>0.3404</v>
      </c>
      <c r="AA1682" s="18" t="n"/>
      <c r="AB1682" s="16" t="n"/>
      <c r="AC1682" s="16" t="inlineStr">
        <is>
          <t>No</t>
        </is>
      </c>
      <c r="AD1682" s="19" t="n"/>
      <c r="AE1682" s="19" t="n"/>
      <c r="AF1682" s="19" t="n"/>
      <c r="AG1682" s="19" t="n"/>
      <c r="AH1682" s="23" t="n"/>
      <c r="AI1682" s="23" t="n"/>
      <c r="AJ1682" s="19" t="n"/>
    </row>
    <row r="1683">
      <c r="A1683" s="16" t="inlineStr">
        <is>
          <t>JTLDEFENCE</t>
        </is>
      </c>
      <c r="B1683" s="16" t="inlineStr">
        <is>
          <t>JTL Defence Ltd.</t>
        </is>
      </c>
      <c r="C1683" s="16" t="inlineStr">
        <is>
          <t>Iron &amp; Steel/Interm.Products</t>
        </is>
      </c>
      <c r="D1683" s="16" t="inlineStr">
        <is>
          <t>Metals &amp; Mining</t>
        </is>
      </c>
      <c r="E1683" s="16" t="inlineStr">
        <is>
          <t>INE140B01048</t>
        </is>
      </c>
      <c r="F1683" s="17" t="n">
        <v>831.58</v>
      </c>
      <c r="G1683" s="18" t="n">
        <v>790</v>
      </c>
      <c r="H1683" s="19" t="n">
        <v>0.05</v>
      </c>
      <c r="I1683" s="20" t="n">
        <v>99</v>
      </c>
      <c r="J1683" s="16" t="inlineStr">
        <is>
          <t>green</t>
        </is>
      </c>
      <c r="K1683" s="20" t="n">
        <v>94</v>
      </c>
      <c r="L1683" s="18" t="n">
        <v>91.38</v>
      </c>
      <c r="M1683" s="18" t="n">
        <v>670.21</v>
      </c>
      <c r="N1683" s="18" t="n">
        <v>593.33</v>
      </c>
      <c r="O1683" s="18" t="n">
        <v>261.54</v>
      </c>
      <c r="P1683" s="18" t="n">
        <v>790</v>
      </c>
      <c r="Q1683" s="18" t="n">
        <v>58.41</v>
      </c>
      <c r="R1683" s="21">
        <f>IF(OR(G1683="",P1683=""),"",G1683/P1683-1)</f>
        <v/>
      </c>
      <c r="S1683" s="19" t="n">
        <v>0.3615</v>
      </c>
      <c r="T1683" s="22" t="n">
        <v>0.2411</v>
      </c>
      <c r="U1683" s="16" t="inlineStr">
        <is>
          <t>Yes</t>
        </is>
      </c>
      <c r="V1683" s="16" t="inlineStr">
        <is>
          <t>Yes</t>
        </is>
      </c>
      <c r="W1683" s="16" t="inlineStr">
        <is>
          <t>Yes</t>
        </is>
      </c>
      <c r="X1683" s="16" t="inlineStr">
        <is>
          <t>Yes</t>
        </is>
      </c>
      <c r="Y1683" s="20" t="n">
        <v>268</v>
      </c>
      <c r="Z1683" s="19" t="n">
        <v>1.2686</v>
      </c>
      <c r="AA1683" s="18" t="n"/>
      <c r="AB1683" s="16" t="n"/>
      <c r="AC1683" s="16" t="inlineStr">
        <is>
          <t>No</t>
        </is>
      </c>
      <c r="AD1683" s="19" t="n"/>
      <c r="AE1683" s="19" t="n"/>
      <c r="AF1683" s="19" t="n"/>
      <c r="AG1683" s="19" t="n"/>
      <c r="AH1683" s="23" t="n"/>
      <c r="AI1683" s="23" t="n"/>
      <c r="AJ1683" s="19" t="n"/>
    </row>
    <row r="1684">
      <c r="A1684" s="16" t="inlineStr">
        <is>
          <t>DBOL</t>
        </is>
      </c>
      <c r="B1684" s="16" t="inlineStr">
        <is>
          <t>Dhampur Bio Organics Ltd.</t>
        </is>
      </c>
      <c r="C1684" s="16" t="inlineStr">
        <is>
          <t>Sugar</t>
        </is>
      </c>
      <c r="D1684" s="16" t="inlineStr">
        <is>
          <t>Food, Beverages &amp; Tobacco</t>
        </is>
      </c>
      <c r="E1684" s="16" t="inlineStr">
        <is>
          <t>INE0I3401014</t>
        </is>
      </c>
      <c r="F1684" s="17" t="n">
        <v>829.78</v>
      </c>
      <c r="G1684" s="18" t="n">
        <v>124.99</v>
      </c>
      <c r="H1684" s="19" t="n">
        <v>-0.0359</v>
      </c>
      <c r="I1684" s="20" t="n">
        <v>78</v>
      </c>
      <c r="J1684" s="16" t="inlineStr">
        <is>
          <t>amber</t>
        </is>
      </c>
      <c r="K1684" s="20" t="n">
        <v>1</v>
      </c>
      <c r="L1684" s="18" t="n">
        <v>54.93</v>
      </c>
      <c r="M1684" s="18" t="n">
        <v>126.66</v>
      </c>
      <c r="N1684" s="18" t="n">
        <v>114.49</v>
      </c>
      <c r="O1684" s="18" t="n">
        <v>101.55</v>
      </c>
      <c r="P1684" s="18" t="n">
        <v>135.61</v>
      </c>
      <c r="Q1684" s="18" t="n">
        <v>68.48</v>
      </c>
      <c r="R1684" s="21">
        <f>IF(OR(G1684="",P1684=""),"",G1684/P1684-1)</f>
        <v/>
      </c>
      <c r="S1684" s="19" t="n">
        <v>0.6633</v>
      </c>
      <c r="T1684" s="22" t="n">
        <v>0.0509</v>
      </c>
      <c r="U1684" s="16" t="inlineStr">
        <is>
          <t>Yes</t>
        </is>
      </c>
      <c r="V1684" s="16" t="inlineStr">
        <is>
          <t>Yes</t>
        </is>
      </c>
      <c r="W1684" s="16" t="inlineStr">
        <is>
          <t>No</t>
        </is>
      </c>
      <c r="X1684" s="16" t="inlineStr">
        <is>
          <t>Yes</t>
        </is>
      </c>
      <c r="Y1684" s="20" t="n">
        <v>149</v>
      </c>
      <c r="Z1684" s="19" t="n">
        <v>0.1275</v>
      </c>
      <c r="AA1684" s="18" t="n">
        <v>15.58</v>
      </c>
      <c r="AB1684" s="16" t="inlineStr">
        <is>
          <t>Poor</t>
        </is>
      </c>
      <c r="AC1684" s="16" t="inlineStr">
        <is>
          <t>No</t>
        </is>
      </c>
      <c r="AD1684" s="19" t="n">
        <v>0.0283</v>
      </c>
      <c r="AE1684" s="19" t="n">
        <v>0.046</v>
      </c>
      <c r="AF1684" s="19" t="n">
        <v>-0.1822</v>
      </c>
      <c r="AG1684" s="19" t="n">
        <v>-0.0319</v>
      </c>
      <c r="AH1684" s="23" t="n">
        <v>1.03</v>
      </c>
      <c r="AI1684" s="23" t="n">
        <v>1.82</v>
      </c>
      <c r="AJ1684" s="19" t="n">
        <v>0.0054</v>
      </c>
    </row>
    <row r="1685">
      <c r="A1685" s="16" t="inlineStr">
        <is>
          <t>ABSMARINE</t>
        </is>
      </c>
      <c r="B1685" s="16" t="inlineStr">
        <is>
          <t>ABS Marine Services Ltd.</t>
        </is>
      </c>
      <c r="C1685" s="16" t="inlineStr">
        <is>
          <t>Marine Port &amp; Services</t>
        </is>
      </c>
      <c r="D1685" s="16" t="inlineStr">
        <is>
          <t>Transportation</t>
        </is>
      </c>
      <c r="E1685" s="16" t="inlineStr">
        <is>
          <t>INE0QRV01016</t>
        </is>
      </c>
      <c r="F1685" s="17" t="n">
        <v>829.54</v>
      </c>
      <c r="G1685" s="18" t="n">
        <v>337.9</v>
      </c>
      <c r="H1685" s="19" t="n">
        <v>0.1001</v>
      </c>
      <c r="I1685" s="20" t="n">
        <v>90</v>
      </c>
      <c r="J1685" s="16" t="inlineStr">
        <is>
          <t>green</t>
        </is>
      </c>
      <c r="K1685" s="20" t="n">
        <v>3</v>
      </c>
      <c r="L1685" s="18" t="n">
        <v>80.09999999999999</v>
      </c>
      <c r="M1685" s="18" t="n">
        <v>294.79</v>
      </c>
      <c r="N1685" s="18" t="n">
        <v>240.22</v>
      </c>
      <c r="O1685" s="18" t="n">
        <v>214.34</v>
      </c>
      <c r="P1685" s="18" t="n">
        <v>337.9</v>
      </c>
      <c r="Q1685" s="18" t="n">
        <v>149.55</v>
      </c>
      <c r="R1685" s="21">
        <f>IF(OR(G1685="",P1685=""),"",G1685/P1685-1)</f>
        <v/>
      </c>
      <c r="S1685" s="19" t="n">
        <v>4.8517</v>
      </c>
      <c r="T1685" s="22" t="n">
        <v>0.0244</v>
      </c>
      <c r="U1685" s="16" t="inlineStr">
        <is>
          <t>Yes</t>
        </is>
      </c>
      <c r="V1685" s="16" t="inlineStr">
        <is>
          <t>Yes</t>
        </is>
      </c>
      <c r="W1685" s="16" t="inlineStr">
        <is>
          <t>Yes</t>
        </is>
      </c>
      <c r="X1685" s="16" t="inlineStr">
        <is>
          <t>Yes</t>
        </is>
      </c>
      <c r="Y1685" s="20" t="n">
        <v>80</v>
      </c>
      <c r="Z1685" s="19" t="n">
        <v>0.1208</v>
      </c>
      <c r="AA1685" s="18" t="n"/>
      <c r="AB1685" s="16" t="n"/>
      <c r="AC1685" s="16" t="inlineStr">
        <is>
          <t>No</t>
        </is>
      </c>
      <c r="AD1685" s="19" t="n"/>
      <c r="AE1685" s="19" t="n"/>
      <c r="AF1685" s="19" t="n"/>
      <c r="AG1685" s="19" t="n"/>
      <c r="AH1685" s="23" t="n"/>
      <c r="AI1685" s="23" t="n"/>
      <c r="AJ1685" s="19" t="n"/>
    </row>
    <row r="1686">
      <c r="A1686" s="16" t="inlineStr">
        <is>
          <t>HEXAGON</t>
        </is>
      </c>
      <c r="B1686" s="16" t="inlineStr">
        <is>
          <t>Hexagon Nutrition Ltd.</t>
        </is>
      </c>
      <c r="C1686" s="16" t="inlineStr">
        <is>
          <t>Packaged Foods</t>
        </is>
      </c>
      <c r="D1686" s="16" t="inlineStr">
        <is>
          <t>FMCG</t>
        </is>
      </c>
      <c r="E1686" s="16" t="inlineStr">
        <is>
          <t>INE0JUI01012</t>
        </is>
      </c>
      <c r="F1686" s="17" t="n">
        <v>826.38</v>
      </c>
      <c r="G1686" s="18" t="n">
        <v>67.23</v>
      </c>
      <c r="H1686" s="19" t="n">
        <v>0.0122</v>
      </c>
      <c r="I1686" s="20" t="n"/>
      <c r="J1686" s="16" t="n"/>
      <c r="K1686" s="20" t="n"/>
      <c r="L1686" s="18" t="n">
        <v>63.92</v>
      </c>
      <c r="M1686" s="18" t="n">
        <v>67.41</v>
      </c>
      <c r="N1686" s="18" t="n">
        <v>67.47</v>
      </c>
      <c r="O1686" s="18" t="n"/>
      <c r="P1686" s="18" t="n">
        <v>76.16</v>
      </c>
      <c r="Q1686" s="18" t="n">
        <v>50.66</v>
      </c>
      <c r="R1686" s="21">
        <f>IF(OR(G1686="",P1686=""),"",G1686/P1686-1)</f>
        <v/>
      </c>
      <c r="S1686" s="19" t="n">
        <v>0.3566</v>
      </c>
      <c r="T1686" s="22" t="n"/>
      <c r="U1686" s="16" t="n"/>
      <c r="V1686" s="16" t="inlineStr">
        <is>
          <t>No</t>
        </is>
      </c>
      <c r="W1686" s="16" t="inlineStr">
        <is>
          <t>No</t>
        </is>
      </c>
      <c r="X1686" s="16" t="n"/>
      <c r="Y1686" s="20" t="n"/>
      <c r="Z1686" s="19" t="n"/>
      <c r="AA1686" s="18" t="n">
        <v>44.16</v>
      </c>
      <c r="AB1686" s="16" t="inlineStr">
        <is>
          <t>Average</t>
        </is>
      </c>
      <c r="AC1686" s="16" t="inlineStr">
        <is>
          <t>No</t>
        </is>
      </c>
      <c r="AD1686" s="19" t="n">
        <v>0.07690000000000001</v>
      </c>
      <c r="AE1686" s="19" t="n">
        <v>0.1071</v>
      </c>
      <c r="AF1686" s="19" t="n"/>
      <c r="AG1686" s="19" t="n">
        <v>0.0801</v>
      </c>
      <c r="AH1686" s="23" t="n">
        <v>0.15</v>
      </c>
      <c r="AI1686" s="23" t="n">
        <v>4.8</v>
      </c>
      <c r="AJ1686" s="19" t="n">
        <v>0.0507</v>
      </c>
    </row>
    <row r="1687">
      <c r="A1687" s="16" t="inlineStr">
        <is>
          <t>ZUARIIND</t>
        </is>
      </c>
      <c r="B1687" s="16" t="inlineStr">
        <is>
          <t>Zuari Industries Ltd.</t>
        </is>
      </c>
      <c r="C1687" s="16" t="inlineStr">
        <is>
          <t>Sugar</t>
        </is>
      </c>
      <c r="D1687" s="16" t="inlineStr">
        <is>
          <t>Food, Beverages &amp; Tobacco</t>
        </is>
      </c>
      <c r="E1687" s="16" t="inlineStr">
        <is>
          <t>INE217A01012</t>
        </is>
      </c>
      <c r="F1687" s="17" t="n">
        <v>823.3</v>
      </c>
      <c r="G1687" s="18" t="n">
        <v>276.45</v>
      </c>
      <c r="H1687" s="19" t="n">
        <v>0.0119</v>
      </c>
      <c r="I1687" s="20" t="n">
        <v>43</v>
      </c>
      <c r="J1687" s="16" t="inlineStr">
        <is>
          <t>red</t>
        </is>
      </c>
      <c r="K1687" s="20" t="n">
        <v>158</v>
      </c>
      <c r="L1687" s="18" t="n">
        <v>64.73</v>
      </c>
      <c r="M1687" s="18" t="n">
        <v>272.68</v>
      </c>
      <c r="N1687" s="18" t="n">
        <v>264.57</v>
      </c>
      <c r="O1687" s="18" t="n">
        <v>270.08</v>
      </c>
      <c r="P1687" s="18" t="n">
        <v>403.9</v>
      </c>
      <c r="Q1687" s="18" t="n">
        <v>213.3</v>
      </c>
      <c r="R1687" s="21">
        <f>IF(OR(G1687="",P1687=""),"",G1687/P1687-1)</f>
        <v/>
      </c>
      <c r="S1687" s="19" t="n">
        <v>0.5855</v>
      </c>
      <c r="T1687" s="22" t="n">
        <v>-0.0237</v>
      </c>
      <c r="U1687" s="16" t="inlineStr">
        <is>
          <t>No</t>
        </is>
      </c>
      <c r="V1687" s="16" t="inlineStr">
        <is>
          <t>Yes</t>
        </is>
      </c>
      <c r="W1687" s="16" t="inlineStr">
        <is>
          <t>Yes</t>
        </is>
      </c>
      <c r="X1687" s="16" t="inlineStr">
        <is>
          <t>No</t>
        </is>
      </c>
      <c r="Y1687" s="20" t="n">
        <v>149</v>
      </c>
      <c r="Z1687" s="19" t="n">
        <v>-0.0204</v>
      </c>
      <c r="AA1687" s="18" t="n">
        <v>33.75</v>
      </c>
      <c r="AB1687" s="16" t="inlineStr">
        <is>
          <t>Poor</t>
        </is>
      </c>
      <c r="AC1687" s="16" t="inlineStr">
        <is>
          <t>No</t>
        </is>
      </c>
      <c r="AD1687" s="19" t="n">
        <v>0.0645</v>
      </c>
      <c r="AE1687" s="19" t="n">
        <v>0.08380000000000001</v>
      </c>
      <c r="AF1687" s="19" t="n">
        <v>0.7753</v>
      </c>
      <c r="AG1687" s="19" t="n">
        <v>0.0378</v>
      </c>
      <c r="AH1687" s="23" t="n">
        <v>0.72</v>
      </c>
      <c r="AI1687" s="23" t="n">
        <v>2.17</v>
      </c>
      <c r="AJ1687" s="19" t="n">
        <v>0.0123</v>
      </c>
    </row>
    <row r="1688">
      <c r="A1688" s="16" t="inlineStr">
        <is>
          <t>SYSTMTXC</t>
        </is>
      </c>
      <c r="B1688" s="16" t="inlineStr">
        <is>
          <t>Systematix Corporate Services Ltd.</t>
        </is>
      </c>
      <c r="C1688" s="16" t="inlineStr">
        <is>
          <t>Capital Markets</t>
        </is>
      </c>
      <c r="D1688" s="16" t="inlineStr">
        <is>
          <t>Banking and Finance</t>
        </is>
      </c>
      <c r="E1688" s="16" t="inlineStr">
        <is>
          <t>INE356B01024</t>
        </is>
      </c>
      <c r="F1688" s="17" t="n">
        <v>822.37</v>
      </c>
      <c r="G1688" s="18" t="n">
        <v>60.23</v>
      </c>
      <c r="H1688" s="19" t="n">
        <v>0.0499</v>
      </c>
      <c r="I1688" s="20" t="n">
        <v>6</v>
      </c>
      <c r="J1688" s="16" t="inlineStr">
        <is>
          <t>red</t>
        </is>
      </c>
      <c r="K1688" s="20" t="n">
        <v>168</v>
      </c>
      <c r="L1688" s="18" t="n">
        <v>54.99</v>
      </c>
      <c r="M1688" s="18" t="n">
        <v>57.87</v>
      </c>
      <c r="N1688" s="18" t="n">
        <v>60.53</v>
      </c>
      <c r="O1688" s="18" t="n">
        <v>83.92</v>
      </c>
      <c r="P1688" s="18" t="n">
        <v>168.67</v>
      </c>
      <c r="Q1688" s="18" t="n">
        <v>52.65</v>
      </c>
      <c r="R1688" s="21">
        <f>IF(OR(G1688="",P1688=""),"",G1688/P1688-1)</f>
        <v/>
      </c>
      <c r="S1688" s="19" t="n">
        <v>6.0417</v>
      </c>
      <c r="T1688" s="22" t="n">
        <v>-0.1088</v>
      </c>
      <c r="U1688" s="16" t="inlineStr">
        <is>
          <t>No</t>
        </is>
      </c>
      <c r="V1688" s="16" t="inlineStr">
        <is>
          <t>No</t>
        </is>
      </c>
      <c r="W1688" s="16" t="inlineStr">
        <is>
          <t>Yes</t>
        </is>
      </c>
      <c r="X1688" s="16" t="inlineStr">
        <is>
          <t>No</t>
        </is>
      </c>
      <c r="Y1688" s="20" t="n">
        <v>32</v>
      </c>
      <c r="Z1688" s="19" t="n">
        <v>-0.2787</v>
      </c>
      <c r="AA1688" s="18" t="n">
        <v>81.23</v>
      </c>
      <c r="AB1688" s="16" t="inlineStr">
        <is>
          <t>High</t>
        </is>
      </c>
      <c r="AC1688" s="16" t="inlineStr">
        <is>
          <t>Yes</t>
        </is>
      </c>
      <c r="AD1688" s="19" t="n">
        <v>0.1847</v>
      </c>
      <c r="AE1688" s="19" t="n">
        <v>0.2351</v>
      </c>
      <c r="AF1688" s="19" t="n"/>
      <c r="AG1688" s="19" t="n">
        <v>0.3829</v>
      </c>
      <c r="AH1688" s="23" t="n">
        <v>0.03</v>
      </c>
      <c r="AI1688" s="23" t="n">
        <v>10.45</v>
      </c>
      <c r="AJ1688" s="19" t="n">
        <v>0</v>
      </c>
    </row>
    <row r="1689">
      <c r="A1689" s="16" t="inlineStr">
        <is>
          <t>BORANA</t>
        </is>
      </c>
      <c r="B1689" s="16" t="inlineStr">
        <is>
          <t>Borana Weaves Ltd.</t>
        </is>
      </c>
      <c r="C1689" s="16" t="inlineStr">
        <is>
          <t>Textiles</t>
        </is>
      </c>
      <c r="D1689" s="16" t="inlineStr">
        <is>
          <t>Textiles Apparels &amp; Accessories</t>
        </is>
      </c>
      <c r="E1689" s="16" t="inlineStr">
        <is>
          <t>INE16SF01016</t>
        </is>
      </c>
      <c r="F1689" s="17" t="n">
        <v>819.61</v>
      </c>
      <c r="G1689" s="18" t="n">
        <v>307.6</v>
      </c>
      <c r="H1689" s="19" t="n">
        <v>0.0241</v>
      </c>
      <c r="I1689" s="20" t="n">
        <v>47</v>
      </c>
      <c r="J1689" s="16" t="inlineStr">
        <is>
          <t>red</t>
        </is>
      </c>
      <c r="K1689" s="20" t="n">
        <v>16</v>
      </c>
      <c r="L1689" s="18" t="n">
        <v>40.25</v>
      </c>
      <c r="M1689" s="18" t="n">
        <v>309.56</v>
      </c>
      <c r="N1689" s="18" t="n">
        <v>316.87</v>
      </c>
      <c r="O1689" s="18" t="n">
        <v>328.04</v>
      </c>
      <c r="P1689" s="18" t="n">
        <v>415.4</v>
      </c>
      <c r="Q1689" s="18" t="n">
        <v>212.64</v>
      </c>
      <c r="R1689" s="21">
        <f>IF(OR(G1689="",P1689=""),"",G1689/P1689-1)</f>
        <v/>
      </c>
      <c r="S1689" s="19" t="n">
        <v>0.3717</v>
      </c>
      <c r="T1689" s="22" t="n">
        <v>0.0235</v>
      </c>
      <c r="U1689" s="16" t="inlineStr">
        <is>
          <t>Yes</t>
        </is>
      </c>
      <c r="V1689" s="16" t="inlineStr">
        <is>
          <t>No</t>
        </is>
      </c>
      <c r="W1689" s="16" t="inlineStr">
        <is>
          <t>No</t>
        </is>
      </c>
      <c r="X1689" s="16" t="inlineStr">
        <is>
          <t>No</t>
        </is>
      </c>
      <c r="Y1689" s="20" t="n">
        <v>25</v>
      </c>
      <c r="Z1689" s="19" t="n">
        <v>-0.0341</v>
      </c>
      <c r="AA1689" s="18" t="n">
        <v>77.26000000000001</v>
      </c>
      <c r="AB1689" s="16" t="inlineStr">
        <is>
          <t>High</t>
        </is>
      </c>
      <c r="AC1689" s="16" t="inlineStr">
        <is>
          <t>No</t>
        </is>
      </c>
      <c r="AD1689" s="19" t="n">
        <v>0.4667</v>
      </c>
      <c r="AE1689" s="19" t="n">
        <v>0.2828</v>
      </c>
      <c r="AF1689" s="19" t="n">
        <v>1.0987</v>
      </c>
      <c r="AG1689" s="19" t="n">
        <v>0.7111</v>
      </c>
      <c r="AH1689" s="23" t="n">
        <v>0.25</v>
      </c>
      <c r="AI1689" s="23" t="n">
        <v>1.7</v>
      </c>
      <c r="AJ1689" s="19" t="n">
        <v>0.3541</v>
      </c>
    </row>
    <row r="1690">
      <c r="A1690" s="16" t="inlineStr">
        <is>
          <t>OCCLLTD</t>
        </is>
      </c>
      <c r="B1690" s="16" t="inlineStr">
        <is>
          <t>OCCL Ltd.</t>
        </is>
      </c>
      <c r="C1690" s="16" t="inlineStr">
        <is>
          <t>Commodity Chemicals</t>
        </is>
      </c>
      <c r="D1690" s="16" t="inlineStr">
        <is>
          <t>Chemicals &amp; Petrochemicals</t>
        </is>
      </c>
      <c r="E1690" s="16" t="inlineStr">
        <is>
          <t>INE0PK601023</t>
        </is>
      </c>
      <c r="F1690" s="17" t="n">
        <v>818.84</v>
      </c>
      <c r="G1690" s="18" t="n">
        <v>163.93</v>
      </c>
      <c r="H1690" s="19" t="n">
        <v>-0.0024</v>
      </c>
      <c r="I1690" s="20" t="n">
        <v>84</v>
      </c>
      <c r="J1690" s="16" t="inlineStr">
        <is>
          <t>green</t>
        </is>
      </c>
      <c r="K1690" s="20" t="n">
        <v>31</v>
      </c>
      <c r="L1690" s="18" t="n">
        <v>63.69</v>
      </c>
      <c r="M1690" s="18" t="n">
        <v>161.61</v>
      </c>
      <c r="N1690" s="18" t="n">
        <v>147.13</v>
      </c>
      <c r="O1690" s="18" t="n">
        <v>110.81</v>
      </c>
      <c r="P1690" s="18" t="n">
        <v>178.4</v>
      </c>
      <c r="Q1690" s="18" t="n">
        <v>76.93000000000001</v>
      </c>
      <c r="R1690" s="21">
        <f>IF(OR(G1690="",P1690=""),"",G1690/P1690-1)</f>
        <v/>
      </c>
      <c r="S1690" s="19" t="n">
        <v>0.5062</v>
      </c>
      <c r="T1690" s="22" t="n">
        <v>0.0409</v>
      </c>
      <c r="U1690" s="16" t="inlineStr">
        <is>
          <t>Yes</t>
        </is>
      </c>
      <c r="V1690" s="16" t="inlineStr">
        <is>
          <t>Yes</t>
        </is>
      </c>
      <c r="W1690" s="16" t="inlineStr">
        <is>
          <t>Yes</t>
        </is>
      </c>
      <c r="X1690" s="16" t="inlineStr">
        <is>
          <t>Yes</t>
        </is>
      </c>
      <c r="Y1690" s="20" t="n">
        <v>58</v>
      </c>
      <c r="Z1690" s="19" t="n">
        <v>0.3278</v>
      </c>
      <c r="AA1690" s="18" t="n">
        <v>43.82</v>
      </c>
      <c r="AB1690" s="16" t="inlineStr">
        <is>
          <t>Average</t>
        </is>
      </c>
      <c r="AC1690" s="16" t="inlineStr">
        <is>
          <t>No</t>
        </is>
      </c>
      <c r="AD1690" s="19" t="n">
        <v>0.3262</v>
      </c>
      <c r="AE1690" s="19" t="n">
        <v>-0.1899</v>
      </c>
      <c r="AF1690" s="19" t="n">
        <v>143.4084</v>
      </c>
      <c r="AG1690" s="19" t="n">
        <v>-0.1753</v>
      </c>
      <c r="AH1690" s="23" t="n">
        <v>0.21</v>
      </c>
      <c r="AI1690" s="23" t="n">
        <v>1.39</v>
      </c>
      <c r="AJ1690" s="19" t="n">
        <v>0.005699999999999999</v>
      </c>
    </row>
    <row r="1691">
      <c r="A1691" s="16" t="inlineStr">
        <is>
          <t>ROHLTD</t>
        </is>
      </c>
      <c r="B1691" s="16" t="inlineStr">
        <is>
          <t>Royal Orchid Hotels Ltd.</t>
        </is>
      </c>
      <c r="C1691" s="16" t="inlineStr">
        <is>
          <t>Hotels</t>
        </is>
      </c>
      <c r="D1691" s="16" t="inlineStr">
        <is>
          <t>Hotels Restaurants &amp; Tourism</t>
        </is>
      </c>
      <c r="E1691" s="16" t="inlineStr">
        <is>
          <t>INE283H01019</t>
        </is>
      </c>
      <c r="F1691" s="17" t="n">
        <v>818.78</v>
      </c>
      <c r="G1691" s="18" t="n">
        <v>298.55</v>
      </c>
      <c r="H1691" s="19" t="n">
        <v>0.0002</v>
      </c>
      <c r="I1691" s="20" t="n">
        <v>10</v>
      </c>
      <c r="J1691" s="16" t="inlineStr">
        <is>
          <t>red</t>
        </is>
      </c>
      <c r="K1691" s="20" t="n">
        <v>142</v>
      </c>
      <c r="L1691" s="18" t="n">
        <v>38.83</v>
      </c>
      <c r="M1691" s="18" t="n">
        <v>299.28</v>
      </c>
      <c r="N1691" s="18" t="n">
        <v>312.05</v>
      </c>
      <c r="O1691" s="18" t="n">
        <v>344.22</v>
      </c>
      <c r="P1691" s="18" t="n">
        <v>556.3200000000001</v>
      </c>
      <c r="Q1691" s="18" t="n">
        <v>269.06</v>
      </c>
      <c r="R1691" s="21">
        <f>IF(OR(G1691="",P1691=""),"",G1691/P1691-1)</f>
        <v/>
      </c>
      <c r="S1691" s="19" t="n">
        <v>0.3134</v>
      </c>
      <c r="T1691" s="22" t="n">
        <v>-0.0457</v>
      </c>
      <c r="U1691" s="16" t="inlineStr">
        <is>
          <t>No</t>
        </is>
      </c>
      <c r="V1691" s="16" t="inlineStr">
        <is>
          <t>No</t>
        </is>
      </c>
      <c r="W1691" s="16" t="inlineStr">
        <is>
          <t>No</t>
        </is>
      </c>
      <c r="X1691" s="16" t="inlineStr">
        <is>
          <t>No</t>
        </is>
      </c>
      <c r="Y1691" s="20" t="n">
        <v>167</v>
      </c>
      <c r="Z1691" s="19" t="n">
        <v>-0.0934</v>
      </c>
      <c r="AA1691" s="18" t="n">
        <v>17.63</v>
      </c>
      <c r="AB1691" s="16" t="inlineStr">
        <is>
          <t>Poor</t>
        </is>
      </c>
      <c r="AC1691" s="16" t="inlineStr">
        <is>
          <t>No</t>
        </is>
      </c>
      <c r="AD1691" s="19" t="n">
        <v>0.1945</v>
      </c>
      <c r="AE1691" s="19" t="n">
        <v>0.149</v>
      </c>
      <c r="AF1691" s="19" t="n">
        <v>-0.1044</v>
      </c>
      <c r="AG1691" s="19" t="n">
        <v>0.1349</v>
      </c>
      <c r="AH1691" s="23" t="n">
        <v>2.48</v>
      </c>
      <c r="AI1691" s="23" t="n">
        <v>0.54</v>
      </c>
      <c r="AJ1691" s="19" t="n">
        <v>0.0034</v>
      </c>
    </row>
    <row r="1692">
      <c r="A1692" s="16" t="inlineStr">
        <is>
          <t>LOTUSCHO</t>
        </is>
      </c>
      <c r="B1692" s="16" t="inlineStr">
        <is>
          <t>Lotus Chocolate Company Ltd.</t>
        </is>
      </c>
      <c r="C1692" s="16" t="inlineStr">
        <is>
          <t>Packaged Foods</t>
        </is>
      </c>
      <c r="D1692" s="16" t="inlineStr">
        <is>
          <t>FMCG</t>
        </is>
      </c>
      <c r="E1692" s="16" t="inlineStr">
        <is>
          <t>INE026D01011</t>
        </is>
      </c>
      <c r="F1692" s="17" t="n">
        <v>816.37</v>
      </c>
      <c r="G1692" s="18" t="n">
        <v>635.75</v>
      </c>
      <c r="H1692" s="19" t="n">
        <v>-0.0227</v>
      </c>
      <c r="I1692" s="20" t="n">
        <v>7</v>
      </c>
      <c r="J1692" s="16" t="inlineStr">
        <is>
          <t>red</t>
        </is>
      </c>
      <c r="K1692" s="20" t="n">
        <v>267</v>
      </c>
      <c r="L1692" s="18" t="n">
        <v>58.02</v>
      </c>
      <c r="M1692" s="18" t="n">
        <v>628.39</v>
      </c>
      <c r="N1692" s="18" t="n">
        <v>651.6</v>
      </c>
      <c r="O1692" s="18" t="n">
        <v>727.66</v>
      </c>
      <c r="P1692" s="18" t="n">
        <v>1231.55</v>
      </c>
      <c r="Q1692" s="18" t="n">
        <v>547.4</v>
      </c>
      <c r="R1692" s="21">
        <f>IF(OR(G1692="",P1692=""),"",G1692/P1692-1)</f>
        <v/>
      </c>
      <c r="S1692" s="19" t="n">
        <v>0.1654</v>
      </c>
      <c r="T1692" s="22" t="n">
        <v>-0.0447</v>
      </c>
      <c r="U1692" s="16" t="inlineStr">
        <is>
          <t>No</t>
        </is>
      </c>
      <c r="V1692" s="16" t="inlineStr">
        <is>
          <t>No</t>
        </is>
      </c>
      <c r="W1692" s="16" t="inlineStr">
        <is>
          <t>Yes</t>
        </is>
      </c>
      <c r="X1692" s="16" t="inlineStr">
        <is>
          <t>No</t>
        </is>
      </c>
      <c r="Y1692" s="20" t="n">
        <v>218</v>
      </c>
      <c r="Z1692" s="19" t="n">
        <v>-0.1045</v>
      </c>
      <c r="AA1692" s="18" t="n"/>
      <c r="AB1692" s="16" t="n"/>
      <c r="AC1692" s="16" t="inlineStr">
        <is>
          <t>No</t>
        </is>
      </c>
      <c r="AD1692" s="19" t="n"/>
      <c r="AE1692" s="19" t="n"/>
      <c r="AF1692" s="19" t="n"/>
      <c r="AG1692" s="19" t="n"/>
      <c r="AH1692" s="23" t="n"/>
      <c r="AI1692" s="23" t="n"/>
      <c r="AJ1692" s="19" t="n"/>
    </row>
    <row r="1693">
      <c r="A1693" s="16" t="inlineStr">
        <is>
          <t>WELINV</t>
        </is>
      </c>
      <c r="B1693" s="16" t="inlineStr">
        <is>
          <t>Welspun Investments &amp; Commercials Ltd.</t>
        </is>
      </c>
      <c r="C1693" s="16" t="inlineStr">
        <is>
          <t>Other Financial Services</t>
        </is>
      </c>
      <c r="D1693" s="16" t="inlineStr">
        <is>
          <t>Banking and Finance</t>
        </is>
      </c>
      <c r="E1693" s="16" t="inlineStr">
        <is>
          <t>INE389K01018</t>
        </is>
      </c>
      <c r="F1693" s="17" t="n">
        <v>815.21</v>
      </c>
      <c r="G1693" s="18" t="n">
        <v>2230.7</v>
      </c>
      <c r="H1693" s="19" t="n">
        <v>0.02</v>
      </c>
      <c r="I1693" s="20" t="n">
        <v>89</v>
      </c>
      <c r="J1693" s="16" t="inlineStr">
        <is>
          <t>green</t>
        </is>
      </c>
      <c r="K1693" s="20" t="n">
        <v>200</v>
      </c>
      <c r="L1693" s="18" t="n">
        <v>73.54000000000001</v>
      </c>
      <c r="M1693" s="18" t="n">
        <v>2230.08</v>
      </c>
      <c r="N1693" s="18" t="n">
        <v>1914.74</v>
      </c>
      <c r="O1693" s="18" t="n">
        <v>1549.82</v>
      </c>
      <c r="P1693" s="18" t="n">
        <v>2340.6</v>
      </c>
      <c r="Q1693" s="18" t="n">
        <v>1000</v>
      </c>
      <c r="R1693" s="21">
        <f>IF(OR(G1693="",P1693=""),"",G1693/P1693-1)</f>
        <v/>
      </c>
      <c r="S1693" s="19" t="n">
        <v>0.0167</v>
      </c>
      <c r="T1693" s="22" t="n">
        <v>0.0579</v>
      </c>
      <c r="U1693" s="16" t="inlineStr">
        <is>
          <t>Yes</t>
        </is>
      </c>
      <c r="V1693" s="16" t="inlineStr">
        <is>
          <t>Yes</t>
        </is>
      </c>
      <c r="W1693" s="16" t="inlineStr">
        <is>
          <t>Yes</t>
        </is>
      </c>
      <c r="X1693" s="16" t="inlineStr">
        <is>
          <t>Yes</t>
        </is>
      </c>
      <c r="Y1693" s="20" t="n">
        <v>304</v>
      </c>
      <c r="Z1693" s="19" t="n">
        <v>0.2355</v>
      </c>
      <c r="AA1693" s="18" t="n">
        <v>12.86</v>
      </c>
      <c r="AB1693" s="16" t="inlineStr">
        <is>
          <t>Poor</t>
        </is>
      </c>
      <c r="AC1693" s="16" t="inlineStr">
        <is>
          <t>Yes</t>
        </is>
      </c>
      <c r="AD1693" s="19" t="n">
        <v>0.0052</v>
      </c>
      <c r="AE1693" s="19" t="n">
        <v>0.0069</v>
      </c>
      <c r="AF1693" s="19" t="n">
        <v>-0.114</v>
      </c>
      <c r="AG1693" s="19" t="n">
        <v>-0.07000000000000001</v>
      </c>
      <c r="AH1693" s="23" t="n">
        <v>0</v>
      </c>
      <c r="AI1693" s="23" t="n"/>
      <c r="AJ1693" s="19" t="n"/>
    </row>
    <row r="1694">
      <c r="A1694" s="16" t="inlineStr">
        <is>
          <t>VIVIANA</t>
        </is>
      </c>
      <c r="B1694" s="16" t="inlineStr">
        <is>
          <t>Viviana Power Tech Ltd.</t>
        </is>
      </c>
      <c r="C1694" s="16" t="inlineStr">
        <is>
          <t>Power - Electric Utilities</t>
        </is>
      </c>
      <c r="D1694" s="16" t="inlineStr">
        <is>
          <t>Utilities</t>
        </is>
      </c>
      <c r="E1694" s="16" t="inlineStr">
        <is>
          <t>INE0MEG01014</t>
        </is>
      </c>
      <c r="F1694" s="17" t="n">
        <v>814.74</v>
      </c>
      <c r="G1694" s="18" t="n">
        <v>804.7</v>
      </c>
      <c r="H1694" s="19" t="n">
        <v>0.05</v>
      </c>
      <c r="I1694" s="20" t="n">
        <v>34</v>
      </c>
      <c r="J1694" s="16" t="inlineStr">
        <is>
          <t>red</t>
        </is>
      </c>
      <c r="K1694" s="20" t="n">
        <v>64</v>
      </c>
      <c r="L1694" s="18" t="n">
        <v>81.97</v>
      </c>
      <c r="M1694" s="18" t="n">
        <v>747.73</v>
      </c>
      <c r="N1694" s="18" t="n">
        <v>741.5599999999999</v>
      </c>
      <c r="O1694" s="18" t="n">
        <v>762.34</v>
      </c>
      <c r="P1694" s="18" t="n">
        <v>1759.95</v>
      </c>
      <c r="Q1694" s="18" t="n">
        <v>577.5</v>
      </c>
      <c r="R1694" s="21">
        <f>IF(OR(G1694="",P1694=""),"",G1694/P1694-1)</f>
        <v/>
      </c>
      <c r="S1694" s="19" t="n">
        <v>1.3324</v>
      </c>
      <c r="T1694" s="22" t="n">
        <v>-0.0859</v>
      </c>
      <c r="U1694" s="16" t="inlineStr">
        <is>
          <t>No</t>
        </is>
      </c>
      <c r="V1694" s="16" t="inlineStr">
        <is>
          <t>Yes</t>
        </is>
      </c>
      <c r="W1694" s="16" t="inlineStr">
        <is>
          <t>Yes</t>
        </is>
      </c>
      <c r="X1694" s="16" t="inlineStr">
        <is>
          <t>No</t>
        </is>
      </c>
      <c r="Y1694" s="20" t="n">
        <v>173</v>
      </c>
      <c r="Z1694" s="19" t="n">
        <v>-0.0273</v>
      </c>
      <c r="AA1694" s="18" t="n">
        <v>40</v>
      </c>
      <c r="AB1694" s="16" t="inlineStr">
        <is>
          <t>Weak</t>
        </is>
      </c>
      <c r="AC1694" s="16" t="inlineStr">
        <is>
          <t>No</t>
        </is>
      </c>
      <c r="AD1694" s="19" t="n">
        <v>0.254</v>
      </c>
      <c r="AE1694" s="19" t="n">
        <v>0.2404</v>
      </c>
      <c r="AF1694" s="19" t="n">
        <v>-0.046</v>
      </c>
      <c r="AG1694" s="19" t="n">
        <v>1.7266</v>
      </c>
      <c r="AH1694" s="23" t="n">
        <v>0.84</v>
      </c>
      <c r="AI1694" s="23" t="n">
        <v>145.78</v>
      </c>
      <c r="AJ1694" s="19" t="n">
        <v>0.0333</v>
      </c>
    </row>
    <row r="1695">
      <c r="A1695" s="16" t="inlineStr">
        <is>
          <t>SUPREMEINF</t>
        </is>
      </c>
      <c r="B1695" s="16" t="inlineStr">
        <is>
          <t>Supreme Infrastructure India Ltd.</t>
        </is>
      </c>
      <c r="C1695" s="16" t="inlineStr">
        <is>
          <t>Construction &amp; Engineering</t>
        </is>
      </c>
      <c r="D1695" s="16" t="inlineStr">
        <is>
          <t>Cement and Construction</t>
        </is>
      </c>
      <c r="E1695" s="16" t="inlineStr">
        <is>
          <t>INE550H01011</t>
        </is>
      </c>
      <c r="F1695" s="17" t="n">
        <v>813.37</v>
      </c>
      <c r="G1695" s="18" t="n">
        <v>83.42</v>
      </c>
      <c r="H1695" s="19" t="n">
        <v>-0.0008</v>
      </c>
      <c r="I1695" s="20" t="n">
        <v>37</v>
      </c>
      <c r="J1695" s="16" t="inlineStr">
        <is>
          <t>red</t>
        </is>
      </c>
      <c r="K1695" s="20" t="n">
        <v>238</v>
      </c>
      <c r="L1695" s="18" t="n">
        <v>28.5</v>
      </c>
      <c r="M1695" s="18" t="n">
        <v>84.16</v>
      </c>
      <c r="N1695" s="18" t="n">
        <v>84.22</v>
      </c>
      <c r="O1695" s="18" t="n">
        <v>81.43000000000001</v>
      </c>
      <c r="P1695" s="18" t="n">
        <v>110.17</v>
      </c>
      <c r="Q1695" s="18" t="n">
        <v>58.17</v>
      </c>
      <c r="R1695" s="21">
        <f>IF(OR(G1695="",P1695=""),"",G1695/P1695-1)</f>
        <v/>
      </c>
      <c r="S1695" s="19" t="n">
        <v>0.1468</v>
      </c>
      <c r="T1695" s="22" t="n">
        <v>-0.0083</v>
      </c>
      <c r="U1695" s="16" t="inlineStr">
        <is>
          <t>No</t>
        </is>
      </c>
      <c r="V1695" s="16" t="inlineStr">
        <is>
          <t>No</t>
        </is>
      </c>
      <c r="W1695" s="16" t="inlineStr">
        <is>
          <t>No</t>
        </is>
      </c>
      <c r="X1695" s="16" t="inlineStr">
        <is>
          <t>Yes</t>
        </is>
      </c>
      <c r="Y1695" s="20" t="n">
        <v>15</v>
      </c>
      <c r="Z1695" s="19" t="n">
        <v>0.0343</v>
      </c>
      <c r="AA1695" s="18" t="n">
        <v>29.92</v>
      </c>
      <c r="AB1695" s="16" t="inlineStr">
        <is>
          <t>Poor</t>
        </is>
      </c>
      <c r="AC1695" s="16" t="inlineStr">
        <is>
          <t>No</t>
        </is>
      </c>
      <c r="AD1695" s="19" t="n">
        <v>8.4313</v>
      </c>
      <c r="AE1695" s="19" t="n">
        <v>1.3156</v>
      </c>
      <c r="AF1695" s="19" t="n">
        <v>0.6865000000000001</v>
      </c>
      <c r="AG1695" s="19" t="n">
        <v>-0.09269999999999999</v>
      </c>
      <c r="AH1695" s="23" t="n">
        <v>6.25</v>
      </c>
      <c r="AI1695" s="23" t="n">
        <v>0.76</v>
      </c>
      <c r="AJ1695" s="19" t="n">
        <v>0.0059</v>
      </c>
    </row>
    <row r="1696">
      <c r="A1696" s="16" t="inlineStr">
        <is>
          <t>OMINFRAL</t>
        </is>
      </c>
      <c r="B1696" s="16" t="inlineStr">
        <is>
          <t>Om Infra Ltd.</t>
        </is>
      </c>
      <c r="C1696" s="16" t="inlineStr">
        <is>
          <t>Construction &amp; Engineering</t>
        </is>
      </c>
      <c r="D1696" s="16" t="inlineStr">
        <is>
          <t>Cement and Construction</t>
        </is>
      </c>
      <c r="E1696" s="16" t="inlineStr">
        <is>
          <t>INE239D01028</t>
        </is>
      </c>
      <c r="F1696" s="17" t="n">
        <v>813.09</v>
      </c>
      <c r="G1696" s="18" t="n">
        <v>84.43000000000001</v>
      </c>
      <c r="H1696" s="19" t="n">
        <v>0.0274</v>
      </c>
      <c r="I1696" s="20" t="n">
        <v>28</v>
      </c>
      <c r="J1696" s="16" t="inlineStr">
        <is>
          <t>red</t>
        </is>
      </c>
      <c r="K1696" s="20" t="n">
        <v>432</v>
      </c>
      <c r="L1696" s="18" t="n">
        <v>41.59</v>
      </c>
      <c r="M1696" s="18" t="n">
        <v>82.27</v>
      </c>
      <c r="N1696" s="18" t="n">
        <v>86.65000000000001</v>
      </c>
      <c r="O1696" s="18" t="n">
        <v>89.11</v>
      </c>
      <c r="P1696" s="18" t="n">
        <v>136.31</v>
      </c>
      <c r="Q1696" s="18" t="n">
        <v>72.70999999999999</v>
      </c>
      <c r="R1696" s="21">
        <f>IF(OR(G1696="",P1696=""),"",G1696/P1696-1)</f>
        <v/>
      </c>
      <c r="S1696" s="19" t="n">
        <v>0.5616</v>
      </c>
      <c r="T1696" s="22" t="n">
        <v>-0.0315</v>
      </c>
      <c r="U1696" s="16" t="inlineStr">
        <is>
          <t>No</t>
        </is>
      </c>
      <c r="V1696" s="16" t="inlineStr">
        <is>
          <t>No</t>
        </is>
      </c>
      <c r="W1696" s="16" t="inlineStr">
        <is>
          <t>Yes</t>
        </is>
      </c>
      <c r="X1696" s="16" t="inlineStr">
        <is>
          <t>No</t>
        </is>
      </c>
      <c r="Y1696" s="20" t="n">
        <v>433</v>
      </c>
      <c r="Z1696" s="19" t="n">
        <v>-0.0276</v>
      </c>
      <c r="AA1696" s="18" t="n">
        <v>41.45</v>
      </c>
      <c r="AB1696" s="16" t="inlineStr">
        <is>
          <t>Average</t>
        </is>
      </c>
      <c r="AC1696" s="16" t="inlineStr">
        <is>
          <t>No</t>
        </is>
      </c>
      <c r="AD1696" s="19" t="n">
        <v>0.04679999999999999</v>
      </c>
      <c r="AE1696" s="19" t="n">
        <v>0.0776</v>
      </c>
      <c r="AF1696" s="19" t="n">
        <v>0.4617</v>
      </c>
      <c r="AG1696" s="19" t="n">
        <v>-0.09480000000000001</v>
      </c>
      <c r="AH1696" s="23" t="n">
        <v>0.11</v>
      </c>
      <c r="AI1696" s="23" t="n">
        <v>6.76</v>
      </c>
      <c r="AJ1696" s="19" t="n">
        <v>0.0304</v>
      </c>
    </row>
    <row r="1697">
      <c r="A1697" s="16" t="inlineStr">
        <is>
          <t>ANUHPHR</t>
        </is>
      </c>
      <c r="B1697" s="16" t="inlineStr">
        <is>
          <t>Anuh Pharma Ltd.</t>
        </is>
      </c>
      <c r="C1697" s="16" t="inlineStr">
        <is>
          <t>Pharmaceuticals</t>
        </is>
      </c>
      <c r="D1697" s="16" t="inlineStr">
        <is>
          <t>Pharmaceuticals &amp; Biotechnology</t>
        </is>
      </c>
      <c r="E1697" s="16" t="inlineStr">
        <is>
          <t>INE489G01022</t>
        </is>
      </c>
      <c r="F1697" s="17" t="n">
        <v>812.8200000000001</v>
      </c>
      <c r="G1697" s="18" t="n">
        <v>81.09999999999999</v>
      </c>
      <c r="H1697" s="19" t="n">
        <v>0.0178</v>
      </c>
      <c r="I1697" s="20" t="n">
        <v>46</v>
      </c>
      <c r="J1697" s="16" t="inlineStr">
        <is>
          <t>red</t>
        </is>
      </c>
      <c r="K1697" s="20" t="n">
        <v>269</v>
      </c>
      <c r="L1697" s="18" t="n">
        <v>65.13</v>
      </c>
      <c r="M1697" s="18" t="n">
        <v>81.17</v>
      </c>
      <c r="N1697" s="18" t="n">
        <v>78.45999999999999</v>
      </c>
      <c r="O1697" s="18" t="n">
        <v>76.92</v>
      </c>
      <c r="P1697" s="18" t="n">
        <v>88.70999999999999</v>
      </c>
      <c r="Q1697" s="18" t="n">
        <v>65.75</v>
      </c>
      <c r="R1697" s="21">
        <f>IF(OR(G1697="",P1697=""),"",G1697/P1697-1)</f>
        <v/>
      </c>
      <c r="S1697" s="19" t="n">
        <v>1.2246</v>
      </c>
      <c r="T1697" s="22" t="n">
        <v>-0.0063</v>
      </c>
      <c r="U1697" s="16" t="inlineStr">
        <is>
          <t>No</t>
        </is>
      </c>
      <c r="V1697" s="16" t="inlineStr">
        <is>
          <t>Yes</t>
        </is>
      </c>
      <c r="W1697" s="16" t="inlineStr">
        <is>
          <t>No</t>
        </is>
      </c>
      <c r="X1697" s="16" t="inlineStr">
        <is>
          <t>Yes</t>
        </is>
      </c>
      <c r="Y1697" s="20" t="n">
        <v>22</v>
      </c>
      <c r="Z1697" s="19" t="n">
        <v>0.02</v>
      </c>
      <c r="AA1697" s="18" t="n">
        <v>70.38</v>
      </c>
      <c r="AB1697" s="16" t="inlineStr">
        <is>
          <t>High</t>
        </is>
      </c>
      <c r="AC1697" s="16" t="inlineStr">
        <is>
          <t>No</t>
        </is>
      </c>
      <c r="AD1697" s="19" t="n">
        <v>0.156</v>
      </c>
      <c r="AE1697" s="19" t="n">
        <v>0.2019</v>
      </c>
      <c r="AF1697" s="19" t="n">
        <v>0.2635</v>
      </c>
      <c r="AG1697" s="19" t="n">
        <v>0.1385</v>
      </c>
      <c r="AH1697" s="23" t="n">
        <v>0</v>
      </c>
      <c r="AI1697" s="23" t="n">
        <v>13.74</v>
      </c>
      <c r="AJ1697" s="19" t="n">
        <v>0.0011</v>
      </c>
    </row>
    <row r="1698">
      <c r="A1698" s="16" t="inlineStr">
        <is>
          <t>SCODATUBES</t>
        </is>
      </c>
      <c r="B1698" s="16" t="inlineStr">
        <is>
          <t>Scoda Tubes Ltd.</t>
        </is>
      </c>
      <c r="C1698" s="16" t="inlineStr">
        <is>
          <t>Iron &amp; Steel Products</t>
        </is>
      </c>
      <c r="D1698" s="16" t="inlineStr">
        <is>
          <t>Metals &amp; Mining</t>
        </is>
      </c>
      <c r="E1698" s="16" t="inlineStr">
        <is>
          <t>INE090501011</t>
        </is>
      </c>
      <c r="F1698" s="17" t="n">
        <v>808.89</v>
      </c>
      <c r="G1698" s="18" t="n">
        <v>135.02</v>
      </c>
      <c r="H1698" s="19" t="n">
        <v>0.0005</v>
      </c>
      <c r="I1698" s="20" t="n">
        <v>32</v>
      </c>
      <c r="J1698" s="16" t="inlineStr">
        <is>
          <t>red</t>
        </is>
      </c>
      <c r="K1698" s="20" t="n">
        <v>248</v>
      </c>
      <c r="L1698" s="18" t="n">
        <v>60.01</v>
      </c>
      <c r="M1698" s="18" t="n">
        <v>131.2</v>
      </c>
      <c r="N1698" s="18" t="n">
        <v>140.65</v>
      </c>
      <c r="O1698" s="18" t="n">
        <v>142.46</v>
      </c>
      <c r="P1698" s="18" t="n">
        <v>180.32</v>
      </c>
      <c r="Q1698" s="18" t="n">
        <v>116.68</v>
      </c>
      <c r="R1698" s="21">
        <f>IF(OR(G1698="",P1698=""),"",G1698/P1698-1)</f>
        <v/>
      </c>
      <c r="S1698" s="19" t="n">
        <v>1.1308</v>
      </c>
      <c r="T1698" s="22" t="n">
        <v>-0.0228</v>
      </c>
      <c r="U1698" s="16" t="inlineStr">
        <is>
          <t>No</t>
        </is>
      </c>
      <c r="V1698" s="16" t="inlineStr">
        <is>
          <t>No</t>
        </is>
      </c>
      <c r="W1698" s="16" t="inlineStr">
        <is>
          <t>Yes</t>
        </is>
      </c>
      <c r="X1698" s="16" t="inlineStr">
        <is>
          <t>No</t>
        </is>
      </c>
      <c r="Y1698" s="20" t="n">
        <v>117</v>
      </c>
      <c r="Z1698" s="19" t="n">
        <v>-0.0126</v>
      </c>
      <c r="AA1698" s="18" t="n">
        <v>40</v>
      </c>
      <c r="AB1698" s="16" t="inlineStr">
        <is>
          <t>Weak</t>
        </is>
      </c>
      <c r="AC1698" s="16" t="inlineStr">
        <is>
          <t>No</t>
        </is>
      </c>
      <c r="AD1698" s="19" t="n">
        <v>0.2051</v>
      </c>
      <c r="AE1698" s="19" t="n">
        <v>0.1451</v>
      </c>
      <c r="AF1698" s="19" t="n">
        <v>-0.1185</v>
      </c>
      <c r="AG1698" s="19" t="n">
        <v>0.3038</v>
      </c>
      <c r="AH1698" s="23" t="n">
        <v>0.48</v>
      </c>
      <c r="AI1698" s="23" t="n">
        <v>2.68</v>
      </c>
      <c r="AJ1698" s="19" t="n">
        <v>0.0455</v>
      </c>
    </row>
    <row r="1699">
      <c r="A1699" s="16" t="inlineStr">
        <is>
          <t>KOKUYOCMLN</t>
        </is>
      </c>
      <c r="B1699" s="16" t="inlineStr">
        <is>
          <t>Kokuyo Camlin Ltd.</t>
        </is>
      </c>
      <c r="C1699" s="16" t="inlineStr">
        <is>
          <t>Commodity Printing/Stationery</t>
        </is>
      </c>
      <c r="D1699" s="16" t="inlineStr">
        <is>
          <t>Commercial Services &amp; Supplies</t>
        </is>
      </c>
      <c r="E1699" s="16" t="inlineStr">
        <is>
          <t>INE760A01029</t>
        </is>
      </c>
      <c r="F1699" s="17" t="n">
        <v>808.55</v>
      </c>
      <c r="G1699" s="18" t="n">
        <v>80.61</v>
      </c>
      <c r="H1699" s="19" t="n">
        <v>0.0277</v>
      </c>
      <c r="I1699" s="20" t="n">
        <v>24</v>
      </c>
      <c r="J1699" s="16" t="inlineStr">
        <is>
          <t>red</t>
        </is>
      </c>
      <c r="K1699" s="20" t="n">
        <v>474</v>
      </c>
      <c r="L1699" s="18" t="n">
        <v>39.17</v>
      </c>
      <c r="M1699" s="18" t="n">
        <v>79.51000000000001</v>
      </c>
      <c r="N1699" s="18" t="n">
        <v>84.02</v>
      </c>
      <c r="O1699" s="18" t="n">
        <v>85.8</v>
      </c>
      <c r="P1699" s="18" t="n">
        <v>118.32</v>
      </c>
      <c r="Q1699" s="18" t="n">
        <v>71.04000000000001</v>
      </c>
      <c r="R1699" s="21">
        <f>IF(OR(G1699="",P1699=""),"",G1699/P1699-1)</f>
        <v/>
      </c>
      <c r="S1699" s="19" t="n">
        <v>0.7942</v>
      </c>
      <c r="T1699" s="22" t="n">
        <v>-0.0231</v>
      </c>
      <c r="U1699" s="16" t="inlineStr">
        <is>
          <t>No</t>
        </is>
      </c>
      <c r="V1699" s="16" t="inlineStr">
        <is>
          <t>No</t>
        </is>
      </c>
      <c r="W1699" s="16" t="inlineStr">
        <is>
          <t>Yes</t>
        </is>
      </c>
      <c r="X1699" s="16" t="inlineStr">
        <is>
          <t>No</t>
        </is>
      </c>
      <c r="Y1699" s="20" t="n">
        <v>247</v>
      </c>
      <c r="Z1699" s="19" t="n">
        <v>-0.0207</v>
      </c>
      <c r="AA1699" s="18" t="n">
        <v>49.32</v>
      </c>
      <c r="AB1699" s="16" t="inlineStr">
        <is>
          <t>Average</t>
        </is>
      </c>
      <c r="AC1699" s="16" t="inlineStr">
        <is>
          <t>No</t>
        </is>
      </c>
      <c r="AD1699" s="19" t="n">
        <v>0.0814</v>
      </c>
      <c r="AE1699" s="19" t="n">
        <v>0.1018</v>
      </c>
      <c r="AF1699" s="19" t="n">
        <v>1.0608</v>
      </c>
      <c r="AG1699" s="19" t="n">
        <v>0.0144</v>
      </c>
      <c r="AH1699" s="23" t="n">
        <v>0.11</v>
      </c>
      <c r="AI1699" s="23" t="n">
        <v>5.06</v>
      </c>
      <c r="AJ1699" s="19" t="n">
        <v>0.1083</v>
      </c>
    </row>
    <row r="1700">
      <c r="A1700" s="16" t="inlineStr">
        <is>
          <t>EXCELSOFT</t>
        </is>
      </c>
      <c r="B1700" s="16" t="inlineStr">
        <is>
          <t>Excelsoft Technologies Ltd.</t>
        </is>
      </c>
      <c r="C1700" s="16" t="inlineStr">
        <is>
          <t>IT Consulting &amp; Software</t>
        </is>
      </c>
      <c r="D1700" s="16" t="inlineStr">
        <is>
          <t>Software &amp; Services</t>
        </is>
      </c>
      <c r="E1700" s="16" t="inlineStr">
        <is>
          <t>INE606N01019</t>
        </is>
      </c>
      <c r="F1700" s="17" t="n">
        <v>808.24</v>
      </c>
      <c r="G1700" s="18" t="n">
        <v>70.23</v>
      </c>
      <c r="H1700" s="19" t="n">
        <v>-0.0061</v>
      </c>
      <c r="I1700" s="20" t="n">
        <v>10</v>
      </c>
      <c r="J1700" s="16" t="inlineStr">
        <is>
          <t>red</t>
        </is>
      </c>
      <c r="K1700" s="20" t="n">
        <v>70</v>
      </c>
      <c r="L1700" s="18" t="n">
        <v>31.7</v>
      </c>
      <c r="M1700" s="18" t="n">
        <v>70.41</v>
      </c>
      <c r="N1700" s="18" t="n">
        <v>75.97</v>
      </c>
      <c r="O1700" s="18" t="n"/>
      <c r="P1700" s="18" t="n">
        <v>125.97</v>
      </c>
      <c r="Q1700" s="18" t="n">
        <v>66.72</v>
      </c>
      <c r="R1700" s="21">
        <f>IF(OR(G1700="",P1700=""),"",G1700/P1700-1)</f>
        <v/>
      </c>
      <c r="S1700" s="19" t="n">
        <v>0.607</v>
      </c>
      <c r="T1700" s="22" t="n"/>
      <c r="U1700" s="16" t="n"/>
      <c r="V1700" s="16" t="inlineStr">
        <is>
          <t>No</t>
        </is>
      </c>
      <c r="W1700" s="16" t="inlineStr">
        <is>
          <t>No</t>
        </is>
      </c>
      <c r="X1700" s="16" t="n"/>
      <c r="Y1700" s="20" t="n"/>
      <c r="Z1700" s="19" t="n"/>
      <c r="AA1700" s="18" t="n">
        <v>48.73</v>
      </c>
      <c r="AB1700" s="16" t="inlineStr">
        <is>
          <t>Average</t>
        </is>
      </c>
      <c r="AC1700" s="16" t="inlineStr">
        <is>
          <t>No</t>
        </is>
      </c>
      <c r="AD1700" s="19" t="n">
        <v>0.0704</v>
      </c>
      <c r="AE1700" s="19" t="n">
        <v>0.1123</v>
      </c>
      <c r="AF1700" s="19" t="n">
        <v>0.09359999999999999</v>
      </c>
      <c r="AG1700" s="19" t="n">
        <v>0.1203</v>
      </c>
      <c r="AH1700" s="23" t="n">
        <v>0.01</v>
      </c>
      <c r="AI1700" s="23" t="n">
        <v>4.3</v>
      </c>
      <c r="AJ1700" s="19" t="n">
        <v>0</v>
      </c>
    </row>
    <row r="1701">
      <c r="A1701" s="16" t="inlineStr">
        <is>
          <t>LIKHITHA</t>
        </is>
      </c>
      <c r="B1701" s="16" t="inlineStr">
        <is>
          <t>Likhitha Infrastructure Ltd.</t>
        </is>
      </c>
      <c r="C1701" s="16" t="inlineStr">
        <is>
          <t>Construction &amp; Engineering</t>
        </is>
      </c>
      <c r="D1701" s="16" t="inlineStr">
        <is>
          <t>Cement and Construction</t>
        </is>
      </c>
      <c r="E1701" s="16" t="inlineStr">
        <is>
          <t>INE060901027</t>
        </is>
      </c>
      <c r="F1701" s="17" t="n">
        <v>807.9400000000001</v>
      </c>
      <c r="G1701" s="18" t="n">
        <v>204.8</v>
      </c>
      <c r="H1701" s="19" t="n">
        <v>0.009399999999999999</v>
      </c>
      <c r="I1701" s="20" t="n">
        <v>42</v>
      </c>
      <c r="J1701" s="16" t="inlineStr">
        <is>
          <t>red</t>
        </is>
      </c>
      <c r="K1701" s="20" t="n">
        <v>18</v>
      </c>
      <c r="L1701" s="18" t="n">
        <v>46.23</v>
      </c>
      <c r="M1701" s="18" t="n">
        <v>206.74</v>
      </c>
      <c r="N1701" s="18" t="n">
        <v>228.25</v>
      </c>
      <c r="O1701" s="18" t="n">
        <v>199.73</v>
      </c>
      <c r="P1701" s="18" t="n">
        <v>270.48</v>
      </c>
      <c r="Q1701" s="18" t="n">
        <v>133.15</v>
      </c>
      <c r="R1701" s="21">
        <f>IF(OR(G1701="",P1701=""),"",G1701/P1701-1)</f>
        <v/>
      </c>
      <c r="S1701" s="19" t="n">
        <v>0.6143999999999999</v>
      </c>
      <c r="T1701" s="22" t="n">
        <v>-0.0059</v>
      </c>
      <c r="U1701" s="16" t="inlineStr">
        <is>
          <t>No</t>
        </is>
      </c>
      <c r="V1701" s="16" t="inlineStr">
        <is>
          <t>No</t>
        </is>
      </c>
      <c r="W1701" s="16" t="inlineStr">
        <is>
          <t>No</t>
        </is>
      </c>
      <c r="X1701" s="16" t="inlineStr">
        <is>
          <t>Yes</t>
        </is>
      </c>
      <c r="Y1701" s="20" t="n">
        <v>69</v>
      </c>
      <c r="Z1701" s="19" t="n">
        <v>0.1428</v>
      </c>
      <c r="AA1701" s="18" t="n">
        <v>40</v>
      </c>
      <c r="AB1701" s="16" t="inlineStr">
        <is>
          <t>Weak</t>
        </is>
      </c>
      <c r="AC1701" s="16" t="inlineStr">
        <is>
          <t>No</t>
        </is>
      </c>
      <c r="AD1701" s="19" t="n">
        <v>0.1641</v>
      </c>
      <c r="AE1701" s="19" t="n">
        <v>0.2246</v>
      </c>
      <c r="AF1701" s="19" t="n">
        <v>-0.0919</v>
      </c>
      <c r="AG1701" s="19" t="n">
        <v>0.08900000000000001</v>
      </c>
      <c r="AH1701" s="23" t="n">
        <v>0</v>
      </c>
      <c r="AI1701" s="23" t="n">
        <v>19.69</v>
      </c>
      <c r="AJ1701" s="19" t="n">
        <v>0</v>
      </c>
    </row>
    <row r="1702">
      <c r="A1702" s="16" t="inlineStr">
        <is>
          <t>VISAKAIND</t>
        </is>
      </c>
      <c r="B1702" s="16" t="inlineStr">
        <is>
          <t>Visaka Industries Ltd.</t>
        </is>
      </c>
      <c r="C1702" s="16" t="inlineStr">
        <is>
          <t>Cement &amp; Cement Products</t>
        </is>
      </c>
      <c r="D1702" s="16" t="inlineStr">
        <is>
          <t>Cement and Construction</t>
        </is>
      </c>
      <c r="E1702" s="16" t="inlineStr">
        <is>
          <t>INE392A01021</t>
        </is>
      </c>
      <c r="F1702" s="17" t="n">
        <v>806.76</v>
      </c>
      <c r="G1702" s="18" t="n">
        <v>93.37</v>
      </c>
      <c r="H1702" s="19" t="n">
        <v>0.0317</v>
      </c>
      <c r="I1702" s="20" t="n">
        <v>79</v>
      </c>
      <c r="J1702" s="16" t="inlineStr">
        <is>
          <t>amber</t>
        </is>
      </c>
      <c r="K1702" s="20" t="n">
        <v>9</v>
      </c>
      <c r="L1702" s="18" t="n">
        <v>52.89</v>
      </c>
      <c r="M1702" s="18" t="n">
        <v>90.19</v>
      </c>
      <c r="N1702" s="18" t="n">
        <v>86.27</v>
      </c>
      <c r="O1702" s="18" t="n">
        <v>70.45999999999999</v>
      </c>
      <c r="P1702" s="18" t="n">
        <v>102.47</v>
      </c>
      <c r="Q1702" s="18" t="n">
        <v>50.2</v>
      </c>
      <c r="R1702" s="21">
        <f>IF(OR(G1702="",P1702=""),"",G1702/P1702-1)</f>
        <v/>
      </c>
      <c r="S1702" s="19" t="n">
        <v>0.4657</v>
      </c>
      <c r="T1702" s="22" t="n">
        <v>0.0239</v>
      </c>
      <c r="U1702" s="16" t="inlineStr">
        <is>
          <t>Yes</t>
        </is>
      </c>
      <c r="V1702" s="16" t="inlineStr">
        <is>
          <t>Yes</t>
        </is>
      </c>
      <c r="W1702" s="16" t="inlineStr">
        <is>
          <t>Yes</t>
        </is>
      </c>
      <c r="X1702" s="16" t="inlineStr">
        <is>
          <t>Yes</t>
        </is>
      </c>
      <c r="Y1702" s="20" t="n">
        <v>58</v>
      </c>
      <c r="Z1702" s="19" t="n">
        <v>0.2244</v>
      </c>
      <c r="AA1702" s="18" t="n">
        <v>35.95</v>
      </c>
      <c r="AB1702" s="16" t="inlineStr">
        <is>
          <t>Weak</t>
        </is>
      </c>
      <c r="AC1702" s="16" t="inlineStr">
        <is>
          <t>No</t>
        </is>
      </c>
      <c r="AD1702" s="19" t="n">
        <v>0.0334</v>
      </c>
      <c r="AE1702" s="19" t="n">
        <v>0.06280000000000001</v>
      </c>
      <c r="AF1702" s="19" t="n">
        <v>7.9149</v>
      </c>
      <c r="AG1702" s="19" t="n">
        <v>0.005699999999999999</v>
      </c>
      <c r="AH1702" s="23" t="n">
        <v>0.37</v>
      </c>
      <c r="AI1702" s="23" t="n">
        <v>2.41</v>
      </c>
      <c r="AJ1702" s="19" t="n">
        <v>0.0101</v>
      </c>
    </row>
    <row r="1703">
      <c r="A1703" s="16" t="inlineStr">
        <is>
          <t>SADHNANIQ</t>
        </is>
      </c>
      <c r="B1703" s="16" t="inlineStr">
        <is>
          <t>Sadhana Nitro Chem Ltd.</t>
        </is>
      </c>
      <c r="C1703" s="16" t="inlineStr">
        <is>
          <t>Commodity Chemicals</t>
        </is>
      </c>
      <c r="D1703" s="16" t="inlineStr">
        <is>
          <t>Chemicals &amp; Petrochemicals</t>
        </is>
      </c>
      <c r="E1703" s="16" t="inlineStr">
        <is>
          <t>INE888C01040</t>
        </is>
      </c>
      <c r="F1703" s="17" t="n">
        <v>806.4</v>
      </c>
      <c r="G1703" s="18" t="n">
        <v>2.72</v>
      </c>
      <c r="H1703" s="19" t="n">
        <v>0.0187</v>
      </c>
      <c r="I1703" s="20" t="n">
        <v>29</v>
      </c>
      <c r="J1703" s="16" t="inlineStr">
        <is>
          <t>red</t>
        </is>
      </c>
      <c r="K1703" s="20" t="n">
        <v>18</v>
      </c>
      <c r="L1703" s="18" t="n">
        <v>22.39</v>
      </c>
      <c r="M1703" s="18" t="n">
        <v>2.8</v>
      </c>
      <c r="N1703" s="18" t="n">
        <v>2.84</v>
      </c>
      <c r="O1703" s="18" t="n">
        <v>3.54</v>
      </c>
      <c r="P1703" s="18" t="n">
        <v>11.08</v>
      </c>
      <c r="Q1703" s="18" t="n">
        <v>1.33</v>
      </c>
      <c r="R1703" s="21">
        <f>IF(OR(G1703="",P1703=""),"",G1703/P1703-1)</f>
        <v/>
      </c>
      <c r="S1703" s="19" t="n">
        <v>0.241</v>
      </c>
      <c r="T1703" s="22" t="n">
        <v>-0.1135</v>
      </c>
      <c r="U1703" s="16" t="inlineStr">
        <is>
          <t>No</t>
        </is>
      </c>
      <c r="V1703" s="16" t="inlineStr">
        <is>
          <t>No</t>
        </is>
      </c>
      <c r="W1703" s="16" t="inlineStr">
        <is>
          <t>No</t>
        </is>
      </c>
      <c r="X1703" s="16" t="inlineStr">
        <is>
          <t>No</t>
        </is>
      </c>
      <c r="Y1703" s="20" t="n">
        <v>630</v>
      </c>
      <c r="Z1703" s="19" t="n">
        <v>-0.1963</v>
      </c>
      <c r="AA1703" s="18" t="n">
        <v>30.23</v>
      </c>
      <c r="AB1703" s="16" t="inlineStr">
        <is>
          <t>Poor</t>
        </is>
      </c>
      <c r="AC1703" s="16" t="inlineStr">
        <is>
          <t>No</t>
        </is>
      </c>
      <c r="AD1703" s="19" t="n">
        <v>-0.0484</v>
      </c>
      <c r="AE1703" s="19" t="n">
        <v>0.0009</v>
      </c>
      <c r="AF1703" s="19" t="n">
        <v>1.0889</v>
      </c>
      <c r="AG1703" s="19" t="n">
        <v>-0.1647</v>
      </c>
      <c r="AH1703" s="23" t="n">
        <v>0.25</v>
      </c>
      <c r="AI1703" s="23" t="n">
        <v>0.21</v>
      </c>
      <c r="AJ1703" s="19" t="n">
        <v>0.3274</v>
      </c>
    </row>
    <row r="1704">
      <c r="A1704" s="16" t="inlineStr">
        <is>
          <t>STERTOOLS</t>
        </is>
      </c>
      <c r="B1704" s="16" t="inlineStr">
        <is>
          <t>Sterling Tools Ltd.</t>
        </is>
      </c>
      <c r="C1704" s="16" t="inlineStr">
        <is>
          <t>Auto Parts &amp; Equipment</t>
        </is>
      </c>
      <c r="D1704" s="16" t="inlineStr">
        <is>
          <t>Automobiles &amp; Auto Components</t>
        </is>
      </c>
      <c r="E1704" s="16" t="inlineStr">
        <is>
          <t>INE334A01023</t>
        </is>
      </c>
      <c r="F1704" s="17" t="n">
        <v>804.34</v>
      </c>
      <c r="G1704" s="18" t="n">
        <v>221.31</v>
      </c>
      <c r="H1704" s="19" t="n">
        <v>0.0024</v>
      </c>
      <c r="I1704" s="20" t="n">
        <v>26</v>
      </c>
      <c r="J1704" s="16" t="inlineStr">
        <is>
          <t>red</t>
        </is>
      </c>
      <c r="K1704" s="20" t="n">
        <v>53</v>
      </c>
      <c r="L1704" s="18" t="n">
        <v>53.12</v>
      </c>
      <c r="M1704" s="18" t="n">
        <v>219.19</v>
      </c>
      <c r="N1704" s="18" t="n">
        <v>233.21</v>
      </c>
      <c r="O1704" s="18" t="n">
        <v>236.3</v>
      </c>
      <c r="P1704" s="18" t="n">
        <v>338.19</v>
      </c>
      <c r="Q1704" s="18" t="n">
        <v>159.1</v>
      </c>
      <c r="R1704" s="21">
        <f>IF(OR(G1704="",P1704=""),"",G1704/P1704-1)</f>
        <v/>
      </c>
      <c r="S1704" s="19" t="n">
        <v>0.618</v>
      </c>
      <c r="T1704" s="22" t="n">
        <v>-0.0339</v>
      </c>
      <c r="U1704" s="16" t="inlineStr">
        <is>
          <t>No</t>
        </is>
      </c>
      <c r="V1704" s="16" t="inlineStr">
        <is>
          <t>No</t>
        </is>
      </c>
      <c r="W1704" s="16" t="inlineStr">
        <is>
          <t>Yes</t>
        </is>
      </c>
      <c r="X1704" s="16" t="inlineStr">
        <is>
          <t>No</t>
        </is>
      </c>
      <c r="Y1704" s="20" t="n">
        <v>377</v>
      </c>
      <c r="Z1704" s="19" t="n">
        <v>-0.0131</v>
      </c>
      <c r="AA1704" s="18" t="n">
        <v>35.97</v>
      </c>
      <c r="AB1704" s="16" t="inlineStr">
        <is>
          <t>Weak</t>
        </is>
      </c>
      <c r="AC1704" s="16" t="inlineStr">
        <is>
          <t>No</t>
        </is>
      </c>
      <c r="AD1704" s="19" t="n">
        <v>0.0987</v>
      </c>
      <c r="AE1704" s="19" t="n">
        <v>0.1207</v>
      </c>
      <c r="AF1704" s="19" t="n">
        <v>-0.2665</v>
      </c>
      <c r="AG1704" s="19" t="n">
        <v>0.0428</v>
      </c>
      <c r="AH1704" s="23" t="n">
        <v>0.28</v>
      </c>
      <c r="AI1704" s="23" t="n">
        <v>2.45</v>
      </c>
      <c r="AJ1704" s="19" t="n">
        <v>0.06559999999999999</v>
      </c>
    </row>
    <row r="1705">
      <c r="A1705" s="16" t="inlineStr">
        <is>
          <t>NCLIND</t>
        </is>
      </c>
      <c r="B1705" s="16" t="inlineStr">
        <is>
          <t>NCL Industries Ltd.</t>
        </is>
      </c>
      <c r="C1705" s="16" t="inlineStr">
        <is>
          <t>Cement &amp; Cement Products</t>
        </is>
      </c>
      <c r="D1705" s="16" t="inlineStr">
        <is>
          <t>Cement and Construction</t>
        </is>
      </c>
      <c r="E1705" s="16" t="inlineStr">
        <is>
          <t>INE732C01016</t>
        </is>
      </c>
      <c r="F1705" s="17" t="n">
        <v>804.28</v>
      </c>
      <c r="G1705" s="18" t="n">
        <v>177.81</v>
      </c>
      <c r="H1705" s="19" t="n">
        <v>0.0025</v>
      </c>
      <c r="I1705" s="20" t="n">
        <v>27</v>
      </c>
      <c r="J1705" s="16" t="inlineStr">
        <is>
          <t>red</t>
        </is>
      </c>
      <c r="K1705" s="20" t="n">
        <v>156</v>
      </c>
      <c r="L1705" s="18" t="n">
        <v>62.14</v>
      </c>
      <c r="M1705" s="18" t="n">
        <v>176.84</v>
      </c>
      <c r="N1705" s="18" t="n">
        <v>180.81</v>
      </c>
      <c r="O1705" s="18" t="n">
        <v>184.04</v>
      </c>
      <c r="P1705" s="18" t="n">
        <v>213.72</v>
      </c>
      <c r="Q1705" s="18" t="n">
        <v>148.17</v>
      </c>
      <c r="R1705" s="21">
        <f>IF(OR(G1705="",P1705=""),"",G1705/P1705-1)</f>
        <v/>
      </c>
      <c r="S1705" s="19" t="n">
        <v>0.4991</v>
      </c>
      <c r="T1705" s="22" t="n">
        <v>-0.0126</v>
      </c>
      <c r="U1705" s="16" t="inlineStr">
        <is>
          <t>No</t>
        </is>
      </c>
      <c r="V1705" s="16" t="inlineStr">
        <is>
          <t>No</t>
        </is>
      </c>
      <c r="W1705" s="16" t="inlineStr">
        <is>
          <t>Yes</t>
        </is>
      </c>
      <c r="X1705" s="16" t="inlineStr">
        <is>
          <t>No</t>
        </is>
      </c>
      <c r="Y1705" s="20" t="n">
        <v>213</v>
      </c>
      <c r="Z1705" s="19" t="n">
        <v>-0.0176</v>
      </c>
      <c r="AA1705" s="18" t="n">
        <v>29.59</v>
      </c>
      <c r="AB1705" s="16" t="inlineStr">
        <is>
          <t>Poor</t>
        </is>
      </c>
      <c r="AC1705" s="16" t="inlineStr">
        <is>
          <t>No</t>
        </is>
      </c>
      <c r="AD1705" s="19" t="n">
        <v>0.08019999999999999</v>
      </c>
      <c r="AE1705" s="19" t="n">
        <v>0.12</v>
      </c>
      <c r="AF1705" s="19" t="n">
        <v>-0.209</v>
      </c>
      <c r="AG1705" s="19" t="n">
        <v>-0.0354</v>
      </c>
      <c r="AH1705" s="23" t="n">
        <v>0.25</v>
      </c>
      <c r="AI1705" s="23" t="n">
        <v>1.28</v>
      </c>
      <c r="AJ1705" s="19" t="n">
        <v>0.0021</v>
      </c>
    </row>
    <row r="1706">
      <c r="A1706" s="16" t="inlineStr">
        <is>
          <t>RBZJEWEL</t>
        </is>
      </c>
      <c r="B1706" s="16" t="inlineStr">
        <is>
          <t>RBZ Jewellers Ltd.</t>
        </is>
      </c>
      <c r="C1706" s="16" t="inlineStr">
        <is>
          <t>Gems &amp; Jewellery</t>
        </is>
      </c>
      <c r="D1706" s="16" t="inlineStr">
        <is>
          <t>Textiles Apparels &amp; Accessories</t>
        </is>
      </c>
      <c r="E1706" s="16" t="inlineStr">
        <is>
          <t>INE0PEQ01016</t>
        </is>
      </c>
      <c r="F1706" s="17" t="n">
        <v>802.76</v>
      </c>
      <c r="G1706" s="18" t="n">
        <v>200.69</v>
      </c>
      <c r="H1706" s="19" t="n">
        <v>0.047</v>
      </c>
      <c r="I1706" s="20" t="n">
        <v>85</v>
      </c>
      <c r="J1706" s="16" t="inlineStr">
        <is>
          <t>green</t>
        </is>
      </c>
      <c r="K1706" s="20" t="n">
        <v>2</v>
      </c>
      <c r="L1706" s="18" t="n">
        <v>82.86</v>
      </c>
      <c r="M1706" s="18" t="n">
        <v>164.45</v>
      </c>
      <c r="N1706" s="18" t="n">
        <v>147.99</v>
      </c>
      <c r="O1706" s="18" t="n">
        <v>137.74</v>
      </c>
      <c r="P1706" s="18" t="n">
        <v>200.69</v>
      </c>
      <c r="Q1706" s="18" t="n">
        <v>102.07</v>
      </c>
      <c r="R1706" s="21">
        <f>IF(OR(G1706="",P1706=""),"",G1706/P1706-1)</f>
        <v/>
      </c>
      <c r="S1706" s="19" t="n">
        <v>5.4643</v>
      </c>
      <c r="T1706" s="22" t="n">
        <v>0.0004</v>
      </c>
      <c r="U1706" s="16" t="inlineStr">
        <is>
          <t>Yes</t>
        </is>
      </c>
      <c r="V1706" s="16" t="inlineStr">
        <is>
          <t>Yes</t>
        </is>
      </c>
      <c r="W1706" s="16" t="inlineStr">
        <is>
          <t>Yes</t>
        </is>
      </c>
      <c r="X1706" s="16" t="inlineStr">
        <is>
          <t>Yes</t>
        </is>
      </c>
      <c r="Y1706" s="20" t="n">
        <v>25</v>
      </c>
      <c r="Z1706" s="19" t="n">
        <v>0.07440000000000001</v>
      </c>
      <c r="AA1706" s="18" t="n">
        <v>40</v>
      </c>
      <c r="AB1706" s="16" t="inlineStr">
        <is>
          <t>Weak</t>
        </is>
      </c>
      <c r="AC1706" s="16" t="inlineStr">
        <is>
          <t>No</t>
        </is>
      </c>
      <c r="AD1706" s="19" t="n">
        <v>0.1484</v>
      </c>
      <c r="AE1706" s="19" t="n">
        <v>0.1684</v>
      </c>
      <c r="AF1706" s="19" t="n">
        <v>-0.116</v>
      </c>
      <c r="AG1706" s="19" t="n">
        <v>0.319</v>
      </c>
      <c r="AH1706" s="23" t="n">
        <v>0.57</v>
      </c>
      <c r="AI1706" s="23" t="n">
        <v>7.43</v>
      </c>
      <c r="AJ1706" s="19" t="n">
        <v>0.2882</v>
      </c>
    </row>
    <row r="1707">
      <c r="A1707" s="16" t="inlineStr">
        <is>
          <t>BEEKAY</t>
        </is>
      </c>
      <c r="B1707" s="16" t="inlineStr">
        <is>
          <t>Beekay Steel Industries Ltd.</t>
        </is>
      </c>
      <c r="C1707" s="16" t="inlineStr">
        <is>
          <t>Iron &amp; Steel/Interm.Products</t>
        </is>
      </c>
      <c r="D1707" s="16" t="inlineStr">
        <is>
          <t>Metals &amp; Mining</t>
        </is>
      </c>
      <c r="E1707" s="16" t="inlineStr">
        <is>
          <t>INE213D01015</t>
        </is>
      </c>
      <c r="F1707" s="17" t="n">
        <v>802.08</v>
      </c>
      <c r="G1707" s="18" t="n">
        <v>420.55</v>
      </c>
      <c r="H1707" s="19" t="n">
        <v>-0.0001</v>
      </c>
      <c r="I1707" s="20" t="n">
        <v>39</v>
      </c>
      <c r="J1707" s="16" t="inlineStr">
        <is>
          <t>red</t>
        </is>
      </c>
      <c r="K1707" s="20" t="n">
        <v>501</v>
      </c>
      <c r="L1707" s="18" t="n">
        <v>46.03</v>
      </c>
      <c r="M1707" s="18" t="n">
        <v>413.53</v>
      </c>
      <c r="N1707" s="18" t="n">
        <v>410.74</v>
      </c>
      <c r="O1707" s="18" t="n">
        <v>413.61</v>
      </c>
      <c r="P1707" s="18" t="n">
        <v>495.95</v>
      </c>
      <c r="Q1707" s="18" t="n">
        <v>325.95</v>
      </c>
      <c r="R1707" s="21">
        <f>IF(OR(G1707="",P1707=""),"",G1707/P1707-1)</f>
        <v/>
      </c>
      <c r="S1707" s="19" t="n">
        <v>0.2858</v>
      </c>
      <c r="T1707" s="22" t="n">
        <v>-0.009300000000000001</v>
      </c>
      <c r="U1707" s="16" t="inlineStr">
        <is>
          <t>No</t>
        </is>
      </c>
      <c r="V1707" s="16" t="inlineStr">
        <is>
          <t>Yes</t>
        </is>
      </c>
      <c r="W1707" s="16" t="inlineStr">
        <is>
          <t>Yes</t>
        </is>
      </c>
      <c r="X1707" s="16" t="inlineStr">
        <is>
          <t>No</t>
        </is>
      </c>
      <c r="Y1707" s="20" t="n">
        <v>435</v>
      </c>
      <c r="Z1707" s="19" t="n">
        <v>-0.0069</v>
      </c>
      <c r="AA1707" s="18" t="n"/>
      <c r="AB1707" s="16" t="n"/>
      <c r="AC1707" s="16" t="inlineStr">
        <is>
          <t>No</t>
        </is>
      </c>
      <c r="AD1707" s="19" t="n"/>
      <c r="AE1707" s="19" t="n"/>
      <c r="AF1707" s="19" t="n"/>
      <c r="AG1707" s="19" t="n"/>
      <c r="AH1707" s="23" t="n"/>
      <c r="AI1707" s="23" t="n"/>
      <c r="AJ1707" s="19" t="n"/>
    </row>
    <row r="1708">
      <c r="A1708" s="16" t="inlineStr">
        <is>
          <t>SJCORP</t>
        </is>
      </c>
      <c r="B1708" s="16" t="inlineStr">
        <is>
          <t>SJ Corporation Ltd.</t>
        </is>
      </c>
      <c r="C1708" s="16" t="inlineStr">
        <is>
          <t>Gems &amp; Jewellery</t>
        </is>
      </c>
      <c r="D1708" s="16" t="inlineStr">
        <is>
          <t>Textiles Apparels &amp; Accessories</t>
        </is>
      </c>
      <c r="E1708" s="16" t="inlineStr">
        <is>
          <t>INE312B01027</t>
        </is>
      </c>
      <c r="F1708" s="17" t="n">
        <v>799.6799999999999</v>
      </c>
      <c r="G1708" s="18" t="n">
        <v>184.45</v>
      </c>
      <c r="H1708" s="19" t="n">
        <v>0</v>
      </c>
      <c r="I1708" s="20" t="n">
        <v>98</v>
      </c>
      <c r="J1708" s="16" t="inlineStr">
        <is>
          <t>green</t>
        </is>
      </c>
      <c r="K1708" s="20" t="n">
        <v>52</v>
      </c>
      <c r="L1708" s="18" t="n">
        <v>100</v>
      </c>
      <c r="M1708" s="18" t="n">
        <v>183.77</v>
      </c>
      <c r="N1708" s="18" t="n">
        <v>166.7</v>
      </c>
      <c r="O1708" s="18" t="n">
        <v>95.23</v>
      </c>
      <c r="P1708" s="18" t="n">
        <v>184.45</v>
      </c>
      <c r="Q1708" s="18" t="n">
        <v>61.75</v>
      </c>
      <c r="R1708" s="21">
        <f>IF(OR(G1708="",P1708=""),"",G1708/P1708-1)</f>
        <v/>
      </c>
      <c r="S1708" s="19" t="n">
        <v>0</v>
      </c>
      <c r="T1708" s="22" t="n">
        <v>0.1398</v>
      </c>
      <c r="U1708" s="16" t="inlineStr">
        <is>
          <t>Yes</t>
        </is>
      </c>
      <c r="V1708" s="16" t="inlineStr">
        <is>
          <t>Yes</t>
        </is>
      </c>
      <c r="W1708" s="16" t="inlineStr">
        <is>
          <t>Yes</t>
        </is>
      </c>
      <c r="X1708" s="16" t="inlineStr">
        <is>
          <t>Yes</t>
        </is>
      </c>
      <c r="Y1708" s="20" t="n">
        <v>655</v>
      </c>
      <c r="Z1708" s="19" t="n">
        <v>0.7506</v>
      </c>
      <c r="AA1708" s="18" t="n"/>
      <c r="AB1708" s="16" t="n"/>
      <c r="AC1708" s="16" t="inlineStr">
        <is>
          <t>No</t>
        </is>
      </c>
      <c r="AD1708" s="19" t="n"/>
      <c r="AE1708" s="19" t="n"/>
      <c r="AF1708" s="19" t="n"/>
      <c r="AG1708" s="19" t="n"/>
      <c r="AH1708" s="23" t="n"/>
      <c r="AI1708" s="23" t="n"/>
      <c r="AJ1708" s="19" t="n"/>
    </row>
    <row r="1709">
      <c r="A1709" s="16" t="inlineStr">
        <is>
          <t>SUMEETINDS</t>
        </is>
      </c>
      <c r="B1709" s="16" t="inlineStr">
        <is>
          <t>Sumeet Industries Ltd.</t>
        </is>
      </c>
      <c r="C1709" s="16" t="inlineStr">
        <is>
          <t>Textiles</t>
        </is>
      </c>
      <c r="D1709" s="16" t="inlineStr">
        <is>
          <t>Textiles Apparels &amp; Accessories</t>
        </is>
      </c>
      <c r="E1709" s="16" t="inlineStr">
        <is>
          <t>INE235C01036</t>
        </is>
      </c>
      <c r="F1709" s="17" t="n">
        <v>798.96</v>
      </c>
      <c r="G1709" s="18" t="n">
        <v>11.5</v>
      </c>
      <c r="H1709" s="19" t="n">
        <v>0.0052</v>
      </c>
      <c r="I1709" s="20" t="n">
        <v>1</v>
      </c>
      <c r="J1709" s="16" t="inlineStr">
        <is>
          <t>red</t>
        </is>
      </c>
      <c r="K1709" s="20" t="n">
        <v>33</v>
      </c>
      <c r="L1709" s="18" t="n">
        <v>21.59</v>
      </c>
      <c r="M1709" s="18" t="n">
        <v>12.11</v>
      </c>
      <c r="N1709" s="18" t="n">
        <v>22.28</v>
      </c>
      <c r="O1709" s="18" t="n">
        <v>26.97</v>
      </c>
      <c r="P1709" s="18" t="n">
        <v>38.99</v>
      </c>
      <c r="Q1709" s="18" t="n">
        <v>11.34</v>
      </c>
      <c r="R1709" s="21">
        <f>IF(OR(G1709="",P1709=""),"",G1709/P1709-1)</f>
        <v/>
      </c>
      <c r="S1709" s="19" t="n">
        <v>0.2067</v>
      </c>
      <c r="T1709" s="22" t="n">
        <v>-0.0762</v>
      </c>
      <c r="U1709" s="16" t="inlineStr">
        <is>
          <t>No</t>
        </is>
      </c>
      <c r="V1709" s="16" t="inlineStr">
        <is>
          <t>No</t>
        </is>
      </c>
      <c r="W1709" s="16" t="inlineStr">
        <is>
          <t>No</t>
        </is>
      </c>
      <c r="X1709" s="16" t="inlineStr">
        <is>
          <t>No</t>
        </is>
      </c>
      <c r="Y1709" s="20" t="n">
        <v>66</v>
      </c>
      <c r="Z1709" s="19" t="n">
        <v>-0.174</v>
      </c>
      <c r="AA1709" s="18" t="n">
        <v>52.22</v>
      </c>
      <c r="AB1709" s="16" t="inlineStr">
        <is>
          <t>Average</t>
        </is>
      </c>
      <c r="AC1709" s="16" t="inlineStr">
        <is>
          <t>No</t>
        </is>
      </c>
      <c r="AD1709" s="19" t="n">
        <v>0.4608</v>
      </c>
      <c r="AE1709" s="19" t="n">
        <v>0.2011</v>
      </c>
      <c r="AF1709" s="19" t="n">
        <v>0.04769999999999999</v>
      </c>
      <c r="AG1709" s="19" t="n">
        <v>0.0063</v>
      </c>
      <c r="AH1709" s="23" t="n">
        <v>0.76</v>
      </c>
      <c r="AI1709" s="23" t="n">
        <v>6.29</v>
      </c>
      <c r="AJ1709" s="19" t="n">
        <v>0.1941</v>
      </c>
    </row>
    <row r="1710">
      <c r="A1710" s="16" t="inlineStr">
        <is>
          <t>DECCANCE</t>
        </is>
      </c>
      <c r="B1710" s="16" t="inlineStr">
        <is>
          <t>Deccan Cements Ltd.</t>
        </is>
      </c>
      <c r="C1710" s="16" t="inlineStr">
        <is>
          <t>Cement &amp; Cement Products</t>
        </is>
      </c>
      <c r="D1710" s="16" t="inlineStr">
        <is>
          <t>Cement and Construction</t>
        </is>
      </c>
      <c r="E1710" s="16" t="inlineStr">
        <is>
          <t>INE583C01021</t>
        </is>
      </c>
      <c r="F1710" s="17" t="n">
        <v>798.08</v>
      </c>
      <c r="G1710" s="18" t="n">
        <v>569.75</v>
      </c>
      <c r="H1710" s="19" t="n">
        <v>0.008100000000000001</v>
      </c>
      <c r="I1710" s="20" t="n">
        <v>10</v>
      </c>
      <c r="J1710" s="16" t="inlineStr">
        <is>
          <t>red</t>
        </is>
      </c>
      <c r="K1710" s="20" t="n">
        <v>130</v>
      </c>
      <c r="L1710" s="18" t="n">
        <v>66.18000000000001</v>
      </c>
      <c r="M1710" s="18" t="n">
        <v>571.84</v>
      </c>
      <c r="N1710" s="18" t="n">
        <v>565.4</v>
      </c>
      <c r="O1710" s="18" t="n">
        <v>646.11</v>
      </c>
      <c r="P1710" s="18" t="n">
        <v>1139.8</v>
      </c>
      <c r="Q1710" s="18" t="n">
        <v>542.95</v>
      </c>
      <c r="R1710" s="21">
        <f>IF(OR(G1710="",P1710=""),"",G1710/P1710-1)</f>
        <v/>
      </c>
      <c r="S1710" s="19" t="n">
        <v>1.1127</v>
      </c>
      <c r="T1710" s="22" t="n">
        <v>-0.06619999999999999</v>
      </c>
      <c r="U1710" s="16" t="inlineStr">
        <is>
          <t>No</t>
        </is>
      </c>
      <c r="V1710" s="16" t="inlineStr">
        <is>
          <t>Yes</t>
        </is>
      </c>
      <c r="W1710" s="16" t="inlineStr">
        <is>
          <t>No</t>
        </is>
      </c>
      <c r="X1710" s="16" t="inlineStr">
        <is>
          <t>No</t>
        </is>
      </c>
      <c r="Y1710" s="20" t="n">
        <v>176</v>
      </c>
      <c r="Z1710" s="19" t="n">
        <v>-0.1249</v>
      </c>
      <c r="AA1710" s="18" t="n">
        <v>21.93</v>
      </c>
      <c r="AB1710" s="16" t="inlineStr">
        <is>
          <t>Poor</t>
        </is>
      </c>
      <c r="AC1710" s="16" t="inlineStr">
        <is>
          <t>No</t>
        </is>
      </c>
      <c r="AD1710" s="19" t="n">
        <v>0.0334</v>
      </c>
      <c r="AE1710" s="19" t="n">
        <v>0.0364</v>
      </c>
      <c r="AF1710" s="19" t="n">
        <v>0.5856</v>
      </c>
      <c r="AG1710" s="19" t="n">
        <v>-0.0368</v>
      </c>
      <c r="AH1710" s="23" t="n">
        <v>1</v>
      </c>
      <c r="AI1710" s="23" t="n">
        <v>0.48</v>
      </c>
      <c r="AJ1710" s="19" t="n">
        <v>0.0019</v>
      </c>
    </row>
    <row r="1711">
      <c r="A1711" s="16" t="inlineStr">
        <is>
          <t>PARIN</t>
        </is>
      </c>
      <c r="B1711" s="16" t="inlineStr">
        <is>
          <t>Parin Enterprises Ltd.</t>
        </is>
      </c>
      <c r="C1711" s="16" t="inlineStr">
        <is>
          <t>Furniture-Furnishing</t>
        </is>
      </c>
      <c r="D1711" s="16" t="inlineStr">
        <is>
          <t>Diversified Consumer Services</t>
        </is>
      </c>
      <c r="E1711" s="16" t="inlineStr">
        <is>
          <t>INE00U801010</t>
        </is>
      </c>
      <c r="F1711" s="17" t="n">
        <v>796.38</v>
      </c>
      <c r="G1711" s="18" t="n">
        <v>716.3</v>
      </c>
      <c r="H1711" s="19" t="n">
        <v>0.0034</v>
      </c>
      <c r="I1711" s="20" t="n">
        <v>60</v>
      </c>
      <c r="J1711" s="16" t="inlineStr">
        <is>
          <t>amber</t>
        </is>
      </c>
      <c r="K1711" s="20" t="n">
        <v>22</v>
      </c>
      <c r="L1711" s="18" t="n">
        <v>53.28</v>
      </c>
      <c r="M1711" s="18" t="n">
        <v>713.64</v>
      </c>
      <c r="N1711" s="18" t="n">
        <v>714.63</v>
      </c>
      <c r="O1711" s="18" t="n">
        <v>660.92</v>
      </c>
      <c r="P1711" s="18" t="n">
        <v>734.4</v>
      </c>
      <c r="Q1711" s="18" t="n">
        <v>457.05</v>
      </c>
      <c r="R1711" s="21">
        <f>IF(OR(G1711="",P1711=""),"",G1711/P1711-1)</f>
        <v/>
      </c>
      <c r="S1711" s="19" t="n">
        <v>1.8345</v>
      </c>
      <c r="T1711" s="22" t="n">
        <v>0.0228</v>
      </c>
      <c r="U1711" s="16" t="inlineStr">
        <is>
          <t>Yes</t>
        </is>
      </c>
      <c r="V1711" s="16" t="inlineStr">
        <is>
          <t>Yes</t>
        </is>
      </c>
      <c r="W1711" s="16" t="inlineStr">
        <is>
          <t>Yes</t>
        </is>
      </c>
      <c r="X1711" s="16" t="inlineStr">
        <is>
          <t>Yes</t>
        </is>
      </c>
      <c r="Y1711" s="20" t="n">
        <v>253</v>
      </c>
      <c r="Z1711" s="19" t="n">
        <v>0.08130000000000001</v>
      </c>
      <c r="AA1711" s="18" t="n"/>
      <c r="AB1711" s="16" t="n"/>
      <c r="AC1711" s="16" t="inlineStr">
        <is>
          <t>No</t>
        </is>
      </c>
      <c r="AD1711" s="19" t="n"/>
      <c r="AE1711" s="19" t="n"/>
      <c r="AF1711" s="19" t="n"/>
      <c r="AG1711" s="19" t="n"/>
      <c r="AH1711" s="23" t="n"/>
      <c r="AI1711" s="23" t="n"/>
      <c r="AJ1711" s="19" t="n"/>
    </row>
    <row r="1712">
      <c r="A1712" s="16" t="inlineStr">
        <is>
          <t>SANDESH</t>
        </is>
      </c>
      <c r="B1712" s="16" t="inlineStr">
        <is>
          <t>Sandesh Ltd.</t>
        </is>
      </c>
      <c r="C1712" s="16" t="inlineStr">
        <is>
          <t>Publishing</t>
        </is>
      </c>
      <c r="D1712" s="16" t="inlineStr">
        <is>
          <t>Commercial Services &amp; Supplies</t>
        </is>
      </c>
      <c r="E1712" s="16" t="inlineStr">
        <is>
          <t>INE583B01015</t>
        </is>
      </c>
      <c r="F1712" s="17" t="n">
        <v>795.77</v>
      </c>
      <c r="G1712" s="18" t="n">
        <v>1051.3</v>
      </c>
      <c r="H1712" s="19" t="n">
        <v>0.0004</v>
      </c>
      <c r="I1712" s="20" t="n">
        <v>44</v>
      </c>
      <c r="J1712" s="16" t="inlineStr">
        <is>
          <t>red</t>
        </is>
      </c>
      <c r="K1712" s="20" t="n">
        <v>385</v>
      </c>
      <c r="L1712" s="18" t="n">
        <v>41</v>
      </c>
      <c r="M1712" s="18" t="n">
        <v>1040.21</v>
      </c>
      <c r="N1712" s="18" t="n">
        <v>1014.6</v>
      </c>
      <c r="O1712" s="18" t="n">
        <v>1011.79</v>
      </c>
      <c r="P1712" s="18" t="n">
        <v>1263.01</v>
      </c>
      <c r="Q1712" s="18" t="n">
        <v>817.98</v>
      </c>
      <c r="R1712" s="21">
        <f>IF(OR(G1712="",P1712=""),"",G1712/P1712-1)</f>
        <v/>
      </c>
      <c r="S1712" s="19" t="n">
        <v>0.1308</v>
      </c>
      <c r="T1712" s="22" t="n">
        <v>-0.011</v>
      </c>
      <c r="U1712" s="16" t="inlineStr">
        <is>
          <t>No</t>
        </is>
      </c>
      <c r="V1712" s="16" t="inlineStr">
        <is>
          <t>Yes</t>
        </is>
      </c>
      <c r="W1712" s="16" t="inlineStr">
        <is>
          <t>Yes</t>
        </is>
      </c>
      <c r="X1712" s="16" t="inlineStr">
        <is>
          <t>Yes</t>
        </is>
      </c>
      <c r="Y1712" s="20" t="n">
        <v>2</v>
      </c>
      <c r="Z1712" s="19" t="n">
        <v>0.0028</v>
      </c>
      <c r="AA1712" s="18" t="n">
        <v>40.75</v>
      </c>
      <c r="AB1712" s="16" t="inlineStr">
        <is>
          <t>Average</t>
        </is>
      </c>
      <c r="AC1712" s="16" t="inlineStr">
        <is>
          <t>No</t>
        </is>
      </c>
      <c r="AD1712" s="19" t="n">
        <v>0.0842</v>
      </c>
      <c r="AE1712" s="19" t="n">
        <v>0.1104</v>
      </c>
      <c r="AF1712" s="19" t="n">
        <v>0.0408</v>
      </c>
      <c r="AG1712" s="19" t="n">
        <v>0.12</v>
      </c>
      <c r="AH1712" s="23" t="n"/>
      <c r="AI1712" s="23" t="n">
        <v>7.73</v>
      </c>
      <c r="AJ1712" s="19" t="n">
        <v>0</v>
      </c>
    </row>
    <row r="1713">
      <c r="A1713" s="16" t="inlineStr">
        <is>
          <t>LOKESHMACH</t>
        </is>
      </c>
      <c r="B1713" s="16" t="inlineStr">
        <is>
          <t>Lokesh Machines Ltd.</t>
        </is>
      </c>
      <c r="C1713" s="16" t="inlineStr">
        <is>
          <t>Industrial Machinery</t>
        </is>
      </c>
      <c r="D1713" s="16" t="inlineStr">
        <is>
          <t>General Industrials</t>
        </is>
      </c>
      <c r="E1713" s="16" t="inlineStr">
        <is>
          <t>INE397H01017</t>
        </is>
      </c>
      <c r="F1713" s="17" t="n">
        <v>794.71</v>
      </c>
      <c r="G1713" s="18" t="n">
        <v>364.6</v>
      </c>
      <c r="H1713" s="19" t="n">
        <v>0.0119</v>
      </c>
      <c r="I1713" s="20" t="n">
        <v>92</v>
      </c>
      <c r="J1713" s="16" t="inlineStr">
        <is>
          <t>green</t>
        </is>
      </c>
      <c r="K1713" s="20" t="n">
        <v>128</v>
      </c>
      <c r="L1713" s="18" t="n">
        <v>63.28</v>
      </c>
      <c r="M1713" s="18" t="n">
        <v>334.41</v>
      </c>
      <c r="N1713" s="18" t="n">
        <v>329.99</v>
      </c>
      <c r="O1713" s="18" t="n">
        <v>238.86</v>
      </c>
      <c r="P1713" s="18" t="n">
        <v>364.6</v>
      </c>
      <c r="Q1713" s="18" t="n">
        <v>142.8</v>
      </c>
      <c r="R1713" s="21">
        <f>IF(OR(G1713="",P1713=""),"",G1713/P1713-1)</f>
        <v/>
      </c>
      <c r="S1713" s="19" t="n">
        <v>1.4021</v>
      </c>
      <c r="T1713" s="22" t="n">
        <v>0.0654</v>
      </c>
      <c r="U1713" s="16" t="inlineStr">
        <is>
          <t>Yes</t>
        </is>
      </c>
      <c r="V1713" s="16" t="inlineStr">
        <is>
          <t>Yes</t>
        </is>
      </c>
      <c r="W1713" s="16" t="inlineStr">
        <is>
          <t>Yes</t>
        </is>
      </c>
      <c r="X1713" s="16" t="inlineStr">
        <is>
          <t>Yes</t>
        </is>
      </c>
      <c r="Y1713" s="20" t="n">
        <v>107</v>
      </c>
      <c r="Z1713" s="19" t="n">
        <v>0.3815</v>
      </c>
      <c r="AA1713" s="18" t="n">
        <v>20.94</v>
      </c>
      <c r="AB1713" s="16" t="inlineStr">
        <is>
          <t>Poor</t>
        </is>
      </c>
      <c r="AC1713" s="16" t="inlineStr">
        <is>
          <t>No</t>
        </is>
      </c>
      <c r="AD1713" s="19" t="n">
        <v>0.0447</v>
      </c>
      <c r="AE1713" s="19" t="n">
        <v>0.0791</v>
      </c>
      <c r="AF1713" s="19" t="n">
        <v>-0.272</v>
      </c>
      <c r="AG1713" s="19" t="n">
        <v>-0.0003</v>
      </c>
      <c r="AH1713" s="23" t="n">
        <v>0.63</v>
      </c>
      <c r="AI1713" s="23" t="n">
        <v>1.04</v>
      </c>
      <c r="AJ1713" s="19" t="n">
        <v>0.0704</v>
      </c>
    </row>
    <row r="1714">
      <c r="A1714" s="16" t="inlineStr">
        <is>
          <t>PROSTARM</t>
        </is>
      </c>
      <c r="B1714" s="16" t="inlineStr">
        <is>
          <t>Prostarm Info Systems Ltd.</t>
        </is>
      </c>
      <c r="C1714" s="16" t="inlineStr">
        <is>
          <t>Other Electrical Equipment/Products</t>
        </is>
      </c>
      <c r="D1714" s="16" t="inlineStr">
        <is>
          <t>Consumer Durables</t>
        </is>
      </c>
      <c r="E1714" s="16" t="inlineStr">
        <is>
          <t>INE0BX301013</t>
        </is>
      </c>
      <c r="F1714" s="17" t="n">
        <v>793.22</v>
      </c>
      <c r="G1714" s="18" t="n">
        <v>134.73</v>
      </c>
      <c r="H1714" s="19" t="n">
        <v>0.0385</v>
      </c>
      <c r="I1714" s="20" t="n">
        <v>18</v>
      </c>
      <c r="J1714" s="16" t="inlineStr">
        <is>
          <t>red</t>
        </is>
      </c>
      <c r="K1714" s="20" t="n">
        <v>138</v>
      </c>
      <c r="L1714" s="18" t="n">
        <v>48.2</v>
      </c>
      <c r="M1714" s="18" t="n">
        <v>133.45</v>
      </c>
      <c r="N1714" s="18" t="n">
        <v>133.14</v>
      </c>
      <c r="O1714" s="18" t="n">
        <v>148.46</v>
      </c>
      <c r="P1714" s="18" t="n">
        <v>229.35</v>
      </c>
      <c r="Q1714" s="18" t="n">
        <v>115.41</v>
      </c>
      <c r="R1714" s="21">
        <f>IF(OR(G1714="",P1714=""),"",G1714/P1714-1)</f>
        <v/>
      </c>
      <c r="S1714" s="19" t="n">
        <v>1.0135</v>
      </c>
      <c r="T1714" s="22" t="n">
        <v>-0.0203</v>
      </c>
      <c r="U1714" s="16" t="inlineStr">
        <is>
          <t>No</t>
        </is>
      </c>
      <c r="V1714" s="16" t="inlineStr">
        <is>
          <t>Yes</t>
        </is>
      </c>
      <c r="W1714" s="16" t="inlineStr">
        <is>
          <t>Yes</t>
        </is>
      </c>
      <c r="X1714" s="16" t="inlineStr">
        <is>
          <t>No</t>
        </is>
      </c>
      <c r="Y1714" s="20" t="n">
        <v>117</v>
      </c>
      <c r="Z1714" s="19" t="n">
        <v>-0.1032</v>
      </c>
      <c r="AA1714" s="18" t="n">
        <v>73.64</v>
      </c>
      <c r="AB1714" s="16" t="inlineStr">
        <is>
          <t>High</t>
        </is>
      </c>
      <c r="AC1714" s="16" t="inlineStr">
        <is>
          <t>No</t>
        </is>
      </c>
      <c r="AD1714" s="19" t="n">
        <v>0.2398</v>
      </c>
      <c r="AE1714" s="19" t="n">
        <v>0.2395</v>
      </c>
      <c r="AF1714" s="19" t="n">
        <v>0.3189</v>
      </c>
      <c r="AG1714" s="19" t="n">
        <v>0.3083</v>
      </c>
      <c r="AH1714" s="23" t="n">
        <v>0.32</v>
      </c>
      <c r="AI1714" s="23" t="n">
        <v>7.78</v>
      </c>
      <c r="AJ1714" s="19" t="n">
        <v>0.4185</v>
      </c>
    </row>
    <row r="1715">
      <c r="A1715" s="16" t="inlineStr">
        <is>
          <t>TANDHANIN</t>
        </is>
      </c>
      <c r="B1715" s="16" t="inlineStr">
        <is>
          <t>Tandhan Industries Ltd.</t>
        </is>
      </c>
      <c r="C1715" s="16" t="inlineStr">
        <is>
          <t>Misc. Commercial Services</t>
        </is>
      </c>
      <c r="D1715" s="16" t="inlineStr">
        <is>
          <t>Commercial Services &amp; Supplies</t>
        </is>
      </c>
      <c r="E1715" s="16" t="inlineStr">
        <is>
          <t>INE896J01014</t>
        </is>
      </c>
      <c r="F1715" s="17" t="n">
        <v>788.4</v>
      </c>
      <c r="G1715" s="18" t="n">
        <v>158.4</v>
      </c>
      <c r="H1715" s="19" t="n">
        <v>-0.0498</v>
      </c>
      <c r="I1715" s="20" t="n"/>
      <c r="J1715" s="16" t="n"/>
      <c r="K1715" s="20" t="n"/>
      <c r="L1715" s="18" t="n">
        <v>74.37</v>
      </c>
      <c r="M1715" s="18" t="n">
        <v>157.64</v>
      </c>
      <c r="N1715" s="18" t="n"/>
      <c r="O1715" s="18" t="n"/>
      <c r="P1715" s="18" t="n">
        <v>166.7</v>
      </c>
      <c r="Q1715" s="18" t="n">
        <v>121</v>
      </c>
      <c r="R1715" s="21">
        <f>IF(OR(G1715="",P1715=""),"",G1715/P1715-1)</f>
        <v/>
      </c>
      <c r="S1715" s="19" t="n">
        <v>2.1326</v>
      </c>
      <c r="T1715" s="22" t="n"/>
      <c r="U1715" s="16" t="n"/>
      <c r="V1715" s="16" t="n"/>
      <c r="W1715" s="16" t="inlineStr">
        <is>
          <t>Yes</t>
        </is>
      </c>
      <c r="X1715" s="16" t="n"/>
      <c r="Y1715" s="20" t="n"/>
      <c r="Z1715" s="19" t="n"/>
      <c r="AA1715" s="18" t="n"/>
      <c r="AB1715" s="16" t="n"/>
      <c r="AC1715" s="16" t="inlineStr">
        <is>
          <t>No</t>
        </is>
      </c>
      <c r="AD1715" s="19" t="n"/>
      <c r="AE1715" s="19" t="n"/>
      <c r="AF1715" s="19" t="n"/>
      <c r="AG1715" s="19" t="n"/>
      <c r="AH1715" s="23" t="n"/>
      <c r="AI1715" s="23" t="n"/>
      <c r="AJ1715" s="19" t="n"/>
    </row>
    <row r="1716">
      <c r="A1716" s="16" t="inlineStr">
        <is>
          <t>MEIL</t>
        </is>
      </c>
      <c r="B1716" s="16" t="inlineStr">
        <is>
          <t>Mangal Electrical Industries Ltd.</t>
        </is>
      </c>
      <c r="C1716" s="16" t="inlineStr">
        <is>
          <t>Heavy Electrical Equipment</t>
        </is>
      </c>
      <c r="D1716" s="16" t="inlineStr">
        <is>
          <t>General Industrials</t>
        </is>
      </c>
      <c r="E1716" s="16" t="inlineStr">
        <is>
          <t>INE0PKD01011</t>
        </is>
      </c>
      <c r="F1716" s="17" t="n">
        <v>787.73</v>
      </c>
      <c r="G1716" s="18" t="n">
        <v>285.1</v>
      </c>
      <c r="H1716" s="19" t="n">
        <v>0.0048</v>
      </c>
      <c r="I1716" s="20" t="n">
        <v>15</v>
      </c>
      <c r="J1716" s="16" t="inlineStr">
        <is>
          <t>red</t>
        </is>
      </c>
      <c r="K1716" s="20" t="n">
        <v>67</v>
      </c>
      <c r="L1716" s="18" t="n">
        <v>59.07</v>
      </c>
      <c r="M1716" s="18" t="n">
        <v>290.15</v>
      </c>
      <c r="N1716" s="18" t="n">
        <v>287.9</v>
      </c>
      <c r="O1716" s="18" t="n">
        <v>303.73</v>
      </c>
      <c r="P1716" s="18" t="n">
        <v>556.15</v>
      </c>
      <c r="Q1716" s="18" t="n">
        <v>208.54</v>
      </c>
      <c r="R1716" s="21">
        <f>IF(OR(G1716="",P1716=""),"",G1716/P1716-1)</f>
        <v/>
      </c>
      <c r="S1716" s="19" t="n">
        <v>1.1169</v>
      </c>
      <c r="T1716" s="22" t="n">
        <v>-0.0573</v>
      </c>
      <c r="U1716" s="16" t="inlineStr">
        <is>
          <t>No</t>
        </is>
      </c>
      <c r="V1716" s="16" t="inlineStr">
        <is>
          <t>No</t>
        </is>
      </c>
      <c r="W1716" s="16" t="inlineStr">
        <is>
          <t>No</t>
        </is>
      </c>
      <c r="X1716" s="16" t="inlineStr">
        <is>
          <t>No</t>
        </is>
      </c>
      <c r="Y1716" s="20" t="n">
        <v>57</v>
      </c>
      <c r="Z1716" s="19" t="n">
        <v>-0.0521</v>
      </c>
      <c r="AA1716" s="18" t="n">
        <v>70.92</v>
      </c>
      <c r="AB1716" s="16" t="inlineStr">
        <is>
          <t>High</t>
        </is>
      </c>
      <c r="AC1716" s="16" t="inlineStr">
        <is>
          <t>No</t>
        </is>
      </c>
      <c r="AD1716" s="19" t="n">
        <v>0.1823</v>
      </c>
      <c r="AE1716" s="19" t="n">
        <v>0.1845</v>
      </c>
      <c r="AF1716" s="19" t="n">
        <v>0.3751</v>
      </c>
      <c r="AG1716" s="19" t="n">
        <v>0.182</v>
      </c>
      <c r="AH1716" s="23" t="n">
        <v>0.08</v>
      </c>
      <c r="AI1716" s="23" t="n">
        <v>7.38</v>
      </c>
      <c r="AJ1716" s="19" t="n">
        <v>0.1162</v>
      </c>
    </row>
    <row r="1717">
      <c r="A1717" s="16" t="inlineStr">
        <is>
          <t>HALDYNGL</t>
        </is>
      </c>
      <c r="B1717" s="16" t="inlineStr">
        <is>
          <t>Haldyn Glass Ltd.</t>
        </is>
      </c>
      <c r="C1717" s="16" t="inlineStr">
        <is>
          <t>Containers &amp; Packaging</t>
        </is>
      </c>
      <c r="D1717" s="16" t="inlineStr">
        <is>
          <t>Commercial Services &amp; Supplies</t>
        </is>
      </c>
      <c r="E1717" s="16" t="inlineStr">
        <is>
          <t>INE506D01020</t>
        </is>
      </c>
      <c r="F1717" s="17" t="n">
        <v>786.92</v>
      </c>
      <c r="G1717" s="18" t="n">
        <v>146.4</v>
      </c>
      <c r="H1717" s="19" t="n">
        <v>0.0072</v>
      </c>
      <c r="I1717" s="20" t="n">
        <v>80</v>
      </c>
      <c r="J1717" s="16" t="inlineStr">
        <is>
          <t>green</t>
        </is>
      </c>
      <c r="K1717" s="20" t="n">
        <v>3</v>
      </c>
      <c r="L1717" s="18" t="n">
        <v>89.59999999999999</v>
      </c>
      <c r="M1717" s="18" t="n">
        <v>139.7</v>
      </c>
      <c r="N1717" s="18" t="n">
        <v>126.05</v>
      </c>
      <c r="O1717" s="18" t="n">
        <v>103.63</v>
      </c>
      <c r="P1717" s="18" t="n">
        <v>146.4</v>
      </c>
      <c r="Q1717" s="18" t="n">
        <v>71.58</v>
      </c>
      <c r="R1717" s="21">
        <f>IF(OR(G1717="",P1717=""),"",G1717/P1717-1)</f>
        <v/>
      </c>
      <c r="S1717" s="19" t="n">
        <v>1.3129</v>
      </c>
      <c r="T1717" s="22" t="n">
        <v>0.039</v>
      </c>
      <c r="U1717" s="16" t="inlineStr">
        <is>
          <t>Yes</t>
        </is>
      </c>
      <c r="V1717" s="16" t="inlineStr">
        <is>
          <t>Yes</t>
        </is>
      </c>
      <c r="W1717" s="16" t="inlineStr">
        <is>
          <t>Yes</t>
        </is>
      </c>
      <c r="X1717" s="16" t="inlineStr">
        <is>
          <t>Yes</t>
        </is>
      </c>
      <c r="Y1717" s="20" t="n">
        <v>69</v>
      </c>
      <c r="Z1717" s="19" t="n">
        <v>0.2164</v>
      </c>
      <c r="AA1717" s="18" t="n"/>
      <c r="AB1717" s="16" t="n"/>
      <c r="AC1717" s="16" t="inlineStr">
        <is>
          <t>No</t>
        </is>
      </c>
      <c r="AD1717" s="19" t="n"/>
      <c r="AE1717" s="19" t="n"/>
      <c r="AF1717" s="19" t="n"/>
      <c r="AG1717" s="19" t="n"/>
      <c r="AH1717" s="23" t="n"/>
      <c r="AI1717" s="23" t="n"/>
      <c r="AJ1717" s="19" t="n"/>
    </row>
    <row r="1718">
      <c r="A1718" s="16" t="inlineStr">
        <is>
          <t>PERVASIVE</t>
        </is>
      </c>
      <c r="B1718" s="16" t="inlineStr">
        <is>
          <t>Pervasive Commodities Ltd.</t>
        </is>
      </c>
      <c r="C1718" s="16" t="inlineStr">
        <is>
          <t>Electronic Components</t>
        </is>
      </c>
      <c r="D1718" s="16" t="inlineStr">
        <is>
          <t>Commercial Services &amp; Supplies</t>
        </is>
      </c>
      <c r="E1718" s="16" t="inlineStr">
        <is>
          <t>INE443P01038</t>
        </is>
      </c>
      <c r="F1718" s="17" t="n">
        <v>785.63</v>
      </c>
      <c r="G1718" s="18" t="n">
        <v>8.720000000000001</v>
      </c>
      <c r="H1718" s="19" t="n">
        <v>0.0199</v>
      </c>
      <c r="I1718" s="20" t="n">
        <v>99</v>
      </c>
      <c r="J1718" s="16" t="inlineStr">
        <is>
          <t>green</t>
        </is>
      </c>
      <c r="K1718" s="20" t="n">
        <v>77</v>
      </c>
      <c r="L1718" s="18" t="n">
        <v>100</v>
      </c>
      <c r="M1718" s="18" t="n">
        <v>8.16</v>
      </c>
      <c r="N1718" s="18" t="n">
        <v>5.68</v>
      </c>
      <c r="O1718" s="18" t="n">
        <v>2.49</v>
      </c>
      <c r="P1718" s="18" t="n">
        <v>8.720000000000001</v>
      </c>
      <c r="Q1718" s="18" t="n">
        <v>1.2</v>
      </c>
      <c r="R1718" s="21">
        <f>IF(OR(G1718="",P1718=""),"",G1718/P1718-1)</f>
        <v/>
      </c>
      <c r="S1718" s="19" t="n">
        <v>0.7016</v>
      </c>
      <c r="T1718" s="22" t="n">
        <v>0.3249</v>
      </c>
      <c r="U1718" s="16" t="inlineStr">
        <is>
          <t>Yes</t>
        </is>
      </c>
      <c r="V1718" s="16" t="inlineStr">
        <is>
          <t>Yes</t>
        </is>
      </c>
      <c r="W1718" s="16" t="inlineStr">
        <is>
          <t>Yes</t>
        </is>
      </c>
      <c r="X1718" s="16" t="inlineStr">
        <is>
          <t>Yes</t>
        </is>
      </c>
      <c r="Y1718" s="20" t="n">
        <v>80</v>
      </c>
      <c r="Z1718" s="19" t="n">
        <v>1.2771</v>
      </c>
      <c r="AA1718" s="18" t="n"/>
      <c r="AB1718" s="16" t="n"/>
      <c r="AC1718" s="16" t="inlineStr">
        <is>
          <t>No</t>
        </is>
      </c>
      <c r="AD1718" s="19" t="n"/>
      <c r="AE1718" s="19" t="n"/>
      <c r="AF1718" s="19" t="n"/>
      <c r="AG1718" s="19" t="n"/>
      <c r="AH1718" s="23" t="n"/>
      <c r="AI1718" s="23" t="n"/>
      <c r="AJ1718" s="19" t="n"/>
    </row>
    <row r="1719">
      <c r="A1719" s="16" t="inlineStr">
        <is>
          <t>20MICRONS</t>
        </is>
      </c>
      <c r="B1719" s="16" t="inlineStr">
        <is>
          <t>20 Microns Ltd.</t>
        </is>
      </c>
      <c r="C1719" s="16" t="inlineStr">
        <is>
          <t>Coal &amp; Mining</t>
        </is>
      </c>
      <c r="D1719" s="16" t="inlineStr">
        <is>
          <t>Metals &amp; Mining</t>
        </is>
      </c>
      <c r="E1719" s="16" t="inlineStr">
        <is>
          <t>INE144J01027</t>
        </is>
      </c>
      <c r="F1719" s="17" t="n">
        <v>785.09</v>
      </c>
      <c r="G1719" s="18" t="n">
        <v>222.49</v>
      </c>
      <c r="H1719" s="19" t="n">
        <v>0.0214</v>
      </c>
      <c r="I1719" s="20" t="n">
        <v>64</v>
      </c>
      <c r="J1719" s="16" t="inlineStr">
        <is>
          <t>amber</t>
        </is>
      </c>
      <c r="K1719" s="20" t="n">
        <v>2</v>
      </c>
      <c r="L1719" s="18" t="n">
        <v>68.37</v>
      </c>
      <c r="M1719" s="18" t="n">
        <v>218.09</v>
      </c>
      <c r="N1719" s="18" t="n">
        <v>201.91</v>
      </c>
      <c r="O1719" s="18" t="n">
        <v>185.36</v>
      </c>
      <c r="P1719" s="18" t="n">
        <v>231.85</v>
      </c>
      <c r="Q1719" s="18" t="n">
        <v>132.33</v>
      </c>
      <c r="R1719" s="21">
        <f>IF(OR(G1719="",P1719=""),"",G1719/P1719-1)</f>
        <v/>
      </c>
      <c r="S1719" s="19" t="n">
        <v>0.8090999999999999</v>
      </c>
      <c r="T1719" s="22" t="n">
        <v>0</v>
      </c>
      <c r="U1719" s="16" t="inlineStr">
        <is>
          <t>Yes</t>
        </is>
      </c>
      <c r="V1719" s="16" t="inlineStr">
        <is>
          <t>Yes</t>
        </is>
      </c>
      <c r="W1719" s="16" t="inlineStr">
        <is>
          <t>Yes</t>
        </is>
      </c>
      <c r="X1719" s="16" t="inlineStr">
        <is>
          <t>Yes</t>
        </is>
      </c>
      <c r="Y1719" s="20" t="n">
        <v>40</v>
      </c>
      <c r="Z1719" s="19" t="n">
        <v>0.08929999999999999</v>
      </c>
      <c r="AA1719" s="18" t="n">
        <v>52.39</v>
      </c>
      <c r="AB1719" s="16" t="inlineStr">
        <is>
          <t>Good</t>
        </is>
      </c>
      <c r="AC1719" s="16" t="inlineStr">
        <is>
          <t>No</t>
        </is>
      </c>
      <c r="AD1719" s="19" t="n">
        <v>0.1475</v>
      </c>
      <c r="AE1719" s="19" t="n">
        <v>0.1662</v>
      </c>
      <c r="AF1719" s="19" t="n">
        <v>0.1749</v>
      </c>
      <c r="AG1719" s="19" t="n">
        <v>0.1087</v>
      </c>
      <c r="AH1719" s="23" t="n">
        <v>0.32</v>
      </c>
      <c r="AI1719" s="23" t="n">
        <v>3.09</v>
      </c>
      <c r="AJ1719" s="19" t="n">
        <v>0.0413</v>
      </c>
    </row>
    <row r="1720">
      <c r="A1720" s="16" t="inlineStr">
        <is>
          <t>TVSELECT</t>
        </is>
      </c>
      <c r="B1720" s="16" t="inlineStr">
        <is>
          <t>TVS Electronics Ltd.</t>
        </is>
      </c>
      <c r="C1720" s="16" t="inlineStr">
        <is>
          <t>Electronic Components</t>
        </is>
      </c>
      <c r="D1720" s="16" t="inlineStr">
        <is>
          <t>Commercial Services &amp; Supplies</t>
        </is>
      </c>
      <c r="E1720" s="16" t="inlineStr">
        <is>
          <t>INE236G01019</t>
        </is>
      </c>
      <c r="F1720" s="17" t="n">
        <v>784.9</v>
      </c>
      <c r="G1720" s="18" t="n">
        <v>420.85</v>
      </c>
      <c r="H1720" s="19" t="n">
        <v>-0.0011</v>
      </c>
      <c r="I1720" s="20" t="n">
        <v>32</v>
      </c>
      <c r="J1720" s="16" t="inlineStr">
        <is>
          <t>red</t>
        </is>
      </c>
      <c r="K1720" s="20" t="n">
        <v>30</v>
      </c>
      <c r="L1720" s="18" t="n">
        <v>19.08</v>
      </c>
      <c r="M1720" s="18" t="n">
        <v>429.71</v>
      </c>
      <c r="N1720" s="18" t="n">
        <v>477.8</v>
      </c>
      <c r="O1720" s="18" t="n">
        <v>450.97</v>
      </c>
      <c r="P1720" s="18" t="n">
        <v>670.7</v>
      </c>
      <c r="Q1720" s="18" t="n">
        <v>341.4</v>
      </c>
      <c r="R1720" s="21">
        <f>IF(OR(G1720="",P1720=""),"",G1720/P1720-1)</f>
        <v/>
      </c>
      <c r="S1720" s="19" t="n">
        <v>0.3518</v>
      </c>
      <c r="T1720" s="22" t="n">
        <v>-0.0373</v>
      </c>
      <c r="U1720" s="16" t="inlineStr">
        <is>
          <t>No</t>
        </is>
      </c>
      <c r="V1720" s="16" t="inlineStr">
        <is>
          <t>No</t>
        </is>
      </c>
      <c r="W1720" s="16" t="inlineStr">
        <is>
          <t>No</t>
        </is>
      </c>
      <c r="X1720" s="16" t="inlineStr">
        <is>
          <t>Yes</t>
        </is>
      </c>
      <c r="Y1720" s="20" t="n">
        <v>52</v>
      </c>
      <c r="Z1720" s="19" t="n">
        <v>0.0595</v>
      </c>
      <c r="AA1720" s="18" t="n">
        <v>24.06</v>
      </c>
      <c r="AB1720" s="16" t="inlineStr">
        <is>
          <t>Poor</t>
        </is>
      </c>
      <c r="AC1720" s="16" t="inlineStr">
        <is>
          <t>No</t>
        </is>
      </c>
      <c r="AD1720" s="19" t="n">
        <v>-0.008399999999999999</v>
      </c>
      <c r="AE1720" s="19" t="n">
        <v>0.0162</v>
      </c>
      <c r="AF1720" s="19" t="n">
        <v>-4.9458</v>
      </c>
      <c r="AG1720" s="19" t="n">
        <v>0.0901</v>
      </c>
      <c r="AH1720" s="23" t="n">
        <v>0.5600000000000001</v>
      </c>
      <c r="AI1720" s="23" t="n">
        <v>10.12</v>
      </c>
      <c r="AJ1720" s="19" t="n">
        <v>0.0134</v>
      </c>
    </row>
    <row r="1721">
      <c r="A1721" s="16" t="inlineStr">
        <is>
          <t>TRANSPEK</t>
        </is>
      </c>
      <c r="B1721" s="16" t="inlineStr">
        <is>
          <t>Transpek Industry Ltd.</t>
        </is>
      </c>
      <c r="C1721" s="16" t="inlineStr">
        <is>
          <t>Commodity Chemicals</t>
        </is>
      </c>
      <c r="D1721" s="16" t="inlineStr">
        <is>
          <t>Chemicals &amp; Petrochemicals</t>
        </is>
      </c>
      <c r="E1721" s="16" t="inlineStr">
        <is>
          <t>INE687A01016</t>
        </is>
      </c>
      <c r="F1721" s="17" t="n">
        <v>783.9400000000001</v>
      </c>
      <c r="G1721" s="18" t="n">
        <v>1403.5</v>
      </c>
      <c r="H1721" s="19" t="n">
        <v>0.0258</v>
      </c>
      <c r="I1721" s="20" t="n">
        <v>75</v>
      </c>
      <c r="J1721" s="16" t="inlineStr">
        <is>
          <t>amber</t>
        </is>
      </c>
      <c r="K1721" s="20" t="n">
        <v>10</v>
      </c>
      <c r="L1721" s="18" t="n">
        <v>77.52</v>
      </c>
      <c r="M1721" s="18" t="n">
        <v>1387.61</v>
      </c>
      <c r="N1721" s="18" t="n">
        <v>1162.97</v>
      </c>
      <c r="O1721" s="18" t="n">
        <v>1138.19</v>
      </c>
      <c r="P1721" s="18" t="n">
        <v>1478.4</v>
      </c>
      <c r="Q1721" s="18" t="n">
        <v>876.3</v>
      </c>
      <c r="R1721" s="21">
        <f>IF(OR(G1721="",P1721=""),"",G1721/P1721-1)</f>
        <v/>
      </c>
      <c r="S1721" s="19" t="n">
        <v>0.2079</v>
      </c>
      <c r="T1721" s="22" t="n">
        <v>-0.0103</v>
      </c>
      <c r="U1721" s="16" t="inlineStr">
        <is>
          <t>No</t>
        </is>
      </c>
      <c r="V1721" s="16" t="inlineStr">
        <is>
          <t>Yes</t>
        </is>
      </c>
      <c r="W1721" s="16" t="inlineStr">
        <is>
          <t>Yes</t>
        </is>
      </c>
      <c r="X1721" s="16" t="inlineStr">
        <is>
          <t>Yes</t>
        </is>
      </c>
      <c r="Y1721" s="20" t="n">
        <v>4</v>
      </c>
      <c r="Z1721" s="19" t="n">
        <v>0.0218</v>
      </c>
      <c r="AA1721" s="18" t="n"/>
      <c r="AB1721" s="16" t="n"/>
      <c r="AC1721" s="16" t="inlineStr">
        <is>
          <t>No</t>
        </is>
      </c>
      <c r="AD1721" s="19" t="n"/>
      <c r="AE1721" s="19" t="n"/>
      <c r="AF1721" s="19" t="n"/>
      <c r="AG1721" s="19" t="n"/>
      <c r="AH1721" s="23" t="n"/>
      <c r="AI1721" s="23" t="n"/>
      <c r="AJ1721" s="19" t="n"/>
    </row>
    <row r="1722">
      <c r="A1722" s="16" t="inlineStr">
        <is>
          <t>UNIFIED</t>
        </is>
      </c>
      <c r="B1722" s="16" t="inlineStr">
        <is>
          <t>Unified Data- Tech Solutions Ltd.</t>
        </is>
      </c>
      <c r="C1722" s="16" t="inlineStr">
        <is>
          <t>IT Consulting &amp; Software</t>
        </is>
      </c>
      <c r="D1722" s="16" t="inlineStr">
        <is>
          <t>Software &amp; Services</t>
        </is>
      </c>
      <c r="E1722" s="16" t="inlineStr">
        <is>
          <t>INE1ABX01018</t>
        </is>
      </c>
      <c r="F1722" s="17" t="n">
        <v>783.71</v>
      </c>
      <c r="G1722" s="18" t="n">
        <v>390.1</v>
      </c>
      <c r="H1722" s="19" t="n">
        <v>0.0596</v>
      </c>
      <c r="I1722" s="20" t="n">
        <v>51</v>
      </c>
      <c r="J1722" s="16" t="inlineStr">
        <is>
          <t>red</t>
        </is>
      </c>
      <c r="K1722" s="20" t="n">
        <v>42</v>
      </c>
      <c r="L1722" s="18" t="n">
        <v>57.19</v>
      </c>
      <c r="M1722" s="18" t="n">
        <v>369.31</v>
      </c>
      <c r="N1722" s="18" t="n">
        <v>371.98</v>
      </c>
      <c r="O1722" s="18" t="n">
        <v>366.08</v>
      </c>
      <c r="P1722" s="18" t="n">
        <v>480.06</v>
      </c>
      <c r="Q1722" s="18" t="n">
        <v>282.01</v>
      </c>
      <c r="R1722" s="21">
        <f>IF(OR(G1722="",P1722=""),"",G1722/P1722-1)</f>
        <v/>
      </c>
      <c r="S1722" s="19" t="n">
        <v>6.3453</v>
      </c>
      <c r="T1722" s="22" t="n">
        <v>-0.017</v>
      </c>
      <c r="U1722" s="16" t="inlineStr">
        <is>
          <t>No</t>
        </is>
      </c>
      <c r="V1722" s="16" t="inlineStr">
        <is>
          <t>Yes</t>
        </is>
      </c>
      <c r="W1722" s="16" t="inlineStr">
        <is>
          <t>Yes</t>
        </is>
      </c>
      <c r="X1722" s="16" t="inlineStr">
        <is>
          <t>Yes</t>
        </is>
      </c>
      <c r="Y1722" s="20" t="n">
        <v>69</v>
      </c>
      <c r="Z1722" s="19" t="n">
        <v>0.0161</v>
      </c>
      <c r="AA1722" s="18" t="n"/>
      <c r="AB1722" s="16" t="n"/>
      <c r="AC1722" s="16" t="inlineStr">
        <is>
          <t>No</t>
        </is>
      </c>
      <c r="AD1722" s="19" t="n"/>
      <c r="AE1722" s="19" t="n"/>
      <c r="AF1722" s="19" t="n"/>
      <c r="AG1722" s="19" t="n"/>
      <c r="AH1722" s="23" t="n"/>
      <c r="AI1722" s="23" t="n"/>
      <c r="AJ1722" s="19" t="n"/>
    </row>
    <row r="1723">
      <c r="A1723" s="16" t="inlineStr">
        <is>
          <t>SOLEX</t>
        </is>
      </c>
      <c r="B1723" s="16" t="inlineStr">
        <is>
          <t>Solex Energy Ltd.</t>
        </is>
      </c>
      <c r="C1723" s="16" t="inlineStr">
        <is>
          <t>Other Electrical Equipment/Products</t>
        </is>
      </c>
      <c r="D1723" s="16" t="inlineStr">
        <is>
          <t>Consumer Durables</t>
        </is>
      </c>
      <c r="E1723" s="16" t="inlineStr">
        <is>
          <t>INE880Y01017</t>
        </is>
      </c>
      <c r="F1723" s="17" t="n">
        <v>783.51</v>
      </c>
      <c r="G1723" s="18" t="n">
        <v>725.3</v>
      </c>
      <c r="H1723" s="19" t="n">
        <v>-0.005</v>
      </c>
      <c r="I1723" s="20" t="n">
        <v>2</v>
      </c>
      <c r="J1723" s="16" t="inlineStr">
        <is>
          <t>red</t>
        </is>
      </c>
      <c r="K1723" s="20" t="n">
        <v>66</v>
      </c>
      <c r="L1723" s="18" t="n">
        <v>32.67</v>
      </c>
      <c r="M1723" s="18" t="n">
        <v>741.99</v>
      </c>
      <c r="N1723" s="18" t="n">
        <v>907.22</v>
      </c>
      <c r="O1723" s="18" t="n">
        <v>1129.14</v>
      </c>
      <c r="P1723" s="18" t="n">
        <v>1918</v>
      </c>
      <c r="Q1723" s="18" t="n">
        <v>712.95</v>
      </c>
      <c r="R1723" s="21">
        <f>IF(OR(G1723="",P1723=""),"",G1723/P1723-1)</f>
        <v/>
      </c>
      <c r="S1723" s="19" t="n">
        <v>2.7422</v>
      </c>
      <c r="T1723" s="22" t="n">
        <v>-0.06610000000000001</v>
      </c>
      <c r="U1723" s="16" t="inlineStr">
        <is>
          <t>No</t>
        </is>
      </c>
      <c r="V1723" s="16" t="inlineStr">
        <is>
          <t>No</t>
        </is>
      </c>
      <c r="W1723" s="16" t="inlineStr">
        <is>
          <t>No</t>
        </is>
      </c>
      <c r="X1723" s="16" t="inlineStr">
        <is>
          <t>No</t>
        </is>
      </c>
      <c r="Y1723" s="20" t="n">
        <v>148</v>
      </c>
      <c r="Z1723" s="19" t="n">
        <v>-0.1965</v>
      </c>
      <c r="AA1723" s="18" t="n">
        <v>67.33</v>
      </c>
      <c r="AB1723" s="16" t="inlineStr">
        <is>
          <t>High</t>
        </is>
      </c>
      <c r="AC1723" s="16" t="inlineStr">
        <is>
          <t>No</t>
        </is>
      </c>
      <c r="AD1723" s="19" t="n">
        <v>0.2755</v>
      </c>
      <c r="AE1723" s="19" t="n">
        <v>0.2127</v>
      </c>
      <c r="AF1723" s="19" t="n">
        <v>1.5636</v>
      </c>
      <c r="AG1723" s="19" t="n">
        <v>1.172</v>
      </c>
      <c r="AH1723" s="23" t="n">
        <v>1.34</v>
      </c>
      <c r="AI1723" s="23" t="n">
        <v>4.65</v>
      </c>
      <c r="AJ1723" s="19" t="n">
        <v>0.0312</v>
      </c>
    </row>
    <row r="1724">
      <c r="A1724" s="16" t="inlineStr">
        <is>
          <t>JITFINFRA</t>
        </is>
      </c>
      <c r="B1724" s="16" t="inlineStr">
        <is>
          <t>JITF Infralogistics Ltd.</t>
        </is>
      </c>
      <c r="C1724" s="16" t="inlineStr">
        <is>
          <t>Utilities:Non-Electrical</t>
        </is>
      </c>
      <c r="D1724" s="16" t="inlineStr">
        <is>
          <t>Utilities</t>
        </is>
      </c>
      <c r="E1724" s="16" t="inlineStr">
        <is>
          <t>INE863T01013</t>
        </is>
      </c>
      <c r="F1724" s="17" t="n">
        <v>782.6799999999999</v>
      </c>
      <c r="G1724" s="18" t="n">
        <v>304.5</v>
      </c>
      <c r="H1724" s="19" t="n">
        <v>-0.0198</v>
      </c>
      <c r="I1724" s="20" t="n">
        <v>42</v>
      </c>
      <c r="J1724" s="16" t="inlineStr">
        <is>
          <t>red</t>
        </is>
      </c>
      <c r="K1724" s="20" t="n">
        <v>17</v>
      </c>
      <c r="L1724" s="18" t="n">
        <v>48.48</v>
      </c>
      <c r="M1724" s="18" t="n">
        <v>312.77</v>
      </c>
      <c r="N1724" s="18" t="n">
        <v>331.45</v>
      </c>
      <c r="O1724" s="18" t="n">
        <v>309.92</v>
      </c>
      <c r="P1724" s="18" t="n">
        <v>447.2</v>
      </c>
      <c r="Q1724" s="18" t="n">
        <v>225.75</v>
      </c>
      <c r="R1724" s="21">
        <f>IF(OR(G1724="",P1724=""),"",G1724/P1724-1)</f>
        <v/>
      </c>
      <c r="S1724" s="19" t="n">
        <v>0.9223</v>
      </c>
      <c r="T1724" s="22" t="n">
        <v>0.0016</v>
      </c>
      <c r="U1724" s="16" t="inlineStr">
        <is>
          <t>Yes</t>
        </is>
      </c>
      <c r="V1724" s="16" t="inlineStr">
        <is>
          <t>No</t>
        </is>
      </c>
      <c r="W1724" s="16" t="inlineStr">
        <is>
          <t>No</t>
        </is>
      </c>
      <c r="X1724" s="16" t="inlineStr">
        <is>
          <t>Yes</t>
        </is>
      </c>
      <c r="Y1724" s="20" t="n">
        <v>35</v>
      </c>
      <c r="Z1724" s="19" t="n">
        <v>0.06950000000000001</v>
      </c>
      <c r="AA1724" s="18" t="n">
        <v>40</v>
      </c>
      <c r="AB1724" s="16" t="inlineStr">
        <is>
          <t>Weak</t>
        </is>
      </c>
      <c r="AC1724" s="16" t="inlineStr">
        <is>
          <t>No</t>
        </is>
      </c>
      <c r="AD1724" s="19" t="n">
        <v>-0.0242</v>
      </c>
      <c r="AE1724" s="19" t="n">
        <v>0.1238</v>
      </c>
      <c r="AF1724" s="19" t="n">
        <v>-0.0542</v>
      </c>
      <c r="AG1724" s="19" t="n">
        <v>0.2443</v>
      </c>
      <c r="AH1724" s="23" t="n">
        <v>-7.69</v>
      </c>
      <c r="AI1724" s="23" t="n">
        <v>10.28</v>
      </c>
      <c r="AJ1724" s="19" t="n">
        <v>0.0443</v>
      </c>
    </row>
    <row r="1725">
      <c r="A1725" s="16" t="inlineStr">
        <is>
          <t>CIFL</t>
        </is>
      </c>
      <c r="B1725" s="16" t="inlineStr">
        <is>
          <t>Capital India Finance Ltd.</t>
        </is>
      </c>
      <c r="C1725" s="16" t="inlineStr">
        <is>
          <t>Finance (including NBFCs)</t>
        </is>
      </c>
      <c r="D1725" s="16" t="inlineStr">
        <is>
          <t>Banking and Finance</t>
        </is>
      </c>
      <c r="E1725" s="16" t="inlineStr">
        <is>
          <t>INE345H01024</t>
        </is>
      </c>
      <c r="F1725" s="17" t="n">
        <v>781.33</v>
      </c>
      <c r="G1725" s="18" t="n">
        <v>19.98</v>
      </c>
      <c r="H1725" s="19" t="n">
        <v>-0.009399999999999999</v>
      </c>
      <c r="I1725" s="20" t="n">
        <v>3</v>
      </c>
      <c r="J1725" s="16" t="inlineStr">
        <is>
          <t>red</t>
        </is>
      </c>
      <c r="K1725" s="20" t="n">
        <v>173</v>
      </c>
      <c r="L1725" s="18" t="n">
        <v>34.31</v>
      </c>
      <c r="M1725" s="18" t="n">
        <v>20.44</v>
      </c>
      <c r="N1725" s="18" t="n">
        <v>21.36</v>
      </c>
      <c r="O1725" s="18" t="n">
        <v>27.62</v>
      </c>
      <c r="P1725" s="18" t="n">
        <v>38.53</v>
      </c>
      <c r="Q1725" s="18" t="n">
        <v>19.98</v>
      </c>
      <c r="R1725" s="21">
        <f>IF(OR(G1725="",P1725=""),"",G1725/P1725-1)</f>
        <v/>
      </c>
      <c r="S1725" s="19" t="n">
        <v>2.8303</v>
      </c>
      <c r="T1725" s="22" t="n">
        <v>-0.0478</v>
      </c>
      <c r="U1725" s="16" t="inlineStr">
        <is>
          <t>No</t>
        </is>
      </c>
      <c r="V1725" s="16" t="inlineStr">
        <is>
          <t>No</t>
        </is>
      </c>
      <c r="W1725" s="16" t="inlineStr">
        <is>
          <t>No</t>
        </is>
      </c>
      <c r="X1725" s="16" t="inlineStr">
        <is>
          <t>No</t>
        </is>
      </c>
      <c r="Y1725" s="20" t="n">
        <v>147</v>
      </c>
      <c r="Z1725" s="19" t="n">
        <v>-0.2268</v>
      </c>
      <c r="AA1725" s="18" t="n">
        <v>11.98</v>
      </c>
      <c r="AB1725" s="16" t="inlineStr">
        <is>
          <t>Poor</t>
        </is>
      </c>
      <c r="AC1725" s="16" t="inlineStr">
        <is>
          <t>Yes</t>
        </is>
      </c>
      <c r="AD1725" s="19" t="n">
        <v>0.0263</v>
      </c>
      <c r="AE1725" s="19" t="n">
        <v>-0.014</v>
      </c>
      <c r="AF1725" s="19" t="n">
        <v>-0.1954</v>
      </c>
      <c r="AG1725" s="19" t="n">
        <v>-0.0623</v>
      </c>
      <c r="AH1725" s="23" t="n">
        <v>1.43</v>
      </c>
      <c r="AI1725" s="23" t="n">
        <v>13.05</v>
      </c>
      <c r="AJ1725" s="19" t="n">
        <v>0</v>
      </c>
    </row>
    <row r="1726">
      <c r="A1726" s="16" t="inlineStr">
        <is>
          <t>CELLECOR</t>
        </is>
      </c>
      <c r="B1726" s="16" t="inlineStr">
        <is>
          <t>Cellecor Gadgets Ltd.</t>
        </is>
      </c>
      <c r="C1726" s="16" t="inlineStr">
        <is>
          <t>Commodity Trading  &amp; Distribution</t>
        </is>
      </c>
      <c r="D1726" s="16" t="inlineStr">
        <is>
          <t>Commercial Services &amp; Supplies</t>
        </is>
      </c>
      <c r="E1726" s="16" t="inlineStr">
        <is>
          <t>INE0OMO01025</t>
        </is>
      </c>
      <c r="F1726" s="17" t="n">
        <v>779</v>
      </c>
      <c r="G1726" s="18" t="n">
        <v>32.85</v>
      </c>
      <c r="H1726" s="19" t="n">
        <v>0.0108</v>
      </c>
      <c r="I1726" s="20" t="n">
        <v>46</v>
      </c>
      <c r="J1726" s="16" t="inlineStr">
        <is>
          <t>red</t>
        </is>
      </c>
      <c r="K1726" s="20" t="n">
        <v>33</v>
      </c>
      <c r="L1726" s="18" t="n">
        <v>56.34</v>
      </c>
      <c r="M1726" s="18" t="n">
        <v>32.68</v>
      </c>
      <c r="N1726" s="18" t="n">
        <v>33.93</v>
      </c>
      <c r="O1726" s="18" t="n">
        <v>31.86</v>
      </c>
      <c r="P1726" s="18" t="n">
        <v>43.25</v>
      </c>
      <c r="Q1726" s="18" t="n">
        <v>22.85</v>
      </c>
      <c r="R1726" s="21">
        <f>IF(OR(G1726="",P1726=""),"",G1726/P1726-1)</f>
        <v/>
      </c>
      <c r="S1726" s="19" t="n">
        <v>1.2053</v>
      </c>
      <c r="T1726" s="22" t="n">
        <v>0.004500000000000001</v>
      </c>
      <c r="U1726" s="16" t="inlineStr">
        <is>
          <t>Yes</t>
        </is>
      </c>
      <c r="V1726" s="16" t="inlineStr">
        <is>
          <t>No</t>
        </is>
      </c>
      <c r="W1726" s="16" t="inlineStr">
        <is>
          <t>Yes</t>
        </is>
      </c>
      <c r="X1726" s="16" t="inlineStr">
        <is>
          <t>Yes</t>
        </is>
      </c>
      <c r="Y1726" s="20" t="n">
        <v>81</v>
      </c>
      <c r="Z1726" s="19" t="n">
        <v>0.06519999999999999</v>
      </c>
      <c r="AA1726" s="18" t="n"/>
      <c r="AB1726" s="16" t="n"/>
      <c r="AC1726" s="16" t="inlineStr">
        <is>
          <t>No</t>
        </is>
      </c>
      <c r="AD1726" s="19" t="n"/>
      <c r="AE1726" s="19" t="n"/>
      <c r="AF1726" s="19" t="n"/>
      <c r="AG1726" s="19" t="n"/>
      <c r="AH1726" s="23" t="n"/>
      <c r="AI1726" s="23" t="n"/>
      <c r="AJ1726" s="19" t="n"/>
    </row>
    <row r="1727">
      <c r="A1727" s="16" t="inlineStr">
        <is>
          <t>MAGADSUGAR</t>
        </is>
      </c>
      <c r="B1727" s="16" t="inlineStr">
        <is>
          <t>Magadh Sugar &amp; Energy Ltd.</t>
        </is>
      </c>
      <c r="C1727" s="16" t="inlineStr">
        <is>
          <t>Sugar</t>
        </is>
      </c>
      <c r="D1727" s="16" t="inlineStr">
        <is>
          <t>Food, Beverages &amp; Tobacco</t>
        </is>
      </c>
      <c r="E1727" s="16" t="inlineStr">
        <is>
          <t>INE347W01011</t>
        </is>
      </c>
      <c r="F1727" s="17" t="n">
        <v>777.9299999999999</v>
      </c>
      <c r="G1727" s="18" t="n">
        <v>552.05</v>
      </c>
      <c r="H1727" s="19" t="n">
        <v>-0.0259</v>
      </c>
      <c r="I1727" s="20" t="n">
        <v>65</v>
      </c>
      <c r="J1727" s="16" t="inlineStr">
        <is>
          <t>amber</t>
        </is>
      </c>
      <c r="K1727" s="20" t="n">
        <v>11</v>
      </c>
      <c r="L1727" s="18" t="n">
        <v>45.99</v>
      </c>
      <c r="M1727" s="18" t="n">
        <v>569.15</v>
      </c>
      <c r="N1727" s="18" t="n">
        <v>523.0599999999999</v>
      </c>
      <c r="O1727" s="18" t="n">
        <v>476.13</v>
      </c>
      <c r="P1727" s="18" t="n">
        <v>620.6</v>
      </c>
      <c r="Q1727" s="18" t="n">
        <v>407.65</v>
      </c>
      <c r="R1727" s="21">
        <f>IF(OR(G1727="",P1727=""),"",G1727/P1727-1)</f>
        <v/>
      </c>
      <c r="S1727" s="19" t="n">
        <v>0.2597</v>
      </c>
      <c r="T1727" s="22" t="n">
        <v>0.0098</v>
      </c>
      <c r="U1727" s="16" t="inlineStr">
        <is>
          <t>Yes</t>
        </is>
      </c>
      <c r="V1727" s="16" t="inlineStr">
        <is>
          <t>Yes</t>
        </is>
      </c>
      <c r="W1727" s="16" t="inlineStr">
        <is>
          <t>No</t>
        </is>
      </c>
      <c r="X1727" s="16" t="inlineStr">
        <is>
          <t>Yes</t>
        </is>
      </c>
      <c r="Y1727" s="20" t="n">
        <v>22</v>
      </c>
      <c r="Z1727" s="19" t="n">
        <v>0.09859999999999999</v>
      </c>
      <c r="AA1727" s="18" t="n">
        <v>38.82</v>
      </c>
      <c r="AB1727" s="16" t="inlineStr">
        <is>
          <t>Weak</t>
        </is>
      </c>
      <c r="AC1727" s="16" t="inlineStr">
        <is>
          <t>No</t>
        </is>
      </c>
      <c r="AD1727" s="19" t="n">
        <v>0.1198</v>
      </c>
      <c r="AE1727" s="19" t="n">
        <v>0.1115</v>
      </c>
      <c r="AF1727" s="19" t="n">
        <v>0.2788</v>
      </c>
      <c r="AG1727" s="19" t="n">
        <v>0.09710000000000001</v>
      </c>
      <c r="AH1727" s="23" t="n">
        <v>0.79</v>
      </c>
      <c r="AI1727" s="23" t="n">
        <v>1.26</v>
      </c>
      <c r="AJ1727" s="19" t="n">
        <v>0.0463</v>
      </c>
    </row>
    <row r="1728">
      <c r="A1728" s="16" t="inlineStr">
        <is>
          <t>ELDEHSG</t>
        </is>
      </c>
      <c r="B1728" s="16" t="inlineStr">
        <is>
          <t>Eldeco Housing &amp; Industries Ltd.</t>
        </is>
      </c>
      <c r="C1728" s="16" t="inlineStr">
        <is>
          <t>Realty</t>
        </is>
      </c>
      <c r="D1728" s="16" t="inlineStr">
        <is>
          <t>Realty</t>
        </is>
      </c>
      <c r="E1728" s="16" t="inlineStr">
        <is>
          <t>INE668G01021</t>
        </is>
      </c>
      <c r="F1728" s="17" t="n">
        <v>775.92</v>
      </c>
      <c r="G1728" s="18" t="n">
        <v>789.1</v>
      </c>
      <c r="H1728" s="19" t="n">
        <v>-0.0017</v>
      </c>
      <c r="I1728" s="20" t="n">
        <v>36</v>
      </c>
      <c r="J1728" s="16" t="inlineStr">
        <is>
          <t>red</t>
        </is>
      </c>
      <c r="K1728" s="20" t="n">
        <v>93</v>
      </c>
      <c r="L1728" s="18" t="n">
        <v>56.14</v>
      </c>
      <c r="M1728" s="18" t="n">
        <v>789.54</v>
      </c>
      <c r="N1728" s="18" t="n">
        <v>789.6799999999999</v>
      </c>
      <c r="O1728" s="18" t="n">
        <v>838.8200000000001</v>
      </c>
      <c r="P1728" s="18" t="n">
        <v>1000.9</v>
      </c>
      <c r="Q1728" s="18" t="n">
        <v>692.92</v>
      </c>
      <c r="R1728" s="21">
        <f>IF(OR(G1728="",P1728=""),"",G1728/P1728-1)</f>
        <v/>
      </c>
      <c r="S1728" s="19" t="n">
        <v>0.0605</v>
      </c>
      <c r="T1728" s="22" t="n">
        <v>-0.0097</v>
      </c>
      <c r="U1728" s="16" t="inlineStr">
        <is>
          <t>No</t>
        </is>
      </c>
      <c r="V1728" s="16" t="inlineStr">
        <is>
          <t>No</t>
        </is>
      </c>
      <c r="W1728" s="16" t="inlineStr">
        <is>
          <t>No</t>
        </is>
      </c>
      <c r="X1728" s="16" t="inlineStr">
        <is>
          <t>No</t>
        </is>
      </c>
      <c r="Y1728" s="20" t="n">
        <v>88</v>
      </c>
      <c r="Z1728" s="19" t="n">
        <v>-0.05860000000000001</v>
      </c>
      <c r="AA1728" s="18" t="n">
        <v>34.46</v>
      </c>
      <c r="AB1728" s="16" t="inlineStr">
        <is>
          <t>Poor</t>
        </is>
      </c>
      <c r="AC1728" s="16" t="inlineStr">
        <is>
          <t>No</t>
        </is>
      </c>
      <c r="AD1728" s="19" t="n">
        <v>0.0694</v>
      </c>
      <c r="AE1728" s="19" t="n">
        <v>0.08259999999999999</v>
      </c>
      <c r="AF1728" s="19" t="n">
        <v>-0.5339</v>
      </c>
      <c r="AG1728" s="19" t="n">
        <v>0.1035</v>
      </c>
      <c r="AH1728" s="23" t="n">
        <v>0.39</v>
      </c>
      <c r="AI1728" s="23" t="n">
        <v>43.98</v>
      </c>
      <c r="AJ1728" s="19" t="n">
        <v>0</v>
      </c>
    </row>
    <row r="1729">
      <c r="A1729" s="16" t="inlineStr">
        <is>
          <t>STANLEY</t>
        </is>
      </c>
      <c r="B1729" s="16" t="inlineStr">
        <is>
          <t>Stanley Lifestyles Ltd.</t>
        </is>
      </c>
      <c r="C1729" s="16" t="inlineStr">
        <is>
          <t>Furniture-Furnishing</t>
        </is>
      </c>
      <c r="D1729" s="16" t="inlineStr">
        <is>
          <t>Diversified Consumer Services</t>
        </is>
      </c>
      <c r="E1729" s="16" t="inlineStr">
        <is>
          <t>INE01A001028</t>
        </is>
      </c>
      <c r="F1729" s="17" t="n">
        <v>773.9400000000001</v>
      </c>
      <c r="G1729" s="18" t="n">
        <v>135.48</v>
      </c>
      <c r="H1729" s="19" t="n">
        <v>-0.0144</v>
      </c>
      <c r="I1729" s="20" t="n">
        <v>5</v>
      </c>
      <c r="J1729" s="16" t="inlineStr">
        <is>
          <t>red</t>
        </is>
      </c>
      <c r="K1729" s="20" t="n">
        <v>483</v>
      </c>
      <c r="L1729" s="18" t="n">
        <v>47.41</v>
      </c>
      <c r="M1729" s="18" t="n">
        <v>136.88</v>
      </c>
      <c r="N1729" s="18" t="n">
        <v>148.36</v>
      </c>
      <c r="O1729" s="18" t="n">
        <v>165.81</v>
      </c>
      <c r="P1729" s="18" t="n">
        <v>315.45</v>
      </c>
      <c r="Q1729" s="18" t="n">
        <v>123.7</v>
      </c>
      <c r="R1729" s="21">
        <f>IF(OR(G1729="",P1729=""),"",G1729/P1729-1)</f>
        <v/>
      </c>
      <c r="S1729" s="19" t="n">
        <v>0.5943999999999999</v>
      </c>
      <c r="T1729" s="22" t="n">
        <v>-0.0723</v>
      </c>
      <c r="U1729" s="16" t="inlineStr">
        <is>
          <t>No</t>
        </is>
      </c>
      <c r="V1729" s="16" t="inlineStr">
        <is>
          <t>No</t>
        </is>
      </c>
      <c r="W1729" s="16" t="inlineStr">
        <is>
          <t>No</t>
        </is>
      </c>
      <c r="X1729" s="16" t="inlineStr">
        <is>
          <t>No</t>
        </is>
      </c>
      <c r="Y1729" s="20" t="n">
        <v>347</v>
      </c>
      <c r="Z1729" s="19" t="n">
        <v>-0.1052</v>
      </c>
      <c r="AA1729" s="18" t="n">
        <v>21.99</v>
      </c>
      <c r="AB1729" s="16" t="inlineStr">
        <is>
          <t>Poor</t>
        </is>
      </c>
      <c r="AC1729" s="16" t="inlineStr">
        <is>
          <t>No</t>
        </is>
      </c>
      <c r="AD1729" s="19" t="n">
        <v>0.0702</v>
      </c>
      <c r="AE1729" s="19" t="n">
        <v>0.0891</v>
      </c>
      <c r="AF1729" s="19" t="n">
        <v>-0.3667</v>
      </c>
      <c r="AG1729" s="19" t="n">
        <v>0.0014</v>
      </c>
      <c r="AH1729" s="23" t="n">
        <v>0.66</v>
      </c>
      <c r="AI1729" s="23" t="n">
        <v>1.01</v>
      </c>
      <c r="AJ1729" s="19" t="n">
        <v>0.05860000000000001</v>
      </c>
    </row>
    <row r="1730">
      <c r="A1730" s="16" t="inlineStr">
        <is>
          <t>SAHASRA</t>
        </is>
      </c>
      <c r="B1730" s="16" t="inlineStr">
        <is>
          <t>Sahasra Electronic Solutions Ltd.</t>
        </is>
      </c>
      <c r="C1730" s="16" t="inlineStr">
        <is>
          <t>Electronic Components</t>
        </is>
      </c>
      <c r="D1730" s="16" t="inlineStr">
        <is>
          <t>Commercial Services &amp; Supplies</t>
        </is>
      </c>
      <c r="E1730" s="16" t="inlineStr">
        <is>
          <t>INE0RBQ01018</t>
        </is>
      </c>
      <c r="F1730" s="17" t="n">
        <v>769.4</v>
      </c>
      <c r="G1730" s="18" t="n"/>
      <c r="H1730" s="19" t="n"/>
      <c r="I1730" s="20" t="n"/>
      <c r="J1730" s="16" t="n"/>
      <c r="K1730" s="20" t="n"/>
      <c r="L1730" s="18" t="n"/>
      <c r="M1730" s="18" t="n"/>
      <c r="N1730" s="18" t="n"/>
      <c r="O1730" s="18" t="n"/>
      <c r="P1730" s="18" t="n"/>
      <c r="Q1730" s="18" t="n"/>
      <c r="R1730" s="21">
        <f>IF(OR(G1730="",P1730=""),"",G1730/P1730-1)</f>
        <v/>
      </c>
      <c r="S1730" s="19" t="n"/>
      <c r="T1730" s="22" t="n"/>
      <c r="U1730" s="16" t="n"/>
      <c r="V1730" s="16" t="n"/>
      <c r="W1730" s="16" t="n"/>
      <c r="X1730" s="16" t="n"/>
      <c r="Y1730" s="20" t="n"/>
      <c r="Z1730" s="19" t="n"/>
      <c r="AA1730" s="18" t="n"/>
      <c r="AB1730" s="16" t="n"/>
      <c r="AC1730" s="16" t="inlineStr">
        <is>
          <t>No</t>
        </is>
      </c>
      <c r="AD1730" s="19" t="n"/>
      <c r="AE1730" s="19" t="n"/>
      <c r="AF1730" s="19" t="n"/>
      <c r="AG1730" s="19" t="n"/>
      <c r="AH1730" s="23" t="n"/>
      <c r="AI1730" s="23" t="n"/>
      <c r="AJ1730" s="19" t="n"/>
    </row>
    <row r="1731">
      <c r="A1731" s="16" t="inlineStr">
        <is>
          <t>KOTHARIPET</t>
        </is>
      </c>
      <c r="B1731" s="16" t="inlineStr">
        <is>
          <t>Kothari Petrochemicals Ltd.</t>
        </is>
      </c>
      <c r="C1731" s="16" t="inlineStr">
        <is>
          <t>Petrochemicals</t>
        </is>
      </c>
      <c r="D1731" s="16" t="inlineStr">
        <is>
          <t>Chemicals &amp; Petrochemicals</t>
        </is>
      </c>
      <c r="E1731" s="16" t="inlineStr">
        <is>
          <t>INE720A01015</t>
        </is>
      </c>
      <c r="F1731" s="17" t="n">
        <v>768.3</v>
      </c>
      <c r="G1731" s="18" t="n">
        <v>130.56</v>
      </c>
      <c r="H1731" s="19" t="n">
        <v>0.0119</v>
      </c>
      <c r="I1731" s="20" t="n">
        <v>48</v>
      </c>
      <c r="J1731" s="16" t="inlineStr">
        <is>
          <t>red</t>
        </is>
      </c>
      <c r="K1731" s="20" t="n">
        <v>82</v>
      </c>
      <c r="L1731" s="18" t="n">
        <v>38.57</v>
      </c>
      <c r="M1731" s="18" t="n">
        <v>130.98</v>
      </c>
      <c r="N1731" s="18" t="n">
        <v>134.64</v>
      </c>
      <c r="O1731" s="18" t="n">
        <v>125.76</v>
      </c>
      <c r="P1731" s="18" t="n">
        <v>167.47</v>
      </c>
      <c r="Q1731" s="18" t="n">
        <v>94.44</v>
      </c>
      <c r="R1731" s="21">
        <f>IF(OR(G1731="",P1731=""),"",G1731/P1731-1)</f>
        <v/>
      </c>
      <c r="S1731" s="19" t="n">
        <v>0.4906</v>
      </c>
      <c r="T1731" s="22" t="n">
        <v>-0.0051</v>
      </c>
      <c r="U1731" s="16" t="inlineStr">
        <is>
          <t>No</t>
        </is>
      </c>
      <c r="V1731" s="16" t="inlineStr">
        <is>
          <t>No</t>
        </is>
      </c>
      <c r="W1731" s="16" t="inlineStr">
        <is>
          <t>No</t>
        </is>
      </c>
      <c r="X1731" s="16" t="inlineStr">
        <is>
          <t>Yes</t>
        </is>
      </c>
      <c r="Y1731" s="20" t="n">
        <v>26</v>
      </c>
      <c r="Z1731" s="19" t="n">
        <v>0.0706</v>
      </c>
      <c r="AA1731" s="18" t="n">
        <v>40</v>
      </c>
      <c r="AB1731" s="16" t="inlineStr">
        <is>
          <t>Weak</t>
        </is>
      </c>
      <c r="AC1731" s="16" t="inlineStr">
        <is>
          <t>No</t>
        </is>
      </c>
      <c r="AD1731" s="19" t="n">
        <v>0.2228</v>
      </c>
      <c r="AE1731" s="19" t="n">
        <v>0.305</v>
      </c>
      <c r="AF1731" s="19" t="n">
        <v>-0.1137</v>
      </c>
      <c r="AG1731" s="19" t="n">
        <v>0.0762</v>
      </c>
      <c r="AH1731" s="23" t="n">
        <v>0.01</v>
      </c>
      <c r="AI1731" s="23" t="n">
        <v>2.83</v>
      </c>
      <c r="AJ1731" s="19" t="n">
        <v>0.04019999999999999</v>
      </c>
    </row>
    <row r="1732">
      <c r="A1732" s="16" t="inlineStr">
        <is>
          <t>BRIGHT</t>
        </is>
      </c>
      <c r="B1732" s="16" t="inlineStr">
        <is>
          <t>Bright Outdoor Media Ltd.</t>
        </is>
      </c>
      <c r="C1732" s="16" t="inlineStr">
        <is>
          <t>Advertising &amp; Media</t>
        </is>
      </c>
      <c r="D1732" s="16" t="inlineStr">
        <is>
          <t>Media</t>
        </is>
      </c>
      <c r="E1732" s="16" t="inlineStr">
        <is>
          <t>INE0OMI01019</t>
        </is>
      </c>
      <c r="F1732" s="17" t="n">
        <v>766.54</v>
      </c>
      <c r="G1732" s="18" t="n">
        <v>351.25</v>
      </c>
      <c r="H1732" s="19" t="n">
        <v>0.0064</v>
      </c>
      <c r="I1732" s="20" t="n">
        <v>27</v>
      </c>
      <c r="J1732" s="16" t="inlineStr">
        <is>
          <t>red</t>
        </is>
      </c>
      <c r="K1732" s="20" t="n">
        <v>94</v>
      </c>
      <c r="L1732" s="18" t="n">
        <v>34.52</v>
      </c>
      <c r="M1732" s="18" t="n">
        <v>350.46</v>
      </c>
      <c r="N1732" s="18" t="n">
        <v>362.46</v>
      </c>
      <c r="O1732" s="18" t="n">
        <v>385.4</v>
      </c>
      <c r="P1732" s="18" t="n">
        <v>438.95</v>
      </c>
      <c r="Q1732" s="18" t="n">
        <v>326.53</v>
      </c>
      <c r="R1732" s="21">
        <f>IF(OR(G1732="",P1732=""),"",G1732/P1732-1)</f>
        <v/>
      </c>
      <c r="S1732" s="19" t="n">
        <v>0.0998</v>
      </c>
      <c r="T1732" s="22" t="n">
        <v>-0.0101</v>
      </c>
      <c r="U1732" s="16" t="inlineStr">
        <is>
          <t>No</t>
        </is>
      </c>
      <c r="V1732" s="16" t="inlineStr">
        <is>
          <t>No</t>
        </is>
      </c>
      <c r="W1732" s="16" t="inlineStr">
        <is>
          <t>Yes</t>
        </is>
      </c>
      <c r="X1732" s="16" t="inlineStr">
        <is>
          <t>No</t>
        </is>
      </c>
      <c r="Y1732" s="20" t="n">
        <v>69</v>
      </c>
      <c r="Z1732" s="19" t="n">
        <v>-0.0595</v>
      </c>
      <c r="AA1732" s="18" t="n"/>
      <c r="AB1732" s="16" t="n"/>
      <c r="AC1732" s="16" t="inlineStr">
        <is>
          <t>No</t>
        </is>
      </c>
      <c r="AD1732" s="19" t="n"/>
      <c r="AE1732" s="19" t="n"/>
      <c r="AF1732" s="19" t="n"/>
      <c r="AG1732" s="19" t="n"/>
      <c r="AH1732" s="23" t="n"/>
      <c r="AI1732" s="23" t="n"/>
      <c r="AJ1732" s="19" t="n"/>
    </row>
    <row r="1733">
      <c r="A1733" s="16" t="inlineStr">
        <is>
          <t>GEECEE</t>
        </is>
      </c>
      <c r="B1733" s="16" t="inlineStr">
        <is>
          <t>GeeCee Ventures Ltd.</t>
        </is>
      </c>
      <c r="C1733" s="16" t="inlineStr">
        <is>
          <t>Realty</t>
        </is>
      </c>
      <c r="D1733" s="16" t="inlineStr">
        <is>
          <t>Realty</t>
        </is>
      </c>
      <c r="E1733" s="16" t="inlineStr">
        <is>
          <t>INE916G01016</t>
        </is>
      </c>
      <c r="F1733" s="17" t="n">
        <v>765.79</v>
      </c>
      <c r="G1733" s="18" t="n">
        <v>366.2</v>
      </c>
      <c r="H1733" s="19" t="n">
        <v>-0.0089</v>
      </c>
      <c r="I1733" s="20" t="n">
        <v>57</v>
      </c>
      <c r="J1733" s="16" t="inlineStr">
        <is>
          <t>red</t>
        </is>
      </c>
      <c r="K1733" s="20" t="n">
        <v>7</v>
      </c>
      <c r="L1733" s="18" t="n">
        <v>46.04</v>
      </c>
      <c r="M1733" s="18" t="n">
        <v>367.81</v>
      </c>
      <c r="N1733" s="18" t="n">
        <v>356.26</v>
      </c>
      <c r="O1733" s="18" t="n">
        <v>322.38</v>
      </c>
      <c r="P1733" s="18" t="n">
        <v>386.95</v>
      </c>
      <c r="Q1733" s="18" t="n">
        <v>221.25</v>
      </c>
      <c r="R1733" s="21">
        <f>IF(OR(G1733="",P1733=""),"",G1733/P1733-1)</f>
        <v/>
      </c>
      <c r="S1733" s="19" t="n">
        <v>0.302</v>
      </c>
      <c r="T1733" s="22" t="n">
        <v>0.0077</v>
      </c>
      <c r="U1733" s="16" t="inlineStr">
        <is>
          <t>Yes</t>
        </is>
      </c>
      <c r="V1733" s="16" t="inlineStr">
        <is>
          <t>Yes</t>
        </is>
      </c>
      <c r="W1733" s="16" t="inlineStr">
        <is>
          <t>No</t>
        </is>
      </c>
      <c r="X1733" s="16" t="inlineStr">
        <is>
          <t>Yes</t>
        </is>
      </c>
      <c r="Y1733" s="20" t="n">
        <v>47</v>
      </c>
      <c r="Z1733" s="19" t="n">
        <v>0.1051</v>
      </c>
      <c r="AA1733" s="18" t="n">
        <v>56.31</v>
      </c>
      <c r="AB1733" s="16" t="inlineStr">
        <is>
          <t>Good</t>
        </is>
      </c>
      <c r="AC1733" s="16" t="inlineStr">
        <is>
          <t>No</t>
        </is>
      </c>
      <c r="AD1733" s="19" t="n">
        <v>0.05599999999999999</v>
      </c>
      <c r="AE1733" s="19" t="n">
        <v>0.06809999999999999</v>
      </c>
      <c r="AF1733" s="19" t="n">
        <v>0.4862</v>
      </c>
      <c r="AG1733" s="19" t="n">
        <v>0.4549</v>
      </c>
      <c r="AH1733" s="23" t="n">
        <v>0</v>
      </c>
      <c r="AI1733" s="23" t="n">
        <v>3.71</v>
      </c>
      <c r="AJ1733" s="19" t="n">
        <v>0</v>
      </c>
    </row>
    <row r="1734">
      <c r="A1734" s="16" t="inlineStr">
        <is>
          <t>QUICKHEAL</t>
        </is>
      </c>
      <c r="B1734" s="16" t="inlineStr">
        <is>
          <t>Quick Heal Technologies Ltd.</t>
        </is>
      </c>
      <c r="C1734" s="16" t="inlineStr">
        <is>
          <t>IT Software Products</t>
        </is>
      </c>
      <c r="D1734" s="16" t="inlineStr">
        <is>
          <t>Software &amp; Services</t>
        </is>
      </c>
      <c r="E1734" s="16" t="inlineStr">
        <is>
          <t>INE306L01010</t>
        </is>
      </c>
      <c r="F1734" s="17" t="n">
        <v>764.79</v>
      </c>
      <c r="G1734" s="18" t="n">
        <v>140.94</v>
      </c>
      <c r="H1734" s="19" t="n">
        <v>0.0277</v>
      </c>
      <c r="I1734" s="20" t="n">
        <v>3</v>
      </c>
      <c r="J1734" s="16" t="inlineStr">
        <is>
          <t>red</t>
        </is>
      </c>
      <c r="K1734" s="20" t="n">
        <v>412</v>
      </c>
      <c r="L1734" s="18" t="n">
        <v>34.32</v>
      </c>
      <c r="M1734" s="18" t="n">
        <v>138.28</v>
      </c>
      <c r="N1734" s="18" t="n">
        <v>154.65</v>
      </c>
      <c r="O1734" s="18" t="n">
        <v>190.07</v>
      </c>
      <c r="P1734" s="18" t="n">
        <v>347.55</v>
      </c>
      <c r="Q1734" s="18" t="n">
        <v>125.53</v>
      </c>
      <c r="R1734" s="21">
        <f>IF(OR(G1734="",P1734=""),"",G1734/P1734-1)</f>
        <v/>
      </c>
      <c r="S1734" s="19" t="n">
        <v>1.14</v>
      </c>
      <c r="T1734" s="22" t="n">
        <v>-0.0848</v>
      </c>
      <c r="U1734" s="16" t="inlineStr">
        <is>
          <t>No</t>
        </is>
      </c>
      <c r="V1734" s="16" t="inlineStr">
        <is>
          <t>No</t>
        </is>
      </c>
      <c r="W1734" s="16" t="inlineStr">
        <is>
          <t>Yes</t>
        </is>
      </c>
      <c r="X1734" s="16" t="inlineStr">
        <is>
          <t>No</t>
        </is>
      </c>
      <c r="Y1734" s="20" t="n">
        <v>391</v>
      </c>
      <c r="Z1734" s="19" t="n">
        <v>-0.1863</v>
      </c>
      <c r="AA1734" s="18" t="n">
        <v>29.43</v>
      </c>
      <c r="AB1734" s="16" t="inlineStr">
        <is>
          <t>Poor</t>
        </is>
      </c>
      <c r="AC1734" s="16" t="inlineStr">
        <is>
          <t>No</t>
        </is>
      </c>
      <c r="AD1734" s="19" t="n">
        <v>0.014</v>
      </c>
      <c r="AE1734" s="19" t="n">
        <v>0.0054</v>
      </c>
      <c r="AF1734" s="19" t="n">
        <v>-0.3476</v>
      </c>
      <c r="AG1734" s="19" t="n">
        <v>-0.0197</v>
      </c>
      <c r="AH1734" s="23" t="n">
        <v>0</v>
      </c>
      <c r="AI1734" s="23" t="n">
        <v>2.94</v>
      </c>
      <c r="AJ1734" s="19" t="n">
        <v>0</v>
      </c>
    </row>
    <row r="1735">
      <c r="A1735" s="16" t="inlineStr">
        <is>
          <t>PERMAGN</t>
        </is>
      </c>
      <c r="B1735" s="16" t="inlineStr">
        <is>
          <t>Permanent Magnets Ltd.</t>
        </is>
      </c>
      <c r="C1735" s="16" t="inlineStr">
        <is>
          <t>Other Industrial Goods</t>
        </is>
      </c>
      <c r="D1735" s="16" t="inlineStr">
        <is>
          <t>General Industrials</t>
        </is>
      </c>
      <c r="E1735" s="16" t="inlineStr">
        <is>
          <t>INE418E01018</t>
        </is>
      </c>
      <c r="F1735" s="17" t="n">
        <v>761.14</v>
      </c>
      <c r="G1735" s="18" t="n">
        <v>885.2</v>
      </c>
      <c r="H1735" s="19" t="n">
        <v>0.0043</v>
      </c>
      <c r="I1735" s="20" t="n">
        <v>47</v>
      </c>
      <c r="J1735" s="16" t="inlineStr">
        <is>
          <t>red</t>
        </is>
      </c>
      <c r="K1735" s="20" t="n">
        <v>45</v>
      </c>
      <c r="L1735" s="18" t="n">
        <v>63.34</v>
      </c>
      <c r="M1735" s="18" t="n">
        <v>885.26</v>
      </c>
      <c r="N1735" s="18" t="n">
        <v>870.16</v>
      </c>
      <c r="O1735" s="18" t="n">
        <v>838.4</v>
      </c>
      <c r="P1735" s="18" t="n">
        <v>1080.16</v>
      </c>
      <c r="Q1735" s="18" t="n">
        <v>633.46</v>
      </c>
      <c r="R1735" s="21">
        <f>IF(OR(G1735="",P1735=""),"",G1735/P1735-1)</f>
        <v/>
      </c>
      <c r="S1735" s="19" t="n">
        <v>0.38</v>
      </c>
      <c r="T1735" s="22" t="n">
        <v>-0.008100000000000001</v>
      </c>
      <c r="U1735" s="16" t="inlineStr">
        <is>
          <t>No</t>
        </is>
      </c>
      <c r="V1735" s="16" t="inlineStr">
        <is>
          <t>Yes</t>
        </is>
      </c>
      <c r="W1735" s="16" t="inlineStr">
        <is>
          <t>No</t>
        </is>
      </c>
      <c r="X1735" s="16" t="inlineStr">
        <is>
          <t>Yes</t>
        </is>
      </c>
      <c r="Y1735" s="20" t="n">
        <v>56</v>
      </c>
      <c r="Z1735" s="19" t="n">
        <v>0.0379</v>
      </c>
      <c r="AA1735" s="18" t="n"/>
      <c r="AB1735" s="16" t="n"/>
      <c r="AC1735" s="16" t="inlineStr">
        <is>
          <t>No</t>
        </is>
      </c>
      <c r="AD1735" s="19" t="n"/>
      <c r="AE1735" s="19" t="n"/>
      <c r="AF1735" s="19" t="n"/>
      <c r="AG1735" s="19" t="n"/>
      <c r="AH1735" s="23" t="n"/>
      <c r="AI1735" s="23" t="n"/>
      <c r="AJ1735" s="19" t="n"/>
    </row>
    <row r="1736">
      <c r="A1736" s="16" t="inlineStr">
        <is>
          <t>PROZONER</t>
        </is>
      </c>
      <c r="B1736" s="16" t="inlineStr">
        <is>
          <t>Prozone Realty Ltd.</t>
        </is>
      </c>
      <c r="C1736" s="16" t="inlineStr">
        <is>
          <t>Realty</t>
        </is>
      </c>
      <c r="D1736" s="16" t="inlineStr">
        <is>
          <t>Realty</t>
        </is>
      </c>
      <c r="E1736" s="16" t="inlineStr">
        <is>
          <t>INE195N01013</t>
        </is>
      </c>
      <c r="F1736" s="17" t="n">
        <v>759.35</v>
      </c>
      <c r="G1736" s="18" t="n">
        <v>49.76</v>
      </c>
      <c r="H1736" s="19" t="n">
        <v>0.07200000000000001</v>
      </c>
      <c r="I1736" s="20" t="n">
        <v>48</v>
      </c>
      <c r="J1736" s="16" t="inlineStr">
        <is>
          <t>red</t>
        </is>
      </c>
      <c r="K1736" s="20" t="n">
        <v>57</v>
      </c>
      <c r="L1736" s="18" t="n">
        <v>73.56999999999999</v>
      </c>
      <c r="M1736" s="18" t="n">
        <v>45.64</v>
      </c>
      <c r="N1736" s="18" t="n">
        <v>43.71</v>
      </c>
      <c r="O1736" s="18" t="n">
        <v>50.06</v>
      </c>
      <c r="P1736" s="18" t="n">
        <v>72.77</v>
      </c>
      <c r="Q1736" s="18" t="n">
        <v>41.04</v>
      </c>
      <c r="R1736" s="21">
        <f>IF(OR(G1736="",P1736=""),"",G1736/P1736-1)</f>
        <v/>
      </c>
      <c r="S1736" s="19" t="n">
        <v>3.2976</v>
      </c>
      <c r="T1736" s="22" t="n">
        <v>-0.039</v>
      </c>
      <c r="U1736" s="16" t="inlineStr">
        <is>
          <t>No</t>
        </is>
      </c>
      <c r="V1736" s="16" t="inlineStr">
        <is>
          <t>Yes</t>
        </is>
      </c>
      <c r="W1736" s="16" t="inlineStr">
        <is>
          <t>Yes</t>
        </is>
      </c>
      <c r="X1736" s="16" t="inlineStr">
        <is>
          <t>No</t>
        </is>
      </c>
      <c r="Y1736" s="20" t="n">
        <v>53</v>
      </c>
      <c r="Z1736" s="19" t="n">
        <v>-0.1268</v>
      </c>
      <c r="AA1736" s="18" t="n">
        <v>19.42</v>
      </c>
      <c r="AB1736" s="16" t="inlineStr">
        <is>
          <t>Poor</t>
        </is>
      </c>
      <c r="AC1736" s="16" t="inlineStr">
        <is>
          <t>No</t>
        </is>
      </c>
      <c r="AD1736" s="19" t="n">
        <v>-0.0163</v>
      </c>
      <c r="AE1736" s="19" t="n">
        <v>0.0509</v>
      </c>
      <c r="AF1736" s="19" t="n">
        <v>-2.9461</v>
      </c>
      <c r="AG1736" s="19" t="n">
        <v>0.0421</v>
      </c>
      <c r="AH1736" s="23" t="n">
        <v>1.44</v>
      </c>
      <c r="AI1736" s="23" t="n">
        <v>21.31</v>
      </c>
      <c r="AJ1736" s="19" t="n">
        <v>0</v>
      </c>
    </row>
    <row r="1737">
      <c r="A1737" s="16" t="inlineStr">
        <is>
          <t>ARYAMAN</t>
        </is>
      </c>
      <c r="B1737" s="16" t="inlineStr">
        <is>
          <t>Aryaman Financial Services Ltd.</t>
        </is>
      </c>
      <c r="C1737" s="16" t="inlineStr">
        <is>
          <t>Finance (including NBFCs)</t>
        </is>
      </c>
      <c r="D1737" s="16" t="inlineStr">
        <is>
          <t>Banking and Finance</t>
        </is>
      </c>
      <c r="E1737" s="16" t="inlineStr">
        <is>
          <t>INE032E01017</t>
        </is>
      </c>
      <c r="F1737" s="17" t="n">
        <v>759.3099999999999</v>
      </c>
      <c r="G1737" s="18" t="n">
        <v>620</v>
      </c>
      <c r="H1737" s="19" t="n">
        <v>0.008100000000000001</v>
      </c>
      <c r="I1737" s="20" t="n">
        <v>25</v>
      </c>
      <c r="J1737" s="16" t="inlineStr">
        <is>
          <t>red</t>
        </is>
      </c>
      <c r="K1737" s="20" t="n">
        <v>107</v>
      </c>
      <c r="L1737" s="18" t="n">
        <v>63.2</v>
      </c>
      <c r="M1737" s="18" t="n">
        <v>628.9400000000001</v>
      </c>
      <c r="N1737" s="18" t="n">
        <v>594.67</v>
      </c>
      <c r="O1737" s="18" t="n">
        <v>624.52</v>
      </c>
      <c r="P1737" s="18" t="n">
        <v>906.15</v>
      </c>
      <c r="Q1737" s="18" t="n">
        <v>565.75</v>
      </c>
      <c r="R1737" s="21">
        <f>IF(OR(G1737="",P1737=""),"",G1737/P1737-1)</f>
        <v/>
      </c>
      <c r="S1737" s="19" t="n">
        <v>1.135</v>
      </c>
      <c r="T1737" s="22" t="n">
        <v>-0.0269</v>
      </c>
      <c r="U1737" s="16" t="inlineStr">
        <is>
          <t>No</t>
        </is>
      </c>
      <c r="V1737" s="16" t="inlineStr">
        <is>
          <t>Yes</t>
        </is>
      </c>
      <c r="W1737" s="16" t="inlineStr">
        <is>
          <t>No</t>
        </is>
      </c>
      <c r="X1737" s="16" t="inlineStr">
        <is>
          <t>No</t>
        </is>
      </c>
      <c r="Y1737" s="20" t="n">
        <v>158</v>
      </c>
      <c r="Z1737" s="19" t="n">
        <v>-0.0478</v>
      </c>
      <c r="AA1737" s="18" t="n"/>
      <c r="AB1737" s="16" t="n"/>
      <c r="AC1737" s="16" t="inlineStr">
        <is>
          <t>No</t>
        </is>
      </c>
      <c r="AD1737" s="19" t="n"/>
      <c r="AE1737" s="19" t="n"/>
      <c r="AF1737" s="19" t="n"/>
      <c r="AG1737" s="19" t="n"/>
      <c r="AH1737" s="23" t="n"/>
      <c r="AI1737" s="23" t="n"/>
      <c r="AJ1737" s="19" t="n"/>
    </row>
    <row r="1738">
      <c r="A1738" s="16" t="inlineStr">
        <is>
          <t>RNFI</t>
        </is>
      </c>
      <c r="B1738" s="16" t="inlineStr">
        <is>
          <t>RNFI Services Ltd.</t>
        </is>
      </c>
      <c r="C1738" s="16" t="inlineStr">
        <is>
          <t>Other Financial Services</t>
        </is>
      </c>
      <c r="D1738" s="16" t="inlineStr">
        <is>
          <t>Banking and Finance</t>
        </is>
      </c>
      <c r="E1738" s="16" t="inlineStr">
        <is>
          <t>INE0SA001017</t>
        </is>
      </c>
      <c r="F1738" s="17" t="n">
        <v>758.55</v>
      </c>
      <c r="G1738" s="18" t="n"/>
      <c r="H1738" s="19" t="n"/>
      <c r="I1738" s="20" t="n"/>
      <c r="J1738" s="16" t="n"/>
      <c r="K1738" s="20" t="n"/>
      <c r="L1738" s="18" t="n"/>
      <c r="M1738" s="18" t="n"/>
      <c r="N1738" s="18" t="n"/>
      <c r="O1738" s="18" t="n"/>
      <c r="P1738" s="18" t="n"/>
      <c r="Q1738" s="18" t="n"/>
      <c r="R1738" s="21">
        <f>IF(OR(G1738="",P1738=""),"",G1738/P1738-1)</f>
        <v/>
      </c>
      <c r="S1738" s="19" t="n"/>
      <c r="T1738" s="22" t="n"/>
      <c r="U1738" s="16" t="n"/>
      <c r="V1738" s="16" t="n"/>
      <c r="W1738" s="16" t="n"/>
      <c r="X1738" s="16" t="n"/>
      <c r="Y1738" s="20" t="n"/>
      <c r="Z1738" s="19" t="n"/>
      <c r="AA1738" s="18" t="n"/>
      <c r="AB1738" s="16" t="n"/>
      <c r="AC1738" s="16" t="inlineStr">
        <is>
          <t>No</t>
        </is>
      </c>
      <c r="AD1738" s="19" t="n"/>
      <c r="AE1738" s="19" t="n"/>
      <c r="AF1738" s="19" t="n"/>
      <c r="AG1738" s="19" t="n"/>
      <c r="AH1738" s="23" t="n"/>
      <c r="AI1738" s="23" t="n"/>
      <c r="AJ1738" s="19" t="n"/>
    </row>
    <row r="1739">
      <c r="A1739" s="16" t="inlineStr">
        <is>
          <t>GICHSGFIN</t>
        </is>
      </c>
      <c r="B1739" s="16" t="inlineStr">
        <is>
          <t>GIC Housing Finance Ltd.</t>
        </is>
      </c>
      <c r="C1739" s="16" t="inlineStr">
        <is>
          <t>Housing Finance</t>
        </is>
      </c>
      <c r="D1739" s="16" t="inlineStr">
        <is>
          <t>Banking and Finance</t>
        </is>
      </c>
      <c r="E1739" s="16" t="inlineStr">
        <is>
          <t>INE289B01019</t>
        </is>
      </c>
      <c r="F1739" s="17" t="n">
        <v>756.34</v>
      </c>
      <c r="G1739" s="18" t="n">
        <v>140.45</v>
      </c>
      <c r="H1739" s="19" t="n">
        <v>-0.0113</v>
      </c>
      <c r="I1739" s="20" t="n">
        <v>24</v>
      </c>
      <c r="J1739" s="16" t="inlineStr">
        <is>
          <t>red</t>
        </is>
      </c>
      <c r="K1739" s="20" t="n">
        <v>174</v>
      </c>
      <c r="L1739" s="18" t="n">
        <v>52.31</v>
      </c>
      <c r="M1739" s="18" t="n">
        <v>141.79</v>
      </c>
      <c r="N1739" s="18" t="n">
        <v>146.87</v>
      </c>
      <c r="O1739" s="18" t="n">
        <v>152.22</v>
      </c>
      <c r="P1739" s="18" t="n">
        <v>175.07</v>
      </c>
      <c r="Q1739" s="18" t="n">
        <v>127.77</v>
      </c>
      <c r="R1739" s="21">
        <f>IF(OR(G1739="",P1739=""),"",G1739/P1739-1)</f>
        <v/>
      </c>
      <c r="S1739" s="19" t="n">
        <v>1.6964</v>
      </c>
      <c r="T1739" s="22" t="n">
        <v>-0.017</v>
      </c>
      <c r="U1739" s="16" t="inlineStr">
        <is>
          <t>No</t>
        </is>
      </c>
      <c r="V1739" s="16" t="inlineStr">
        <is>
          <t>No</t>
        </is>
      </c>
      <c r="W1739" s="16" t="inlineStr">
        <is>
          <t>No</t>
        </is>
      </c>
      <c r="X1739" s="16" t="inlineStr">
        <is>
          <t>No</t>
        </is>
      </c>
      <c r="Y1739" s="20" t="n">
        <v>243</v>
      </c>
      <c r="Z1739" s="19" t="n">
        <v>-0.0351</v>
      </c>
      <c r="AA1739" s="18" t="n">
        <v>21.29</v>
      </c>
      <c r="AB1739" s="16" t="inlineStr">
        <is>
          <t>Poor</t>
        </is>
      </c>
      <c r="AC1739" s="16" t="inlineStr">
        <is>
          <t>Yes</t>
        </is>
      </c>
      <c r="AD1739" s="19" t="n">
        <v>0.0793</v>
      </c>
      <c r="AE1739" s="19" t="n">
        <v>0.0179</v>
      </c>
      <c r="AF1739" s="19" t="n">
        <v>-0.08839999999999999</v>
      </c>
      <c r="AG1739" s="19" t="n">
        <v>-0.0098</v>
      </c>
      <c r="AH1739" s="23" t="n">
        <v>4.33</v>
      </c>
      <c r="AI1739" s="23" t="n">
        <v>15.45</v>
      </c>
      <c r="AJ1739" s="19" t="n">
        <v>0</v>
      </c>
    </row>
    <row r="1740">
      <c r="A1740" s="16" t="inlineStr">
        <is>
          <t>ADVANCE</t>
        </is>
      </c>
      <c r="B1740" s="16" t="inlineStr">
        <is>
          <t>Advance Agrolife Ltd.</t>
        </is>
      </c>
      <c r="C1740" s="16" t="inlineStr">
        <is>
          <t>Agrochemicals</t>
        </is>
      </c>
      <c r="D1740" s="16" t="inlineStr">
        <is>
          <t>Chemicals &amp; Petrochemicals</t>
        </is>
      </c>
      <c r="E1740" s="16" t="inlineStr">
        <is>
          <t>INE1B0W01010</t>
        </is>
      </c>
      <c r="F1740" s="17" t="n">
        <v>754.91</v>
      </c>
      <c r="G1740" s="18" t="n">
        <v>117.43</v>
      </c>
      <c r="H1740" s="19" t="n">
        <v>-0.009300000000000001</v>
      </c>
      <c r="I1740" s="20" t="n">
        <v>54</v>
      </c>
      <c r="J1740" s="16" t="inlineStr">
        <is>
          <t>red</t>
        </is>
      </c>
      <c r="K1740" s="20" t="n">
        <v>22</v>
      </c>
      <c r="L1740" s="18" t="n">
        <v>50.85</v>
      </c>
      <c r="M1740" s="18" t="n">
        <v>118.29</v>
      </c>
      <c r="N1740" s="18" t="n">
        <v>116.64</v>
      </c>
      <c r="O1740" s="18" t="n">
        <v>115.12</v>
      </c>
      <c r="P1740" s="18" t="n">
        <v>147.57</v>
      </c>
      <c r="Q1740" s="18" t="n">
        <v>84.95999999999999</v>
      </c>
      <c r="R1740" s="21">
        <f>IF(OR(G1740="",P1740=""),"",G1740/P1740-1)</f>
        <v/>
      </c>
      <c r="S1740" s="19" t="n">
        <v>0.232</v>
      </c>
      <c r="T1740" s="22" t="n">
        <v>-0.0153</v>
      </c>
      <c r="U1740" s="16" t="inlineStr">
        <is>
          <t>No</t>
        </is>
      </c>
      <c r="V1740" s="16" t="inlineStr">
        <is>
          <t>Yes</t>
        </is>
      </c>
      <c r="W1740" s="16" t="inlineStr">
        <is>
          <t>No</t>
        </is>
      </c>
      <c r="X1740" s="16" t="inlineStr">
        <is>
          <t>Yes</t>
        </is>
      </c>
      <c r="Y1740" s="20" t="n">
        <v>6</v>
      </c>
      <c r="Z1740" s="19" t="n">
        <v>0.0132</v>
      </c>
      <c r="AA1740" s="18" t="n">
        <v>40</v>
      </c>
      <c r="AB1740" s="16" t="inlineStr">
        <is>
          <t>Weak</t>
        </is>
      </c>
      <c r="AC1740" s="16" t="inlineStr">
        <is>
          <t>No</t>
        </is>
      </c>
      <c r="AD1740" s="19" t="n">
        <v>0.2322</v>
      </c>
      <c r="AE1740" s="19" t="n">
        <v>0.2241</v>
      </c>
      <c r="AF1740" s="19" t="n">
        <v>-1</v>
      </c>
      <c r="AG1740" s="19" t="n">
        <v>0.1732</v>
      </c>
      <c r="AH1740" s="23" t="n">
        <v>0.32</v>
      </c>
      <c r="AI1740" s="23" t="n">
        <v>6.08</v>
      </c>
      <c r="AJ1740" s="19" t="n">
        <v>0.2118</v>
      </c>
    </row>
    <row r="1741">
      <c r="A1741" s="16" t="inlineStr">
        <is>
          <t>ISTLTD</t>
        </is>
      </c>
      <c r="B1741" s="16" t="inlineStr">
        <is>
          <t>IST Ltd.</t>
        </is>
      </c>
      <c r="C1741" s="16" t="inlineStr">
        <is>
          <t>Auto Parts &amp; Equipment</t>
        </is>
      </c>
      <c r="D1741" s="16" t="inlineStr">
        <is>
          <t>Automobiles &amp; Auto Components</t>
        </is>
      </c>
      <c r="E1741" s="16" t="inlineStr">
        <is>
          <t>INE684B01029</t>
        </is>
      </c>
      <c r="F1741" s="17" t="n">
        <v>753.5</v>
      </c>
      <c r="G1741" s="18" t="n">
        <v>646</v>
      </c>
      <c r="H1741" s="19" t="n">
        <v>-0.0166</v>
      </c>
      <c r="I1741" s="20" t="n">
        <v>19</v>
      </c>
      <c r="J1741" s="16" t="inlineStr">
        <is>
          <t>red</t>
        </is>
      </c>
      <c r="K1741" s="20" t="n">
        <v>266</v>
      </c>
      <c r="L1741" s="18" t="n">
        <v>46.68</v>
      </c>
      <c r="M1741" s="18" t="n">
        <v>652.1</v>
      </c>
      <c r="N1741" s="18" t="n">
        <v>640.98</v>
      </c>
      <c r="O1741" s="18" t="n">
        <v>694.12</v>
      </c>
      <c r="P1741" s="18" t="n">
        <v>909.6</v>
      </c>
      <c r="Q1741" s="18" t="n">
        <v>524.7</v>
      </c>
      <c r="R1741" s="21">
        <f>IF(OR(G1741="",P1741=""),"",G1741/P1741-1)</f>
        <v/>
      </c>
      <c r="S1741" s="19" t="n">
        <v>0.1072</v>
      </c>
      <c r="T1741" s="22" t="n">
        <v>-0.0301</v>
      </c>
      <c r="U1741" s="16" t="inlineStr">
        <is>
          <t>No</t>
        </is>
      </c>
      <c r="V1741" s="16" t="inlineStr">
        <is>
          <t>Yes</t>
        </is>
      </c>
      <c r="W1741" s="16" t="inlineStr">
        <is>
          <t>No</t>
        </is>
      </c>
      <c r="X1741" s="16" t="inlineStr">
        <is>
          <t>No</t>
        </is>
      </c>
      <c r="Y1741" s="20" t="n">
        <v>190</v>
      </c>
      <c r="Z1741" s="19" t="n">
        <v>-0.0766</v>
      </c>
      <c r="AA1741" s="18" t="n"/>
      <c r="AB1741" s="16" t="n"/>
      <c r="AC1741" s="16" t="inlineStr">
        <is>
          <t>No</t>
        </is>
      </c>
      <c r="AD1741" s="19" t="n"/>
      <c r="AE1741" s="19" t="n"/>
      <c r="AF1741" s="19" t="n"/>
      <c r="AG1741" s="19" t="n"/>
      <c r="AH1741" s="23" t="n"/>
      <c r="AI1741" s="23" t="n"/>
      <c r="AJ1741" s="19" t="n"/>
    </row>
    <row r="1742">
      <c r="A1742" s="16" t="inlineStr">
        <is>
          <t>AMANTA</t>
        </is>
      </c>
      <c r="B1742" s="16" t="inlineStr">
        <is>
          <t>Amanta Healthcare Ltd.</t>
        </is>
      </c>
      <c r="C1742" s="16" t="inlineStr">
        <is>
          <t>Pharmaceuticals</t>
        </is>
      </c>
      <c r="D1742" s="16" t="inlineStr">
        <is>
          <t>Pharmaceuticals &amp; Biotechnology</t>
        </is>
      </c>
      <c r="E1742" s="16" t="inlineStr">
        <is>
          <t>INE084K01015</t>
        </is>
      </c>
      <c r="F1742" s="17" t="n">
        <v>753.41</v>
      </c>
      <c r="G1742" s="18" t="n">
        <v>194.03</v>
      </c>
      <c r="H1742" s="19" t="n">
        <v>0.02</v>
      </c>
      <c r="I1742" s="20" t="n">
        <v>91</v>
      </c>
      <c r="J1742" s="16" t="inlineStr">
        <is>
          <t>green</t>
        </is>
      </c>
      <c r="K1742" s="20" t="n">
        <v>15</v>
      </c>
      <c r="L1742" s="18" t="n">
        <v>69.41</v>
      </c>
      <c r="M1742" s="18" t="n">
        <v>189.11</v>
      </c>
      <c r="N1742" s="18" t="n">
        <v>172.96</v>
      </c>
      <c r="O1742" s="18" t="n">
        <v>130.49</v>
      </c>
      <c r="P1742" s="18" t="n">
        <v>205.17</v>
      </c>
      <c r="Q1742" s="18" t="n">
        <v>95.03</v>
      </c>
      <c r="R1742" s="21">
        <f>IF(OR(G1742="",P1742=""),"",G1742/P1742-1)</f>
        <v/>
      </c>
      <c r="S1742" s="19" t="n">
        <v>0.1421</v>
      </c>
      <c r="T1742" s="22" t="n">
        <v>0.0459</v>
      </c>
      <c r="U1742" s="16" t="inlineStr">
        <is>
          <t>Yes</t>
        </is>
      </c>
      <c r="V1742" s="16" t="inlineStr">
        <is>
          <t>Yes</t>
        </is>
      </c>
      <c r="W1742" s="16" t="inlineStr">
        <is>
          <t>Yes</t>
        </is>
      </c>
      <c r="X1742" s="16" t="inlineStr">
        <is>
          <t>Yes</t>
        </is>
      </c>
      <c r="Y1742" s="20" t="n">
        <v>47</v>
      </c>
      <c r="Z1742" s="19" t="n">
        <v>0.3255</v>
      </c>
      <c r="AA1742" s="18" t="n">
        <v>38.63</v>
      </c>
      <c r="AB1742" s="16" t="inlineStr">
        <is>
          <t>Weak</t>
        </is>
      </c>
      <c r="AC1742" s="16" t="inlineStr">
        <is>
          <t>No</t>
        </is>
      </c>
      <c r="AD1742" s="19" t="n">
        <v>0.0771</v>
      </c>
      <c r="AE1742" s="19" t="n">
        <v>0.1265</v>
      </c>
      <c r="AF1742" s="19" t="n">
        <v>1.7389</v>
      </c>
      <c r="AG1742" s="19" t="n">
        <v>0.0383</v>
      </c>
      <c r="AH1742" s="23" t="n">
        <v>1.11</v>
      </c>
      <c r="AI1742" s="23" t="n">
        <v>1</v>
      </c>
      <c r="AJ1742" s="19" t="n">
        <v>0.283</v>
      </c>
    </row>
    <row r="1743">
      <c r="A1743" s="16" t="inlineStr">
        <is>
          <t>BAJAJST</t>
        </is>
      </c>
      <c r="B1743" s="16" t="inlineStr">
        <is>
          <t>Bajaj Steel Industries Ltd.</t>
        </is>
      </c>
      <c r="C1743" s="16" t="inlineStr">
        <is>
          <t>Industrial Machinery</t>
        </is>
      </c>
      <c r="D1743" s="16" t="inlineStr">
        <is>
          <t>General Industrials</t>
        </is>
      </c>
      <c r="E1743" s="16" t="inlineStr">
        <is>
          <t>INE704G01024</t>
        </is>
      </c>
      <c r="F1743" s="17" t="n">
        <v>753.17</v>
      </c>
      <c r="G1743" s="18" t="n">
        <v>362.1</v>
      </c>
      <c r="H1743" s="19" t="n">
        <v>-0.0005999999999999999</v>
      </c>
      <c r="I1743" s="20" t="n">
        <v>11</v>
      </c>
      <c r="J1743" s="16" t="inlineStr">
        <is>
          <t>red</t>
        </is>
      </c>
      <c r="K1743" s="20" t="n">
        <v>456</v>
      </c>
      <c r="L1743" s="18" t="n">
        <v>51.78</v>
      </c>
      <c r="M1743" s="18" t="n">
        <v>355.02</v>
      </c>
      <c r="N1743" s="18" t="n">
        <v>383.31</v>
      </c>
      <c r="O1743" s="18" t="n">
        <v>426.2</v>
      </c>
      <c r="P1743" s="18" t="n">
        <v>602.6</v>
      </c>
      <c r="Q1743" s="18" t="n">
        <v>307.2</v>
      </c>
      <c r="R1743" s="21">
        <f>IF(OR(G1743="",P1743=""),"",G1743/P1743-1)</f>
        <v/>
      </c>
      <c r="S1743" s="19" t="n">
        <v>0.5027</v>
      </c>
      <c r="T1743" s="22" t="n">
        <v>-0.0451</v>
      </c>
      <c r="U1743" s="16" t="inlineStr">
        <is>
          <t>No</t>
        </is>
      </c>
      <c r="V1743" s="16" t="inlineStr">
        <is>
          <t>No</t>
        </is>
      </c>
      <c r="W1743" s="16" t="inlineStr">
        <is>
          <t>Yes</t>
        </is>
      </c>
      <c r="X1743" s="16" t="inlineStr">
        <is>
          <t>No</t>
        </is>
      </c>
      <c r="Y1743" s="20" t="n">
        <v>425</v>
      </c>
      <c r="Z1743" s="19" t="n">
        <v>-0.1006</v>
      </c>
      <c r="AA1743" s="18" t="n"/>
      <c r="AB1743" s="16" t="n"/>
      <c r="AC1743" s="16" t="inlineStr">
        <is>
          <t>No</t>
        </is>
      </c>
      <c r="AD1743" s="19" t="n"/>
      <c r="AE1743" s="19" t="n"/>
      <c r="AF1743" s="19" t="n"/>
      <c r="AG1743" s="19" t="n"/>
      <c r="AH1743" s="23" t="n"/>
      <c r="AI1743" s="23" t="n"/>
      <c r="AJ1743" s="19" t="n"/>
    </row>
    <row r="1744">
      <c r="A1744" s="16" t="inlineStr">
        <is>
          <t>EXATO</t>
        </is>
      </c>
      <c r="B1744" s="16" t="inlineStr">
        <is>
          <t>Exato Technologies Ltd.</t>
        </is>
      </c>
      <c r="C1744" s="16" t="inlineStr">
        <is>
          <t>IT Consulting &amp; Software</t>
        </is>
      </c>
      <c r="D1744" s="16" t="inlineStr">
        <is>
          <t>Software &amp; Services</t>
        </is>
      </c>
      <c r="E1744" s="16" t="inlineStr">
        <is>
          <t>INE1E4401010</t>
        </is>
      </c>
      <c r="F1744" s="17" t="n">
        <v>752.1900000000001</v>
      </c>
      <c r="G1744" s="18" t="n">
        <v>747.3</v>
      </c>
      <c r="H1744" s="19" t="n">
        <v>0.0251</v>
      </c>
      <c r="I1744" s="20" t="n">
        <v>96</v>
      </c>
      <c r="J1744" s="16" t="inlineStr">
        <is>
          <t>green</t>
        </is>
      </c>
      <c r="K1744" s="20" t="n">
        <v>41</v>
      </c>
      <c r="L1744" s="18" t="n">
        <v>64.51000000000001</v>
      </c>
      <c r="M1744" s="18" t="n">
        <v>730.09</v>
      </c>
      <c r="N1744" s="18" t="n">
        <v>590.05</v>
      </c>
      <c r="O1744" s="18" t="n"/>
      <c r="P1744" s="18" t="n">
        <v>752.75</v>
      </c>
      <c r="Q1744" s="18" t="n">
        <v>279.3</v>
      </c>
      <c r="R1744" s="21">
        <f>IF(OR(G1744="",P1744=""),"",G1744/P1744-1)</f>
        <v/>
      </c>
      <c r="S1744" s="19" t="n">
        <v>1.0418</v>
      </c>
      <c r="T1744" s="22" t="n"/>
      <c r="U1744" s="16" t="n"/>
      <c r="V1744" s="16" t="inlineStr">
        <is>
          <t>Yes</t>
        </is>
      </c>
      <c r="W1744" s="16" t="inlineStr">
        <is>
          <t>Yes</t>
        </is>
      </c>
      <c r="X1744" s="16" t="n"/>
      <c r="Y1744" s="20" t="n"/>
      <c r="Z1744" s="19" t="n"/>
      <c r="AA1744" s="18" t="n"/>
      <c r="AB1744" s="16" t="n"/>
      <c r="AC1744" s="16" t="inlineStr">
        <is>
          <t>No</t>
        </is>
      </c>
      <c r="AD1744" s="19" t="n"/>
      <c r="AE1744" s="19" t="n"/>
      <c r="AF1744" s="19" t="n"/>
      <c r="AG1744" s="19" t="n"/>
      <c r="AH1744" s="23" t="n"/>
      <c r="AI1744" s="23" t="n"/>
      <c r="AJ1744" s="19" t="n"/>
    </row>
    <row r="1745">
      <c r="A1745" s="16" t="inlineStr">
        <is>
          <t>ASAL</t>
        </is>
      </c>
      <c r="B1745" s="16" t="inlineStr">
        <is>
          <t>Automotive Stampings and Assemblies Ltd.</t>
        </is>
      </c>
      <c r="C1745" s="16" t="inlineStr">
        <is>
          <t>Auto Parts &amp; Equipment</t>
        </is>
      </c>
      <c r="D1745" s="16" t="inlineStr">
        <is>
          <t>Automobiles &amp; Auto Components</t>
        </is>
      </c>
      <c r="E1745" s="16" t="inlineStr">
        <is>
          <t>INE900C01027</t>
        </is>
      </c>
      <c r="F1745" s="17" t="n">
        <v>751.58</v>
      </c>
      <c r="G1745" s="18" t="n">
        <v>473.75</v>
      </c>
      <c r="H1745" s="19" t="n">
        <v>-0.0258</v>
      </c>
      <c r="I1745" s="20" t="n">
        <v>33</v>
      </c>
      <c r="J1745" s="16" t="inlineStr">
        <is>
          <t>red</t>
        </is>
      </c>
      <c r="K1745" s="20" t="n">
        <v>32</v>
      </c>
      <c r="L1745" s="18" t="n">
        <v>29.62</v>
      </c>
      <c r="M1745" s="18" t="n">
        <v>481.13</v>
      </c>
      <c r="N1745" s="18" t="n">
        <v>506.59</v>
      </c>
      <c r="O1745" s="18" t="n">
        <v>483.11</v>
      </c>
      <c r="P1745" s="18" t="n">
        <v>601.7</v>
      </c>
      <c r="Q1745" s="18" t="n">
        <v>377.4</v>
      </c>
      <c r="R1745" s="21">
        <f>IF(OR(G1745="",P1745=""),"",G1745/P1745-1)</f>
        <v/>
      </c>
      <c r="S1745" s="19" t="n">
        <v>1.1789</v>
      </c>
      <c r="T1745" s="22" t="n">
        <v>-0.0076</v>
      </c>
      <c r="U1745" s="16" t="inlineStr">
        <is>
          <t>No</t>
        </is>
      </c>
      <c r="V1745" s="16" t="inlineStr">
        <is>
          <t>No</t>
        </is>
      </c>
      <c r="W1745" s="16" t="inlineStr">
        <is>
          <t>No</t>
        </is>
      </c>
      <c r="X1745" s="16" t="inlineStr">
        <is>
          <t>Yes</t>
        </is>
      </c>
      <c r="Y1745" s="20" t="n">
        <v>62</v>
      </c>
      <c r="Z1745" s="19" t="n">
        <v>0.0486</v>
      </c>
      <c r="AA1745" s="18" t="n">
        <v>23.63</v>
      </c>
      <c r="AB1745" s="16" t="inlineStr">
        <is>
          <t>Poor</t>
        </is>
      </c>
      <c r="AC1745" s="16" t="inlineStr">
        <is>
          <t>No</t>
        </is>
      </c>
      <c r="AD1745" s="19" t="n">
        <v>-0.0168</v>
      </c>
      <c r="AE1745" s="19" t="n">
        <v>0.2598</v>
      </c>
      <c r="AF1745" s="19" t="n">
        <v>0.6342</v>
      </c>
      <c r="AG1745" s="19" t="n">
        <v>0.0304</v>
      </c>
      <c r="AH1745" s="23" t="n">
        <v>3.44</v>
      </c>
      <c r="AI1745" s="23" t="n">
        <v>8.57</v>
      </c>
      <c r="AJ1745" s="19" t="n">
        <v>0.0221</v>
      </c>
    </row>
    <row r="1746">
      <c r="A1746" s="16" t="inlineStr">
        <is>
          <t>SEJALLTD</t>
        </is>
      </c>
      <c r="B1746" s="16" t="inlineStr">
        <is>
          <t>Sejal Glass Ltd.</t>
        </is>
      </c>
      <c r="C1746" s="16" t="inlineStr">
        <is>
          <t>Construction Materials</t>
        </is>
      </c>
      <c r="D1746" s="16" t="inlineStr">
        <is>
          <t>Cement and Construction</t>
        </is>
      </c>
      <c r="E1746" s="16" t="inlineStr">
        <is>
          <t>INE955I01044</t>
        </is>
      </c>
      <c r="F1746" s="17" t="n">
        <v>749.55</v>
      </c>
      <c r="G1746" s="18" t="n">
        <v>657.5</v>
      </c>
      <c r="H1746" s="19" t="n">
        <v>-0.0222</v>
      </c>
      <c r="I1746" s="20" t="n">
        <v>50</v>
      </c>
      <c r="J1746" s="16" t="inlineStr">
        <is>
          <t>red</t>
        </is>
      </c>
      <c r="K1746" s="20" t="n">
        <v>31</v>
      </c>
      <c r="L1746" s="18" t="n">
        <v>42.64</v>
      </c>
      <c r="M1746" s="18" t="n">
        <v>675.24</v>
      </c>
      <c r="N1746" s="18" t="n">
        <v>715.36</v>
      </c>
      <c r="O1746" s="18" t="n">
        <v>720.4299999999999</v>
      </c>
      <c r="P1746" s="18" t="n">
        <v>987.35</v>
      </c>
      <c r="Q1746" s="18" t="n">
        <v>401.05</v>
      </c>
      <c r="R1746" s="21">
        <f>IF(OR(G1746="",P1746=""),"",G1746/P1746-1)</f>
        <v/>
      </c>
      <c r="S1746" s="19" t="n">
        <v>0.6873</v>
      </c>
      <c r="T1746" s="22" t="n">
        <v>-0.028</v>
      </c>
      <c r="U1746" s="16" t="inlineStr">
        <is>
          <t>No</t>
        </is>
      </c>
      <c r="V1746" s="16" t="inlineStr">
        <is>
          <t>No</t>
        </is>
      </c>
      <c r="W1746" s="16" t="inlineStr">
        <is>
          <t>No</t>
        </is>
      </c>
      <c r="X1746" s="16" t="inlineStr">
        <is>
          <t>No</t>
        </is>
      </c>
      <c r="Y1746" s="20" t="n">
        <v>7</v>
      </c>
      <c r="Z1746" s="19" t="n">
        <v>-0.006999999999999999</v>
      </c>
      <c r="AA1746" s="18" t="n">
        <v>51.14</v>
      </c>
      <c r="AB1746" s="16" t="inlineStr">
        <is>
          <t>Average</t>
        </is>
      </c>
      <c r="AC1746" s="16" t="inlineStr">
        <is>
          <t>No</t>
        </is>
      </c>
      <c r="AD1746" s="19" t="n">
        <v>0.1971</v>
      </c>
      <c r="AE1746" s="19" t="n">
        <v>0.1066</v>
      </c>
      <c r="AF1746" s="19" t="n">
        <v>0.2463</v>
      </c>
      <c r="AG1746" s="19" t="n">
        <v>1.2148</v>
      </c>
      <c r="AH1746" s="23" t="n">
        <v>1.34</v>
      </c>
      <c r="AI1746" s="23" t="n">
        <v>2.01</v>
      </c>
      <c r="AJ1746" s="19" t="n">
        <v>0.0873</v>
      </c>
    </row>
    <row r="1747">
      <c r="A1747" s="16" t="inlineStr">
        <is>
          <t>UPHOT</t>
        </is>
      </c>
      <c r="B1747" s="16" t="inlineStr">
        <is>
          <t>U P Hotels Ltd.</t>
        </is>
      </c>
      <c r="C1747" s="16" t="inlineStr">
        <is>
          <t>Hotels</t>
        </is>
      </c>
      <c r="D1747" s="16" t="inlineStr">
        <is>
          <t>Hotels Restaurants &amp; Tourism</t>
        </is>
      </c>
      <c r="E1747" s="16" t="inlineStr">
        <is>
          <t>INE726E01014</t>
        </is>
      </c>
      <c r="F1747" s="17" t="n">
        <v>749.52</v>
      </c>
      <c r="G1747" s="18" t="n">
        <v>1388</v>
      </c>
      <c r="H1747" s="19" t="n">
        <v>-0.0225</v>
      </c>
      <c r="I1747" s="20" t="n">
        <v>24</v>
      </c>
      <c r="J1747" s="16" t="inlineStr">
        <is>
          <t>red</t>
        </is>
      </c>
      <c r="K1747" s="20" t="n">
        <v>113</v>
      </c>
      <c r="L1747" s="18" t="n">
        <v>48.25</v>
      </c>
      <c r="M1747" s="18" t="n">
        <v>1377.37</v>
      </c>
      <c r="N1747" s="18" t="n">
        <v>1407.12</v>
      </c>
      <c r="O1747" s="18" t="n">
        <v>1444.85</v>
      </c>
      <c r="P1747" s="18" t="n">
        <v>1820</v>
      </c>
      <c r="Q1747" s="18" t="n">
        <v>1320</v>
      </c>
      <c r="R1747" s="21">
        <f>IF(OR(G1747="",P1747=""),"",G1747/P1747-1)</f>
        <v/>
      </c>
      <c r="S1747" s="19" t="n">
        <v>0.1238</v>
      </c>
      <c r="T1747" s="22" t="n">
        <v>-0.0134</v>
      </c>
      <c r="U1747" s="16" t="inlineStr">
        <is>
          <t>No</t>
        </is>
      </c>
      <c r="V1747" s="16" t="inlineStr">
        <is>
          <t>No</t>
        </is>
      </c>
      <c r="W1747" s="16" t="inlineStr">
        <is>
          <t>Yes</t>
        </is>
      </c>
      <c r="X1747" s="16" t="inlineStr">
        <is>
          <t>No</t>
        </is>
      </c>
      <c r="Y1747" s="20" t="n">
        <v>224</v>
      </c>
      <c r="Z1747" s="19" t="n">
        <v>-0.0261</v>
      </c>
      <c r="AA1747" s="18" t="n"/>
      <c r="AB1747" s="16" t="n"/>
      <c r="AC1747" s="16" t="inlineStr">
        <is>
          <t>No</t>
        </is>
      </c>
      <c r="AD1747" s="19" t="n"/>
      <c r="AE1747" s="19" t="n"/>
      <c r="AF1747" s="19" t="n"/>
      <c r="AG1747" s="19" t="n"/>
      <c r="AH1747" s="23" t="n"/>
      <c r="AI1747" s="23" t="n"/>
      <c r="AJ1747" s="19" t="n"/>
    </row>
    <row r="1748">
      <c r="A1748" s="16" t="inlineStr">
        <is>
          <t>SUNLITE</t>
        </is>
      </c>
      <c r="B1748" s="16" t="inlineStr">
        <is>
          <t>Sunlite Recycling Industries Ltd.</t>
        </is>
      </c>
      <c r="C1748" s="16" t="inlineStr">
        <is>
          <t>Copper</t>
        </is>
      </c>
      <c r="D1748" s="16" t="inlineStr">
        <is>
          <t>Metals &amp; Mining</t>
        </is>
      </c>
      <c r="E1748" s="16" t="inlineStr">
        <is>
          <t>INE0U2N01013</t>
        </is>
      </c>
      <c r="F1748" s="17" t="n">
        <v>748.96</v>
      </c>
      <c r="G1748" s="18" t="n"/>
      <c r="H1748" s="19" t="n"/>
      <c r="I1748" s="20" t="n"/>
      <c r="J1748" s="16" t="n"/>
      <c r="K1748" s="20" t="n"/>
      <c r="L1748" s="18" t="n"/>
      <c r="M1748" s="18" t="n"/>
      <c r="N1748" s="18" t="n"/>
      <c r="O1748" s="18" t="n"/>
      <c r="P1748" s="18" t="n"/>
      <c r="Q1748" s="18" t="n"/>
      <c r="R1748" s="21">
        <f>IF(OR(G1748="",P1748=""),"",G1748/P1748-1)</f>
        <v/>
      </c>
      <c r="S1748" s="19" t="n"/>
      <c r="T1748" s="22" t="n"/>
      <c r="U1748" s="16" t="n"/>
      <c r="V1748" s="16" t="n"/>
      <c r="W1748" s="16" t="n"/>
      <c r="X1748" s="16" t="n"/>
      <c r="Y1748" s="20" t="n"/>
      <c r="Z1748" s="19" t="n"/>
      <c r="AA1748" s="18" t="n"/>
      <c r="AB1748" s="16" t="n"/>
      <c r="AC1748" s="16" t="inlineStr">
        <is>
          <t>No</t>
        </is>
      </c>
      <c r="AD1748" s="19" t="n"/>
      <c r="AE1748" s="19" t="n"/>
      <c r="AF1748" s="19" t="n"/>
      <c r="AG1748" s="19" t="n"/>
      <c r="AH1748" s="23" t="n"/>
      <c r="AI1748" s="23" t="n"/>
      <c r="AJ1748" s="19" t="n"/>
    </row>
    <row r="1749">
      <c r="A1749" s="16" t="inlineStr">
        <is>
          <t>JAGAJITIND</t>
        </is>
      </c>
      <c r="B1749" s="16" t="inlineStr">
        <is>
          <t>Jagatjit Industries Ltd.</t>
        </is>
      </c>
      <c r="C1749" s="16" t="inlineStr">
        <is>
          <t>Breweries &amp; Distilleries</t>
        </is>
      </c>
      <c r="D1749" s="16" t="inlineStr">
        <is>
          <t>Food, Beverages &amp; Tobacco</t>
        </is>
      </c>
      <c r="E1749" s="16" t="inlineStr">
        <is>
          <t>INE574A01016</t>
        </is>
      </c>
      <c r="F1749" s="17" t="n">
        <v>748.75</v>
      </c>
      <c r="G1749" s="18" t="n">
        <v>160.05</v>
      </c>
      <c r="H1749" s="19" t="n">
        <v>-0.0102</v>
      </c>
      <c r="I1749" s="20" t="n">
        <v>51</v>
      </c>
      <c r="J1749" s="16" t="inlineStr">
        <is>
          <t>red</t>
        </is>
      </c>
      <c r="K1749" s="20" t="n">
        <v>6</v>
      </c>
      <c r="L1749" s="18" t="n">
        <v>44.24</v>
      </c>
      <c r="M1749" s="18" t="n">
        <v>166.88</v>
      </c>
      <c r="N1749" s="18" t="n">
        <v>146.89</v>
      </c>
      <c r="O1749" s="18" t="n">
        <v>140.14</v>
      </c>
      <c r="P1749" s="18" t="n">
        <v>238.1</v>
      </c>
      <c r="Q1749" s="18" t="n">
        <v>119.55</v>
      </c>
      <c r="R1749" s="21">
        <f>IF(OR(G1749="",P1749=""),"",G1749/P1749-1)</f>
        <v/>
      </c>
      <c r="S1749" s="19" t="n">
        <v>0.3662</v>
      </c>
      <c r="T1749" s="22" t="n">
        <v>-0.0181</v>
      </c>
      <c r="U1749" s="16" t="inlineStr">
        <is>
          <t>No</t>
        </is>
      </c>
      <c r="V1749" s="16" t="inlineStr">
        <is>
          <t>Yes</t>
        </is>
      </c>
      <c r="W1749" s="16" t="inlineStr">
        <is>
          <t>No</t>
        </is>
      </c>
      <c r="X1749" s="16" t="inlineStr">
        <is>
          <t>Yes</t>
        </is>
      </c>
      <c r="Y1749" s="20" t="n">
        <v>11</v>
      </c>
      <c r="Z1749" s="19" t="n">
        <v>0.0482</v>
      </c>
      <c r="AA1749" s="18" t="n"/>
      <c r="AB1749" s="16" t="n"/>
      <c r="AC1749" s="16" t="inlineStr">
        <is>
          <t>No</t>
        </is>
      </c>
      <c r="AD1749" s="19" t="n"/>
      <c r="AE1749" s="19" t="n"/>
      <c r="AF1749" s="19" t="n"/>
      <c r="AG1749" s="19" t="n"/>
      <c r="AH1749" s="23" t="n"/>
      <c r="AI1749" s="23" t="n"/>
      <c r="AJ1749" s="19" t="n"/>
    </row>
    <row r="1750">
      <c r="A1750" s="16" t="inlineStr">
        <is>
          <t>MODIS</t>
        </is>
      </c>
      <c r="B1750" s="16" t="inlineStr">
        <is>
          <t>Modis Navnirman Ltd.</t>
        </is>
      </c>
      <c r="C1750" s="16" t="inlineStr">
        <is>
          <t>Realty</t>
        </is>
      </c>
      <c r="D1750" s="16" t="inlineStr">
        <is>
          <t>Realty</t>
        </is>
      </c>
      <c r="E1750" s="16" t="inlineStr">
        <is>
          <t>INE0L0L01012</t>
        </is>
      </c>
      <c r="F1750" s="17" t="n">
        <v>746.13</v>
      </c>
      <c r="G1750" s="18" t="n">
        <v>380.85</v>
      </c>
      <c r="H1750" s="19" t="n">
        <v>0.0046</v>
      </c>
      <c r="I1750" s="20" t="n">
        <v>58</v>
      </c>
      <c r="J1750" s="16" t="inlineStr">
        <is>
          <t>red</t>
        </is>
      </c>
      <c r="K1750" s="20" t="n">
        <v>7</v>
      </c>
      <c r="L1750" s="18" t="n">
        <v>31</v>
      </c>
      <c r="M1750" s="18" t="n">
        <v>381.72</v>
      </c>
      <c r="N1750" s="18" t="n">
        <v>377.94</v>
      </c>
      <c r="O1750" s="18" t="n">
        <v>346.06</v>
      </c>
      <c r="P1750" s="18" t="n">
        <v>415.6</v>
      </c>
      <c r="Q1750" s="18" t="n">
        <v>290.3</v>
      </c>
      <c r="R1750" s="21">
        <f>IF(OR(G1750="",P1750=""),"",G1750/P1750-1)</f>
        <v/>
      </c>
      <c r="S1750" s="19" t="n">
        <v>0.1451</v>
      </c>
      <c r="T1750" s="22" t="n"/>
      <c r="U1750" s="16" t="n"/>
      <c r="V1750" s="16" t="inlineStr">
        <is>
          <t>Yes</t>
        </is>
      </c>
      <c r="W1750" s="16" t="inlineStr">
        <is>
          <t>No</t>
        </is>
      </c>
      <c r="X1750" s="16" t="inlineStr">
        <is>
          <t>Yes</t>
        </is>
      </c>
      <c r="Y1750" s="20" t="n">
        <v>3</v>
      </c>
      <c r="Z1750" s="19" t="n">
        <v>0.09210000000000002</v>
      </c>
      <c r="AA1750" s="18" t="n">
        <v>75.77</v>
      </c>
      <c r="AB1750" s="16" t="inlineStr">
        <is>
          <t>High</t>
        </is>
      </c>
      <c r="AC1750" s="16" t="inlineStr">
        <is>
          <t>No</t>
        </is>
      </c>
      <c r="AD1750" s="19" t="n">
        <v>0.1456</v>
      </c>
      <c r="AE1750" s="19" t="n">
        <v>0.1778</v>
      </c>
      <c r="AF1750" s="19" t="n">
        <v>0.8843000000000001</v>
      </c>
      <c r="AG1750" s="19" t="n">
        <v>0.7044</v>
      </c>
      <c r="AH1750" s="23" t="n">
        <v>0.04</v>
      </c>
      <c r="AI1750" s="23" t="n">
        <v>326.4</v>
      </c>
      <c r="AJ1750" s="19" t="n">
        <v>0</v>
      </c>
    </row>
    <row r="1751">
      <c r="A1751" s="16" t="inlineStr">
        <is>
          <t>EMKAY</t>
        </is>
      </c>
      <c r="B1751" s="16" t="inlineStr">
        <is>
          <t>Emkay Global Financial Services Ltd.</t>
        </is>
      </c>
      <c r="C1751" s="16" t="inlineStr">
        <is>
          <t>Capital Markets</t>
        </is>
      </c>
      <c r="D1751" s="16" t="inlineStr">
        <is>
          <t>Banking and Finance</t>
        </is>
      </c>
      <c r="E1751" s="16" t="inlineStr">
        <is>
          <t>INE296H01011</t>
        </is>
      </c>
      <c r="F1751" s="17" t="n">
        <v>739.63</v>
      </c>
      <c r="G1751" s="18" t="n">
        <v>267.25</v>
      </c>
      <c r="H1751" s="19" t="n">
        <v>0.0369</v>
      </c>
      <c r="I1751" s="20" t="n">
        <v>47</v>
      </c>
      <c r="J1751" s="16" t="inlineStr">
        <is>
          <t>red</t>
        </is>
      </c>
      <c r="K1751" s="20" t="n">
        <v>40</v>
      </c>
      <c r="L1751" s="18" t="n">
        <v>74.47</v>
      </c>
      <c r="M1751" s="18" t="n">
        <v>254.02</v>
      </c>
      <c r="N1751" s="18" t="n">
        <v>248.55</v>
      </c>
      <c r="O1751" s="18" t="n">
        <v>248.95</v>
      </c>
      <c r="P1751" s="18" t="n">
        <v>377.19</v>
      </c>
      <c r="Q1751" s="18" t="n">
        <v>187.14</v>
      </c>
      <c r="R1751" s="21">
        <f>IF(OR(G1751="",P1751=""),"",G1751/P1751-1)</f>
        <v/>
      </c>
      <c r="S1751" s="19" t="n">
        <v>1.6008</v>
      </c>
      <c r="T1751" s="22" t="n">
        <v>-0.0254</v>
      </c>
      <c r="U1751" s="16" t="inlineStr">
        <is>
          <t>No</t>
        </is>
      </c>
      <c r="V1751" s="16" t="inlineStr">
        <is>
          <t>Yes</t>
        </is>
      </c>
      <c r="W1751" s="16" t="inlineStr">
        <is>
          <t>Yes</t>
        </is>
      </c>
      <c r="X1751" s="16" t="inlineStr">
        <is>
          <t>No</t>
        </is>
      </c>
      <c r="Y1751" s="20" t="n">
        <v>3</v>
      </c>
      <c r="Z1751" s="19" t="n">
        <v>-0.0016</v>
      </c>
      <c r="AA1751" s="18" t="n">
        <v>61.01</v>
      </c>
      <c r="AB1751" s="16" t="inlineStr">
        <is>
          <t>Good</t>
        </is>
      </c>
      <c r="AC1751" s="16" t="inlineStr">
        <is>
          <t>Yes</t>
        </is>
      </c>
      <c r="AD1751" s="19" t="n">
        <v>0.1207</v>
      </c>
      <c r="AE1751" s="19" t="n">
        <v>0.1365</v>
      </c>
      <c r="AF1751" s="19" t="n">
        <v>0.4056</v>
      </c>
      <c r="AG1751" s="19" t="n">
        <v>0.22</v>
      </c>
      <c r="AH1751" s="23" t="n">
        <v>0.26</v>
      </c>
      <c r="AI1751" s="23" t="n">
        <v>8.82</v>
      </c>
      <c r="AJ1751" s="19" t="n">
        <v>0.008100000000000001</v>
      </c>
    </row>
    <row r="1752">
      <c r="A1752" s="16" t="inlineStr">
        <is>
          <t>KELLTONTEC</t>
        </is>
      </c>
      <c r="B1752" s="16" t="inlineStr">
        <is>
          <t>Kellton Tech Solutions Ltd.</t>
        </is>
      </c>
      <c r="C1752" s="16" t="inlineStr">
        <is>
          <t>IT Consulting &amp; Software</t>
        </is>
      </c>
      <c r="D1752" s="16" t="inlineStr">
        <is>
          <t>Software &amp; Services</t>
        </is>
      </c>
      <c r="E1752" s="16" t="inlineStr">
        <is>
          <t>INE164B01030</t>
        </is>
      </c>
      <c r="F1752" s="17" t="n">
        <v>737.0599999999999</v>
      </c>
      <c r="G1752" s="18" t="n">
        <v>13.87</v>
      </c>
      <c r="H1752" s="19" t="n">
        <v>-0.0086</v>
      </c>
      <c r="I1752" s="20" t="n">
        <v>7</v>
      </c>
      <c r="J1752" s="16" t="inlineStr">
        <is>
          <t>red</t>
        </is>
      </c>
      <c r="K1752" s="20" t="n">
        <v>271</v>
      </c>
      <c r="L1752" s="18" t="n">
        <v>54.07</v>
      </c>
      <c r="M1752" s="18" t="n">
        <v>14.17</v>
      </c>
      <c r="N1752" s="18" t="n">
        <v>14.4</v>
      </c>
      <c r="O1752" s="18" t="n">
        <v>16.2</v>
      </c>
      <c r="P1752" s="18" t="n">
        <v>27.6</v>
      </c>
      <c r="Q1752" s="18" t="n">
        <v>13.24</v>
      </c>
      <c r="R1752" s="21">
        <f>IF(OR(G1752="",P1752=""),"",G1752/P1752-1)</f>
        <v/>
      </c>
      <c r="S1752" s="19" t="n">
        <v>0.535</v>
      </c>
      <c r="T1752" s="22" t="n">
        <v>-0.0429</v>
      </c>
      <c r="U1752" s="16" t="inlineStr">
        <is>
          <t>No</t>
        </is>
      </c>
      <c r="V1752" s="16" t="inlineStr">
        <is>
          <t>No</t>
        </is>
      </c>
      <c r="W1752" s="16" t="inlineStr">
        <is>
          <t>No</t>
        </is>
      </c>
      <c r="X1752" s="16" t="inlineStr">
        <is>
          <t>No</t>
        </is>
      </c>
      <c r="Y1752" s="20" t="n">
        <v>225</v>
      </c>
      <c r="Z1752" s="19" t="n">
        <v>-0.1109</v>
      </c>
      <c r="AA1752" s="18" t="n">
        <v>60.03</v>
      </c>
      <c r="AB1752" s="16" t="inlineStr">
        <is>
          <t>Good</t>
        </is>
      </c>
      <c r="AC1752" s="16" t="inlineStr">
        <is>
          <t>No</t>
        </is>
      </c>
      <c r="AD1752" s="19" t="n">
        <v>0.1356</v>
      </c>
      <c r="AE1752" s="19" t="n">
        <v>0.144</v>
      </c>
      <c r="AF1752" s="19" t="n">
        <v>0.6135</v>
      </c>
      <c r="AG1752" s="19" t="n">
        <v>0.099</v>
      </c>
      <c r="AH1752" s="23" t="n">
        <v>0.24</v>
      </c>
      <c r="AI1752" s="23" t="n">
        <v>6.62</v>
      </c>
      <c r="AJ1752" s="19" t="n">
        <v>0.8954000000000001</v>
      </c>
    </row>
    <row r="1753">
      <c r="A1753" s="16" t="inlineStr">
        <is>
          <t>APSISAERO</t>
        </is>
      </c>
      <c r="B1753" s="16" t="inlineStr">
        <is>
          <t>Apsis Aerocom Ltd.</t>
        </is>
      </c>
      <c r="C1753" s="16" t="inlineStr">
        <is>
          <t>Industrial Machinery</t>
        </is>
      </c>
      <c r="D1753" s="16" t="inlineStr">
        <is>
          <t>General Industrials</t>
        </is>
      </c>
      <c r="E1753" s="16" t="inlineStr">
        <is>
          <t>INE1OOJ01011</t>
        </is>
      </c>
      <c r="F1753" s="17" t="n">
        <v>736.73</v>
      </c>
      <c r="G1753" s="18" t="n"/>
      <c r="H1753" s="19" t="n"/>
      <c r="I1753" s="20" t="n"/>
      <c r="J1753" s="16" t="n"/>
      <c r="K1753" s="20" t="n"/>
      <c r="L1753" s="18" t="n"/>
      <c r="M1753" s="18" t="n"/>
      <c r="N1753" s="18" t="n"/>
      <c r="O1753" s="18" t="n"/>
      <c r="P1753" s="18" t="n"/>
      <c r="Q1753" s="18" t="n"/>
      <c r="R1753" s="21">
        <f>IF(OR(G1753="",P1753=""),"",G1753/P1753-1)</f>
        <v/>
      </c>
      <c r="S1753" s="19" t="n"/>
      <c r="T1753" s="22" t="n"/>
      <c r="U1753" s="16" t="n"/>
      <c r="V1753" s="16" t="n"/>
      <c r="W1753" s="16" t="n"/>
      <c r="X1753" s="16" t="n"/>
      <c r="Y1753" s="20" t="n"/>
      <c r="Z1753" s="19" t="n"/>
      <c r="AA1753" s="18" t="n"/>
      <c r="AB1753" s="16" t="n"/>
      <c r="AC1753" s="16" t="inlineStr">
        <is>
          <t>No</t>
        </is>
      </c>
      <c r="AD1753" s="19" t="n"/>
      <c r="AE1753" s="19" t="n"/>
      <c r="AF1753" s="19" t="n"/>
      <c r="AG1753" s="19" t="n"/>
      <c r="AH1753" s="23" t="n"/>
      <c r="AI1753" s="23" t="n"/>
      <c r="AJ1753" s="19" t="n"/>
    </row>
    <row r="1754">
      <c r="A1754" s="16" t="inlineStr">
        <is>
          <t>TUTIALKA</t>
        </is>
      </c>
      <c r="B1754" s="16" t="inlineStr">
        <is>
          <t>Tuticorin Alkali Chemicals &amp; Fertilizers Ltd.</t>
        </is>
      </c>
      <c r="C1754" s="16" t="inlineStr">
        <is>
          <t>Commodity Chemicals</t>
        </is>
      </c>
      <c r="D1754" s="16" t="inlineStr">
        <is>
          <t>Chemicals &amp; Petrochemicals</t>
        </is>
      </c>
      <c r="E1754" s="16" t="inlineStr">
        <is>
          <t>INE400A01014</t>
        </is>
      </c>
      <c r="F1754" s="17" t="n">
        <v>735.89</v>
      </c>
      <c r="G1754" s="18" t="n">
        <v>60.4</v>
      </c>
      <c r="H1754" s="19" t="n">
        <v>-0.0179</v>
      </c>
      <c r="I1754" s="20" t="n">
        <v>50</v>
      </c>
      <c r="J1754" s="16" t="inlineStr">
        <is>
          <t>red</t>
        </is>
      </c>
      <c r="K1754" s="20" t="n">
        <v>34</v>
      </c>
      <c r="L1754" s="18" t="n">
        <v>61.33</v>
      </c>
      <c r="M1754" s="18" t="n">
        <v>60.06</v>
      </c>
      <c r="N1754" s="18" t="n">
        <v>59.48</v>
      </c>
      <c r="O1754" s="18" t="n">
        <v>54.05</v>
      </c>
      <c r="P1754" s="18" t="n">
        <v>77.5</v>
      </c>
      <c r="Q1754" s="18" t="n">
        <v>42.2</v>
      </c>
      <c r="R1754" s="21">
        <f>IF(OR(G1754="",P1754=""),"",G1754/P1754-1)</f>
        <v/>
      </c>
      <c r="S1754" s="19" t="n">
        <v>0.5600999999999999</v>
      </c>
      <c r="T1754" s="22" t="n">
        <v>-0.0185</v>
      </c>
      <c r="U1754" s="16" t="inlineStr">
        <is>
          <t>No</t>
        </is>
      </c>
      <c r="V1754" s="16" t="inlineStr">
        <is>
          <t>Yes</t>
        </is>
      </c>
      <c r="W1754" s="16" t="inlineStr">
        <is>
          <t>Yes</t>
        </is>
      </c>
      <c r="X1754" s="16" t="inlineStr">
        <is>
          <t>Yes</t>
        </is>
      </c>
      <c r="Y1754" s="20" t="n">
        <v>38</v>
      </c>
      <c r="Z1754" s="19" t="n">
        <v>0.1004</v>
      </c>
      <c r="AA1754" s="18" t="n"/>
      <c r="AB1754" s="16" t="n"/>
      <c r="AC1754" s="16" t="inlineStr">
        <is>
          <t>No</t>
        </is>
      </c>
      <c r="AD1754" s="19" t="n"/>
      <c r="AE1754" s="19" t="n"/>
      <c r="AF1754" s="19" t="n"/>
      <c r="AG1754" s="19" t="n"/>
      <c r="AH1754" s="23" t="n"/>
      <c r="AI1754" s="23" t="n"/>
      <c r="AJ1754" s="19" t="n"/>
    </row>
    <row r="1755">
      <c r="A1755" s="16" t="inlineStr">
        <is>
          <t>DENTA</t>
        </is>
      </c>
      <c r="B1755" s="16" t="inlineStr">
        <is>
          <t>Denta Water and Infra Solutions Ltd.</t>
        </is>
      </c>
      <c r="C1755" s="16" t="inlineStr">
        <is>
          <t>Utilities:Non-Electrical</t>
        </is>
      </c>
      <c r="D1755" s="16" t="inlineStr">
        <is>
          <t>Utilities</t>
        </is>
      </c>
      <c r="E1755" s="16" t="inlineStr">
        <is>
          <t>INE0R4L01018</t>
        </is>
      </c>
      <c r="F1755" s="17" t="n">
        <v>735.1799999999999</v>
      </c>
      <c r="G1755" s="18" t="n">
        <v>275.35</v>
      </c>
      <c r="H1755" s="19" t="n">
        <v>0.0183</v>
      </c>
      <c r="I1755" s="20" t="n">
        <v>33</v>
      </c>
      <c r="J1755" s="16" t="inlineStr">
        <is>
          <t>red</t>
        </is>
      </c>
      <c r="K1755" s="20" t="n">
        <v>19</v>
      </c>
      <c r="L1755" s="18" t="n">
        <v>34.19</v>
      </c>
      <c r="M1755" s="18" t="n">
        <v>276.67</v>
      </c>
      <c r="N1755" s="18" t="n">
        <v>320.34</v>
      </c>
      <c r="O1755" s="18" t="n">
        <v>294.69</v>
      </c>
      <c r="P1755" s="18" t="n">
        <v>467.65</v>
      </c>
      <c r="Q1755" s="18" t="n">
        <v>224.45</v>
      </c>
      <c r="R1755" s="21">
        <f>IF(OR(G1755="",P1755=""),"",G1755/P1755-1)</f>
        <v/>
      </c>
      <c r="S1755" s="19" t="n">
        <v>0.2426</v>
      </c>
      <c r="T1755" s="22" t="n">
        <v>-0.0369</v>
      </c>
      <c r="U1755" s="16" t="inlineStr">
        <is>
          <t>No</t>
        </is>
      </c>
      <c r="V1755" s="16" t="inlineStr">
        <is>
          <t>No</t>
        </is>
      </c>
      <c r="W1755" s="16" t="inlineStr">
        <is>
          <t>No</t>
        </is>
      </c>
      <c r="X1755" s="16" t="inlineStr">
        <is>
          <t>Yes</t>
        </is>
      </c>
      <c r="Y1755" s="20" t="n">
        <v>24</v>
      </c>
      <c r="Z1755" s="19" t="n">
        <v>0.08699999999999999</v>
      </c>
      <c r="AA1755" s="18" t="n">
        <v>69.70999999999999</v>
      </c>
      <c r="AB1755" s="16" t="inlineStr">
        <is>
          <t>High</t>
        </is>
      </c>
      <c r="AC1755" s="16" t="inlineStr">
        <is>
          <t>No</t>
        </is>
      </c>
      <c r="AD1755" s="19" t="n">
        <v>0.2101</v>
      </c>
      <c r="AE1755" s="19" t="n">
        <v>0.2826</v>
      </c>
      <c r="AF1755" s="19" t="n">
        <v>0.0767</v>
      </c>
      <c r="AG1755" s="19" t="n">
        <v>0.152</v>
      </c>
      <c r="AH1755" s="23" t="n">
        <v>0.03</v>
      </c>
      <c r="AI1755" s="23" t="n">
        <v>10.35</v>
      </c>
      <c r="AJ1755" s="19" t="n">
        <v>0</v>
      </c>
    </row>
    <row r="1756">
      <c r="A1756" s="16" t="inlineStr">
        <is>
          <t>KARNIKA</t>
        </is>
      </c>
      <c r="B1756" s="16" t="inlineStr">
        <is>
          <t>Karnika Industries Ltd.</t>
        </is>
      </c>
      <c r="C1756" s="16" t="inlineStr">
        <is>
          <t>Other Apparels &amp; Accessories</t>
        </is>
      </c>
      <c r="D1756" s="16" t="inlineStr">
        <is>
          <t>Textiles Apparels &amp; Accessories</t>
        </is>
      </c>
      <c r="E1756" s="16" t="inlineStr">
        <is>
          <t>INE0MGA01012</t>
        </is>
      </c>
      <c r="F1756" s="17" t="n">
        <v>733.4299999999999</v>
      </c>
      <c r="G1756" s="18" t="n">
        <v>118.3</v>
      </c>
      <c r="H1756" s="19" t="n">
        <v>0.0238</v>
      </c>
      <c r="I1756" s="20" t="n">
        <v>13</v>
      </c>
      <c r="J1756" s="16" t="inlineStr">
        <is>
          <t>red</t>
        </is>
      </c>
      <c r="K1756" s="20" t="n">
        <v>260</v>
      </c>
      <c r="L1756" s="18" t="n">
        <v>61.61</v>
      </c>
      <c r="M1756" s="18" t="n">
        <v>115.33</v>
      </c>
      <c r="N1756" s="18" t="n">
        <v>115.96</v>
      </c>
      <c r="O1756" s="18" t="n">
        <v>123.68</v>
      </c>
      <c r="P1756" s="18" t="n">
        <v>202.86</v>
      </c>
      <c r="Q1756" s="18" t="n">
        <v>96.90000000000001</v>
      </c>
      <c r="R1756" s="21">
        <f>IF(OR(G1756="",P1756=""),"",G1756/P1756-1)</f>
        <v/>
      </c>
      <c r="S1756" s="19" t="n">
        <v>1.1174</v>
      </c>
      <c r="T1756" s="22" t="n">
        <v>-0.0364</v>
      </c>
      <c r="U1756" s="16" t="inlineStr">
        <is>
          <t>No</t>
        </is>
      </c>
      <c r="V1756" s="16" t="inlineStr">
        <is>
          <t>Yes</t>
        </is>
      </c>
      <c r="W1756" s="16" t="inlineStr">
        <is>
          <t>Yes</t>
        </is>
      </c>
      <c r="X1756" s="16" t="inlineStr">
        <is>
          <t>No</t>
        </is>
      </c>
      <c r="Y1756" s="20" t="n">
        <v>244</v>
      </c>
      <c r="Z1756" s="19" t="n">
        <v>-0.0624</v>
      </c>
      <c r="AA1756" s="18" t="n"/>
      <c r="AB1756" s="16" t="n"/>
      <c r="AC1756" s="16" t="inlineStr">
        <is>
          <t>No</t>
        </is>
      </c>
      <c r="AD1756" s="19" t="n"/>
      <c r="AE1756" s="19" t="n"/>
      <c r="AF1756" s="19" t="n"/>
      <c r="AG1756" s="19" t="n"/>
      <c r="AH1756" s="23" t="n"/>
      <c r="AI1756" s="23" t="n"/>
      <c r="AJ1756" s="19" t="n"/>
    </row>
    <row r="1757">
      <c r="A1757" s="16" t="inlineStr">
        <is>
          <t>RAJPALAYAM</t>
        </is>
      </c>
      <c r="B1757" s="16" t="inlineStr">
        <is>
          <t>Rajapalayam Mills Ltd.</t>
        </is>
      </c>
      <c r="C1757" s="16" t="inlineStr">
        <is>
          <t>Textiles</t>
        </is>
      </c>
      <c r="D1757" s="16" t="inlineStr">
        <is>
          <t>Textiles Apparels &amp; Accessories</t>
        </is>
      </c>
      <c r="E1757" s="16" t="inlineStr">
        <is>
          <t>INE296E01026</t>
        </is>
      </c>
      <c r="F1757" s="17" t="n">
        <v>732.96</v>
      </c>
      <c r="G1757" s="18" t="n">
        <v>794.95</v>
      </c>
      <c r="H1757" s="19" t="n">
        <v>-0.0003</v>
      </c>
      <c r="I1757" s="20" t="n">
        <v>33</v>
      </c>
      <c r="J1757" s="16" t="inlineStr">
        <is>
          <t>red</t>
        </is>
      </c>
      <c r="K1757" s="20" t="n">
        <v>111</v>
      </c>
      <c r="L1757" s="18" t="n">
        <v>36.43</v>
      </c>
      <c r="M1757" s="18" t="n">
        <v>810.59</v>
      </c>
      <c r="N1757" s="18" t="n">
        <v>821.16</v>
      </c>
      <c r="O1757" s="18" t="n">
        <v>809.52</v>
      </c>
      <c r="P1757" s="18" t="n">
        <v>912.4</v>
      </c>
      <c r="Q1757" s="18" t="n">
        <v>710.17</v>
      </c>
      <c r="R1757" s="21">
        <f>IF(OR(G1757="",P1757=""),"",G1757/P1757-1)</f>
        <v/>
      </c>
      <c r="S1757" s="19" t="n">
        <v>0.1297</v>
      </c>
      <c r="T1757" s="22" t="n">
        <v>-0.005600000000000001</v>
      </c>
      <c r="U1757" s="16" t="inlineStr">
        <is>
          <t>No</t>
        </is>
      </c>
      <c r="V1757" s="16" t="inlineStr">
        <is>
          <t>No</t>
        </is>
      </c>
      <c r="W1757" s="16" t="inlineStr">
        <is>
          <t>No</t>
        </is>
      </c>
      <c r="X1757" s="16" t="inlineStr">
        <is>
          <t>Yes</t>
        </is>
      </c>
      <c r="Y1757" s="20" t="n">
        <v>39</v>
      </c>
      <c r="Z1757" s="19" t="n">
        <v>0.0144</v>
      </c>
      <c r="AA1757" s="18" t="n"/>
      <c r="AB1757" s="16" t="n"/>
      <c r="AC1757" s="16" t="inlineStr">
        <is>
          <t>No</t>
        </is>
      </c>
      <c r="AD1757" s="19" t="n"/>
      <c r="AE1757" s="19" t="n"/>
      <c r="AF1757" s="19" t="n"/>
      <c r="AG1757" s="19" t="n"/>
      <c r="AH1757" s="23" t="n"/>
      <c r="AI1757" s="23" t="n"/>
      <c r="AJ1757" s="19" t="n"/>
    </row>
    <row r="1758">
      <c r="A1758" s="16" t="inlineStr">
        <is>
          <t>DMCC</t>
        </is>
      </c>
      <c r="B1758" s="16" t="inlineStr">
        <is>
          <t>DMCC Speciality Chemicals Ltd.</t>
        </is>
      </c>
      <c r="C1758" s="16" t="inlineStr">
        <is>
          <t>Commodity Chemicals</t>
        </is>
      </c>
      <c r="D1758" s="16" t="inlineStr">
        <is>
          <t>Chemicals &amp; Petrochemicals</t>
        </is>
      </c>
      <c r="E1758" s="16" t="inlineStr">
        <is>
          <t>INE505A01010</t>
        </is>
      </c>
      <c r="F1758" s="17" t="n">
        <v>731.61</v>
      </c>
      <c r="G1758" s="18" t="n">
        <v>293.35</v>
      </c>
      <c r="H1758" s="19" t="n">
        <v>-0.0073</v>
      </c>
      <c r="I1758" s="20" t="n">
        <v>61</v>
      </c>
      <c r="J1758" s="16" t="inlineStr">
        <is>
          <t>amber</t>
        </is>
      </c>
      <c r="K1758" s="20" t="n">
        <v>3</v>
      </c>
      <c r="L1758" s="18" t="n">
        <v>51.43</v>
      </c>
      <c r="M1758" s="18" t="n">
        <v>290.82</v>
      </c>
      <c r="N1758" s="18" t="n">
        <v>274.54</v>
      </c>
      <c r="O1758" s="18" t="n">
        <v>254.87</v>
      </c>
      <c r="P1758" s="18" t="n">
        <v>319.89</v>
      </c>
      <c r="Q1758" s="18" t="n">
        <v>195.84</v>
      </c>
      <c r="R1758" s="21">
        <f>IF(OR(G1758="",P1758=""),"",G1758/P1758-1)</f>
        <v/>
      </c>
      <c r="S1758" s="19" t="n">
        <v>0.3574</v>
      </c>
      <c r="T1758" s="22" t="n">
        <v>-0.0012</v>
      </c>
      <c r="U1758" s="16" t="inlineStr">
        <is>
          <t>No</t>
        </is>
      </c>
      <c r="V1758" s="16" t="inlineStr">
        <is>
          <t>Yes</t>
        </is>
      </c>
      <c r="W1758" s="16" t="inlineStr">
        <is>
          <t>Yes</t>
        </is>
      </c>
      <c r="X1758" s="16" t="inlineStr">
        <is>
          <t>Yes</t>
        </is>
      </c>
      <c r="Y1758" s="20" t="n">
        <v>63</v>
      </c>
      <c r="Z1758" s="19" t="n">
        <v>0.07719999999999999</v>
      </c>
      <c r="AA1758" s="18" t="n">
        <v>46.28</v>
      </c>
      <c r="AB1758" s="16" t="inlineStr">
        <is>
          <t>Average</t>
        </is>
      </c>
      <c r="AC1758" s="16" t="inlineStr">
        <is>
          <t>No</t>
        </is>
      </c>
      <c r="AD1758" s="19" t="n">
        <v>0.0867</v>
      </c>
      <c r="AE1758" s="19" t="n">
        <v>0.129</v>
      </c>
      <c r="AF1758" s="19" t="n">
        <v>0.1762</v>
      </c>
      <c r="AG1758" s="19" t="n">
        <v>0.178</v>
      </c>
      <c r="AH1758" s="23" t="n">
        <v>0.35</v>
      </c>
      <c r="AI1758" s="23" t="n">
        <v>2.84</v>
      </c>
      <c r="AJ1758" s="19" t="n">
        <v>0.0237</v>
      </c>
    </row>
    <row r="1759">
      <c r="A1759" s="16" t="inlineStr">
        <is>
          <t>PVSL</t>
        </is>
      </c>
      <c r="B1759" s="16" t="inlineStr">
        <is>
          <t>Popular Vehicles and Services Ltd.</t>
        </is>
      </c>
      <c r="C1759" s="16" t="inlineStr">
        <is>
          <t>Specialty Retail</t>
        </is>
      </c>
      <c r="D1759" s="16" t="inlineStr">
        <is>
          <t>Retailing</t>
        </is>
      </c>
      <c r="E1759" s="16" t="inlineStr">
        <is>
          <t>INE772T01024</t>
        </is>
      </c>
      <c r="F1759" s="17" t="n">
        <v>730.71</v>
      </c>
      <c r="G1759" s="18" t="n">
        <v>102.63</v>
      </c>
      <c r="H1759" s="19" t="n">
        <v>-0.008800000000000001</v>
      </c>
      <c r="I1759" s="20" t="n">
        <v>37</v>
      </c>
      <c r="J1759" s="16" t="inlineStr">
        <is>
          <t>red</t>
        </is>
      </c>
      <c r="K1759" s="20" t="n">
        <v>187</v>
      </c>
      <c r="L1759" s="18" t="n">
        <v>27.53</v>
      </c>
      <c r="M1759" s="18" t="n">
        <v>104</v>
      </c>
      <c r="N1759" s="18" t="n">
        <v>104.31</v>
      </c>
      <c r="O1759" s="18" t="n">
        <v>105.85</v>
      </c>
      <c r="P1759" s="18" t="n">
        <v>155.24</v>
      </c>
      <c r="Q1759" s="18" t="n">
        <v>84.88</v>
      </c>
      <c r="R1759" s="21">
        <f>IF(OR(G1759="",P1759=""),"",G1759/P1759-1)</f>
        <v/>
      </c>
      <c r="S1759" s="19" t="n">
        <v>0.5027</v>
      </c>
      <c r="T1759" s="22" t="n">
        <v>-0.0339</v>
      </c>
      <c r="U1759" s="16" t="inlineStr">
        <is>
          <t>No</t>
        </is>
      </c>
      <c r="V1759" s="16" t="inlineStr">
        <is>
          <t>No</t>
        </is>
      </c>
      <c r="W1759" s="16" t="inlineStr">
        <is>
          <t>No</t>
        </is>
      </c>
      <c r="X1759" s="16" t="inlineStr">
        <is>
          <t>No</t>
        </is>
      </c>
      <c r="Y1759" s="20" t="n">
        <v>156</v>
      </c>
      <c r="Z1759" s="19" t="n">
        <v>-0.0146</v>
      </c>
      <c r="AA1759" s="18" t="n">
        <v>3.78</v>
      </c>
      <c r="AB1759" s="16" t="inlineStr">
        <is>
          <t>Poor</t>
        </is>
      </c>
      <c r="AC1759" s="16" t="inlineStr">
        <is>
          <t>No</t>
        </is>
      </c>
      <c r="AD1759" s="19" t="n">
        <v>0.0267</v>
      </c>
      <c r="AE1759" s="19" t="n">
        <v>0.0689</v>
      </c>
      <c r="AF1759" s="19" t="n">
        <v>-0.3245</v>
      </c>
      <c r="AG1759" s="19" t="n">
        <v>0.0983</v>
      </c>
      <c r="AH1759" s="23" t="n">
        <v>2.24</v>
      </c>
      <c r="AI1759" s="23" t="n">
        <v>5.64</v>
      </c>
      <c r="AJ1759" s="19" t="n">
        <v>0.0322</v>
      </c>
    </row>
    <row r="1760">
      <c r="A1760" s="16" t="inlineStr">
        <is>
          <t>PATELRMART</t>
        </is>
      </c>
      <c r="B1760" s="16" t="inlineStr">
        <is>
          <t>Patel Retail Ltd.</t>
        </is>
      </c>
      <c r="C1760" s="16" t="inlineStr">
        <is>
          <t>Department Stores</t>
        </is>
      </c>
      <c r="D1760" s="16" t="inlineStr">
        <is>
          <t>Retailing</t>
        </is>
      </c>
      <c r="E1760" s="16" t="inlineStr">
        <is>
          <t>INE0R8B01010</t>
        </is>
      </c>
      <c r="F1760" s="17" t="n">
        <v>729.2</v>
      </c>
      <c r="G1760" s="18" t="n">
        <v>218.32</v>
      </c>
      <c r="H1760" s="19" t="n">
        <v>-0.0102</v>
      </c>
      <c r="I1760" s="20" t="n">
        <v>44</v>
      </c>
      <c r="J1760" s="16" t="inlineStr">
        <is>
          <t>red</t>
        </is>
      </c>
      <c r="K1760" s="20" t="n">
        <v>6</v>
      </c>
      <c r="L1760" s="18" t="n">
        <v>40.13</v>
      </c>
      <c r="M1760" s="18" t="n">
        <v>225.65</v>
      </c>
      <c r="N1760" s="18" t="n">
        <v>223.85</v>
      </c>
      <c r="O1760" s="18" t="n">
        <v>204.66</v>
      </c>
      <c r="P1760" s="18" t="n">
        <v>263.65</v>
      </c>
      <c r="Q1760" s="18" t="n">
        <v>151.22</v>
      </c>
      <c r="R1760" s="21">
        <f>IF(OR(G1760="",P1760=""),"",G1760/P1760-1)</f>
        <v/>
      </c>
      <c r="S1760" s="19" t="n">
        <v>0.2416</v>
      </c>
      <c r="T1760" s="22" t="n">
        <v>0.0022</v>
      </c>
      <c r="U1760" s="16" t="inlineStr">
        <is>
          <t>Yes</t>
        </is>
      </c>
      <c r="V1760" s="16" t="inlineStr">
        <is>
          <t>No</t>
        </is>
      </c>
      <c r="W1760" s="16" t="inlineStr">
        <is>
          <t>No</t>
        </is>
      </c>
      <c r="X1760" s="16" t="inlineStr">
        <is>
          <t>Yes</t>
        </is>
      </c>
      <c r="Y1760" s="20" t="n">
        <v>48</v>
      </c>
      <c r="Z1760" s="19" t="n">
        <v>0.09380000000000001</v>
      </c>
      <c r="AA1760" s="18" t="n">
        <v>52.95</v>
      </c>
      <c r="AB1760" s="16" t="inlineStr">
        <is>
          <t>Good</t>
        </is>
      </c>
      <c r="AC1760" s="16" t="inlineStr">
        <is>
          <t>No</t>
        </is>
      </c>
      <c r="AD1760" s="19" t="n">
        <v>0.1779</v>
      </c>
      <c r="AE1760" s="19" t="n">
        <v>0.148</v>
      </c>
      <c r="AF1760" s="19" t="n">
        <v>0.4068</v>
      </c>
      <c r="AG1760" s="19" t="n">
        <v>0.0319</v>
      </c>
      <c r="AH1760" s="23" t="n">
        <v>0.45</v>
      </c>
      <c r="AI1760" s="23" t="n">
        <v>9.640000000000001</v>
      </c>
      <c r="AJ1760" s="19" t="n">
        <v>0.007900000000000001</v>
      </c>
    </row>
    <row r="1761">
      <c r="A1761" s="16" t="inlineStr">
        <is>
          <t>CHEMCON</t>
        </is>
      </c>
      <c r="B1761" s="16" t="inlineStr">
        <is>
          <t>Chemcon Speciality Chemicals Ltd.</t>
        </is>
      </c>
      <c r="C1761" s="16" t="inlineStr">
        <is>
          <t>Specialty Chemicals</t>
        </is>
      </c>
      <c r="D1761" s="16" t="inlineStr">
        <is>
          <t>Chemicals &amp; Petrochemicals</t>
        </is>
      </c>
      <c r="E1761" s="16" t="inlineStr">
        <is>
          <t>INE03YM01018</t>
        </is>
      </c>
      <c r="F1761" s="17" t="n">
        <v>726.6799999999999</v>
      </c>
      <c r="G1761" s="18" t="n">
        <v>198.38</v>
      </c>
      <c r="H1761" s="19" t="n">
        <v>-0.0145</v>
      </c>
      <c r="I1761" s="20" t="n">
        <v>44</v>
      </c>
      <c r="J1761" s="16" t="inlineStr">
        <is>
          <t>red</t>
        </is>
      </c>
      <c r="K1761" s="20" t="n">
        <v>47</v>
      </c>
      <c r="L1761" s="18" t="n">
        <v>66.14</v>
      </c>
      <c r="M1761" s="18" t="n">
        <v>200.09</v>
      </c>
      <c r="N1761" s="18" t="n">
        <v>187.75</v>
      </c>
      <c r="O1761" s="18" t="n">
        <v>178.51</v>
      </c>
      <c r="P1761" s="18" t="n">
        <v>274.22</v>
      </c>
      <c r="Q1761" s="18" t="n">
        <v>121.89</v>
      </c>
      <c r="R1761" s="21">
        <f>IF(OR(G1761="",P1761=""),"",G1761/P1761-1)</f>
        <v/>
      </c>
      <c r="S1761" s="19" t="n">
        <v>0.746</v>
      </c>
      <c r="T1761" s="22" t="n">
        <v>-0.0233</v>
      </c>
      <c r="U1761" s="16" t="inlineStr">
        <is>
          <t>No</t>
        </is>
      </c>
      <c r="V1761" s="16" t="inlineStr">
        <is>
          <t>Yes</t>
        </is>
      </c>
      <c r="W1761" s="16" t="inlineStr">
        <is>
          <t>No</t>
        </is>
      </c>
      <c r="X1761" s="16" t="inlineStr">
        <is>
          <t>Yes</t>
        </is>
      </c>
      <c r="Y1761" s="20" t="n">
        <v>31</v>
      </c>
      <c r="Z1761" s="19" t="n">
        <v>0.0518</v>
      </c>
      <c r="AA1761" s="18" t="n">
        <v>28.42</v>
      </c>
      <c r="AB1761" s="16" t="inlineStr">
        <is>
          <t>Poor</t>
        </is>
      </c>
      <c r="AC1761" s="16" t="inlineStr">
        <is>
          <t>No</t>
        </is>
      </c>
      <c r="AD1761" s="19" t="n">
        <v>0.046</v>
      </c>
      <c r="AE1761" s="19" t="n">
        <v>0.0635</v>
      </c>
      <c r="AF1761" s="19" t="n">
        <v>-0.1376</v>
      </c>
      <c r="AG1761" s="19" t="n">
        <v>-0.0601</v>
      </c>
      <c r="AH1761" s="23" t="n">
        <v>0.11</v>
      </c>
      <c r="AI1761" s="23" t="n">
        <v>1.11</v>
      </c>
      <c r="AJ1761" s="19" t="n">
        <v>0.0968</v>
      </c>
    </row>
    <row r="1762">
      <c r="A1762" s="16" t="inlineStr">
        <is>
          <t>APIS</t>
        </is>
      </c>
      <c r="B1762" s="16" t="inlineStr">
        <is>
          <t>Apis India Ltd.</t>
        </is>
      </c>
      <c r="C1762" s="16" t="inlineStr">
        <is>
          <t>Other Food &amp; Beverages</t>
        </is>
      </c>
      <c r="D1762" s="16" t="inlineStr">
        <is>
          <t>Food, Beverages &amp; Tobacco</t>
        </is>
      </c>
      <c r="E1762" s="16" t="inlineStr">
        <is>
          <t>INE070K01014</t>
        </is>
      </c>
      <c r="F1762" s="17" t="n">
        <v>726.23</v>
      </c>
      <c r="G1762" s="18" t="n">
        <v>52.72</v>
      </c>
      <c r="H1762" s="19" t="n">
        <v>-0.0237</v>
      </c>
      <c r="I1762" s="20" t="n">
        <v>77</v>
      </c>
      <c r="J1762" s="16" t="inlineStr">
        <is>
          <t>amber</t>
        </is>
      </c>
      <c r="K1762" s="20" t="n">
        <v>2</v>
      </c>
      <c r="L1762" s="18" t="n">
        <v>39.39</v>
      </c>
      <c r="M1762" s="18" t="n">
        <v>53.54</v>
      </c>
      <c r="N1762" s="18" t="n">
        <v>55.74</v>
      </c>
      <c r="O1762" s="18" t="n">
        <v>61.51</v>
      </c>
      <c r="P1762" s="18" t="n">
        <v>107.79</v>
      </c>
      <c r="Q1762" s="18" t="n">
        <v>18.26</v>
      </c>
      <c r="R1762" s="21">
        <f>IF(OR(G1762="",P1762=""),"",G1762/P1762-1)</f>
        <v/>
      </c>
      <c r="S1762" s="19" t="n">
        <v>0.5467</v>
      </c>
      <c r="T1762" s="22" t="n">
        <v>0.0273</v>
      </c>
      <c r="U1762" s="16" t="inlineStr">
        <is>
          <t>Yes</t>
        </is>
      </c>
      <c r="V1762" s="16" t="inlineStr">
        <is>
          <t>No</t>
        </is>
      </c>
      <c r="W1762" s="16" t="inlineStr">
        <is>
          <t>No</t>
        </is>
      </c>
      <c r="X1762" s="16" t="inlineStr">
        <is>
          <t>No</t>
        </is>
      </c>
      <c r="Y1762" s="20" t="n">
        <v>28</v>
      </c>
      <c r="Z1762" s="19" t="n">
        <v>-0.09380000000000001</v>
      </c>
      <c r="AA1762" s="18" t="n"/>
      <c r="AB1762" s="16" t="n"/>
      <c r="AC1762" s="16" t="inlineStr">
        <is>
          <t>No</t>
        </is>
      </c>
      <c r="AD1762" s="19" t="n"/>
      <c r="AE1762" s="19" t="n"/>
      <c r="AF1762" s="19" t="n"/>
      <c r="AG1762" s="19" t="n"/>
      <c r="AH1762" s="23" t="n"/>
      <c r="AI1762" s="23" t="n"/>
      <c r="AJ1762" s="19" t="n"/>
    </row>
    <row r="1763">
      <c r="A1763" s="16" t="inlineStr">
        <is>
          <t>ADVENTHTL</t>
        </is>
      </c>
      <c r="B1763" s="16" t="inlineStr">
        <is>
          <t>Advent Hotels International Ltd.</t>
        </is>
      </c>
      <c r="C1763" s="16" t="inlineStr">
        <is>
          <t>Hotels</t>
        </is>
      </c>
      <c r="D1763" s="16" t="inlineStr">
        <is>
          <t>Hotels Restaurants &amp; Tourism</t>
        </is>
      </c>
      <c r="E1763" s="16" t="inlineStr">
        <is>
          <t>INE28GN01010</t>
        </is>
      </c>
      <c r="F1763" s="17" t="n">
        <v>725.91</v>
      </c>
      <c r="G1763" s="18" t="n">
        <v>134.57</v>
      </c>
      <c r="H1763" s="19" t="n">
        <v>-0.003</v>
      </c>
      <c r="I1763" s="20" t="n">
        <v>15</v>
      </c>
      <c r="J1763" s="16" t="inlineStr">
        <is>
          <t>red</t>
        </is>
      </c>
      <c r="K1763" s="20" t="n">
        <v>142</v>
      </c>
      <c r="L1763" s="18" t="n">
        <v>49.56</v>
      </c>
      <c r="M1763" s="18" t="n">
        <v>137.86</v>
      </c>
      <c r="N1763" s="18" t="n">
        <v>143.05</v>
      </c>
      <c r="O1763" s="18" t="n">
        <v>171.97</v>
      </c>
      <c r="P1763" s="18" t="n">
        <v>328.65</v>
      </c>
      <c r="Q1763" s="18" t="n">
        <v>120.9</v>
      </c>
      <c r="R1763" s="21">
        <f>IF(OR(G1763="",P1763=""),"",G1763/P1763-1)</f>
        <v/>
      </c>
      <c r="S1763" s="19" t="n">
        <v>0.4345000000000001</v>
      </c>
      <c r="T1763" s="22" t="n"/>
      <c r="U1763" s="16" t="n"/>
      <c r="V1763" s="16" t="inlineStr">
        <is>
          <t>No</t>
        </is>
      </c>
      <c r="W1763" s="16" t="inlineStr">
        <is>
          <t>No</t>
        </is>
      </c>
      <c r="X1763" s="16" t="inlineStr">
        <is>
          <t>No</t>
        </is>
      </c>
      <c r="Y1763" s="20" t="n">
        <v>6</v>
      </c>
      <c r="Z1763" s="19" t="n">
        <v>-0.1681</v>
      </c>
      <c r="AA1763" s="18" t="n">
        <v>45.33</v>
      </c>
      <c r="AB1763" s="16" t="inlineStr">
        <is>
          <t>Average</t>
        </is>
      </c>
      <c r="AC1763" s="16" t="inlineStr">
        <is>
          <t>No</t>
        </is>
      </c>
      <c r="AD1763" s="19" t="n">
        <v>-114.8566</v>
      </c>
      <c r="AE1763" s="19" t="n">
        <v>70.28529999999999</v>
      </c>
      <c r="AF1763" s="19" t="n">
        <v>1.8149</v>
      </c>
      <c r="AG1763" s="19" t="n">
        <v>0.0574</v>
      </c>
      <c r="AH1763" s="23" t="n">
        <v>0.88</v>
      </c>
      <c r="AI1763" s="23" t="n">
        <v>0.23</v>
      </c>
      <c r="AJ1763" s="19" t="n">
        <v>0.1249</v>
      </c>
    </row>
    <row r="1764">
      <c r="A1764" s="16" t="inlineStr">
        <is>
          <t>ABINFRA</t>
        </is>
      </c>
      <c r="B1764" s="16" t="inlineStr">
        <is>
          <t>AB Infrabuild Ltd.</t>
        </is>
      </c>
      <c r="C1764" s="16" t="inlineStr">
        <is>
          <t>Construction &amp; Engineering</t>
        </is>
      </c>
      <c r="D1764" s="16" t="inlineStr">
        <is>
          <t>Cement and Construction</t>
        </is>
      </c>
      <c r="E1764" s="16" t="inlineStr">
        <is>
          <t>INE00YB01025</t>
        </is>
      </c>
      <c r="F1764" s="17" t="n">
        <v>725.03</v>
      </c>
      <c r="G1764" s="18" t="n">
        <v>11.35</v>
      </c>
      <c r="H1764" s="19" t="n">
        <v>0.0152</v>
      </c>
      <c r="I1764" s="20" t="n">
        <v>9</v>
      </c>
      <c r="J1764" s="16" t="inlineStr">
        <is>
          <t>red</t>
        </is>
      </c>
      <c r="K1764" s="20" t="n">
        <v>89</v>
      </c>
      <c r="L1764" s="18" t="n">
        <v>49.92</v>
      </c>
      <c r="M1764" s="18" t="n">
        <v>11.46</v>
      </c>
      <c r="N1764" s="18" t="n">
        <v>10.91</v>
      </c>
      <c r="O1764" s="18" t="n">
        <v>15.12</v>
      </c>
      <c r="P1764" s="18" t="n">
        <v>21.96</v>
      </c>
      <c r="Q1764" s="18" t="n">
        <v>9.07</v>
      </c>
      <c r="R1764" s="21">
        <f>IF(OR(G1764="",P1764=""),"",G1764/P1764-1)</f>
        <v/>
      </c>
      <c r="S1764" s="19" t="n">
        <v>0.0322</v>
      </c>
      <c r="T1764" s="22" t="n">
        <v>-0.0472</v>
      </c>
      <c r="U1764" s="16" t="inlineStr">
        <is>
          <t>No</t>
        </is>
      </c>
      <c r="V1764" s="16" t="inlineStr">
        <is>
          <t>Yes</t>
        </is>
      </c>
      <c r="W1764" s="16" t="inlineStr">
        <is>
          <t>No</t>
        </is>
      </c>
      <c r="X1764" s="16" t="inlineStr">
        <is>
          <t>No</t>
        </is>
      </c>
      <c r="Y1764" s="20" t="n">
        <v>111</v>
      </c>
      <c r="Z1764" s="19" t="n">
        <v>-0.2785</v>
      </c>
      <c r="AA1764" s="18" t="n">
        <v>40</v>
      </c>
      <c r="AB1764" s="16" t="inlineStr">
        <is>
          <t>Weak</t>
        </is>
      </c>
      <c r="AC1764" s="16" t="inlineStr">
        <is>
          <t>No</t>
        </is>
      </c>
      <c r="AD1764" s="19" t="n">
        <v>0.1335</v>
      </c>
      <c r="AE1764" s="19" t="n">
        <v>0.151</v>
      </c>
      <c r="AF1764" s="19" t="n">
        <v>-0.3079</v>
      </c>
      <c r="AG1764" s="19" t="n">
        <v>0.2855</v>
      </c>
      <c r="AH1764" s="23" t="n">
        <v>0.52</v>
      </c>
      <c r="AI1764" s="23" t="n">
        <v>5.98</v>
      </c>
      <c r="AJ1764" s="19" t="n">
        <v>0</v>
      </c>
    </row>
    <row r="1765">
      <c r="A1765" s="16" t="inlineStr">
        <is>
          <t>TANAA</t>
        </is>
      </c>
      <c r="B1765" s="16" t="inlineStr">
        <is>
          <t>Taneja Aerospace &amp; Aviation Ltd.</t>
        </is>
      </c>
      <c r="C1765" s="16" t="inlineStr">
        <is>
          <t>Aerospace &amp; Defence</t>
        </is>
      </c>
      <c r="D1765" s="16" t="inlineStr">
        <is>
          <t>General Industrials</t>
        </is>
      </c>
      <c r="E1765" s="16" t="inlineStr">
        <is>
          <t>INE692C01020</t>
        </is>
      </c>
      <c r="F1765" s="17" t="n">
        <v>724.72</v>
      </c>
      <c r="G1765" s="18" t="n">
        <v>284.2</v>
      </c>
      <c r="H1765" s="19" t="n">
        <v>0.0071</v>
      </c>
      <c r="I1765" s="20" t="n">
        <v>31</v>
      </c>
      <c r="J1765" s="16" t="inlineStr">
        <is>
          <t>red</t>
        </is>
      </c>
      <c r="K1765" s="20" t="n">
        <v>85</v>
      </c>
      <c r="L1765" s="18" t="n">
        <v>30.13</v>
      </c>
      <c r="M1765" s="18" t="n">
        <v>289.49</v>
      </c>
      <c r="N1765" s="18" t="n">
        <v>298.91</v>
      </c>
      <c r="O1765" s="18" t="n">
        <v>285.33</v>
      </c>
      <c r="P1765" s="18" t="n">
        <v>400.81</v>
      </c>
      <c r="Q1765" s="18" t="n">
        <v>191.85</v>
      </c>
      <c r="R1765" s="21">
        <f>IF(OR(G1765="",P1765=""),"",G1765/P1765-1)</f>
        <v/>
      </c>
      <c r="S1765" s="19" t="n">
        <v>0.2638</v>
      </c>
      <c r="T1765" s="22" t="n">
        <v>-0.0158</v>
      </c>
      <c r="U1765" s="16" t="inlineStr">
        <is>
          <t>No</t>
        </is>
      </c>
      <c r="V1765" s="16" t="inlineStr">
        <is>
          <t>No</t>
        </is>
      </c>
      <c r="W1765" s="16" t="inlineStr">
        <is>
          <t>No</t>
        </is>
      </c>
      <c r="X1765" s="16" t="inlineStr">
        <is>
          <t>Yes</t>
        </is>
      </c>
      <c r="Y1765" s="20" t="n">
        <v>28</v>
      </c>
      <c r="Z1765" s="19" t="n">
        <v>0.0476</v>
      </c>
      <c r="AA1765" s="18" t="n"/>
      <c r="AB1765" s="16" t="n"/>
      <c r="AC1765" s="16" t="inlineStr">
        <is>
          <t>No</t>
        </is>
      </c>
      <c r="AD1765" s="19" t="n"/>
      <c r="AE1765" s="19" t="n"/>
      <c r="AF1765" s="19" t="n"/>
      <c r="AG1765" s="19" t="n"/>
      <c r="AH1765" s="23" t="n"/>
      <c r="AI1765" s="23" t="n"/>
      <c r="AJ1765" s="19" t="n"/>
    </row>
    <row r="1766">
      <c r="A1766" s="16" t="inlineStr">
        <is>
          <t>ZTECH</t>
        </is>
      </c>
      <c r="B1766" s="16" t="inlineStr">
        <is>
          <t>Z-Tech (India) Ltd.</t>
        </is>
      </c>
      <c r="C1766" s="16" t="inlineStr">
        <is>
          <t>Construction &amp; Engineering</t>
        </is>
      </c>
      <c r="D1766" s="16" t="inlineStr">
        <is>
          <t>Cement and Construction</t>
        </is>
      </c>
      <c r="E1766" s="16" t="inlineStr">
        <is>
          <t>INE0ISZ01012</t>
        </is>
      </c>
      <c r="F1766" s="17" t="n">
        <v>723.49</v>
      </c>
      <c r="G1766" s="18" t="n">
        <v>476.3</v>
      </c>
      <c r="H1766" s="19" t="n">
        <v>-0.0436</v>
      </c>
      <c r="I1766" s="20" t="n">
        <v>20</v>
      </c>
      <c r="J1766" s="16" t="inlineStr">
        <is>
          <t>red</t>
        </is>
      </c>
      <c r="K1766" s="20" t="n">
        <v>57</v>
      </c>
      <c r="L1766" s="18" t="n">
        <v>39</v>
      </c>
      <c r="M1766" s="18" t="n">
        <v>486.14</v>
      </c>
      <c r="N1766" s="18" t="n">
        <v>537.84</v>
      </c>
      <c r="O1766" s="18" t="n">
        <v>563.86</v>
      </c>
      <c r="P1766" s="18" t="n">
        <v>668.15</v>
      </c>
      <c r="Q1766" s="18" t="n">
        <v>473.65</v>
      </c>
      <c r="R1766" s="21">
        <f>IF(OR(G1766="",P1766=""),"",G1766/P1766-1)</f>
        <v/>
      </c>
      <c r="S1766" s="19" t="n">
        <v>1.2084</v>
      </c>
      <c r="T1766" s="22" t="n">
        <v>-0.0111</v>
      </c>
      <c r="U1766" s="16" t="inlineStr">
        <is>
          <t>No</t>
        </is>
      </c>
      <c r="V1766" s="16" t="inlineStr">
        <is>
          <t>No</t>
        </is>
      </c>
      <c r="W1766" s="16" t="inlineStr">
        <is>
          <t>No</t>
        </is>
      </c>
      <c r="X1766" s="16" t="inlineStr">
        <is>
          <t>No</t>
        </is>
      </c>
      <c r="Y1766" s="20" t="n">
        <v>15</v>
      </c>
      <c r="Z1766" s="19" t="n">
        <v>-0.0461</v>
      </c>
      <c r="AA1766" s="18" t="n"/>
      <c r="AB1766" s="16" t="n"/>
      <c r="AC1766" s="16" t="inlineStr">
        <is>
          <t>No</t>
        </is>
      </c>
      <c r="AD1766" s="19" t="n"/>
      <c r="AE1766" s="19" t="n"/>
      <c r="AF1766" s="19" t="n"/>
      <c r="AG1766" s="19" t="n"/>
      <c r="AH1766" s="23" t="n"/>
      <c r="AI1766" s="23" t="n"/>
      <c r="AJ1766" s="19" t="n"/>
    </row>
    <row r="1767">
      <c r="A1767" s="16" t="inlineStr">
        <is>
          <t>NEETUYOSHI</t>
        </is>
      </c>
      <c r="B1767" s="16" t="inlineStr">
        <is>
          <t>Neetu Yoshi Ltd.</t>
        </is>
      </c>
      <c r="C1767" s="16" t="inlineStr">
        <is>
          <t>Castings &amp; Forgings</t>
        </is>
      </c>
      <c r="D1767" s="16" t="inlineStr">
        <is>
          <t>General Industrials</t>
        </is>
      </c>
      <c r="E1767" s="16" t="inlineStr">
        <is>
          <t>INE0UZO01024</t>
        </is>
      </c>
      <c r="F1767" s="17" t="n">
        <v>723.27</v>
      </c>
      <c r="G1767" s="18" t="n">
        <v>186.35</v>
      </c>
      <c r="H1767" s="19" t="n">
        <v>0.0499</v>
      </c>
      <c r="I1767" s="20" t="n">
        <v>86</v>
      </c>
      <c r="J1767" s="16" t="inlineStr">
        <is>
          <t>green</t>
        </is>
      </c>
      <c r="K1767" s="20" t="n">
        <v>40</v>
      </c>
      <c r="L1767" s="18" t="n">
        <v>71.48999999999999</v>
      </c>
      <c r="M1767" s="18" t="n">
        <v>168.02</v>
      </c>
      <c r="N1767" s="18" t="n">
        <v>158.77</v>
      </c>
      <c r="O1767" s="18" t="n">
        <v>119.81</v>
      </c>
      <c r="P1767" s="18" t="n">
        <v>186.35</v>
      </c>
      <c r="Q1767" s="18" t="n">
        <v>72.04000000000001</v>
      </c>
      <c r="R1767" s="21">
        <f>IF(OR(G1767="",P1767=""),"",G1767/P1767-1)</f>
        <v/>
      </c>
      <c r="S1767" s="19" t="n">
        <v>2.1002</v>
      </c>
      <c r="T1767" s="22" t="n">
        <v>0.0377</v>
      </c>
      <c r="U1767" s="16" t="inlineStr">
        <is>
          <t>Yes</t>
        </is>
      </c>
      <c r="V1767" s="16" t="inlineStr">
        <is>
          <t>Yes</t>
        </is>
      </c>
      <c r="W1767" s="16" t="inlineStr">
        <is>
          <t>Yes</t>
        </is>
      </c>
      <c r="X1767" s="16" t="inlineStr">
        <is>
          <t>Yes</t>
        </is>
      </c>
      <c r="Y1767" s="20" t="n">
        <v>64</v>
      </c>
      <c r="Z1767" s="19" t="n">
        <v>0.3252</v>
      </c>
      <c r="AA1767" s="18" t="n"/>
      <c r="AB1767" s="16" t="n"/>
      <c r="AC1767" s="16" t="inlineStr">
        <is>
          <t>No</t>
        </is>
      </c>
      <c r="AD1767" s="19" t="n"/>
      <c r="AE1767" s="19" t="n"/>
      <c r="AF1767" s="19" t="n"/>
      <c r="AG1767" s="19" t="n"/>
      <c r="AH1767" s="23" t="n"/>
      <c r="AI1767" s="23" t="n"/>
      <c r="AJ1767" s="19" t="n"/>
    </row>
    <row r="1768">
      <c r="A1768" s="16" t="inlineStr">
        <is>
          <t>CWD</t>
        </is>
      </c>
      <c r="B1768" s="16" t="inlineStr">
        <is>
          <t>CWD Ltd.</t>
        </is>
      </c>
      <c r="C1768" s="16" t="inlineStr">
        <is>
          <t>Consumer Electronics</t>
        </is>
      </c>
      <c r="D1768" s="16" t="inlineStr">
        <is>
          <t>Consumer Durables</t>
        </is>
      </c>
      <c r="E1768" s="16" t="inlineStr">
        <is>
          <t>INE0H8H01019</t>
        </is>
      </c>
      <c r="F1768" s="17" t="n">
        <v>720.15</v>
      </c>
      <c r="G1768" s="18" t="n">
        <v>315.65</v>
      </c>
      <c r="H1768" s="19" t="n">
        <v>-0.0317</v>
      </c>
      <c r="I1768" s="20" t="n">
        <v>36</v>
      </c>
      <c r="J1768" s="16" t="inlineStr">
        <is>
          <t>red</t>
        </is>
      </c>
      <c r="K1768" s="20" t="n">
        <v>18</v>
      </c>
      <c r="L1768" s="18" t="n">
        <v>54.55</v>
      </c>
      <c r="M1768" s="18" t="n">
        <v>319.66</v>
      </c>
      <c r="N1768" s="18" t="n">
        <v>314.97</v>
      </c>
      <c r="O1768" s="18" t="n">
        <v>318.05</v>
      </c>
      <c r="P1768" s="18" t="n">
        <v>425</v>
      </c>
      <c r="Q1768" s="18" t="n">
        <v>256.5</v>
      </c>
      <c r="R1768" s="21">
        <f>IF(OR(G1768="",P1768=""),"",G1768/P1768-1)</f>
        <v/>
      </c>
      <c r="S1768" s="19" t="n">
        <v>1.4208</v>
      </c>
      <c r="T1768" s="22" t="n">
        <v>-0.0054</v>
      </c>
      <c r="U1768" s="16" t="inlineStr">
        <is>
          <t>No</t>
        </is>
      </c>
      <c r="V1768" s="16" t="inlineStr">
        <is>
          <t>Yes</t>
        </is>
      </c>
      <c r="W1768" s="16" t="inlineStr">
        <is>
          <t>No</t>
        </is>
      </c>
      <c r="X1768" s="16" t="inlineStr">
        <is>
          <t>No</t>
        </is>
      </c>
      <c r="Y1768" s="20" t="n">
        <v>117</v>
      </c>
      <c r="Z1768" s="19" t="n">
        <v>-0.0097</v>
      </c>
      <c r="AA1768" s="18" t="n"/>
      <c r="AB1768" s="16" t="n"/>
      <c r="AC1768" s="16" t="inlineStr">
        <is>
          <t>No</t>
        </is>
      </c>
      <c r="AD1768" s="19" t="n"/>
      <c r="AE1768" s="19" t="n"/>
      <c r="AF1768" s="19" t="n"/>
      <c r="AG1768" s="19" t="n"/>
      <c r="AH1768" s="23" t="n"/>
      <c r="AI1768" s="23" t="n"/>
      <c r="AJ1768" s="19" t="n"/>
    </row>
    <row r="1769">
      <c r="A1769" s="16" t="inlineStr">
        <is>
          <t>PARTH</t>
        </is>
      </c>
      <c r="B1769" s="16" t="inlineStr">
        <is>
          <t>Parth Electricals &amp; Engineering Ltd.</t>
        </is>
      </c>
      <c r="C1769" s="16" t="inlineStr">
        <is>
          <t>Heavy Electrical Equipment</t>
        </is>
      </c>
      <c r="D1769" s="16" t="inlineStr">
        <is>
          <t>General Industrials</t>
        </is>
      </c>
      <c r="E1769" s="16" t="inlineStr">
        <is>
          <t>INE1H7V01011</t>
        </is>
      </c>
      <c r="F1769" s="17" t="n">
        <v>718.53</v>
      </c>
      <c r="G1769" s="18" t="n"/>
      <c r="H1769" s="19" t="n"/>
      <c r="I1769" s="20" t="n"/>
      <c r="J1769" s="16" t="n"/>
      <c r="K1769" s="20" t="n"/>
      <c r="L1769" s="18" t="n"/>
      <c r="M1769" s="18" t="n"/>
      <c r="N1769" s="18" t="n"/>
      <c r="O1769" s="18" t="n"/>
      <c r="P1769" s="18" t="n"/>
      <c r="Q1769" s="18" t="n"/>
      <c r="R1769" s="21">
        <f>IF(OR(G1769="",P1769=""),"",G1769/P1769-1)</f>
        <v/>
      </c>
      <c r="S1769" s="19" t="n"/>
      <c r="T1769" s="22" t="n"/>
      <c r="U1769" s="16" t="n"/>
      <c r="V1769" s="16" t="n"/>
      <c r="W1769" s="16" t="n"/>
      <c r="X1769" s="16" t="n"/>
      <c r="Y1769" s="20" t="n"/>
      <c r="Z1769" s="19" t="n"/>
      <c r="AA1769" s="18" t="n"/>
      <c r="AB1769" s="16" t="n"/>
      <c r="AC1769" s="16" t="inlineStr">
        <is>
          <t>No</t>
        </is>
      </c>
      <c r="AD1769" s="19" t="n"/>
      <c r="AE1769" s="19" t="n"/>
      <c r="AF1769" s="19" t="n"/>
      <c r="AG1769" s="19" t="n"/>
      <c r="AH1769" s="23" t="n"/>
      <c r="AI1769" s="23" t="n"/>
      <c r="AJ1769" s="19" t="n"/>
    </row>
    <row r="1770">
      <c r="A1770" s="16" t="inlineStr">
        <is>
          <t>EMPIND</t>
        </is>
      </c>
      <c r="B1770" s="16" t="inlineStr">
        <is>
          <t>Empire Industries Ltd.</t>
        </is>
      </c>
      <c r="C1770" s="16" t="inlineStr">
        <is>
          <t>Diversified</t>
        </is>
      </c>
      <c r="D1770" s="16" t="inlineStr">
        <is>
          <t>Diversified</t>
        </is>
      </c>
      <c r="E1770" s="16" t="inlineStr">
        <is>
          <t>INE515H01014</t>
        </is>
      </c>
      <c r="F1770" s="17" t="n">
        <v>717.36</v>
      </c>
      <c r="G1770" s="18" t="n">
        <v>1195.6</v>
      </c>
      <c r="H1770" s="19" t="n">
        <v>-0.0026</v>
      </c>
      <c r="I1770" s="20" t="n">
        <v>68</v>
      </c>
      <c r="J1770" s="16" t="inlineStr">
        <is>
          <t>amber</t>
        </is>
      </c>
      <c r="K1770" s="20" t="n">
        <v>20</v>
      </c>
      <c r="L1770" s="18" t="n">
        <v>81.42</v>
      </c>
      <c r="M1770" s="18" t="n">
        <v>1208.58</v>
      </c>
      <c r="N1770" s="18" t="n">
        <v>1088.79</v>
      </c>
      <c r="O1770" s="18" t="n">
        <v>969.79</v>
      </c>
      <c r="P1770" s="18" t="n">
        <v>1222.15</v>
      </c>
      <c r="Q1770" s="18" t="n">
        <v>825.1</v>
      </c>
      <c r="R1770" s="21">
        <f>IF(OR(G1770="",P1770=""),"",G1770/P1770-1)</f>
        <v/>
      </c>
      <c r="S1770" s="19" t="n">
        <v>0.631</v>
      </c>
      <c r="T1770" s="22" t="n">
        <v>0.0114</v>
      </c>
      <c r="U1770" s="16" t="inlineStr">
        <is>
          <t>Yes</t>
        </is>
      </c>
      <c r="V1770" s="16" t="inlineStr">
        <is>
          <t>Yes</t>
        </is>
      </c>
      <c r="W1770" s="16" t="inlineStr">
        <is>
          <t>No</t>
        </is>
      </c>
      <c r="X1770" s="16" t="inlineStr">
        <is>
          <t>Yes</t>
        </is>
      </c>
      <c r="Y1770" s="20" t="n">
        <v>47</v>
      </c>
      <c r="Z1770" s="19" t="n">
        <v>0.1227</v>
      </c>
      <c r="AA1770" s="18" t="n"/>
      <c r="AB1770" s="16" t="n"/>
      <c r="AC1770" s="16" t="inlineStr">
        <is>
          <t>No</t>
        </is>
      </c>
      <c r="AD1770" s="19" t="n"/>
      <c r="AE1770" s="19" t="n"/>
      <c r="AF1770" s="19" t="n"/>
      <c r="AG1770" s="19" t="n"/>
      <c r="AH1770" s="23" t="n"/>
      <c r="AI1770" s="23" t="n"/>
      <c r="AJ1770" s="19" t="n"/>
    </row>
    <row r="1771">
      <c r="A1771" s="16" t="inlineStr">
        <is>
          <t>RNITAI</t>
        </is>
      </c>
      <c r="B1771" s="16" t="inlineStr">
        <is>
          <t>Rnit AI Solutions Ltd.</t>
        </is>
      </c>
      <c r="C1771" s="16" t="inlineStr">
        <is>
          <t>IT Consulting &amp; Software</t>
        </is>
      </c>
      <c r="D1771" s="16" t="inlineStr">
        <is>
          <t>Software &amp; Services</t>
        </is>
      </c>
      <c r="E1771" s="16" t="inlineStr">
        <is>
          <t>INE335Q01026</t>
        </is>
      </c>
      <c r="F1771" s="17" t="n">
        <v>716.77</v>
      </c>
      <c r="G1771" s="18" t="n">
        <v>99.84</v>
      </c>
      <c r="H1771" s="19" t="n">
        <v>0.0424</v>
      </c>
      <c r="I1771" s="20" t="n"/>
      <c r="J1771" s="16" t="n"/>
      <c r="K1771" s="20" t="n"/>
      <c r="L1771" s="18" t="n">
        <v>80.67</v>
      </c>
      <c r="M1771" s="18" t="n">
        <v>92.34</v>
      </c>
      <c r="N1771" s="18" t="n"/>
      <c r="O1771" s="18" t="n"/>
      <c r="P1771" s="18" t="n">
        <v>99.84</v>
      </c>
      <c r="Q1771" s="18" t="n">
        <v>56.46</v>
      </c>
      <c r="R1771" s="21">
        <f>IF(OR(G1771="",P1771=""),"",G1771/P1771-1)</f>
        <v/>
      </c>
      <c r="S1771" s="19" t="n">
        <v>1.1905</v>
      </c>
      <c r="T1771" s="22" t="n"/>
      <c r="U1771" s="16" t="n"/>
      <c r="V1771" s="16" t="n"/>
      <c r="W1771" s="16" t="inlineStr">
        <is>
          <t>Yes</t>
        </is>
      </c>
      <c r="X1771" s="16" t="n"/>
      <c r="Y1771" s="20" t="n"/>
      <c r="Z1771" s="19" t="n"/>
      <c r="AA1771" s="18" t="n"/>
      <c r="AB1771" s="16" t="n"/>
      <c r="AC1771" s="16" t="inlineStr">
        <is>
          <t>No</t>
        </is>
      </c>
      <c r="AD1771" s="19" t="n"/>
      <c r="AE1771" s="19" t="n"/>
      <c r="AF1771" s="19" t="n"/>
      <c r="AG1771" s="19" t="n"/>
      <c r="AH1771" s="23" t="n"/>
      <c r="AI1771" s="23" t="n"/>
      <c r="AJ1771" s="19" t="n"/>
    </row>
    <row r="1772">
      <c r="A1772" s="16" t="inlineStr">
        <is>
          <t>SHALPAINTS</t>
        </is>
      </c>
      <c r="B1772" s="16" t="inlineStr">
        <is>
          <t>Shalimar Paints Ltd.</t>
        </is>
      </c>
      <c r="C1772" s="16" t="inlineStr">
        <is>
          <t>Paints</t>
        </is>
      </c>
      <c r="D1772" s="16" t="inlineStr">
        <is>
          <t>Consumer Durables</t>
        </is>
      </c>
      <c r="E1772" s="16" t="inlineStr">
        <is>
          <t>INE849C01026</t>
        </is>
      </c>
      <c r="F1772" s="17" t="n">
        <v>715.48</v>
      </c>
      <c r="G1772" s="18" t="n">
        <v>85.47</v>
      </c>
      <c r="H1772" s="19" t="n">
        <v>0.0481</v>
      </c>
      <c r="I1772" s="20" t="n">
        <v>86</v>
      </c>
      <c r="J1772" s="16" t="inlineStr">
        <is>
          <t>green</t>
        </is>
      </c>
      <c r="K1772" s="20" t="n">
        <v>23</v>
      </c>
      <c r="L1772" s="18" t="n">
        <v>41.27</v>
      </c>
      <c r="M1772" s="18" t="n">
        <v>80.69</v>
      </c>
      <c r="N1772" s="18" t="n">
        <v>70.51000000000001</v>
      </c>
      <c r="O1772" s="18" t="n">
        <v>59.76</v>
      </c>
      <c r="P1772" s="18" t="n">
        <v>91.45</v>
      </c>
      <c r="Q1772" s="18" t="n">
        <v>36.08</v>
      </c>
      <c r="R1772" s="21">
        <f>IF(OR(G1772="",P1772=""),"",G1772/P1772-1)</f>
        <v/>
      </c>
      <c r="S1772" s="19" t="n">
        <v>0.179</v>
      </c>
      <c r="T1772" s="22" t="n">
        <v>0.0129</v>
      </c>
      <c r="U1772" s="16" t="inlineStr">
        <is>
          <t>Yes</t>
        </is>
      </c>
      <c r="V1772" s="16" t="inlineStr">
        <is>
          <t>Yes</t>
        </is>
      </c>
      <c r="W1772" s="16" t="inlineStr">
        <is>
          <t>Yes</t>
        </is>
      </c>
      <c r="X1772" s="16" t="inlineStr">
        <is>
          <t>Yes</t>
        </is>
      </c>
      <c r="Y1772" s="20" t="n">
        <v>19</v>
      </c>
      <c r="Z1772" s="19" t="n">
        <v>0.1799</v>
      </c>
      <c r="AA1772" s="18" t="n">
        <v>19.07</v>
      </c>
      <c r="AB1772" s="16" t="inlineStr">
        <is>
          <t>Poor</t>
        </is>
      </c>
      <c r="AC1772" s="16" t="inlineStr">
        <is>
          <t>No</t>
        </is>
      </c>
      <c r="AD1772" s="19" t="n">
        <v>-0.2347</v>
      </c>
      <c r="AE1772" s="19" t="n">
        <v>-0.1189</v>
      </c>
      <c r="AF1772" s="19" t="n">
        <v>0.027</v>
      </c>
      <c r="AG1772" s="19" t="n">
        <v>0.06370000000000001</v>
      </c>
      <c r="AH1772" s="23" t="n">
        <v>0.66</v>
      </c>
      <c r="AI1772" s="23" t="n">
        <v>1.96</v>
      </c>
      <c r="AJ1772" s="19" t="n">
        <v>0</v>
      </c>
    </row>
    <row r="1773">
      <c r="A1773" s="16" t="inlineStr">
        <is>
          <t>BIRLAMONEY</t>
        </is>
      </c>
      <c r="B1773" s="16" t="inlineStr">
        <is>
          <t>Aditya Birla Money Ltd.</t>
        </is>
      </c>
      <c r="C1773" s="16" t="inlineStr">
        <is>
          <t>Capital Markets</t>
        </is>
      </c>
      <c r="D1773" s="16" t="inlineStr">
        <is>
          <t>Banking and Finance</t>
        </is>
      </c>
      <c r="E1773" s="16" t="inlineStr">
        <is>
          <t>INE865C01022</t>
        </is>
      </c>
      <c r="F1773" s="17" t="n">
        <v>714.11</v>
      </c>
      <c r="G1773" s="18" t="n">
        <v>126.37</v>
      </c>
      <c r="H1773" s="19" t="n">
        <v>-0.0061</v>
      </c>
      <c r="I1773" s="20" t="n">
        <v>20</v>
      </c>
      <c r="J1773" s="16" t="inlineStr">
        <is>
          <t>red</t>
        </is>
      </c>
      <c r="K1773" s="20" t="n">
        <v>246</v>
      </c>
      <c r="L1773" s="18" t="n">
        <v>36.18</v>
      </c>
      <c r="M1773" s="18" t="n">
        <v>127.72</v>
      </c>
      <c r="N1773" s="18" t="n">
        <v>134.72</v>
      </c>
      <c r="O1773" s="18" t="n">
        <v>135.68</v>
      </c>
      <c r="P1773" s="18" t="n">
        <v>192.3</v>
      </c>
      <c r="Q1773" s="18" t="n">
        <v>96.73</v>
      </c>
      <c r="R1773" s="21">
        <f>IF(OR(G1773="",P1773=""),"",G1773/P1773-1)</f>
        <v/>
      </c>
      <c r="S1773" s="19" t="n">
        <v>1.6646</v>
      </c>
      <c r="T1773" s="22" t="n">
        <v>-0.0225</v>
      </c>
      <c r="U1773" s="16" t="inlineStr">
        <is>
          <t>No</t>
        </is>
      </c>
      <c r="V1773" s="16" t="inlineStr">
        <is>
          <t>No</t>
        </is>
      </c>
      <c r="W1773" s="16" t="inlineStr">
        <is>
          <t>No</t>
        </is>
      </c>
      <c r="X1773" s="16" t="inlineStr">
        <is>
          <t>No</t>
        </is>
      </c>
      <c r="Y1773" s="20" t="n">
        <v>7</v>
      </c>
      <c r="Z1773" s="19" t="n">
        <v>-0.0071</v>
      </c>
      <c r="AA1773" s="18" t="n">
        <v>67.81999999999999</v>
      </c>
      <c r="AB1773" s="16" t="inlineStr">
        <is>
          <t>High</t>
        </is>
      </c>
      <c r="AC1773" s="16" t="inlineStr">
        <is>
          <t>Yes</t>
        </is>
      </c>
      <c r="AD1773" s="19" t="n">
        <v>0.2782</v>
      </c>
      <c r="AE1773" s="19" t="n">
        <v>0.1071</v>
      </c>
      <c r="AF1773" s="19" t="n">
        <v>0.2495</v>
      </c>
      <c r="AG1773" s="19" t="n">
        <v>0.2049</v>
      </c>
      <c r="AH1773" s="23" t="n">
        <v>7</v>
      </c>
      <c r="AI1773" s="23" t="n">
        <v>11.3</v>
      </c>
      <c r="AJ1773" s="19" t="n">
        <v>0</v>
      </c>
    </row>
    <row r="1774">
      <c r="A1774" s="16" t="inlineStr">
        <is>
          <t>BAJAJINDEF</t>
        </is>
      </c>
      <c r="B1774" s="16" t="inlineStr">
        <is>
          <t>Indef Manufacturing Ltd.</t>
        </is>
      </c>
      <c r="C1774" s="16" t="inlineStr">
        <is>
          <t>Industrial Machinery</t>
        </is>
      </c>
      <c r="D1774" s="16" t="inlineStr">
        <is>
          <t>General Industrials</t>
        </is>
      </c>
      <c r="E1774" s="16" t="inlineStr">
        <is>
          <t>INE0O9T01021</t>
        </is>
      </c>
      <c r="F1774" s="17" t="n">
        <v>712.61</v>
      </c>
      <c r="G1774" s="18" t="n">
        <v>222.69</v>
      </c>
      <c r="H1774" s="19" t="n">
        <v>0.008399999999999999</v>
      </c>
      <c r="I1774" s="20" t="n">
        <v>11</v>
      </c>
      <c r="J1774" s="16" t="inlineStr">
        <is>
          <t>red</t>
        </is>
      </c>
      <c r="K1774" s="20" t="n">
        <v>158</v>
      </c>
      <c r="L1774" s="18" t="n">
        <v>59.13</v>
      </c>
      <c r="M1774" s="18" t="n">
        <v>224.62</v>
      </c>
      <c r="N1774" s="18" t="n">
        <v>231.52</v>
      </c>
      <c r="O1774" s="18" t="n">
        <v>270.81</v>
      </c>
      <c r="P1774" s="18" t="n">
        <v>421.59</v>
      </c>
      <c r="Q1774" s="18" t="n">
        <v>207.26</v>
      </c>
      <c r="R1774" s="21">
        <f>IF(OR(G1774="",P1774=""),"",G1774/P1774-1)</f>
        <v/>
      </c>
      <c r="S1774" s="19" t="n">
        <v>1.2002</v>
      </c>
      <c r="T1774" s="22" t="n">
        <v>-0.0539</v>
      </c>
      <c r="U1774" s="16" t="inlineStr">
        <is>
          <t>No</t>
        </is>
      </c>
      <c r="V1774" s="16" t="inlineStr">
        <is>
          <t>No</t>
        </is>
      </c>
      <c r="W1774" s="16" t="inlineStr">
        <is>
          <t>No</t>
        </is>
      </c>
      <c r="X1774" s="16" t="inlineStr">
        <is>
          <t>No</t>
        </is>
      </c>
      <c r="Y1774" s="20" t="n">
        <v>168</v>
      </c>
      <c r="Z1774" s="19" t="n">
        <v>-0.1451</v>
      </c>
      <c r="AA1774" s="18" t="n">
        <v>63.04</v>
      </c>
      <c r="AB1774" s="16" t="inlineStr">
        <is>
          <t>Good</t>
        </is>
      </c>
      <c r="AC1774" s="16" t="inlineStr">
        <is>
          <t>No</t>
        </is>
      </c>
      <c r="AD1774" s="19" t="n">
        <v>0.4114</v>
      </c>
      <c r="AE1774" s="19" t="n">
        <v>-0.6429</v>
      </c>
      <c r="AF1774" s="19" t="n">
        <v>534.3455</v>
      </c>
      <c r="AG1774" s="19" t="n">
        <v>0.1583</v>
      </c>
      <c r="AH1774" s="23" t="n">
        <v>0.02</v>
      </c>
      <c r="AI1774" s="23" t="n">
        <v>6.19</v>
      </c>
      <c r="AJ1774" s="19" t="n">
        <v>0.0051</v>
      </c>
    </row>
    <row r="1775">
      <c r="A1775" s="16" t="inlineStr">
        <is>
          <t>TOTEM</t>
        </is>
      </c>
      <c r="B1775" s="16" t="inlineStr">
        <is>
          <t>Forbes Precision Tools and Machine Parts Ltd.</t>
        </is>
      </c>
      <c r="C1775" s="16" t="inlineStr">
        <is>
          <t>Industrial Machinery</t>
        </is>
      </c>
      <c r="D1775" s="16" t="inlineStr">
        <is>
          <t>General Industrials</t>
        </is>
      </c>
      <c r="E1775" s="16" t="inlineStr">
        <is>
          <t>INE0TT901016</t>
        </is>
      </c>
      <c r="F1775" s="17" t="n">
        <v>710.2</v>
      </c>
      <c r="G1775" s="18" t="n">
        <v>137.65</v>
      </c>
      <c r="H1775" s="19" t="n">
        <v>-0.0282</v>
      </c>
      <c r="I1775" s="20" t="n">
        <v>31</v>
      </c>
      <c r="J1775" s="16" t="inlineStr">
        <is>
          <t>red</t>
        </is>
      </c>
      <c r="K1775" s="20" t="n">
        <v>70</v>
      </c>
      <c r="L1775" s="18" t="n">
        <v>43.97</v>
      </c>
      <c r="M1775" s="18" t="n">
        <v>141.01</v>
      </c>
      <c r="N1775" s="18" t="n">
        <v>136.81</v>
      </c>
      <c r="O1775" s="18" t="n">
        <v>136.38</v>
      </c>
      <c r="P1775" s="18" t="n">
        <v>186.5</v>
      </c>
      <c r="Q1775" s="18" t="n">
        <v>102.14</v>
      </c>
      <c r="R1775" s="21">
        <f>IF(OR(G1775="",P1775=""),"",G1775/P1775-1)</f>
        <v/>
      </c>
      <c r="S1775" s="19" t="n">
        <v>0.5606</v>
      </c>
      <c r="T1775" s="22" t="n">
        <v>-0.0236</v>
      </c>
      <c r="U1775" s="16" t="inlineStr">
        <is>
          <t>No</t>
        </is>
      </c>
      <c r="V1775" s="16" t="inlineStr">
        <is>
          <t>Yes</t>
        </is>
      </c>
      <c r="W1775" s="16" t="inlineStr">
        <is>
          <t>No</t>
        </is>
      </c>
      <c r="X1775" s="16" t="inlineStr">
        <is>
          <t>Yes</t>
        </is>
      </c>
      <c r="Y1775" s="20" t="n">
        <v>6</v>
      </c>
      <c r="Z1775" s="19" t="n">
        <v>0.0032</v>
      </c>
      <c r="AA1775" s="18" t="n"/>
      <c r="AB1775" s="16" t="n"/>
      <c r="AC1775" s="16" t="inlineStr">
        <is>
          <t>No</t>
        </is>
      </c>
      <c r="AD1775" s="19" t="n"/>
      <c r="AE1775" s="19" t="n"/>
      <c r="AF1775" s="19" t="n"/>
      <c r="AG1775" s="19" t="n"/>
      <c r="AH1775" s="23" t="n"/>
      <c r="AI1775" s="23" t="n"/>
      <c r="AJ1775" s="19" t="n"/>
    </row>
    <row r="1776">
      <c r="A1776" s="16" t="inlineStr">
        <is>
          <t>ENKEIWHEL</t>
        </is>
      </c>
      <c r="B1776" s="16" t="inlineStr">
        <is>
          <t>Enkei Wheels (India) Ltd.</t>
        </is>
      </c>
      <c r="C1776" s="16" t="inlineStr">
        <is>
          <t>Auto Parts &amp; Equipment</t>
        </is>
      </c>
      <c r="D1776" s="16" t="inlineStr">
        <is>
          <t>Automobiles &amp; Auto Components</t>
        </is>
      </c>
      <c r="E1776" s="16" t="inlineStr">
        <is>
          <t>INE130L01014</t>
        </is>
      </c>
      <c r="F1776" s="17" t="n">
        <v>709.92</v>
      </c>
      <c r="G1776" s="18" t="n">
        <v>394.95</v>
      </c>
      <c r="H1776" s="19" t="n">
        <v>0.0304</v>
      </c>
      <c r="I1776" s="20" t="n">
        <v>20</v>
      </c>
      <c r="J1776" s="16" t="inlineStr">
        <is>
          <t>red</t>
        </is>
      </c>
      <c r="K1776" s="20" t="n">
        <v>377</v>
      </c>
      <c r="L1776" s="18" t="n">
        <v>47.37</v>
      </c>
      <c r="M1776" s="18" t="n">
        <v>397.84</v>
      </c>
      <c r="N1776" s="18" t="n">
        <v>378.72</v>
      </c>
      <c r="O1776" s="18" t="n">
        <v>425.87</v>
      </c>
      <c r="P1776" s="18" t="n">
        <v>537.2</v>
      </c>
      <c r="Q1776" s="18" t="n">
        <v>342.45</v>
      </c>
      <c r="R1776" s="21">
        <f>IF(OR(G1776="",P1776=""),"",G1776/P1776-1)</f>
        <v/>
      </c>
      <c r="S1776" s="19" t="n">
        <v>0.4863</v>
      </c>
      <c r="T1776" s="22" t="n">
        <v>-0.0228</v>
      </c>
      <c r="U1776" s="16" t="inlineStr">
        <is>
          <t>No</t>
        </is>
      </c>
      <c r="V1776" s="16" t="inlineStr">
        <is>
          <t>Yes</t>
        </is>
      </c>
      <c r="W1776" s="16" t="inlineStr">
        <is>
          <t>No</t>
        </is>
      </c>
      <c r="X1776" s="16" t="inlineStr">
        <is>
          <t>No</t>
        </is>
      </c>
      <c r="Y1776" s="20" t="n">
        <v>407</v>
      </c>
      <c r="Z1776" s="19" t="n">
        <v>-0.1107</v>
      </c>
      <c r="AA1776" s="18" t="n"/>
      <c r="AB1776" s="16" t="n"/>
      <c r="AC1776" s="16" t="inlineStr">
        <is>
          <t>No</t>
        </is>
      </c>
      <c r="AD1776" s="19" t="n"/>
      <c r="AE1776" s="19" t="n"/>
      <c r="AF1776" s="19" t="n"/>
      <c r="AG1776" s="19" t="n"/>
      <c r="AH1776" s="23" t="n"/>
      <c r="AI1776" s="23" t="n"/>
      <c r="AJ1776" s="19" t="n"/>
    </row>
    <row r="1777">
      <c r="A1777" s="16" t="inlineStr">
        <is>
          <t>SUSAN</t>
        </is>
      </c>
      <c r="B1777" s="16" t="inlineStr">
        <is>
          <t>Susan Electricals India Ltd.</t>
        </is>
      </c>
      <c r="C1777" s="16" t="inlineStr">
        <is>
          <t>Wires &amp; Cables</t>
        </is>
      </c>
      <c r="D1777" s="16" t="inlineStr">
        <is>
          <t>Consumer Durables</t>
        </is>
      </c>
      <c r="E1777" s="16" t="inlineStr">
        <is>
          <t>INE2L0V01019</t>
        </is>
      </c>
      <c r="F1777" s="17" t="n">
        <v>709.75</v>
      </c>
      <c r="G1777" s="18" t="n">
        <v>349.1</v>
      </c>
      <c r="H1777" s="19" t="n">
        <v>0.0499</v>
      </c>
      <c r="I1777" s="20" t="n"/>
      <c r="J1777" s="16" t="n"/>
      <c r="K1777" s="20" t="n"/>
      <c r="L1777" s="18" t="n">
        <v>76.86</v>
      </c>
      <c r="M1777" s="18" t="n">
        <v>324.13</v>
      </c>
      <c r="N1777" s="18" t="n">
        <v>259.18</v>
      </c>
      <c r="O1777" s="18" t="n"/>
      <c r="P1777" s="18" t="n">
        <v>349.1</v>
      </c>
      <c r="Q1777" s="18" t="n">
        <v>195.3</v>
      </c>
      <c r="R1777" s="21">
        <f>IF(OR(G1777="",P1777=""),"",G1777/P1777-1)</f>
        <v/>
      </c>
      <c r="S1777" s="19" t="n">
        <v>0.1999</v>
      </c>
      <c r="T1777" s="22" t="n"/>
      <c r="U1777" s="16" t="n"/>
      <c r="V1777" s="16" t="inlineStr">
        <is>
          <t>Yes</t>
        </is>
      </c>
      <c r="W1777" s="16" t="inlineStr">
        <is>
          <t>Yes</t>
        </is>
      </c>
      <c r="X1777" s="16" t="n"/>
      <c r="Y1777" s="20" t="n"/>
      <c r="Z1777" s="19" t="n"/>
      <c r="AA1777" s="18" t="n"/>
      <c r="AB1777" s="16" t="n"/>
      <c r="AC1777" s="16" t="inlineStr">
        <is>
          <t>No</t>
        </is>
      </c>
      <c r="AD1777" s="19" t="n"/>
      <c r="AE1777" s="19" t="n"/>
      <c r="AF1777" s="19" t="n"/>
      <c r="AG1777" s="19" t="n"/>
      <c r="AH1777" s="23" t="n"/>
      <c r="AI1777" s="23" t="n"/>
      <c r="AJ1777" s="19" t="n"/>
    </row>
    <row r="1778">
      <c r="A1778" s="16" t="inlineStr">
        <is>
          <t>GEE</t>
        </is>
      </c>
      <c r="B1778" s="16" t="inlineStr">
        <is>
          <t>GEE Ltd.</t>
        </is>
      </c>
      <c r="C1778" s="16" t="inlineStr">
        <is>
          <t>Other Industrial Goods</t>
        </is>
      </c>
      <c r="D1778" s="16" t="inlineStr">
        <is>
          <t>General Industrials</t>
        </is>
      </c>
      <c r="E1778" s="16" t="inlineStr">
        <is>
          <t>INE064H01021</t>
        </is>
      </c>
      <c r="F1778" s="17" t="n">
        <v>709.48</v>
      </c>
      <c r="G1778" s="18" t="n">
        <v>136.5</v>
      </c>
      <c r="H1778" s="19" t="n">
        <v>0.05</v>
      </c>
      <c r="I1778" s="20" t="n">
        <v>91</v>
      </c>
      <c r="J1778" s="16" t="inlineStr">
        <is>
          <t>green</t>
        </is>
      </c>
      <c r="K1778" s="20" t="n">
        <v>53</v>
      </c>
      <c r="L1778" s="18" t="n">
        <v>57.14</v>
      </c>
      <c r="M1778" s="18" t="n">
        <v>131.54</v>
      </c>
      <c r="N1778" s="18" t="n">
        <v>120.16</v>
      </c>
      <c r="O1778" s="18" t="n">
        <v>86.79000000000001</v>
      </c>
      <c r="P1778" s="18" t="n">
        <v>141.3</v>
      </c>
      <c r="Q1778" s="18" t="n">
        <v>53.99</v>
      </c>
      <c r="R1778" s="21">
        <f>IF(OR(G1778="",P1778=""),"",G1778/P1778-1)</f>
        <v/>
      </c>
      <c r="S1778" s="19" t="n">
        <v>1.2799</v>
      </c>
      <c r="T1778" s="22" t="n">
        <v>0.0587</v>
      </c>
      <c r="U1778" s="16" t="inlineStr">
        <is>
          <t>Yes</t>
        </is>
      </c>
      <c r="V1778" s="16" t="inlineStr">
        <is>
          <t>Yes</t>
        </is>
      </c>
      <c r="W1778" s="16" t="inlineStr">
        <is>
          <t>Yes</t>
        </is>
      </c>
      <c r="X1778" s="16" t="inlineStr">
        <is>
          <t>Yes</t>
        </is>
      </c>
      <c r="Y1778" s="20" t="n">
        <v>54</v>
      </c>
      <c r="Z1778" s="19" t="n">
        <v>0.3844</v>
      </c>
      <c r="AA1778" s="18" t="n"/>
      <c r="AB1778" s="16" t="n"/>
      <c r="AC1778" s="16" t="inlineStr">
        <is>
          <t>No</t>
        </is>
      </c>
      <c r="AD1778" s="19" t="n"/>
      <c r="AE1778" s="19" t="n"/>
      <c r="AF1778" s="19" t="n"/>
      <c r="AG1778" s="19" t="n"/>
      <c r="AH1778" s="23" t="n"/>
      <c r="AI1778" s="23" t="n"/>
      <c r="AJ1778" s="19" t="n"/>
    </row>
    <row r="1779">
      <c r="A1779" s="16" t="inlineStr">
        <is>
          <t>MAANALU</t>
        </is>
      </c>
      <c r="B1779" s="16" t="inlineStr">
        <is>
          <t>Maan Aluminium Ltd.</t>
        </is>
      </c>
      <c r="C1779" s="16" t="inlineStr">
        <is>
          <t>Aluminium and Aluminium Products</t>
        </is>
      </c>
      <c r="D1779" s="16" t="inlineStr">
        <is>
          <t>Metals &amp; Mining</t>
        </is>
      </c>
      <c r="E1779" s="16" t="inlineStr">
        <is>
          <t>INE215I01027</t>
        </is>
      </c>
      <c r="F1779" s="17" t="n">
        <v>707.22</v>
      </c>
      <c r="G1779" s="18" t="n">
        <v>117.9</v>
      </c>
      <c r="H1779" s="19" t="n">
        <v>-0.0238</v>
      </c>
      <c r="I1779" s="20" t="n">
        <v>23</v>
      </c>
      <c r="J1779" s="16" t="inlineStr">
        <is>
          <t>red</t>
        </is>
      </c>
      <c r="K1779" s="20" t="n">
        <v>70</v>
      </c>
      <c r="L1779" s="18" t="n">
        <v>46.72</v>
      </c>
      <c r="M1779" s="18" t="n">
        <v>119.37</v>
      </c>
      <c r="N1779" s="18" t="n">
        <v>120.3</v>
      </c>
      <c r="O1779" s="18" t="n">
        <v>137.19</v>
      </c>
      <c r="P1779" s="18" t="n">
        <v>170.98</v>
      </c>
      <c r="Q1779" s="18" t="n">
        <v>104.41</v>
      </c>
      <c r="R1779" s="21">
        <f>IF(OR(G1779="",P1779=""),"",G1779/P1779-1)</f>
        <v/>
      </c>
      <c r="S1779" s="19" t="n">
        <v>1.0407</v>
      </c>
      <c r="T1779" s="22" t="n">
        <v>-0.0139</v>
      </c>
      <c r="U1779" s="16" t="inlineStr">
        <is>
          <t>No</t>
        </is>
      </c>
      <c r="V1779" s="16" t="inlineStr">
        <is>
          <t>No</t>
        </is>
      </c>
      <c r="W1779" s="16" t="inlineStr">
        <is>
          <t>No</t>
        </is>
      </c>
      <c r="X1779" s="16" t="inlineStr">
        <is>
          <t>No</t>
        </is>
      </c>
      <c r="Y1779" s="20" t="n">
        <v>52</v>
      </c>
      <c r="Z1779" s="19" t="n">
        <v>-0.1231</v>
      </c>
      <c r="AA1779" s="18" t="n">
        <v>40</v>
      </c>
      <c r="AB1779" s="16" t="inlineStr">
        <is>
          <t>Weak</t>
        </is>
      </c>
      <c r="AC1779" s="16" t="inlineStr">
        <is>
          <t>No</t>
        </is>
      </c>
      <c r="AD1779" s="19" t="n">
        <v>0.1117</v>
      </c>
      <c r="AE1779" s="19" t="n">
        <v>0.1333</v>
      </c>
      <c r="AF1779" s="19" t="n">
        <v>-0.5145000000000001</v>
      </c>
      <c r="AG1779" s="19" t="n">
        <v>0.0095</v>
      </c>
      <c r="AH1779" s="23" t="n">
        <v>0.2</v>
      </c>
      <c r="AI1779" s="23" t="n">
        <v>6.59</v>
      </c>
      <c r="AJ1779" s="19" t="n">
        <v>0.1267</v>
      </c>
    </row>
    <row r="1780">
      <c r="A1780" s="16" t="inlineStr">
        <is>
          <t>VASCONEQ</t>
        </is>
      </c>
      <c r="B1780" s="16" t="inlineStr">
        <is>
          <t>Vascon Engineers Ltd.</t>
        </is>
      </c>
      <c r="C1780" s="16" t="inlineStr">
        <is>
          <t>Construction &amp; Engineering</t>
        </is>
      </c>
      <c r="D1780" s="16" t="inlineStr">
        <is>
          <t>Cement and Construction</t>
        </is>
      </c>
      <c r="E1780" s="16" t="inlineStr">
        <is>
          <t>INE893I01013</t>
        </is>
      </c>
      <c r="F1780" s="17" t="n">
        <v>705.98</v>
      </c>
      <c r="G1780" s="18" t="n">
        <v>30.47</v>
      </c>
      <c r="H1780" s="19" t="n">
        <v>0.014</v>
      </c>
      <c r="I1780" s="20" t="n">
        <v>8</v>
      </c>
      <c r="J1780" s="16" t="inlineStr">
        <is>
          <t>red</t>
        </is>
      </c>
      <c r="K1780" s="20" t="n">
        <v>192</v>
      </c>
      <c r="L1780" s="18" t="n">
        <v>43.55</v>
      </c>
      <c r="M1780" s="18" t="n">
        <v>30.55</v>
      </c>
      <c r="N1780" s="18" t="n">
        <v>32.22</v>
      </c>
      <c r="O1780" s="18" t="n">
        <v>37.67</v>
      </c>
      <c r="P1780" s="18" t="n">
        <v>71.28</v>
      </c>
      <c r="Q1780" s="18" t="n">
        <v>27.06</v>
      </c>
      <c r="R1780" s="21">
        <f>IF(OR(G1780="",P1780=""),"",G1780/P1780-1)</f>
        <v/>
      </c>
      <c r="S1780" s="19" t="n">
        <v>0.5639999999999999</v>
      </c>
      <c r="T1780" s="22" t="n">
        <v>-0.0764</v>
      </c>
      <c r="U1780" s="16" t="inlineStr">
        <is>
          <t>No</t>
        </is>
      </c>
      <c r="V1780" s="16" t="inlineStr">
        <is>
          <t>No</t>
        </is>
      </c>
      <c r="W1780" s="16" t="inlineStr">
        <is>
          <t>No</t>
        </is>
      </c>
      <c r="X1780" s="16" t="inlineStr">
        <is>
          <t>No</t>
        </is>
      </c>
      <c r="Y1780" s="20" t="n">
        <v>166</v>
      </c>
      <c r="Z1780" s="19" t="n">
        <v>-0.1446</v>
      </c>
      <c r="AA1780" s="18" t="n">
        <v>36.47</v>
      </c>
      <c r="AB1780" s="16" t="inlineStr">
        <is>
          <t>Weak</t>
        </is>
      </c>
      <c r="AC1780" s="16" t="inlineStr">
        <is>
          <t>No</t>
        </is>
      </c>
      <c r="AD1780" s="19" t="n">
        <v>0.0765</v>
      </c>
      <c r="AE1780" s="19" t="n">
        <v>0.08359999999999999</v>
      </c>
      <c r="AF1780" s="19" t="n">
        <v>-0.0152</v>
      </c>
      <c r="AG1780" s="19" t="n">
        <v>0.0229</v>
      </c>
      <c r="AH1780" s="23" t="n">
        <v>0.26</v>
      </c>
      <c r="AI1780" s="23" t="n">
        <v>22.71</v>
      </c>
      <c r="AJ1780" s="19" t="n">
        <v>0</v>
      </c>
    </row>
    <row r="1781">
      <c r="A1781" s="16" t="inlineStr">
        <is>
          <t>GANESHCP</t>
        </is>
      </c>
      <c r="B1781" s="16" t="inlineStr">
        <is>
          <t>Ganesh Consumer Products Ltd.</t>
        </is>
      </c>
      <c r="C1781" s="16" t="inlineStr">
        <is>
          <t>Packaged Foods</t>
        </is>
      </c>
      <c r="D1781" s="16" t="inlineStr">
        <is>
          <t>FMCG</t>
        </is>
      </c>
      <c r="E1781" s="16" t="inlineStr">
        <is>
          <t>INE652V01016</t>
        </is>
      </c>
      <c r="F1781" s="17" t="n">
        <v>705.04</v>
      </c>
      <c r="G1781" s="18" t="n">
        <v>174.46</v>
      </c>
      <c r="H1781" s="19" t="n">
        <v>0.0334</v>
      </c>
      <c r="I1781" s="20" t="n">
        <v>14</v>
      </c>
      <c r="J1781" s="16" t="inlineStr">
        <is>
          <t>red</t>
        </is>
      </c>
      <c r="K1781" s="20" t="n">
        <v>57</v>
      </c>
      <c r="L1781" s="18" t="n">
        <v>63.96</v>
      </c>
      <c r="M1781" s="18" t="n">
        <v>169.23</v>
      </c>
      <c r="N1781" s="18" t="n">
        <v>172.8</v>
      </c>
      <c r="O1781" s="18" t="n">
        <v>194.1</v>
      </c>
      <c r="P1781" s="18" t="n">
        <v>298.28</v>
      </c>
      <c r="Q1781" s="18" t="n">
        <v>153.11</v>
      </c>
      <c r="R1781" s="21">
        <f>IF(OR(G1781="",P1781=""),"",G1781/P1781-1)</f>
        <v/>
      </c>
      <c r="S1781" s="19" t="n">
        <v>0.5971</v>
      </c>
      <c r="T1781" s="22" t="n">
        <v>-0.0544</v>
      </c>
      <c r="U1781" s="16" t="inlineStr">
        <is>
          <t>No</t>
        </is>
      </c>
      <c r="V1781" s="16" t="inlineStr">
        <is>
          <t>Yes</t>
        </is>
      </c>
      <c r="W1781" s="16" t="inlineStr">
        <is>
          <t>Yes</t>
        </is>
      </c>
      <c r="X1781" s="16" t="inlineStr">
        <is>
          <t>No</t>
        </is>
      </c>
      <c r="Y1781" s="20" t="n">
        <v>34</v>
      </c>
      <c r="Z1781" s="19" t="n">
        <v>-0.1098</v>
      </c>
      <c r="AA1781" s="18" t="n">
        <v>40</v>
      </c>
      <c r="AB1781" s="16" t="inlineStr">
        <is>
          <t>Weak</t>
        </is>
      </c>
      <c r="AC1781" s="16" t="inlineStr">
        <is>
          <t>No</t>
        </is>
      </c>
      <c r="AD1781" s="19" t="n">
        <v>0.1308</v>
      </c>
      <c r="AE1781" s="19" t="n">
        <v>0.1694</v>
      </c>
      <c r="AF1781" s="19" t="n">
        <v>-0.2305</v>
      </c>
      <c r="AG1781" s="19" t="n">
        <v>0.1313</v>
      </c>
      <c r="AH1781" s="23" t="n">
        <v>0.07000000000000001</v>
      </c>
      <c r="AI1781" s="23" t="n">
        <v>4.59</v>
      </c>
      <c r="AJ1781" s="19" t="n">
        <v>0.0188</v>
      </c>
    </row>
    <row r="1782">
      <c r="A1782" s="16" t="inlineStr">
        <is>
          <t>MANAKSTEEL</t>
        </is>
      </c>
      <c r="B1782" s="16" t="inlineStr">
        <is>
          <t>Manaksia Steels Ltd.</t>
        </is>
      </c>
      <c r="C1782" s="16" t="inlineStr">
        <is>
          <t>Iron &amp; Steel/Interm.Products</t>
        </is>
      </c>
      <c r="D1782" s="16" t="inlineStr">
        <is>
          <t>Metals &amp; Mining</t>
        </is>
      </c>
      <c r="E1782" s="16" t="inlineStr">
        <is>
          <t>INE824Q01011</t>
        </is>
      </c>
      <c r="F1782" s="17" t="n">
        <v>703.1799999999999</v>
      </c>
      <c r="G1782" s="18" t="n">
        <v>107.3</v>
      </c>
      <c r="H1782" s="19" t="n">
        <v>-0.0412</v>
      </c>
      <c r="I1782" s="20" t="n">
        <v>92</v>
      </c>
      <c r="J1782" s="16" t="inlineStr">
        <is>
          <t>green</t>
        </is>
      </c>
      <c r="K1782" s="20" t="n">
        <v>10</v>
      </c>
      <c r="L1782" s="18" t="n">
        <v>81.86</v>
      </c>
      <c r="M1782" s="18" t="n">
        <v>100.53</v>
      </c>
      <c r="N1782" s="18" t="n">
        <v>81.90000000000001</v>
      </c>
      <c r="O1782" s="18" t="n">
        <v>67.75</v>
      </c>
      <c r="P1782" s="18" t="n">
        <v>111.91</v>
      </c>
      <c r="Q1782" s="18" t="n">
        <v>45.99</v>
      </c>
      <c r="R1782" s="21">
        <f>IF(OR(G1782="",P1782=""),"",G1782/P1782-1)</f>
        <v/>
      </c>
      <c r="S1782" s="19" t="n">
        <v>0.9248999999999999</v>
      </c>
      <c r="T1782" s="22" t="n">
        <v>0.0492</v>
      </c>
      <c r="U1782" s="16" t="inlineStr">
        <is>
          <t>Yes</t>
        </is>
      </c>
      <c r="V1782" s="16" t="inlineStr">
        <is>
          <t>Yes</t>
        </is>
      </c>
      <c r="W1782" s="16" t="inlineStr">
        <is>
          <t>Yes</t>
        </is>
      </c>
      <c r="X1782" s="16" t="inlineStr">
        <is>
          <t>Yes</t>
        </is>
      </c>
      <c r="Y1782" s="20" t="n">
        <v>74</v>
      </c>
      <c r="Z1782" s="19" t="n">
        <v>0.2089</v>
      </c>
      <c r="AA1782" s="18" t="n">
        <v>40</v>
      </c>
      <c r="AB1782" s="16" t="inlineStr">
        <is>
          <t>Weak</t>
        </is>
      </c>
      <c r="AC1782" s="16" t="inlineStr">
        <is>
          <t>No</t>
        </is>
      </c>
      <c r="AD1782" s="19" t="n">
        <v>0.08359999999999999</v>
      </c>
      <c r="AE1782" s="19" t="n">
        <v>0.0935</v>
      </c>
      <c r="AF1782" s="19" t="n">
        <v>-0.1093</v>
      </c>
      <c r="AG1782" s="19" t="n">
        <v>0.2108</v>
      </c>
      <c r="AH1782" s="23" t="n">
        <v>0.46</v>
      </c>
      <c r="AI1782" s="23" t="n">
        <v>6.13</v>
      </c>
      <c r="AJ1782" s="19" t="n">
        <v>0.1774</v>
      </c>
    </row>
    <row r="1783">
      <c r="A1783" s="16" t="inlineStr">
        <is>
          <t>KALYANI</t>
        </is>
      </c>
      <c r="B1783" s="16" t="inlineStr">
        <is>
          <t>Kalyani Cast-Tech Ltd.</t>
        </is>
      </c>
      <c r="C1783" s="16" t="inlineStr">
        <is>
          <t>Other Industrial Products</t>
        </is>
      </c>
      <c r="D1783" s="16" t="inlineStr">
        <is>
          <t>General Industrials</t>
        </is>
      </c>
      <c r="E1783" s="16" t="inlineStr">
        <is>
          <t>INE0N6U01018</t>
        </is>
      </c>
      <c r="F1783" s="17" t="n">
        <v>701.4299999999999</v>
      </c>
      <c r="G1783" s="18" t="n">
        <v>976.85</v>
      </c>
      <c r="H1783" s="19" t="n">
        <v>-0.0153</v>
      </c>
      <c r="I1783" s="20" t="n">
        <v>93</v>
      </c>
      <c r="J1783" s="16" t="inlineStr">
        <is>
          <t>green</t>
        </is>
      </c>
      <c r="K1783" s="20" t="n">
        <v>21</v>
      </c>
      <c r="L1783" s="18" t="n">
        <v>60.84</v>
      </c>
      <c r="M1783" s="18" t="n">
        <v>1020.78</v>
      </c>
      <c r="N1783" s="18" t="n">
        <v>815.9299999999999</v>
      </c>
      <c r="O1783" s="18" t="n">
        <v>609.98</v>
      </c>
      <c r="P1783" s="18" t="n">
        <v>1094.3</v>
      </c>
      <c r="Q1783" s="18" t="n">
        <v>439</v>
      </c>
      <c r="R1783" s="21">
        <f>IF(OR(G1783="",P1783=""),"",G1783/P1783-1)</f>
        <v/>
      </c>
      <c r="S1783" s="19" t="n">
        <v>0.8260999999999999</v>
      </c>
      <c r="T1783" s="22" t="n">
        <v>0.06419999999999999</v>
      </c>
      <c r="U1783" s="16" t="inlineStr">
        <is>
          <t>Yes</t>
        </is>
      </c>
      <c r="V1783" s="16" t="inlineStr">
        <is>
          <t>Yes</t>
        </is>
      </c>
      <c r="W1783" s="16" t="inlineStr">
        <is>
          <t>No</t>
        </is>
      </c>
      <c r="X1783" s="16" t="inlineStr">
        <is>
          <t>Yes</t>
        </is>
      </c>
      <c r="Y1783" s="20" t="n">
        <v>97</v>
      </c>
      <c r="Z1783" s="19" t="n">
        <v>0.3376</v>
      </c>
      <c r="AA1783" s="18" t="n"/>
      <c r="AB1783" s="16" t="n"/>
      <c r="AC1783" s="16" t="inlineStr">
        <is>
          <t>No</t>
        </is>
      </c>
      <c r="AD1783" s="19" t="n"/>
      <c r="AE1783" s="19" t="n"/>
      <c r="AF1783" s="19" t="n"/>
      <c r="AG1783" s="19" t="n"/>
      <c r="AH1783" s="23" t="n"/>
      <c r="AI1783" s="23" t="n"/>
      <c r="AJ1783" s="19" t="n"/>
    </row>
    <row r="1784">
      <c r="A1784" s="16" t="inlineStr">
        <is>
          <t>EMAMIPAP</t>
        </is>
      </c>
      <c r="B1784" s="16" t="inlineStr">
        <is>
          <t>Emami Paper Mills Ltd.</t>
        </is>
      </c>
      <c r="C1784" s="16" t="inlineStr">
        <is>
          <t>Paper &amp; Paper Products</t>
        </is>
      </c>
      <c r="D1784" s="16" t="inlineStr">
        <is>
          <t>Commercial Services &amp; Supplies</t>
        </is>
      </c>
      <c r="E1784" s="16" t="inlineStr">
        <is>
          <t>INE830C01026</t>
        </is>
      </c>
      <c r="F1784" s="17" t="n">
        <v>701.3</v>
      </c>
      <c r="G1784" s="18" t="n">
        <v>115.92</v>
      </c>
      <c r="H1784" s="19" t="n">
        <v>0.05</v>
      </c>
      <c r="I1784" s="20" t="n">
        <v>79</v>
      </c>
      <c r="J1784" s="16" t="inlineStr">
        <is>
          <t>amber</t>
        </is>
      </c>
      <c r="K1784" s="20" t="n">
        <v>7</v>
      </c>
      <c r="L1784" s="18" t="n">
        <v>60.32</v>
      </c>
      <c r="M1784" s="18" t="n">
        <v>113.25</v>
      </c>
      <c r="N1784" s="18" t="n">
        <v>102.44</v>
      </c>
      <c r="O1784" s="18" t="n">
        <v>85.26000000000001</v>
      </c>
      <c r="P1784" s="18" t="n">
        <v>119.61</v>
      </c>
      <c r="Q1784" s="18" t="n">
        <v>55.09</v>
      </c>
      <c r="R1784" s="21">
        <f>IF(OR(G1784="",P1784=""),"",G1784/P1784-1)</f>
        <v/>
      </c>
      <c r="S1784" s="19" t="n">
        <v>0.7295</v>
      </c>
      <c r="T1784" s="22" t="n">
        <v>0.0207</v>
      </c>
      <c r="U1784" s="16" t="inlineStr">
        <is>
          <t>Yes</t>
        </is>
      </c>
      <c r="V1784" s="16" t="inlineStr">
        <is>
          <t>Yes</t>
        </is>
      </c>
      <c r="W1784" s="16" t="inlineStr">
        <is>
          <t>Yes</t>
        </is>
      </c>
      <c r="X1784" s="16" t="inlineStr">
        <is>
          <t>Yes</t>
        </is>
      </c>
      <c r="Y1784" s="20" t="n">
        <v>33</v>
      </c>
      <c r="Z1784" s="19" t="n">
        <v>0.2015</v>
      </c>
      <c r="AA1784" s="18" t="n">
        <v>28.64</v>
      </c>
      <c r="AB1784" s="16" t="inlineStr">
        <is>
          <t>Poor</t>
        </is>
      </c>
      <c r="AC1784" s="16" t="inlineStr">
        <is>
          <t>No</t>
        </is>
      </c>
      <c r="AD1784" s="19" t="n">
        <v>0.08470000000000001</v>
      </c>
      <c r="AE1784" s="19" t="n">
        <v>0.1022</v>
      </c>
      <c r="AF1784" s="19" t="n">
        <v>0.3828</v>
      </c>
      <c r="AG1784" s="19" t="n">
        <v>-0.0675</v>
      </c>
      <c r="AH1784" s="23" t="n">
        <v>1.42</v>
      </c>
      <c r="AI1784" s="23" t="n">
        <v>1.85</v>
      </c>
      <c r="AJ1784" s="19" t="n">
        <v>0.004500000000000001</v>
      </c>
    </row>
    <row r="1785">
      <c r="A1785" s="16" t="inlineStr">
        <is>
          <t>BAFNAPH</t>
        </is>
      </c>
      <c r="B1785" s="16" t="inlineStr">
        <is>
          <t>Bafna Pharmaceuticals Ltd.</t>
        </is>
      </c>
      <c r="C1785" s="16" t="inlineStr">
        <is>
          <t>Pharmaceuticals</t>
        </is>
      </c>
      <c r="D1785" s="16" t="inlineStr">
        <is>
          <t>Pharmaceuticals &amp; Biotechnology</t>
        </is>
      </c>
      <c r="E1785" s="16" t="inlineStr">
        <is>
          <t>INE878I01022</t>
        </is>
      </c>
      <c r="F1785" s="17" t="n">
        <v>699.87</v>
      </c>
      <c r="G1785" s="18" t="n">
        <v>295.85</v>
      </c>
      <c r="H1785" s="19" t="n">
        <v>-0.0199</v>
      </c>
      <c r="I1785" s="20" t="n">
        <v>96</v>
      </c>
      <c r="J1785" s="16" t="inlineStr">
        <is>
          <t>green</t>
        </is>
      </c>
      <c r="K1785" s="20" t="n">
        <v>71</v>
      </c>
      <c r="L1785" s="18" t="n">
        <v>69.20999999999999</v>
      </c>
      <c r="M1785" s="18" t="n">
        <v>296.47</v>
      </c>
      <c r="N1785" s="18" t="n">
        <v>249.83</v>
      </c>
      <c r="O1785" s="18" t="n">
        <v>164.46</v>
      </c>
      <c r="P1785" s="18" t="n">
        <v>312.6</v>
      </c>
      <c r="Q1785" s="18" t="n">
        <v>99.04000000000001</v>
      </c>
      <c r="R1785" s="21">
        <f>IF(OR(G1785="",P1785=""),"",G1785/P1785-1)</f>
        <v/>
      </c>
      <c r="S1785" s="19" t="n">
        <v>0.1545</v>
      </c>
      <c r="T1785" s="22" t="n">
        <v>0.0755</v>
      </c>
      <c r="U1785" s="16" t="inlineStr">
        <is>
          <t>Yes</t>
        </is>
      </c>
      <c r="V1785" s="16" t="inlineStr">
        <is>
          <t>Yes</t>
        </is>
      </c>
      <c r="W1785" s="16" t="inlineStr">
        <is>
          <t>No</t>
        </is>
      </c>
      <c r="X1785" s="16" t="inlineStr">
        <is>
          <t>Yes</t>
        </is>
      </c>
      <c r="Y1785" s="20" t="n">
        <v>64</v>
      </c>
      <c r="Z1785" s="19" t="n">
        <v>0.5191</v>
      </c>
      <c r="AA1785" s="18" t="n">
        <v>39.29</v>
      </c>
      <c r="AB1785" s="16" t="inlineStr">
        <is>
          <t>Weak</t>
        </is>
      </c>
      <c r="AC1785" s="16" t="inlineStr">
        <is>
          <t>No</t>
        </is>
      </c>
      <c r="AD1785" s="19" t="n">
        <v>0.0851</v>
      </c>
      <c r="AE1785" s="19" t="n">
        <v>0.0862</v>
      </c>
      <c r="AF1785" s="19" t="n">
        <v>0.2933</v>
      </c>
      <c r="AG1785" s="19" t="n">
        <v>0.1037</v>
      </c>
      <c r="AH1785" s="23" t="n">
        <v>0.39</v>
      </c>
      <c r="AI1785" s="23" t="n">
        <v>1.77</v>
      </c>
      <c r="AJ1785" s="19" t="n">
        <v>0.0369</v>
      </c>
    </row>
    <row r="1786">
      <c r="A1786" s="16" t="inlineStr">
        <is>
          <t>HTEL</t>
        </is>
      </c>
      <c r="B1786" s="16" t="inlineStr">
        <is>
          <t>Hy-Tech Engineers Ltd.</t>
        </is>
      </c>
      <c r="C1786" s="16" t="inlineStr">
        <is>
          <t>Other Industrial Products</t>
        </is>
      </c>
      <c r="D1786" s="16" t="inlineStr">
        <is>
          <t>General Industrials</t>
        </is>
      </c>
      <c r="E1786" s="16" t="inlineStr">
        <is>
          <t>INE0LEG01024</t>
        </is>
      </c>
      <c r="F1786" s="17" t="n">
        <v>698.59</v>
      </c>
      <c r="G1786" s="18" t="n">
        <v>73.65000000000001</v>
      </c>
      <c r="H1786" s="19" t="n">
        <v>-0.0145</v>
      </c>
      <c r="I1786" s="20" t="n"/>
      <c r="J1786" s="16" t="n"/>
      <c r="K1786" s="20" t="n"/>
      <c r="L1786" s="18" t="n"/>
      <c r="M1786" s="18" t="n"/>
      <c r="N1786" s="18" t="n"/>
      <c r="O1786" s="18" t="n"/>
      <c r="P1786" s="18" t="n">
        <v>78.75</v>
      </c>
      <c r="Q1786" s="18" t="n">
        <v>73.65000000000001</v>
      </c>
      <c r="R1786" s="21">
        <f>IF(OR(G1786="",P1786=""),"",G1786/P1786-1)</f>
        <v/>
      </c>
      <c r="S1786" s="19" t="n">
        <v>0.3628</v>
      </c>
      <c r="T1786" s="22" t="n"/>
      <c r="U1786" s="16" t="n"/>
      <c r="V1786" s="16" t="n"/>
      <c r="W1786" s="16" t="n"/>
      <c r="X1786" s="16" t="n"/>
      <c r="Y1786" s="20" t="n"/>
      <c r="Z1786" s="19" t="n"/>
      <c r="AA1786" s="18" t="n"/>
      <c r="AB1786" s="16" t="n"/>
      <c r="AC1786" s="16" t="inlineStr">
        <is>
          <t>No</t>
        </is>
      </c>
      <c r="AD1786" s="19" t="n"/>
      <c r="AE1786" s="19" t="n"/>
      <c r="AF1786" s="19" t="n"/>
      <c r="AG1786" s="19" t="n"/>
      <c r="AH1786" s="23" t="n"/>
      <c r="AI1786" s="23" t="n"/>
      <c r="AJ1786" s="19" t="n"/>
    </row>
    <row r="1787">
      <c r="A1787" s="16" t="inlineStr">
        <is>
          <t>MAXGROW</t>
        </is>
      </c>
      <c r="B1787" s="16" t="inlineStr">
        <is>
          <t>Maxgrow India Ltd.</t>
        </is>
      </c>
      <c r="C1787" s="16" t="inlineStr">
        <is>
          <t>BPO/KPO</t>
        </is>
      </c>
      <c r="D1787" s="16" t="inlineStr">
        <is>
          <t>Software &amp; Services</t>
        </is>
      </c>
      <c r="E1787" s="16" t="inlineStr">
        <is>
          <t>INE485D01043</t>
        </is>
      </c>
      <c r="F1787" s="17" t="n">
        <v>697.24</v>
      </c>
      <c r="G1787" s="18" t="n">
        <v>174.55</v>
      </c>
      <c r="H1787" s="19" t="n">
        <v>0.0199</v>
      </c>
      <c r="I1787" s="20" t="n">
        <v>99</v>
      </c>
      <c r="J1787" s="16" t="inlineStr">
        <is>
          <t>green</t>
        </is>
      </c>
      <c r="K1787" s="20" t="n">
        <v>432</v>
      </c>
      <c r="L1787" s="18" t="n">
        <v>100</v>
      </c>
      <c r="M1787" s="18" t="n">
        <v>161.46</v>
      </c>
      <c r="N1787" s="18" t="n">
        <v>95.42</v>
      </c>
      <c r="O1787" s="18" t="n">
        <v>60.8</v>
      </c>
      <c r="P1787" s="18" t="n">
        <v>174.55</v>
      </c>
      <c r="Q1787" s="18" t="n">
        <v>12.76</v>
      </c>
      <c r="R1787" s="21">
        <f>IF(OR(G1787="",P1787=""),"",G1787/P1787-1)</f>
        <v/>
      </c>
      <c r="S1787" s="19" t="n">
        <v>0.0259</v>
      </c>
      <c r="T1787" s="22" t="n">
        <v>0.2045</v>
      </c>
      <c r="U1787" s="16" t="inlineStr">
        <is>
          <t>Yes</t>
        </is>
      </c>
      <c r="V1787" s="16" t="inlineStr">
        <is>
          <t>Yes</t>
        </is>
      </c>
      <c r="W1787" s="16" t="inlineStr">
        <is>
          <t>Yes</t>
        </is>
      </c>
      <c r="X1787" s="16" t="inlineStr">
        <is>
          <t>Yes</t>
        </is>
      </c>
      <c r="Y1787" s="20" t="n">
        <v>198</v>
      </c>
      <c r="Z1787" s="19" t="n">
        <v>0.5693</v>
      </c>
      <c r="AA1787" s="18" t="n"/>
      <c r="AB1787" s="16" t="n"/>
      <c r="AC1787" s="16" t="inlineStr">
        <is>
          <t>No</t>
        </is>
      </c>
      <c r="AD1787" s="19" t="n"/>
      <c r="AE1787" s="19" t="n"/>
      <c r="AF1787" s="19" t="n"/>
      <c r="AG1787" s="19" t="n"/>
      <c r="AH1787" s="23" t="n"/>
      <c r="AI1787" s="23" t="n"/>
      <c r="AJ1787" s="19" t="n"/>
    </row>
    <row r="1788">
      <c r="A1788" s="16" t="inlineStr">
        <is>
          <t>MERCURYEV</t>
        </is>
      </c>
      <c r="B1788" s="16" t="inlineStr">
        <is>
          <t>Mercury Ev-Tech Ltd.</t>
        </is>
      </c>
      <c r="C1788" s="16" t="inlineStr">
        <is>
          <t>Cars &amp; Utility Vehicles</t>
        </is>
      </c>
      <c r="D1788" s="16" t="inlineStr">
        <is>
          <t>Automobiles &amp; Auto Components</t>
        </is>
      </c>
      <c r="E1788" s="16" t="inlineStr">
        <is>
          <t>INE763M01028</t>
        </is>
      </c>
      <c r="F1788" s="17" t="n">
        <v>697.01</v>
      </c>
      <c r="G1788" s="18" t="n">
        <v>36.69</v>
      </c>
      <c r="H1788" s="19" t="n">
        <v>-0.0121</v>
      </c>
      <c r="I1788" s="20" t="n">
        <v>39</v>
      </c>
      <c r="J1788" s="16" t="inlineStr">
        <is>
          <t>red</t>
        </is>
      </c>
      <c r="K1788" s="20" t="n">
        <v>11</v>
      </c>
      <c r="L1788" s="18" t="n">
        <v>54.44</v>
      </c>
      <c r="M1788" s="18" t="n">
        <v>37.87</v>
      </c>
      <c r="N1788" s="18" t="n">
        <v>36.05</v>
      </c>
      <c r="O1788" s="18" t="n">
        <v>34.71</v>
      </c>
      <c r="P1788" s="18" t="n">
        <v>51.79</v>
      </c>
      <c r="Q1788" s="18" t="n">
        <v>20.33</v>
      </c>
      <c r="R1788" s="21">
        <f>IF(OR(G1788="",P1788=""),"",G1788/P1788-1)</f>
        <v/>
      </c>
      <c r="S1788" s="19" t="n">
        <v>0.3491</v>
      </c>
      <c r="T1788" s="22" t="n">
        <v>-0.0157</v>
      </c>
      <c r="U1788" s="16" t="inlineStr">
        <is>
          <t>No</t>
        </is>
      </c>
      <c r="V1788" s="16" t="inlineStr">
        <is>
          <t>Yes</t>
        </is>
      </c>
      <c r="W1788" s="16" t="inlineStr">
        <is>
          <t>No</t>
        </is>
      </c>
      <c r="X1788" s="16" t="inlineStr">
        <is>
          <t>Yes</t>
        </is>
      </c>
      <c r="Y1788" s="20" t="n">
        <v>12</v>
      </c>
      <c r="Z1788" s="19" t="n">
        <v>0.0386</v>
      </c>
      <c r="AA1788" s="18" t="n"/>
      <c r="AB1788" s="16" t="n"/>
      <c r="AC1788" s="16" t="inlineStr">
        <is>
          <t>No</t>
        </is>
      </c>
      <c r="AD1788" s="19" t="n"/>
      <c r="AE1788" s="19" t="n"/>
      <c r="AF1788" s="19" t="n"/>
      <c r="AG1788" s="19" t="n"/>
      <c r="AH1788" s="23" t="n"/>
      <c r="AI1788" s="23" t="n"/>
      <c r="AJ1788" s="19" t="n"/>
    </row>
    <row r="1789">
      <c r="A1789" s="16" t="inlineStr">
        <is>
          <t>PRAVEG</t>
        </is>
      </c>
      <c r="B1789" s="16" t="inlineStr">
        <is>
          <t>Praveg Ltd.</t>
        </is>
      </c>
      <c r="C1789" s="16" t="inlineStr">
        <is>
          <t>Advertising &amp; Media</t>
        </is>
      </c>
      <c r="D1789" s="16" t="inlineStr">
        <is>
          <t>Media</t>
        </is>
      </c>
      <c r="E1789" s="16" t="inlineStr">
        <is>
          <t>INE722B01019</t>
        </is>
      </c>
      <c r="F1789" s="17" t="n">
        <v>696.13</v>
      </c>
      <c r="G1789" s="18" t="n">
        <v>266.3</v>
      </c>
      <c r="H1789" s="19" t="n">
        <v>0.016</v>
      </c>
      <c r="I1789" s="20" t="n">
        <v>43</v>
      </c>
      <c r="J1789" s="16" t="inlineStr">
        <is>
          <t>red</t>
        </is>
      </c>
      <c r="K1789" s="20" t="n">
        <v>501</v>
      </c>
      <c r="L1789" s="18" t="n">
        <v>53.83</v>
      </c>
      <c r="M1789" s="18" t="n">
        <v>266.79</v>
      </c>
      <c r="N1789" s="18" t="n">
        <v>267.06</v>
      </c>
      <c r="O1789" s="18" t="n">
        <v>268.01</v>
      </c>
      <c r="P1789" s="18" t="n">
        <v>407.75</v>
      </c>
      <c r="Q1789" s="18" t="n">
        <v>183.1</v>
      </c>
      <c r="R1789" s="21">
        <f>IF(OR(G1789="",P1789=""),"",G1789/P1789-1)</f>
        <v/>
      </c>
      <c r="S1789" s="19" t="n">
        <v>0.6383</v>
      </c>
      <c r="T1789" s="22" t="n">
        <v>-0.0218</v>
      </c>
      <c r="U1789" s="16" t="inlineStr">
        <is>
          <t>No</t>
        </is>
      </c>
      <c r="V1789" s="16" t="inlineStr">
        <is>
          <t>No</t>
        </is>
      </c>
      <c r="W1789" s="16" t="inlineStr">
        <is>
          <t>No</t>
        </is>
      </c>
      <c r="X1789" s="16" t="inlineStr">
        <is>
          <t>No</t>
        </is>
      </c>
      <c r="Y1789" s="20" t="n">
        <v>519</v>
      </c>
      <c r="Z1789" s="19" t="n">
        <v>-0.0036</v>
      </c>
      <c r="AA1789" s="18" t="n"/>
      <c r="AB1789" s="16" t="n"/>
      <c r="AC1789" s="16" t="inlineStr">
        <is>
          <t>No</t>
        </is>
      </c>
      <c r="AD1789" s="19" t="n"/>
      <c r="AE1789" s="19" t="n"/>
      <c r="AF1789" s="19" t="n"/>
      <c r="AG1789" s="19" t="n"/>
      <c r="AH1789" s="23" t="n"/>
      <c r="AI1789" s="23" t="n"/>
      <c r="AJ1789" s="19" t="n"/>
    </row>
    <row r="1790">
      <c r="A1790" s="16" t="inlineStr">
        <is>
          <t>HERANBA</t>
        </is>
      </c>
      <c r="B1790" s="16" t="inlineStr">
        <is>
          <t>Heranba Industries Ltd.</t>
        </is>
      </c>
      <c r="C1790" s="16" t="inlineStr">
        <is>
          <t>Agrochemicals</t>
        </is>
      </c>
      <c r="D1790" s="16" t="inlineStr">
        <is>
          <t>Chemicals &amp; Petrochemicals</t>
        </is>
      </c>
      <c r="E1790" s="16" t="inlineStr">
        <is>
          <t>INE694N01015</t>
        </is>
      </c>
      <c r="F1790" s="17" t="n">
        <v>695.55</v>
      </c>
      <c r="G1790" s="18" t="n">
        <v>173.83</v>
      </c>
      <c r="H1790" s="19" t="n">
        <v>-0.0119</v>
      </c>
      <c r="I1790" s="20" t="n">
        <v>8</v>
      </c>
      <c r="J1790" s="16" t="inlineStr">
        <is>
          <t>red</t>
        </is>
      </c>
      <c r="K1790" s="20" t="n">
        <v>246</v>
      </c>
      <c r="L1790" s="18" t="n">
        <v>58.52</v>
      </c>
      <c r="M1790" s="18" t="n">
        <v>173.61</v>
      </c>
      <c r="N1790" s="18" t="n">
        <v>176.43</v>
      </c>
      <c r="O1790" s="18" t="n">
        <v>202.45</v>
      </c>
      <c r="P1790" s="18" t="n">
        <v>337.07</v>
      </c>
      <c r="Q1790" s="18" t="n">
        <v>157.52</v>
      </c>
      <c r="R1790" s="21">
        <f>IF(OR(G1790="",P1790=""),"",G1790/P1790-1)</f>
        <v/>
      </c>
      <c r="S1790" s="19" t="n">
        <v>0.2507</v>
      </c>
      <c r="T1790" s="22" t="n">
        <v>-0.0549</v>
      </c>
      <c r="U1790" s="16" t="inlineStr">
        <is>
          <t>No</t>
        </is>
      </c>
      <c r="V1790" s="16" t="inlineStr">
        <is>
          <t>No</t>
        </is>
      </c>
      <c r="W1790" s="16" t="inlineStr">
        <is>
          <t>Yes</t>
        </is>
      </c>
      <c r="X1790" s="16" t="inlineStr">
        <is>
          <t>No</t>
        </is>
      </c>
      <c r="Y1790" s="20" t="n">
        <v>197</v>
      </c>
      <c r="Z1790" s="19" t="n">
        <v>-0.1285</v>
      </c>
      <c r="AA1790" s="18" t="n">
        <v>17.6</v>
      </c>
      <c r="AB1790" s="16" t="inlineStr">
        <is>
          <t>Poor</t>
        </is>
      </c>
      <c r="AC1790" s="16" t="inlineStr">
        <is>
          <t>No</t>
        </is>
      </c>
      <c r="AD1790" s="19" t="n">
        <v>-0.0184</v>
      </c>
      <c r="AE1790" s="19" t="n">
        <v>0.0292</v>
      </c>
      <c r="AF1790" s="19" t="n">
        <v>-9.1275</v>
      </c>
      <c r="AG1790" s="19" t="n">
        <v>0.0709</v>
      </c>
      <c r="AH1790" s="23" t="n">
        <v>0.76</v>
      </c>
      <c r="AI1790" s="23" t="n">
        <v>2.24</v>
      </c>
      <c r="AJ1790" s="19" t="n">
        <v>0.0286</v>
      </c>
    </row>
    <row r="1791">
      <c r="A1791" s="16" t="inlineStr">
        <is>
          <t>YOGI</t>
        </is>
      </c>
      <c r="B1791" s="16" t="inlineStr">
        <is>
          <t>Yogi Ltd.</t>
        </is>
      </c>
      <c r="C1791" s="16" t="inlineStr">
        <is>
          <t>Other Financial Services</t>
        </is>
      </c>
      <c r="D1791" s="16" t="inlineStr">
        <is>
          <t>Banking and Finance</t>
        </is>
      </c>
      <c r="E1791" s="16" t="inlineStr">
        <is>
          <t>INE290E01011</t>
        </is>
      </c>
      <c r="F1791" s="17" t="n">
        <v>695.52</v>
      </c>
      <c r="G1791" s="18" t="n">
        <v>161.15</v>
      </c>
      <c r="H1791" s="19" t="n">
        <v>0.03240000000000001</v>
      </c>
      <c r="I1791" s="20" t="n">
        <v>25</v>
      </c>
      <c r="J1791" s="16" t="inlineStr">
        <is>
          <t>red</t>
        </is>
      </c>
      <c r="K1791" s="20" t="n">
        <v>65</v>
      </c>
      <c r="L1791" s="18" t="n">
        <v>49.06</v>
      </c>
      <c r="M1791" s="18" t="n">
        <v>160.13</v>
      </c>
      <c r="N1791" s="18" t="n">
        <v>165.96</v>
      </c>
      <c r="O1791" s="18" t="n">
        <v>164.76</v>
      </c>
      <c r="P1791" s="18" t="n">
        <v>185.2</v>
      </c>
      <c r="Q1791" s="18" t="n">
        <v>146.75</v>
      </c>
      <c r="R1791" s="21">
        <f>IF(OR(G1791="",P1791=""),"",G1791/P1791-1)</f>
        <v/>
      </c>
      <c r="S1791" s="19" t="n">
        <v>0.1324</v>
      </c>
      <c r="T1791" s="22" t="n">
        <v>-0.0066</v>
      </c>
      <c r="U1791" s="16" t="inlineStr">
        <is>
          <t>No</t>
        </is>
      </c>
      <c r="V1791" s="16" t="inlineStr">
        <is>
          <t>No</t>
        </is>
      </c>
      <c r="W1791" s="16" t="inlineStr">
        <is>
          <t>Yes</t>
        </is>
      </c>
      <c r="X1791" s="16" t="inlineStr">
        <is>
          <t>Yes</t>
        </is>
      </c>
      <c r="Y1791" s="20" t="n">
        <v>59</v>
      </c>
      <c r="Z1791" s="19" t="n">
        <v>0.0073</v>
      </c>
      <c r="AA1791" s="18" t="n"/>
      <c r="AB1791" s="16" t="n"/>
      <c r="AC1791" s="16" t="inlineStr">
        <is>
          <t>No</t>
        </is>
      </c>
      <c r="AD1791" s="19" t="n"/>
      <c r="AE1791" s="19" t="n"/>
      <c r="AF1791" s="19" t="n"/>
      <c r="AG1791" s="19" t="n"/>
      <c r="AH1791" s="23" t="n"/>
      <c r="AI1791" s="23" t="n"/>
      <c r="AJ1791" s="19" t="n"/>
    </row>
    <row r="1792">
      <c r="A1792" s="16" t="inlineStr">
        <is>
          <t>SOUTHWEST</t>
        </is>
      </c>
      <c r="B1792" s="16" t="inlineStr">
        <is>
          <t>South West Pinnacle Exploration Ltd.</t>
        </is>
      </c>
      <c r="C1792" s="16" t="inlineStr">
        <is>
          <t>Coal &amp; Mining</t>
        </is>
      </c>
      <c r="D1792" s="16" t="inlineStr">
        <is>
          <t>Metals &amp; Mining</t>
        </is>
      </c>
      <c r="E1792" s="16" t="inlineStr">
        <is>
          <t>INE980Y01015</t>
        </is>
      </c>
      <c r="F1792" s="17" t="n">
        <v>695.21</v>
      </c>
      <c r="G1792" s="18" t="n">
        <v>212.92</v>
      </c>
      <c r="H1792" s="19" t="n">
        <v>-0.0009</v>
      </c>
      <c r="I1792" s="20" t="n">
        <v>51</v>
      </c>
      <c r="J1792" s="16" t="inlineStr">
        <is>
          <t>red</t>
        </is>
      </c>
      <c r="K1792" s="20" t="n">
        <v>10</v>
      </c>
      <c r="L1792" s="18" t="n">
        <v>39.26</v>
      </c>
      <c r="M1792" s="18" t="n">
        <v>209.19</v>
      </c>
      <c r="N1792" s="18" t="n">
        <v>223.7</v>
      </c>
      <c r="O1792" s="18" t="n">
        <v>215.88</v>
      </c>
      <c r="P1792" s="18" t="n">
        <v>269.13</v>
      </c>
      <c r="Q1792" s="18" t="n">
        <v>122.29</v>
      </c>
      <c r="R1792" s="21">
        <f>IF(OR(G1792="",P1792=""),"",G1792/P1792-1)</f>
        <v/>
      </c>
      <c r="S1792" s="19" t="n">
        <v>0.6104999999999999</v>
      </c>
      <c r="T1792" s="22" t="n">
        <v>0.0219</v>
      </c>
      <c r="U1792" s="16" t="inlineStr">
        <is>
          <t>Yes</t>
        </is>
      </c>
      <c r="V1792" s="16" t="inlineStr">
        <is>
          <t>No</t>
        </is>
      </c>
      <c r="W1792" s="16" t="inlineStr">
        <is>
          <t>Yes</t>
        </is>
      </c>
      <c r="X1792" s="16" t="inlineStr">
        <is>
          <t>Yes</t>
        </is>
      </c>
      <c r="Y1792" s="20" t="n">
        <v>310</v>
      </c>
      <c r="Z1792" s="19" t="n">
        <v>0.0363</v>
      </c>
      <c r="AA1792" s="18" t="n">
        <v>52.57</v>
      </c>
      <c r="AB1792" s="16" t="inlineStr">
        <is>
          <t>Good</t>
        </is>
      </c>
      <c r="AC1792" s="16" t="inlineStr">
        <is>
          <t>No</t>
        </is>
      </c>
      <c r="AD1792" s="19" t="n">
        <v>0.1089</v>
      </c>
      <c r="AE1792" s="19" t="n">
        <v>0.1332</v>
      </c>
      <c r="AF1792" s="19" t="n">
        <v>0.5825</v>
      </c>
      <c r="AG1792" s="19" t="n">
        <v>0.2577</v>
      </c>
      <c r="AH1792" s="23" t="n">
        <v>0.39</v>
      </c>
      <c r="AI1792" s="23" t="n">
        <v>2.6</v>
      </c>
      <c r="AJ1792" s="19" t="n">
        <v>0.0043</v>
      </c>
    </row>
    <row r="1793">
      <c r="A1793" s="16" t="inlineStr">
        <is>
          <t>LAXMIINDIA</t>
        </is>
      </c>
      <c r="B1793" s="16" t="inlineStr">
        <is>
          <t>Laxmi India Finance Ltd.</t>
        </is>
      </c>
      <c r="C1793" s="16" t="inlineStr">
        <is>
          <t>Finance (including NBFCs)</t>
        </is>
      </c>
      <c r="D1793" s="16" t="inlineStr">
        <is>
          <t>Banking and Finance</t>
        </is>
      </c>
      <c r="E1793" s="16" t="inlineStr">
        <is>
          <t>INE06WU01026</t>
        </is>
      </c>
      <c r="F1793" s="17" t="n">
        <v>694.73</v>
      </c>
      <c r="G1793" s="18" t="n">
        <v>132.6</v>
      </c>
      <c r="H1793" s="19" t="n">
        <v>0.0349</v>
      </c>
      <c r="I1793" s="20" t="n">
        <v>69</v>
      </c>
      <c r="J1793" s="16" t="inlineStr">
        <is>
          <t>amber</t>
        </is>
      </c>
      <c r="K1793" s="20" t="n">
        <v>5</v>
      </c>
      <c r="L1793" s="18" t="n">
        <v>44.87</v>
      </c>
      <c r="M1793" s="18" t="n">
        <v>127.39</v>
      </c>
      <c r="N1793" s="18" t="n">
        <v>122.95</v>
      </c>
      <c r="O1793" s="18" t="n">
        <v>113.1</v>
      </c>
      <c r="P1793" s="18" t="n">
        <v>175.87</v>
      </c>
      <c r="Q1793" s="18" t="n">
        <v>71.65000000000001</v>
      </c>
      <c r="R1793" s="21">
        <f>IF(OR(G1793="",P1793=""),"",G1793/P1793-1)</f>
        <v/>
      </c>
      <c r="S1793" s="19" t="n">
        <v>1.7155</v>
      </c>
      <c r="T1793" s="22" t="n">
        <v>-0.0151</v>
      </c>
      <c r="U1793" s="16" t="inlineStr">
        <is>
          <t>No</t>
        </is>
      </c>
      <c r="V1793" s="16" t="inlineStr">
        <is>
          <t>Yes</t>
        </is>
      </c>
      <c r="W1793" s="16" t="inlineStr">
        <is>
          <t>Yes</t>
        </is>
      </c>
      <c r="X1793" s="16" t="inlineStr">
        <is>
          <t>Yes</t>
        </is>
      </c>
      <c r="Y1793" s="20" t="n">
        <v>18</v>
      </c>
      <c r="Z1793" s="19" t="n">
        <v>0.08710000000000001</v>
      </c>
      <c r="AA1793" s="18" t="n">
        <v>41.28</v>
      </c>
      <c r="AB1793" s="16" t="inlineStr">
        <is>
          <t>Average</t>
        </is>
      </c>
      <c r="AC1793" s="16" t="inlineStr">
        <is>
          <t>Yes</t>
        </is>
      </c>
      <c r="AD1793" s="19" t="n">
        <v>0.1193</v>
      </c>
      <c r="AE1793" s="19" t="n">
        <v>0.0375</v>
      </c>
      <c r="AF1793" s="19" t="n">
        <v>0.0025</v>
      </c>
      <c r="AG1793" s="19" t="n">
        <v>0.3739</v>
      </c>
      <c r="AH1793" s="23" t="n">
        <v>2.87</v>
      </c>
      <c r="AI1793" s="23" t="n">
        <v>18.43</v>
      </c>
      <c r="AJ1793" s="19" t="n">
        <v>0</v>
      </c>
    </row>
    <row r="1794">
      <c r="A1794" s="16" t="inlineStr">
        <is>
          <t>COFFEEDAY</t>
        </is>
      </c>
      <c r="B1794" s="16" t="inlineStr">
        <is>
          <t>Coffee Day Enterprises Ltd.</t>
        </is>
      </c>
      <c r="C1794" s="16" t="inlineStr">
        <is>
          <t>Restaurants</t>
        </is>
      </c>
      <c r="D1794" s="16" t="inlineStr">
        <is>
          <t>Hotels Restaurants &amp; Tourism</t>
        </is>
      </c>
      <c r="E1794" s="16" t="inlineStr">
        <is>
          <t>INE335K01011</t>
        </is>
      </c>
      <c r="F1794" s="17" t="n">
        <v>694.17</v>
      </c>
      <c r="G1794" s="18" t="n">
        <v>32.86</v>
      </c>
      <c r="H1794" s="19" t="n">
        <v>0.0498</v>
      </c>
      <c r="I1794" s="20" t="n">
        <v>31</v>
      </c>
      <c r="J1794" s="16" t="inlineStr">
        <is>
          <t>red</t>
        </is>
      </c>
      <c r="K1794" s="20" t="n">
        <v>21</v>
      </c>
      <c r="L1794" s="18" t="n">
        <v>73.08</v>
      </c>
      <c r="M1794" s="18" t="n">
        <v>30.22</v>
      </c>
      <c r="N1794" s="18" t="n">
        <v>31.07</v>
      </c>
      <c r="O1794" s="18" t="n">
        <v>30.78</v>
      </c>
      <c r="P1794" s="18" t="n">
        <v>48.81</v>
      </c>
      <c r="Q1794" s="18" t="n">
        <v>21.12</v>
      </c>
      <c r="R1794" s="21">
        <f>IF(OR(G1794="",P1794=""),"",G1794/P1794-1)</f>
        <v/>
      </c>
      <c r="S1794" s="19" t="n">
        <v>2.4245</v>
      </c>
      <c r="T1794" s="22" t="n">
        <v>-0.0333</v>
      </c>
      <c r="U1794" s="16" t="inlineStr">
        <is>
          <t>No</t>
        </is>
      </c>
      <c r="V1794" s="16" t="inlineStr">
        <is>
          <t>Yes</t>
        </is>
      </c>
      <c r="W1794" s="16" t="inlineStr">
        <is>
          <t>Yes</t>
        </is>
      </c>
      <c r="X1794" s="16" t="inlineStr">
        <is>
          <t>Yes</t>
        </is>
      </c>
      <c r="Y1794" s="20" t="n">
        <v>30</v>
      </c>
      <c r="Z1794" s="19" t="n">
        <v>0.0095</v>
      </c>
      <c r="AA1794" s="18" t="n">
        <v>34.55</v>
      </c>
      <c r="AB1794" s="16" t="inlineStr">
        <is>
          <t>Weak</t>
        </is>
      </c>
      <c r="AC1794" s="16" t="inlineStr">
        <is>
          <t>No</t>
        </is>
      </c>
      <c r="AD1794" s="19" t="n">
        <v>-0.0209</v>
      </c>
      <c r="AE1794" s="19" t="n">
        <v>0.0074</v>
      </c>
      <c r="AF1794" s="19" t="n">
        <v>0.6568999999999999</v>
      </c>
      <c r="AG1794" s="19" t="n">
        <v>0.0682</v>
      </c>
      <c r="AH1794" s="23" t="n">
        <v>0.3</v>
      </c>
      <c r="AI1794" s="23" t="n">
        <v>3.17</v>
      </c>
      <c r="AJ1794" s="19" t="n">
        <v>0.0158</v>
      </c>
    </row>
    <row r="1795">
      <c r="A1795" s="16" t="inlineStr">
        <is>
          <t>IFINSEC</t>
        </is>
      </c>
      <c r="B1795" s="16" t="inlineStr">
        <is>
          <t>India Finsec Ltd.</t>
        </is>
      </c>
      <c r="C1795" s="16" t="inlineStr">
        <is>
          <t>Finance (including NBFCs)</t>
        </is>
      </c>
      <c r="D1795" s="16" t="inlineStr">
        <is>
          <t>Banking and Finance</t>
        </is>
      </c>
      <c r="E1795" s="16" t="inlineStr">
        <is>
          <t>INE474O01010</t>
        </is>
      </c>
      <c r="F1795" s="17" t="n">
        <v>691.84</v>
      </c>
      <c r="G1795" s="18" t="n">
        <v>237</v>
      </c>
      <c r="H1795" s="19" t="n">
        <v>0</v>
      </c>
      <c r="I1795" s="20" t="n">
        <v>78</v>
      </c>
      <c r="J1795" s="16" t="inlineStr">
        <is>
          <t>amber</t>
        </is>
      </c>
      <c r="K1795" s="20" t="n">
        <v>4</v>
      </c>
      <c r="L1795" s="18" t="n">
        <v>59.23</v>
      </c>
      <c r="M1795" s="18" t="n">
        <v>237.44</v>
      </c>
      <c r="N1795" s="18" t="n">
        <v>225.17</v>
      </c>
      <c r="O1795" s="18" t="n">
        <v>194.88</v>
      </c>
      <c r="P1795" s="18" t="n">
        <v>250.5</v>
      </c>
      <c r="Q1795" s="18" t="n">
        <v>148.55</v>
      </c>
      <c r="R1795" s="21">
        <f>IF(OR(G1795="",P1795=""),"",G1795/P1795-1)</f>
        <v/>
      </c>
      <c r="S1795" s="19" t="n">
        <v>0</v>
      </c>
      <c r="T1795" s="22" t="n">
        <v>0.0285</v>
      </c>
      <c r="U1795" s="16" t="inlineStr">
        <is>
          <t>Yes</t>
        </is>
      </c>
      <c r="V1795" s="16" t="inlineStr">
        <is>
          <t>Yes</t>
        </is>
      </c>
      <c r="W1795" s="16" t="inlineStr">
        <is>
          <t>No</t>
        </is>
      </c>
      <c r="X1795" s="16" t="inlineStr">
        <is>
          <t>Yes</t>
        </is>
      </c>
      <c r="Y1795" s="20" t="n">
        <v>243</v>
      </c>
      <c r="Z1795" s="19" t="n">
        <v>0.1554</v>
      </c>
      <c r="AA1795" s="18" t="n"/>
      <c r="AB1795" s="16" t="n"/>
      <c r="AC1795" s="16" t="inlineStr">
        <is>
          <t>No</t>
        </is>
      </c>
      <c r="AD1795" s="19" t="n"/>
      <c r="AE1795" s="19" t="n"/>
      <c r="AF1795" s="19" t="n"/>
      <c r="AG1795" s="19" t="n"/>
      <c r="AH1795" s="23" t="n"/>
      <c r="AI1795" s="23" t="n"/>
      <c r="AJ1795" s="19" t="n"/>
    </row>
    <row r="1796">
      <c r="A1796" s="16" t="inlineStr">
        <is>
          <t>JAYAGROGN</t>
        </is>
      </c>
      <c r="B1796" s="16" t="inlineStr">
        <is>
          <t>Jayant Agro Organics Ltd.</t>
        </is>
      </c>
      <c r="C1796" s="16" t="inlineStr">
        <is>
          <t>Edible Oils</t>
        </is>
      </c>
      <c r="D1796" s="16" t="inlineStr">
        <is>
          <t>FMCG</t>
        </is>
      </c>
      <c r="E1796" s="16" t="inlineStr">
        <is>
          <t>INE785A01026</t>
        </is>
      </c>
      <c r="F1796" s="17" t="n">
        <v>691.8</v>
      </c>
      <c r="G1796" s="18" t="n">
        <v>230.6</v>
      </c>
      <c r="H1796" s="19" t="n">
        <v>-0.001</v>
      </c>
      <c r="I1796" s="20" t="n">
        <v>56</v>
      </c>
      <c r="J1796" s="16" t="inlineStr">
        <is>
          <t>red</t>
        </is>
      </c>
      <c r="K1796" s="20" t="n">
        <v>25</v>
      </c>
      <c r="L1796" s="18" t="n">
        <v>67.91</v>
      </c>
      <c r="M1796" s="18" t="n">
        <v>227.73</v>
      </c>
      <c r="N1796" s="18" t="n">
        <v>218.69</v>
      </c>
      <c r="O1796" s="18" t="n">
        <v>200.69</v>
      </c>
      <c r="P1796" s="18" t="n">
        <v>243.99</v>
      </c>
      <c r="Q1796" s="18" t="n">
        <v>147.43</v>
      </c>
      <c r="R1796" s="21">
        <f>IF(OR(G1796="",P1796=""),"",G1796/P1796-1)</f>
        <v/>
      </c>
      <c r="S1796" s="19" t="n">
        <v>0.599</v>
      </c>
      <c r="T1796" s="22" t="n">
        <v>0.0008</v>
      </c>
      <c r="U1796" s="16" t="inlineStr">
        <is>
          <t>Yes</t>
        </is>
      </c>
      <c r="V1796" s="16" t="inlineStr">
        <is>
          <t>Yes</t>
        </is>
      </c>
      <c r="W1796" s="16" t="inlineStr">
        <is>
          <t>Yes</t>
        </is>
      </c>
      <c r="X1796" s="16" t="inlineStr">
        <is>
          <t>Yes</t>
        </is>
      </c>
      <c r="Y1796" s="20" t="n">
        <v>61</v>
      </c>
      <c r="Z1796" s="19" t="n">
        <v>0.0897</v>
      </c>
      <c r="AA1796" s="18" t="n">
        <v>39.86</v>
      </c>
      <c r="AB1796" s="16" t="inlineStr">
        <is>
          <t>Weak</t>
        </is>
      </c>
      <c r="AC1796" s="16" t="inlineStr">
        <is>
          <t>No</t>
        </is>
      </c>
      <c r="AD1796" s="19" t="n">
        <v>0.09080000000000001</v>
      </c>
      <c r="AE1796" s="19" t="n">
        <v>0.1218</v>
      </c>
      <c r="AF1796" s="19" t="n">
        <v>0.0092</v>
      </c>
      <c r="AG1796" s="19" t="n">
        <v>-0.0274</v>
      </c>
      <c r="AH1796" s="23" t="n">
        <v>0.22</v>
      </c>
      <c r="AI1796" s="23" t="n">
        <v>7.12</v>
      </c>
      <c r="AJ1796" s="19" t="n">
        <v>0.0297</v>
      </c>
    </row>
    <row r="1797">
      <c r="A1797" s="16" t="inlineStr">
        <is>
          <t>STCINDIA</t>
        </is>
      </c>
      <c r="B1797" s="16" t="inlineStr">
        <is>
          <t>State Trading Corporation Of India Ltd.</t>
        </is>
      </c>
      <c r="C1797" s="16" t="inlineStr">
        <is>
          <t>Commodity Trading  &amp; Distribution</t>
        </is>
      </c>
      <c r="D1797" s="16" t="inlineStr">
        <is>
          <t>Commercial Services &amp; Supplies</t>
        </is>
      </c>
      <c r="E1797" s="16" t="inlineStr">
        <is>
          <t>INE655A01013</t>
        </is>
      </c>
      <c r="F1797" s="17" t="n">
        <v>691.6799999999999</v>
      </c>
      <c r="G1797" s="18" t="n">
        <v>115.28</v>
      </c>
      <c r="H1797" s="19" t="n">
        <v>0.005500000000000001</v>
      </c>
      <c r="I1797" s="20" t="n">
        <v>36</v>
      </c>
      <c r="J1797" s="16" t="inlineStr">
        <is>
          <t>red</t>
        </is>
      </c>
      <c r="K1797" s="20" t="n">
        <v>52</v>
      </c>
      <c r="L1797" s="18" t="n">
        <v>45.81</v>
      </c>
      <c r="M1797" s="18" t="n">
        <v>115.94</v>
      </c>
      <c r="N1797" s="18" t="n">
        <v>119.74</v>
      </c>
      <c r="O1797" s="18" t="n">
        <v>118.8</v>
      </c>
      <c r="P1797" s="18" t="n">
        <v>145.09</v>
      </c>
      <c r="Q1797" s="18" t="n">
        <v>97.81999999999999</v>
      </c>
      <c r="R1797" s="21">
        <f>IF(OR(G1797="",P1797=""),"",G1797/P1797-1)</f>
        <v/>
      </c>
      <c r="S1797" s="19" t="n">
        <v>1.4632</v>
      </c>
      <c r="T1797" s="22" t="n">
        <v>-0.0109</v>
      </c>
      <c r="U1797" s="16" t="inlineStr">
        <is>
          <t>No</t>
        </is>
      </c>
      <c r="V1797" s="16" t="inlineStr">
        <is>
          <t>No</t>
        </is>
      </c>
      <c r="W1797" s="16" t="inlineStr">
        <is>
          <t>No</t>
        </is>
      </c>
      <c r="X1797" s="16" t="inlineStr">
        <is>
          <t>Yes</t>
        </is>
      </c>
      <c r="Y1797" s="20" t="n">
        <v>51</v>
      </c>
      <c r="Z1797" s="19" t="n">
        <v>0.007900000000000001</v>
      </c>
      <c r="AA1797" s="18" t="n">
        <v>37.17</v>
      </c>
      <c r="AB1797" s="16" t="inlineStr">
        <is>
          <t>Weak</t>
        </is>
      </c>
      <c r="AC1797" s="16" t="inlineStr">
        <is>
          <t>No</t>
        </is>
      </c>
      <c r="AD1797" s="19" t="n">
        <v>-0.0077</v>
      </c>
      <c r="AE1797" s="19" t="n">
        <v>0.0116</v>
      </c>
      <c r="AF1797" s="19" t="n">
        <v>-0.0998</v>
      </c>
      <c r="AG1797" s="19" t="n"/>
      <c r="AH1797" s="23" t="n">
        <v>-0.43</v>
      </c>
      <c r="AI1797" s="23" t="n"/>
      <c r="AJ1797" s="19" t="n"/>
    </row>
    <row r="1798">
      <c r="A1798" s="16" t="inlineStr">
        <is>
          <t>DPSCLTD</t>
        </is>
      </c>
      <c r="B1798" s="16" t="inlineStr">
        <is>
          <t>India Power Corporation Ltd.</t>
        </is>
      </c>
      <c r="C1798" s="16" t="inlineStr">
        <is>
          <t>Power - Electric Utilities</t>
        </is>
      </c>
      <c r="D1798" s="16" t="inlineStr">
        <is>
          <t>Utilities</t>
        </is>
      </c>
      <c r="E1798" s="16" t="inlineStr">
        <is>
          <t>INE360C01024</t>
        </is>
      </c>
      <c r="F1798" s="17" t="n">
        <v>690.42</v>
      </c>
      <c r="G1798" s="18" t="n">
        <v>7.09</v>
      </c>
      <c r="H1798" s="19" t="n">
        <v>-0.0248</v>
      </c>
      <c r="I1798" s="20" t="n">
        <v>7</v>
      </c>
      <c r="J1798" s="16" t="inlineStr">
        <is>
          <t>red</t>
        </is>
      </c>
      <c r="K1798" s="20" t="n">
        <v>501</v>
      </c>
      <c r="L1798" s="18" t="n">
        <v>45.59</v>
      </c>
      <c r="M1798" s="18" t="n">
        <v>7.25</v>
      </c>
      <c r="N1798" s="18" t="n">
        <v>7.32</v>
      </c>
      <c r="O1798" s="18" t="n">
        <v>8.720000000000001</v>
      </c>
      <c r="P1798" s="18" t="n">
        <v>13</v>
      </c>
      <c r="Q1798" s="18" t="n">
        <v>7.05</v>
      </c>
      <c r="R1798" s="21">
        <f>IF(OR(G1798="",P1798=""),"",G1798/P1798-1)</f>
        <v/>
      </c>
      <c r="S1798" s="19" t="n">
        <v>1.6153</v>
      </c>
      <c r="T1798" s="22" t="n">
        <v>-0.0471</v>
      </c>
      <c r="U1798" s="16" t="inlineStr">
        <is>
          <t>No</t>
        </is>
      </c>
      <c r="V1798" s="16" t="inlineStr">
        <is>
          <t>No</t>
        </is>
      </c>
      <c r="W1798" s="16" t="inlineStr">
        <is>
          <t>No</t>
        </is>
      </c>
      <c r="X1798" s="16" t="inlineStr">
        <is>
          <t>No</t>
        </is>
      </c>
      <c r="Y1798" s="20" t="n">
        <v>467</v>
      </c>
      <c r="Z1798" s="19" t="n">
        <v>-0.1605</v>
      </c>
      <c r="AA1798" s="18" t="n">
        <v>23.29</v>
      </c>
      <c r="AB1798" s="16" t="inlineStr">
        <is>
          <t>Poor</t>
        </is>
      </c>
      <c r="AC1798" s="16" t="inlineStr">
        <is>
          <t>No</t>
        </is>
      </c>
      <c r="AD1798" s="19" t="n">
        <v>0.0131</v>
      </c>
      <c r="AE1798" s="19" t="n">
        <v>0.0379</v>
      </c>
      <c r="AF1798" s="19" t="n">
        <v>-0.5121</v>
      </c>
      <c r="AG1798" s="19" t="n">
        <v>0.0384</v>
      </c>
      <c r="AH1798" s="23" t="n">
        <v>0.14</v>
      </c>
      <c r="AI1798" s="23" t="n">
        <v>0.71</v>
      </c>
      <c r="AJ1798" s="19" t="n">
        <v>0.0113</v>
      </c>
    </row>
    <row r="1799">
      <c r="A1799" s="16" t="inlineStr">
        <is>
          <t>GFLLIMITED</t>
        </is>
      </c>
      <c r="B1799" s="16" t="inlineStr">
        <is>
          <t>GFL Ltd.</t>
        </is>
      </c>
      <c r="C1799" s="16" t="inlineStr">
        <is>
          <t>Holding Companies</t>
        </is>
      </c>
      <c r="D1799" s="16" t="inlineStr">
        <is>
          <t>Diversified</t>
        </is>
      </c>
      <c r="E1799" s="16" t="inlineStr">
        <is>
          <t>INE538A01037</t>
        </is>
      </c>
      <c r="F1799" s="17" t="n">
        <v>689.97</v>
      </c>
      <c r="G1799" s="18" t="n">
        <v>62.81</v>
      </c>
      <c r="H1799" s="19" t="n">
        <v>0.0709</v>
      </c>
      <c r="I1799" s="20" t="n">
        <v>72</v>
      </c>
      <c r="J1799" s="16" t="inlineStr">
        <is>
          <t>amber</t>
        </is>
      </c>
      <c r="K1799" s="20" t="n">
        <v>3</v>
      </c>
      <c r="L1799" s="18" t="n">
        <v>80.55</v>
      </c>
      <c r="M1799" s="18" t="n">
        <v>56.97</v>
      </c>
      <c r="N1799" s="18" t="n">
        <v>49.54</v>
      </c>
      <c r="O1799" s="18" t="n">
        <v>49.72</v>
      </c>
      <c r="P1799" s="18" t="n">
        <v>77.13</v>
      </c>
      <c r="Q1799" s="18" t="n">
        <v>37.54</v>
      </c>
      <c r="R1799" s="21">
        <f>IF(OR(G1799="",P1799=""),"",G1799/P1799-1)</f>
        <v/>
      </c>
      <c r="S1799" s="19" t="n">
        <v>3.9257</v>
      </c>
      <c r="T1799" s="22" t="n">
        <v>-0.0229</v>
      </c>
      <c r="U1799" s="16" t="inlineStr">
        <is>
          <t>No</t>
        </is>
      </c>
      <c r="V1799" s="16" t="inlineStr">
        <is>
          <t>Yes</t>
        </is>
      </c>
      <c r="W1799" s="16" t="inlineStr">
        <is>
          <t>Yes</t>
        </is>
      </c>
      <c r="X1799" s="16" t="inlineStr">
        <is>
          <t>No</t>
        </is>
      </c>
      <c r="Y1799" s="20" t="n">
        <v>165</v>
      </c>
      <c r="Z1799" s="19" t="n">
        <v>-0.0037</v>
      </c>
      <c r="AA1799" s="18" t="n">
        <v>6.63</v>
      </c>
      <c r="AB1799" s="16" t="inlineStr">
        <is>
          <t>Poor</t>
        </is>
      </c>
      <c r="AC1799" s="16" t="inlineStr">
        <is>
          <t>Yes</t>
        </is>
      </c>
      <c r="AD1799" s="19" t="n">
        <v>-0.0051</v>
      </c>
      <c r="AE1799" s="19" t="n">
        <v>0.0003</v>
      </c>
      <c r="AF1799" s="19" t="n">
        <v>-2.7928</v>
      </c>
      <c r="AG1799" s="19" t="n">
        <v>0.0144</v>
      </c>
      <c r="AH1799" s="23" t="n"/>
      <c r="AI1799" s="23" t="n">
        <v>225</v>
      </c>
      <c r="AJ1799" s="19" t="n"/>
    </row>
    <row r="1800">
      <c r="A1800" s="16" t="inlineStr">
        <is>
          <t>EIFFL</t>
        </is>
      </c>
      <c r="B1800" s="16" t="inlineStr">
        <is>
          <t>Euro India Fresh Foods Ltd.</t>
        </is>
      </c>
      <c r="C1800" s="16" t="inlineStr">
        <is>
          <t>Packaged Foods</t>
        </is>
      </c>
      <c r="D1800" s="16" t="inlineStr">
        <is>
          <t>FMCG</t>
        </is>
      </c>
      <c r="E1800" s="16" t="inlineStr">
        <is>
          <t>INE546V01010</t>
        </is>
      </c>
      <c r="F1800" s="17" t="n">
        <v>689.84</v>
      </c>
      <c r="G1800" s="18" t="n">
        <v>273.05</v>
      </c>
      <c r="H1800" s="19" t="n">
        <v>-0.0199</v>
      </c>
      <c r="I1800" s="20" t="n">
        <v>67</v>
      </c>
      <c r="J1800" s="16" t="inlineStr">
        <is>
          <t>amber</t>
        </is>
      </c>
      <c r="K1800" s="20" t="n">
        <v>9</v>
      </c>
      <c r="L1800" s="18" t="n">
        <v>56.83</v>
      </c>
      <c r="M1800" s="18" t="n">
        <v>287.53</v>
      </c>
      <c r="N1800" s="18" t="n">
        <v>299.92</v>
      </c>
      <c r="O1800" s="18" t="n">
        <v>258.44</v>
      </c>
      <c r="P1800" s="18" t="n">
        <v>356.54</v>
      </c>
      <c r="Q1800" s="18" t="n">
        <v>206.79</v>
      </c>
      <c r="R1800" s="21">
        <f>IF(OR(G1800="",P1800=""),"",G1800/P1800-1)</f>
        <v/>
      </c>
      <c r="S1800" s="19" t="n">
        <v>0.1454</v>
      </c>
      <c r="T1800" s="22" t="n">
        <v>0.0187</v>
      </c>
      <c r="U1800" s="16" t="inlineStr">
        <is>
          <t>Yes</t>
        </is>
      </c>
      <c r="V1800" s="16" t="inlineStr">
        <is>
          <t>No</t>
        </is>
      </c>
      <c r="W1800" s="16" t="inlineStr">
        <is>
          <t>No</t>
        </is>
      </c>
      <c r="X1800" s="16" t="inlineStr">
        <is>
          <t>Yes</t>
        </is>
      </c>
      <c r="Y1800" s="20" t="n">
        <v>72</v>
      </c>
      <c r="Z1800" s="19" t="n">
        <v>0.1605</v>
      </c>
      <c r="AA1800" s="18" t="n">
        <v>35.34</v>
      </c>
      <c r="AB1800" s="16" t="inlineStr">
        <is>
          <t>Weak</t>
        </is>
      </c>
      <c r="AC1800" s="16" t="inlineStr">
        <is>
          <t>No</t>
        </is>
      </c>
      <c r="AD1800" s="19" t="n">
        <v>0.0582</v>
      </c>
      <c r="AE1800" s="19" t="n">
        <v>0.0832</v>
      </c>
      <c r="AF1800" s="19" t="n">
        <v>0.4547</v>
      </c>
      <c r="AG1800" s="19" t="n">
        <v>0.0567</v>
      </c>
      <c r="AH1800" s="23" t="n">
        <v>0.77</v>
      </c>
      <c r="AI1800" s="23" t="n">
        <v>3.18</v>
      </c>
      <c r="AJ1800" s="19" t="n">
        <v>0.07629999999999999</v>
      </c>
    </row>
    <row r="1801">
      <c r="A1801" s="16" t="inlineStr">
        <is>
          <t>SPELS</t>
        </is>
      </c>
      <c r="B1801" s="16" t="inlineStr">
        <is>
          <t>SPEL Semiconductor Ltd.</t>
        </is>
      </c>
      <c r="C1801" s="16" t="inlineStr">
        <is>
          <t>Electronic Components</t>
        </is>
      </c>
      <c r="D1801" s="16" t="inlineStr">
        <is>
          <t>Commercial Services &amp; Supplies</t>
        </is>
      </c>
      <c r="E1801" s="16" t="inlineStr">
        <is>
          <t>INE252A01019</t>
        </is>
      </c>
      <c r="F1801" s="17" t="n">
        <v>688.3</v>
      </c>
      <c r="G1801" s="18" t="n">
        <v>149.25</v>
      </c>
      <c r="H1801" s="19" t="n">
        <v>0.008100000000000001</v>
      </c>
      <c r="I1801" s="20" t="n">
        <v>36</v>
      </c>
      <c r="J1801" s="16" t="inlineStr">
        <is>
          <t>red</t>
        </is>
      </c>
      <c r="K1801" s="20" t="n">
        <v>64</v>
      </c>
      <c r="L1801" s="18" t="n">
        <v>47.78</v>
      </c>
      <c r="M1801" s="18" t="n">
        <v>148.52</v>
      </c>
      <c r="N1801" s="18" t="n">
        <v>153</v>
      </c>
      <c r="O1801" s="18" t="n">
        <v>151.48</v>
      </c>
      <c r="P1801" s="18" t="n">
        <v>250.3</v>
      </c>
      <c r="Q1801" s="18" t="n">
        <v>122.9</v>
      </c>
      <c r="R1801" s="21">
        <f>IF(OR(G1801="",P1801=""),"",G1801/P1801-1)</f>
        <v/>
      </c>
      <c r="S1801" s="19" t="n">
        <v>0.2504</v>
      </c>
      <c r="T1801" s="22" t="n">
        <v>-0.0268</v>
      </c>
      <c r="U1801" s="16" t="inlineStr">
        <is>
          <t>No</t>
        </is>
      </c>
      <c r="V1801" s="16" t="inlineStr">
        <is>
          <t>No</t>
        </is>
      </c>
      <c r="W1801" s="16" t="inlineStr">
        <is>
          <t>Yes</t>
        </is>
      </c>
      <c r="X1801" s="16" t="inlineStr">
        <is>
          <t>Yes</t>
        </is>
      </c>
      <c r="Y1801" s="20" t="n">
        <v>15</v>
      </c>
      <c r="Z1801" s="19" t="n">
        <v>0.0101</v>
      </c>
      <c r="AA1801" s="18" t="n"/>
      <c r="AB1801" s="16" t="n"/>
      <c r="AC1801" s="16" t="inlineStr">
        <is>
          <t>No</t>
        </is>
      </c>
      <c r="AD1801" s="19" t="n"/>
      <c r="AE1801" s="19" t="n"/>
      <c r="AF1801" s="19" t="n"/>
      <c r="AG1801" s="19" t="n"/>
      <c r="AH1801" s="23" t="n"/>
      <c r="AI1801" s="23" t="n"/>
      <c r="AJ1801" s="19" t="n"/>
    </row>
    <row r="1802">
      <c r="A1802" s="16" t="inlineStr">
        <is>
          <t>OSELDEVICE</t>
        </is>
      </c>
      <c r="B1802" s="16" t="inlineStr">
        <is>
          <t>Osel Devices Ltd.</t>
        </is>
      </c>
      <c r="C1802" s="16" t="inlineStr">
        <is>
          <t>Other Electrical Equipment/Products</t>
        </is>
      </c>
      <c r="D1802" s="16" t="inlineStr">
        <is>
          <t>Consumer Durables</t>
        </is>
      </c>
      <c r="E1802" s="16" t="inlineStr">
        <is>
          <t>INE0RMF01018</t>
        </is>
      </c>
      <c r="F1802" s="17" t="n">
        <v>685.36</v>
      </c>
      <c r="G1802" s="18" t="n"/>
      <c r="H1802" s="19" t="n"/>
      <c r="I1802" s="20" t="n"/>
      <c r="J1802" s="16" t="n"/>
      <c r="K1802" s="20" t="n"/>
      <c r="L1802" s="18" t="n"/>
      <c r="M1802" s="18" t="n"/>
      <c r="N1802" s="18" t="n"/>
      <c r="O1802" s="18" t="n"/>
      <c r="P1802" s="18" t="n"/>
      <c r="Q1802" s="18" t="n"/>
      <c r="R1802" s="21">
        <f>IF(OR(G1802="",P1802=""),"",G1802/P1802-1)</f>
        <v/>
      </c>
      <c r="S1802" s="19" t="n"/>
      <c r="T1802" s="22" t="n"/>
      <c r="U1802" s="16" t="n"/>
      <c r="V1802" s="16" t="n"/>
      <c r="W1802" s="16" t="n"/>
      <c r="X1802" s="16" t="n"/>
      <c r="Y1802" s="20" t="n"/>
      <c r="Z1802" s="19" t="n"/>
      <c r="AA1802" s="18" t="n"/>
      <c r="AB1802" s="16" t="n"/>
      <c r="AC1802" s="16" t="inlineStr">
        <is>
          <t>No</t>
        </is>
      </c>
      <c r="AD1802" s="19" t="n"/>
      <c r="AE1802" s="19" t="n"/>
      <c r="AF1802" s="19" t="n"/>
      <c r="AG1802" s="19" t="n"/>
      <c r="AH1802" s="23" t="n"/>
      <c r="AI1802" s="23" t="n"/>
      <c r="AJ1802" s="19" t="n"/>
    </row>
    <row r="1803">
      <c r="A1803" s="16" t="inlineStr">
        <is>
          <t>KRONOX</t>
        </is>
      </c>
      <c r="B1803" s="16" t="inlineStr">
        <is>
          <t>Kronox Lab Sciences Ltd.</t>
        </is>
      </c>
      <c r="C1803" s="16" t="inlineStr">
        <is>
          <t>Specialty Chemicals</t>
        </is>
      </c>
      <c r="D1803" s="16" t="inlineStr">
        <is>
          <t>Chemicals &amp; Petrochemicals</t>
        </is>
      </c>
      <c r="E1803" s="16" t="inlineStr">
        <is>
          <t>INE0ATZ01017</t>
        </is>
      </c>
      <c r="F1803" s="17" t="n">
        <v>685.27</v>
      </c>
      <c r="G1803" s="18" t="n">
        <v>184.69</v>
      </c>
      <c r="H1803" s="19" t="n">
        <v>0.0072</v>
      </c>
      <c r="I1803" s="20" t="n">
        <v>78</v>
      </c>
      <c r="J1803" s="16" t="inlineStr">
        <is>
          <t>amber</t>
        </is>
      </c>
      <c r="K1803" s="20" t="n">
        <v>2</v>
      </c>
      <c r="L1803" s="18" t="n">
        <v>61.84</v>
      </c>
      <c r="M1803" s="18" t="n">
        <v>184.94</v>
      </c>
      <c r="N1803" s="18" t="n">
        <v>163.33</v>
      </c>
      <c r="O1803" s="18" t="n">
        <v>139.38</v>
      </c>
      <c r="P1803" s="18" t="n">
        <v>215.18</v>
      </c>
      <c r="Q1803" s="18" t="n">
        <v>97.02</v>
      </c>
      <c r="R1803" s="21">
        <f>IF(OR(G1803="",P1803=""),"",G1803/P1803-1)</f>
        <v/>
      </c>
      <c r="S1803" s="19" t="n">
        <v>0.066</v>
      </c>
      <c r="T1803" s="22" t="n">
        <v>0.0204</v>
      </c>
      <c r="U1803" s="16" t="inlineStr">
        <is>
          <t>Yes</t>
        </is>
      </c>
      <c r="V1803" s="16" t="inlineStr">
        <is>
          <t>Yes</t>
        </is>
      </c>
      <c r="W1803" s="16" t="inlineStr">
        <is>
          <t>No</t>
        </is>
      </c>
      <c r="X1803" s="16" t="inlineStr">
        <is>
          <t>Yes</t>
        </is>
      </c>
      <c r="Y1803" s="20" t="n">
        <v>51</v>
      </c>
      <c r="Z1803" s="19" t="n">
        <v>0.1719</v>
      </c>
      <c r="AA1803" s="18" t="n">
        <v>40</v>
      </c>
      <c r="AB1803" s="16" t="inlineStr">
        <is>
          <t>Weak</t>
        </is>
      </c>
      <c r="AC1803" s="16" t="inlineStr">
        <is>
          <t>No</t>
        </is>
      </c>
      <c r="AD1803" s="19" t="n">
        <v>0.2809</v>
      </c>
      <c r="AE1803" s="19" t="n">
        <v>0.3765</v>
      </c>
      <c r="AF1803" s="19" t="n">
        <v>-0.1745</v>
      </c>
      <c r="AG1803" s="19" t="n">
        <v>0.0218</v>
      </c>
      <c r="AH1803" s="23" t="n">
        <v>0.01</v>
      </c>
      <c r="AI1803" s="23" t="n">
        <v>3.42</v>
      </c>
      <c r="AJ1803" s="19" t="n">
        <v>0.0297</v>
      </c>
    </row>
    <row r="1804">
      <c r="A1804" s="16" t="inlineStr">
        <is>
          <t>DENTALKART</t>
        </is>
      </c>
      <c r="B1804" s="16" t="inlineStr">
        <is>
          <t>Vasa Denticity Ltd.</t>
        </is>
      </c>
      <c r="C1804" s="16" t="inlineStr">
        <is>
          <t>Healthcare Supplies</t>
        </is>
      </c>
      <c r="D1804" s="16" t="inlineStr">
        <is>
          <t>Healthcare</t>
        </is>
      </c>
      <c r="E1804" s="16" t="inlineStr">
        <is>
          <t>INE0N5801013</t>
        </is>
      </c>
      <c r="F1804" s="17" t="n">
        <v>684.8099999999999</v>
      </c>
      <c r="G1804" s="18" t="n">
        <v>412</v>
      </c>
      <c r="H1804" s="19" t="n">
        <v>0.03</v>
      </c>
      <c r="I1804" s="20" t="n">
        <v>16</v>
      </c>
      <c r="J1804" s="16" t="inlineStr">
        <is>
          <t>red</t>
        </is>
      </c>
      <c r="K1804" s="20" t="n">
        <v>146</v>
      </c>
      <c r="L1804" s="18" t="n">
        <v>51.19</v>
      </c>
      <c r="M1804" s="18" t="n">
        <v>406.76</v>
      </c>
      <c r="N1804" s="18" t="n">
        <v>400.04</v>
      </c>
      <c r="O1804" s="18" t="n">
        <v>458.59</v>
      </c>
      <c r="P1804" s="18" t="n">
        <v>632.45</v>
      </c>
      <c r="Q1804" s="18" t="n">
        <v>336.7</v>
      </c>
      <c r="R1804" s="21">
        <f>IF(OR(G1804="",P1804=""),"",G1804/P1804-1)</f>
        <v/>
      </c>
      <c r="S1804" s="19" t="n">
        <v>0.2489</v>
      </c>
      <c r="T1804" s="22" t="n">
        <v>-0.04</v>
      </c>
      <c r="U1804" s="16" t="inlineStr">
        <is>
          <t>No</t>
        </is>
      </c>
      <c r="V1804" s="16" t="inlineStr">
        <is>
          <t>Yes</t>
        </is>
      </c>
      <c r="W1804" s="16" t="inlineStr">
        <is>
          <t>Yes</t>
        </is>
      </c>
      <c r="X1804" s="16" t="inlineStr">
        <is>
          <t>No</t>
        </is>
      </c>
      <c r="Y1804" s="20" t="n">
        <v>361</v>
      </c>
      <c r="Z1804" s="19" t="n">
        <v>-0.1277</v>
      </c>
      <c r="AA1804" s="18" t="n"/>
      <c r="AB1804" s="16" t="n"/>
      <c r="AC1804" s="16" t="inlineStr">
        <is>
          <t>No</t>
        </is>
      </c>
      <c r="AD1804" s="19" t="n"/>
      <c r="AE1804" s="19" t="n"/>
      <c r="AF1804" s="19" t="n"/>
      <c r="AG1804" s="19" t="n"/>
      <c r="AH1804" s="23" t="n"/>
      <c r="AI1804" s="23" t="n"/>
      <c r="AJ1804" s="19" t="n"/>
    </row>
    <row r="1805">
      <c r="A1805" s="16" t="inlineStr">
        <is>
          <t>CHEMBONDCH</t>
        </is>
      </c>
      <c r="B1805" s="16" t="inlineStr">
        <is>
          <t>Chembond Chemicals Ltd.</t>
        </is>
      </c>
      <c r="C1805" s="16" t="inlineStr">
        <is>
          <t>Specialty Chemicals</t>
        </is>
      </c>
      <c r="D1805" s="16" t="inlineStr">
        <is>
          <t>Chemicals &amp; Petrochemicals</t>
        </is>
      </c>
      <c r="E1805" s="16" t="inlineStr">
        <is>
          <t>INE0TGX01019</t>
        </is>
      </c>
      <c r="F1805" s="17" t="n">
        <v>684.38</v>
      </c>
      <c r="G1805" s="18" t="n">
        <v>254.45</v>
      </c>
      <c r="H1805" s="19" t="n">
        <v>-0.0176</v>
      </c>
      <c r="I1805" s="20" t="n">
        <v>87</v>
      </c>
      <c r="J1805" s="16" t="inlineStr">
        <is>
          <t>green</t>
        </is>
      </c>
      <c r="K1805" s="20" t="n">
        <v>23</v>
      </c>
      <c r="L1805" s="18" t="n">
        <v>44.05</v>
      </c>
      <c r="M1805" s="18" t="n">
        <v>263.01</v>
      </c>
      <c r="N1805" s="18" t="n">
        <v>249.28</v>
      </c>
      <c r="O1805" s="18" t="n">
        <v>180.61</v>
      </c>
      <c r="P1805" s="18" t="n">
        <v>284.38</v>
      </c>
      <c r="Q1805" s="18" t="n">
        <v>105.7</v>
      </c>
      <c r="R1805" s="21">
        <f>IF(OR(G1805="",P1805=""),"",G1805/P1805-1)</f>
        <v/>
      </c>
      <c r="S1805" s="19" t="n">
        <v>0.3239</v>
      </c>
      <c r="T1805" s="22" t="n">
        <v>0.0673</v>
      </c>
      <c r="U1805" s="16" t="inlineStr">
        <is>
          <t>Yes</t>
        </is>
      </c>
      <c r="V1805" s="16" t="inlineStr">
        <is>
          <t>Yes</t>
        </is>
      </c>
      <c r="W1805" s="16" t="inlineStr">
        <is>
          <t>No</t>
        </is>
      </c>
      <c r="X1805" s="16" t="inlineStr">
        <is>
          <t>Yes</t>
        </is>
      </c>
      <c r="Y1805" s="20" t="n">
        <v>69</v>
      </c>
      <c r="Z1805" s="19" t="n">
        <v>0.3802</v>
      </c>
      <c r="AA1805" s="18" t="n">
        <v>40</v>
      </c>
      <c r="AB1805" s="16" t="inlineStr">
        <is>
          <t>Weak</t>
        </is>
      </c>
      <c r="AC1805" s="16" t="inlineStr">
        <is>
          <t>No</t>
        </is>
      </c>
      <c r="AD1805" s="19" t="n">
        <v>0.1856</v>
      </c>
      <c r="AE1805" s="19" t="n">
        <v>0.2486</v>
      </c>
      <c r="AF1805" s="19" t="n">
        <v>-0.3998</v>
      </c>
      <c r="AG1805" s="19" t="n">
        <v>-0.06950000000000001</v>
      </c>
      <c r="AH1805" s="23" t="n">
        <v>0.05</v>
      </c>
      <c r="AI1805" s="23" t="n">
        <v>14.54</v>
      </c>
      <c r="AJ1805" s="19" t="n">
        <v>0.0018</v>
      </c>
    </row>
    <row r="1806">
      <c r="A1806" s="16" t="inlineStr">
        <is>
          <t>BESTAGRO</t>
        </is>
      </c>
      <c r="B1806" s="16" t="inlineStr">
        <is>
          <t>Best Agrolife Ltd.</t>
        </is>
      </c>
      <c r="C1806" s="16" t="inlineStr">
        <is>
          <t>Agrochemicals</t>
        </is>
      </c>
      <c r="D1806" s="16" t="inlineStr">
        <is>
          <t>Chemicals &amp; Petrochemicals</t>
        </is>
      </c>
      <c r="E1806" s="16" t="inlineStr">
        <is>
          <t>INE052T01021</t>
        </is>
      </c>
      <c r="F1806" s="17" t="n">
        <v>684.16</v>
      </c>
      <c r="G1806" s="18" t="n">
        <v>19.29</v>
      </c>
      <c r="H1806" s="19" t="n">
        <v>-0.0516</v>
      </c>
      <c r="I1806" s="20" t="n">
        <v>41</v>
      </c>
      <c r="J1806" s="16" t="inlineStr">
        <is>
          <t>red</t>
        </is>
      </c>
      <c r="K1806" s="20" t="n">
        <v>158</v>
      </c>
      <c r="L1806" s="18" t="n">
        <v>52.98</v>
      </c>
      <c r="M1806" s="18" t="n">
        <v>18.21</v>
      </c>
      <c r="N1806" s="18" t="n">
        <v>17.29</v>
      </c>
      <c r="O1806" s="18" t="n">
        <v>19.03</v>
      </c>
      <c r="P1806" s="18" t="n">
        <v>30.11</v>
      </c>
      <c r="Q1806" s="18" t="n">
        <v>12.3</v>
      </c>
      <c r="R1806" s="21">
        <f>IF(OR(G1806="",P1806=""),"",G1806/P1806-1)</f>
        <v/>
      </c>
      <c r="S1806" s="19" t="n">
        <v>0.5146000000000001</v>
      </c>
      <c r="T1806" s="22" t="n">
        <v>-0.0144</v>
      </c>
      <c r="U1806" s="16" t="inlineStr">
        <is>
          <t>No</t>
        </is>
      </c>
      <c r="V1806" s="16" t="inlineStr">
        <is>
          <t>Yes</t>
        </is>
      </c>
      <c r="W1806" s="16" t="inlineStr">
        <is>
          <t>Yes</t>
        </is>
      </c>
      <c r="X1806" s="16" t="inlineStr">
        <is>
          <t>No</t>
        </is>
      </c>
      <c r="Y1806" s="20" t="n">
        <v>140</v>
      </c>
      <c r="Z1806" s="19" t="n">
        <v>-0.0917</v>
      </c>
      <c r="AA1806" s="18" t="n">
        <v>27.11</v>
      </c>
      <c r="AB1806" s="16" t="inlineStr">
        <is>
          <t>Poor</t>
        </is>
      </c>
      <c r="AC1806" s="16" t="inlineStr">
        <is>
          <t>No</t>
        </is>
      </c>
      <c r="AD1806" s="19" t="n">
        <v>0.08929999999999999</v>
      </c>
      <c r="AE1806" s="19" t="n">
        <v>0.1111</v>
      </c>
      <c r="AF1806" s="19" t="n">
        <v>-0.5543</v>
      </c>
      <c r="AG1806" s="19" t="n">
        <v>-0.0886</v>
      </c>
      <c r="AH1806" s="23" t="n">
        <v>0.58</v>
      </c>
      <c r="AI1806" s="23" t="n">
        <v>5.5</v>
      </c>
      <c r="AJ1806" s="19" t="n">
        <v>0.0044</v>
      </c>
    </row>
    <row r="1807">
      <c r="A1807" s="16" t="inlineStr">
        <is>
          <t>XCHANGING</t>
        </is>
      </c>
      <c r="B1807" s="16" t="inlineStr">
        <is>
          <t>Xchanging Solutions Ltd.</t>
        </is>
      </c>
      <c r="C1807" s="16" t="inlineStr">
        <is>
          <t>IT Consulting &amp; Software</t>
        </is>
      </c>
      <c r="D1807" s="16" t="inlineStr">
        <is>
          <t>Software &amp; Services</t>
        </is>
      </c>
      <c r="E1807" s="16" t="inlineStr">
        <is>
          <t>INE692G01013</t>
        </is>
      </c>
      <c r="F1807" s="17" t="n">
        <v>684.02</v>
      </c>
      <c r="G1807" s="18" t="n">
        <v>61.4</v>
      </c>
      <c r="H1807" s="19" t="n">
        <v>0.0067</v>
      </c>
      <c r="I1807" s="20" t="n">
        <v>18</v>
      </c>
      <c r="J1807" s="16" t="inlineStr">
        <is>
          <t>red</t>
        </is>
      </c>
      <c r="K1807" s="20" t="n">
        <v>501</v>
      </c>
      <c r="L1807" s="18" t="n">
        <v>46.91</v>
      </c>
      <c r="M1807" s="18" t="n">
        <v>61.08</v>
      </c>
      <c r="N1807" s="18" t="n">
        <v>62.58</v>
      </c>
      <c r="O1807" s="18" t="n">
        <v>66.27</v>
      </c>
      <c r="P1807" s="18" t="n">
        <v>92.56</v>
      </c>
      <c r="Q1807" s="18" t="n">
        <v>46.34</v>
      </c>
      <c r="R1807" s="21">
        <f>IF(OR(G1807="",P1807=""),"",G1807/P1807-1)</f>
        <v/>
      </c>
      <c r="S1807" s="19" t="n">
        <v>0.6323</v>
      </c>
      <c r="T1807" s="22" t="n">
        <v>-0.0343</v>
      </c>
      <c r="U1807" s="16" t="inlineStr">
        <is>
          <t>No</t>
        </is>
      </c>
      <c r="V1807" s="16" t="inlineStr">
        <is>
          <t>No</t>
        </is>
      </c>
      <c r="W1807" s="16" t="inlineStr">
        <is>
          <t>Yes</t>
        </is>
      </c>
      <c r="X1807" s="16" t="inlineStr">
        <is>
          <t>No</t>
        </is>
      </c>
      <c r="Y1807" s="20" t="n">
        <v>461</v>
      </c>
      <c r="Z1807" s="19" t="n">
        <v>-0.0557</v>
      </c>
      <c r="AA1807" s="18" t="n">
        <v>57.32</v>
      </c>
      <c r="AB1807" s="16" t="inlineStr">
        <is>
          <t>Good</t>
        </is>
      </c>
      <c r="AC1807" s="16" t="inlineStr">
        <is>
          <t>No</t>
        </is>
      </c>
      <c r="AD1807" s="19" t="n">
        <v>0.109</v>
      </c>
      <c r="AE1807" s="19" t="n">
        <v>0.1603</v>
      </c>
      <c r="AF1807" s="19" t="n">
        <v>0.7077</v>
      </c>
      <c r="AG1807" s="19" t="n">
        <v>0.0525</v>
      </c>
      <c r="AH1807" s="23" t="n">
        <v>0.18</v>
      </c>
      <c r="AI1807" s="23" t="n">
        <v>20292</v>
      </c>
      <c r="AJ1807" s="19" t="n">
        <v>0</v>
      </c>
    </row>
    <row r="1808">
      <c r="A1808" s="16" t="inlineStr">
        <is>
          <t>ECOSMOBLTY</t>
        </is>
      </c>
      <c r="B1808" s="16" t="inlineStr">
        <is>
          <t>Ecos (India) Mobility &amp; Hospitality Ltd.</t>
        </is>
      </c>
      <c r="C1808" s="16" t="inlineStr">
        <is>
          <t>Transport Related Services</t>
        </is>
      </c>
      <c r="D1808" s="16" t="inlineStr">
        <is>
          <t>Transportation</t>
        </is>
      </c>
      <c r="E1808" s="16" t="inlineStr">
        <is>
          <t>INE06HJ01020</t>
        </is>
      </c>
      <c r="F1808" s="17" t="n">
        <v>681.24</v>
      </c>
      <c r="G1808" s="18" t="n">
        <v>113.54</v>
      </c>
      <c r="H1808" s="19" t="n">
        <v>-0.0034</v>
      </c>
      <c r="I1808" s="20" t="n">
        <v>4</v>
      </c>
      <c r="J1808" s="16" t="inlineStr">
        <is>
          <t>red</t>
        </is>
      </c>
      <c r="K1808" s="20" t="n">
        <v>249</v>
      </c>
      <c r="L1808" s="18" t="n">
        <v>46.27</v>
      </c>
      <c r="M1808" s="18" t="n">
        <v>113.83</v>
      </c>
      <c r="N1808" s="18" t="n">
        <v>123.56</v>
      </c>
      <c r="O1808" s="18" t="n">
        <v>151.4</v>
      </c>
      <c r="P1808" s="18" t="n">
        <v>284.3</v>
      </c>
      <c r="Q1808" s="18" t="n">
        <v>102.71</v>
      </c>
      <c r="R1808" s="21">
        <f>IF(OR(G1808="",P1808=""),"",G1808/P1808-1)</f>
        <v/>
      </c>
      <c r="S1808" s="19" t="n">
        <v>0.9440999999999999</v>
      </c>
      <c r="T1808" s="22" t="n">
        <v>-0.0613</v>
      </c>
      <c r="U1808" s="16" t="inlineStr">
        <is>
          <t>No</t>
        </is>
      </c>
      <c r="V1808" s="16" t="inlineStr">
        <is>
          <t>No</t>
        </is>
      </c>
      <c r="W1808" s="16" t="inlineStr">
        <is>
          <t>No</t>
        </is>
      </c>
      <c r="X1808" s="16" t="inlineStr">
        <is>
          <t>No</t>
        </is>
      </c>
      <c r="Y1808" s="20" t="n">
        <v>209</v>
      </c>
      <c r="Z1808" s="19" t="n">
        <v>-0.1839</v>
      </c>
      <c r="AA1808" s="18" t="n">
        <v>76.09</v>
      </c>
      <c r="AB1808" s="16" t="inlineStr">
        <is>
          <t>High</t>
        </is>
      </c>
      <c r="AC1808" s="16" t="inlineStr">
        <is>
          <t>No</t>
        </is>
      </c>
      <c r="AD1808" s="19" t="n">
        <v>0.2803</v>
      </c>
      <c r="AE1808" s="19" t="n">
        <v>0.3458</v>
      </c>
      <c r="AF1808" s="19" t="n">
        <v>0.1177</v>
      </c>
      <c r="AG1808" s="19" t="n">
        <v>0.2431</v>
      </c>
      <c r="AH1808" s="23" t="n">
        <v>0.03</v>
      </c>
      <c r="AI1808" s="23" t="n">
        <v>13.42</v>
      </c>
      <c r="AJ1808" s="19" t="n">
        <v>0</v>
      </c>
    </row>
    <row r="1809">
      <c r="A1809" s="16" t="inlineStr">
        <is>
          <t>KANORICHEM</t>
        </is>
      </c>
      <c r="B1809" s="16" t="inlineStr">
        <is>
          <t>Kanoria Chemicals &amp; Industries Ltd.</t>
        </is>
      </c>
      <c r="C1809" s="16" t="inlineStr">
        <is>
          <t>Commodity Chemicals</t>
        </is>
      </c>
      <c r="D1809" s="16" t="inlineStr">
        <is>
          <t>Chemicals &amp; Petrochemicals</t>
        </is>
      </c>
      <c r="E1809" s="16" t="inlineStr">
        <is>
          <t>INE138C01024</t>
        </is>
      </c>
      <c r="F1809" s="17" t="n">
        <v>679.6900000000001</v>
      </c>
      <c r="G1809" s="18" t="n">
        <v>155.56</v>
      </c>
      <c r="H1809" s="19" t="n">
        <v>-0.0008</v>
      </c>
      <c r="I1809" s="20" t="n">
        <v>94</v>
      </c>
      <c r="J1809" s="16" t="inlineStr">
        <is>
          <t>green</t>
        </is>
      </c>
      <c r="K1809" s="20" t="n">
        <v>62</v>
      </c>
      <c r="L1809" s="18" t="n">
        <v>59.93</v>
      </c>
      <c r="M1809" s="18" t="n">
        <v>157.01</v>
      </c>
      <c r="N1809" s="18" t="n">
        <v>147.4</v>
      </c>
      <c r="O1809" s="18" t="n">
        <v>96.76000000000001</v>
      </c>
      <c r="P1809" s="18" t="n">
        <v>161.75</v>
      </c>
      <c r="Q1809" s="18" t="n">
        <v>56.14</v>
      </c>
      <c r="R1809" s="21">
        <f>IF(OR(G1809="",P1809=""),"",G1809/P1809-1)</f>
        <v/>
      </c>
      <c r="S1809" s="19" t="n">
        <v>0.4226</v>
      </c>
      <c r="T1809" s="22" t="n">
        <v>0.08689999999999999</v>
      </c>
      <c r="U1809" s="16" t="inlineStr">
        <is>
          <t>Yes</t>
        </is>
      </c>
      <c r="V1809" s="16" t="inlineStr">
        <is>
          <t>Yes</t>
        </is>
      </c>
      <c r="W1809" s="16" t="inlineStr">
        <is>
          <t>No</t>
        </is>
      </c>
      <c r="X1809" s="16" t="inlineStr">
        <is>
          <t>Yes</t>
        </is>
      </c>
      <c r="Y1809" s="20" t="n">
        <v>75</v>
      </c>
      <c r="Z1809" s="19" t="n">
        <v>0.5234000000000001</v>
      </c>
      <c r="AA1809" s="18" t="n">
        <v>14.77</v>
      </c>
      <c r="AB1809" s="16" t="inlineStr">
        <is>
          <t>Poor</t>
        </is>
      </c>
      <c r="AC1809" s="16" t="inlineStr">
        <is>
          <t>No</t>
        </is>
      </c>
      <c r="AD1809" s="19" t="n">
        <v>-0.004500000000000001</v>
      </c>
      <c r="AE1809" s="19" t="n">
        <v>0.0211</v>
      </c>
      <c r="AF1809" s="19" t="n">
        <v>-0.7015</v>
      </c>
      <c r="AG1809" s="19" t="n">
        <v>-0.08449999999999999</v>
      </c>
      <c r="AH1809" s="23" t="n">
        <v>0.51</v>
      </c>
      <c r="AI1809" s="23" t="n">
        <v>1.29</v>
      </c>
      <c r="AJ1809" s="19" t="n">
        <v>0.04269999999999999</v>
      </c>
    </row>
    <row r="1810">
      <c r="A1810" s="16" t="inlineStr">
        <is>
          <t>SCPL</t>
        </is>
      </c>
      <c r="B1810" s="16" t="inlineStr">
        <is>
          <t>Sheetal Cool Products Ltd.</t>
        </is>
      </c>
      <c r="C1810" s="16" t="inlineStr">
        <is>
          <t>Packaged Foods</t>
        </is>
      </c>
      <c r="D1810" s="16" t="inlineStr">
        <is>
          <t>FMCG</t>
        </is>
      </c>
      <c r="E1810" s="16" t="inlineStr">
        <is>
          <t>INE501Y01019</t>
        </is>
      </c>
      <c r="F1810" s="17" t="n">
        <v>678.77</v>
      </c>
      <c r="G1810" s="18" t="n">
        <v>646.45</v>
      </c>
      <c r="H1810" s="19" t="n">
        <v>0.0071</v>
      </c>
      <c r="I1810" s="20" t="n">
        <v>96</v>
      </c>
      <c r="J1810" s="16" t="inlineStr">
        <is>
          <t>green</t>
        </is>
      </c>
      <c r="K1810" s="20" t="n">
        <v>93</v>
      </c>
      <c r="L1810" s="18" t="n">
        <v>45.53</v>
      </c>
      <c r="M1810" s="18" t="n">
        <v>645.6799999999999</v>
      </c>
      <c r="N1810" s="18" t="n">
        <v>588.76</v>
      </c>
      <c r="O1810" s="18" t="n">
        <v>403.32</v>
      </c>
      <c r="P1810" s="18" t="n">
        <v>682.75</v>
      </c>
      <c r="Q1810" s="18" t="n">
        <v>194.1</v>
      </c>
      <c r="R1810" s="21">
        <f>IF(OR(G1810="",P1810=""),"",G1810/P1810-1)</f>
        <v/>
      </c>
      <c r="S1810" s="19" t="n">
        <v>0.1046</v>
      </c>
      <c r="T1810" s="22" t="n">
        <v>0.1153</v>
      </c>
      <c r="U1810" s="16" t="inlineStr">
        <is>
          <t>Yes</t>
        </is>
      </c>
      <c r="V1810" s="16" t="inlineStr">
        <is>
          <t>Yes</t>
        </is>
      </c>
      <c r="W1810" s="16" t="inlineStr">
        <is>
          <t>Yes</t>
        </is>
      </c>
      <c r="X1810" s="16" t="inlineStr">
        <is>
          <t>Yes</t>
        </is>
      </c>
      <c r="Y1810" s="20" t="n">
        <v>147</v>
      </c>
      <c r="Z1810" s="19" t="n">
        <v>0.4598</v>
      </c>
      <c r="AA1810" s="18" t="n">
        <v>40</v>
      </c>
      <c r="AB1810" s="16" t="inlineStr">
        <is>
          <t>Weak</t>
        </is>
      </c>
      <c r="AC1810" s="16" t="inlineStr">
        <is>
          <t>No</t>
        </is>
      </c>
      <c r="AD1810" s="19" t="n">
        <v>0.1434</v>
      </c>
      <c r="AE1810" s="19" t="n">
        <v>0.1616</v>
      </c>
      <c r="AF1810" s="19" t="n">
        <v>-0.3953</v>
      </c>
      <c r="AG1810" s="19" t="n">
        <v>0.0289</v>
      </c>
      <c r="AH1810" s="23" t="n">
        <v>0.32</v>
      </c>
      <c r="AI1810" s="23" t="n">
        <v>7.67</v>
      </c>
      <c r="AJ1810" s="19" t="n">
        <v>0</v>
      </c>
    </row>
    <row r="1811">
      <c r="A1811" s="16" t="inlineStr">
        <is>
          <t>CHEVIOT</t>
        </is>
      </c>
      <c r="B1811" s="16" t="inlineStr">
        <is>
          <t>Cheviot Company Ltd.</t>
        </is>
      </c>
      <c r="C1811" s="16" t="inlineStr">
        <is>
          <t>Jute &amp; Jute Products</t>
        </is>
      </c>
      <c r="D1811" s="16" t="inlineStr">
        <is>
          <t>Forest Materials</t>
        </is>
      </c>
      <c r="E1811" s="16" t="inlineStr">
        <is>
          <t>INE974B01016</t>
        </is>
      </c>
      <c r="F1811" s="17" t="n">
        <v>677.3099999999999</v>
      </c>
      <c r="G1811" s="18" t="n">
        <v>1159.4</v>
      </c>
      <c r="H1811" s="19" t="n">
        <v>0.0143</v>
      </c>
      <c r="I1811" s="20" t="n">
        <v>53</v>
      </c>
      <c r="J1811" s="16" t="inlineStr">
        <is>
          <t>red</t>
        </is>
      </c>
      <c r="K1811" s="20" t="n">
        <v>76</v>
      </c>
      <c r="L1811" s="18" t="n">
        <v>49.41</v>
      </c>
      <c r="M1811" s="18" t="n">
        <v>1142.93</v>
      </c>
      <c r="N1811" s="18" t="n">
        <v>1132.06</v>
      </c>
      <c r="O1811" s="18" t="n">
        <v>1070.9</v>
      </c>
      <c r="P1811" s="18" t="n">
        <v>1329.49</v>
      </c>
      <c r="Q1811" s="18" t="n">
        <v>885.02</v>
      </c>
      <c r="R1811" s="21">
        <f>IF(OR(G1811="",P1811=""),"",G1811/P1811-1)</f>
        <v/>
      </c>
      <c r="S1811" s="19" t="n">
        <v>0.2428</v>
      </c>
      <c r="T1811" s="22" t="n">
        <v>0.0036</v>
      </c>
      <c r="U1811" s="16" t="inlineStr">
        <is>
          <t>Yes</t>
        </is>
      </c>
      <c r="V1811" s="16" t="inlineStr">
        <is>
          <t>Yes</t>
        </is>
      </c>
      <c r="W1811" s="16" t="inlineStr">
        <is>
          <t>Yes</t>
        </is>
      </c>
      <c r="X1811" s="16" t="inlineStr">
        <is>
          <t>Yes</t>
        </is>
      </c>
      <c r="Y1811" s="20" t="n">
        <v>70</v>
      </c>
      <c r="Z1811" s="19" t="n">
        <v>0.0571</v>
      </c>
      <c r="AA1811" s="18" t="n">
        <v>39.2</v>
      </c>
      <c r="AB1811" s="16" t="inlineStr">
        <is>
          <t>Weak</t>
        </is>
      </c>
      <c r="AC1811" s="16" t="inlineStr">
        <is>
          <t>No</t>
        </is>
      </c>
      <c r="AD1811" s="19" t="n">
        <v>0.09089999999999999</v>
      </c>
      <c r="AE1811" s="19" t="n">
        <v>0.1155</v>
      </c>
      <c r="AF1811" s="19" t="n">
        <v>-0.2918</v>
      </c>
      <c r="AG1811" s="19" t="n">
        <v>0.0064</v>
      </c>
      <c r="AH1811" s="23" t="n">
        <v>0.01</v>
      </c>
      <c r="AI1811" s="23" t="n">
        <v>2.32</v>
      </c>
      <c r="AJ1811" s="19" t="n">
        <v>0.0033</v>
      </c>
    </row>
    <row r="1812">
      <c r="A1812" s="16" t="inlineStr">
        <is>
          <t>INFLUX</t>
        </is>
      </c>
      <c r="B1812" s="16" t="inlineStr">
        <is>
          <t>Influx Healthtech Ltd.</t>
        </is>
      </c>
      <c r="C1812" s="16" t="inlineStr">
        <is>
          <t>Pharmaceuticals</t>
        </is>
      </c>
      <c r="D1812" s="16" t="inlineStr">
        <is>
          <t>Pharmaceuticals &amp; Biotechnology</t>
        </is>
      </c>
      <c r="E1812" s="16" t="inlineStr">
        <is>
          <t>INE0MYZ01012</t>
        </is>
      </c>
      <c r="F1812" s="17" t="n">
        <v>674.49</v>
      </c>
      <c r="G1812" s="18" t="n"/>
      <c r="H1812" s="19" t="n"/>
      <c r="I1812" s="20" t="n"/>
      <c r="J1812" s="16" t="n"/>
      <c r="K1812" s="20" t="n"/>
      <c r="L1812" s="18" t="n"/>
      <c r="M1812" s="18" t="n"/>
      <c r="N1812" s="18" t="n"/>
      <c r="O1812" s="18" t="n"/>
      <c r="P1812" s="18" t="n"/>
      <c r="Q1812" s="18" t="n"/>
      <c r="R1812" s="21">
        <f>IF(OR(G1812="",P1812=""),"",G1812/P1812-1)</f>
        <v/>
      </c>
      <c r="S1812" s="19" t="n"/>
      <c r="T1812" s="22" t="n"/>
      <c r="U1812" s="16" t="n"/>
      <c r="V1812" s="16" t="n"/>
      <c r="W1812" s="16" t="n"/>
      <c r="X1812" s="16" t="n"/>
      <c r="Y1812" s="20" t="n"/>
      <c r="Z1812" s="19" t="n"/>
      <c r="AA1812" s="18" t="n"/>
      <c r="AB1812" s="16" t="n"/>
      <c r="AC1812" s="16" t="inlineStr">
        <is>
          <t>No</t>
        </is>
      </c>
      <c r="AD1812" s="19" t="n"/>
      <c r="AE1812" s="19" t="n"/>
      <c r="AF1812" s="19" t="n"/>
      <c r="AG1812" s="19" t="n"/>
      <c r="AH1812" s="23" t="n"/>
      <c r="AI1812" s="23" t="n"/>
      <c r="AJ1812" s="19" t="n"/>
    </row>
    <row r="1813">
      <c r="A1813" s="16" t="inlineStr">
        <is>
          <t>AGARIND</t>
        </is>
      </c>
      <c r="B1813" s="16" t="inlineStr">
        <is>
          <t>Agarwal Industrial Corporation Ltd.</t>
        </is>
      </c>
      <c r="C1813" s="16" t="inlineStr">
        <is>
          <t>Petrochemicals</t>
        </is>
      </c>
      <c r="D1813" s="16" t="inlineStr">
        <is>
          <t>Chemicals &amp; Petrochemicals</t>
        </is>
      </c>
      <c r="E1813" s="16" t="inlineStr">
        <is>
          <t>INE204E01012</t>
        </is>
      </c>
      <c r="F1813" s="17" t="n">
        <v>674.3</v>
      </c>
      <c r="G1813" s="18" t="n">
        <v>450.8</v>
      </c>
      <c r="H1813" s="19" t="n">
        <v>0.0234</v>
      </c>
      <c r="I1813" s="20" t="n">
        <v>7</v>
      </c>
      <c r="J1813" s="16" t="inlineStr">
        <is>
          <t>red</t>
        </is>
      </c>
      <c r="K1813" s="20" t="n">
        <v>335</v>
      </c>
      <c r="L1813" s="18" t="n">
        <v>22.37</v>
      </c>
      <c r="M1813" s="18" t="n">
        <v>455.48</v>
      </c>
      <c r="N1813" s="18" t="n">
        <v>500.86</v>
      </c>
      <c r="O1813" s="18" t="n">
        <v>551.08</v>
      </c>
      <c r="P1813" s="18" t="n">
        <v>990.8</v>
      </c>
      <c r="Q1813" s="18" t="n">
        <v>362.6</v>
      </c>
      <c r="R1813" s="21">
        <f>IF(OR(G1813="",P1813=""),"",G1813/P1813-1)</f>
        <v/>
      </c>
      <c r="S1813" s="19" t="n">
        <v>0.3186</v>
      </c>
      <c r="T1813" s="22" t="n">
        <v>-0.0641</v>
      </c>
      <c r="U1813" s="16" t="inlineStr">
        <is>
          <t>No</t>
        </is>
      </c>
      <c r="V1813" s="16" t="inlineStr">
        <is>
          <t>No</t>
        </is>
      </c>
      <c r="W1813" s="16" t="inlineStr">
        <is>
          <t>No</t>
        </is>
      </c>
      <c r="X1813" s="16" t="inlineStr">
        <is>
          <t>No</t>
        </is>
      </c>
      <c r="Y1813" s="20" t="n">
        <v>377</v>
      </c>
      <c r="Z1813" s="19" t="n">
        <v>-0.0911</v>
      </c>
      <c r="AA1813" s="18" t="n">
        <v>35.32</v>
      </c>
      <c r="AB1813" s="16" t="inlineStr">
        <is>
          <t>Weak</t>
        </is>
      </c>
      <c r="AC1813" s="16" t="inlineStr">
        <is>
          <t>No</t>
        </is>
      </c>
      <c r="AD1813" s="19" t="n">
        <v>0.1538</v>
      </c>
      <c r="AE1813" s="19" t="n">
        <v>0.1351</v>
      </c>
      <c r="AF1813" s="19" t="n">
        <v>-0.2653</v>
      </c>
      <c r="AG1813" s="19" t="n">
        <v>-0.0426</v>
      </c>
      <c r="AH1813" s="23" t="n">
        <v>0.5</v>
      </c>
      <c r="AI1813" s="23" t="n">
        <v>2.29</v>
      </c>
      <c r="AJ1813" s="19" t="n">
        <v>0.0428</v>
      </c>
    </row>
    <row r="1814">
      <c r="A1814" s="16" t="inlineStr">
        <is>
          <t>TREL</t>
        </is>
      </c>
      <c r="B1814" s="16" t="inlineStr">
        <is>
          <t>Transindia Real Estate Ltd.</t>
        </is>
      </c>
      <c r="C1814" s="16" t="inlineStr">
        <is>
          <t>Realty</t>
        </is>
      </c>
      <c r="D1814" s="16" t="inlineStr">
        <is>
          <t>Realty</t>
        </is>
      </c>
      <c r="E1814" s="16" t="inlineStr">
        <is>
          <t>INE0O3901029</t>
        </is>
      </c>
      <c r="F1814" s="17" t="n">
        <v>674.1900000000001</v>
      </c>
      <c r="G1814" s="18" t="n">
        <v>27.44</v>
      </c>
      <c r="H1814" s="19" t="n">
        <v>0.0186</v>
      </c>
      <c r="I1814" s="20" t="n">
        <v>45</v>
      </c>
      <c r="J1814" s="16" t="inlineStr">
        <is>
          <t>red</t>
        </is>
      </c>
      <c r="K1814" s="20" t="n">
        <v>501</v>
      </c>
      <c r="L1814" s="18" t="n">
        <v>69.15000000000001</v>
      </c>
      <c r="M1814" s="18" t="n">
        <v>26.94</v>
      </c>
      <c r="N1814" s="18" t="n">
        <v>25.76</v>
      </c>
      <c r="O1814" s="18" t="n">
        <v>25.79</v>
      </c>
      <c r="P1814" s="18" t="n">
        <v>33.1</v>
      </c>
      <c r="Q1814" s="18" t="n">
        <v>22.51</v>
      </c>
      <c r="R1814" s="21">
        <f>IF(OR(G1814="",P1814=""),"",G1814/P1814-1)</f>
        <v/>
      </c>
      <c r="S1814" s="19" t="n">
        <v>1.6467</v>
      </c>
      <c r="T1814" s="22" t="n">
        <v>-0.007900000000000001</v>
      </c>
      <c r="U1814" s="16" t="inlineStr">
        <is>
          <t>No</t>
        </is>
      </c>
      <c r="V1814" s="16" t="inlineStr">
        <is>
          <t>Yes</t>
        </is>
      </c>
      <c r="W1814" s="16" t="inlineStr">
        <is>
          <t>Yes</t>
        </is>
      </c>
      <c r="X1814" s="16" t="inlineStr">
        <is>
          <t>No</t>
        </is>
      </c>
      <c r="Y1814" s="20" t="n">
        <v>490</v>
      </c>
      <c r="Z1814" s="19" t="n">
        <v>-0.0012</v>
      </c>
      <c r="AA1814" s="18" t="n">
        <v>55.16</v>
      </c>
      <c r="AB1814" s="16" t="inlineStr">
        <is>
          <t>Good</t>
        </is>
      </c>
      <c r="AC1814" s="16" t="inlineStr">
        <is>
          <t>No</t>
        </is>
      </c>
      <c r="AD1814" s="19" t="n">
        <v>0.09230000000000001</v>
      </c>
      <c r="AE1814" s="19" t="n">
        <v>0.1237</v>
      </c>
      <c r="AF1814" s="19" t="n">
        <v>2.1056</v>
      </c>
      <c r="AG1814" s="19" t="n">
        <v>-0.1403</v>
      </c>
      <c r="AH1814" s="23" t="n">
        <v>0</v>
      </c>
      <c r="AI1814" s="23" t="n">
        <v>9.93</v>
      </c>
      <c r="AJ1814" s="19" t="n">
        <v>0</v>
      </c>
    </row>
    <row r="1815">
      <c r="A1815" s="16" t="inlineStr">
        <is>
          <t>ZIMLAB</t>
        </is>
      </c>
      <c r="B1815" s="16" t="inlineStr">
        <is>
          <t>Zim Laboratories Ltd.</t>
        </is>
      </c>
      <c r="C1815" s="16" t="inlineStr">
        <is>
          <t>Pharmaceuticals</t>
        </is>
      </c>
      <c r="D1815" s="16" t="inlineStr">
        <is>
          <t>Pharmaceuticals &amp; Biotechnology</t>
        </is>
      </c>
      <c r="E1815" s="16" t="inlineStr">
        <is>
          <t>INE518E01015</t>
        </is>
      </c>
      <c r="F1815" s="17" t="n">
        <v>673.41</v>
      </c>
      <c r="G1815" s="18" t="n">
        <v>125.5</v>
      </c>
      <c r="H1815" s="19" t="n">
        <v>-0.0197</v>
      </c>
      <c r="I1815" s="20" t="n">
        <v>85</v>
      </c>
      <c r="J1815" s="16" t="inlineStr">
        <is>
          <t>green</t>
        </is>
      </c>
      <c r="K1815" s="20" t="n">
        <v>15</v>
      </c>
      <c r="L1815" s="18" t="n">
        <v>60.69</v>
      </c>
      <c r="M1815" s="18" t="n">
        <v>125.65</v>
      </c>
      <c r="N1815" s="18" t="n">
        <v>118.54</v>
      </c>
      <c r="O1815" s="18" t="n">
        <v>90.63</v>
      </c>
      <c r="P1815" s="18" t="n">
        <v>133.95</v>
      </c>
      <c r="Q1815" s="18" t="n">
        <v>60.26</v>
      </c>
      <c r="R1815" s="21">
        <f>IF(OR(G1815="",P1815=""),"",G1815/P1815-1)</f>
        <v/>
      </c>
      <c r="S1815" s="19" t="n">
        <v>0.6848000000000001</v>
      </c>
      <c r="T1815" s="22" t="n">
        <v>0.0552</v>
      </c>
      <c r="U1815" s="16" t="inlineStr">
        <is>
          <t>Yes</t>
        </is>
      </c>
      <c r="V1815" s="16" t="inlineStr">
        <is>
          <t>Yes</t>
        </is>
      </c>
      <c r="W1815" s="16" t="inlineStr">
        <is>
          <t>No</t>
        </is>
      </c>
      <c r="X1815" s="16" t="inlineStr">
        <is>
          <t>Yes</t>
        </is>
      </c>
      <c r="Y1815" s="20" t="n">
        <v>83</v>
      </c>
      <c r="Z1815" s="19" t="n">
        <v>0.308</v>
      </c>
      <c r="AA1815" s="18" t="n">
        <v>23.5</v>
      </c>
      <c r="AB1815" s="16" t="inlineStr">
        <is>
          <t>Poor</t>
        </is>
      </c>
      <c r="AC1815" s="16" t="inlineStr">
        <is>
          <t>No</t>
        </is>
      </c>
      <c r="AD1815" s="19" t="n">
        <v>0.0467</v>
      </c>
      <c r="AE1815" s="19" t="n">
        <v>0.0696</v>
      </c>
      <c r="AF1815" s="19" t="n">
        <v>-0.5291</v>
      </c>
      <c r="AG1815" s="19" t="n">
        <v>-0.0242</v>
      </c>
      <c r="AH1815" s="23" t="n">
        <v>0.43</v>
      </c>
      <c r="AI1815" s="23" t="n">
        <v>1.67</v>
      </c>
      <c r="AJ1815" s="19" t="n">
        <v>0.2731</v>
      </c>
    </row>
    <row r="1816">
      <c r="A1816" s="16" t="inlineStr">
        <is>
          <t>SPECIALITY</t>
        </is>
      </c>
      <c r="B1816" s="16" t="inlineStr">
        <is>
          <t>Speciality Restaurants Ltd.</t>
        </is>
      </c>
      <c r="C1816" s="16" t="inlineStr">
        <is>
          <t>Restaurants</t>
        </is>
      </c>
      <c r="D1816" s="16" t="inlineStr">
        <is>
          <t>Hotels Restaurants &amp; Tourism</t>
        </is>
      </c>
      <c r="E1816" s="16" t="inlineStr">
        <is>
          <t>INE247M01014</t>
        </is>
      </c>
      <c r="F1816" s="17" t="n">
        <v>673.3200000000001</v>
      </c>
      <c r="G1816" s="18" t="n">
        <v>139.59</v>
      </c>
      <c r="H1816" s="19" t="n">
        <v>0.0365</v>
      </c>
      <c r="I1816" s="20" t="n">
        <v>72</v>
      </c>
      <c r="J1816" s="16" t="inlineStr">
        <is>
          <t>amber</t>
        </is>
      </c>
      <c r="K1816" s="20" t="n">
        <v>17</v>
      </c>
      <c r="L1816" s="18" t="n">
        <v>55.16</v>
      </c>
      <c r="M1816" s="18" t="n">
        <v>140.38</v>
      </c>
      <c r="N1816" s="18" t="n">
        <v>135.68</v>
      </c>
      <c r="O1816" s="18" t="n">
        <v>114.28</v>
      </c>
      <c r="P1816" s="18" t="n">
        <v>157.43</v>
      </c>
      <c r="Q1816" s="18" t="n">
        <v>83.38</v>
      </c>
      <c r="R1816" s="21">
        <f>IF(OR(G1816="",P1816=""),"",G1816/P1816-1)</f>
        <v/>
      </c>
      <c r="S1816" s="19" t="n">
        <v>0.1685</v>
      </c>
      <c r="T1816" s="22" t="n">
        <v>0.0073</v>
      </c>
      <c r="U1816" s="16" t="inlineStr">
        <is>
          <t>Yes</t>
        </is>
      </c>
      <c r="V1816" s="16" t="inlineStr">
        <is>
          <t>Yes</t>
        </is>
      </c>
      <c r="W1816" s="16" t="inlineStr">
        <is>
          <t>No</t>
        </is>
      </c>
      <c r="X1816" s="16" t="inlineStr">
        <is>
          <t>Yes</t>
        </is>
      </c>
      <c r="Y1816" s="20" t="n">
        <v>38</v>
      </c>
      <c r="Z1816" s="19" t="n">
        <v>0.1873</v>
      </c>
      <c r="AA1816" s="18" t="n">
        <v>31.5</v>
      </c>
      <c r="AB1816" s="16" t="inlineStr">
        <is>
          <t>Poor</t>
        </is>
      </c>
      <c r="AC1816" s="16" t="inlineStr">
        <is>
          <t>No</t>
        </is>
      </c>
      <c r="AD1816" s="19" t="n">
        <v>0.075</v>
      </c>
      <c r="AE1816" s="19" t="n">
        <v>0.0956</v>
      </c>
      <c r="AF1816" s="19" t="n">
        <v>-0.3168</v>
      </c>
      <c r="AG1816" s="19" t="n">
        <v>0.08310000000000001</v>
      </c>
      <c r="AH1816" s="23" t="n">
        <v>0.4</v>
      </c>
      <c r="AI1816" s="23" t="n">
        <v>1.84</v>
      </c>
      <c r="AJ1816" s="19" t="n">
        <v>0.117</v>
      </c>
    </row>
    <row r="1817">
      <c r="A1817" s="16" t="inlineStr">
        <is>
          <t>EVERESTIND</t>
        </is>
      </c>
      <c r="B1817" s="16" t="inlineStr">
        <is>
          <t>Everest Industries Ltd.</t>
        </is>
      </c>
      <c r="C1817" s="16" t="inlineStr">
        <is>
          <t>Cement &amp; Cement Products</t>
        </is>
      </c>
      <c r="D1817" s="16" t="inlineStr">
        <is>
          <t>Cement and Construction</t>
        </is>
      </c>
      <c r="E1817" s="16" t="inlineStr">
        <is>
          <t>INE295A01018</t>
        </is>
      </c>
      <c r="F1817" s="17" t="n">
        <v>672.13</v>
      </c>
      <c r="G1817" s="18" t="n">
        <v>423.9</v>
      </c>
      <c r="H1817" s="19" t="n">
        <v>-0.0032</v>
      </c>
      <c r="I1817" s="20" t="n">
        <v>39</v>
      </c>
      <c r="J1817" s="16" t="inlineStr">
        <is>
          <t>red</t>
        </is>
      </c>
      <c r="K1817" s="20" t="n">
        <v>27</v>
      </c>
      <c r="L1817" s="18" t="n">
        <v>36.87</v>
      </c>
      <c r="M1817" s="18" t="n">
        <v>428.46</v>
      </c>
      <c r="N1817" s="18" t="n">
        <v>471.32</v>
      </c>
      <c r="O1817" s="18" t="n">
        <v>431.49</v>
      </c>
      <c r="P1817" s="18" t="n">
        <v>718.73</v>
      </c>
      <c r="Q1817" s="18" t="n">
        <v>289.8</v>
      </c>
      <c r="R1817" s="21">
        <f>IF(OR(G1817="",P1817=""),"",G1817/P1817-1)</f>
        <v/>
      </c>
      <c r="S1817" s="19" t="n">
        <v>1.1101</v>
      </c>
      <c r="T1817" s="22" t="n">
        <v>-0.0362</v>
      </c>
      <c r="U1817" s="16" t="inlineStr">
        <is>
          <t>No</t>
        </is>
      </c>
      <c r="V1817" s="16" t="inlineStr">
        <is>
          <t>No</t>
        </is>
      </c>
      <c r="W1817" s="16" t="inlineStr">
        <is>
          <t>No</t>
        </is>
      </c>
      <c r="X1817" s="16" t="inlineStr">
        <is>
          <t>Yes</t>
        </is>
      </c>
      <c r="Y1817" s="20" t="n">
        <v>20</v>
      </c>
      <c r="Z1817" s="19" t="n">
        <v>0.09230000000000001</v>
      </c>
      <c r="AA1817" s="18" t="n">
        <v>15.44</v>
      </c>
      <c r="AB1817" s="16" t="inlineStr">
        <is>
          <t>Poor</t>
        </is>
      </c>
      <c r="AC1817" s="16" t="inlineStr">
        <is>
          <t>No</t>
        </is>
      </c>
      <c r="AD1817" s="19" t="n">
        <v>-0.0605</v>
      </c>
      <c r="AE1817" s="19" t="n">
        <v>-0.0145</v>
      </c>
      <c r="AF1817" s="19" t="n">
        <v>-9.646000000000001</v>
      </c>
      <c r="AG1817" s="19" t="n">
        <v>-0.0441</v>
      </c>
      <c r="AH1817" s="23" t="n">
        <v>0.46</v>
      </c>
      <c r="AI1817" s="23" t="n">
        <v>2.46</v>
      </c>
      <c r="AJ1817" s="19" t="n">
        <v>0.0408</v>
      </c>
    </row>
    <row r="1818">
      <c r="A1818" s="16" t="inlineStr">
        <is>
          <t>BLAL</t>
        </is>
      </c>
      <c r="B1818" s="16" t="inlineStr">
        <is>
          <t>BEML Land Assets Ltd.</t>
        </is>
      </c>
      <c r="C1818" s="16" t="inlineStr">
        <is>
          <t>Realty</t>
        </is>
      </c>
      <c r="D1818" s="16" t="inlineStr">
        <is>
          <t>Realty</t>
        </is>
      </c>
      <c r="E1818" s="16" t="inlineStr">
        <is>
          <t>INE0N7W01012</t>
        </is>
      </c>
      <c r="F1818" s="17" t="n">
        <v>669.98</v>
      </c>
      <c r="G1818" s="18" t="n">
        <v>160.88</v>
      </c>
      <c r="H1818" s="19" t="n">
        <v>-0.006500000000000001</v>
      </c>
      <c r="I1818" s="20" t="n">
        <v>12</v>
      </c>
      <c r="J1818" s="16" t="inlineStr">
        <is>
          <t>red</t>
        </is>
      </c>
      <c r="K1818" s="20" t="n">
        <v>154</v>
      </c>
      <c r="L1818" s="18" t="n">
        <v>18.26</v>
      </c>
      <c r="M1818" s="18" t="n">
        <v>164.54</v>
      </c>
      <c r="N1818" s="18" t="n">
        <v>174.97</v>
      </c>
      <c r="O1818" s="18" t="n">
        <v>186.6</v>
      </c>
      <c r="P1818" s="18" t="n">
        <v>229.41</v>
      </c>
      <c r="Q1818" s="18" t="n">
        <v>155.74</v>
      </c>
      <c r="R1818" s="21">
        <f>IF(OR(G1818="",P1818=""),"",G1818/P1818-1)</f>
        <v/>
      </c>
      <c r="S1818" s="19" t="n">
        <v>2.1421</v>
      </c>
      <c r="T1818" s="22" t="n">
        <v>-0.0207</v>
      </c>
      <c r="U1818" s="16" t="inlineStr">
        <is>
          <t>No</t>
        </is>
      </c>
      <c r="V1818" s="16" t="inlineStr">
        <is>
          <t>No</t>
        </is>
      </c>
      <c r="W1818" s="16" t="inlineStr">
        <is>
          <t>No</t>
        </is>
      </c>
      <c r="X1818" s="16" t="inlineStr">
        <is>
          <t>No</t>
        </is>
      </c>
      <c r="Y1818" s="20" t="n">
        <v>190</v>
      </c>
      <c r="Z1818" s="19" t="n">
        <v>-0.0623</v>
      </c>
      <c r="AA1818" s="18" t="n">
        <v>27.04</v>
      </c>
      <c r="AB1818" s="16" t="inlineStr">
        <is>
          <t>Poor</t>
        </is>
      </c>
      <c r="AC1818" s="16" t="inlineStr">
        <is>
          <t>No</t>
        </is>
      </c>
      <c r="AD1818" s="19" t="n">
        <v>-1.376</v>
      </c>
      <c r="AE1818" s="19" t="n">
        <v>-0.8536</v>
      </c>
      <c r="AF1818" s="19" t="n">
        <v>-1.3149</v>
      </c>
      <c r="AG1818" s="19" t="n"/>
      <c r="AH1818" s="23" t="n">
        <v>0</v>
      </c>
      <c r="AI1818" s="23" t="n"/>
      <c r="AJ1818" s="19" t="n"/>
    </row>
    <row r="1819">
      <c r="A1819" s="16" t="inlineStr">
        <is>
          <t>SUTLEJTEX</t>
        </is>
      </c>
      <c r="B1819" s="16" t="inlineStr">
        <is>
          <t>Sutlej Textiles &amp; Industries Ltd.</t>
        </is>
      </c>
      <c r="C1819" s="16" t="inlineStr">
        <is>
          <t>Textiles</t>
        </is>
      </c>
      <c r="D1819" s="16" t="inlineStr">
        <is>
          <t>Textiles Apparels &amp; Accessories</t>
        </is>
      </c>
      <c r="E1819" s="16" t="inlineStr">
        <is>
          <t>INE645H01027</t>
        </is>
      </c>
      <c r="F1819" s="17" t="n">
        <v>669.9</v>
      </c>
      <c r="G1819" s="18" t="n">
        <v>40.89</v>
      </c>
      <c r="H1819" s="19" t="n">
        <v>0.0495</v>
      </c>
      <c r="I1819" s="20" t="n">
        <v>64</v>
      </c>
      <c r="J1819" s="16" t="inlineStr">
        <is>
          <t>amber</t>
        </is>
      </c>
      <c r="K1819" s="20" t="n">
        <v>1</v>
      </c>
      <c r="L1819" s="18" t="n">
        <v>71.73999999999999</v>
      </c>
      <c r="M1819" s="18" t="n">
        <v>39.36</v>
      </c>
      <c r="N1819" s="18" t="n">
        <v>38.33</v>
      </c>
      <c r="O1819" s="18" t="n">
        <v>34.36</v>
      </c>
      <c r="P1819" s="18" t="n">
        <v>40.89</v>
      </c>
      <c r="Q1819" s="18" t="n">
        <v>24.18</v>
      </c>
      <c r="R1819" s="21">
        <f>IF(OR(G1819="",P1819=""),"",G1819/P1819-1)</f>
        <v/>
      </c>
      <c r="S1819" s="19" t="n">
        <v>2.0279</v>
      </c>
      <c r="T1819" s="22" t="n">
        <v>0.0114</v>
      </c>
      <c r="U1819" s="16" t="inlineStr">
        <is>
          <t>Yes</t>
        </is>
      </c>
      <c r="V1819" s="16" t="inlineStr">
        <is>
          <t>Yes</t>
        </is>
      </c>
      <c r="W1819" s="16" t="inlineStr">
        <is>
          <t>Yes</t>
        </is>
      </c>
      <c r="X1819" s="16" t="inlineStr">
        <is>
          <t>Yes</t>
        </is>
      </c>
      <c r="Y1819" s="20" t="n">
        <v>75</v>
      </c>
      <c r="Z1819" s="19" t="n">
        <v>0.1157</v>
      </c>
      <c r="AA1819" s="18" t="n">
        <v>10.56</v>
      </c>
      <c r="AB1819" s="16" t="inlineStr">
        <is>
          <t>Poor</t>
        </is>
      </c>
      <c r="AC1819" s="16" t="inlineStr">
        <is>
          <t>No</t>
        </is>
      </c>
      <c r="AD1819" s="19" t="n">
        <v>-0.1078</v>
      </c>
      <c r="AE1819" s="19" t="n">
        <v>-0.0451</v>
      </c>
      <c r="AF1819" s="19" t="n">
        <v>-1.0442</v>
      </c>
      <c r="AG1819" s="19" t="n">
        <v>-0.0567</v>
      </c>
      <c r="AH1819" s="23" t="n">
        <v>1.14</v>
      </c>
      <c r="AI1819" s="23" t="n">
        <v>2.59</v>
      </c>
      <c r="AJ1819" s="19" t="n">
        <v>0.0169</v>
      </c>
    </row>
    <row r="1820">
      <c r="A1820" s="16" t="inlineStr">
        <is>
          <t>TRUEGREEN</t>
        </is>
      </c>
      <c r="B1820" s="16" t="inlineStr">
        <is>
          <t>True Green Bio Energy Ltd.</t>
        </is>
      </c>
      <c r="C1820" s="16" t="inlineStr">
        <is>
          <t>Textiles</t>
        </is>
      </c>
      <c r="D1820" s="16" t="inlineStr">
        <is>
          <t>Textiles Apparels &amp; Accessories</t>
        </is>
      </c>
      <c r="E1820" s="16" t="inlineStr">
        <is>
          <t>INE672K01025</t>
        </is>
      </c>
      <c r="F1820" s="17" t="n">
        <v>668.29</v>
      </c>
      <c r="G1820" s="18" t="n">
        <v>223.35</v>
      </c>
      <c r="H1820" s="19" t="n">
        <v>-0.0016</v>
      </c>
      <c r="I1820" s="20" t="n">
        <v>97</v>
      </c>
      <c r="J1820" s="16" t="inlineStr">
        <is>
          <t>green</t>
        </is>
      </c>
      <c r="K1820" s="20" t="n">
        <v>130</v>
      </c>
      <c r="L1820" s="18" t="n">
        <v>58.36</v>
      </c>
      <c r="M1820" s="18" t="n">
        <v>229.22</v>
      </c>
      <c r="N1820" s="18" t="n">
        <v>199.97</v>
      </c>
      <c r="O1820" s="18" t="n">
        <v>133.36</v>
      </c>
      <c r="P1820" s="18" t="n">
        <v>242.9</v>
      </c>
      <c r="Q1820" s="18" t="n">
        <v>53.27</v>
      </c>
      <c r="R1820" s="21">
        <f>IF(OR(G1820="",P1820=""),"",G1820/P1820-1)</f>
        <v/>
      </c>
      <c r="S1820" s="19" t="n">
        <v>0.5655</v>
      </c>
      <c r="T1820" s="22" t="n">
        <v>0.1234</v>
      </c>
      <c r="U1820" s="16" t="inlineStr">
        <is>
          <t>Yes</t>
        </is>
      </c>
      <c r="V1820" s="16" t="inlineStr">
        <is>
          <t>Yes</t>
        </is>
      </c>
      <c r="W1820" s="16" t="inlineStr">
        <is>
          <t>No</t>
        </is>
      </c>
      <c r="X1820" s="16" t="inlineStr">
        <is>
          <t>Yes</t>
        </is>
      </c>
      <c r="Y1820" s="20" t="n">
        <v>126</v>
      </c>
      <c r="Z1820" s="19" t="n">
        <v>0.4995000000000001</v>
      </c>
      <c r="AA1820" s="18" t="n"/>
      <c r="AB1820" s="16" t="n"/>
      <c r="AC1820" s="16" t="inlineStr">
        <is>
          <t>No</t>
        </is>
      </c>
      <c r="AD1820" s="19" t="n"/>
      <c r="AE1820" s="19" t="n"/>
      <c r="AF1820" s="19" t="n"/>
      <c r="AG1820" s="19" t="n"/>
      <c r="AH1820" s="23" t="n"/>
      <c r="AI1820" s="23" t="n"/>
      <c r="AJ1820" s="19" t="n"/>
    </row>
    <row r="1821">
      <c r="A1821" s="16" t="inlineStr">
        <is>
          <t>FABTECH</t>
        </is>
      </c>
      <c r="B1821" s="16" t="inlineStr">
        <is>
          <t>Fabtech Technologies Ltd.</t>
        </is>
      </c>
      <c r="C1821" s="16" t="inlineStr">
        <is>
          <t>Misc. Commercial Services</t>
        </is>
      </c>
      <c r="D1821" s="16" t="inlineStr">
        <is>
          <t>Commercial Services &amp; Supplies</t>
        </is>
      </c>
      <c r="E1821" s="16" t="inlineStr">
        <is>
          <t>INE0HF201011</t>
        </is>
      </c>
      <c r="F1821" s="17" t="n">
        <v>667.65</v>
      </c>
      <c r="G1821" s="18" t="n">
        <v>150.2</v>
      </c>
      <c r="H1821" s="19" t="n">
        <v>0.0195</v>
      </c>
      <c r="I1821" s="20" t="n">
        <v>30</v>
      </c>
      <c r="J1821" s="16" t="inlineStr">
        <is>
          <t>red</t>
        </is>
      </c>
      <c r="K1821" s="20" t="n">
        <v>157</v>
      </c>
      <c r="L1821" s="18" t="n">
        <v>73.59999999999999</v>
      </c>
      <c r="M1821" s="18" t="n">
        <v>147.86</v>
      </c>
      <c r="N1821" s="18" t="n">
        <v>151.04</v>
      </c>
      <c r="O1821" s="18" t="n">
        <v>166.4</v>
      </c>
      <c r="P1821" s="18" t="n">
        <v>254.37</v>
      </c>
      <c r="Q1821" s="18" t="n">
        <v>133.36</v>
      </c>
      <c r="R1821" s="21">
        <f>IF(OR(G1821="",P1821=""),"",G1821/P1821-1)</f>
        <v/>
      </c>
      <c r="S1821" s="19" t="n">
        <v>1.29</v>
      </c>
      <c r="T1821" s="22" t="n">
        <v>-0.0476</v>
      </c>
      <c r="U1821" s="16" t="inlineStr">
        <is>
          <t>No</t>
        </is>
      </c>
      <c r="V1821" s="16" t="inlineStr">
        <is>
          <t>No</t>
        </is>
      </c>
      <c r="W1821" s="16" t="inlineStr">
        <is>
          <t>Yes</t>
        </is>
      </c>
      <c r="X1821" s="16" t="inlineStr">
        <is>
          <t>No</t>
        </is>
      </c>
      <c r="Y1821" s="20" t="n">
        <v>30</v>
      </c>
      <c r="Z1821" s="19" t="n">
        <v>-0.09230000000000001</v>
      </c>
      <c r="AA1821" s="18" t="n">
        <v>40</v>
      </c>
      <c r="AB1821" s="16" t="inlineStr">
        <is>
          <t>Weak</t>
        </is>
      </c>
      <c r="AC1821" s="16" t="inlineStr">
        <is>
          <t>No</t>
        </is>
      </c>
      <c r="AD1821" s="19" t="n">
        <v>0.1887</v>
      </c>
      <c r="AE1821" s="19" t="n">
        <v>0.2035</v>
      </c>
      <c r="AF1821" s="19" t="n">
        <v>-0.0431</v>
      </c>
      <c r="AG1821" s="19" t="n">
        <v>0.2871</v>
      </c>
      <c r="AH1821" s="23" t="n">
        <v>0.17</v>
      </c>
      <c r="AI1821" s="23" t="n">
        <v>7.45</v>
      </c>
      <c r="AJ1821" s="19" t="n">
        <v>0</v>
      </c>
    </row>
    <row r="1822">
      <c r="A1822" s="16" t="inlineStr">
        <is>
          <t>KAMATHOTEL</t>
        </is>
      </c>
      <c r="B1822" s="16" t="inlineStr">
        <is>
          <t>Kamat Hotels (India) Ltd.</t>
        </is>
      </c>
      <c r="C1822" s="16" t="inlineStr">
        <is>
          <t>Hotels</t>
        </is>
      </c>
      <c r="D1822" s="16" t="inlineStr">
        <is>
          <t>Hotels Restaurants &amp; Tourism</t>
        </is>
      </c>
      <c r="E1822" s="16" t="inlineStr">
        <is>
          <t>INE967C01018</t>
        </is>
      </c>
      <c r="F1822" s="17" t="n">
        <v>664.8099999999999</v>
      </c>
      <c r="G1822" s="18" t="n">
        <v>225.51</v>
      </c>
      <c r="H1822" s="19" t="n">
        <v>0.0361</v>
      </c>
      <c r="I1822" s="20" t="n">
        <v>57</v>
      </c>
      <c r="J1822" s="16" t="inlineStr">
        <is>
          <t>red</t>
        </is>
      </c>
      <c r="K1822" s="20" t="n">
        <v>6</v>
      </c>
      <c r="L1822" s="18" t="n">
        <v>65.94</v>
      </c>
      <c r="M1822" s="18" t="n">
        <v>228.35</v>
      </c>
      <c r="N1822" s="18" t="n">
        <v>189.25</v>
      </c>
      <c r="O1822" s="18" t="n">
        <v>193.48</v>
      </c>
      <c r="P1822" s="18" t="n">
        <v>325.85</v>
      </c>
      <c r="Q1822" s="18" t="n">
        <v>143.06</v>
      </c>
      <c r="R1822" s="21">
        <f>IF(OR(G1822="",P1822=""),"",G1822/P1822-1)</f>
        <v/>
      </c>
      <c r="S1822" s="19" t="n">
        <v>1.108</v>
      </c>
      <c r="T1822" s="22" t="n">
        <v>-0.0332</v>
      </c>
      <c r="U1822" s="16" t="inlineStr">
        <is>
          <t>No</t>
        </is>
      </c>
      <c r="V1822" s="16" t="inlineStr">
        <is>
          <t>Yes</t>
        </is>
      </c>
      <c r="W1822" s="16" t="inlineStr">
        <is>
          <t>No</t>
        </is>
      </c>
      <c r="X1822" s="16" t="inlineStr">
        <is>
          <t>No</t>
        </is>
      </c>
      <c r="Y1822" s="20" t="n">
        <v>181</v>
      </c>
      <c r="Z1822" s="19" t="n">
        <v>-0.0219</v>
      </c>
      <c r="AA1822" s="18" t="n">
        <v>40</v>
      </c>
      <c r="AB1822" s="16" t="inlineStr">
        <is>
          <t>Weak</t>
        </is>
      </c>
      <c r="AC1822" s="16" t="inlineStr">
        <is>
          <t>No</t>
        </is>
      </c>
      <c r="AD1822" s="19" t="n">
        <v>0.1691</v>
      </c>
      <c r="AE1822" s="19" t="n">
        <v>0.196</v>
      </c>
      <c r="AF1822" s="19" t="n">
        <v>-0.6311</v>
      </c>
      <c r="AG1822" s="19" t="n">
        <v>0.1174</v>
      </c>
      <c r="AH1822" s="23" t="n">
        <v>0.74</v>
      </c>
      <c r="AI1822" s="23" t="n">
        <v>0.8100000000000001</v>
      </c>
      <c r="AJ1822" s="19" t="n">
        <v>0.009599999999999999</v>
      </c>
    </row>
    <row r="1823">
      <c r="A1823" s="16" t="inlineStr">
        <is>
          <t>ATL</t>
        </is>
      </c>
      <c r="B1823" s="16" t="inlineStr">
        <is>
          <t>Allcargo Terminals Ltd.</t>
        </is>
      </c>
      <c r="C1823" s="16" t="inlineStr">
        <is>
          <t>Warehousing &amp; Logistics</t>
        </is>
      </c>
      <c r="D1823" s="16" t="inlineStr">
        <is>
          <t>Transportation</t>
        </is>
      </c>
      <c r="E1823" s="16" t="inlineStr">
        <is>
          <t>INE0NN701020</t>
        </is>
      </c>
      <c r="F1823" s="17" t="n">
        <v>663.15</v>
      </c>
      <c r="G1823" s="18" t="n">
        <v>25.31</v>
      </c>
      <c r="H1823" s="19" t="n">
        <v>0.0433</v>
      </c>
      <c r="I1823" s="20" t="n">
        <v>40</v>
      </c>
      <c r="J1823" s="16" t="inlineStr">
        <is>
          <t>red</t>
        </is>
      </c>
      <c r="K1823" s="20" t="n">
        <v>197</v>
      </c>
      <c r="L1823" s="18" t="n">
        <v>56.13</v>
      </c>
      <c r="M1823" s="18" t="n">
        <v>25.57</v>
      </c>
      <c r="N1823" s="18" t="n">
        <v>24.15</v>
      </c>
      <c r="O1823" s="18" t="n">
        <v>25.02</v>
      </c>
      <c r="P1823" s="18" t="n">
        <v>38.39</v>
      </c>
      <c r="Q1823" s="18" t="n">
        <v>18.68</v>
      </c>
      <c r="R1823" s="21">
        <f>IF(OR(G1823="",P1823=""),"",G1823/P1823-1)</f>
        <v/>
      </c>
      <c r="S1823" s="19" t="n">
        <v>0.8039000000000001</v>
      </c>
      <c r="T1823" s="22" t="n">
        <v>-0.0302</v>
      </c>
      <c r="U1823" s="16" t="inlineStr">
        <is>
          <t>No</t>
        </is>
      </c>
      <c r="V1823" s="16" t="inlineStr">
        <is>
          <t>Yes</t>
        </is>
      </c>
      <c r="W1823" s="16" t="inlineStr">
        <is>
          <t>No</t>
        </is>
      </c>
      <c r="X1823" s="16" t="inlineStr">
        <is>
          <t>No</t>
        </is>
      </c>
      <c r="Y1823" s="20" t="n">
        <v>167</v>
      </c>
      <c r="Z1823" s="19" t="n">
        <v>-0.0345</v>
      </c>
      <c r="AA1823" s="18" t="n">
        <v>7.43</v>
      </c>
      <c r="AB1823" s="16" t="inlineStr">
        <is>
          <t>Poor</t>
        </is>
      </c>
      <c r="AC1823" s="16" t="inlineStr">
        <is>
          <t>No</t>
        </is>
      </c>
      <c r="AD1823" s="19" t="n">
        <v>0.1419</v>
      </c>
      <c r="AE1823" s="19" t="n">
        <v>0.107</v>
      </c>
      <c r="AF1823" s="19" t="n">
        <v>-0.0667</v>
      </c>
      <c r="AG1823" s="19" t="n">
        <v>0.0528</v>
      </c>
      <c r="AH1823" s="23" t="n">
        <v>2.18</v>
      </c>
      <c r="AI1823" s="23" t="n">
        <v>1.04</v>
      </c>
      <c r="AJ1823" s="19" t="n">
        <v>0.0024</v>
      </c>
    </row>
    <row r="1824">
      <c r="A1824" s="16" t="inlineStr">
        <is>
          <t>TVTODAY</t>
        </is>
      </c>
      <c r="B1824" s="16" t="inlineStr">
        <is>
          <t>TV Today Network Ltd.</t>
        </is>
      </c>
      <c r="C1824" s="16" t="inlineStr">
        <is>
          <t>Broadcasting &amp; Cable TV</t>
        </is>
      </c>
      <c r="D1824" s="16" t="inlineStr">
        <is>
          <t>Media</t>
        </is>
      </c>
      <c r="E1824" s="16" t="inlineStr">
        <is>
          <t>INE038F01029</t>
        </is>
      </c>
      <c r="F1824" s="17" t="n">
        <v>662.02</v>
      </c>
      <c r="G1824" s="18" t="n">
        <v>110.95</v>
      </c>
      <c r="H1824" s="19" t="n">
        <v>-0.0017</v>
      </c>
      <c r="I1824" s="20" t="n">
        <v>22</v>
      </c>
      <c r="J1824" s="16" t="inlineStr">
        <is>
          <t>red</t>
        </is>
      </c>
      <c r="K1824" s="20" t="n">
        <v>501</v>
      </c>
      <c r="L1824" s="18" t="n">
        <v>50.04</v>
      </c>
      <c r="M1824" s="18" t="n">
        <v>112.52</v>
      </c>
      <c r="N1824" s="18" t="n">
        <v>117.7</v>
      </c>
      <c r="O1824" s="18" t="n">
        <v>120.16</v>
      </c>
      <c r="P1824" s="18" t="n">
        <v>152.66</v>
      </c>
      <c r="Q1824" s="18" t="n">
        <v>95.87</v>
      </c>
      <c r="R1824" s="21">
        <f>IF(OR(G1824="",P1824=""),"",G1824/P1824-1)</f>
        <v/>
      </c>
      <c r="S1824" s="19" t="n">
        <v>0.9869</v>
      </c>
      <c r="T1824" s="22" t="n">
        <v>-0.0258</v>
      </c>
      <c r="U1824" s="16" t="inlineStr">
        <is>
          <t>No</t>
        </is>
      </c>
      <c r="V1824" s="16" t="inlineStr">
        <is>
          <t>No</t>
        </is>
      </c>
      <c r="W1824" s="16" t="inlineStr">
        <is>
          <t>No</t>
        </is>
      </c>
      <c r="X1824" s="16" t="inlineStr">
        <is>
          <t>No</t>
        </is>
      </c>
      <c r="Y1824" s="20" t="n">
        <v>454</v>
      </c>
      <c r="Z1824" s="19" t="n">
        <v>-0.0204</v>
      </c>
      <c r="AA1824" s="18" t="n">
        <v>34.02</v>
      </c>
      <c r="AB1824" s="16" t="inlineStr">
        <is>
          <t>Poor</t>
        </is>
      </c>
      <c r="AC1824" s="16" t="inlineStr">
        <is>
          <t>No</t>
        </is>
      </c>
      <c r="AD1824" s="19" t="n">
        <v>0.0549</v>
      </c>
      <c r="AE1824" s="19" t="n">
        <v>0.0897</v>
      </c>
      <c r="AF1824" s="19" t="n">
        <v>-0.2824</v>
      </c>
      <c r="AG1824" s="19" t="n">
        <v>-0.0123</v>
      </c>
      <c r="AH1824" s="23" t="n">
        <v>0.02</v>
      </c>
      <c r="AI1824" s="23" t="n">
        <v>2.36</v>
      </c>
      <c r="AJ1824" s="19" t="n">
        <v>0.0076</v>
      </c>
    </row>
    <row r="1825">
      <c r="A1825" s="16" t="inlineStr">
        <is>
          <t>GTPL</t>
        </is>
      </c>
      <c r="B1825" s="16" t="inlineStr">
        <is>
          <t>GTPL Hathway Ltd.</t>
        </is>
      </c>
      <c r="C1825" s="16" t="inlineStr">
        <is>
          <t>Broadcasting &amp; Cable TV</t>
        </is>
      </c>
      <c r="D1825" s="16" t="inlineStr">
        <is>
          <t>Media</t>
        </is>
      </c>
      <c r="E1825" s="16" t="inlineStr">
        <is>
          <t>INE869I01013</t>
        </is>
      </c>
      <c r="F1825" s="17" t="n">
        <v>659.8200000000001</v>
      </c>
      <c r="G1825" s="18" t="n">
        <v>58.67</v>
      </c>
      <c r="H1825" s="19" t="n">
        <v>0.0128</v>
      </c>
      <c r="I1825" s="20" t="n">
        <v>7</v>
      </c>
      <c r="J1825" s="16" t="inlineStr">
        <is>
          <t>red</t>
        </is>
      </c>
      <c r="K1825" s="20" t="n">
        <v>501</v>
      </c>
      <c r="L1825" s="18" t="n">
        <v>69.40000000000001</v>
      </c>
      <c r="M1825" s="18" t="n">
        <v>56.2</v>
      </c>
      <c r="N1825" s="18" t="n">
        <v>58.56</v>
      </c>
      <c r="O1825" s="18" t="n">
        <v>71.28</v>
      </c>
      <c r="P1825" s="18" t="n">
        <v>115.9</v>
      </c>
      <c r="Q1825" s="18" t="n">
        <v>52.56</v>
      </c>
      <c r="R1825" s="21">
        <f>IF(OR(G1825="",P1825=""),"",G1825/P1825-1)</f>
        <v/>
      </c>
      <c r="S1825" s="19" t="n">
        <v>0.895</v>
      </c>
      <c r="T1825" s="22" t="n">
        <v>-0.06559999999999999</v>
      </c>
      <c r="U1825" s="16" t="inlineStr">
        <is>
          <t>No</t>
        </is>
      </c>
      <c r="V1825" s="16" t="inlineStr">
        <is>
          <t>Yes</t>
        </is>
      </c>
      <c r="W1825" s="16" t="inlineStr">
        <is>
          <t>Yes</t>
        </is>
      </c>
      <c r="X1825" s="16" t="inlineStr">
        <is>
          <t>No</t>
        </is>
      </c>
      <c r="Y1825" s="20" t="n">
        <v>228</v>
      </c>
      <c r="Z1825" s="19" t="n">
        <v>-0.1784</v>
      </c>
      <c r="AA1825" s="18" t="n">
        <v>27.88</v>
      </c>
      <c r="AB1825" s="16" t="inlineStr">
        <is>
          <t>Poor</t>
        </is>
      </c>
      <c r="AC1825" s="16" t="inlineStr">
        <is>
          <t>No</t>
        </is>
      </c>
      <c r="AD1825" s="19" t="n">
        <v>0.0491</v>
      </c>
      <c r="AE1825" s="19" t="n">
        <v>0.0723</v>
      </c>
      <c r="AF1825" s="19" t="n">
        <v>-0.4282</v>
      </c>
      <c r="AG1825" s="19" t="n">
        <v>0.1211</v>
      </c>
      <c r="AH1825" s="23" t="n">
        <v>0.44</v>
      </c>
      <c r="AI1825" s="23" t="n">
        <v>1.86</v>
      </c>
      <c r="AJ1825" s="19" t="n">
        <v>0.0331</v>
      </c>
    </row>
    <row r="1826">
      <c r="A1826" s="16" t="inlineStr">
        <is>
          <t>PROV</t>
        </is>
      </c>
      <c r="B1826" s="16" t="inlineStr">
        <is>
          <t>Proventus Agrocom Ltd.</t>
        </is>
      </c>
      <c r="C1826" s="16" t="inlineStr">
        <is>
          <t>Commodity Trading  &amp; Distribution</t>
        </is>
      </c>
      <c r="D1826" s="16" t="inlineStr">
        <is>
          <t>Commercial Services &amp; Supplies</t>
        </is>
      </c>
      <c r="E1826" s="16" t="inlineStr">
        <is>
          <t>INE0ONE01016</t>
        </is>
      </c>
      <c r="F1826" s="17" t="n">
        <v>658.3200000000001</v>
      </c>
      <c r="G1826" s="18" t="n">
        <v>1910</v>
      </c>
      <c r="H1826" s="19" t="n">
        <v>0.0187</v>
      </c>
      <c r="I1826" s="20" t="n">
        <v>87</v>
      </c>
      <c r="J1826" s="16" t="inlineStr">
        <is>
          <t>green</t>
        </is>
      </c>
      <c r="K1826" s="20" t="n">
        <v>43</v>
      </c>
      <c r="L1826" s="18" t="n">
        <v>51.1</v>
      </c>
      <c r="M1826" s="18" t="n">
        <v>1881.5</v>
      </c>
      <c r="N1826" s="18" t="n">
        <v>1731.6</v>
      </c>
      <c r="O1826" s="18" t="n">
        <v>1416.14</v>
      </c>
      <c r="P1826" s="18" t="n">
        <v>1925</v>
      </c>
      <c r="Q1826" s="18" t="n">
        <v>955</v>
      </c>
      <c r="R1826" s="21">
        <f>IF(OR(G1826="",P1826=""),"",G1826/P1826-1)</f>
        <v/>
      </c>
      <c r="S1826" s="19" t="n">
        <v>0.4348</v>
      </c>
      <c r="T1826" s="22" t="n">
        <v>0.0509</v>
      </c>
      <c r="U1826" s="16" t="inlineStr">
        <is>
          <t>Yes</t>
        </is>
      </c>
      <c r="V1826" s="16" t="inlineStr">
        <is>
          <t>Yes</t>
        </is>
      </c>
      <c r="W1826" s="16" t="inlineStr">
        <is>
          <t>Yes</t>
        </is>
      </c>
      <c r="X1826" s="16" t="inlineStr">
        <is>
          <t>Yes</t>
        </is>
      </c>
      <c r="Y1826" s="20" t="n">
        <v>198</v>
      </c>
      <c r="Z1826" s="19" t="n">
        <v>0.2228</v>
      </c>
      <c r="AA1826" s="18" t="n"/>
      <c r="AB1826" s="16" t="n"/>
      <c r="AC1826" s="16" t="inlineStr">
        <is>
          <t>No</t>
        </is>
      </c>
      <c r="AD1826" s="19" t="n"/>
      <c r="AE1826" s="19" t="n"/>
      <c r="AF1826" s="19" t="n"/>
      <c r="AG1826" s="19" t="n"/>
      <c r="AH1826" s="23" t="n"/>
      <c r="AI1826" s="23" t="n"/>
      <c r="AJ1826" s="19" t="n"/>
    </row>
    <row r="1827">
      <c r="A1827" s="16" t="inlineStr">
        <is>
          <t>RAMASTEEL</t>
        </is>
      </c>
      <c r="B1827" s="16" t="inlineStr">
        <is>
          <t>Rama Steel Tubes Ltd.</t>
        </is>
      </c>
      <c r="C1827" s="16" t="inlineStr">
        <is>
          <t>Iron &amp; Steel Products</t>
        </is>
      </c>
      <c r="D1827" s="16" t="inlineStr">
        <is>
          <t>Metals &amp; Mining</t>
        </is>
      </c>
      <c r="E1827" s="16" t="inlineStr">
        <is>
          <t>INE230R01035</t>
        </is>
      </c>
      <c r="F1827" s="17" t="n">
        <v>657.6900000000001</v>
      </c>
      <c r="G1827" s="18" t="n">
        <v>4.02</v>
      </c>
      <c r="H1827" s="19" t="n">
        <v>-0.0171</v>
      </c>
      <c r="I1827" s="20" t="n">
        <v>2</v>
      </c>
      <c r="J1827" s="16" t="inlineStr">
        <is>
          <t>red</t>
        </is>
      </c>
      <c r="K1827" s="20" t="n">
        <v>284</v>
      </c>
      <c r="L1827" s="18" t="n">
        <v>36.04</v>
      </c>
      <c r="M1827" s="18" t="n">
        <v>4.23</v>
      </c>
      <c r="N1827" s="18" t="n">
        <v>4.38</v>
      </c>
      <c r="O1827" s="18" t="n">
        <v>6.34</v>
      </c>
      <c r="P1827" s="18" t="n">
        <v>11.01</v>
      </c>
      <c r="Q1827" s="18" t="n">
        <v>3.63</v>
      </c>
      <c r="R1827" s="21">
        <f>IF(OR(G1827="",P1827=""),"",G1827/P1827-1)</f>
        <v/>
      </c>
      <c r="S1827" s="19" t="n">
        <v>0.9214</v>
      </c>
      <c r="T1827" s="22" t="n">
        <v>-0.0858</v>
      </c>
      <c r="U1827" s="16" t="inlineStr">
        <is>
          <t>No</t>
        </is>
      </c>
      <c r="V1827" s="16" t="inlineStr">
        <is>
          <t>No</t>
        </is>
      </c>
      <c r="W1827" s="16" t="inlineStr">
        <is>
          <t>No</t>
        </is>
      </c>
      <c r="X1827" s="16" t="inlineStr">
        <is>
          <t>No</t>
        </is>
      </c>
      <c r="Y1827" s="20" t="n">
        <v>255</v>
      </c>
      <c r="Z1827" s="19" t="n">
        <v>-0.3092</v>
      </c>
      <c r="AA1827" s="18" t="n">
        <v>32.8</v>
      </c>
      <c r="AB1827" s="16" t="inlineStr">
        <is>
          <t>Poor</t>
        </is>
      </c>
      <c r="AC1827" s="16" t="inlineStr">
        <is>
          <t>No</t>
        </is>
      </c>
      <c r="AD1827" s="19" t="n">
        <v>0.05860000000000001</v>
      </c>
      <c r="AE1827" s="19" t="n">
        <v>0.08599999999999999</v>
      </c>
      <c r="AF1827" s="19" t="n">
        <v>-0.2654</v>
      </c>
      <c r="AG1827" s="19" t="n">
        <v>-0.0453</v>
      </c>
      <c r="AH1827" s="23" t="n">
        <v>0.27</v>
      </c>
      <c r="AI1827" s="23" t="n">
        <v>13.92</v>
      </c>
      <c r="AJ1827" s="19" t="n">
        <v>0.0499</v>
      </c>
    </row>
    <row r="1828">
      <c r="A1828" s="16" t="inlineStr">
        <is>
          <t>GLOSTERLTD</t>
        </is>
      </c>
      <c r="B1828" s="16" t="inlineStr">
        <is>
          <t>Gloster Ltd.</t>
        </is>
      </c>
      <c r="C1828" s="16" t="inlineStr">
        <is>
          <t>Jute &amp; Jute Products</t>
        </is>
      </c>
      <c r="D1828" s="16" t="inlineStr">
        <is>
          <t>Forest Materials</t>
        </is>
      </c>
      <c r="E1828" s="16" t="inlineStr">
        <is>
          <t>INE350Z01018</t>
        </is>
      </c>
      <c r="F1828" s="17" t="n">
        <v>652.77</v>
      </c>
      <c r="G1828" s="18" t="n">
        <v>596.5</v>
      </c>
      <c r="H1828" s="19" t="n">
        <v>0.0097</v>
      </c>
      <c r="I1828" s="20" t="n">
        <v>33</v>
      </c>
      <c r="J1828" s="16" t="inlineStr">
        <is>
          <t>red</t>
        </is>
      </c>
      <c r="K1828" s="20" t="n">
        <v>20</v>
      </c>
      <c r="L1828" s="18" t="n">
        <v>37.4</v>
      </c>
      <c r="M1828" s="18" t="n">
        <v>595.11</v>
      </c>
      <c r="N1828" s="18" t="n">
        <v>650.0700000000001</v>
      </c>
      <c r="O1828" s="18" t="n">
        <v>612.9299999999999</v>
      </c>
      <c r="P1828" s="18" t="n">
        <v>729.45</v>
      </c>
      <c r="Q1828" s="18" t="n">
        <v>487.97</v>
      </c>
      <c r="R1828" s="21">
        <f>IF(OR(G1828="",P1828=""),"",G1828/P1828-1)</f>
        <v/>
      </c>
      <c r="S1828" s="19" t="n">
        <v>0.1708</v>
      </c>
      <c r="T1828" s="22" t="n">
        <v>-0.0001</v>
      </c>
      <c r="U1828" s="16" t="inlineStr">
        <is>
          <t>No</t>
        </is>
      </c>
      <c r="V1828" s="16" t="inlineStr">
        <is>
          <t>No</t>
        </is>
      </c>
      <c r="W1828" s="16" t="inlineStr">
        <is>
          <t>Yes</t>
        </is>
      </c>
      <c r="X1828" s="16" t="inlineStr">
        <is>
          <t>Yes</t>
        </is>
      </c>
      <c r="Y1828" s="20" t="n">
        <v>64</v>
      </c>
      <c r="Z1828" s="19" t="n">
        <v>0.06059999999999999</v>
      </c>
      <c r="AA1828" s="18" t="n">
        <v>30.52</v>
      </c>
      <c r="AB1828" s="16" t="inlineStr">
        <is>
          <t>Poor</t>
        </is>
      </c>
      <c r="AC1828" s="16" t="inlineStr">
        <is>
          <t>No</t>
        </is>
      </c>
      <c r="AD1828" s="19" t="n">
        <v>0.008800000000000001</v>
      </c>
      <c r="AE1828" s="19" t="n">
        <v>0.0328</v>
      </c>
      <c r="AF1828" s="19" t="n">
        <v>0.0859</v>
      </c>
      <c r="AG1828" s="19" t="n">
        <v>0.3338</v>
      </c>
      <c r="AH1828" s="23" t="n">
        <v>0.88</v>
      </c>
      <c r="AI1828" s="23" t="n">
        <v>1.24</v>
      </c>
      <c r="AJ1828" s="19" t="n">
        <v>0.0708</v>
      </c>
    </row>
    <row r="1829">
      <c r="A1829" s="16" t="inlineStr">
        <is>
          <t>ARIES</t>
        </is>
      </c>
      <c r="B1829" s="16" t="inlineStr">
        <is>
          <t>Aries Agro Ltd.</t>
        </is>
      </c>
      <c r="C1829" s="16" t="inlineStr">
        <is>
          <t>Agrochemicals</t>
        </is>
      </c>
      <c r="D1829" s="16" t="inlineStr">
        <is>
          <t>Chemicals &amp; Petrochemicals</t>
        </is>
      </c>
      <c r="E1829" s="16" t="inlineStr">
        <is>
          <t>INE298I01015</t>
        </is>
      </c>
      <c r="F1829" s="17" t="n">
        <v>650.35</v>
      </c>
      <c r="G1829" s="18" t="n">
        <v>500.1</v>
      </c>
      <c r="H1829" s="19" t="n">
        <v>0.006999999999999999</v>
      </c>
      <c r="I1829" s="20" t="n">
        <v>84</v>
      </c>
      <c r="J1829" s="16" t="inlineStr">
        <is>
          <t>green</t>
        </is>
      </c>
      <c r="K1829" s="20" t="n">
        <v>3</v>
      </c>
      <c r="L1829" s="18" t="n">
        <v>66.79000000000001</v>
      </c>
      <c r="M1829" s="18" t="n">
        <v>488</v>
      </c>
      <c r="N1829" s="18" t="n">
        <v>383.15</v>
      </c>
      <c r="O1829" s="18" t="n">
        <v>351.05</v>
      </c>
      <c r="P1829" s="18" t="n">
        <v>503.7</v>
      </c>
      <c r="Q1829" s="18" t="n">
        <v>290.3</v>
      </c>
      <c r="R1829" s="21">
        <f>IF(OR(G1829="",P1829=""),"",G1829/P1829-1)</f>
        <v/>
      </c>
      <c r="S1829" s="19" t="n">
        <v>0.5008</v>
      </c>
      <c r="T1829" s="22" t="n">
        <v>0.0196</v>
      </c>
      <c r="U1829" s="16" t="inlineStr">
        <is>
          <t>Yes</t>
        </is>
      </c>
      <c r="V1829" s="16" t="inlineStr">
        <is>
          <t>Yes</t>
        </is>
      </c>
      <c r="W1829" s="16" t="inlineStr">
        <is>
          <t>Yes</t>
        </is>
      </c>
      <c r="X1829" s="16" t="inlineStr">
        <is>
          <t>Yes</t>
        </is>
      </c>
      <c r="Y1829" s="20" t="n">
        <v>15</v>
      </c>
      <c r="Z1829" s="19" t="n">
        <v>0.09140000000000001</v>
      </c>
      <c r="AA1829" s="18" t="n"/>
      <c r="AB1829" s="16" t="n"/>
      <c r="AC1829" s="16" t="inlineStr">
        <is>
          <t>No</t>
        </is>
      </c>
      <c r="AD1829" s="19" t="n"/>
      <c r="AE1829" s="19" t="n"/>
      <c r="AF1829" s="19" t="n"/>
      <c r="AG1829" s="19" t="n"/>
      <c r="AH1829" s="23" t="n"/>
      <c r="AI1829" s="23" t="n"/>
      <c r="AJ1829" s="19" t="n"/>
    </row>
    <row r="1830">
      <c r="A1830" s="16" t="inlineStr">
        <is>
          <t>UNIENTER</t>
        </is>
      </c>
      <c r="B1830" s="16" t="inlineStr">
        <is>
          <t>Uniphos Enterprises Ltd.</t>
        </is>
      </c>
      <c r="C1830" s="16" t="inlineStr">
        <is>
          <t>Commodity Trading  &amp; Distribution</t>
        </is>
      </c>
      <c r="D1830" s="16" t="inlineStr">
        <is>
          <t>Commercial Services &amp; Supplies</t>
        </is>
      </c>
      <c r="E1830" s="16" t="inlineStr">
        <is>
          <t>INE037A01022</t>
        </is>
      </c>
      <c r="F1830" s="17" t="n">
        <v>648.1</v>
      </c>
      <c r="G1830" s="18" t="n">
        <v>93.19</v>
      </c>
      <c r="H1830" s="19" t="n">
        <v>-0.0092</v>
      </c>
      <c r="I1830" s="20" t="n">
        <v>9</v>
      </c>
      <c r="J1830" s="16" t="inlineStr">
        <is>
          <t>red</t>
        </is>
      </c>
      <c r="K1830" s="20" t="n">
        <v>157</v>
      </c>
      <c r="L1830" s="18" t="n">
        <v>42.28</v>
      </c>
      <c r="M1830" s="18" t="n">
        <v>94.39</v>
      </c>
      <c r="N1830" s="18" t="n">
        <v>98.63</v>
      </c>
      <c r="O1830" s="18" t="n">
        <v>109.77</v>
      </c>
      <c r="P1830" s="18" t="n">
        <v>154.63</v>
      </c>
      <c r="Q1830" s="18" t="n">
        <v>86.92</v>
      </c>
      <c r="R1830" s="21">
        <f>IF(OR(G1830="",P1830=""),"",G1830/P1830-1)</f>
        <v/>
      </c>
      <c r="S1830" s="19" t="n">
        <v>1.1174</v>
      </c>
      <c r="T1830" s="22" t="n">
        <v>-0.0442</v>
      </c>
      <c r="U1830" s="16" t="inlineStr">
        <is>
          <t>No</t>
        </is>
      </c>
      <c r="V1830" s="16" t="inlineStr">
        <is>
          <t>No</t>
        </is>
      </c>
      <c r="W1830" s="16" t="inlineStr">
        <is>
          <t>No</t>
        </is>
      </c>
      <c r="X1830" s="16" t="inlineStr">
        <is>
          <t>No</t>
        </is>
      </c>
      <c r="Y1830" s="20" t="n">
        <v>226</v>
      </c>
      <c r="Z1830" s="19" t="n">
        <v>-0.1016</v>
      </c>
      <c r="AA1830" s="18" t="n">
        <v>59.82</v>
      </c>
      <c r="AB1830" s="16" t="inlineStr">
        <is>
          <t>Good</t>
        </is>
      </c>
      <c r="AC1830" s="16" t="inlineStr">
        <is>
          <t>No</t>
        </is>
      </c>
      <c r="AD1830" s="19" t="n">
        <v>0.0091</v>
      </c>
      <c r="AE1830" s="19" t="n">
        <v>0.0024</v>
      </c>
      <c r="AF1830" s="19" t="n">
        <v>24.1637</v>
      </c>
      <c r="AG1830" s="19" t="n">
        <v>11.3148</v>
      </c>
      <c r="AH1830" s="23" t="n">
        <v>0</v>
      </c>
      <c r="AI1830" s="23" t="n"/>
      <c r="AJ1830" s="19" t="n"/>
    </row>
    <row r="1831">
      <c r="A1831" s="16" t="inlineStr">
        <is>
          <t>MANBA</t>
        </is>
      </c>
      <c r="B1831" s="16" t="inlineStr">
        <is>
          <t>Manba Finance Ltd.</t>
        </is>
      </c>
      <c r="C1831" s="16" t="inlineStr">
        <is>
          <t>Finance (including NBFCs)</t>
        </is>
      </c>
      <c r="D1831" s="16" t="inlineStr">
        <is>
          <t>Banking and Finance</t>
        </is>
      </c>
      <c r="E1831" s="16" t="inlineStr">
        <is>
          <t>INE939X01013</t>
        </is>
      </c>
      <c r="F1831" s="17" t="n">
        <v>647.84</v>
      </c>
      <c r="G1831" s="18" t="n">
        <v>128.95</v>
      </c>
      <c r="H1831" s="19" t="n">
        <v>-0.0039</v>
      </c>
      <c r="I1831" s="20" t="n">
        <v>45</v>
      </c>
      <c r="J1831" s="16" t="inlineStr">
        <is>
          <t>red</t>
        </is>
      </c>
      <c r="K1831" s="20" t="n">
        <v>24</v>
      </c>
      <c r="L1831" s="18" t="n">
        <v>45.13</v>
      </c>
      <c r="M1831" s="18" t="n">
        <v>129.79</v>
      </c>
      <c r="N1831" s="18" t="n">
        <v>134.05</v>
      </c>
      <c r="O1831" s="18" t="n">
        <v>125.93</v>
      </c>
      <c r="P1831" s="18" t="n">
        <v>146.1</v>
      </c>
      <c r="Q1831" s="18" t="n">
        <v>100.32</v>
      </c>
      <c r="R1831" s="21">
        <f>IF(OR(G1831="",P1831=""),"",G1831/P1831-1)</f>
        <v/>
      </c>
      <c r="S1831" s="19" t="n">
        <v>0.1356</v>
      </c>
      <c r="T1831" s="22" t="n">
        <v>-0.005600000000000001</v>
      </c>
      <c r="U1831" s="16" t="inlineStr">
        <is>
          <t>No</t>
        </is>
      </c>
      <c r="V1831" s="16" t="inlineStr">
        <is>
          <t>No</t>
        </is>
      </c>
      <c r="W1831" s="16" t="inlineStr">
        <is>
          <t>No</t>
        </is>
      </c>
      <c r="X1831" s="16" t="inlineStr">
        <is>
          <t>Yes</t>
        </is>
      </c>
      <c r="Y1831" s="20" t="n">
        <v>29</v>
      </c>
      <c r="Z1831" s="19" t="n">
        <v>0.0645</v>
      </c>
      <c r="AA1831" s="18" t="n">
        <v>55.96</v>
      </c>
      <c r="AB1831" s="16" t="inlineStr">
        <is>
          <t>Good</t>
        </is>
      </c>
      <c r="AC1831" s="16" t="inlineStr">
        <is>
          <t>Yes</t>
        </is>
      </c>
      <c r="AD1831" s="19" t="n">
        <v>0.1229</v>
      </c>
      <c r="AE1831" s="19" t="n">
        <v>0.0434</v>
      </c>
      <c r="AF1831" s="19" t="n">
        <v>0.4312</v>
      </c>
      <c r="AG1831" s="19" t="n">
        <v>0.3593</v>
      </c>
      <c r="AH1831" s="23" t="n">
        <v>3.8</v>
      </c>
      <c r="AI1831" s="23" t="n">
        <v>22.65</v>
      </c>
      <c r="AJ1831" s="19" t="n">
        <v>0</v>
      </c>
    </row>
    <row r="1832">
      <c r="A1832" s="16" t="inlineStr">
        <is>
          <t>KUANTUM</t>
        </is>
      </c>
      <c r="B1832" s="16" t="inlineStr">
        <is>
          <t>Kuantum Papers Ltd.</t>
        </is>
      </c>
      <c r="C1832" s="16" t="inlineStr">
        <is>
          <t>Paper &amp; Paper Products</t>
        </is>
      </c>
      <c r="D1832" s="16" t="inlineStr">
        <is>
          <t>Commercial Services &amp; Supplies</t>
        </is>
      </c>
      <c r="E1832" s="16" t="inlineStr">
        <is>
          <t>INE529I01021</t>
        </is>
      </c>
      <c r="F1832" s="17" t="n">
        <v>647.3200000000001</v>
      </c>
      <c r="G1832" s="18" t="n">
        <v>74.18000000000001</v>
      </c>
      <c r="H1832" s="19" t="n">
        <v>-0.013</v>
      </c>
      <c r="I1832" s="20" t="n">
        <v>20</v>
      </c>
      <c r="J1832" s="16" t="inlineStr">
        <is>
          <t>red</t>
        </is>
      </c>
      <c r="K1832" s="20" t="n">
        <v>267</v>
      </c>
      <c r="L1832" s="18" t="n">
        <v>35.47</v>
      </c>
      <c r="M1832" s="18" t="n">
        <v>72.69</v>
      </c>
      <c r="N1832" s="18" t="n">
        <v>75.25</v>
      </c>
      <c r="O1832" s="18" t="n">
        <v>80.31999999999999</v>
      </c>
      <c r="P1832" s="18" t="n">
        <v>110.96</v>
      </c>
      <c r="Q1832" s="18" t="n">
        <v>63.81</v>
      </c>
      <c r="R1832" s="21">
        <f>IF(OR(G1832="",P1832=""),"",G1832/P1832-1)</f>
        <v/>
      </c>
      <c r="S1832" s="19" t="n">
        <v>0.3878</v>
      </c>
      <c r="T1832" s="22" t="n">
        <v>-0.0322</v>
      </c>
      <c r="U1832" s="16" t="inlineStr">
        <is>
          <t>No</t>
        </is>
      </c>
      <c r="V1832" s="16" t="inlineStr">
        <is>
          <t>No</t>
        </is>
      </c>
      <c r="W1832" s="16" t="inlineStr">
        <is>
          <t>Yes</t>
        </is>
      </c>
      <c r="X1832" s="16" t="inlineStr">
        <is>
          <t>No</t>
        </is>
      </c>
      <c r="Y1832" s="20" t="n">
        <v>222</v>
      </c>
      <c r="Z1832" s="19" t="n">
        <v>-0.06309999999999999</v>
      </c>
      <c r="AA1832" s="18" t="n">
        <v>24.27</v>
      </c>
      <c r="AB1832" s="16" t="inlineStr">
        <is>
          <t>Poor</t>
        </is>
      </c>
      <c r="AC1832" s="16" t="inlineStr">
        <is>
          <t>No</t>
        </is>
      </c>
      <c r="AD1832" s="19" t="n">
        <v>0.09759999999999999</v>
      </c>
      <c r="AE1832" s="19" t="n">
        <v>0.1087</v>
      </c>
      <c r="AF1832" s="19" t="n">
        <v>-0.341</v>
      </c>
      <c r="AG1832" s="19" t="n">
        <v>-0.0585</v>
      </c>
      <c r="AH1832" s="23" t="n">
        <v>0.71</v>
      </c>
      <c r="AI1832" s="23" t="n">
        <v>0.52</v>
      </c>
      <c r="AJ1832" s="19" t="n">
        <v>0.1355</v>
      </c>
    </row>
    <row r="1833">
      <c r="A1833" s="16" t="inlineStr">
        <is>
          <t>KSOLVES</t>
        </is>
      </c>
      <c r="B1833" s="16" t="inlineStr">
        <is>
          <t>Ksolves India Ltd.</t>
        </is>
      </c>
      <c r="C1833" s="16" t="inlineStr">
        <is>
          <t>IT Consulting &amp; Software</t>
        </is>
      </c>
      <c r="D1833" s="16" t="inlineStr">
        <is>
          <t>Software &amp; Services</t>
        </is>
      </c>
      <c r="E1833" s="16" t="inlineStr">
        <is>
          <t>INE0D6I01023</t>
        </is>
      </c>
      <c r="F1833" s="17" t="n">
        <v>645.08</v>
      </c>
      <c r="G1833" s="18" t="n">
        <v>272.05</v>
      </c>
      <c r="H1833" s="19" t="n">
        <v>0.002</v>
      </c>
      <c r="I1833" s="20" t="n">
        <v>31</v>
      </c>
      <c r="J1833" s="16" t="inlineStr">
        <is>
          <t>red</t>
        </is>
      </c>
      <c r="K1833" s="20" t="n">
        <v>92</v>
      </c>
      <c r="L1833" s="18" t="n">
        <v>47.71</v>
      </c>
      <c r="M1833" s="18" t="n">
        <v>272.12</v>
      </c>
      <c r="N1833" s="18" t="n">
        <v>280.47</v>
      </c>
      <c r="O1833" s="18" t="n">
        <v>284.11</v>
      </c>
      <c r="P1833" s="18" t="n">
        <v>344.6</v>
      </c>
      <c r="Q1833" s="18" t="n">
        <v>244.29</v>
      </c>
      <c r="R1833" s="21">
        <f>IF(OR(G1833="",P1833=""),"",G1833/P1833-1)</f>
        <v/>
      </c>
      <c r="S1833" s="19" t="n">
        <v>0.5143</v>
      </c>
      <c r="T1833" s="22" t="n">
        <v>-0.0114</v>
      </c>
      <c r="U1833" s="16" t="inlineStr">
        <is>
          <t>No</t>
        </is>
      </c>
      <c r="V1833" s="16" t="inlineStr">
        <is>
          <t>No</t>
        </is>
      </c>
      <c r="W1833" s="16" t="inlineStr">
        <is>
          <t>No</t>
        </is>
      </c>
      <c r="X1833" s="16" t="inlineStr">
        <is>
          <t>No</t>
        </is>
      </c>
      <c r="Y1833" s="20" t="n">
        <v>52</v>
      </c>
      <c r="Z1833" s="19" t="n">
        <v>-0.0128</v>
      </c>
      <c r="AA1833" s="18" t="n">
        <v>75.31999999999999</v>
      </c>
      <c r="AB1833" s="16" t="inlineStr">
        <is>
          <t>High</t>
        </is>
      </c>
      <c r="AC1833" s="16" t="inlineStr">
        <is>
          <t>No</t>
        </is>
      </c>
      <c r="AD1833" s="19" t="n">
        <v>1.4183</v>
      </c>
      <c r="AE1833" s="19" t="n">
        <v>1.5183</v>
      </c>
      <c r="AF1833" s="19" t="n">
        <v>0.1292</v>
      </c>
      <c r="AG1833" s="19" t="n">
        <v>0.2787</v>
      </c>
      <c r="AH1833" s="23" t="n">
        <v>0.19</v>
      </c>
      <c r="AI1833" s="23" t="n">
        <v>28.14</v>
      </c>
      <c r="AJ1833" s="19" t="n">
        <v>0</v>
      </c>
    </row>
    <row r="1834">
      <c r="A1834" s="16" t="inlineStr">
        <is>
          <t>INDOFARM</t>
        </is>
      </c>
      <c r="B1834" s="16" t="inlineStr">
        <is>
          <t>Indo Farm Equipment Ltd.</t>
        </is>
      </c>
      <c r="C1834" s="16" t="inlineStr">
        <is>
          <t>Commercial Vehicles</t>
        </is>
      </c>
      <c r="D1834" s="16" t="inlineStr">
        <is>
          <t>Automobiles &amp; Auto Components</t>
        </is>
      </c>
      <c r="E1834" s="16" t="inlineStr">
        <is>
          <t>INE622H01018</t>
        </is>
      </c>
      <c r="F1834" s="17" t="n">
        <v>644.04</v>
      </c>
      <c r="G1834" s="18" t="n">
        <v>134.03</v>
      </c>
      <c r="H1834" s="19" t="n">
        <v>-0.0038</v>
      </c>
      <c r="I1834" s="20" t="n">
        <v>14</v>
      </c>
      <c r="J1834" s="16" t="inlineStr">
        <is>
          <t>red</t>
        </is>
      </c>
      <c r="K1834" s="20" t="n">
        <v>163</v>
      </c>
      <c r="L1834" s="18" t="n">
        <v>28</v>
      </c>
      <c r="M1834" s="18" t="n">
        <v>136.47</v>
      </c>
      <c r="N1834" s="18" t="n">
        <v>150.31</v>
      </c>
      <c r="O1834" s="18" t="n">
        <v>154.15</v>
      </c>
      <c r="P1834" s="18" t="n">
        <v>265.43</v>
      </c>
      <c r="Q1834" s="18" t="n">
        <v>111.16</v>
      </c>
      <c r="R1834" s="21">
        <f>IF(OR(G1834="",P1834=""),"",G1834/P1834-1)</f>
        <v/>
      </c>
      <c r="S1834" s="19" t="n">
        <v>0.45</v>
      </c>
      <c r="T1834" s="22" t="n">
        <v>-0.0575</v>
      </c>
      <c r="U1834" s="16" t="inlineStr">
        <is>
          <t>No</t>
        </is>
      </c>
      <c r="V1834" s="16" t="inlineStr">
        <is>
          <t>No</t>
        </is>
      </c>
      <c r="W1834" s="16" t="inlineStr">
        <is>
          <t>No</t>
        </is>
      </c>
      <c r="X1834" s="16" t="inlineStr">
        <is>
          <t>No</t>
        </is>
      </c>
      <c r="Y1834" s="20" t="n">
        <v>155</v>
      </c>
      <c r="Z1834" s="19" t="n">
        <v>-0.0249</v>
      </c>
      <c r="AA1834" s="18" t="n">
        <v>31.84</v>
      </c>
      <c r="AB1834" s="16" t="inlineStr">
        <is>
          <t>Poor</t>
        </is>
      </c>
      <c r="AC1834" s="16" t="inlineStr">
        <is>
          <t>No</t>
        </is>
      </c>
      <c r="AD1834" s="19" t="n">
        <v>0.0458</v>
      </c>
      <c r="AE1834" s="19" t="n">
        <v>0.077</v>
      </c>
      <c r="AF1834" s="19" t="n">
        <v>-0.0737</v>
      </c>
      <c r="AG1834" s="19" t="n">
        <v>0.06059999999999999</v>
      </c>
      <c r="AH1834" s="23" t="n">
        <v>0.27</v>
      </c>
      <c r="AI1834" s="23" t="n">
        <v>1.9</v>
      </c>
      <c r="AJ1834" s="19" t="n">
        <v>0.1272</v>
      </c>
    </row>
    <row r="1835">
      <c r="A1835" s="16" t="inlineStr">
        <is>
          <t>VOITHPAPR</t>
        </is>
      </c>
      <c r="B1835" s="16" t="inlineStr">
        <is>
          <t>Voith Paper Fabrics India Ltd.</t>
        </is>
      </c>
      <c r="C1835" s="16" t="inlineStr">
        <is>
          <t>Textiles</t>
        </is>
      </c>
      <c r="D1835" s="16" t="inlineStr">
        <is>
          <t>Textiles Apparels &amp; Accessories</t>
        </is>
      </c>
      <c r="E1835" s="16" t="inlineStr">
        <is>
          <t>INE285C01015</t>
        </is>
      </c>
      <c r="F1835" s="17" t="n">
        <v>643.52</v>
      </c>
      <c r="G1835" s="18" t="n">
        <v>1465</v>
      </c>
      <c r="H1835" s="19" t="n">
        <v>-0.0108</v>
      </c>
      <c r="I1835" s="20" t="n">
        <v>21</v>
      </c>
      <c r="J1835" s="16" t="inlineStr">
        <is>
          <t>red</t>
        </is>
      </c>
      <c r="K1835" s="20" t="n">
        <v>182</v>
      </c>
      <c r="L1835" s="18" t="n">
        <v>53.76</v>
      </c>
      <c r="M1835" s="18" t="n">
        <v>1462.55</v>
      </c>
      <c r="N1835" s="18" t="n">
        <v>1465.91</v>
      </c>
      <c r="O1835" s="18" t="n">
        <v>1555.72</v>
      </c>
      <c r="P1835" s="18" t="n">
        <v>1920.05</v>
      </c>
      <c r="Q1835" s="18" t="n">
        <v>1388.7</v>
      </c>
      <c r="R1835" s="21">
        <f>IF(OR(G1835="",P1835=""),"",G1835/P1835-1)</f>
        <v/>
      </c>
      <c r="S1835" s="19" t="n">
        <v>0.2871</v>
      </c>
      <c r="T1835" s="22" t="n">
        <v>-0.0255</v>
      </c>
      <c r="U1835" s="16" t="inlineStr">
        <is>
          <t>No</t>
        </is>
      </c>
      <c r="V1835" s="16" t="inlineStr">
        <is>
          <t>No</t>
        </is>
      </c>
      <c r="W1835" s="16" t="inlineStr">
        <is>
          <t>Yes</t>
        </is>
      </c>
      <c r="X1835" s="16" t="inlineStr">
        <is>
          <t>No</t>
        </is>
      </c>
      <c r="Y1835" s="20" t="n">
        <v>165</v>
      </c>
      <c r="Z1835" s="19" t="n">
        <v>-0.05769999999999999</v>
      </c>
      <c r="AA1835" s="18" t="n"/>
      <c r="AB1835" s="16" t="n"/>
      <c r="AC1835" s="16" t="inlineStr">
        <is>
          <t>No</t>
        </is>
      </c>
      <c r="AD1835" s="19" t="n"/>
      <c r="AE1835" s="19" t="n"/>
      <c r="AF1835" s="19" t="n"/>
      <c r="AG1835" s="19" t="n"/>
      <c r="AH1835" s="23" t="n"/>
      <c r="AI1835" s="23" t="n"/>
      <c r="AJ1835" s="19" t="n"/>
    </row>
    <row r="1836">
      <c r="A1836" s="16" t="inlineStr">
        <is>
          <t>SAURASHCEM</t>
        </is>
      </c>
      <c r="B1836" s="16" t="inlineStr">
        <is>
          <t>Saurashtra Cements Ltd.</t>
        </is>
      </c>
      <c r="C1836" s="16" t="inlineStr">
        <is>
          <t>Cement &amp; Cement Products</t>
        </is>
      </c>
      <c r="D1836" s="16" t="inlineStr">
        <is>
          <t>Cement and Construction</t>
        </is>
      </c>
      <c r="E1836" s="16" t="inlineStr">
        <is>
          <t>INE626A01014</t>
        </is>
      </c>
      <c r="F1836" s="17" t="n">
        <v>641.13</v>
      </c>
      <c r="G1836" s="18" t="n">
        <v>57.61</v>
      </c>
      <c r="H1836" s="19" t="n">
        <v>0.0141</v>
      </c>
      <c r="I1836" s="20" t="n">
        <v>9</v>
      </c>
      <c r="J1836" s="16" t="inlineStr">
        <is>
          <t>red</t>
        </is>
      </c>
      <c r="K1836" s="20" t="n">
        <v>218</v>
      </c>
      <c r="L1836" s="18" t="n">
        <v>45.09</v>
      </c>
      <c r="M1836" s="18" t="n">
        <v>56.68</v>
      </c>
      <c r="N1836" s="18" t="n">
        <v>58.31</v>
      </c>
      <c r="O1836" s="18" t="n">
        <v>65.98999999999999</v>
      </c>
      <c r="P1836" s="18" t="n">
        <v>121.62</v>
      </c>
      <c r="Q1836" s="18" t="n">
        <v>48.22</v>
      </c>
      <c r="R1836" s="21">
        <f>IF(OR(G1836="",P1836=""),"",G1836/P1836-1)</f>
        <v/>
      </c>
      <c r="S1836" s="19" t="n">
        <v>0.2179</v>
      </c>
      <c r="T1836" s="22" t="n">
        <v>-0.0595</v>
      </c>
      <c r="U1836" s="16" t="inlineStr">
        <is>
          <t>No</t>
        </is>
      </c>
      <c r="V1836" s="16" t="inlineStr">
        <is>
          <t>No</t>
        </is>
      </c>
      <c r="W1836" s="16" t="inlineStr">
        <is>
          <t>Yes</t>
        </is>
      </c>
      <c r="X1836" s="16" t="inlineStr">
        <is>
          <t>No</t>
        </is>
      </c>
      <c r="Y1836" s="20" t="n">
        <v>181</v>
      </c>
      <c r="Z1836" s="19" t="n">
        <v>-0.1163</v>
      </c>
      <c r="AA1836" s="18" t="n">
        <v>38.4</v>
      </c>
      <c r="AB1836" s="16" t="inlineStr">
        <is>
          <t>Weak</t>
        </is>
      </c>
      <c r="AC1836" s="16" t="inlineStr">
        <is>
          <t>No</t>
        </is>
      </c>
      <c r="AD1836" s="19" t="n">
        <v>0.0278</v>
      </c>
      <c r="AE1836" s="19" t="n">
        <v>0.0458</v>
      </c>
      <c r="AF1836" s="19" t="n">
        <v>1.2499</v>
      </c>
      <c r="AG1836" s="19" t="n">
        <v>0.0116</v>
      </c>
      <c r="AH1836" s="23" t="n">
        <v>0.11</v>
      </c>
      <c r="AI1836" s="23" t="n">
        <v>1.81</v>
      </c>
      <c r="AJ1836" s="19" t="n">
        <v>0.0399</v>
      </c>
    </row>
    <row r="1837">
      <c r="A1837" s="16" t="inlineStr">
        <is>
          <t>NIYOGIN</t>
        </is>
      </c>
      <c r="B1837" s="16" t="inlineStr">
        <is>
          <t>Niyogin Fintech Ltd.</t>
        </is>
      </c>
      <c r="C1837" s="16" t="inlineStr">
        <is>
          <t>Finance (including NBFCs)</t>
        </is>
      </c>
      <c r="D1837" s="16" t="inlineStr">
        <is>
          <t>Banking and Finance</t>
        </is>
      </c>
      <c r="E1837" s="16" t="inlineStr">
        <is>
          <t>INE480D01010</t>
        </is>
      </c>
      <c r="F1837" s="17" t="n">
        <v>638.4400000000001</v>
      </c>
      <c r="G1837" s="18" t="n">
        <v>57.52</v>
      </c>
      <c r="H1837" s="19" t="n">
        <v>0.137</v>
      </c>
      <c r="I1837" s="20" t="n">
        <v>64</v>
      </c>
      <c r="J1837" s="16" t="inlineStr">
        <is>
          <t>amber</t>
        </is>
      </c>
      <c r="K1837" s="20" t="n">
        <v>1</v>
      </c>
      <c r="L1837" s="18" t="n">
        <v>59.32</v>
      </c>
      <c r="M1837" s="18" t="n">
        <v>54.99</v>
      </c>
      <c r="N1837" s="18" t="n">
        <v>48.2</v>
      </c>
      <c r="O1837" s="18" t="n">
        <v>46.94</v>
      </c>
      <c r="P1837" s="18" t="n">
        <v>72.29000000000001</v>
      </c>
      <c r="Q1837" s="18" t="n">
        <v>31.65</v>
      </c>
      <c r="R1837" s="21">
        <f>IF(OR(G1837="",P1837=""),"",G1837/P1837-1)</f>
        <v/>
      </c>
      <c r="S1837" s="19" t="n">
        <v>3.2163</v>
      </c>
      <c r="T1837" s="22" t="n">
        <v>-0.0192</v>
      </c>
      <c r="U1837" s="16" t="inlineStr">
        <is>
          <t>No</t>
        </is>
      </c>
      <c r="V1837" s="16" t="inlineStr">
        <is>
          <t>Yes</t>
        </is>
      </c>
      <c r="W1837" s="16" t="inlineStr">
        <is>
          <t>Yes</t>
        </is>
      </c>
      <c r="X1837" s="16" t="inlineStr">
        <is>
          <t>Yes</t>
        </is>
      </c>
      <c r="Y1837" s="20" t="n">
        <v>5</v>
      </c>
      <c r="Z1837" s="19" t="n">
        <v>0.0268</v>
      </c>
      <c r="AA1837" s="18" t="n"/>
      <c r="AB1837" s="16" t="n"/>
      <c r="AC1837" s="16" t="inlineStr">
        <is>
          <t>No</t>
        </is>
      </c>
      <c r="AD1837" s="19" t="n"/>
      <c r="AE1837" s="19" t="n"/>
      <c r="AF1837" s="19" t="n"/>
      <c r="AG1837" s="19" t="n"/>
      <c r="AH1837" s="23" t="n"/>
      <c r="AI1837" s="23" t="n"/>
      <c r="AJ1837" s="19" t="n"/>
    </row>
    <row r="1838">
      <c r="A1838" s="16" t="inlineStr">
        <is>
          <t>SHINDL</t>
        </is>
      </c>
      <c r="B1838" s="16" t="inlineStr">
        <is>
          <t>Sharat Industries Ltd.</t>
        </is>
      </c>
      <c r="C1838" s="16" t="inlineStr">
        <is>
          <t>Other Food &amp; Beverages</t>
        </is>
      </c>
      <c r="D1838" s="16" t="inlineStr">
        <is>
          <t>Food, Beverages &amp; Tobacco</t>
        </is>
      </c>
      <c r="E1838" s="16" t="inlineStr">
        <is>
          <t>INE220Z01013</t>
        </is>
      </c>
      <c r="F1838" s="17" t="n">
        <v>637.8200000000001</v>
      </c>
      <c r="G1838" s="18" t="n">
        <v>162.65</v>
      </c>
      <c r="H1838" s="19" t="n">
        <v>0.0197</v>
      </c>
      <c r="I1838" s="20" t="n">
        <v>59</v>
      </c>
      <c r="J1838" s="16" t="inlineStr">
        <is>
          <t>red</t>
        </is>
      </c>
      <c r="K1838" s="20" t="n">
        <v>2</v>
      </c>
      <c r="L1838" s="18" t="n">
        <v>50.33</v>
      </c>
      <c r="M1838" s="18" t="n">
        <v>162.07</v>
      </c>
      <c r="N1838" s="18" t="n">
        <v>159.28</v>
      </c>
      <c r="O1838" s="18" t="n">
        <v>151.88</v>
      </c>
      <c r="P1838" s="18" t="n">
        <v>175.1</v>
      </c>
      <c r="Q1838" s="18" t="n">
        <v>121.66</v>
      </c>
      <c r="R1838" s="21">
        <f>IF(OR(G1838="",P1838=""),"",G1838/P1838-1)</f>
        <v/>
      </c>
      <c r="S1838" s="19" t="n">
        <v>1.2054</v>
      </c>
      <c r="T1838" s="22" t="n">
        <v>0.0205</v>
      </c>
      <c r="U1838" s="16" t="inlineStr">
        <is>
          <t>Yes</t>
        </is>
      </c>
      <c r="V1838" s="16" t="inlineStr">
        <is>
          <t>Yes</t>
        </is>
      </c>
      <c r="W1838" s="16" t="inlineStr">
        <is>
          <t>Yes</t>
        </is>
      </c>
      <c r="X1838" s="16" t="inlineStr">
        <is>
          <t>Yes</t>
        </is>
      </c>
      <c r="Y1838" s="20" t="n">
        <v>443</v>
      </c>
      <c r="Z1838" s="19" t="n">
        <v>0.0488</v>
      </c>
      <c r="AA1838" s="18" t="n"/>
      <c r="AB1838" s="16" t="n"/>
      <c r="AC1838" s="16" t="inlineStr">
        <is>
          <t>No</t>
        </is>
      </c>
      <c r="AD1838" s="19" t="n"/>
      <c r="AE1838" s="19" t="n"/>
      <c r="AF1838" s="19" t="n"/>
      <c r="AG1838" s="19" t="n"/>
      <c r="AH1838" s="23" t="n"/>
      <c r="AI1838" s="23" t="n"/>
      <c r="AJ1838" s="19" t="n"/>
    </row>
    <row r="1839">
      <c r="A1839" s="16" t="inlineStr">
        <is>
          <t>CCCL</t>
        </is>
      </c>
      <c r="B1839" s="16" t="inlineStr">
        <is>
          <t>Consolidated Construction Consortium Ltd.</t>
        </is>
      </c>
      <c r="C1839" s="16" t="inlineStr">
        <is>
          <t>Construction &amp; Engineering</t>
        </is>
      </c>
      <c r="D1839" s="16" t="inlineStr">
        <is>
          <t>Cement and Construction</t>
        </is>
      </c>
      <c r="E1839" s="16" t="inlineStr">
        <is>
          <t>INE429I01024</t>
        </is>
      </c>
      <c r="F1839" s="17" t="n">
        <v>637.53</v>
      </c>
      <c r="G1839" s="18" t="n">
        <v>14.27</v>
      </c>
      <c r="H1839" s="19" t="n">
        <v>0.005600000000000001</v>
      </c>
      <c r="I1839" s="20" t="n">
        <v>17</v>
      </c>
      <c r="J1839" s="16" t="inlineStr">
        <is>
          <t>red</t>
        </is>
      </c>
      <c r="K1839" s="20" t="n">
        <v>96</v>
      </c>
      <c r="L1839" s="18" t="n">
        <v>20</v>
      </c>
      <c r="M1839" s="18" t="n">
        <v>14.57</v>
      </c>
      <c r="N1839" s="18" t="n">
        <v>15.72</v>
      </c>
      <c r="O1839" s="18" t="n">
        <v>16.43</v>
      </c>
      <c r="P1839" s="18" t="n">
        <v>27.34</v>
      </c>
      <c r="Q1839" s="18" t="n">
        <v>12.85</v>
      </c>
      <c r="R1839" s="21">
        <f>IF(OR(G1839="",P1839=""),"",G1839/P1839-1)</f>
        <v/>
      </c>
      <c r="S1839" s="19" t="n">
        <v>0.551</v>
      </c>
      <c r="T1839" s="22" t="n">
        <v>-0.0424</v>
      </c>
      <c r="U1839" s="16" t="inlineStr">
        <is>
          <t>No</t>
        </is>
      </c>
      <c r="V1839" s="16" t="inlineStr">
        <is>
          <t>No</t>
        </is>
      </c>
      <c r="W1839" s="16" t="inlineStr">
        <is>
          <t>No</t>
        </is>
      </c>
      <c r="X1839" s="16" t="inlineStr">
        <is>
          <t>No</t>
        </is>
      </c>
      <c r="Y1839" s="20" t="n">
        <v>159</v>
      </c>
      <c r="Z1839" s="19" t="n">
        <v>-0.0433</v>
      </c>
      <c r="AA1839" s="18" t="n">
        <v>86.43000000000001</v>
      </c>
      <c r="AB1839" s="16" t="inlineStr">
        <is>
          <t>High</t>
        </is>
      </c>
      <c r="AC1839" s="16" t="inlineStr">
        <is>
          <t>No</t>
        </is>
      </c>
      <c r="AD1839" s="19" t="n">
        <v>8.365599999999999</v>
      </c>
      <c r="AE1839" s="19" t="n">
        <v>1.5702</v>
      </c>
      <c r="AF1839" s="19" t="n">
        <v>1.9777</v>
      </c>
      <c r="AG1839" s="19" t="n">
        <v>0.3188</v>
      </c>
      <c r="AH1839" s="23" t="n">
        <v>0</v>
      </c>
      <c r="AI1839" s="23" t="n">
        <v>4.03</v>
      </c>
      <c r="AJ1839" s="19" t="n">
        <v>0.0062</v>
      </c>
    </row>
    <row r="1840">
      <c r="A1840" s="16" t="inlineStr">
        <is>
          <t>BAIKAKAJI</t>
        </is>
      </c>
      <c r="B1840" s="16" t="inlineStr">
        <is>
          <t>Bai-Kakaji Polymers Ltd.</t>
        </is>
      </c>
      <c r="C1840" s="16" t="inlineStr">
        <is>
          <t>Plastic Products</t>
        </is>
      </c>
      <c r="D1840" s="16" t="inlineStr">
        <is>
          <t>General Industrials</t>
        </is>
      </c>
      <c r="E1840" s="16" t="inlineStr">
        <is>
          <t>INE1IJQ01026</t>
        </is>
      </c>
      <c r="F1840" s="17" t="n">
        <v>636.46</v>
      </c>
      <c r="G1840" s="18" t="n">
        <v>297.35</v>
      </c>
      <c r="H1840" s="19" t="n">
        <v>-0.05</v>
      </c>
      <c r="I1840" s="20" t="n">
        <v>93</v>
      </c>
      <c r="J1840" s="16" t="inlineStr">
        <is>
          <t>green</t>
        </is>
      </c>
      <c r="K1840" s="20" t="n">
        <v>13</v>
      </c>
      <c r="L1840" s="18" t="n">
        <v>70.93000000000001</v>
      </c>
      <c r="M1840" s="18" t="n">
        <v>287.45</v>
      </c>
      <c r="N1840" s="18" t="n">
        <v>227.74</v>
      </c>
      <c r="O1840" s="18" t="n"/>
      <c r="P1840" s="18" t="n">
        <v>317.3</v>
      </c>
      <c r="Q1840" s="18" t="n">
        <v>157.2</v>
      </c>
      <c r="R1840" s="21">
        <f>IF(OR(G1840="",P1840=""),"",G1840/P1840-1)</f>
        <v/>
      </c>
      <c r="S1840" s="19" t="n">
        <v>0.2668</v>
      </c>
      <c r="T1840" s="22" t="n"/>
      <c r="U1840" s="16" t="n"/>
      <c r="V1840" s="16" t="inlineStr">
        <is>
          <t>Yes</t>
        </is>
      </c>
      <c r="W1840" s="16" t="inlineStr">
        <is>
          <t>Yes</t>
        </is>
      </c>
      <c r="X1840" s="16" t="n"/>
      <c r="Y1840" s="20" t="n"/>
      <c r="Z1840" s="19" t="n"/>
      <c r="AA1840" s="18" t="n"/>
      <c r="AB1840" s="16" t="n"/>
      <c r="AC1840" s="16" t="inlineStr">
        <is>
          <t>No</t>
        </is>
      </c>
      <c r="AD1840" s="19" t="n"/>
      <c r="AE1840" s="19" t="n"/>
      <c r="AF1840" s="19" t="n"/>
      <c r="AG1840" s="19" t="n"/>
      <c r="AH1840" s="23" t="n"/>
      <c r="AI1840" s="23" t="n"/>
      <c r="AJ1840" s="19" t="n"/>
    </row>
    <row r="1841">
      <c r="A1841" s="16" t="inlineStr">
        <is>
          <t>MALLCOM</t>
        </is>
      </c>
      <c r="B1841" s="16" t="inlineStr">
        <is>
          <t>Mallcom (India) Ltd.</t>
        </is>
      </c>
      <c r="C1841" s="16" t="inlineStr">
        <is>
          <t>Other Apparels &amp; Accessories</t>
        </is>
      </c>
      <c r="D1841" s="16" t="inlineStr">
        <is>
          <t>Textiles Apparels &amp; Accessories</t>
        </is>
      </c>
      <c r="E1841" s="16" t="inlineStr">
        <is>
          <t>INE389C01015</t>
        </is>
      </c>
      <c r="F1841" s="17" t="n">
        <v>635.33</v>
      </c>
      <c r="G1841" s="18" t="n">
        <v>1018.15</v>
      </c>
      <c r="H1841" s="19" t="n">
        <v>0.0194</v>
      </c>
      <c r="I1841" s="20" t="n">
        <v>26</v>
      </c>
      <c r="J1841" s="16" t="inlineStr">
        <is>
          <t>red</t>
        </is>
      </c>
      <c r="K1841" s="20" t="n">
        <v>120</v>
      </c>
      <c r="L1841" s="18" t="n">
        <v>62.06</v>
      </c>
      <c r="M1841" s="18" t="n">
        <v>996.22</v>
      </c>
      <c r="N1841" s="18" t="n">
        <v>1009.31</v>
      </c>
      <c r="O1841" s="18" t="n">
        <v>1078.13</v>
      </c>
      <c r="P1841" s="18" t="n">
        <v>1487.6</v>
      </c>
      <c r="Q1841" s="18" t="n">
        <v>938.4</v>
      </c>
      <c r="R1841" s="21">
        <f>IF(OR(G1841="",P1841=""),"",G1841/P1841-1)</f>
        <v/>
      </c>
      <c r="S1841" s="19" t="n">
        <v>0.5001</v>
      </c>
      <c r="T1841" s="22" t="n">
        <v>-0.0372</v>
      </c>
      <c r="U1841" s="16" t="inlineStr">
        <is>
          <t>No</t>
        </is>
      </c>
      <c r="V1841" s="16" t="inlineStr">
        <is>
          <t>Yes</t>
        </is>
      </c>
      <c r="W1841" s="16" t="inlineStr">
        <is>
          <t>Yes</t>
        </is>
      </c>
      <c r="X1841" s="16" t="inlineStr">
        <is>
          <t>No</t>
        </is>
      </c>
      <c r="Y1841" s="20" t="n">
        <v>165</v>
      </c>
      <c r="Z1841" s="19" t="n">
        <v>-0.0638</v>
      </c>
      <c r="AA1841" s="18" t="n">
        <v>45.6</v>
      </c>
      <c r="AB1841" s="16" t="inlineStr">
        <is>
          <t>Average</t>
        </is>
      </c>
      <c r="AC1841" s="16" t="inlineStr">
        <is>
          <t>No</t>
        </is>
      </c>
      <c r="AD1841" s="19" t="n">
        <v>0.1465</v>
      </c>
      <c r="AE1841" s="19" t="n">
        <v>0.1557</v>
      </c>
      <c r="AF1841" s="19" t="n">
        <v>0.0293</v>
      </c>
      <c r="AG1841" s="19" t="n">
        <v>0.1144</v>
      </c>
      <c r="AH1841" s="23" t="n">
        <v>0.38</v>
      </c>
      <c r="AI1841" s="23" t="n">
        <v>2.41</v>
      </c>
      <c r="AJ1841" s="19" t="n">
        <v>0</v>
      </c>
    </row>
    <row r="1842">
      <c r="A1842" s="16" t="inlineStr">
        <is>
          <t>NEUEON</t>
        </is>
      </c>
      <c r="B1842" s="16" t="inlineStr">
        <is>
          <t>Neueon Corporation Ltd.</t>
        </is>
      </c>
      <c r="C1842" s="16" t="inlineStr">
        <is>
          <t>Heavy Electrical Equipment</t>
        </is>
      </c>
      <c r="D1842" s="16" t="inlineStr">
        <is>
          <t>General Industrials</t>
        </is>
      </c>
      <c r="E1842" s="16" t="inlineStr">
        <is>
          <t>INE333I01044</t>
        </is>
      </c>
      <c r="F1842" s="17" t="n">
        <v>634.4299999999999</v>
      </c>
      <c r="G1842" s="18" t="n">
        <v>11.22</v>
      </c>
      <c r="H1842" s="19" t="n">
        <v>0.0256</v>
      </c>
      <c r="I1842" s="20" t="n">
        <v>70</v>
      </c>
      <c r="J1842" s="16" t="inlineStr">
        <is>
          <t>amber</t>
        </is>
      </c>
      <c r="K1842" s="20" t="n">
        <v>3</v>
      </c>
      <c r="L1842" s="18" t="n">
        <v>10.97</v>
      </c>
      <c r="M1842" s="18" t="n">
        <v>12.23</v>
      </c>
      <c r="N1842" s="18" t="n">
        <v>14.87</v>
      </c>
      <c r="O1842" s="18" t="n">
        <v>14.23</v>
      </c>
      <c r="P1842" s="18" t="n">
        <v>26.1</v>
      </c>
      <c r="Q1842" s="18" t="n">
        <v>5.22</v>
      </c>
      <c r="R1842" s="21">
        <f>IF(OR(G1842="",P1842=""),"",G1842/P1842-1)</f>
        <v/>
      </c>
      <c r="S1842" s="19" t="n">
        <v>1.3851</v>
      </c>
      <c r="T1842" s="22" t="n">
        <v>0.0682</v>
      </c>
      <c r="U1842" s="16" t="inlineStr">
        <is>
          <t>Yes</t>
        </is>
      </c>
      <c r="V1842" s="16" t="inlineStr">
        <is>
          <t>No</t>
        </is>
      </c>
      <c r="W1842" s="16" t="inlineStr">
        <is>
          <t>No</t>
        </is>
      </c>
      <c r="X1842" s="16" t="inlineStr">
        <is>
          <t>Yes</t>
        </is>
      </c>
      <c r="Y1842" s="20" t="n">
        <v>177</v>
      </c>
      <c r="Z1842" s="19" t="n">
        <v>0.0447</v>
      </c>
      <c r="AA1842" s="18" t="n">
        <v>36.34</v>
      </c>
      <c r="AB1842" s="16" t="inlineStr">
        <is>
          <t>Weak</t>
        </is>
      </c>
      <c r="AC1842" s="16" t="inlineStr">
        <is>
          <t>No</t>
        </is>
      </c>
      <c r="AD1842" s="19" t="n">
        <v>-0.5041</v>
      </c>
      <c r="AE1842" s="19" t="n">
        <v>-0.4795</v>
      </c>
      <c r="AF1842" s="19" t="n">
        <v>0.2223</v>
      </c>
      <c r="AG1842" s="19" t="n">
        <v>30.4787</v>
      </c>
      <c r="AH1842" s="23" t="n">
        <v>0.19</v>
      </c>
      <c r="AI1842" s="23" t="n">
        <v>0.2</v>
      </c>
      <c r="AJ1842" s="19" t="n">
        <v>0</v>
      </c>
    </row>
    <row r="1843">
      <c r="A1843" s="16" t="inlineStr">
        <is>
          <t>ORBTEXP</t>
        </is>
      </c>
      <c r="B1843" s="16" t="inlineStr">
        <is>
          <t>Orbit Exports Ltd.</t>
        </is>
      </c>
      <c r="C1843" s="16" t="inlineStr">
        <is>
          <t>Textiles</t>
        </is>
      </c>
      <c r="D1843" s="16" t="inlineStr">
        <is>
          <t>Textiles Apparels &amp; Accessories</t>
        </is>
      </c>
      <c r="E1843" s="16" t="inlineStr">
        <is>
          <t>INE231G01010</t>
        </is>
      </c>
      <c r="F1843" s="17" t="n">
        <v>633.67</v>
      </c>
      <c r="G1843" s="18" t="n">
        <v>239.02</v>
      </c>
      <c r="H1843" s="19" t="n">
        <v>0.0043</v>
      </c>
      <c r="I1843" s="20" t="n">
        <v>71</v>
      </c>
      <c r="J1843" s="16" t="inlineStr">
        <is>
          <t>amber</t>
        </is>
      </c>
      <c r="K1843" s="20" t="n">
        <v>16</v>
      </c>
      <c r="L1843" s="18" t="n">
        <v>58.93</v>
      </c>
      <c r="M1843" s="18" t="n">
        <v>239.01</v>
      </c>
      <c r="N1843" s="18" t="n">
        <v>236.1</v>
      </c>
      <c r="O1843" s="18" t="n">
        <v>193.14</v>
      </c>
      <c r="P1843" s="18" t="n">
        <v>274.15</v>
      </c>
      <c r="Q1843" s="18" t="n">
        <v>135.07</v>
      </c>
      <c r="R1843" s="21">
        <f>IF(OR(G1843="",P1843=""),"",G1843/P1843-1)</f>
        <v/>
      </c>
      <c r="S1843" s="19" t="n">
        <v>0.1146</v>
      </c>
      <c r="T1843" s="22" t="n">
        <v>0.0134</v>
      </c>
      <c r="U1843" s="16" t="inlineStr">
        <is>
          <t>Yes</t>
        </is>
      </c>
      <c r="V1843" s="16" t="inlineStr">
        <is>
          <t>Yes</t>
        </is>
      </c>
      <c r="W1843" s="16" t="inlineStr">
        <is>
          <t>Yes</t>
        </is>
      </c>
      <c r="X1843" s="16" t="inlineStr">
        <is>
          <t>Yes</t>
        </is>
      </c>
      <c r="Y1843" s="20" t="n">
        <v>47</v>
      </c>
      <c r="Z1843" s="19" t="n">
        <v>0.2224</v>
      </c>
      <c r="AA1843" s="18" t="n">
        <v>48.45</v>
      </c>
      <c r="AB1843" s="16" t="inlineStr">
        <is>
          <t>Average</t>
        </is>
      </c>
      <c r="AC1843" s="16" t="inlineStr">
        <is>
          <t>No</t>
        </is>
      </c>
      <c r="AD1843" s="19" t="n">
        <v>0.1315</v>
      </c>
      <c r="AE1843" s="19" t="n">
        <v>0.1693</v>
      </c>
      <c r="AF1843" s="19" t="n">
        <v>0.008399999999999999</v>
      </c>
      <c r="AG1843" s="19" t="n">
        <v>0.0539</v>
      </c>
      <c r="AH1843" s="23" t="n">
        <v>0.05</v>
      </c>
      <c r="AI1843" s="23" t="n">
        <v>1.56</v>
      </c>
      <c r="AJ1843" s="19" t="n">
        <v>0.0015</v>
      </c>
    </row>
    <row r="1844">
      <c r="A1844" s="16" t="inlineStr">
        <is>
          <t>SATIA</t>
        </is>
      </c>
      <c r="B1844" s="16" t="inlineStr">
        <is>
          <t>Satia Industries Ltd.</t>
        </is>
      </c>
      <c r="C1844" s="16" t="inlineStr">
        <is>
          <t>Paper &amp; Paper Products</t>
        </is>
      </c>
      <c r="D1844" s="16" t="inlineStr">
        <is>
          <t>Commercial Services &amp; Supplies</t>
        </is>
      </c>
      <c r="E1844" s="16" t="inlineStr">
        <is>
          <t>INE170E01023</t>
        </is>
      </c>
      <c r="F1844" s="17" t="n">
        <v>633.6</v>
      </c>
      <c r="G1844" s="18" t="n">
        <v>63.36</v>
      </c>
      <c r="H1844" s="19" t="n">
        <v>0.0495</v>
      </c>
      <c r="I1844" s="20" t="n">
        <v>40</v>
      </c>
      <c r="J1844" s="16" t="inlineStr">
        <is>
          <t>red</t>
        </is>
      </c>
      <c r="K1844" s="20" t="n">
        <v>501</v>
      </c>
      <c r="L1844" s="18" t="n">
        <v>66.51000000000001</v>
      </c>
      <c r="M1844" s="18" t="n">
        <v>58.66</v>
      </c>
      <c r="N1844" s="18" t="n">
        <v>58.86</v>
      </c>
      <c r="O1844" s="18" t="n">
        <v>62.31</v>
      </c>
      <c r="P1844" s="18" t="n">
        <v>84.68000000000001</v>
      </c>
      <c r="Q1844" s="18" t="n">
        <v>51.16</v>
      </c>
      <c r="R1844" s="21">
        <f>IF(OR(G1844="",P1844=""),"",G1844/P1844-1)</f>
        <v/>
      </c>
      <c r="S1844" s="19" t="n">
        <v>2.1895</v>
      </c>
      <c r="T1844" s="22" t="n">
        <v>-0.0253</v>
      </c>
      <c r="U1844" s="16" t="inlineStr">
        <is>
          <t>No</t>
        </is>
      </c>
      <c r="V1844" s="16" t="inlineStr">
        <is>
          <t>Yes</t>
        </is>
      </c>
      <c r="W1844" s="16" t="inlineStr">
        <is>
          <t>Yes</t>
        </is>
      </c>
      <c r="X1844" s="16" t="inlineStr">
        <is>
          <t>No</t>
        </is>
      </c>
      <c r="Y1844" s="20" t="n">
        <v>202</v>
      </c>
      <c r="Z1844" s="19" t="n">
        <v>-0.0553</v>
      </c>
      <c r="AA1844" s="18" t="n">
        <v>34.3</v>
      </c>
      <c r="AB1844" s="16" t="inlineStr">
        <is>
          <t>Poor</t>
        </is>
      </c>
      <c r="AC1844" s="16" t="inlineStr">
        <is>
          <t>No</t>
        </is>
      </c>
      <c r="AD1844" s="19" t="n">
        <v>0.1257</v>
      </c>
      <c r="AE1844" s="19" t="n">
        <v>0.1216</v>
      </c>
      <c r="AF1844" s="19" t="n">
        <v>-0.4465</v>
      </c>
      <c r="AG1844" s="19" t="n">
        <v>-0.0825</v>
      </c>
      <c r="AH1844" s="23" t="n">
        <v>0.29</v>
      </c>
      <c r="AI1844" s="23" t="n">
        <v>1.52</v>
      </c>
      <c r="AJ1844" s="19" t="n">
        <v>0.312</v>
      </c>
    </row>
    <row r="1845">
      <c r="A1845" s="16" t="inlineStr">
        <is>
          <t>AXTEL</t>
        </is>
      </c>
      <c r="B1845" s="16" t="inlineStr">
        <is>
          <t>Axtel Industries Ltd.</t>
        </is>
      </c>
      <c r="C1845" s="16" t="inlineStr">
        <is>
          <t>Industrial Machinery</t>
        </is>
      </c>
      <c r="D1845" s="16" t="inlineStr">
        <is>
          <t>General Industrials</t>
        </is>
      </c>
      <c r="E1845" s="16" t="inlineStr">
        <is>
          <t>INE767C01012</t>
        </is>
      </c>
      <c r="F1845" s="17" t="n">
        <v>633.27</v>
      </c>
      <c r="G1845" s="18" t="n">
        <v>392</v>
      </c>
      <c r="H1845" s="19" t="n">
        <v>-0.0067</v>
      </c>
      <c r="I1845" s="20" t="n">
        <v>17</v>
      </c>
      <c r="J1845" s="16" t="inlineStr">
        <is>
          <t>red</t>
        </is>
      </c>
      <c r="K1845" s="20" t="n">
        <v>66</v>
      </c>
      <c r="L1845" s="18" t="n">
        <v>33.53</v>
      </c>
      <c r="M1845" s="18" t="n">
        <v>396.66</v>
      </c>
      <c r="N1845" s="18" t="n">
        <v>424.03</v>
      </c>
      <c r="O1845" s="18" t="n">
        <v>425.48</v>
      </c>
      <c r="P1845" s="18" t="n">
        <v>509.4</v>
      </c>
      <c r="Q1845" s="18" t="n">
        <v>334.49</v>
      </c>
      <c r="R1845" s="21">
        <f>IF(OR(G1845="",P1845=""),"",G1845/P1845-1)</f>
        <v/>
      </c>
      <c r="S1845" s="19" t="n">
        <v>0.2955</v>
      </c>
      <c r="T1845" s="22" t="n">
        <v>-0.0133</v>
      </c>
      <c r="U1845" s="16" t="inlineStr">
        <is>
          <t>No</t>
        </is>
      </c>
      <c r="V1845" s="16" t="inlineStr">
        <is>
          <t>No</t>
        </is>
      </c>
      <c r="W1845" s="16" t="inlineStr">
        <is>
          <t>No</t>
        </is>
      </c>
      <c r="X1845" s="16" t="inlineStr">
        <is>
          <t>No</t>
        </is>
      </c>
      <c r="Y1845" s="20" t="n">
        <v>3</v>
      </c>
      <c r="Z1845" s="19" t="n">
        <v>-0.0034</v>
      </c>
      <c r="AA1845" s="18" t="n"/>
      <c r="AB1845" s="16" t="n"/>
      <c r="AC1845" s="16" t="inlineStr">
        <is>
          <t>No</t>
        </is>
      </c>
      <c r="AD1845" s="19" t="n"/>
      <c r="AE1845" s="19" t="n"/>
      <c r="AF1845" s="19" t="n"/>
      <c r="AG1845" s="19" t="n"/>
      <c r="AH1845" s="23" t="n"/>
      <c r="AI1845" s="23" t="n"/>
      <c r="AJ1845" s="19" t="n"/>
    </row>
    <row r="1846">
      <c r="A1846" s="16" t="inlineStr">
        <is>
          <t>ONWARDTEC</t>
        </is>
      </c>
      <c r="B1846" s="16" t="inlineStr">
        <is>
          <t>Onward Technologies Ltd.</t>
        </is>
      </c>
      <c r="C1846" s="16" t="inlineStr">
        <is>
          <t>IT Consulting &amp; Software</t>
        </is>
      </c>
      <c r="D1846" s="16" t="inlineStr">
        <is>
          <t>Software &amp; Services</t>
        </is>
      </c>
      <c r="E1846" s="16" t="inlineStr">
        <is>
          <t>INE229A01017</t>
        </is>
      </c>
      <c r="F1846" s="17" t="n">
        <v>632.66</v>
      </c>
      <c r="G1846" s="18" t="n">
        <v>284.35</v>
      </c>
      <c r="H1846" s="19" t="n">
        <v>0.0037</v>
      </c>
      <c r="I1846" s="20" t="n">
        <v>50</v>
      </c>
      <c r="J1846" s="16" t="inlineStr">
        <is>
          <t>red</t>
        </is>
      </c>
      <c r="K1846" s="20" t="n">
        <v>134</v>
      </c>
      <c r="L1846" s="18" t="n">
        <v>46.98</v>
      </c>
      <c r="M1846" s="18" t="n">
        <v>285.26</v>
      </c>
      <c r="N1846" s="18" t="n">
        <v>285.83</v>
      </c>
      <c r="O1846" s="18" t="n">
        <v>269.29</v>
      </c>
      <c r="P1846" s="18" t="n">
        <v>331.03</v>
      </c>
      <c r="Q1846" s="18" t="n">
        <v>204.4</v>
      </c>
      <c r="R1846" s="21">
        <f>IF(OR(G1846="",P1846=""),"",G1846/P1846-1)</f>
        <v/>
      </c>
      <c r="S1846" s="19" t="n">
        <v>0.6712</v>
      </c>
      <c r="T1846" s="22" t="n">
        <v>-0.003</v>
      </c>
      <c r="U1846" s="16" t="inlineStr">
        <is>
          <t>No</t>
        </is>
      </c>
      <c r="V1846" s="16" t="inlineStr">
        <is>
          <t>No</t>
        </is>
      </c>
      <c r="W1846" s="16" t="inlineStr">
        <is>
          <t>No</t>
        </is>
      </c>
      <c r="X1846" s="16" t="inlineStr">
        <is>
          <t>Yes</t>
        </is>
      </c>
      <c r="Y1846" s="20" t="n">
        <v>25</v>
      </c>
      <c r="Z1846" s="19" t="n">
        <v>0.0614</v>
      </c>
      <c r="AA1846" s="18" t="n">
        <v>60.93</v>
      </c>
      <c r="AB1846" s="16" t="inlineStr">
        <is>
          <t>Good</t>
        </is>
      </c>
      <c r="AC1846" s="16" t="inlineStr">
        <is>
          <t>No</t>
        </is>
      </c>
      <c r="AD1846" s="19" t="n">
        <v>0.1531</v>
      </c>
      <c r="AE1846" s="19" t="n">
        <v>0.184</v>
      </c>
      <c r="AF1846" s="19" t="n">
        <v>0.7943000000000001</v>
      </c>
      <c r="AG1846" s="19" t="n">
        <v>0.0728</v>
      </c>
      <c r="AH1846" s="23" t="n">
        <v>0.16</v>
      </c>
      <c r="AI1846" s="23" t="n">
        <v>6.38</v>
      </c>
      <c r="AJ1846" s="19" t="n">
        <v>0.0018</v>
      </c>
    </row>
    <row r="1847">
      <c r="A1847" s="16" t="inlineStr">
        <is>
          <t>KILITCH</t>
        </is>
      </c>
      <c r="B1847" s="16" t="inlineStr">
        <is>
          <t>Kilitch Drugs(I) Ltd.</t>
        </is>
      </c>
      <c r="C1847" s="16" t="inlineStr">
        <is>
          <t>Pharmaceuticals</t>
        </is>
      </c>
      <c r="D1847" s="16" t="inlineStr">
        <is>
          <t>Pharmaceuticals &amp; Biotechnology</t>
        </is>
      </c>
      <c r="E1847" s="16" t="inlineStr">
        <is>
          <t>INE729D01010</t>
        </is>
      </c>
      <c r="F1847" s="17" t="n">
        <v>632.63</v>
      </c>
      <c r="G1847" s="18" t="n">
        <v>180.95</v>
      </c>
      <c r="H1847" s="19" t="n">
        <v>0.0489</v>
      </c>
      <c r="I1847" s="20" t="n">
        <v>44</v>
      </c>
      <c r="J1847" s="16" t="inlineStr">
        <is>
          <t>red</t>
        </is>
      </c>
      <c r="K1847" s="20" t="n">
        <v>20</v>
      </c>
      <c r="L1847" s="18" t="n">
        <v>59.11</v>
      </c>
      <c r="M1847" s="18" t="n">
        <v>173.05</v>
      </c>
      <c r="N1847" s="18" t="n">
        <v>181.39</v>
      </c>
      <c r="O1847" s="18" t="n">
        <v>169.4</v>
      </c>
      <c r="P1847" s="18" t="n">
        <v>205.52</v>
      </c>
      <c r="Q1847" s="18" t="n">
        <v>124.45</v>
      </c>
      <c r="R1847" s="21">
        <f>IF(OR(G1847="",P1847=""),"",G1847/P1847-1)</f>
        <v/>
      </c>
      <c r="S1847" s="19" t="n">
        <v>1.0216</v>
      </c>
      <c r="T1847" s="22" t="n">
        <v>-0.007800000000000001</v>
      </c>
      <c r="U1847" s="16" t="inlineStr">
        <is>
          <t>No</t>
        </is>
      </c>
      <c r="V1847" s="16" t="inlineStr">
        <is>
          <t>No</t>
        </is>
      </c>
      <c r="W1847" s="16" t="inlineStr">
        <is>
          <t>Yes</t>
        </is>
      </c>
      <c r="X1847" s="16" t="inlineStr">
        <is>
          <t>Yes</t>
        </is>
      </c>
      <c r="Y1847" s="20" t="n">
        <v>51</v>
      </c>
      <c r="Z1847" s="19" t="n">
        <v>0.0708</v>
      </c>
      <c r="AA1847" s="18" t="n">
        <v>54.56</v>
      </c>
      <c r="AB1847" s="16" t="inlineStr">
        <is>
          <t>Good</t>
        </is>
      </c>
      <c r="AC1847" s="16" t="inlineStr">
        <is>
          <t>No</t>
        </is>
      </c>
      <c r="AD1847" s="19" t="n">
        <v>0.1076</v>
      </c>
      <c r="AE1847" s="19" t="n">
        <v>0.1329</v>
      </c>
      <c r="AF1847" s="19" t="n">
        <v>0.8676</v>
      </c>
      <c r="AG1847" s="19" t="n">
        <v>0.1949</v>
      </c>
      <c r="AH1847" s="23" t="n">
        <v>0.32</v>
      </c>
      <c r="AI1847" s="23" t="n">
        <v>1.25</v>
      </c>
      <c r="AJ1847" s="19" t="n">
        <v>0.7419</v>
      </c>
    </row>
    <row r="1848">
      <c r="A1848" s="16" t="inlineStr">
        <is>
          <t>TECHNOCRAT</t>
        </is>
      </c>
      <c r="B1848" s="16" t="inlineStr">
        <is>
          <t>Technocrats Plasma Systems Ltd.</t>
        </is>
      </c>
      <c r="C1848" s="16" t="inlineStr">
        <is>
          <t>Industrial Machinery</t>
        </is>
      </c>
      <c r="D1848" s="16" t="inlineStr">
        <is>
          <t>General Industrials</t>
        </is>
      </c>
      <c r="E1848" s="16" t="inlineStr">
        <is>
          <t>INE19QK01022</t>
        </is>
      </c>
      <c r="F1848" s="17" t="n">
        <v>631.75</v>
      </c>
      <c r="G1848" s="18" t="n">
        <v>361</v>
      </c>
      <c r="H1848" s="19" t="n">
        <v>0.1757</v>
      </c>
      <c r="I1848" s="20" t="n"/>
      <c r="J1848" s="16" t="n"/>
      <c r="K1848" s="20" t="n"/>
      <c r="L1848" s="18" t="n"/>
      <c r="M1848" s="18" t="n">
        <v>284.86</v>
      </c>
      <c r="N1848" s="18" t="n"/>
      <c r="O1848" s="18" t="n"/>
      <c r="P1848" s="18" t="n">
        <v>361</v>
      </c>
      <c r="Q1848" s="18" t="n">
        <v>241.5</v>
      </c>
      <c r="R1848" s="21">
        <f>IF(OR(G1848="",P1848=""),"",G1848/P1848-1)</f>
        <v/>
      </c>
      <c r="S1848" s="19" t="n">
        <v>1.7883</v>
      </c>
      <c r="T1848" s="22" t="n"/>
      <c r="U1848" s="16" t="n"/>
      <c r="V1848" s="16" t="n"/>
      <c r="W1848" s="16" t="inlineStr">
        <is>
          <t>Yes</t>
        </is>
      </c>
      <c r="X1848" s="16" t="n"/>
      <c r="Y1848" s="20" t="n"/>
      <c r="Z1848" s="19" t="n"/>
      <c r="AA1848" s="18" t="n"/>
      <c r="AB1848" s="16" t="n"/>
      <c r="AC1848" s="16" t="inlineStr">
        <is>
          <t>No</t>
        </is>
      </c>
      <c r="AD1848" s="19" t="n"/>
      <c r="AE1848" s="19" t="n"/>
      <c r="AF1848" s="19" t="n"/>
      <c r="AG1848" s="19" t="n"/>
      <c r="AH1848" s="23" t="n"/>
      <c r="AI1848" s="23" t="n"/>
      <c r="AJ1848" s="19" t="n"/>
    </row>
    <row r="1849">
      <c r="A1849" s="16" t="inlineStr">
        <is>
          <t>INNOVANA</t>
        </is>
      </c>
      <c r="B1849" s="16" t="inlineStr">
        <is>
          <t>Innovana Thinklabs Ltd.</t>
        </is>
      </c>
      <c r="C1849" s="16" t="inlineStr">
        <is>
          <t>IT Software Products</t>
        </is>
      </c>
      <c r="D1849" s="16" t="inlineStr">
        <is>
          <t>Software &amp; Services</t>
        </is>
      </c>
      <c r="E1849" s="16" t="inlineStr">
        <is>
          <t>INE403Y01018</t>
        </is>
      </c>
      <c r="F1849" s="17" t="n">
        <v>630.54</v>
      </c>
      <c r="G1849" s="18" t="n">
        <v>305.2</v>
      </c>
      <c r="H1849" s="19" t="n">
        <v>-0.0107</v>
      </c>
      <c r="I1849" s="20" t="n">
        <v>9</v>
      </c>
      <c r="J1849" s="16" t="inlineStr">
        <is>
          <t>red</t>
        </is>
      </c>
      <c r="K1849" s="20" t="n">
        <v>119</v>
      </c>
      <c r="L1849" s="18" t="n">
        <v>48.55</v>
      </c>
      <c r="M1849" s="18" t="n">
        <v>306.67</v>
      </c>
      <c r="N1849" s="18" t="n">
        <v>322.38</v>
      </c>
      <c r="O1849" s="18" t="n">
        <v>368.98</v>
      </c>
      <c r="P1849" s="18" t="n">
        <v>554.2</v>
      </c>
      <c r="Q1849" s="18" t="n">
        <v>298.05</v>
      </c>
      <c r="R1849" s="21">
        <f>IF(OR(G1849="",P1849=""),"",G1849/P1849-1)</f>
        <v/>
      </c>
      <c r="S1849" s="19" t="n">
        <v>0.1032</v>
      </c>
      <c r="T1849" s="22" t="n">
        <v>-0.0445</v>
      </c>
      <c r="U1849" s="16" t="inlineStr">
        <is>
          <t>No</t>
        </is>
      </c>
      <c r="V1849" s="16" t="inlineStr">
        <is>
          <t>No</t>
        </is>
      </c>
      <c r="W1849" s="16" t="inlineStr">
        <is>
          <t>No</t>
        </is>
      </c>
      <c r="X1849" s="16" t="inlineStr">
        <is>
          <t>No</t>
        </is>
      </c>
      <c r="Y1849" s="20" t="n">
        <v>166</v>
      </c>
      <c r="Z1849" s="19" t="n">
        <v>-0.1263</v>
      </c>
      <c r="AA1849" s="18" t="n">
        <v>40</v>
      </c>
      <c r="AB1849" s="16" t="inlineStr">
        <is>
          <t>Weak</t>
        </is>
      </c>
      <c r="AC1849" s="16" t="inlineStr">
        <is>
          <t>No</t>
        </is>
      </c>
      <c r="AD1849" s="19" t="n">
        <v>0.2019</v>
      </c>
      <c r="AE1849" s="19" t="n">
        <v>0.2262</v>
      </c>
      <c r="AF1849" s="19" t="n">
        <v>-0.3824</v>
      </c>
      <c r="AG1849" s="19" t="n">
        <v>0.1927</v>
      </c>
      <c r="AH1849" s="23" t="n">
        <v>0.21</v>
      </c>
      <c r="AI1849" s="23" t="n">
        <v>1.79</v>
      </c>
      <c r="AJ1849" s="19" t="n">
        <v>0.0733</v>
      </c>
    </row>
    <row r="1850">
      <c r="A1850" s="16" t="inlineStr">
        <is>
          <t>SHRADDHA</t>
        </is>
      </c>
      <c r="B1850" s="16" t="inlineStr">
        <is>
          <t>Shraddha Prime Projects Ltd.</t>
        </is>
      </c>
      <c r="C1850" s="16" t="inlineStr">
        <is>
          <t>Realty</t>
        </is>
      </c>
      <c r="D1850" s="16" t="inlineStr">
        <is>
          <t>Realty</t>
        </is>
      </c>
      <c r="E1850" s="16" t="inlineStr">
        <is>
          <t>INE311M01018</t>
        </is>
      </c>
      <c r="F1850" s="17" t="n">
        <v>629.85</v>
      </c>
      <c r="G1850" s="18" t="n">
        <v>155.9</v>
      </c>
      <c r="H1850" s="19" t="n">
        <v>0.0163</v>
      </c>
      <c r="I1850" s="20" t="n">
        <v>23</v>
      </c>
      <c r="J1850" s="16" t="inlineStr">
        <is>
          <t>red</t>
        </is>
      </c>
      <c r="K1850" s="20" t="n">
        <v>107</v>
      </c>
      <c r="L1850" s="18" t="n">
        <v>53.77</v>
      </c>
      <c r="M1850" s="18" t="n">
        <v>156.33</v>
      </c>
      <c r="N1850" s="18" t="n">
        <v>153.9</v>
      </c>
      <c r="O1850" s="18" t="n">
        <v>172.68</v>
      </c>
      <c r="P1850" s="18" t="n">
        <v>250.75</v>
      </c>
      <c r="Q1850" s="18" t="n">
        <v>144.2</v>
      </c>
      <c r="R1850" s="21">
        <f>IF(OR(G1850="",P1850=""),"",G1850/P1850-1)</f>
        <v/>
      </c>
      <c r="S1850" s="19" t="n">
        <v>0.1589</v>
      </c>
      <c r="T1850" s="22" t="n">
        <v>-0.0331</v>
      </c>
      <c r="U1850" s="16" t="inlineStr">
        <is>
          <t>No</t>
        </is>
      </c>
      <c r="V1850" s="16" t="inlineStr">
        <is>
          <t>Yes</t>
        </is>
      </c>
      <c r="W1850" s="16" t="inlineStr">
        <is>
          <t>No</t>
        </is>
      </c>
      <c r="X1850" s="16" t="inlineStr">
        <is>
          <t>No</t>
        </is>
      </c>
      <c r="Y1850" s="20" t="n">
        <v>121</v>
      </c>
      <c r="Z1850" s="19" t="n">
        <v>-0.1087</v>
      </c>
      <c r="AA1850" s="18" t="n"/>
      <c r="AB1850" s="16" t="n"/>
      <c r="AC1850" s="16" t="inlineStr">
        <is>
          <t>No</t>
        </is>
      </c>
      <c r="AD1850" s="19" t="n"/>
      <c r="AE1850" s="19" t="n"/>
      <c r="AF1850" s="19" t="n"/>
      <c r="AG1850" s="19" t="n"/>
      <c r="AH1850" s="23" t="n"/>
      <c r="AI1850" s="23" t="n"/>
      <c r="AJ1850" s="19" t="n"/>
    </row>
    <row r="1851">
      <c r="A1851" s="16" t="inlineStr">
        <is>
          <t>SUNITATOOL</t>
        </is>
      </c>
      <c r="B1851" s="16" t="inlineStr">
        <is>
          <t>Sunita Tools Ltd.</t>
        </is>
      </c>
      <c r="C1851" s="16" t="inlineStr">
        <is>
          <t>Industrial Machinery</t>
        </is>
      </c>
      <c r="D1851" s="16" t="inlineStr">
        <is>
          <t>General Industrials</t>
        </is>
      </c>
      <c r="E1851" s="16" t="inlineStr">
        <is>
          <t>INE0Q1S01010</t>
        </is>
      </c>
      <c r="F1851" s="17" t="n">
        <v>628.55</v>
      </c>
      <c r="G1851" s="18" t="n">
        <v>1008.4</v>
      </c>
      <c r="H1851" s="19" t="n">
        <v>-0.0129</v>
      </c>
      <c r="I1851" s="20" t="n">
        <v>79</v>
      </c>
      <c r="J1851" s="16" t="inlineStr">
        <is>
          <t>amber</t>
        </is>
      </c>
      <c r="K1851" s="20" t="n">
        <v>2</v>
      </c>
      <c r="L1851" s="18" t="n">
        <v>54.96</v>
      </c>
      <c r="M1851" s="18" t="n">
        <v>1061.69</v>
      </c>
      <c r="N1851" s="18" t="n">
        <v>931.67</v>
      </c>
      <c r="O1851" s="18" t="n">
        <v>828.3099999999999</v>
      </c>
      <c r="P1851" s="18" t="n">
        <v>1101.9</v>
      </c>
      <c r="Q1851" s="18" t="n">
        <v>559.6</v>
      </c>
      <c r="R1851" s="21">
        <f>IF(OR(G1851="",P1851=""),"",G1851/P1851-1)</f>
        <v/>
      </c>
      <c r="S1851" s="19" t="n">
        <v>1.0574</v>
      </c>
      <c r="T1851" s="22" t="n">
        <v>0.0248</v>
      </c>
      <c r="U1851" s="16" t="inlineStr">
        <is>
          <t>Yes</t>
        </is>
      </c>
      <c r="V1851" s="16" t="inlineStr">
        <is>
          <t>Yes</t>
        </is>
      </c>
      <c r="W1851" s="16" t="inlineStr">
        <is>
          <t>No</t>
        </is>
      </c>
      <c r="X1851" s="16" t="inlineStr">
        <is>
          <t>Yes</t>
        </is>
      </c>
      <c r="Y1851" s="20" t="n">
        <v>22</v>
      </c>
      <c r="Z1851" s="19" t="n">
        <v>0.1248</v>
      </c>
      <c r="AA1851" s="18" t="n"/>
      <c r="AB1851" s="16" t="n"/>
      <c r="AC1851" s="16" t="inlineStr">
        <is>
          <t>No</t>
        </is>
      </c>
      <c r="AD1851" s="19" t="n"/>
      <c r="AE1851" s="19" t="n"/>
      <c r="AF1851" s="19" t="n"/>
      <c r="AG1851" s="19" t="n"/>
      <c r="AH1851" s="23" t="n"/>
      <c r="AI1851" s="23" t="n"/>
      <c r="AJ1851" s="19" t="n"/>
    </row>
    <row r="1852">
      <c r="A1852" s="16" t="inlineStr">
        <is>
          <t>VAKRANGEE</t>
        </is>
      </c>
      <c r="B1852" s="16" t="inlineStr">
        <is>
          <t>Vakrangee Ltd.</t>
        </is>
      </c>
      <c r="C1852" s="16" t="inlineStr">
        <is>
          <t>Misc. Commercial Services</t>
        </is>
      </c>
      <c r="D1852" s="16" t="inlineStr">
        <is>
          <t>Commercial Services &amp; Supplies</t>
        </is>
      </c>
      <c r="E1852" s="16" t="inlineStr">
        <is>
          <t>INE051B01021</t>
        </is>
      </c>
      <c r="F1852" s="17" t="n">
        <v>627.17</v>
      </c>
      <c r="G1852" s="18" t="n">
        <v>5.79</v>
      </c>
      <c r="H1852" s="19" t="n">
        <v>-0.0017</v>
      </c>
      <c r="I1852" s="20" t="n">
        <v>13</v>
      </c>
      <c r="J1852" s="16" t="inlineStr">
        <is>
          <t>red</t>
        </is>
      </c>
      <c r="K1852" s="20" t="n">
        <v>398</v>
      </c>
      <c r="L1852" s="18" t="n">
        <v>45.59</v>
      </c>
      <c r="M1852" s="18" t="n">
        <v>5.85</v>
      </c>
      <c r="N1852" s="18" t="n">
        <v>5.97</v>
      </c>
      <c r="O1852" s="18" t="n">
        <v>6.63</v>
      </c>
      <c r="P1852" s="18" t="n">
        <v>9.460000000000001</v>
      </c>
      <c r="Q1852" s="18" t="n">
        <v>4.68</v>
      </c>
      <c r="R1852" s="21">
        <f>IF(OR(G1852="",P1852=""),"",G1852/P1852-1)</f>
        <v/>
      </c>
      <c r="S1852" s="19" t="n">
        <v>1.3777</v>
      </c>
      <c r="T1852" s="22" t="n">
        <v>-0.0386</v>
      </c>
      <c r="U1852" s="16" t="inlineStr">
        <is>
          <t>No</t>
        </is>
      </c>
      <c r="V1852" s="16" t="inlineStr">
        <is>
          <t>No</t>
        </is>
      </c>
      <c r="W1852" s="16" t="inlineStr">
        <is>
          <t>No</t>
        </is>
      </c>
      <c r="X1852" s="16" t="inlineStr">
        <is>
          <t>No</t>
        </is>
      </c>
      <c r="Y1852" s="20" t="n">
        <v>374</v>
      </c>
      <c r="Z1852" s="19" t="n">
        <v>-0.0998</v>
      </c>
      <c r="AA1852" s="18" t="n">
        <v>48.62</v>
      </c>
      <c r="AB1852" s="16" t="inlineStr">
        <is>
          <t>Average</t>
        </is>
      </c>
      <c r="AC1852" s="16" t="inlineStr">
        <is>
          <t>No</t>
        </is>
      </c>
      <c r="AD1852" s="19" t="n">
        <v>0.0371</v>
      </c>
      <c r="AE1852" s="19" t="n">
        <v>0.0697</v>
      </c>
      <c r="AF1852" s="19" t="n">
        <v>1.3889</v>
      </c>
      <c r="AG1852" s="19" t="n">
        <v>0.092</v>
      </c>
      <c r="AH1852" s="23" t="n">
        <v>0.02</v>
      </c>
      <c r="AI1852" s="23" t="n">
        <v>2.1</v>
      </c>
      <c r="AJ1852" s="19" t="n">
        <v>0.0727</v>
      </c>
    </row>
    <row r="1853">
      <c r="A1853" s="16" t="inlineStr">
        <is>
          <t>NAMOEWASTE</t>
        </is>
      </c>
      <c r="B1853" s="16" t="inlineStr">
        <is>
          <t>Namo eWaste Management Ltd.</t>
        </is>
      </c>
      <c r="C1853" s="16" t="inlineStr">
        <is>
          <t>Electronic Components</t>
        </is>
      </c>
      <c r="D1853" s="16" t="inlineStr">
        <is>
          <t>Commercial Services &amp; Supplies</t>
        </is>
      </c>
      <c r="E1853" s="16" t="inlineStr">
        <is>
          <t>INE08NZ01012</t>
        </is>
      </c>
      <c r="F1853" s="17" t="n">
        <v>626.8</v>
      </c>
      <c r="G1853" s="18" t="n"/>
      <c r="H1853" s="19" t="n"/>
      <c r="I1853" s="20" t="n"/>
      <c r="J1853" s="16" t="n"/>
      <c r="K1853" s="20" t="n"/>
      <c r="L1853" s="18" t="n"/>
      <c r="M1853" s="18" t="n"/>
      <c r="N1853" s="18" t="n"/>
      <c r="O1853" s="18" t="n"/>
      <c r="P1853" s="18" t="n"/>
      <c r="Q1853" s="18" t="n"/>
      <c r="R1853" s="21">
        <f>IF(OR(G1853="",P1853=""),"",G1853/P1853-1)</f>
        <v/>
      </c>
      <c r="S1853" s="19" t="n"/>
      <c r="T1853" s="22" t="n"/>
      <c r="U1853" s="16" t="n"/>
      <c r="V1853" s="16" t="n"/>
      <c r="W1853" s="16" t="n"/>
      <c r="X1853" s="16" t="n"/>
      <c r="Y1853" s="20" t="n"/>
      <c r="Z1853" s="19" t="n"/>
      <c r="AA1853" s="18" t="n"/>
      <c r="AB1853" s="16" t="n"/>
      <c r="AC1853" s="16" t="inlineStr">
        <is>
          <t>No</t>
        </is>
      </c>
      <c r="AD1853" s="19" t="n"/>
      <c r="AE1853" s="19" t="n"/>
      <c r="AF1853" s="19" t="n"/>
      <c r="AG1853" s="19" t="n"/>
      <c r="AH1853" s="23" t="n"/>
      <c r="AI1853" s="23" t="n"/>
      <c r="AJ1853" s="19" t="n"/>
    </row>
    <row r="1854">
      <c r="A1854" s="16" t="inlineStr">
        <is>
          <t>PPL</t>
        </is>
      </c>
      <c r="B1854" s="16" t="inlineStr">
        <is>
          <t>Prakash Pipes Ltd.</t>
        </is>
      </c>
      <c r="C1854" s="16" t="inlineStr">
        <is>
          <t>Plastic Products</t>
        </is>
      </c>
      <c r="D1854" s="16" t="inlineStr">
        <is>
          <t>General Industrials</t>
        </is>
      </c>
      <c r="E1854" s="16" t="inlineStr">
        <is>
          <t>INE050001010</t>
        </is>
      </c>
      <c r="F1854" s="17" t="n">
        <v>626.66</v>
      </c>
      <c r="G1854" s="18" t="n">
        <v>262</v>
      </c>
      <c r="H1854" s="19" t="n">
        <v>0.0179</v>
      </c>
      <c r="I1854" s="20" t="n">
        <v>52</v>
      </c>
      <c r="J1854" s="16" t="inlineStr">
        <is>
          <t>red</t>
        </is>
      </c>
      <c r="K1854" s="20" t="n">
        <v>3</v>
      </c>
      <c r="L1854" s="18" t="n">
        <v>33.01</v>
      </c>
      <c r="M1854" s="18" t="n">
        <v>260.97</v>
      </c>
      <c r="N1854" s="18" t="n">
        <v>270.04</v>
      </c>
      <c r="O1854" s="18" t="n">
        <v>231.03</v>
      </c>
      <c r="P1854" s="18" t="n">
        <v>329.47</v>
      </c>
      <c r="Q1854" s="18" t="n">
        <v>164.15</v>
      </c>
      <c r="R1854" s="21">
        <f>IF(OR(G1854="",P1854=""),"",G1854/P1854-1)</f>
        <v/>
      </c>
      <c r="S1854" s="19" t="n">
        <v>0.8937</v>
      </c>
      <c r="T1854" s="22" t="n">
        <v>-0.008500000000000001</v>
      </c>
      <c r="U1854" s="16" t="inlineStr">
        <is>
          <t>No</t>
        </is>
      </c>
      <c r="V1854" s="16" t="inlineStr">
        <is>
          <t>No</t>
        </is>
      </c>
      <c r="W1854" s="16" t="inlineStr">
        <is>
          <t>Yes</t>
        </is>
      </c>
      <c r="X1854" s="16" t="inlineStr">
        <is>
          <t>Yes</t>
        </is>
      </c>
      <c r="Y1854" s="20" t="n">
        <v>39</v>
      </c>
      <c r="Z1854" s="19" t="n">
        <v>0.1689</v>
      </c>
      <c r="AA1854" s="18" t="n">
        <v>40</v>
      </c>
      <c r="AB1854" s="16" t="inlineStr">
        <is>
          <t>Weak</t>
        </is>
      </c>
      <c r="AC1854" s="16" t="inlineStr">
        <is>
          <t>No</t>
        </is>
      </c>
      <c r="AD1854" s="19" t="n">
        <v>0.1744</v>
      </c>
      <c r="AE1854" s="19" t="n">
        <v>0.2165</v>
      </c>
      <c r="AF1854" s="19" t="n">
        <v>-0.0984</v>
      </c>
      <c r="AG1854" s="19" t="n">
        <v>0.0401</v>
      </c>
      <c r="AH1854" s="23" t="n">
        <v>0.04</v>
      </c>
      <c r="AI1854" s="23" t="n">
        <v>5.11</v>
      </c>
      <c r="AJ1854" s="19" t="n">
        <v>0.1183</v>
      </c>
    </row>
    <row r="1855">
      <c r="A1855" s="16" t="inlineStr">
        <is>
          <t>ARTSON</t>
        </is>
      </c>
      <c r="B1855" s="16" t="inlineStr">
        <is>
          <t>Artson Ltd.</t>
        </is>
      </c>
      <c r="C1855" s="16" t="inlineStr">
        <is>
          <t>Industrial Machinery</t>
        </is>
      </c>
      <c r="D1855" s="16" t="inlineStr">
        <is>
          <t>General Industrials</t>
        </is>
      </c>
      <c r="E1855" s="16" t="inlineStr">
        <is>
          <t>INE133D01023</t>
        </is>
      </c>
      <c r="F1855" s="17" t="n">
        <v>624.6900000000001</v>
      </c>
      <c r="G1855" s="18" t="n">
        <v>169.2</v>
      </c>
      <c r="H1855" s="19" t="n">
        <v>0.05</v>
      </c>
      <c r="I1855" s="20" t="n">
        <v>51</v>
      </c>
      <c r="J1855" s="16" t="inlineStr">
        <is>
          <t>red</t>
        </is>
      </c>
      <c r="K1855" s="20" t="n">
        <v>52</v>
      </c>
      <c r="L1855" s="18" t="n">
        <v>63.84</v>
      </c>
      <c r="M1855" s="18" t="n">
        <v>154.52</v>
      </c>
      <c r="N1855" s="18" t="n">
        <v>156.44</v>
      </c>
      <c r="O1855" s="18" t="n">
        <v>153.72</v>
      </c>
      <c r="P1855" s="18" t="n">
        <v>216.85</v>
      </c>
      <c r="Q1855" s="18" t="n">
        <v>127</v>
      </c>
      <c r="R1855" s="21">
        <f>IF(OR(G1855="",P1855=""),"",G1855/P1855-1)</f>
        <v/>
      </c>
      <c r="S1855" s="19" t="n">
        <v>2.6211</v>
      </c>
      <c r="T1855" s="22" t="n">
        <v>-0.009399999999999999</v>
      </c>
      <c r="U1855" s="16" t="inlineStr">
        <is>
          <t>No</t>
        </is>
      </c>
      <c r="V1855" s="16" t="inlineStr">
        <is>
          <t>Yes</t>
        </is>
      </c>
      <c r="W1855" s="16" t="inlineStr">
        <is>
          <t>Yes</t>
        </is>
      </c>
      <c r="X1855" s="16" t="inlineStr">
        <is>
          <t>Yes</t>
        </is>
      </c>
      <c r="Y1855" s="20" t="n">
        <v>56</v>
      </c>
      <c r="Z1855" s="19" t="n">
        <v>0.0177</v>
      </c>
      <c r="AA1855" s="18" t="n"/>
      <c r="AB1855" s="16" t="n"/>
      <c r="AC1855" s="16" t="inlineStr">
        <is>
          <t>No</t>
        </is>
      </c>
      <c r="AD1855" s="19" t="n"/>
      <c r="AE1855" s="19" t="n"/>
      <c r="AF1855" s="19" t="n"/>
      <c r="AG1855" s="19" t="n"/>
      <c r="AH1855" s="23" t="n"/>
      <c r="AI1855" s="23" t="n"/>
      <c r="AJ1855" s="19" t="n"/>
    </row>
    <row r="1856">
      <c r="A1856" s="16" t="inlineStr">
        <is>
          <t>HARDWYN</t>
        </is>
      </c>
      <c r="B1856" s="16" t="inlineStr">
        <is>
          <t>Hardwyn India Ltd.</t>
        </is>
      </c>
      <c r="C1856" s="16" t="inlineStr">
        <is>
          <t>Household Products</t>
        </is>
      </c>
      <c r="D1856" s="16" t="inlineStr">
        <is>
          <t>Consumer Durables</t>
        </is>
      </c>
      <c r="E1856" s="16" t="inlineStr">
        <is>
          <t>INE626Z01029</t>
        </is>
      </c>
      <c r="F1856" s="17" t="n">
        <v>624.3099999999999</v>
      </c>
      <c r="G1856" s="18" t="n">
        <v>9.130000000000001</v>
      </c>
      <c r="H1856" s="19" t="n">
        <v>0.0022</v>
      </c>
      <c r="I1856" s="20" t="n">
        <v>3</v>
      </c>
      <c r="J1856" s="16" t="inlineStr">
        <is>
          <t>red</t>
        </is>
      </c>
      <c r="K1856" s="20" t="n">
        <v>38</v>
      </c>
      <c r="L1856" s="18" t="n">
        <v>11.44</v>
      </c>
      <c r="M1856" s="18" t="n">
        <v>9.07</v>
      </c>
      <c r="N1856" s="18" t="n">
        <v>12.07</v>
      </c>
      <c r="O1856" s="18" t="n">
        <v>13.82</v>
      </c>
      <c r="P1856" s="18" t="n">
        <v>19.49</v>
      </c>
      <c r="Q1856" s="18" t="n">
        <v>8.619999999999999</v>
      </c>
      <c r="R1856" s="21">
        <f>IF(OR(G1856="",P1856=""),"",G1856/P1856-1)</f>
        <v/>
      </c>
      <c r="S1856" s="19" t="n">
        <v>0.675</v>
      </c>
      <c r="T1856" s="22" t="n">
        <v>-0.0073</v>
      </c>
      <c r="U1856" s="16" t="inlineStr">
        <is>
          <t>No</t>
        </is>
      </c>
      <c r="V1856" s="16" t="inlineStr">
        <is>
          <t>No</t>
        </is>
      </c>
      <c r="W1856" s="16" t="inlineStr">
        <is>
          <t>Yes</t>
        </is>
      </c>
      <c r="X1856" s="16" t="inlineStr">
        <is>
          <t>No</t>
        </is>
      </c>
      <c r="Y1856" s="20" t="n">
        <v>11</v>
      </c>
      <c r="Z1856" s="19" t="n">
        <v>-0.1261</v>
      </c>
      <c r="AA1856" s="18" t="n">
        <v>38.62</v>
      </c>
      <c r="AB1856" s="16" t="inlineStr">
        <is>
          <t>Weak</t>
        </is>
      </c>
      <c r="AC1856" s="16" t="inlineStr">
        <is>
          <t>No</t>
        </is>
      </c>
      <c r="AD1856" s="19" t="n">
        <v>0.0293</v>
      </c>
      <c r="AE1856" s="19" t="n">
        <v>0.0436</v>
      </c>
      <c r="AF1856" s="19" t="n">
        <v>-0.2873</v>
      </c>
      <c r="AG1856" s="19" t="n">
        <v>0.07290000000000001</v>
      </c>
      <c r="AH1856" s="23" t="n">
        <v>0.02</v>
      </c>
      <c r="AI1856" s="23" t="n">
        <v>40.29</v>
      </c>
      <c r="AJ1856" s="19" t="n">
        <v>0</v>
      </c>
    </row>
    <row r="1857">
      <c r="A1857" s="16" t="inlineStr">
        <is>
          <t>DHUNINV</t>
        </is>
      </c>
      <c r="B1857" s="16" t="inlineStr">
        <is>
          <t>Dhunseri Investments Ltd.</t>
        </is>
      </c>
      <c r="C1857" s="16" t="inlineStr">
        <is>
          <t>Other Financial Services</t>
        </is>
      </c>
      <c r="D1857" s="16" t="inlineStr">
        <is>
          <t>Banking and Finance</t>
        </is>
      </c>
      <c r="E1857" s="16" t="inlineStr">
        <is>
          <t>INE320L01011</t>
        </is>
      </c>
      <c r="F1857" s="17" t="n">
        <v>621.4</v>
      </c>
      <c r="G1857" s="18" t="n">
        <v>1019.15</v>
      </c>
      <c r="H1857" s="19" t="n">
        <v>-0.0259</v>
      </c>
      <c r="I1857" s="20" t="n">
        <v>50</v>
      </c>
      <c r="J1857" s="16" t="inlineStr">
        <is>
          <t>red</t>
        </is>
      </c>
      <c r="K1857" s="20" t="n">
        <v>330</v>
      </c>
      <c r="L1857" s="18" t="n">
        <v>50.48</v>
      </c>
      <c r="M1857" s="18" t="n">
        <v>1030.85</v>
      </c>
      <c r="N1857" s="18" t="n">
        <v>943.38</v>
      </c>
      <c r="O1857" s="18" t="n">
        <v>966.35</v>
      </c>
      <c r="P1857" s="18" t="n">
        <v>1459.78</v>
      </c>
      <c r="Q1857" s="18" t="n">
        <v>679.35</v>
      </c>
      <c r="R1857" s="21">
        <f>IF(OR(G1857="",P1857=""),"",G1857/P1857-1)</f>
        <v/>
      </c>
      <c r="S1857" s="19" t="n">
        <v>0.2601</v>
      </c>
      <c r="T1857" s="22" t="n">
        <v>-0.0388</v>
      </c>
      <c r="U1857" s="16" t="inlineStr">
        <is>
          <t>No</t>
        </is>
      </c>
      <c r="V1857" s="16" t="inlineStr">
        <is>
          <t>Yes</t>
        </is>
      </c>
      <c r="W1857" s="16" t="inlineStr">
        <is>
          <t>No</t>
        </is>
      </c>
      <c r="X1857" s="16" t="inlineStr">
        <is>
          <t>No</t>
        </is>
      </c>
      <c r="Y1857" s="20" t="n">
        <v>376</v>
      </c>
      <c r="Z1857" s="19" t="n">
        <v>-0.0238</v>
      </c>
      <c r="AA1857" s="18" t="n">
        <v>23.56</v>
      </c>
      <c r="AB1857" s="16" t="inlineStr">
        <is>
          <t>Poor</t>
        </is>
      </c>
      <c r="AC1857" s="16" t="inlineStr">
        <is>
          <t>Yes</t>
        </is>
      </c>
      <c r="AD1857" s="19" t="n">
        <v>0.0198</v>
      </c>
      <c r="AE1857" s="19" t="n">
        <v>0.0516</v>
      </c>
      <c r="AF1857" s="19" t="n">
        <v>-0.2591</v>
      </c>
      <c r="AG1857" s="19" t="n">
        <v>0.24</v>
      </c>
      <c r="AH1857" s="23" t="n">
        <v>0.35</v>
      </c>
      <c r="AI1857" s="23" t="n">
        <v>0.24</v>
      </c>
      <c r="AJ1857" s="19" t="n">
        <v>0.6095</v>
      </c>
    </row>
    <row r="1858">
      <c r="A1858" s="16" t="inlineStr">
        <is>
          <t>HMVL</t>
        </is>
      </c>
      <c r="B1858" s="16" t="inlineStr">
        <is>
          <t>Hindustan Media Ventures Ltd.</t>
        </is>
      </c>
      <c r="C1858" s="16" t="inlineStr">
        <is>
          <t>Publishing</t>
        </is>
      </c>
      <c r="D1858" s="16" t="inlineStr">
        <is>
          <t>Commercial Services &amp; Supplies</t>
        </is>
      </c>
      <c r="E1858" s="16" t="inlineStr">
        <is>
          <t>INE871K01015</t>
        </is>
      </c>
      <c r="F1858" s="17" t="n">
        <v>620.9</v>
      </c>
      <c r="G1858" s="18" t="n">
        <v>84.28</v>
      </c>
      <c r="H1858" s="19" t="n">
        <v>-0.0256</v>
      </c>
      <c r="I1858" s="20" t="n">
        <v>54</v>
      </c>
      <c r="J1858" s="16" t="inlineStr">
        <is>
          <t>red</t>
        </is>
      </c>
      <c r="K1858" s="20" t="n">
        <v>2</v>
      </c>
      <c r="L1858" s="18" t="n">
        <v>31.36</v>
      </c>
      <c r="M1858" s="18" t="n">
        <v>87.40000000000001</v>
      </c>
      <c r="N1858" s="18" t="n">
        <v>91.48</v>
      </c>
      <c r="O1858" s="18" t="n">
        <v>74.78</v>
      </c>
      <c r="P1858" s="18" t="n">
        <v>104.45</v>
      </c>
      <c r="Q1858" s="18" t="n">
        <v>55.93</v>
      </c>
      <c r="R1858" s="21">
        <f>IF(OR(G1858="",P1858=""),"",G1858/P1858-1)</f>
        <v/>
      </c>
      <c r="S1858" s="19" t="n">
        <v>0.2022</v>
      </c>
      <c r="T1858" s="22" t="n">
        <v>0.018</v>
      </c>
      <c r="U1858" s="16" t="inlineStr">
        <is>
          <t>Yes</t>
        </is>
      </c>
      <c r="V1858" s="16" t="inlineStr">
        <is>
          <t>No</t>
        </is>
      </c>
      <c r="W1858" s="16" t="inlineStr">
        <is>
          <t>No</t>
        </is>
      </c>
      <c r="X1858" s="16" t="inlineStr">
        <is>
          <t>Yes</t>
        </is>
      </c>
      <c r="Y1858" s="20" t="n">
        <v>51</v>
      </c>
      <c r="Z1858" s="19" t="n">
        <v>0.2233</v>
      </c>
      <c r="AA1858" s="18" t="n">
        <v>47.03</v>
      </c>
      <c r="AB1858" s="16" t="inlineStr">
        <is>
          <t>Average</t>
        </is>
      </c>
      <c r="AC1858" s="16" t="inlineStr">
        <is>
          <t>No</t>
        </is>
      </c>
      <c r="AD1858" s="19" t="n">
        <v>0.0294</v>
      </c>
      <c r="AE1858" s="19" t="n">
        <v>0.0726</v>
      </c>
      <c r="AF1858" s="19" t="n">
        <v>2.5698</v>
      </c>
      <c r="AG1858" s="19" t="n">
        <v>0.0357</v>
      </c>
      <c r="AH1858" s="23" t="n">
        <v>0.05</v>
      </c>
      <c r="AI1858" s="23" t="n">
        <v>6.66</v>
      </c>
      <c r="AJ1858" s="19" t="n">
        <v>0.0042</v>
      </c>
    </row>
    <row r="1859">
      <c r="A1859" s="16" t="inlineStr">
        <is>
          <t>AHLWEST</t>
        </is>
      </c>
      <c r="B1859" s="16" t="inlineStr">
        <is>
          <t>Asian Hotels (West) Ltd.</t>
        </is>
      </c>
      <c r="C1859" s="16" t="inlineStr">
        <is>
          <t>Hotels</t>
        </is>
      </c>
      <c r="D1859" s="16" t="inlineStr">
        <is>
          <t>Hotels Restaurants &amp; Tourism</t>
        </is>
      </c>
      <c r="E1859" s="16" t="inlineStr">
        <is>
          <t>INE915K01010</t>
        </is>
      </c>
      <c r="F1859" s="17" t="n">
        <v>618.5</v>
      </c>
      <c r="G1859" s="18" t="n">
        <v>530.85</v>
      </c>
      <c r="H1859" s="19" t="n">
        <v>0.0367</v>
      </c>
      <c r="I1859" s="20" t="n">
        <v>98</v>
      </c>
      <c r="J1859" s="16" t="inlineStr">
        <is>
          <t>green</t>
        </is>
      </c>
      <c r="K1859" s="20" t="n">
        <v>107</v>
      </c>
      <c r="L1859" s="18" t="n">
        <v>42.05</v>
      </c>
      <c r="M1859" s="18" t="n">
        <v>526.84</v>
      </c>
      <c r="N1859" s="18" t="n">
        <v>554.3</v>
      </c>
      <c r="O1859" s="18" t="n">
        <v>341.27</v>
      </c>
      <c r="P1859" s="18" t="n">
        <v>715.65</v>
      </c>
      <c r="Q1859" s="18" t="n">
        <v>143.85</v>
      </c>
      <c r="R1859" s="21">
        <f>IF(OR(G1859="",P1859=""),"",G1859/P1859-1)</f>
        <v/>
      </c>
      <c r="S1859" s="19" t="n">
        <v>0.785</v>
      </c>
      <c r="T1859" s="22" t="n">
        <v>0.1303</v>
      </c>
      <c r="U1859" s="16" t="inlineStr">
        <is>
          <t>Yes</t>
        </is>
      </c>
      <c r="V1859" s="16" t="inlineStr">
        <is>
          <t>No</t>
        </is>
      </c>
      <c r="W1859" s="16" t="inlineStr">
        <is>
          <t>Yes</t>
        </is>
      </c>
      <c r="X1859" s="16" t="inlineStr">
        <is>
          <t>Yes</t>
        </is>
      </c>
      <c r="Y1859" s="20" t="n">
        <v>108</v>
      </c>
      <c r="Z1859" s="19" t="n">
        <v>0.6242</v>
      </c>
      <c r="AA1859" s="18" t="n">
        <v>52.3</v>
      </c>
      <c r="AB1859" s="16" t="inlineStr">
        <is>
          <t>Good</t>
        </is>
      </c>
      <c r="AC1859" s="16" t="inlineStr">
        <is>
          <t>No</t>
        </is>
      </c>
      <c r="AD1859" s="19" t="n">
        <v>-1.7978</v>
      </c>
      <c r="AE1859" s="19" t="n">
        <v>0.1545</v>
      </c>
      <c r="AF1859" s="19" t="n">
        <v>1.464</v>
      </c>
      <c r="AG1859" s="19" t="n">
        <v>0.0851</v>
      </c>
      <c r="AH1859" s="23" t="n">
        <v>-61.99</v>
      </c>
      <c r="AI1859" s="23" t="n">
        <v>0.52</v>
      </c>
      <c r="AJ1859" s="19" t="n">
        <v>0.0003</v>
      </c>
    </row>
    <row r="1860">
      <c r="A1860" s="16" t="inlineStr">
        <is>
          <t>SNOWMAN</t>
        </is>
      </c>
      <c r="B1860" s="16" t="inlineStr">
        <is>
          <t>Snowman Logistics Ltd.</t>
        </is>
      </c>
      <c r="C1860" s="16" t="inlineStr">
        <is>
          <t>Warehousing &amp; Logistics</t>
        </is>
      </c>
      <c r="D1860" s="16" t="inlineStr">
        <is>
          <t>Transportation</t>
        </is>
      </c>
      <c r="E1860" s="16" t="inlineStr">
        <is>
          <t>INE734N01019</t>
        </is>
      </c>
      <c r="F1860" s="17" t="n">
        <v>615.72</v>
      </c>
      <c r="G1860" s="18" t="n">
        <v>36.85</v>
      </c>
      <c r="H1860" s="19" t="n">
        <v>0.0121</v>
      </c>
      <c r="I1860" s="20" t="n">
        <v>23</v>
      </c>
      <c r="J1860" s="16" t="inlineStr">
        <is>
          <t>red</t>
        </is>
      </c>
      <c r="K1860" s="20" t="n">
        <v>484</v>
      </c>
      <c r="L1860" s="18" t="n">
        <v>33.94</v>
      </c>
      <c r="M1860" s="18" t="n">
        <v>36.87</v>
      </c>
      <c r="N1860" s="18" t="n">
        <v>37.45</v>
      </c>
      <c r="O1860" s="18" t="n">
        <v>38.66</v>
      </c>
      <c r="P1860" s="18" t="n">
        <v>58.21</v>
      </c>
      <c r="Q1860" s="18" t="n">
        <v>30.7</v>
      </c>
      <c r="R1860" s="21">
        <f>IF(OR(G1860="",P1860=""),"",G1860/P1860-1)</f>
        <v/>
      </c>
      <c r="S1860" s="19" t="n">
        <v>0.2961</v>
      </c>
      <c r="T1860" s="22" t="n">
        <v>-0.0267</v>
      </c>
      <c r="U1860" s="16" t="inlineStr">
        <is>
          <t>No</t>
        </is>
      </c>
      <c r="V1860" s="16" t="inlineStr">
        <is>
          <t>No</t>
        </is>
      </c>
      <c r="W1860" s="16" t="inlineStr">
        <is>
          <t>No</t>
        </is>
      </c>
      <c r="X1860" s="16" t="inlineStr">
        <is>
          <t>No</t>
        </is>
      </c>
      <c r="Y1860" s="20" t="n">
        <v>435</v>
      </c>
      <c r="Z1860" s="19" t="n">
        <v>-0.0312</v>
      </c>
      <c r="AA1860" s="18" t="n">
        <v>20.54</v>
      </c>
      <c r="AB1860" s="16" t="inlineStr">
        <is>
          <t>Poor</t>
        </is>
      </c>
      <c r="AC1860" s="16" t="inlineStr">
        <is>
          <t>No</t>
        </is>
      </c>
      <c r="AD1860" s="19" t="n">
        <v>0.0175</v>
      </c>
      <c r="AE1860" s="19" t="n">
        <v>0.049</v>
      </c>
      <c r="AF1860" s="19" t="n">
        <v>-0.3381</v>
      </c>
      <c r="AG1860" s="19" t="n">
        <v>0.1322</v>
      </c>
      <c r="AH1860" s="23" t="n">
        <v>0.78</v>
      </c>
      <c r="AI1860" s="23" t="n">
        <v>1.07</v>
      </c>
      <c r="AJ1860" s="19" t="n">
        <v>0.0001</v>
      </c>
    </row>
    <row r="1861">
      <c r="A1861" s="16" t="inlineStr">
        <is>
          <t>ORIENTBELL</t>
        </is>
      </c>
      <c r="B1861" s="16" t="inlineStr">
        <is>
          <t>Orient Bell Ltd.</t>
        </is>
      </c>
      <c r="C1861" s="16" t="inlineStr">
        <is>
          <t>Ceramics</t>
        </is>
      </c>
      <c r="D1861" s="16" t="inlineStr">
        <is>
          <t>Consumer Durables</t>
        </is>
      </c>
      <c r="E1861" s="16" t="inlineStr">
        <is>
          <t>INE607D01018</t>
        </is>
      </c>
      <c r="F1861" s="17" t="n">
        <v>615.45</v>
      </c>
      <c r="G1861" s="18" t="n">
        <v>420.1</v>
      </c>
      <c r="H1861" s="19" t="n">
        <v>0.0181</v>
      </c>
      <c r="I1861" s="20" t="n">
        <v>83</v>
      </c>
      <c r="J1861" s="16" t="inlineStr">
        <is>
          <t>green</t>
        </is>
      </c>
      <c r="K1861" s="20" t="n">
        <v>2</v>
      </c>
      <c r="L1861" s="18" t="n">
        <v>85.02</v>
      </c>
      <c r="M1861" s="18" t="n">
        <v>393.61</v>
      </c>
      <c r="N1861" s="18" t="n">
        <v>338.51</v>
      </c>
      <c r="O1861" s="18" t="n">
        <v>305.11</v>
      </c>
      <c r="P1861" s="18" t="n">
        <v>420.1</v>
      </c>
      <c r="Q1861" s="18" t="n">
        <v>251.55</v>
      </c>
      <c r="R1861" s="21">
        <f>IF(OR(G1861="",P1861=""),"",G1861/P1861-1)</f>
        <v/>
      </c>
      <c r="S1861" s="19" t="n">
        <v>1.6791</v>
      </c>
      <c r="T1861" s="22" t="n">
        <v>0.0266</v>
      </c>
      <c r="U1861" s="16" t="inlineStr">
        <is>
          <t>Yes</t>
        </is>
      </c>
      <c r="V1861" s="16" t="inlineStr">
        <is>
          <t>Yes</t>
        </is>
      </c>
      <c r="W1861" s="16" t="inlineStr">
        <is>
          <t>Yes</t>
        </is>
      </c>
      <c r="X1861" s="16" t="inlineStr">
        <is>
          <t>Yes</t>
        </is>
      </c>
      <c r="Y1861" s="20" t="n">
        <v>86</v>
      </c>
      <c r="Z1861" s="19" t="n">
        <v>0.1095</v>
      </c>
      <c r="AA1861" s="18" t="n"/>
      <c r="AB1861" s="16" t="n"/>
      <c r="AC1861" s="16" t="inlineStr">
        <is>
          <t>No</t>
        </is>
      </c>
      <c r="AD1861" s="19" t="n"/>
      <c r="AE1861" s="19" t="n"/>
      <c r="AF1861" s="19" t="n"/>
      <c r="AG1861" s="19" t="n"/>
      <c r="AH1861" s="23" t="n"/>
      <c r="AI1861" s="23" t="n"/>
      <c r="AJ1861" s="19" t="n"/>
    </row>
    <row r="1862">
      <c r="A1862" s="16" t="inlineStr">
        <is>
          <t>SREEL</t>
        </is>
      </c>
      <c r="B1862" s="16" t="inlineStr">
        <is>
          <t>Sreeleathers Ltd.</t>
        </is>
      </c>
      <c r="C1862" s="16" t="inlineStr">
        <is>
          <t>Footwear</t>
        </is>
      </c>
      <c r="D1862" s="16" t="inlineStr">
        <is>
          <t>Retailing</t>
        </is>
      </c>
      <c r="E1862" s="16" t="inlineStr">
        <is>
          <t>INE099F01013</t>
        </is>
      </c>
      <c r="F1862" s="17" t="n">
        <v>614.8099999999999</v>
      </c>
      <c r="G1862" s="18" t="n">
        <v>265.52</v>
      </c>
      <c r="H1862" s="19" t="n">
        <v>0.0253</v>
      </c>
      <c r="I1862" s="20" t="n">
        <v>73</v>
      </c>
      <c r="J1862" s="16" t="inlineStr">
        <is>
          <t>amber</t>
        </is>
      </c>
      <c r="K1862" s="20" t="n">
        <v>18</v>
      </c>
      <c r="L1862" s="18" t="n">
        <v>53.16</v>
      </c>
      <c r="M1862" s="18" t="n">
        <v>256.05</v>
      </c>
      <c r="N1862" s="18" t="n">
        <v>228.44</v>
      </c>
      <c r="O1862" s="18" t="n">
        <v>209.17</v>
      </c>
      <c r="P1862" s="18" t="n">
        <v>265.52</v>
      </c>
      <c r="Q1862" s="18" t="n">
        <v>166.85</v>
      </c>
      <c r="R1862" s="21">
        <f>IF(OR(G1862="",P1862=""),"",G1862/P1862-1)</f>
        <v/>
      </c>
      <c r="S1862" s="19" t="n">
        <v>1.0386</v>
      </c>
      <c r="T1862" s="22" t="n">
        <v>0.0113</v>
      </c>
      <c r="U1862" s="16" t="inlineStr">
        <is>
          <t>Yes</t>
        </is>
      </c>
      <c r="V1862" s="16" t="inlineStr">
        <is>
          <t>Yes</t>
        </is>
      </c>
      <c r="W1862" s="16" t="inlineStr">
        <is>
          <t>Yes</t>
        </is>
      </c>
      <c r="X1862" s="16" t="inlineStr">
        <is>
          <t>Yes</t>
        </is>
      </c>
      <c r="Y1862" s="20" t="n">
        <v>27</v>
      </c>
      <c r="Z1862" s="19" t="n">
        <v>0.09210000000000002</v>
      </c>
      <c r="AA1862" s="18" t="n">
        <v>40.12</v>
      </c>
      <c r="AB1862" s="16" t="inlineStr">
        <is>
          <t>Average</t>
        </is>
      </c>
      <c r="AC1862" s="16" t="inlineStr">
        <is>
          <t>No</t>
        </is>
      </c>
      <c r="AD1862" s="19" t="n">
        <v>0.05690000000000001</v>
      </c>
      <c r="AE1862" s="19" t="n">
        <v>0.07820000000000001</v>
      </c>
      <c r="AF1862" s="19" t="n">
        <v>0.05400000000000001</v>
      </c>
      <c r="AG1862" s="19" t="n">
        <v>0.0765</v>
      </c>
      <c r="AH1862" s="23" t="n">
        <v>0</v>
      </c>
      <c r="AI1862" s="23" t="n">
        <v>1.66</v>
      </c>
      <c r="AJ1862" s="19" t="n">
        <v>0</v>
      </c>
    </row>
    <row r="1863">
      <c r="A1863" s="16" t="inlineStr">
        <is>
          <t>KANPRPLA</t>
        </is>
      </c>
      <c r="B1863" s="16" t="inlineStr">
        <is>
          <t>Kanpur Plastipack Ltd.</t>
        </is>
      </c>
      <c r="C1863" s="16" t="inlineStr">
        <is>
          <t>Containers &amp; Packaging</t>
        </is>
      </c>
      <c r="D1863" s="16" t="inlineStr">
        <is>
          <t>Commercial Services &amp; Supplies</t>
        </is>
      </c>
      <c r="E1863" s="16" t="inlineStr">
        <is>
          <t>INE694E01014</t>
        </is>
      </c>
      <c r="F1863" s="17" t="n">
        <v>614.8</v>
      </c>
      <c r="G1863" s="18" t="n">
        <v>250.2</v>
      </c>
      <c r="H1863" s="19" t="n">
        <v>-0.0242</v>
      </c>
      <c r="I1863" s="20" t="n">
        <v>74</v>
      </c>
      <c r="J1863" s="16" t="inlineStr">
        <is>
          <t>amber</t>
        </is>
      </c>
      <c r="K1863" s="20" t="n">
        <v>3</v>
      </c>
      <c r="L1863" s="18" t="n">
        <v>44.42</v>
      </c>
      <c r="M1863" s="18" t="n">
        <v>261.74</v>
      </c>
      <c r="N1863" s="18" t="n">
        <v>223.68</v>
      </c>
      <c r="O1863" s="18" t="n">
        <v>197.92</v>
      </c>
      <c r="P1863" s="18" t="n">
        <v>277.19</v>
      </c>
      <c r="Q1863" s="18" t="n">
        <v>155.86</v>
      </c>
      <c r="R1863" s="21">
        <f>IF(OR(G1863="",P1863=""),"",G1863/P1863-1)</f>
        <v/>
      </c>
      <c r="S1863" s="19" t="n">
        <v>0.1584</v>
      </c>
      <c r="T1863" s="22" t="n">
        <v>0.0259</v>
      </c>
      <c r="U1863" s="16" t="inlineStr">
        <is>
          <t>Yes</t>
        </is>
      </c>
      <c r="V1863" s="16" t="inlineStr">
        <is>
          <t>Yes</t>
        </is>
      </c>
      <c r="W1863" s="16" t="inlineStr">
        <is>
          <t>No</t>
        </is>
      </c>
      <c r="X1863" s="16" t="inlineStr">
        <is>
          <t>Yes</t>
        </is>
      </c>
      <c r="Y1863" s="20" t="n">
        <v>63</v>
      </c>
      <c r="Z1863" s="19" t="n">
        <v>0.1302</v>
      </c>
      <c r="AA1863" s="18" t="n">
        <v>48.68</v>
      </c>
      <c r="AB1863" s="16" t="inlineStr">
        <is>
          <t>Average</t>
        </is>
      </c>
      <c r="AC1863" s="16" t="inlineStr">
        <is>
          <t>No</t>
        </is>
      </c>
      <c r="AD1863" s="19" t="n">
        <v>0.06849999999999999</v>
      </c>
      <c r="AE1863" s="19" t="n">
        <v>0.1103</v>
      </c>
      <c r="AF1863" s="19" t="n">
        <v>4.601</v>
      </c>
      <c r="AG1863" s="19" t="n">
        <v>0.1499</v>
      </c>
      <c r="AH1863" s="23" t="n">
        <v>0.42</v>
      </c>
      <c r="AI1863" s="23" t="n">
        <v>3.42</v>
      </c>
      <c r="AJ1863" s="19" t="n">
        <v>0.0414</v>
      </c>
    </row>
    <row r="1864">
      <c r="A1864" s="16" t="inlineStr">
        <is>
          <t>GLOBAL</t>
        </is>
      </c>
      <c r="B1864" s="16" t="inlineStr">
        <is>
          <t>Global Education Ltd.</t>
        </is>
      </c>
      <c r="C1864" s="16" t="inlineStr">
        <is>
          <t>Education</t>
        </is>
      </c>
      <c r="D1864" s="16" t="inlineStr">
        <is>
          <t>Diversified Consumer Services</t>
        </is>
      </c>
      <c r="E1864" s="16" t="inlineStr">
        <is>
          <t>INE291W01037</t>
        </is>
      </c>
      <c r="F1864" s="17" t="n">
        <v>613.11</v>
      </c>
      <c r="G1864" s="18" t="n">
        <v>120.45</v>
      </c>
      <c r="H1864" s="19" t="n">
        <v>0.036</v>
      </c>
      <c r="I1864" s="20" t="n">
        <v>79</v>
      </c>
      <c r="J1864" s="16" t="inlineStr">
        <is>
          <t>amber</t>
        </is>
      </c>
      <c r="K1864" s="20" t="n">
        <v>25</v>
      </c>
      <c r="L1864" s="18" t="n">
        <v>71.34999999999999</v>
      </c>
      <c r="M1864" s="18" t="n">
        <v>112.78</v>
      </c>
      <c r="N1864" s="18" t="n">
        <v>104.6</v>
      </c>
      <c r="O1864" s="18" t="n">
        <v>97.81</v>
      </c>
      <c r="P1864" s="18" t="n">
        <v>120.45</v>
      </c>
      <c r="Q1864" s="18" t="n">
        <v>55.58</v>
      </c>
      <c r="R1864" s="21">
        <f>IF(OR(G1864="",P1864=""),"",G1864/P1864-1)</f>
        <v/>
      </c>
      <c r="S1864" s="19" t="n">
        <v>4.6978</v>
      </c>
      <c r="T1864" s="22" t="n">
        <v>0.0421</v>
      </c>
      <c r="U1864" s="16" t="inlineStr">
        <is>
          <t>Yes</t>
        </is>
      </c>
      <c r="V1864" s="16" t="inlineStr">
        <is>
          <t>Yes</t>
        </is>
      </c>
      <c r="W1864" s="16" t="inlineStr">
        <is>
          <t>Yes</t>
        </is>
      </c>
      <c r="X1864" s="16" t="inlineStr">
        <is>
          <t>Yes</t>
        </is>
      </c>
      <c r="Y1864" s="20" t="n">
        <v>279</v>
      </c>
      <c r="Z1864" s="19" t="n">
        <v>0.0694</v>
      </c>
      <c r="AA1864" s="18" t="n">
        <v>40</v>
      </c>
      <c r="AB1864" s="16" t="inlineStr">
        <is>
          <t>Weak</t>
        </is>
      </c>
      <c r="AC1864" s="16" t="inlineStr">
        <is>
          <t>No</t>
        </is>
      </c>
      <c r="AD1864" s="19" t="n">
        <v>0.2794</v>
      </c>
      <c r="AE1864" s="19" t="n">
        <v>0.3693</v>
      </c>
      <c r="AF1864" s="19" t="n">
        <v>-0.2234</v>
      </c>
      <c r="AG1864" s="19" t="n">
        <v>0.1567</v>
      </c>
      <c r="AH1864" s="23" t="n">
        <v>0</v>
      </c>
      <c r="AI1864" s="23" t="n">
        <v>5.26</v>
      </c>
      <c r="AJ1864" s="19" t="n">
        <v>0</v>
      </c>
    </row>
    <row r="1865">
      <c r="A1865" s="16" t="inlineStr">
        <is>
          <t>VIRAT</t>
        </is>
      </c>
      <c r="B1865" s="16" t="inlineStr">
        <is>
          <t>Virat Industries Ltd.</t>
        </is>
      </c>
      <c r="C1865" s="16" t="inlineStr">
        <is>
          <t>Other Apparels &amp; Accessories</t>
        </is>
      </c>
      <c r="D1865" s="16" t="inlineStr">
        <is>
          <t>Textiles Apparels &amp; Accessories</t>
        </is>
      </c>
      <c r="E1865" s="16" t="inlineStr">
        <is>
          <t>INE467D01017</t>
        </is>
      </c>
      <c r="F1865" s="17" t="n">
        <v>612.8099999999999</v>
      </c>
      <c r="G1865" s="18" t="n">
        <v>421.95</v>
      </c>
      <c r="H1865" s="19" t="n">
        <v>-0.0138</v>
      </c>
      <c r="I1865" s="20" t="n">
        <v>18</v>
      </c>
      <c r="J1865" s="16" t="inlineStr">
        <is>
          <t>red</t>
        </is>
      </c>
      <c r="K1865" s="20" t="n">
        <v>71</v>
      </c>
      <c r="L1865" s="18" t="n">
        <v>65.56</v>
      </c>
      <c r="M1865" s="18" t="n">
        <v>441.39</v>
      </c>
      <c r="N1865" s="18" t="n">
        <v>369.33</v>
      </c>
      <c r="O1865" s="18" t="n">
        <v>436.68</v>
      </c>
      <c r="P1865" s="18" t="n">
        <v>843.65</v>
      </c>
      <c r="Q1865" s="18" t="n">
        <v>300</v>
      </c>
      <c r="R1865" s="21">
        <f>IF(OR(G1865="",P1865=""),"",G1865/P1865-1)</f>
        <v/>
      </c>
      <c r="S1865" s="19" t="n">
        <v>0.2855</v>
      </c>
      <c r="T1865" s="22" t="n">
        <v>-0.0524</v>
      </c>
      <c r="U1865" s="16" t="inlineStr">
        <is>
          <t>No</t>
        </is>
      </c>
      <c r="V1865" s="16" t="inlineStr">
        <is>
          <t>Yes</t>
        </is>
      </c>
      <c r="W1865" s="16" t="inlineStr">
        <is>
          <t>No</t>
        </is>
      </c>
      <c r="X1865" s="16" t="inlineStr">
        <is>
          <t>No</t>
        </is>
      </c>
      <c r="Y1865" s="20" t="n">
        <v>162</v>
      </c>
      <c r="Z1865" s="19" t="n">
        <v>-0.1542</v>
      </c>
      <c r="AA1865" s="18" t="n"/>
      <c r="AB1865" s="16" t="n"/>
      <c r="AC1865" s="16" t="inlineStr">
        <is>
          <t>No</t>
        </is>
      </c>
      <c r="AD1865" s="19" t="n"/>
      <c r="AE1865" s="19" t="n"/>
      <c r="AF1865" s="19" t="n"/>
      <c r="AG1865" s="19" t="n"/>
      <c r="AH1865" s="23" t="n"/>
      <c r="AI1865" s="23" t="n"/>
      <c r="AJ1865" s="19" t="n"/>
    </row>
    <row r="1866">
      <c r="A1866" s="16" t="inlineStr">
        <is>
          <t>KRMAYURVED</t>
        </is>
      </c>
      <c r="B1866" s="16" t="inlineStr">
        <is>
          <t>KRM Ayurveda Ltd.</t>
        </is>
      </c>
      <c r="C1866" s="16" t="inlineStr">
        <is>
          <t>Healthcare Facilities</t>
        </is>
      </c>
      <c r="D1866" s="16" t="inlineStr">
        <is>
          <t>Diversified Consumer Services</t>
        </is>
      </c>
      <c r="E1866" s="16" t="inlineStr">
        <is>
          <t>INE1MTV01019</t>
        </is>
      </c>
      <c r="F1866" s="17" t="n">
        <v>611.99</v>
      </c>
      <c r="G1866" s="18" t="n"/>
      <c r="H1866" s="19" t="n"/>
      <c r="I1866" s="20" t="n"/>
      <c r="J1866" s="16" t="n"/>
      <c r="K1866" s="20" t="n"/>
      <c r="L1866" s="18" t="n"/>
      <c r="M1866" s="18" t="n"/>
      <c r="N1866" s="18" t="n"/>
      <c r="O1866" s="18" t="n"/>
      <c r="P1866" s="18" t="n"/>
      <c r="Q1866" s="18" t="n"/>
      <c r="R1866" s="21">
        <f>IF(OR(G1866="",P1866=""),"",G1866/P1866-1)</f>
        <v/>
      </c>
      <c r="S1866" s="19" t="n"/>
      <c r="T1866" s="22" t="n"/>
      <c r="U1866" s="16" t="n"/>
      <c r="V1866" s="16" t="n"/>
      <c r="W1866" s="16" t="n"/>
      <c r="X1866" s="16" t="n"/>
      <c r="Y1866" s="20" t="n"/>
      <c r="Z1866" s="19" t="n"/>
      <c r="AA1866" s="18" t="n"/>
      <c r="AB1866" s="16" t="n"/>
      <c r="AC1866" s="16" t="inlineStr">
        <is>
          <t>No</t>
        </is>
      </c>
      <c r="AD1866" s="19" t="n"/>
      <c r="AE1866" s="19" t="n"/>
      <c r="AF1866" s="19" t="n"/>
      <c r="AG1866" s="19" t="n"/>
      <c r="AH1866" s="23" t="n"/>
      <c r="AI1866" s="23" t="n"/>
      <c r="AJ1866" s="19" t="n"/>
    </row>
    <row r="1867">
      <c r="A1867" s="16" t="inlineStr">
        <is>
          <t>KINETICENG</t>
        </is>
      </c>
      <c r="B1867" s="16" t="inlineStr">
        <is>
          <t>Kinetic Engineering Ltd.</t>
        </is>
      </c>
      <c r="C1867" s="16" t="inlineStr">
        <is>
          <t>Auto Parts &amp; Equipment</t>
        </is>
      </c>
      <c r="D1867" s="16" t="inlineStr">
        <is>
          <t>Automobiles &amp; Auto Components</t>
        </is>
      </c>
      <c r="E1867" s="16" t="inlineStr">
        <is>
          <t>INE266B01017</t>
        </is>
      </c>
      <c r="F1867" s="17" t="n">
        <v>610.48</v>
      </c>
      <c r="G1867" s="18" t="n">
        <v>226.85</v>
      </c>
      <c r="H1867" s="19" t="n">
        <v>0.007800000000000001</v>
      </c>
      <c r="I1867" s="20" t="n">
        <v>23</v>
      </c>
      <c r="J1867" s="16" t="inlineStr">
        <is>
          <t>red</t>
        </is>
      </c>
      <c r="K1867" s="20" t="n">
        <v>37</v>
      </c>
      <c r="L1867" s="18" t="n">
        <v>37.55</v>
      </c>
      <c r="M1867" s="18" t="n">
        <v>228.13</v>
      </c>
      <c r="N1867" s="18" t="n">
        <v>263.32</v>
      </c>
      <c r="O1867" s="18" t="n">
        <v>262.83</v>
      </c>
      <c r="P1867" s="18" t="n">
        <v>360.15</v>
      </c>
      <c r="Q1867" s="18" t="n">
        <v>187.65</v>
      </c>
      <c r="R1867" s="21">
        <f>IF(OR(G1867="",P1867=""),"",G1867/P1867-1)</f>
        <v/>
      </c>
      <c r="S1867" s="19" t="n">
        <v>0.4625</v>
      </c>
      <c r="T1867" s="22" t="n">
        <v>-0.0255</v>
      </c>
      <c r="U1867" s="16" t="inlineStr">
        <is>
          <t>No</t>
        </is>
      </c>
      <c r="V1867" s="16" t="inlineStr">
        <is>
          <t>No</t>
        </is>
      </c>
      <c r="W1867" s="16" t="inlineStr">
        <is>
          <t>No</t>
        </is>
      </c>
      <c r="X1867" s="16" t="inlineStr">
        <is>
          <t>Yes</t>
        </is>
      </c>
      <c r="Y1867" s="20" t="n">
        <v>15</v>
      </c>
      <c r="Z1867" s="19" t="n">
        <v>0.0018</v>
      </c>
      <c r="AA1867" s="18" t="n"/>
      <c r="AB1867" s="16" t="n"/>
      <c r="AC1867" s="16" t="inlineStr">
        <is>
          <t>No</t>
        </is>
      </c>
      <c r="AD1867" s="19" t="n"/>
      <c r="AE1867" s="19" t="n"/>
      <c r="AF1867" s="19" t="n"/>
      <c r="AG1867" s="19" t="n"/>
      <c r="AH1867" s="23" t="n"/>
      <c r="AI1867" s="23" t="n"/>
      <c r="AJ1867" s="19" t="n"/>
    </row>
    <row r="1868">
      <c r="A1868" s="16" t="inlineStr">
        <is>
          <t>PATILAUTOM</t>
        </is>
      </c>
      <c r="B1868" s="16" t="inlineStr">
        <is>
          <t>Patil Automation Ltd.</t>
        </is>
      </c>
      <c r="C1868" s="16" t="inlineStr">
        <is>
          <t>Industrial Machinery</t>
        </is>
      </c>
      <c r="D1868" s="16" t="inlineStr">
        <is>
          <t>General Industrials</t>
        </is>
      </c>
      <c r="E1868" s="16" t="inlineStr">
        <is>
          <t>INE17GV01016</t>
        </is>
      </c>
      <c r="F1868" s="17" t="n">
        <v>609.5599999999999</v>
      </c>
      <c r="G1868" s="18" t="n"/>
      <c r="H1868" s="19" t="n"/>
      <c r="I1868" s="20" t="n"/>
      <c r="J1868" s="16" t="n"/>
      <c r="K1868" s="20" t="n"/>
      <c r="L1868" s="18" t="n"/>
      <c r="M1868" s="18" t="n"/>
      <c r="N1868" s="18" t="n"/>
      <c r="O1868" s="18" t="n"/>
      <c r="P1868" s="18" t="n"/>
      <c r="Q1868" s="18" t="n"/>
      <c r="R1868" s="21">
        <f>IF(OR(G1868="",P1868=""),"",G1868/P1868-1)</f>
        <v/>
      </c>
      <c r="S1868" s="19" t="n"/>
      <c r="T1868" s="22" t="n"/>
      <c r="U1868" s="16" t="n"/>
      <c r="V1868" s="16" t="n"/>
      <c r="W1868" s="16" t="n"/>
      <c r="X1868" s="16" t="n"/>
      <c r="Y1868" s="20" t="n"/>
      <c r="Z1868" s="19" t="n"/>
      <c r="AA1868" s="18" t="n"/>
      <c r="AB1868" s="16" t="n"/>
      <c r="AC1868" s="16" t="inlineStr">
        <is>
          <t>No</t>
        </is>
      </c>
      <c r="AD1868" s="19" t="n"/>
      <c r="AE1868" s="19" t="n"/>
      <c r="AF1868" s="19" t="n"/>
      <c r="AG1868" s="19" t="n"/>
      <c r="AH1868" s="23" t="n"/>
      <c r="AI1868" s="23" t="n"/>
      <c r="AJ1868" s="19" t="n"/>
    </row>
    <row r="1869">
      <c r="A1869" s="16" t="inlineStr">
        <is>
          <t>E2ERAIL</t>
        </is>
      </c>
      <c r="B1869" s="16" t="inlineStr">
        <is>
          <t>E to E Transportation Infrastructure Ltd.</t>
        </is>
      </c>
      <c r="C1869" s="16" t="inlineStr">
        <is>
          <t>Heavy Electrical Equipment</t>
        </is>
      </c>
      <c r="D1869" s="16" t="inlineStr">
        <is>
          <t>General Industrials</t>
        </is>
      </c>
      <c r="E1869" s="16" t="inlineStr">
        <is>
          <t>INE1CEJ01017</t>
        </is>
      </c>
      <c r="F1869" s="17" t="n">
        <v>609.37</v>
      </c>
      <c r="G1869" s="18" t="n"/>
      <c r="H1869" s="19" t="n"/>
      <c r="I1869" s="20" t="n"/>
      <c r="J1869" s="16" t="n"/>
      <c r="K1869" s="20" t="n"/>
      <c r="L1869" s="18" t="n"/>
      <c r="M1869" s="18" t="n"/>
      <c r="N1869" s="18" t="n"/>
      <c r="O1869" s="18" t="n"/>
      <c r="P1869" s="18" t="n"/>
      <c r="Q1869" s="18" t="n"/>
      <c r="R1869" s="21">
        <f>IF(OR(G1869="",P1869=""),"",G1869/P1869-1)</f>
        <v/>
      </c>
      <c r="S1869" s="19" t="n"/>
      <c r="T1869" s="22" t="n"/>
      <c r="U1869" s="16" t="n"/>
      <c r="V1869" s="16" t="n"/>
      <c r="W1869" s="16" t="n"/>
      <c r="X1869" s="16" t="n"/>
      <c r="Y1869" s="20" t="n"/>
      <c r="Z1869" s="19" t="n"/>
      <c r="AA1869" s="18" t="n"/>
      <c r="AB1869" s="16" t="n"/>
      <c r="AC1869" s="16" t="inlineStr">
        <is>
          <t>No</t>
        </is>
      </c>
      <c r="AD1869" s="19" t="n"/>
      <c r="AE1869" s="19" t="n"/>
      <c r="AF1869" s="19" t="n"/>
      <c r="AG1869" s="19" t="n"/>
      <c r="AH1869" s="23" t="n"/>
      <c r="AI1869" s="23" t="n"/>
      <c r="AJ1869" s="19" t="n"/>
    </row>
    <row r="1870">
      <c r="A1870" s="16" t="inlineStr">
        <is>
          <t>SHIVAUM</t>
        </is>
      </c>
      <c r="B1870" s="16" t="inlineStr">
        <is>
          <t>Shiv Aum Steels Ltd.</t>
        </is>
      </c>
      <c r="C1870" s="16" t="inlineStr">
        <is>
          <t>Iron &amp; Steel Products</t>
        </is>
      </c>
      <c r="D1870" s="16" t="inlineStr">
        <is>
          <t>Metals &amp; Mining</t>
        </is>
      </c>
      <c r="E1870" s="16" t="inlineStr">
        <is>
          <t>INE719F01016</t>
        </is>
      </c>
      <c r="F1870" s="17" t="n">
        <v>609.37</v>
      </c>
      <c r="G1870" s="18" t="n">
        <v>448.05</v>
      </c>
      <c r="H1870" s="19" t="n">
        <v>-0.0043</v>
      </c>
      <c r="I1870" s="20" t="n">
        <v>83</v>
      </c>
      <c r="J1870" s="16" t="inlineStr">
        <is>
          <t>green</t>
        </is>
      </c>
      <c r="K1870" s="20" t="n">
        <v>23</v>
      </c>
      <c r="L1870" s="18" t="n">
        <v>55.33</v>
      </c>
      <c r="M1870" s="18" t="n">
        <v>446.88</v>
      </c>
      <c r="N1870" s="18" t="n">
        <v>427.74</v>
      </c>
      <c r="O1870" s="18" t="n">
        <v>344.36</v>
      </c>
      <c r="P1870" s="18" t="n">
        <v>450</v>
      </c>
      <c r="Q1870" s="18" t="n">
        <v>275</v>
      </c>
      <c r="R1870" s="21">
        <f>IF(OR(G1870="",P1870=""),"",G1870/P1870-1)</f>
        <v/>
      </c>
      <c r="S1870" s="19" t="n">
        <v>0.0467</v>
      </c>
      <c r="T1870" s="22" t="n">
        <v>0.0438</v>
      </c>
      <c r="U1870" s="16" t="inlineStr">
        <is>
          <t>Yes</t>
        </is>
      </c>
      <c r="V1870" s="16" t="inlineStr">
        <is>
          <t>Yes</t>
        </is>
      </c>
      <c r="W1870" s="16" t="inlineStr">
        <is>
          <t>Yes</t>
        </is>
      </c>
      <c r="X1870" s="16" t="inlineStr">
        <is>
          <t>Yes</t>
        </is>
      </c>
      <c r="Y1870" s="20" t="n">
        <v>300</v>
      </c>
      <c r="Z1870" s="19" t="n">
        <v>0.2421</v>
      </c>
      <c r="AA1870" s="18" t="n">
        <v>30.22</v>
      </c>
      <c r="AB1870" s="16" t="inlineStr">
        <is>
          <t>Poor</t>
        </is>
      </c>
      <c r="AC1870" s="16" t="inlineStr">
        <is>
          <t>No</t>
        </is>
      </c>
      <c r="AD1870" s="19" t="n">
        <v>0.07820000000000001</v>
      </c>
      <c r="AE1870" s="19" t="n">
        <v>0.09660000000000001</v>
      </c>
      <c r="AF1870" s="19" t="n">
        <v>-0.474</v>
      </c>
      <c r="AG1870" s="19" t="n">
        <v>0.0508</v>
      </c>
      <c r="AH1870" s="23" t="n">
        <v>0.8</v>
      </c>
      <c r="AI1870" s="23" t="n">
        <v>161.57</v>
      </c>
      <c r="AJ1870" s="19" t="n">
        <v>0</v>
      </c>
    </row>
    <row r="1871">
      <c r="A1871" s="16" t="inlineStr">
        <is>
          <t>EXHICON</t>
        </is>
      </c>
      <c r="B1871" s="16" t="inlineStr">
        <is>
          <t>Exhicon Events Media Solutions Ltd.</t>
        </is>
      </c>
      <c r="C1871" s="16" t="inlineStr">
        <is>
          <t>Misc. Commercial Services</t>
        </is>
      </c>
      <c r="D1871" s="16" t="inlineStr">
        <is>
          <t>Commercial Services &amp; Supplies</t>
        </is>
      </c>
      <c r="E1871" s="16" t="inlineStr">
        <is>
          <t>INE0O8901016</t>
        </is>
      </c>
      <c r="F1871" s="17" t="n">
        <v>609.04</v>
      </c>
      <c r="G1871" s="18" t="n">
        <v>469.85</v>
      </c>
      <c r="H1871" s="19" t="n">
        <v>-0.0077</v>
      </c>
      <c r="I1871" s="20" t="n">
        <v>36</v>
      </c>
      <c r="J1871" s="16" t="inlineStr">
        <is>
          <t>red</t>
        </is>
      </c>
      <c r="K1871" s="20" t="n">
        <v>40</v>
      </c>
      <c r="L1871" s="18" t="n">
        <v>34.11</v>
      </c>
      <c r="M1871" s="18" t="n">
        <v>482.99</v>
      </c>
      <c r="N1871" s="18" t="n">
        <v>494.49</v>
      </c>
      <c r="O1871" s="18" t="n">
        <v>498.39</v>
      </c>
      <c r="P1871" s="18" t="n">
        <v>565.9</v>
      </c>
      <c r="Q1871" s="18" t="n">
        <v>394.55</v>
      </c>
      <c r="R1871" s="21">
        <f>IF(OR(G1871="",P1871=""),"",G1871/P1871-1)</f>
        <v/>
      </c>
      <c r="S1871" s="19" t="n">
        <v>0.5847</v>
      </c>
      <c r="T1871" s="22" t="n">
        <v>-0.0005999999999999999</v>
      </c>
      <c r="U1871" s="16" t="inlineStr">
        <is>
          <t>No</t>
        </is>
      </c>
      <c r="V1871" s="16" t="inlineStr">
        <is>
          <t>No</t>
        </is>
      </c>
      <c r="W1871" s="16" t="inlineStr">
        <is>
          <t>No</t>
        </is>
      </c>
      <c r="X1871" s="16" t="inlineStr">
        <is>
          <t>No</t>
        </is>
      </c>
      <c r="Y1871" s="20" t="n">
        <v>111</v>
      </c>
      <c r="Z1871" s="19" t="n">
        <v>-0.007800000000000001</v>
      </c>
      <c r="AA1871" s="18" t="n"/>
      <c r="AB1871" s="16" t="n"/>
      <c r="AC1871" s="16" t="inlineStr">
        <is>
          <t>No</t>
        </is>
      </c>
      <c r="AD1871" s="19" t="n"/>
      <c r="AE1871" s="19" t="n"/>
      <c r="AF1871" s="19" t="n"/>
      <c r="AG1871" s="19" t="n"/>
      <c r="AH1871" s="23" t="n"/>
      <c r="AI1871" s="23" t="n"/>
      <c r="AJ1871" s="19" t="n"/>
    </row>
    <row r="1872">
      <c r="A1872" s="16" t="inlineStr">
        <is>
          <t>HTMEDIA</t>
        </is>
      </c>
      <c r="B1872" s="16" t="inlineStr">
        <is>
          <t>HT Media Ltd.</t>
        </is>
      </c>
      <c r="C1872" s="16" t="inlineStr">
        <is>
          <t>Publishing</t>
        </is>
      </c>
      <c r="D1872" s="16" t="inlineStr">
        <is>
          <t>Commercial Services &amp; Supplies</t>
        </is>
      </c>
      <c r="E1872" s="16" t="inlineStr">
        <is>
          <t>INE501G01024</t>
        </is>
      </c>
      <c r="F1872" s="17" t="n">
        <v>607.9400000000001</v>
      </c>
      <c r="G1872" s="18" t="n">
        <v>26.12</v>
      </c>
      <c r="H1872" s="19" t="n">
        <v>-0.0166</v>
      </c>
      <c r="I1872" s="20" t="n">
        <v>60</v>
      </c>
      <c r="J1872" s="16" t="inlineStr">
        <is>
          <t>amber</t>
        </is>
      </c>
      <c r="K1872" s="20" t="n">
        <v>24</v>
      </c>
      <c r="L1872" s="18" t="n">
        <v>52.54</v>
      </c>
      <c r="M1872" s="18" t="n">
        <v>26.6</v>
      </c>
      <c r="N1872" s="18" t="n">
        <v>25.84</v>
      </c>
      <c r="O1872" s="18" t="n">
        <v>23.25</v>
      </c>
      <c r="P1872" s="18" t="n">
        <v>28.66</v>
      </c>
      <c r="Q1872" s="18" t="n">
        <v>18.14</v>
      </c>
      <c r="R1872" s="21">
        <f>IF(OR(G1872="",P1872=""),"",G1872/P1872-1)</f>
        <v/>
      </c>
      <c r="S1872" s="19" t="n">
        <v>0.1472</v>
      </c>
      <c r="T1872" s="22" t="n">
        <v>-0.0001</v>
      </c>
      <c r="U1872" s="16" t="inlineStr">
        <is>
          <t>No</t>
        </is>
      </c>
      <c r="V1872" s="16" t="inlineStr">
        <is>
          <t>Yes</t>
        </is>
      </c>
      <c r="W1872" s="16" t="inlineStr">
        <is>
          <t>No</t>
        </is>
      </c>
      <c r="X1872" s="16" t="inlineStr">
        <is>
          <t>Yes</t>
        </is>
      </c>
      <c r="Y1872" s="20" t="n">
        <v>31</v>
      </c>
      <c r="Z1872" s="19" t="n">
        <v>0.1115</v>
      </c>
      <c r="AA1872" s="18" t="n">
        <v>29.6</v>
      </c>
      <c r="AB1872" s="16" t="inlineStr">
        <is>
          <t>Poor</t>
        </is>
      </c>
      <c r="AC1872" s="16" t="inlineStr">
        <is>
          <t>No</t>
        </is>
      </c>
      <c r="AD1872" s="19" t="n">
        <v>-0.0264</v>
      </c>
      <c r="AE1872" s="19" t="n">
        <v>0.0285</v>
      </c>
      <c r="AF1872" s="19" t="n">
        <v>0.223</v>
      </c>
      <c r="AG1872" s="19" t="n">
        <v>0.0372</v>
      </c>
      <c r="AH1872" s="23" t="n">
        <v>0.47</v>
      </c>
      <c r="AI1872" s="23" t="n">
        <v>5.27</v>
      </c>
      <c r="AJ1872" s="19" t="n">
        <v>0.0106</v>
      </c>
    </row>
    <row r="1873">
      <c r="A1873" s="16" t="inlineStr">
        <is>
          <t>INNOVISION</t>
        </is>
      </c>
      <c r="B1873" s="16" t="inlineStr">
        <is>
          <t>Innovision Ltd.</t>
        </is>
      </c>
      <c r="C1873" s="16" t="inlineStr">
        <is>
          <t>Misc. Commercial Services</t>
        </is>
      </c>
      <c r="D1873" s="16" t="inlineStr">
        <is>
          <t>Commercial Services &amp; Supplies</t>
        </is>
      </c>
      <c r="E1873" s="16" t="inlineStr">
        <is>
          <t>INE0ADB01012</t>
        </is>
      </c>
      <c r="F1873" s="17" t="n">
        <v>607</v>
      </c>
      <c r="G1873" s="18" t="n">
        <v>254.9</v>
      </c>
      <c r="H1873" s="19" t="n">
        <v>-0.0029</v>
      </c>
      <c r="I1873" s="20" t="n">
        <v>15</v>
      </c>
      <c r="J1873" s="16" t="inlineStr">
        <is>
          <t>red</t>
        </is>
      </c>
      <c r="K1873" s="20" t="n">
        <v>53</v>
      </c>
      <c r="L1873" s="18" t="n">
        <v>36.62</v>
      </c>
      <c r="M1873" s="18" t="n">
        <v>257.54</v>
      </c>
      <c r="N1873" s="18" t="n">
        <v>279.02</v>
      </c>
      <c r="O1873" s="18" t="n"/>
      <c r="P1873" s="18" t="n">
        <v>376.7</v>
      </c>
      <c r="Q1873" s="18" t="n">
        <v>247.25</v>
      </c>
      <c r="R1873" s="21">
        <f>IF(OR(G1873="",P1873=""),"",G1873/P1873-1)</f>
        <v/>
      </c>
      <c r="S1873" s="19" t="n">
        <v>0.4045</v>
      </c>
      <c r="T1873" s="22" t="n"/>
      <c r="U1873" s="16" t="n"/>
      <c r="V1873" s="16" t="inlineStr">
        <is>
          <t>No</t>
        </is>
      </c>
      <c r="W1873" s="16" t="inlineStr">
        <is>
          <t>No</t>
        </is>
      </c>
      <c r="X1873" s="16" t="n"/>
      <c r="Y1873" s="20" t="n"/>
      <c r="Z1873" s="19" t="n"/>
      <c r="AA1873" s="18" t="n">
        <v>70.17</v>
      </c>
      <c r="AB1873" s="16" t="inlineStr">
        <is>
          <t>High</t>
        </is>
      </c>
      <c r="AC1873" s="16" t="inlineStr">
        <is>
          <t>No</t>
        </is>
      </c>
      <c r="AD1873" s="19" t="n">
        <v>0.2272</v>
      </c>
      <c r="AE1873" s="19" t="n">
        <v>0.2023</v>
      </c>
      <c r="AF1873" s="19" t="n">
        <v>0.3361</v>
      </c>
      <c r="AG1873" s="19" t="n">
        <v>0.615</v>
      </c>
      <c r="AH1873" s="23" t="n">
        <v>0.43</v>
      </c>
      <c r="AI1873" s="23" t="n">
        <v>129.39</v>
      </c>
      <c r="AJ1873" s="19" t="n">
        <v>0</v>
      </c>
    </row>
    <row r="1874">
      <c r="A1874" s="16" t="inlineStr">
        <is>
          <t>UNIVASTU</t>
        </is>
      </c>
      <c r="B1874" s="16" t="inlineStr">
        <is>
          <t>Univastu India Ltd.</t>
        </is>
      </c>
      <c r="C1874" s="16" t="inlineStr">
        <is>
          <t>Construction &amp; Engineering</t>
        </is>
      </c>
      <c r="D1874" s="16" t="inlineStr">
        <is>
          <t>Cement and Construction</t>
        </is>
      </c>
      <c r="E1874" s="16" t="inlineStr">
        <is>
          <t>INE562X01013</t>
        </is>
      </c>
      <c r="F1874" s="17" t="n">
        <v>605.8</v>
      </c>
      <c r="G1874" s="18" t="n">
        <v>168.34</v>
      </c>
      <c r="H1874" s="19" t="n">
        <v>-0.0004</v>
      </c>
      <c r="I1874" s="20" t="n">
        <v>96</v>
      </c>
      <c r="J1874" s="16" t="inlineStr">
        <is>
          <t>green</t>
        </is>
      </c>
      <c r="K1874" s="20" t="n">
        <v>44</v>
      </c>
      <c r="L1874" s="18" t="n">
        <v>49.72</v>
      </c>
      <c r="M1874" s="18" t="n">
        <v>160.37</v>
      </c>
      <c r="N1874" s="18" t="n">
        <v>132.77</v>
      </c>
      <c r="O1874" s="18" t="n">
        <v>84.98999999999999</v>
      </c>
      <c r="P1874" s="18" t="n">
        <v>176.89</v>
      </c>
      <c r="Q1874" s="18" t="n">
        <v>59.63</v>
      </c>
      <c r="R1874" s="21">
        <f>IF(OR(G1874="",P1874=""),"",G1874/P1874-1)</f>
        <v/>
      </c>
      <c r="S1874" s="19" t="n">
        <v>0.3998</v>
      </c>
      <c r="T1874" s="22" t="n">
        <v>0.1179</v>
      </c>
      <c r="U1874" s="16" t="inlineStr">
        <is>
          <t>Yes</t>
        </is>
      </c>
      <c r="V1874" s="16" t="inlineStr">
        <is>
          <t>Yes</t>
        </is>
      </c>
      <c r="W1874" s="16" t="inlineStr">
        <is>
          <t>Yes</t>
        </is>
      </c>
      <c r="X1874" s="16" t="inlineStr">
        <is>
          <t>Yes</t>
        </is>
      </c>
      <c r="Y1874" s="20" t="n">
        <v>62</v>
      </c>
      <c r="Z1874" s="19" t="n">
        <v>0.5622</v>
      </c>
      <c r="AA1874" s="18" t="n"/>
      <c r="AB1874" s="16" t="n"/>
      <c r="AC1874" s="16" t="inlineStr">
        <is>
          <t>No</t>
        </is>
      </c>
      <c r="AD1874" s="19" t="n"/>
      <c r="AE1874" s="19" t="n"/>
      <c r="AF1874" s="19" t="n"/>
      <c r="AG1874" s="19" t="n"/>
      <c r="AH1874" s="23" t="n"/>
      <c r="AI1874" s="23" t="n"/>
      <c r="AJ1874" s="19" t="n"/>
    </row>
    <row r="1875">
      <c r="A1875" s="16" t="inlineStr">
        <is>
          <t>ZFSTEERING</t>
        </is>
      </c>
      <c r="B1875" s="16" t="inlineStr">
        <is>
          <t>ZF Steering Gear (India) Ltd.</t>
        </is>
      </c>
      <c r="C1875" s="16" t="inlineStr">
        <is>
          <t>Auto Parts &amp; Equipment</t>
        </is>
      </c>
      <c r="D1875" s="16" t="inlineStr">
        <is>
          <t>Automobiles &amp; Auto Components</t>
        </is>
      </c>
      <c r="E1875" s="16" t="inlineStr">
        <is>
          <t>INE116C01012</t>
        </is>
      </c>
      <c r="F1875" s="17" t="n">
        <v>605.28</v>
      </c>
      <c r="G1875" s="18" t="n">
        <v>667.1</v>
      </c>
      <c r="H1875" s="19" t="n">
        <v>0.003</v>
      </c>
      <c r="I1875" s="20" t="n">
        <v>18</v>
      </c>
      <c r="J1875" s="16" t="inlineStr">
        <is>
          <t>red</t>
        </is>
      </c>
      <c r="K1875" s="20" t="n">
        <v>369</v>
      </c>
      <c r="L1875" s="18" t="n">
        <v>50.64</v>
      </c>
      <c r="M1875" s="18" t="n">
        <v>671</v>
      </c>
      <c r="N1875" s="18" t="n">
        <v>676.73</v>
      </c>
      <c r="O1875" s="18" t="n">
        <v>732.16</v>
      </c>
      <c r="P1875" s="18" t="n">
        <v>1097.4</v>
      </c>
      <c r="Q1875" s="18" t="n">
        <v>580.95</v>
      </c>
      <c r="R1875" s="21">
        <f>IF(OR(G1875="",P1875=""),"",G1875/P1875-1)</f>
        <v/>
      </c>
      <c r="S1875" s="19" t="n">
        <v>0.0959</v>
      </c>
      <c r="T1875" s="22" t="n">
        <v>-0.0354</v>
      </c>
      <c r="U1875" s="16" t="inlineStr">
        <is>
          <t>No</t>
        </is>
      </c>
      <c r="V1875" s="16" t="inlineStr">
        <is>
          <t>No</t>
        </is>
      </c>
      <c r="W1875" s="16" t="inlineStr">
        <is>
          <t>No</t>
        </is>
      </c>
      <c r="X1875" s="16" t="inlineStr">
        <is>
          <t>No</t>
        </is>
      </c>
      <c r="Y1875" s="20" t="n">
        <v>382</v>
      </c>
      <c r="Z1875" s="19" t="n">
        <v>-0.0757</v>
      </c>
      <c r="AA1875" s="18" t="n"/>
      <c r="AB1875" s="16" t="n"/>
      <c r="AC1875" s="16" t="inlineStr">
        <is>
          <t>No</t>
        </is>
      </c>
      <c r="AD1875" s="19" t="n"/>
      <c r="AE1875" s="19" t="n"/>
      <c r="AF1875" s="19" t="n"/>
      <c r="AG1875" s="19" t="n"/>
      <c r="AH1875" s="23" t="n"/>
      <c r="AI1875" s="23" t="n"/>
      <c r="AJ1875" s="19" t="n"/>
    </row>
    <row r="1876">
      <c r="A1876" s="16" t="inlineStr">
        <is>
          <t>PASUPTAC</t>
        </is>
      </c>
      <c r="B1876" s="16" t="inlineStr">
        <is>
          <t>Pasupati Acrylon Ltd.</t>
        </is>
      </c>
      <c r="C1876" s="16" t="inlineStr">
        <is>
          <t>Fibres &amp; Plastics</t>
        </is>
      </c>
      <c r="D1876" s="16" t="inlineStr">
        <is>
          <t>General Industrials</t>
        </is>
      </c>
      <c r="E1876" s="16" t="inlineStr">
        <is>
          <t>INE818B01023</t>
        </is>
      </c>
      <c r="F1876" s="17" t="n">
        <v>602.9</v>
      </c>
      <c r="G1876" s="18" t="n">
        <v>67.64</v>
      </c>
      <c r="H1876" s="19" t="n">
        <v>0.0127</v>
      </c>
      <c r="I1876" s="20" t="n">
        <v>67</v>
      </c>
      <c r="J1876" s="16" t="inlineStr">
        <is>
          <t>amber</t>
        </is>
      </c>
      <c r="K1876" s="20" t="n">
        <v>3</v>
      </c>
      <c r="L1876" s="18" t="n">
        <v>84.45</v>
      </c>
      <c r="M1876" s="18" t="n">
        <v>63.73</v>
      </c>
      <c r="N1876" s="18" t="n">
        <v>61.14</v>
      </c>
      <c r="O1876" s="18" t="n">
        <v>55.04</v>
      </c>
      <c r="P1876" s="18" t="n">
        <v>74.34</v>
      </c>
      <c r="Q1876" s="18" t="n">
        <v>40.89</v>
      </c>
      <c r="R1876" s="21">
        <f>IF(OR(G1876="",P1876=""),"",G1876/P1876-1)</f>
        <v/>
      </c>
      <c r="S1876" s="19" t="n">
        <v>1.4982</v>
      </c>
      <c r="T1876" s="22" t="n">
        <v>0.023</v>
      </c>
      <c r="U1876" s="16" t="inlineStr">
        <is>
          <t>Yes</t>
        </is>
      </c>
      <c r="V1876" s="16" t="inlineStr">
        <is>
          <t>Yes</t>
        </is>
      </c>
      <c r="W1876" s="16" t="inlineStr">
        <is>
          <t>Yes</t>
        </is>
      </c>
      <c r="X1876" s="16" t="inlineStr">
        <is>
          <t>Yes</t>
        </is>
      </c>
      <c r="Y1876" s="20" t="n">
        <v>75</v>
      </c>
      <c r="Z1876" s="19" t="n">
        <v>0.1107</v>
      </c>
      <c r="AA1876" s="18" t="n">
        <v>50.69</v>
      </c>
      <c r="AB1876" s="16" t="inlineStr">
        <is>
          <t>Average</t>
        </is>
      </c>
      <c r="AC1876" s="16" t="inlineStr">
        <is>
          <t>No</t>
        </is>
      </c>
      <c r="AD1876" s="19" t="n">
        <v>0.0993</v>
      </c>
      <c r="AE1876" s="19" t="n">
        <v>0.1198</v>
      </c>
      <c r="AF1876" s="19" t="n">
        <v>0.6748000000000001</v>
      </c>
      <c r="AG1876" s="19" t="n">
        <v>0.1342</v>
      </c>
      <c r="AH1876" s="23" t="n">
        <v>0.25</v>
      </c>
      <c r="AI1876" s="23" t="n">
        <v>4.06</v>
      </c>
      <c r="AJ1876" s="19" t="n">
        <v>0.001</v>
      </c>
    </row>
    <row r="1877">
      <c r="A1877" s="16" t="inlineStr">
        <is>
          <t>MAGNAELQ</t>
        </is>
      </c>
      <c r="B1877" s="16" t="inlineStr">
        <is>
          <t>Magna Electrocastings Ltd.</t>
        </is>
      </c>
      <c r="C1877" s="16" t="inlineStr">
        <is>
          <t>Castings &amp; Forgings</t>
        </is>
      </c>
      <c r="D1877" s="16" t="inlineStr">
        <is>
          <t>General Industrials</t>
        </is>
      </c>
      <c r="E1877" s="16" t="inlineStr">
        <is>
          <t>INE437D01010</t>
        </is>
      </c>
      <c r="F1877" s="17" t="n">
        <v>602.4400000000001</v>
      </c>
      <c r="G1877" s="18" t="n">
        <v>1423.5</v>
      </c>
      <c r="H1877" s="19" t="n">
        <v>0.0193</v>
      </c>
      <c r="I1877" s="20" t="n">
        <v>81</v>
      </c>
      <c r="J1877" s="16" t="inlineStr">
        <is>
          <t>green</t>
        </is>
      </c>
      <c r="K1877" s="20" t="n">
        <v>2</v>
      </c>
      <c r="L1877" s="18" t="n">
        <v>51.36</v>
      </c>
      <c r="M1877" s="18" t="n">
        <v>1302.51</v>
      </c>
      <c r="N1877" s="18" t="n">
        <v>1235.83</v>
      </c>
      <c r="O1877" s="18" t="n">
        <v>1039.72</v>
      </c>
      <c r="P1877" s="18" t="n">
        <v>1433.36</v>
      </c>
      <c r="Q1877" s="18" t="n">
        <v>738.6</v>
      </c>
      <c r="R1877" s="21">
        <f>IF(OR(G1877="",P1877=""),"",G1877/P1877-1)</f>
        <v/>
      </c>
      <c r="S1877" s="19" t="n">
        <v>0.3617</v>
      </c>
      <c r="T1877" s="22" t="n">
        <v>0.0342</v>
      </c>
      <c r="U1877" s="16" t="inlineStr">
        <is>
          <t>Yes</t>
        </is>
      </c>
      <c r="V1877" s="16" t="inlineStr">
        <is>
          <t>Yes</t>
        </is>
      </c>
      <c r="W1877" s="16" t="inlineStr">
        <is>
          <t>Yes</t>
        </is>
      </c>
      <c r="X1877" s="16" t="inlineStr">
        <is>
          <t>Yes</t>
        </is>
      </c>
      <c r="Y1877" s="20" t="n">
        <v>83</v>
      </c>
      <c r="Z1877" s="19" t="n">
        <v>0.1886</v>
      </c>
      <c r="AA1877" s="18" t="n"/>
      <c r="AB1877" s="16" t="n"/>
      <c r="AC1877" s="16" t="inlineStr">
        <is>
          <t>No</t>
        </is>
      </c>
      <c r="AD1877" s="19" t="n"/>
      <c r="AE1877" s="19" t="n"/>
      <c r="AF1877" s="19" t="n"/>
      <c r="AG1877" s="19" t="n"/>
      <c r="AH1877" s="23" t="n"/>
      <c r="AI1877" s="23" t="n"/>
      <c r="AJ1877" s="19" t="n"/>
    </row>
    <row r="1878">
      <c r="A1878" s="16" t="inlineStr">
        <is>
          <t>MOLDTECH</t>
        </is>
      </c>
      <c r="B1878" s="16" t="inlineStr">
        <is>
          <t>Mold-Tek Technologies Ltd.</t>
        </is>
      </c>
      <c r="C1878" s="16" t="inlineStr">
        <is>
          <t>Construction &amp; Engineering</t>
        </is>
      </c>
      <c r="D1878" s="16" t="inlineStr">
        <is>
          <t>Cement and Construction</t>
        </is>
      </c>
      <c r="E1878" s="16" t="inlineStr">
        <is>
          <t>INE835B01035</t>
        </is>
      </c>
      <c r="F1878" s="17" t="n">
        <v>601.91</v>
      </c>
      <c r="G1878" s="18" t="n">
        <v>208.96</v>
      </c>
      <c r="H1878" s="19" t="n">
        <v>0.008</v>
      </c>
      <c r="I1878" s="20" t="n">
        <v>87</v>
      </c>
      <c r="J1878" s="16" t="inlineStr">
        <is>
          <t>green</t>
        </is>
      </c>
      <c r="K1878" s="20" t="n">
        <v>12</v>
      </c>
      <c r="L1878" s="18" t="n">
        <v>71.88</v>
      </c>
      <c r="M1878" s="18" t="n">
        <v>199.12</v>
      </c>
      <c r="N1878" s="18" t="n">
        <v>159.98</v>
      </c>
      <c r="O1878" s="18" t="n">
        <v>141.94</v>
      </c>
      <c r="P1878" s="18" t="n">
        <v>211.14</v>
      </c>
      <c r="Q1878" s="18" t="n">
        <v>102.53</v>
      </c>
      <c r="R1878" s="21">
        <f>IF(OR(G1878="",P1878=""),"",G1878/P1878-1)</f>
        <v/>
      </c>
      <c r="S1878" s="19" t="n">
        <v>0.0944</v>
      </c>
      <c r="T1878" s="22" t="n">
        <v>-0.0018</v>
      </c>
      <c r="U1878" s="16" t="inlineStr">
        <is>
          <t>No</t>
        </is>
      </c>
      <c r="V1878" s="16" t="inlineStr">
        <is>
          <t>Yes</t>
        </is>
      </c>
      <c r="W1878" s="16" t="inlineStr">
        <is>
          <t>Yes</t>
        </is>
      </c>
      <c r="X1878" s="16" t="inlineStr">
        <is>
          <t>Yes</t>
        </is>
      </c>
      <c r="Y1878" s="20" t="n">
        <v>15</v>
      </c>
      <c r="Z1878" s="19" t="n">
        <v>0.1271</v>
      </c>
      <c r="AA1878" s="18" t="n">
        <v>40</v>
      </c>
      <c r="AB1878" s="16" t="inlineStr">
        <is>
          <t>Weak</t>
        </is>
      </c>
      <c r="AC1878" s="16" t="inlineStr">
        <is>
          <t>No</t>
        </is>
      </c>
      <c r="AD1878" s="19" t="n">
        <v>0.137</v>
      </c>
      <c r="AE1878" s="19" t="n">
        <v>0.1759</v>
      </c>
      <c r="AF1878" s="19" t="n">
        <v>-0.2588</v>
      </c>
      <c r="AG1878" s="19" t="n">
        <v>0.0825</v>
      </c>
      <c r="AH1878" s="23" t="n">
        <v>0.04</v>
      </c>
      <c r="AI1878" s="23" t="n">
        <v>6.48</v>
      </c>
      <c r="AJ1878" s="19" t="n">
        <v>0.0011</v>
      </c>
    </row>
    <row r="1879">
      <c r="A1879" s="16" t="inlineStr">
        <is>
          <t>OMPOWER</t>
        </is>
      </c>
      <c r="B1879" s="16" t="inlineStr">
        <is>
          <t>Om Power Transmission Ltd.</t>
        </is>
      </c>
      <c r="C1879" s="16" t="inlineStr">
        <is>
          <t>Power - Electric Utilities</t>
        </is>
      </c>
      <c r="D1879" s="16" t="inlineStr">
        <is>
          <t>Utilities</t>
        </is>
      </c>
      <c r="E1879" s="16" t="inlineStr">
        <is>
          <t>INE25E901019</t>
        </is>
      </c>
      <c r="F1879" s="17" t="n">
        <v>601.62</v>
      </c>
      <c r="G1879" s="18" t="n">
        <v>175.68</v>
      </c>
      <c r="H1879" s="19" t="n">
        <v>0.0268</v>
      </c>
      <c r="I1879" s="20" t="n">
        <v>33</v>
      </c>
      <c r="J1879" s="16" t="inlineStr">
        <is>
          <t>red</t>
        </is>
      </c>
      <c r="K1879" s="20" t="n">
        <v>38</v>
      </c>
      <c r="L1879" s="18" t="n">
        <v>61.56</v>
      </c>
      <c r="M1879" s="18" t="n">
        <v>172.79</v>
      </c>
      <c r="N1879" s="18" t="n">
        <v>170.81</v>
      </c>
      <c r="O1879" s="18" t="n"/>
      <c r="P1879" s="18" t="n">
        <v>203.04</v>
      </c>
      <c r="Q1879" s="18" t="n">
        <v>159.16</v>
      </c>
      <c r="R1879" s="21">
        <f>IF(OR(G1879="",P1879=""),"",G1879/P1879-1)</f>
        <v/>
      </c>
      <c r="S1879" s="19" t="n">
        <v>0.6962999999999999</v>
      </c>
      <c r="T1879" s="22" t="n"/>
      <c r="U1879" s="16" t="n"/>
      <c r="V1879" s="16" t="inlineStr">
        <is>
          <t>Yes</t>
        </is>
      </c>
      <c r="W1879" s="16" t="inlineStr">
        <is>
          <t>Yes</t>
        </is>
      </c>
      <c r="X1879" s="16" t="n"/>
      <c r="Y1879" s="20" t="n"/>
      <c r="Z1879" s="19" t="n"/>
      <c r="AA1879" s="18" t="n">
        <v>75.40000000000001</v>
      </c>
      <c r="AB1879" s="16" t="inlineStr">
        <is>
          <t>High</t>
        </is>
      </c>
      <c r="AC1879" s="16" t="inlineStr">
        <is>
          <t>No</t>
        </is>
      </c>
      <c r="AD1879" s="19" t="n">
        <v>0.1981</v>
      </c>
      <c r="AE1879" s="19" t="n">
        <v>0.2376</v>
      </c>
      <c r="AF1879" s="19" t="n"/>
      <c r="AG1879" s="19" t="n">
        <v>0.5231</v>
      </c>
      <c r="AH1879" s="23" t="n">
        <v>0.26</v>
      </c>
      <c r="AI1879" s="23" t="n">
        <v>41.79</v>
      </c>
      <c r="AJ1879" s="19" t="n">
        <v>0.027</v>
      </c>
    </row>
    <row r="1880">
      <c r="A1880" s="16" t="inlineStr">
        <is>
          <t>NAHARPOLY</t>
        </is>
      </c>
      <c r="B1880" s="16" t="inlineStr">
        <is>
          <t>Nahar Poly Films Ltd.</t>
        </is>
      </c>
      <c r="C1880" s="16" t="inlineStr">
        <is>
          <t>Plastic Products</t>
        </is>
      </c>
      <c r="D1880" s="16" t="inlineStr">
        <is>
          <t>General Industrials</t>
        </is>
      </c>
      <c r="E1880" s="16" t="inlineStr">
        <is>
          <t>INE308A01027</t>
        </is>
      </c>
      <c r="F1880" s="17" t="n">
        <v>601.27</v>
      </c>
      <c r="G1880" s="18" t="n">
        <v>244.54</v>
      </c>
      <c r="H1880" s="19" t="n">
        <v>-0.0095</v>
      </c>
      <c r="I1880" s="20" t="n">
        <v>34</v>
      </c>
      <c r="J1880" s="16" t="inlineStr">
        <is>
          <t>red</t>
        </is>
      </c>
      <c r="K1880" s="20" t="n">
        <v>85</v>
      </c>
      <c r="L1880" s="18" t="n">
        <v>62.05</v>
      </c>
      <c r="M1880" s="18" t="n">
        <v>245.77</v>
      </c>
      <c r="N1880" s="18" t="n">
        <v>252.01</v>
      </c>
      <c r="O1880" s="18" t="n">
        <v>245.7</v>
      </c>
      <c r="P1880" s="18" t="n">
        <v>312.8</v>
      </c>
      <c r="Q1880" s="18" t="n">
        <v>202.1</v>
      </c>
      <c r="R1880" s="21">
        <f>IF(OR(G1880="",P1880=""),"",G1880/P1880-1)</f>
        <v/>
      </c>
      <c r="S1880" s="19" t="n">
        <v>0.5416</v>
      </c>
      <c r="T1880" s="22" t="n">
        <v>-0.0218</v>
      </c>
      <c r="U1880" s="16" t="inlineStr">
        <is>
          <t>No</t>
        </is>
      </c>
      <c r="V1880" s="16" t="inlineStr">
        <is>
          <t>No</t>
        </is>
      </c>
      <c r="W1880" s="16" t="inlineStr">
        <is>
          <t>No</t>
        </is>
      </c>
      <c r="X1880" s="16" t="inlineStr">
        <is>
          <t>Yes</t>
        </is>
      </c>
      <c r="Y1880" s="20" t="n">
        <v>28</v>
      </c>
      <c r="Z1880" s="19" t="n">
        <v>0.0257</v>
      </c>
      <c r="AA1880" s="18" t="n">
        <v>44.47</v>
      </c>
      <c r="AB1880" s="16" t="inlineStr">
        <is>
          <t>Average</t>
        </is>
      </c>
      <c r="AC1880" s="16" t="inlineStr">
        <is>
          <t>No</t>
        </is>
      </c>
      <c r="AD1880" s="19" t="n">
        <v>0.0524</v>
      </c>
      <c r="AE1880" s="19" t="n">
        <v>0.0574</v>
      </c>
      <c r="AF1880" s="19" t="n">
        <v>1.8245</v>
      </c>
      <c r="AG1880" s="19" t="n">
        <v>0.0007000000000000001</v>
      </c>
      <c r="AH1880" s="23" t="n">
        <v>0.09</v>
      </c>
      <c r="AI1880" s="23" t="n">
        <v>3.48</v>
      </c>
      <c r="AJ1880" s="19" t="n">
        <v>0.1102</v>
      </c>
    </row>
    <row r="1881">
      <c r="A1881" s="16" t="inlineStr">
        <is>
          <t>UGARSUGAR</t>
        </is>
      </c>
      <c r="B1881" s="16" t="inlineStr">
        <is>
          <t>Ugar Sugar Works Ltd.</t>
        </is>
      </c>
      <c r="C1881" s="16" t="inlineStr">
        <is>
          <t>Sugar</t>
        </is>
      </c>
      <c r="D1881" s="16" t="inlineStr">
        <is>
          <t>Food, Beverages &amp; Tobacco</t>
        </is>
      </c>
      <c r="E1881" s="16" t="inlineStr">
        <is>
          <t>INE071E01023</t>
        </is>
      </c>
      <c r="F1881" s="17" t="n">
        <v>600.78</v>
      </c>
      <c r="G1881" s="18" t="n">
        <v>53.35</v>
      </c>
      <c r="H1881" s="19" t="n">
        <v>-0.08900000000000001</v>
      </c>
      <c r="I1881" s="20" t="n">
        <v>76</v>
      </c>
      <c r="J1881" s="16" t="inlineStr">
        <is>
          <t>amber</t>
        </is>
      </c>
      <c r="K1881" s="20" t="n">
        <v>1</v>
      </c>
      <c r="L1881" s="18" t="n">
        <v>51.69</v>
      </c>
      <c r="M1881" s="18" t="n">
        <v>54.43</v>
      </c>
      <c r="N1881" s="18" t="n">
        <v>45.46</v>
      </c>
      <c r="O1881" s="18" t="n">
        <v>41.3</v>
      </c>
      <c r="P1881" s="18" t="n">
        <v>58.56</v>
      </c>
      <c r="Q1881" s="18" t="n">
        <v>35.27</v>
      </c>
      <c r="R1881" s="21">
        <f>IF(OR(G1881="",P1881=""),"",G1881/P1881-1)</f>
        <v/>
      </c>
      <c r="S1881" s="19" t="n">
        <v>1.4663</v>
      </c>
      <c r="T1881" s="22" t="n">
        <v>0.0257</v>
      </c>
      <c r="U1881" s="16" t="inlineStr">
        <is>
          <t>Yes</t>
        </is>
      </c>
      <c r="V1881" s="16" t="inlineStr">
        <is>
          <t>Yes</t>
        </is>
      </c>
      <c r="W1881" s="16" t="inlineStr">
        <is>
          <t>No</t>
        </is>
      </c>
      <c r="X1881" s="16" t="inlineStr">
        <is>
          <t>Yes</t>
        </is>
      </c>
      <c r="Y1881" s="20" t="n">
        <v>70</v>
      </c>
      <c r="Z1881" s="19" t="n">
        <v>0.1007</v>
      </c>
      <c r="AA1881" s="18" t="n">
        <v>0</v>
      </c>
      <c r="AB1881" s="16" t="inlineStr">
        <is>
          <t>Poor</t>
        </is>
      </c>
      <c r="AC1881" s="16" t="inlineStr">
        <is>
          <t>No</t>
        </is>
      </c>
      <c r="AD1881" s="19" t="n">
        <v>0.0243</v>
      </c>
      <c r="AE1881" s="19" t="n">
        <v>0.06370000000000001</v>
      </c>
      <c r="AF1881" s="19" t="n">
        <v>-0.5202</v>
      </c>
      <c r="AG1881" s="19" t="n">
        <v>-0.0289</v>
      </c>
      <c r="AH1881" s="23" t="n">
        <v>3.11</v>
      </c>
      <c r="AI1881" s="23" t="n">
        <v>3.75</v>
      </c>
      <c r="AJ1881" s="19" t="n">
        <v>0.1424</v>
      </c>
    </row>
    <row r="1882">
      <c r="A1882" s="16" t="inlineStr">
        <is>
          <t>AXENTRA</t>
        </is>
      </c>
      <c r="B1882" s="16" t="inlineStr">
        <is>
          <t>Axentra Corp Ltd.</t>
        </is>
      </c>
      <c r="C1882" s="16" t="inlineStr">
        <is>
          <t>Construction &amp; Engineering</t>
        </is>
      </c>
      <c r="D1882" s="16" t="inlineStr">
        <is>
          <t>Cement and Construction</t>
        </is>
      </c>
      <c r="E1882" s="16" t="inlineStr">
        <is>
          <t>INE919M01026</t>
        </is>
      </c>
      <c r="F1882" s="17" t="n">
        <v>600.0599999999999</v>
      </c>
      <c r="G1882" s="18" t="n">
        <v>304.6</v>
      </c>
      <c r="H1882" s="19" t="n">
        <v>0</v>
      </c>
      <c r="I1882" s="20" t="n">
        <v>57</v>
      </c>
      <c r="J1882" s="16" t="inlineStr">
        <is>
          <t>red</t>
        </is>
      </c>
      <c r="K1882" s="20" t="n">
        <v>2</v>
      </c>
      <c r="L1882" s="18" t="n">
        <v>0</v>
      </c>
      <c r="M1882" s="18" t="n">
        <v>305.74</v>
      </c>
      <c r="N1882" s="18" t="n">
        <v>312.98</v>
      </c>
      <c r="O1882" s="18" t="n">
        <v>343.77</v>
      </c>
      <c r="P1882" s="18" t="n">
        <v>371.85</v>
      </c>
      <c r="Q1882" s="18" t="n">
        <v>150.25</v>
      </c>
      <c r="R1882" s="21">
        <f>IF(OR(G1882="",P1882=""),"",G1882/P1882-1)</f>
        <v/>
      </c>
      <c r="S1882" s="19" t="n">
        <v>0</v>
      </c>
      <c r="T1882" s="22" t="n">
        <v>-0.0052</v>
      </c>
      <c r="U1882" s="16" t="inlineStr">
        <is>
          <t>No</t>
        </is>
      </c>
      <c r="V1882" s="16" t="inlineStr">
        <is>
          <t>No</t>
        </is>
      </c>
      <c r="W1882" s="16" t="inlineStr">
        <is>
          <t>No</t>
        </is>
      </c>
      <c r="X1882" s="16" t="inlineStr">
        <is>
          <t>No</t>
        </is>
      </c>
      <c r="Y1882" s="20" t="n">
        <v>42</v>
      </c>
      <c r="Z1882" s="19" t="n">
        <v>-0.08960000000000001</v>
      </c>
      <c r="AA1882" s="18" t="n"/>
      <c r="AB1882" s="16" t="n"/>
      <c r="AC1882" s="16" t="inlineStr">
        <is>
          <t>No</t>
        </is>
      </c>
      <c r="AD1882" s="19" t="n"/>
      <c r="AE1882" s="19" t="n"/>
      <c r="AF1882" s="19" t="n"/>
      <c r="AG1882" s="19" t="n"/>
      <c r="AH1882" s="23" t="n"/>
      <c r="AI1882" s="23" t="n"/>
      <c r="AJ1882" s="19" t="n"/>
    </row>
    <row r="1883">
      <c r="A1883" s="16" t="inlineStr">
        <is>
          <t>LTELEVATOR</t>
        </is>
      </c>
      <c r="B1883" s="16" t="inlineStr">
        <is>
          <t>L T Elevator Ltd.</t>
        </is>
      </c>
      <c r="C1883" s="16" t="inlineStr">
        <is>
          <t>Heavy Electrical Equipment</t>
        </is>
      </c>
      <c r="D1883" s="16" t="inlineStr">
        <is>
          <t>General Industrials</t>
        </is>
      </c>
      <c r="E1883" s="16" t="inlineStr">
        <is>
          <t>INE0TJ801010</t>
        </is>
      </c>
      <c r="F1883" s="17" t="n">
        <v>599.8099999999999</v>
      </c>
      <c r="G1883" s="18" t="n">
        <v>313</v>
      </c>
      <c r="H1883" s="19" t="n">
        <v>0.0115</v>
      </c>
      <c r="I1883" s="20" t="n">
        <v>86</v>
      </c>
      <c r="J1883" s="16" t="inlineStr">
        <is>
          <t>green</t>
        </is>
      </c>
      <c r="K1883" s="20" t="n">
        <v>54</v>
      </c>
      <c r="L1883" s="18" t="n">
        <v>50.47</v>
      </c>
      <c r="M1883" s="18" t="n">
        <v>323.64</v>
      </c>
      <c r="N1883" s="18" t="n">
        <v>285.08</v>
      </c>
      <c r="O1883" s="18" t="n">
        <v>218.14</v>
      </c>
      <c r="P1883" s="18" t="n">
        <v>353.85</v>
      </c>
      <c r="Q1883" s="18" t="n">
        <v>131.92</v>
      </c>
      <c r="R1883" s="21">
        <f>IF(OR(G1883="",P1883=""),"",G1883/P1883-1)</f>
        <v/>
      </c>
      <c r="S1883" s="19" t="n">
        <v>0.4846</v>
      </c>
      <c r="T1883" s="22" t="n">
        <v>0.08869999999999999</v>
      </c>
      <c r="U1883" s="16" t="inlineStr">
        <is>
          <t>Yes</t>
        </is>
      </c>
      <c r="V1883" s="16" t="inlineStr">
        <is>
          <t>Yes</t>
        </is>
      </c>
      <c r="W1883" s="16" t="inlineStr">
        <is>
          <t>No</t>
        </is>
      </c>
      <c r="X1883" s="16" t="inlineStr">
        <is>
          <t>Yes</t>
        </is>
      </c>
      <c r="Y1883" s="20" t="n">
        <v>40</v>
      </c>
      <c r="Z1883" s="19" t="n">
        <v>0.3069</v>
      </c>
      <c r="AA1883" s="18" t="n"/>
      <c r="AB1883" s="16" t="n"/>
      <c r="AC1883" s="16" t="inlineStr">
        <is>
          <t>No</t>
        </is>
      </c>
      <c r="AD1883" s="19" t="n"/>
      <c r="AE1883" s="19" t="n"/>
      <c r="AF1883" s="19" t="n"/>
      <c r="AG1883" s="19" t="n"/>
      <c r="AH1883" s="23" t="n"/>
      <c r="AI1883" s="23" t="n"/>
      <c r="AJ1883" s="19" t="n"/>
    </row>
    <row r="1884">
      <c r="A1884" s="16" t="inlineStr">
        <is>
          <t>DCMSIL</t>
        </is>
      </c>
      <c r="B1884" s="16" t="inlineStr">
        <is>
          <t>DCM Shriram International Ltd.</t>
        </is>
      </c>
      <c r="C1884" s="16" t="inlineStr">
        <is>
          <t>Aerospace &amp; Defence</t>
        </is>
      </c>
      <c r="D1884" s="16" t="inlineStr">
        <is>
          <t>General Industrials</t>
        </is>
      </c>
      <c r="E1884" s="16" t="inlineStr">
        <is>
          <t>INE0OU201013</t>
        </is>
      </c>
      <c r="F1884" s="17" t="n">
        <v>598.16</v>
      </c>
      <c r="G1884" s="18" t="n">
        <v>68.76000000000001</v>
      </c>
      <c r="H1884" s="19" t="n">
        <v>-0.0218</v>
      </c>
      <c r="I1884" s="20" t="n">
        <v>44</v>
      </c>
      <c r="J1884" s="16" t="inlineStr">
        <is>
          <t>red</t>
        </is>
      </c>
      <c r="K1884" s="20" t="n">
        <v>3</v>
      </c>
      <c r="L1884" s="18" t="n">
        <v>39.66</v>
      </c>
      <c r="M1884" s="18" t="n">
        <v>71.79000000000001</v>
      </c>
      <c r="N1884" s="18" t="n">
        <v>76.97</v>
      </c>
      <c r="O1884" s="18" t="n"/>
      <c r="P1884" s="18" t="n">
        <v>99.83</v>
      </c>
      <c r="Q1884" s="18" t="n">
        <v>51.91</v>
      </c>
      <c r="R1884" s="21">
        <f>IF(OR(G1884="",P1884=""),"",G1884/P1884-1)</f>
        <v/>
      </c>
      <c r="S1884" s="19" t="n">
        <v>1.3571</v>
      </c>
      <c r="T1884" s="22" t="n"/>
      <c r="U1884" s="16" t="n"/>
      <c r="V1884" s="16" t="inlineStr">
        <is>
          <t>No</t>
        </is>
      </c>
      <c r="W1884" s="16" t="inlineStr">
        <is>
          <t>No</t>
        </is>
      </c>
      <c r="X1884" s="16" t="n"/>
      <c r="Y1884" s="20" t="n"/>
      <c r="Z1884" s="19" t="n"/>
      <c r="AA1884" s="18" t="n">
        <v>26.03</v>
      </c>
      <c r="AB1884" s="16" t="inlineStr">
        <is>
          <t>Poor</t>
        </is>
      </c>
      <c r="AC1884" s="16" t="inlineStr">
        <is>
          <t>No</t>
        </is>
      </c>
      <c r="AD1884" s="19" t="n">
        <v>0.06280000000000001</v>
      </c>
      <c r="AE1884" s="19" t="n">
        <v>0.0886</v>
      </c>
      <c r="AF1884" s="19" t="n">
        <v>-1</v>
      </c>
      <c r="AG1884" s="19" t="n">
        <v>-0.2113</v>
      </c>
      <c r="AH1884" s="23" t="n">
        <v>0.2</v>
      </c>
      <c r="AI1884" s="23" t="n">
        <v>1.78</v>
      </c>
      <c r="AJ1884" s="19" t="n">
        <v>0.0515</v>
      </c>
    </row>
    <row r="1885">
      <c r="A1885" s="16" t="inlineStr">
        <is>
          <t>VEEFIN</t>
        </is>
      </c>
      <c r="B1885" s="16" t="inlineStr">
        <is>
          <t>Veefin Solutions Ltd.</t>
        </is>
      </c>
      <c r="C1885" s="16" t="inlineStr">
        <is>
          <t>IT Software Products</t>
        </is>
      </c>
      <c r="D1885" s="16" t="inlineStr">
        <is>
          <t>Software &amp; Services</t>
        </is>
      </c>
      <c r="E1885" s="16" t="inlineStr">
        <is>
          <t>INE0Q0M01015</t>
        </is>
      </c>
      <c r="F1885" s="17" t="n">
        <v>597.62</v>
      </c>
      <c r="G1885" s="18" t="n">
        <v>234</v>
      </c>
      <c r="H1885" s="19" t="n">
        <v>0.0128</v>
      </c>
      <c r="I1885" s="20" t="n">
        <v>4</v>
      </c>
      <c r="J1885" s="16" t="inlineStr">
        <is>
          <t>red</t>
        </is>
      </c>
      <c r="K1885" s="20" t="n">
        <v>68</v>
      </c>
      <c r="L1885" s="18" t="n">
        <v>25.66</v>
      </c>
      <c r="M1885" s="18" t="n">
        <v>235.69</v>
      </c>
      <c r="N1885" s="18" t="n">
        <v>286.03</v>
      </c>
      <c r="O1885" s="18" t="n">
        <v>306.12</v>
      </c>
      <c r="P1885" s="18" t="n">
        <v>410.85</v>
      </c>
      <c r="Q1885" s="18" t="n">
        <v>223</v>
      </c>
      <c r="R1885" s="21">
        <f>IF(OR(G1885="",P1885=""),"",G1885/P1885-1)</f>
        <v/>
      </c>
      <c r="S1885" s="19" t="n">
        <v>0.1881</v>
      </c>
      <c r="T1885" s="22" t="n">
        <v>-0.0384</v>
      </c>
      <c r="U1885" s="16" t="inlineStr">
        <is>
          <t>No</t>
        </is>
      </c>
      <c r="V1885" s="16" t="inlineStr">
        <is>
          <t>No</t>
        </is>
      </c>
      <c r="W1885" s="16" t="inlineStr">
        <is>
          <t>No</t>
        </is>
      </c>
      <c r="X1885" s="16" t="inlineStr">
        <is>
          <t>No</t>
        </is>
      </c>
      <c r="Y1885" s="20" t="n">
        <v>32</v>
      </c>
      <c r="Z1885" s="19" t="n">
        <v>-0.06559999999999999</v>
      </c>
      <c r="AA1885" s="18" t="n"/>
      <c r="AB1885" s="16" t="n"/>
      <c r="AC1885" s="16" t="inlineStr">
        <is>
          <t>No</t>
        </is>
      </c>
      <c r="AD1885" s="19" t="n"/>
      <c r="AE1885" s="19" t="n"/>
      <c r="AF1885" s="19" t="n"/>
      <c r="AG1885" s="19" t="n"/>
      <c r="AH1885" s="23" t="n"/>
      <c r="AI1885" s="23" t="n"/>
      <c r="AJ1885" s="19" t="n"/>
    </row>
    <row r="1886">
      <c r="A1886" s="16" t="inlineStr">
        <is>
          <t>AERPACE</t>
        </is>
      </c>
      <c r="B1886" s="16" t="inlineStr">
        <is>
          <t>Aerpace Industries Ltd.</t>
        </is>
      </c>
      <c r="C1886" s="16" t="inlineStr">
        <is>
          <t>Iron &amp; Steel/Interm.Products</t>
        </is>
      </c>
      <c r="D1886" s="16" t="inlineStr">
        <is>
          <t>Metals &amp; Mining</t>
        </is>
      </c>
      <c r="E1886" s="16" t="inlineStr">
        <is>
          <t>INE175N01023</t>
        </is>
      </c>
      <c r="F1886" s="17" t="n">
        <v>597.41</v>
      </c>
      <c r="G1886" s="18" t="n">
        <v>39.96</v>
      </c>
      <c r="H1886" s="19" t="n">
        <v>-0.0199</v>
      </c>
      <c r="I1886" s="20" t="n">
        <v>93</v>
      </c>
      <c r="J1886" s="16" t="inlineStr">
        <is>
          <t>green</t>
        </is>
      </c>
      <c r="K1886" s="20" t="n">
        <v>39</v>
      </c>
      <c r="L1886" s="18" t="n">
        <v>79.44</v>
      </c>
      <c r="M1886" s="18" t="n">
        <v>39.41</v>
      </c>
      <c r="N1886" s="18" t="n">
        <v>33.92</v>
      </c>
      <c r="O1886" s="18" t="n">
        <v>26.84</v>
      </c>
      <c r="P1886" s="18" t="n">
        <v>42.44</v>
      </c>
      <c r="Q1886" s="18" t="n">
        <v>18.03</v>
      </c>
      <c r="R1886" s="21">
        <f>IF(OR(G1886="",P1886=""),"",G1886/P1886-1)</f>
        <v/>
      </c>
      <c r="S1886" s="19" t="n">
        <v>0.0354</v>
      </c>
      <c r="T1886" s="22" t="n">
        <v>0.0579</v>
      </c>
      <c r="U1886" s="16" t="inlineStr">
        <is>
          <t>Yes</t>
        </is>
      </c>
      <c r="V1886" s="16" t="inlineStr">
        <is>
          <t>Yes</t>
        </is>
      </c>
      <c r="W1886" s="16" t="inlineStr">
        <is>
          <t>Yes</t>
        </is>
      </c>
      <c r="X1886" s="16" t="inlineStr">
        <is>
          <t>Yes</t>
        </is>
      </c>
      <c r="Y1886" s="20" t="n">
        <v>58</v>
      </c>
      <c r="Z1886" s="19" t="n">
        <v>0.2639</v>
      </c>
      <c r="AA1886" s="18" t="n"/>
      <c r="AB1886" s="16" t="n"/>
      <c r="AC1886" s="16" t="inlineStr">
        <is>
          <t>No</t>
        </is>
      </c>
      <c r="AD1886" s="19" t="n"/>
      <c r="AE1886" s="19" t="n"/>
      <c r="AF1886" s="19" t="n"/>
      <c r="AG1886" s="19" t="n"/>
      <c r="AH1886" s="23" t="n"/>
      <c r="AI1886" s="23" t="n"/>
      <c r="AJ1886" s="19" t="n"/>
    </row>
    <row r="1887">
      <c r="A1887" s="16" t="inlineStr">
        <is>
          <t>MRTX</t>
        </is>
      </c>
      <c r="B1887" s="16" t="inlineStr">
        <is>
          <t>Merritronix Ltd.</t>
        </is>
      </c>
      <c r="C1887" s="16" t="inlineStr">
        <is>
          <t>Electronic Components</t>
        </is>
      </c>
      <c r="D1887" s="16" t="inlineStr">
        <is>
          <t>Commercial Services &amp; Supplies</t>
        </is>
      </c>
      <c r="E1887" s="16" t="inlineStr">
        <is>
          <t>INE1RQS01010</t>
        </is>
      </c>
      <c r="F1887" s="17" t="n">
        <v>595.27</v>
      </c>
      <c r="G1887" s="18" t="n">
        <v>340.45</v>
      </c>
      <c r="H1887" s="19" t="n">
        <v>0.0786</v>
      </c>
      <c r="I1887" s="20" t="n">
        <v>54</v>
      </c>
      <c r="J1887" s="16" t="inlineStr">
        <is>
          <t>red</t>
        </is>
      </c>
      <c r="K1887" s="20" t="n">
        <v>2</v>
      </c>
      <c r="L1887" s="18" t="n">
        <v>55.23</v>
      </c>
      <c r="M1887" s="18" t="n">
        <v>319.43</v>
      </c>
      <c r="N1887" s="18" t="n">
        <v>356.44</v>
      </c>
      <c r="O1887" s="18" t="n"/>
      <c r="P1887" s="18" t="n">
        <v>455.7</v>
      </c>
      <c r="Q1887" s="18" t="n">
        <v>297.25</v>
      </c>
      <c r="R1887" s="21">
        <f>IF(OR(G1887="",P1887=""),"",G1887/P1887-1)</f>
        <v/>
      </c>
      <c r="S1887" s="19" t="n">
        <v>1.8222</v>
      </c>
      <c r="T1887" s="22" t="n"/>
      <c r="U1887" s="16" t="n"/>
      <c r="V1887" s="16" t="inlineStr">
        <is>
          <t>No</t>
        </is>
      </c>
      <c r="W1887" s="16" t="inlineStr">
        <is>
          <t>Yes</t>
        </is>
      </c>
      <c r="X1887" s="16" t="n"/>
      <c r="Y1887" s="20" t="n"/>
      <c r="Z1887" s="19" t="n"/>
      <c r="AA1887" s="18" t="n"/>
      <c r="AB1887" s="16" t="n"/>
      <c r="AC1887" s="16" t="inlineStr">
        <is>
          <t>No</t>
        </is>
      </c>
      <c r="AD1887" s="19" t="n"/>
      <c r="AE1887" s="19" t="n"/>
      <c r="AF1887" s="19" t="n"/>
      <c r="AG1887" s="19" t="n"/>
      <c r="AH1887" s="23" t="n"/>
      <c r="AI1887" s="23" t="n"/>
      <c r="AJ1887" s="19" t="n"/>
    </row>
    <row r="1888">
      <c r="A1888" s="16" t="inlineStr">
        <is>
          <t>NAHARINDUS</t>
        </is>
      </c>
      <c r="B1888" s="16" t="inlineStr">
        <is>
          <t>Nahar Industrial Enterprises Ltd.</t>
        </is>
      </c>
      <c r="C1888" s="16" t="inlineStr">
        <is>
          <t>Textiles</t>
        </is>
      </c>
      <c r="D1888" s="16" t="inlineStr">
        <is>
          <t>Textiles Apparels &amp; Accessories</t>
        </is>
      </c>
      <c r="E1888" s="16" t="inlineStr">
        <is>
          <t>INE289A01011</t>
        </is>
      </c>
      <c r="F1888" s="17" t="n">
        <v>594.64</v>
      </c>
      <c r="G1888" s="18" t="n">
        <v>137.63</v>
      </c>
      <c r="H1888" s="19" t="n">
        <v>-0.0024</v>
      </c>
      <c r="I1888" s="20" t="n">
        <v>72</v>
      </c>
      <c r="J1888" s="16" t="inlineStr">
        <is>
          <t>amber</t>
        </is>
      </c>
      <c r="K1888" s="20" t="n">
        <v>9</v>
      </c>
      <c r="L1888" s="18" t="n">
        <v>67.41</v>
      </c>
      <c r="M1888" s="18" t="n">
        <v>136.28</v>
      </c>
      <c r="N1888" s="18" t="n">
        <v>122.32</v>
      </c>
      <c r="O1888" s="18" t="n">
        <v>110.51</v>
      </c>
      <c r="P1888" s="18" t="n">
        <v>147.6</v>
      </c>
      <c r="Q1888" s="18" t="n">
        <v>84.16</v>
      </c>
      <c r="R1888" s="21">
        <f>IF(OR(G1888="",P1888=""),"",G1888/P1888-1)</f>
        <v/>
      </c>
      <c r="S1888" s="19" t="n">
        <v>0.2575</v>
      </c>
      <c r="T1888" s="22" t="n">
        <v>0.0151</v>
      </c>
      <c r="U1888" s="16" t="inlineStr">
        <is>
          <t>Yes</t>
        </is>
      </c>
      <c r="V1888" s="16" t="inlineStr">
        <is>
          <t>Yes</t>
        </is>
      </c>
      <c r="W1888" s="16" t="inlineStr">
        <is>
          <t>Yes</t>
        </is>
      </c>
      <c r="X1888" s="16" t="inlineStr">
        <is>
          <t>Yes</t>
        </is>
      </c>
      <c r="Y1888" s="20" t="n">
        <v>66</v>
      </c>
      <c r="Z1888" s="19" t="n">
        <v>0.1069</v>
      </c>
      <c r="AA1888" s="18" t="n">
        <v>19.08</v>
      </c>
      <c r="AB1888" s="16" t="inlineStr">
        <is>
          <t>Poor</t>
        </is>
      </c>
      <c r="AC1888" s="16" t="inlineStr">
        <is>
          <t>No</t>
        </is>
      </c>
      <c r="AD1888" s="19" t="n">
        <v>0.026</v>
      </c>
      <c r="AE1888" s="19" t="n">
        <v>0.0441</v>
      </c>
      <c r="AF1888" s="19" t="n">
        <v>-0.328</v>
      </c>
      <c r="AG1888" s="19" t="n">
        <v>-0.0693</v>
      </c>
      <c r="AH1888" s="23" t="n">
        <v>0.65</v>
      </c>
      <c r="AI1888" s="23" t="n">
        <v>2.43</v>
      </c>
      <c r="AJ1888" s="19" t="n">
        <v>0.1147</v>
      </c>
    </row>
    <row r="1889">
      <c r="A1889" s="16" t="inlineStr">
        <is>
          <t>BIGBLOC</t>
        </is>
      </c>
      <c r="B1889" s="16" t="inlineStr">
        <is>
          <t>Bigbloc Construction Ltd.</t>
        </is>
      </c>
      <c r="C1889" s="16" t="inlineStr">
        <is>
          <t>Cement &amp; Cement Products</t>
        </is>
      </c>
      <c r="D1889" s="16" t="inlineStr">
        <is>
          <t>Cement and Construction</t>
        </is>
      </c>
      <c r="E1889" s="16" t="inlineStr">
        <is>
          <t>INE412U01025</t>
        </is>
      </c>
      <c r="F1889" s="17" t="n">
        <v>593.49</v>
      </c>
      <c r="G1889" s="18" t="n">
        <v>41.92</v>
      </c>
      <c r="H1889" s="19" t="n">
        <v>0.0153</v>
      </c>
      <c r="I1889" s="20" t="n">
        <v>6</v>
      </c>
      <c r="J1889" s="16" t="inlineStr">
        <is>
          <t>red</t>
        </is>
      </c>
      <c r="K1889" s="20" t="n">
        <v>142</v>
      </c>
      <c r="L1889" s="18" t="n">
        <v>33.56</v>
      </c>
      <c r="M1889" s="18" t="n">
        <v>41.99</v>
      </c>
      <c r="N1889" s="18" t="n">
        <v>45.79</v>
      </c>
      <c r="O1889" s="18" t="n">
        <v>53.68</v>
      </c>
      <c r="P1889" s="18" t="n">
        <v>78.02</v>
      </c>
      <c r="Q1889" s="18" t="n">
        <v>38.3</v>
      </c>
      <c r="R1889" s="21">
        <f>IF(OR(G1889="",P1889=""),"",G1889/P1889-1)</f>
        <v/>
      </c>
      <c r="S1889" s="19" t="n">
        <v>1.2117</v>
      </c>
      <c r="T1889" s="22" t="n">
        <v>-0.0139</v>
      </c>
      <c r="U1889" s="16" t="inlineStr">
        <is>
          <t>No</t>
        </is>
      </c>
      <c r="V1889" s="16" t="inlineStr">
        <is>
          <t>No</t>
        </is>
      </c>
      <c r="W1889" s="16" t="inlineStr">
        <is>
          <t>No</t>
        </is>
      </c>
      <c r="X1889" s="16" t="inlineStr">
        <is>
          <t>No</t>
        </is>
      </c>
      <c r="Y1889" s="20" t="n">
        <v>122</v>
      </c>
      <c r="Z1889" s="19" t="n">
        <v>-0.1471</v>
      </c>
      <c r="AA1889" s="18" t="n">
        <v>27.29</v>
      </c>
      <c r="AB1889" s="16" t="inlineStr">
        <is>
          <t>Poor</t>
        </is>
      </c>
      <c r="AC1889" s="16" t="inlineStr">
        <is>
          <t>No</t>
        </is>
      </c>
      <c r="AD1889" s="19" t="n">
        <v>0.1178</v>
      </c>
      <c r="AE1889" s="19" t="n">
        <v>0.0916</v>
      </c>
      <c r="AF1889" s="19" t="n">
        <v>-0.6153</v>
      </c>
      <c r="AG1889" s="19" t="n">
        <v>0.1336</v>
      </c>
      <c r="AH1889" s="23" t="n">
        <v>1.47</v>
      </c>
      <c r="AI1889" s="23" t="n">
        <v>1.16</v>
      </c>
      <c r="AJ1889" s="19" t="n">
        <v>0.0399</v>
      </c>
    </row>
    <row r="1890">
      <c r="A1890" s="16" t="inlineStr">
        <is>
          <t>SMTEL</t>
        </is>
      </c>
      <c r="B1890" s="16" t="inlineStr">
        <is>
          <t>SMT Engineering Ltd.</t>
        </is>
      </c>
      <c r="C1890" s="16" t="inlineStr">
        <is>
          <t>Commodity Trading  &amp; Distribution</t>
        </is>
      </c>
      <c r="D1890" s="16" t="inlineStr">
        <is>
          <t>Commercial Services &amp; Supplies</t>
        </is>
      </c>
      <c r="E1890" s="16" t="inlineStr">
        <is>
          <t>INE673E01018</t>
        </is>
      </c>
      <c r="F1890" s="17" t="n">
        <v>592.9</v>
      </c>
      <c r="G1890" s="18" t="n">
        <v>358.9</v>
      </c>
      <c r="H1890" s="19" t="n">
        <v>-0.0221</v>
      </c>
      <c r="I1890" s="20" t="n">
        <v>98</v>
      </c>
      <c r="J1890" s="16" t="inlineStr">
        <is>
          <t>green</t>
        </is>
      </c>
      <c r="K1890" s="20" t="n">
        <v>385</v>
      </c>
      <c r="L1890" s="18" t="n">
        <v>43.52</v>
      </c>
      <c r="M1890" s="18" t="n">
        <v>372.26</v>
      </c>
      <c r="N1890" s="18" t="n">
        <v>434.42</v>
      </c>
      <c r="O1890" s="18" t="n">
        <v>359.49</v>
      </c>
      <c r="P1890" s="18" t="n">
        <v>566.05</v>
      </c>
      <c r="Q1890" s="18" t="n">
        <v>42.07</v>
      </c>
      <c r="R1890" s="21">
        <f>IF(OR(G1890="",P1890=""),"",G1890/P1890-1)</f>
        <v/>
      </c>
      <c r="S1890" s="19" t="n">
        <v>2.556</v>
      </c>
      <c r="T1890" s="22" t="n">
        <v>0.09179999999999999</v>
      </c>
      <c r="U1890" s="16" t="inlineStr">
        <is>
          <t>Yes</t>
        </is>
      </c>
      <c r="V1890" s="16" t="inlineStr">
        <is>
          <t>No</t>
        </is>
      </c>
      <c r="W1890" s="16" t="inlineStr">
        <is>
          <t>No</t>
        </is>
      </c>
      <c r="X1890" s="16" t="inlineStr">
        <is>
          <t>Yes</t>
        </is>
      </c>
      <c r="Y1890" s="20" t="n">
        <v>377</v>
      </c>
      <c r="Z1890" s="19" t="n">
        <v>0.2085</v>
      </c>
      <c r="AA1890" s="18" t="n"/>
      <c r="AB1890" s="16" t="n"/>
      <c r="AC1890" s="16" t="inlineStr">
        <is>
          <t>No</t>
        </is>
      </c>
      <c r="AD1890" s="19" t="n"/>
      <c r="AE1890" s="19" t="n"/>
      <c r="AF1890" s="19" t="n"/>
      <c r="AG1890" s="19" t="n"/>
      <c r="AH1890" s="23" t="n"/>
      <c r="AI1890" s="23" t="n"/>
      <c r="AJ1890" s="19" t="n"/>
    </row>
    <row r="1891">
      <c r="A1891" s="16" t="inlineStr">
        <is>
          <t>CTCL</t>
        </is>
      </c>
      <c r="B1891" s="16" t="inlineStr">
        <is>
          <t>Captain Technocast Ltd.</t>
        </is>
      </c>
      <c r="C1891" s="16" t="inlineStr">
        <is>
          <t>Other Industrial Goods</t>
        </is>
      </c>
      <c r="D1891" s="16" t="inlineStr">
        <is>
          <t>General Industrials</t>
        </is>
      </c>
      <c r="E1891" s="16" t="inlineStr">
        <is>
          <t>INE931X01010</t>
        </is>
      </c>
      <c r="F1891" s="17" t="n">
        <v>592.11</v>
      </c>
      <c r="G1891" s="18" t="n">
        <v>255</v>
      </c>
      <c r="H1891" s="19" t="n">
        <v>0</v>
      </c>
      <c r="I1891" s="20" t="n">
        <v>68</v>
      </c>
      <c r="J1891" s="16" t="inlineStr">
        <is>
          <t>amber</t>
        </is>
      </c>
      <c r="K1891" s="20" t="n">
        <v>6</v>
      </c>
      <c r="L1891" s="18" t="n">
        <v>28.92</v>
      </c>
      <c r="M1891" s="18" t="n">
        <v>271.87</v>
      </c>
      <c r="N1891" s="18" t="n">
        <v>249.29</v>
      </c>
      <c r="O1891" s="18" t="n">
        <v>204.32</v>
      </c>
      <c r="P1891" s="18" t="n">
        <v>290</v>
      </c>
      <c r="Q1891" s="18" t="n">
        <v>140</v>
      </c>
      <c r="R1891" s="21">
        <f>IF(OR(G1891="",P1891=""),"",G1891/P1891-1)</f>
        <v/>
      </c>
      <c r="S1891" s="19" t="n">
        <v>0</v>
      </c>
      <c r="T1891" s="22" t="n">
        <v>0.0566</v>
      </c>
      <c r="U1891" s="16" t="inlineStr">
        <is>
          <t>Yes</t>
        </is>
      </c>
      <c r="V1891" s="16" t="inlineStr">
        <is>
          <t>Yes</t>
        </is>
      </c>
      <c r="W1891" s="16" t="inlineStr">
        <is>
          <t>No</t>
        </is>
      </c>
      <c r="X1891" s="16" t="inlineStr">
        <is>
          <t>Yes</t>
        </is>
      </c>
      <c r="Y1891" s="20" t="n">
        <v>67</v>
      </c>
      <c r="Z1891" s="19" t="n">
        <v>0.2201</v>
      </c>
      <c r="AA1891" s="18" t="n"/>
      <c r="AB1891" s="16" t="n"/>
      <c r="AC1891" s="16" t="inlineStr">
        <is>
          <t>No</t>
        </is>
      </c>
      <c r="AD1891" s="19" t="n"/>
      <c r="AE1891" s="19" t="n"/>
      <c r="AF1891" s="19" t="n"/>
      <c r="AG1891" s="19" t="n"/>
      <c r="AH1891" s="23" t="n"/>
      <c r="AI1891" s="23" t="n"/>
      <c r="AJ1891" s="19" t="n"/>
    </row>
    <row r="1892">
      <c r="A1892" s="16" t="inlineStr">
        <is>
          <t>ADSL</t>
        </is>
      </c>
      <c r="B1892" s="16" t="inlineStr">
        <is>
          <t>Allied Digital Services Ltd.</t>
        </is>
      </c>
      <c r="C1892" s="16" t="inlineStr">
        <is>
          <t>IT Consulting &amp; Software</t>
        </is>
      </c>
      <c r="D1892" s="16" t="inlineStr">
        <is>
          <t>Software &amp; Services</t>
        </is>
      </c>
      <c r="E1892" s="16" t="inlineStr">
        <is>
          <t>INE102I01027</t>
        </is>
      </c>
      <c r="F1892" s="17" t="n">
        <v>589.9</v>
      </c>
      <c r="G1892" s="18" t="n">
        <v>104.13</v>
      </c>
      <c r="H1892" s="19" t="n">
        <v>-0.0069</v>
      </c>
      <c r="I1892" s="20" t="n">
        <v>8</v>
      </c>
      <c r="J1892" s="16" t="inlineStr">
        <is>
          <t>red</t>
        </is>
      </c>
      <c r="K1892" s="20" t="n">
        <v>356</v>
      </c>
      <c r="L1892" s="18" t="n">
        <v>27.39</v>
      </c>
      <c r="M1892" s="18" t="n">
        <v>105.28</v>
      </c>
      <c r="N1892" s="18" t="n">
        <v>113.72</v>
      </c>
      <c r="O1892" s="18" t="n">
        <v>122.89</v>
      </c>
      <c r="P1892" s="18" t="n">
        <v>200.36</v>
      </c>
      <c r="Q1892" s="18" t="n">
        <v>85.95</v>
      </c>
      <c r="R1892" s="21">
        <f>IF(OR(G1892="",P1892=""),"",G1892/P1892-1)</f>
        <v/>
      </c>
      <c r="S1892" s="19" t="n">
        <v>0.6422</v>
      </c>
      <c r="T1892" s="22" t="n">
        <v>-0.0503</v>
      </c>
      <c r="U1892" s="16" t="inlineStr">
        <is>
          <t>No</t>
        </is>
      </c>
      <c r="V1892" s="16" t="inlineStr">
        <is>
          <t>No</t>
        </is>
      </c>
      <c r="W1892" s="16" t="inlineStr">
        <is>
          <t>No</t>
        </is>
      </c>
      <c r="X1892" s="16" t="inlineStr">
        <is>
          <t>No</t>
        </is>
      </c>
      <c r="Y1892" s="20" t="n">
        <v>376</v>
      </c>
      <c r="Z1892" s="19" t="n">
        <v>-0.0746</v>
      </c>
      <c r="AA1892" s="18" t="n">
        <v>51.33</v>
      </c>
      <c r="AB1892" s="16" t="inlineStr">
        <is>
          <t>Average</t>
        </is>
      </c>
      <c r="AC1892" s="16" t="inlineStr">
        <is>
          <t>No</t>
        </is>
      </c>
      <c r="AD1892" s="19" t="n">
        <v>0.061</v>
      </c>
      <c r="AE1892" s="19" t="n">
        <v>0.092</v>
      </c>
      <c r="AF1892" s="19" t="n">
        <v>1.6244</v>
      </c>
      <c r="AG1892" s="19" t="n">
        <v>0.1383</v>
      </c>
      <c r="AH1892" s="23" t="n">
        <v>0.22</v>
      </c>
      <c r="AI1892" s="23" t="n">
        <v>19.02</v>
      </c>
      <c r="AJ1892" s="19" t="n">
        <v>0</v>
      </c>
    </row>
    <row r="1893">
      <c r="A1893" s="16" t="inlineStr">
        <is>
          <t>SHREERAMA</t>
        </is>
      </c>
      <c r="B1893" s="16" t="inlineStr">
        <is>
          <t>Shree Rama Multi-Tech Ltd.</t>
        </is>
      </c>
      <c r="C1893" s="16" t="inlineStr">
        <is>
          <t>Containers &amp; Packaging</t>
        </is>
      </c>
      <c r="D1893" s="16" t="inlineStr">
        <is>
          <t>Commercial Services &amp; Supplies</t>
        </is>
      </c>
      <c r="E1893" s="16" t="inlineStr">
        <is>
          <t>INE879A01019</t>
        </is>
      </c>
      <c r="F1893" s="17" t="n">
        <v>588.86</v>
      </c>
      <c r="G1893" s="18" t="n">
        <v>44.12</v>
      </c>
      <c r="H1893" s="19" t="n">
        <v>-0.009000000000000001</v>
      </c>
      <c r="I1893" s="20" t="n">
        <v>20</v>
      </c>
      <c r="J1893" s="16" t="inlineStr">
        <is>
          <t>red</t>
        </is>
      </c>
      <c r="K1893" s="20" t="n">
        <v>85</v>
      </c>
      <c r="L1893" s="18" t="n">
        <v>40.24</v>
      </c>
      <c r="M1893" s="18" t="n">
        <v>42.8</v>
      </c>
      <c r="N1893" s="18" t="n">
        <v>41.91</v>
      </c>
      <c r="O1893" s="18" t="n">
        <v>49.33</v>
      </c>
      <c r="P1893" s="18" t="n">
        <v>69.23</v>
      </c>
      <c r="Q1893" s="18" t="n">
        <v>37.91</v>
      </c>
      <c r="R1893" s="21">
        <f>IF(OR(G1893="",P1893=""),"",G1893/P1893-1)</f>
        <v/>
      </c>
      <c r="S1893" s="19" t="n">
        <v>0.3852</v>
      </c>
      <c r="T1893" s="22" t="n">
        <v>-0.027</v>
      </c>
      <c r="U1893" s="16" t="inlineStr">
        <is>
          <t>No</t>
        </is>
      </c>
      <c r="V1893" s="16" t="inlineStr">
        <is>
          <t>Yes</t>
        </is>
      </c>
      <c r="W1893" s="16" t="inlineStr">
        <is>
          <t>Yes</t>
        </is>
      </c>
      <c r="X1893" s="16" t="inlineStr">
        <is>
          <t>No</t>
        </is>
      </c>
      <c r="Y1893" s="20" t="n">
        <v>104</v>
      </c>
      <c r="Z1893" s="19" t="n">
        <v>-0.1505</v>
      </c>
      <c r="AA1893" s="18" t="n">
        <v>58.18</v>
      </c>
      <c r="AB1893" s="16" t="inlineStr">
        <is>
          <t>Good</t>
        </is>
      </c>
      <c r="AC1893" s="16" t="inlineStr">
        <is>
          <t>No</t>
        </is>
      </c>
      <c r="AD1893" s="19" t="n">
        <v>0.1906</v>
      </c>
      <c r="AE1893" s="19" t="n">
        <v>0.1317</v>
      </c>
      <c r="AF1893" s="19" t="n">
        <v>0.9198000000000001</v>
      </c>
      <c r="AG1893" s="19" t="n">
        <v>0.07629999999999999</v>
      </c>
      <c r="AH1893" s="23" t="n">
        <v>0.12</v>
      </c>
      <c r="AI1893" s="23" t="n">
        <v>2.88</v>
      </c>
      <c r="AJ1893" s="19" t="n">
        <v>0.0111</v>
      </c>
    </row>
    <row r="1894">
      <c r="A1894" s="16" t="inlineStr">
        <is>
          <t>SAYAJIHOTL</t>
        </is>
      </c>
      <c r="B1894" s="16" t="inlineStr">
        <is>
          <t>Sayaji Hotels Ltd.</t>
        </is>
      </c>
      <c r="C1894" s="16" t="inlineStr">
        <is>
          <t>Hotels</t>
        </is>
      </c>
      <c r="D1894" s="16" t="inlineStr">
        <is>
          <t>Hotels Restaurants &amp; Tourism</t>
        </is>
      </c>
      <c r="E1894" s="16" t="inlineStr">
        <is>
          <t>INE318C01014</t>
        </is>
      </c>
      <c r="F1894" s="17" t="n">
        <v>587.38</v>
      </c>
      <c r="G1894" s="18" t="n">
        <v>335.3</v>
      </c>
      <c r="H1894" s="19" t="n">
        <v>0.075</v>
      </c>
      <c r="I1894" s="20" t="n">
        <v>64</v>
      </c>
      <c r="J1894" s="16" t="inlineStr">
        <is>
          <t>amber</t>
        </is>
      </c>
      <c r="K1894" s="20" t="n">
        <v>1</v>
      </c>
      <c r="L1894" s="18" t="n">
        <v>55.09</v>
      </c>
      <c r="M1894" s="18" t="n">
        <v>327.07</v>
      </c>
      <c r="N1894" s="18" t="n">
        <v>313.53</v>
      </c>
      <c r="O1894" s="18" t="n">
        <v>290.12</v>
      </c>
      <c r="P1894" s="18" t="n">
        <v>347.95</v>
      </c>
      <c r="Q1894" s="18" t="n">
        <v>262.6</v>
      </c>
      <c r="R1894" s="21">
        <f>IF(OR(G1894="",P1894=""),"",G1894/P1894-1)</f>
        <v/>
      </c>
      <c r="S1894" s="19" t="n">
        <v>0.002</v>
      </c>
      <c r="T1894" s="22" t="n">
        <v>0.017</v>
      </c>
      <c r="U1894" s="16" t="inlineStr">
        <is>
          <t>Yes</t>
        </is>
      </c>
      <c r="V1894" s="16" t="inlineStr">
        <is>
          <t>Yes</t>
        </is>
      </c>
      <c r="W1894" s="16" t="inlineStr">
        <is>
          <t>Yes</t>
        </is>
      </c>
      <c r="X1894" s="16" t="inlineStr">
        <is>
          <t>Yes</t>
        </is>
      </c>
      <c r="Y1894" s="20" t="n">
        <v>60</v>
      </c>
      <c r="Z1894" s="19" t="n">
        <v>0.08070000000000001</v>
      </c>
      <c r="AA1894" s="18" t="n"/>
      <c r="AB1894" s="16" t="n"/>
      <c r="AC1894" s="16" t="inlineStr">
        <is>
          <t>No</t>
        </is>
      </c>
      <c r="AD1894" s="19" t="n"/>
      <c r="AE1894" s="19" t="n"/>
      <c r="AF1894" s="19" t="n"/>
      <c r="AG1894" s="19" t="n"/>
      <c r="AH1894" s="23" t="n"/>
      <c r="AI1894" s="23" t="n"/>
      <c r="AJ1894" s="19" t="n"/>
    </row>
    <row r="1895">
      <c r="A1895" s="16" t="inlineStr">
        <is>
          <t>SOFTTECH</t>
        </is>
      </c>
      <c r="B1895" s="16" t="inlineStr">
        <is>
          <t>SoftTech Engineers Ltd.</t>
        </is>
      </c>
      <c r="C1895" s="16" t="inlineStr">
        <is>
          <t>IT Software Products</t>
        </is>
      </c>
      <c r="D1895" s="16" t="inlineStr">
        <is>
          <t>Software &amp; Services</t>
        </is>
      </c>
      <c r="E1895" s="16" t="inlineStr">
        <is>
          <t>INE728Z01015</t>
        </is>
      </c>
      <c r="F1895" s="17" t="n">
        <v>585.73</v>
      </c>
      <c r="G1895" s="18" t="n">
        <v>423.15</v>
      </c>
      <c r="H1895" s="19" t="n">
        <v>0.0032</v>
      </c>
      <c r="I1895" s="20" t="n">
        <v>64</v>
      </c>
      <c r="J1895" s="16" t="inlineStr">
        <is>
          <t>amber</t>
        </is>
      </c>
      <c r="K1895" s="20" t="n">
        <v>2</v>
      </c>
      <c r="L1895" s="18" t="n">
        <v>46.66</v>
      </c>
      <c r="M1895" s="18" t="n">
        <v>418.44</v>
      </c>
      <c r="N1895" s="18" t="n">
        <v>422.32</v>
      </c>
      <c r="O1895" s="18" t="n">
        <v>357.55</v>
      </c>
      <c r="P1895" s="18" t="n">
        <v>481.25</v>
      </c>
      <c r="Q1895" s="18" t="n">
        <v>218.65</v>
      </c>
      <c r="R1895" s="21">
        <f>IF(OR(G1895="",P1895=""),"",G1895/P1895-1)</f>
        <v/>
      </c>
      <c r="S1895" s="19" t="n">
        <v>0.6377</v>
      </c>
      <c r="T1895" s="22" t="n">
        <v>0.019</v>
      </c>
      <c r="U1895" s="16" t="inlineStr">
        <is>
          <t>Yes</t>
        </is>
      </c>
      <c r="V1895" s="16" t="inlineStr">
        <is>
          <t>Yes</t>
        </is>
      </c>
      <c r="W1895" s="16" t="inlineStr">
        <is>
          <t>Yes</t>
        </is>
      </c>
      <c r="X1895" s="16" t="inlineStr">
        <is>
          <t>Yes</t>
        </is>
      </c>
      <c r="Y1895" s="20" t="n">
        <v>72</v>
      </c>
      <c r="Z1895" s="19" t="n">
        <v>0.1811</v>
      </c>
      <c r="AA1895" s="18" t="n">
        <v>48.68</v>
      </c>
      <c r="AB1895" s="16" t="inlineStr">
        <is>
          <t>Average</t>
        </is>
      </c>
      <c r="AC1895" s="16" t="inlineStr">
        <is>
          <t>No</t>
        </is>
      </c>
      <c r="AD1895" s="19" t="n">
        <v>0.0217</v>
      </c>
      <c r="AE1895" s="19" t="n">
        <v>0.05400000000000001</v>
      </c>
      <c r="AF1895" s="19" t="n">
        <v>0.5714</v>
      </c>
      <c r="AG1895" s="19" t="n">
        <v>0.2696</v>
      </c>
      <c r="AH1895" s="23" t="n">
        <v>0.23</v>
      </c>
      <c r="AI1895" s="23" t="n">
        <v>13.44</v>
      </c>
      <c r="AJ1895" s="19" t="n">
        <v>0</v>
      </c>
    </row>
    <row r="1896">
      <c r="A1896" s="16" t="inlineStr">
        <is>
          <t>NBIFIN</t>
        </is>
      </c>
      <c r="B1896" s="16" t="inlineStr">
        <is>
          <t>NBI Industrial Finance Company Ltd.</t>
        </is>
      </c>
      <c r="C1896" s="16" t="inlineStr">
        <is>
          <t>Finance (including NBFCs)</t>
        </is>
      </c>
      <c r="D1896" s="16" t="inlineStr">
        <is>
          <t>Banking and Finance</t>
        </is>
      </c>
      <c r="E1896" s="16" t="inlineStr">
        <is>
          <t>INE365I01020</t>
        </is>
      </c>
      <c r="F1896" s="17" t="n">
        <v>585.61</v>
      </c>
      <c r="G1896" s="18" t="n">
        <v>1981.9</v>
      </c>
      <c r="H1896" s="19" t="n">
        <v>-0.0008</v>
      </c>
      <c r="I1896" s="20" t="n">
        <v>36</v>
      </c>
      <c r="J1896" s="16" t="inlineStr">
        <is>
          <t>red</t>
        </is>
      </c>
      <c r="K1896" s="20" t="n">
        <v>202</v>
      </c>
      <c r="L1896" s="18" t="n">
        <v>29.99</v>
      </c>
      <c r="M1896" s="18" t="n">
        <v>1979.71</v>
      </c>
      <c r="N1896" s="18" t="n">
        <v>2069.19</v>
      </c>
      <c r="O1896" s="18" t="n">
        <v>2027.14</v>
      </c>
      <c r="P1896" s="18" t="n">
        <v>2763.12</v>
      </c>
      <c r="Q1896" s="18" t="n">
        <v>1582.94</v>
      </c>
      <c r="R1896" s="21">
        <f>IF(OR(G1896="",P1896=""),"",G1896/P1896-1)</f>
        <v/>
      </c>
      <c r="S1896" s="19" t="n">
        <v>5.404</v>
      </c>
      <c r="T1896" s="22" t="n">
        <v>-0.0239</v>
      </c>
      <c r="U1896" s="16" t="inlineStr">
        <is>
          <t>No</t>
        </is>
      </c>
      <c r="V1896" s="16" t="inlineStr">
        <is>
          <t>No</t>
        </is>
      </c>
      <c r="W1896" s="16" t="inlineStr">
        <is>
          <t>Yes</t>
        </is>
      </c>
      <c r="X1896" s="16" t="inlineStr">
        <is>
          <t>Yes</t>
        </is>
      </c>
      <c r="Y1896" s="20" t="n">
        <v>10</v>
      </c>
      <c r="Z1896" s="19" t="n">
        <v>0.0207</v>
      </c>
      <c r="AA1896" s="18" t="n">
        <v>20.94</v>
      </c>
      <c r="AB1896" s="16" t="inlineStr">
        <is>
          <t>Poor</t>
        </is>
      </c>
      <c r="AC1896" s="16" t="inlineStr">
        <is>
          <t>Yes</t>
        </is>
      </c>
      <c r="AD1896" s="19" t="n">
        <v>0.0036</v>
      </c>
      <c r="AE1896" s="19" t="n">
        <v>0.004699999999999999</v>
      </c>
      <c r="AF1896" s="19" t="n">
        <v>-0.2037</v>
      </c>
      <c r="AG1896" s="19" t="n">
        <v>0.2074</v>
      </c>
      <c r="AH1896" s="23" t="n">
        <v>0</v>
      </c>
      <c r="AI1896" s="23" t="n"/>
      <c r="AJ1896" s="19" t="n"/>
    </row>
    <row r="1897">
      <c r="A1897" s="16" t="inlineStr">
        <is>
          <t>TIPCO</t>
        </is>
      </c>
      <c r="B1897" s="16" t="inlineStr">
        <is>
          <t>Tipco Engineering India Ltd.</t>
        </is>
      </c>
      <c r="C1897" s="16" t="inlineStr">
        <is>
          <t>Industrial Machinery</t>
        </is>
      </c>
      <c r="D1897" s="16" t="inlineStr">
        <is>
          <t>General Industrials</t>
        </is>
      </c>
      <c r="E1897" s="16" t="inlineStr">
        <is>
          <t>INE1U6D01014</t>
        </is>
      </c>
      <c r="F1897" s="17" t="n">
        <v>584.1900000000001</v>
      </c>
      <c r="G1897" s="18" t="n">
        <v>281.3</v>
      </c>
      <c r="H1897" s="19" t="n"/>
      <c r="I1897" s="20" t="n"/>
      <c r="J1897" s="16" t="n"/>
      <c r="K1897" s="20" t="n"/>
      <c r="L1897" s="18" t="n"/>
      <c r="M1897" s="18" t="n"/>
      <c r="N1897" s="18" t="n"/>
      <c r="O1897" s="18" t="n"/>
      <c r="P1897" s="18" t="n">
        <v>281.3</v>
      </c>
      <c r="Q1897" s="18" t="n">
        <v>281.3</v>
      </c>
      <c r="R1897" s="21">
        <f>IF(OR(G1897="",P1897=""),"",G1897/P1897-1)</f>
        <v/>
      </c>
      <c r="S1897" s="19" t="n">
        <v>1</v>
      </c>
      <c r="T1897" s="22" t="n"/>
      <c r="U1897" s="16" t="n"/>
      <c r="V1897" s="16" t="n"/>
      <c r="W1897" s="16" t="n"/>
      <c r="X1897" s="16" t="n"/>
      <c r="Y1897" s="20" t="n"/>
      <c r="Z1897" s="19" t="n"/>
      <c r="AA1897" s="18" t="n"/>
      <c r="AB1897" s="16" t="n"/>
      <c r="AC1897" s="16" t="inlineStr">
        <is>
          <t>No</t>
        </is>
      </c>
      <c r="AD1897" s="19" t="n"/>
      <c r="AE1897" s="19" t="n"/>
      <c r="AF1897" s="19" t="n"/>
      <c r="AG1897" s="19" t="n"/>
      <c r="AH1897" s="23" t="n"/>
      <c r="AI1897" s="23" t="n"/>
      <c r="AJ1897" s="19" t="n"/>
    </row>
    <row r="1898">
      <c r="A1898" s="16" t="inlineStr">
        <is>
          <t>HINDCOMPOS</t>
        </is>
      </c>
      <c r="B1898" s="16" t="inlineStr">
        <is>
          <t>Hindustan Composites Ltd.</t>
        </is>
      </c>
      <c r="C1898" s="16" t="inlineStr">
        <is>
          <t>Auto Parts &amp; Equipment</t>
        </is>
      </c>
      <c r="D1898" s="16" t="inlineStr">
        <is>
          <t>Automobiles &amp; Auto Components</t>
        </is>
      </c>
      <c r="E1898" s="16" t="inlineStr">
        <is>
          <t>INE310C01029</t>
        </is>
      </c>
      <c r="F1898" s="17" t="n">
        <v>583.15</v>
      </c>
      <c r="G1898" s="18" t="n">
        <v>394.85</v>
      </c>
      <c r="H1898" s="19" t="n">
        <v>0.004500000000000001</v>
      </c>
      <c r="I1898" s="20" t="n">
        <v>24</v>
      </c>
      <c r="J1898" s="16" t="inlineStr">
        <is>
          <t>red</t>
        </is>
      </c>
      <c r="K1898" s="20" t="n">
        <v>91</v>
      </c>
      <c r="L1898" s="18" t="n">
        <v>29.41</v>
      </c>
      <c r="M1898" s="18" t="n">
        <v>403.29</v>
      </c>
      <c r="N1898" s="18" t="n">
        <v>424.78</v>
      </c>
      <c r="O1898" s="18" t="n">
        <v>423.58</v>
      </c>
      <c r="P1898" s="18" t="n">
        <v>498.22</v>
      </c>
      <c r="Q1898" s="18" t="n">
        <v>348.45</v>
      </c>
      <c r="R1898" s="21">
        <f>IF(OR(G1898="",P1898=""),"",G1898/P1898-1)</f>
        <v/>
      </c>
      <c r="S1898" s="19" t="n">
        <v>1.5636</v>
      </c>
      <c r="T1898" s="22" t="n">
        <v>-0.0141</v>
      </c>
      <c r="U1898" s="16" t="inlineStr">
        <is>
          <t>No</t>
        </is>
      </c>
      <c r="V1898" s="16" t="inlineStr">
        <is>
          <t>No</t>
        </is>
      </c>
      <c r="W1898" s="16" t="inlineStr">
        <is>
          <t>No</t>
        </is>
      </c>
      <c r="X1898" s="16" t="inlineStr">
        <is>
          <t>Yes</t>
        </is>
      </c>
      <c r="Y1898" s="20" t="n">
        <v>13</v>
      </c>
      <c r="Z1898" s="19" t="n">
        <v>0.0028</v>
      </c>
      <c r="AA1898" s="18" t="n">
        <v>39.13</v>
      </c>
      <c r="AB1898" s="16" t="inlineStr">
        <is>
          <t>Weak</t>
        </is>
      </c>
      <c r="AC1898" s="16" t="inlineStr">
        <is>
          <t>No</t>
        </is>
      </c>
      <c r="AD1898" s="19" t="n">
        <v>0.0315</v>
      </c>
      <c r="AE1898" s="19" t="n">
        <v>0.0401</v>
      </c>
      <c r="AF1898" s="19" t="n">
        <v>0.0528</v>
      </c>
      <c r="AG1898" s="19" t="n">
        <v>0.1004</v>
      </c>
      <c r="AH1898" s="23" t="n">
        <v>0</v>
      </c>
      <c r="AI1898" s="23" t="n">
        <v>2.5</v>
      </c>
      <c r="AJ1898" s="19" t="n">
        <v>0</v>
      </c>
    </row>
    <row r="1899">
      <c r="A1899" s="16" t="inlineStr">
        <is>
          <t>TRITONV</t>
        </is>
      </c>
      <c r="B1899" s="16" t="inlineStr">
        <is>
          <t>Triton Valves Ltd.</t>
        </is>
      </c>
      <c r="C1899" s="16" t="inlineStr">
        <is>
          <t>Auto Parts &amp; Equipment</t>
        </is>
      </c>
      <c r="D1899" s="16" t="inlineStr">
        <is>
          <t>Automobiles &amp; Auto Components</t>
        </is>
      </c>
      <c r="E1899" s="16" t="inlineStr">
        <is>
          <t>INE440G01017</t>
        </is>
      </c>
      <c r="F1899" s="17" t="n">
        <v>582.6900000000001</v>
      </c>
      <c r="G1899" s="18" t="n">
        <v>1137.6</v>
      </c>
      <c r="H1899" s="19" t="n">
        <v>0.0139</v>
      </c>
      <c r="I1899" s="20" t="n">
        <v>80</v>
      </c>
      <c r="J1899" s="16" t="inlineStr">
        <is>
          <t>green</t>
        </is>
      </c>
      <c r="K1899" s="20" t="n">
        <v>17</v>
      </c>
      <c r="L1899" s="18" t="n">
        <v>44.2</v>
      </c>
      <c r="M1899" s="18" t="n">
        <v>1135.41</v>
      </c>
      <c r="N1899" s="18" t="n">
        <v>1091.39</v>
      </c>
      <c r="O1899" s="18" t="n">
        <v>912.97</v>
      </c>
      <c r="P1899" s="18" t="n">
        <v>1182.7</v>
      </c>
      <c r="Q1899" s="18" t="n">
        <v>658.53</v>
      </c>
      <c r="R1899" s="21">
        <f>IF(OR(G1899="",P1899=""),"",G1899/P1899-1)</f>
        <v/>
      </c>
      <c r="S1899" s="19" t="n">
        <v>0.1408</v>
      </c>
      <c r="T1899" s="22" t="n">
        <v>0.0447</v>
      </c>
      <c r="U1899" s="16" t="inlineStr">
        <is>
          <t>Yes</t>
        </is>
      </c>
      <c r="V1899" s="16" t="inlineStr">
        <is>
          <t>Yes</t>
        </is>
      </c>
      <c r="W1899" s="16" t="inlineStr">
        <is>
          <t>Yes</t>
        </is>
      </c>
      <c r="X1899" s="16" t="inlineStr">
        <is>
          <t>Yes</t>
        </is>
      </c>
      <c r="Y1899" s="20" t="n">
        <v>180</v>
      </c>
      <c r="Z1899" s="19" t="n">
        <v>0.1954</v>
      </c>
      <c r="AA1899" s="18" t="n"/>
      <c r="AB1899" s="16" t="n"/>
      <c r="AC1899" s="16" t="inlineStr">
        <is>
          <t>No</t>
        </is>
      </c>
      <c r="AD1899" s="19" t="n"/>
      <c r="AE1899" s="19" t="n"/>
      <c r="AF1899" s="19" t="n"/>
      <c r="AG1899" s="19" t="n"/>
      <c r="AH1899" s="23" t="n"/>
      <c r="AI1899" s="23" t="n"/>
      <c r="AJ1899" s="19" t="n"/>
    </row>
    <row r="1900">
      <c r="A1900" s="16" t="inlineStr">
        <is>
          <t>CREDENT</t>
        </is>
      </c>
      <c r="B1900" s="16" t="inlineStr">
        <is>
          <t>Credent Connect N Care Ltd.</t>
        </is>
      </c>
      <c r="C1900" s="16" t="inlineStr">
        <is>
          <t>Warehousing &amp; Logistics</t>
        </is>
      </c>
      <c r="D1900" s="16" t="inlineStr">
        <is>
          <t>Transportation</t>
        </is>
      </c>
      <c r="E1900" s="16" t="inlineStr">
        <is>
          <t>INE1KPX01025</t>
        </is>
      </c>
      <c r="F1900" s="17" t="n">
        <v>578.9400000000001</v>
      </c>
      <c r="G1900" s="18" t="n"/>
      <c r="H1900" s="19" t="n"/>
      <c r="I1900" s="20" t="n"/>
      <c r="J1900" s="16" t="n"/>
      <c r="K1900" s="20" t="n"/>
      <c r="L1900" s="18" t="n"/>
      <c r="M1900" s="18" t="n"/>
      <c r="N1900" s="18" t="n"/>
      <c r="O1900" s="18" t="n"/>
      <c r="P1900" s="18" t="n"/>
      <c r="Q1900" s="18" t="n"/>
      <c r="R1900" s="21">
        <f>IF(OR(G1900="",P1900=""),"",G1900/P1900-1)</f>
        <v/>
      </c>
      <c r="S1900" s="19" t="n"/>
      <c r="T1900" s="22" t="n"/>
      <c r="U1900" s="16" t="n"/>
      <c r="V1900" s="16" t="n"/>
      <c r="W1900" s="16" t="n"/>
      <c r="X1900" s="16" t="n"/>
      <c r="Y1900" s="20" t="n"/>
      <c r="Z1900" s="19" t="n"/>
      <c r="AA1900" s="18" t="n"/>
      <c r="AB1900" s="16" t="n"/>
      <c r="AC1900" s="16" t="inlineStr">
        <is>
          <t>No</t>
        </is>
      </c>
      <c r="AD1900" s="19" t="n"/>
      <c r="AE1900" s="19" t="n"/>
      <c r="AF1900" s="19" t="n"/>
      <c r="AG1900" s="19" t="n"/>
      <c r="AH1900" s="23" t="n"/>
      <c r="AI1900" s="23" t="n"/>
      <c r="AJ1900" s="19" t="n"/>
    </row>
    <row r="1901">
      <c r="A1901" s="16" t="inlineStr">
        <is>
          <t>HITECHCORP</t>
        </is>
      </c>
      <c r="B1901" s="16" t="inlineStr">
        <is>
          <t>Hitech Corporation Ltd.</t>
        </is>
      </c>
      <c r="C1901" s="16" t="inlineStr">
        <is>
          <t>Containers &amp; Packaging</t>
        </is>
      </c>
      <c r="D1901" s="16" t="inlineStr">
        <is>
          <t>Commercial Services &amp; Supplies</t>
        </is>
      </c>
      <c r="E1901" s="16" t="inlineStr">
        <is>
          <t>INE120D01012</t>
        </is>
      </c>
      <c r="F1901" s="17" t="n">
        <v>578.8200000000001</v>
      </c>
      <c r="G1901" s="18" t="n">
        <v>337</v>
      </c>
      <c r="H1901" s="19" t="n">
        <v>0.003</v>
      </c>
      <c r="I1901" s="20" t="n">
        <v>91</v>
      </c>
      <c r="J1901" s="16" t="inlineStr">
        <is>
          <t>green</t>
        </is>
      </c>
      <c r="K1901" s="20" t="n">
        <v>73</v>
      </c>
      <c r="L1901" s="18" t="n">
        <v>68.05</v>
      </c>
      <c r="M1901" s="18" t="n">
        <v>335.27</v>
      </c>
      <c r="N1901" s="18" t="n">
        <v>323.79</v>
      </c>
      <c r="O1901" s="18" t="n">
        <v>212.37</v>
      </c>
      <c r="P1901" s="18" t="n">
        <v>337</v>
      </c>
      <c r="Q1901" s="18" t="n">
        <v>113.97</v>
      </c>
      <c r="R1901" s="21">
        <f>IF(OR(G1901="",P1901=""),"",G1901/P1901-1)</f>
        <v/>
      </c>
      <c r="S1901" s="19" t="n">
        <v>0.5764</v>
      </c>
      <c r="T1901" s="22" t="n">
        <v>0.07200000000000001</v>
      </c>
      <c r="U1901" s="16" t="inlineStr">
        <is>
          <t>Yes</t>
        </is>
      </c>
      <c r="V1901" s="16" t="inlineStr">
        <is>
          <t>Yes</t>
        </is>
      </c>
      <c r="W1901" s="16" t="inlineStr">
        <is>
          <t>Yes</t>
        </is>
      </c>
      <c r="X1901" s="16" t="inlineStr">
        <is>
          <t>Yes</t>
        </is>
      </c>
      <c r="Y1901" s="20" t="n">
        <v>62</v>
      </c>
      <c r="Z1901" s="19" t="n">
        <v>0.5246999999999999</v>
      </c>
      <c r="AA1901" s="18" t="n">
        <v>26.37</v>
      </c>
      <c r="AB1901" s="16" t="inlineStr">
        <is>
          <t>Poor</t>
        </is>
      </c>
      <c r="AC1901" s="16" t="inlineStr">
        <is>
          <t>No</t>
        </is>
      </c>
      <c r="AD1901" s="19" t="n">
        <v>0.0566</v>
      </c>
      <c r="AE1901" s="19" t="n">
        <v>0.0968</v>
      </c>
      <c r="AF1901" s="19" t="n">
        <v>-0.6057</v>
      </c>
      <c r="AG1901" s="19" t="n">
        <v>0.0498</v>
      </c>
      <c r="AH1901" s="23" t="n">
        <v>0.48</v>
      </c>
      <c r="AI1901" s="23" t="n">
        <v>2.22</v>
      </c>
      <c r="AJ1901" s="19" t="n">
        <v>0.0412</v>
      </c>
    </row>
    <row r="1902">
      <c r="A1902" s="16" t="inlineStr">
        <is>
          <t>PANCHMAHQ</t>
        </is>
      </c>
      <c r="B1902" s="16" t="inlineStr">
        <is>
          <t>Panchmahal Steel Ltd.</t>
        </is>
      </c>
      <c r="C1902" s="16" t="inlineStr">
        <is>
          <t>Iron &amp; Steel/Interm.Products</t>
        </is>
      </c>
      <c r="D1902" s="16" t="inlineStr">
        <is>
          <t>Metals &amp; Mining</t>
        </is>
      </c>
      <c r="E1902" s="16" t="inlineStr">
        <is>
          <t>INE798F01010</t>
        </is>
      </c>
      <c r="F1902" s="17" t="n">
        <v>578.0700000000001</v>
      </c>
      <c r="G1902" s="18" t="n">
        <v>303</v>
      </c>
      <c r="H1902" s="19" t="n">
        <v>-0.0218</v>
      </c>
      <c r="I1902" s="20" t="n">
        <v>41</v>
      </c>
      <c r="J1902" s="16" t="inlineStr">
        <is>
          <t>red</t>
        </is>
      </c>
      <c r="K1902" s="20" t="n">
        <v>40</v>
      </c>
      <c r="L1902" s="18" t="n">
        <v>50.45</v>
      </c>
      <c r="M1902" s="18" t="n">
        <v>299.99</v>
      </c>
      <c r="N1902" s="18" t="n">
        <v>294.14</v>
      </c>
      <c r="O1902" s="18" t="n">
        <v>308.91</v>
      </c>
      <c r="P1902" s="18" t="n">
        <v>353.7</v>
      </c>
      <c r="Q1902" s="18" t="n">
        <v>253.2</v>
      </c>
      <c r="R1902" s="21">
        <f>IF(OR(G1902="",P1902=""),"",G1902/P1902-1)</f>
        <v/>
      </c>
      <c r="S1902" s="19" t="n">
        <v>0.06469999999999999</v>
      </c>
      <c r="T1902" s="22" t="n">
        <v>0.0018</v>
      </c>
      <c r="U1902" s="16" t="inlineStr">
        <is>
          <t>Yes</t>
        </is>
      </c>
      <c r="V1902" s="16" t="inlineStr">
        <is>
          <t>Yes</t>
        </is>
      </c>
      <c r="W1902" s="16" t="inlineStr">
        <is>
          <t>Yes</t>
        </is>
      </c>
      <c r="X1902" s="16" t="inlineStr">
        <is>
          <t>No</t>
        </is>
      </c>
      <c r="Y1902" s="20" t="n">
        <v>44</v>
      </c>
      <c r="Z1902" s="19" t="n">
        <v>-0.0478</v>
      </c>
      <c r="AA1902" s="18" t="n"/>
      <c r="AB1902" s="16" t="n"/>
      <c r="AC1902" s="16" t="inlineStr">
        <is>
          <t>No</t>
        </is>
      </c>
      <c r="AD1902" s="19" t="n"/>
      <c r="AE1902" s="19" t="n"/>
      <c r="AF1902" s="19" t="n"/>
      <c r="AG1902" s="19" t="n"/>
      <c r="AH1902" s="23" t="n"/>
      <c r="AI1902" s="23" t="n"/>
      <c r="AJ1902" s="19" t="n"/>
    </row>
    <row r="1903">
      <c r="A1903" s="16" t="inlineStr">
        <is>
          <t>GOELCONS</t>
        </is>
      </c>
      <c r="B1903" s="16" t="inlineStr">
        <is>
          <t>Goel Construction Company Ltd.</t>
        </is>
      </c>
      <c r="C1903" s="16" t="inlineStr">
        <is>
          <t>Construction &amp; Engineering</t>
        </is>
      </c>
      <c r="D1903" s="16" t="inlineStr">
        <is>
          <t>Cement and Construction</t>
        </is>
      </c>
      <c r="E1903" s="16" t="inlineStr">
        <is>
          <t>INE0ZOM01013</t>
        </is>
      </c>
      <c r="F1903" s="17" t="n">
        <v>577.98</v>
      </c>
      <c r="G1903" s="18" t="n">
        <v>400</v>
      </c>
      <c r="H1903" s="19" t="n">
        <v>0</v>
      </c>
      <c r="I1903" s="20" t="n">
        <v>60</v>
      </c>
      <c r="J1903" s="16" t="inlineStr">
        <is>
          <t>amber</t>
        </is>
      </c>
      <c r="K1903" s="20" t="n">
        <v>16</v>
      </c>
      <c r="L1903" s="18" t="n">
        <v>35.67</v>
      </c>
      <c r="M1903" s="18" t="n">
        <v>410.61</v>
      </c>
      <c r="N1903" s="18" t="n">
        <v>447.1</v>
      </c>
      <c r="O1903" s="18" t="n">
        <v>353.3</v>
      </c>
      <c r="P1903" s="18" t="n">
        <v>501.9</v>
      </c>
      <c r="Q1903" s="18" t="n">
        <v>258.9</v>
      </c>
      <c r="R1903" s="21">
        <f>IF(OR(G1903="",P1903=""),"",G1903/P1903-1)</f>
        <v/>
      </c>
      <c r="S1903" s="19" t="n">
        <v>3.3708</v>
      </c>
      <c r="T1903" s="22" t="n">
        <v>0.0289</v>
      </c>
      <c r="U1903" s="16" t="inlineStr">
        <is>
          <t>Yes</t>
        </is>
      </c>
      <c r="V1903" s="16" t="inlineStr">
        <is>
          <t>No</t>
        </is>
      </c>
      <c r="W1903" s="16" t="inlineStr">
        <is>
          <t>No</t>
        </is>
      </c>
      <c r="X1903" s="16" t="inlineStr">
        <is>
          <t>Yes</t>
        </is>
      </c>
      <c r="Y1903" s="20" t="n">
        <v>48</v>
      </c>
      <c r="Z1903" s="19" t="n">
        <v>0.2655</v>
      </c>
      <c r="AA1903" s="18" t="n"/>
      <c r="AB1903" s="16" t="n"/>
      <c r="AC1903" s="16" t="inlineStr">
        <is>
          <t>No</t>
        </is>
      </c>
      <c r="AD1903" s="19" t="n"/>
      <c r="AE1903" s="19" t="n"/>
      <c r="AF1903" s="19" t="n"/>
      <c r="AG1903" s="19" t="n"/>
      <c r="AH1903" s="23" t="n"/>
      <c r="AI1903" s="23" t="n"/>
      <c r="AJ1903" s="19" t="n"/>
    </row>
    <row r="1904">
      <c r="A1904" s="16" t="inlineStr">
        <is>
          <t>VALIANTLAB</t>
        </is>
      </c>
      <c r="B1904" s="16" t="inlineStr">
        <is>
          <t>Valiant Laboratories Ltd.</t>
        </is>
      </c>
      <c r="C1904" s="16" t="inlineStr">
        <is>
          <t>Pharmaceuticals</t>
        </is>
      </c>
      <c r="D1904" s="16" t="inlineStr">
        <is>
          <t>Pharmaceuticals &amp; Biotechnology</t>
        </is>
      </c>
      <c r="E1904" s="16" t="inlineStr">
        <is>
          <t>INE0JWS01017</t>
        </is>
      </c>
      <c r="F1904" s="17" t="n">
        <v>575.55</v>
      </c>
      <c r="G1904" s="18" t="n">
        <v>105.97</v>
      </c>
      <c r="H1904" s="19" t="n">
        <v>0.0499</v>
      </c>
      <c r="I1904" s="20" t="n">
        <v>87</v>
      </c>
      <c r="J1904" s="16" t="inlineStr">
        <is>
          <t>green</t>
        </is>
      </c>
      <c r="K1904" s="20" t="n">
        <v>3</v>
      </c>
      <c r="L1904" s="18" t="n">
        <v>68.45999999999999</v>
      </c>
      <c r="M1904" s="18" t="n">
        <v>100.42</v>
      </c>
      <c r="N1904" s="18" t="n">
        <v>74.64</v>
      </c>
      <c r="O1904" s="18" t="n">
        <v>68.48999999999999</v>
      </c>
      <c r="P1904" s="18" t="n">
        <v>107.87</v>
      </c>
      <c r="Q1904" s="18" t="n">
        <v>50.93</v>
      </c>
      <c r="R1904" s="21">
        <f>IF(OR(G1904="",P1904=""),"",G1904/P1904-1)</f>
        <v/>
      </c>
      <c r="S1904" s="19" t="n">
        <v>0.4697</v>
      </c>
      <c r="T1904" s="22" t="n">
        <v>0.0138</v>
      </c>
      <c r="U1904" s="16" t="inlineStr">
        <is>
          <t>Yes</t>
        </is>
      </c>
      <c r="V1904" s="16" t="inlineStr">
        <is>
          <t>Yes</t>
        </is>
      </c>
      <c r="W1904" s="16" t="inlineStr">
        <is>
          <t>Yes</t>
        </is>
      </c>
      <c r="X1904" s="16" t="inlineStr">
        <is>
          <t>Yes</t>
        </is>
      </c>
      <c r="Y1904" s="20" t="n">
        <v>11</v>
      </c>
      <c r="Z1904" s="19" t="n">
        <v>0.0897</v>
      </c>
      <c r="AA1904" s="18" t="n"/>
      <c r="AB1904" s="16" t="n"/>
      <c r="AC1904" s="16" t="inlineStr">
        <is>
          <t>No</t>
        </is>
      </c>
      <c r="AD1904" s="19" t="n"/>
      <c r="AE1904" s="19" t="n"/>
      <c r="AF1904" s="19" t="n"/>
      <c r="AG1904" s="19" t="n"/>
      <c r="AH1904" s="23" t="n"/>
      <c r="AI1904" s="23" t="n"/>
      <c r="AJ1904" s="19" t="n"/>
    </row>
    <row r="1905">
      <c r="A1905" s="16" t="inlineStr">
        <is>
          <t>DCI</t>
        </is>
      </c>
      <c r="B1905" s="16" t="inlineStr">
        <is>
          <t>DC Infotech and Communication Ltd.</t>
        </is>
      </c>
      <c r="C1905" s="16" t="inlineStr">
        <is>
          <t>IT Networking Equipment</t>
        </is>
      </c>
      <c r="D1905" s="16" t="inlineStr">
        <is>
          <t>Hardware Technology &amp; Equipment</t>
        </is>
      </c>
      <c r="E1905" s="16" t="inlineStr">
        <is>
          <t>INE0A1101019</t>
        </is>
      </c>
      <c r="F1905" s="17" t="n">
        <v>574.9</v>
      </c>
      <c r="G1905" s="18" t="n">
        <v>350.55</v>
      </c>
      <c r="H1905" s="19" t="n">
        <v>-0.0199</v>
      </c>
      <c r="I1905" s="20" t="n">
        <v>79</v>
      </c>
      <c r="J1905" s="16" t="inlineStr">
        <is>
          <t>amber</t>
        </is>
      </c>
      <c r="K1905" s="20" t="n">
        <v>1</v>
      </c>
      <c r="L1905" s="18" t="n">
        <v>40.04</v>
      </c>
      <c r="M1905" s="18" t="n">
        <v>378.97</v>
      </c>
      <c r="N1905" s="18" t="n">
        <v>323.77</v>
      </c>
      <c r="O1905" s="18" t="n">
        <v>280.93</v>
      </c>
      <c r="P1905" s="18" t="n">
        <v>413.85</v>
      </c>
      <c r="Q1905" s="18" t="n">
        <v>214.03</v>
      </c>
      <c r="R1905" s="21">
        <f>IF(OR(G1905="",P1905=""),"",G1905/P1905-1)</f>
        <v/>
      </c>
      <c r="S1905" s="19" t="n">
        <v>0.6047</v>
      </c>
      <c r="T1905" s="22" t="n">
        <v>0.0444</v>
      </c>
      <c r="U1905" s="16" t="inlineStr">
        <is>
          <t>Yes</t>
        </is>
      </c>
      <c r="V1905" s="16" t="inlineStr">
        <is>
          <t>Yes</t>
        </is>
      </c>
      <c r="W1905" s="16" t="inlineStr">
        <is>
          <t>No</t>
        </is>
      </c>
      <c r="X1905" s="16" t="inlineStr">
        <is>
          <t>Yes</t>
        </is>
      </c>
      <c r="Y1905" s="20" t="n">
        <v>108</v>
      </c>
      <c r="Z1905" s="19" t="n">
        <v>0.1525</v>
      </c>
      <c r="AA1905" s="18" t="n">
        <v>64.66</v>
      </c>
      <c r="AB1905" s="16" t="inlineStr">
        <is>
          <t>High</t>
        </is>
      </c>
      <c r="AC1905" s="16" t="inlineStr">
        <is>
          <t>No</t>
        </is>
      </c>
      <c r="AD1905" s="19" t="n">
        <v>0.209</v>
      </c>
      <c r="AE1905" s="19" t="n">
        <v>0.2097</v>
      </c>
      <c r="AF1905" s="19" t="n">
        <v>0.3438000000000001</v>
      </c>
      <c r="AG1905" s="19" t="n">
        <v>0.2711</v>
      </c>
      <c r="AH1905" s="23" t="n">
        <v>0.8100000000000001</v>
      </c>
      <c r="AI1905" s="23" t="n">
        <v>94.84999999999999</v>
      </c>
      <c r="AJ1905" s="19" t="n">
        <v>0</v>
      </c>
    </row>
    <row r="1906">
      <c r="A1906" s="16" t="inlineStr">
        <is>
          <t>GLOTTIS</t>
        </is>
      </c>
      <c r="B1906" s="16" t="inlineStr">
        <is>
          <t>Glottis Ltd.</t>
        </is>
      </c>
      <c r="C1906" s="16" t="inlineStr">
        <is>
          <t>Warehousing &amp; Logistics</t>
        </is>
      </c>
      <c r="D1906" s="16" t="inlineStr">
        <is>
          <t>Transportation</t>
        </is>
      </c>
      <c r="E1906" s="16" t="inlineStr">
        <is>
          <t>INE0TQE01026</t>
        </is>
      </c>
      <c r="F1906" s="17" t="n">
        <v>573.8200000000001</v>
      </c>
      <c r="G1906" s="18" t="n">
        <v>62.1</v>
      </c>
      <c r="H1906" s="19" t="n">
        <v>-0.0034</v>
      </c>
      <c r="I1906" s="20" t="n">
        <v>50</v>
      </c>
      <c r="J1906" s="16" t="inlineStr">
        <is>
          <t>red</t>
        </is>
      </c>
      <c r="K1906" s="20" t="n">
        <v>18</v>
      </c>
      <c r="L1906" s="18" t="n">
        <v>28.99</v>
      </c>
      <c r="M1906" s="18" t="n">
        <v>63.51</v>
      </c>
      <c r="N1906" s="18" t="n">
        <v>66.15000000000001</v>
      </c>
      <c r="O1906" s="18" t="n">
        <v>59.14</v>
      </c>
      <c r="P1906" s="18" t="n">
        <v>83.70999999999999</v>
      </c>
      <c r="Q1906" s="18" t="n">
        <v>38.14</v>
      </c>
      <c r="R1906" s="21">
        <f>IF(OR(G1906="",P1906=""),"",G1906/P1906-1)</f>
        <v/>
      </c>
      <c r="S1906" s="19" t="n">
        <v>0.8434999999999999</v>
      </c>
      <c r="T1906" s="22" t="n">
        <v>-0.0135</v>
      </c>
      <c r="U1906" s="16" t="inlineStr">
        <is>
          <t>No</t>
        </is>
      </c>
      <c r="V1906" s="16" t="inlineStr">
        <is>
          <t>No</t>
        </is>
      </c>
      <c r="W1906" s="16" t="inlineStr">
        <is>
          <t>No</t>
        </is>
      </c>
      <c r="X1906" s="16" t="inlineStr">
        <is>
          <t>Yes</t>
        </is>
      </c>
      <c r="Y1906" s="20" t="n">
        <v>31</v>
      </c>
      <c r="Z1906" s="19" t="n">
        <v>0.1185</v>
      </c>
      <c r="AA1906" s="18" t="n">
        <v>40</v>
      </c>
      <c r="AB1906" s="16" t="inlineStr">
        <is>
          <t>Weak</t>
        </is>
      </c>
      <c r="AC1906" s="16" t="inlineStr">
        <is>
          <t>No</t>
        </is>
      </c>
      <c r="AD1906" s="19" t="n">
        <v>0.4783</v>
      </c>
      <c r="AE1906" s="19" t="n">
        <v>0.5399</v>
      </c>
      <c r="AF1906" s="19" t="n">
        <v>-1</v>
      </c>
      <c r="AG1906" s="19" t="n">
        <v>0.2334</v>
      </c>
      <c r="AH1906" s="23" t="n">
        <v>0.19</v>
      </c>
      <c r="AI1906" s="23" t="n">
        <v>21.01</v>
      </c>
      <c r="AJ1906" s="19" t="n">
        <v>0.3099</v>
      </c>
    </row>
    <row r="1907">
      <c r="A1907" s="16" t="inlineStr">
        <is>
          <t>CSLFINANCE</t>
        </is>
      </c>
      <c r="B1907" s="16" t="inlineStr">
        <is>
          <t>CSL Finance Ltd.</t>
        </is>
      </c>
      <c r="C1907" s="16" t="inlineStr">
        <is>
          <t>Finance (including NBFCs)</t>
        </is>
      </c>
      <c r="D1907" s="16" t="inlineStr">
        <is>
          <t>Banking and Finance</t>
        </is>
      </c>
      <c r="E1907" s="16" t="inlineStr">
        <is>
          <t>INE718F01018</t>
        </is>
      </c>
      <c r="F1907" s="17" t="n">
        <v>573.6</v>
      </c>
      <c r="G1907" s="18" t="n">
        <v>251.77</v>
      </c>
      <c r="H1907" s="19" t="n">
        <v>0.03240000000000001</v>
      </c>
      <c r="I1907" s="20" t="n">
        <v>37</v>
      </c>
      <c r="J1907" s="16" t="inlineStr">
        <is>
          <t>red</t>
        </is>
      </c>
      <c r="K1907" s="20" t="n">
        <v>149</v>
      </c>
      <c r="L1907" s="18" t="n">
        <v>79.93000000000001</v>
      </c>
      <c r="M1907" s="18" t="n">
        <v>237.35</v>
      </c>
      <c r="N1907" s="18" t="n">
        <v>222.91</v>
      </c>
      <c r="O1907" s="18" t="n">
        <v>249.34</v>
      </c>
      <c r="P1907" s="18" t="n">
        <v>321.7</v>
      </c>
      <c r="Q1907" s="18" t="n">
        <v>211</v>
      </c>
      <c r="R1907" s="21">
        <f>IF(OR(G1907="",P1907=""),"",G1907/P1907-1)</f>
        <v/>
      </c>
      <c r="S1907" s="19" t="n">
        <v>2.5826</v>
      </c>
      <c r="T1907" s="22" t="n">
        <v>-0.0186</v>
      </c>
      <c r="U1907" s="16" t="inlineStr">
        <is>
          <t>No</t>
        </is>
      </c>
      <c r="V1907" s="16" t="inlineStr">
        <is>
          <t>Yes</t>
        </is>
      </c>
      <c r="W1907" s="16" t="inlineStr">
        <is>
          <t>Yes</t>
        </is>
      </c>
      <c r="X1907" s="16" t="inlineStr">
        <is>
          <t>No</t>
        </is>
      </c>
      <c r="Y1907" s="20" t="n">
        <v>229</v>
      </c>
      <c r="Z1907" s="19" t="n">
        <v>-0.106</v>
      </c>
      <c r="AA1907" s="18" t="n"/>
      <c r="AB1907" s="16" t="n"/>
      <c r="AC1907" s="16" t="inlineStr">
        <is>
          <t>No</t>
        </is>
      </c>
      <c r="AD1907" s="19" t="n"/>
      <c r="AE1907" s="19" t="n"/>
      <c r="AF1907" s="19" t="n"/>
      <c r="AG1907" s="19" t="n"/>
      <c r="AH1907" s="23" t="n"/>
      <c r="AI1907" s="23" t="n"/>
      <c r="AJ1907" s="19" t="n"/>
    </row>
    <row r="1908">
      <c r="A1908" s="16" t="inlineStr">
        <is>
          <t>STELLANT</t>
        </is>
      </c>
      <c r="B1908" s="16" t="inlineStr">
        <is>
          <t>Stellant Securities (India) Ltd.</t>
        </is>
      </c>
      <c r="C1908" s="16" t="inlineStr">
        <is>
          <t>Other Financial Services</t>
        </is>
      </c>
      <c r="D1908" s="16" t="inlineStr">
        <is>
          <t>Banking and Finance</t>
        </is>
      </c>
      <c r="E1908" s="16" t="inlineStr">
        <is>
          <t>INE395F01023</t>
        </is>
      </c>
      <c r="F1908" s="17" t="n">
        <v>573.45</v>
      </c>
      <c r="G1908" s="18" t="n">
        <v>1035.85</v>
      </c>
      <c r="H1908" s="19" t="n">
        <v>-0.004</v>
      </c>
      <c r="I1908" s="20" t="n">
        <v>98</v>
      </c>
      <c r="J1908" s="16" t="inlineStr">
        <is>
          <t>green</t>
        </is>
      </c>
      <c r="K1908" s="20" t="n">
        <v>501</v>
      </c>
      <c r="L1908" s="18" t="n">
        <v>56.13</v>
      </c>
      <c r="M1908" s="18" t="n">
        <v>1062.79</v>
      </c>
      <c r="N1908" s="18" t="n">
        <v>810.25</v>
      </c>
      <c r="O1908" s="18" t="n">
        <v>612.13</v>
      </c>
      <c r="P1908" s="18" t="n">
        <v>1101.15</v>
      </c>
      <c r="Q1908" s="18" t="n">
        <v>125.44</v>
      </c>
      <c r="R1908" s="21">
        <f>IF(OR(G1908="",P1908=""),"",G1908/P1908-1)</f>
        <v/>
      </c>
      <c r="S1908" s="19" t="n">
        <v>0.3009</v>
      </c>
      <c r="T1908" s="22" t="n">
        <v>0.1394</v>
      </c>
      <c r="U1908" s="16" t="inlineStr">
        <is>
          <t>Yes</t>
        </is>
      </c>
      <c r="V1908" s="16" t="inlineStr">
        <is>
          <t>Yes</t>
        </is>
      </c>
      <c r="W1908" s="16" t="inlineStr">
        <is>
          <t>No</t>
        </is>
      </c>
      <c r="X1908" s="16" t="inlineStr">
        <is>
          <t>Yes</t>
        </is>
      </c>
      <c r="Y1908" s="20" t="n">
        <v>751</v>
      </c>
      <c r="Z1908" s="19" t="n">
        <v>0.3237</v>
      </c>
      <c r="AA1908" s="18" t="n"/>
      <c r="AB1908" s="16" t="n"/>
      <c r="AC1908" s="16" t="inlineStr">
        <is>
          <t>No</t>
        </is>
      </c>
      <c r="AD1908" s="19" t="n"/>
      <c r="AE1908" s="19" t="n"/>
      <c r="AF1908" s="19" t="n"/>
      <c r="AG1908" s="19" t="n"/>
      <c r="AH1908" s="23" t="n"/>
      <c r="AI1908" s="23" t="n"/>
      <c r="AJ1908" s="19" t="n"/>
    </row>
    <row r="1909">
      <c r="A1909" s="16" t="inlineStr">
        <is>
          <t>BLACKROSE</t>
        </is>
      </c>
      <c r="B1909" s="16" t="inlineStr">
        <is>
          <t>Black Rose Industries Ltd.</t>
        </is>
      </c>
      <c r="C1909" s="16" t="inlineStr">
        <is>
          <t>Commodity Trading  &amp; Distribution</t>
        </is>
      </c>
      <c r="D1909" s="16" t="inlineStr">
        <is>
          <t>Commercial Services &amp; Supplies</t>
        </is>
      </c>
      <c r="E1909" s="16" t="inlineStr">
        <is>
          <t>INE761G01016</t>
        </is>
      </c>
      <c r="F1909" s="17" t="n">
        <v>573.24</v>
      </c>
      <c r="G1909" s="18" t="n">
        <v>112.4</v>
      </c>
      <c r="H1909" s="19" t="n">
        <v>0.0018</v>
      </c>
      <c r="I1909" s="20" t="n">
        <v>72</v>
      </c>
      <c r="J1909" s="16" t="inlineStr">
        <is>
          <t>amber</t>
        </is>
      </c>
      <c r="K1909" s="20" t="n">
        <v>14</v>
      </c>
      <c r="L1909" s="18" t="n">
        <v>66.36</v>
      </c>
      <c r="M1909" s="18" t="n">
        <v>113.07</v>
      </c>
      <c r="N1909" s="18" t="n">
        <v>106.89</v>
      </c>
      <c r="O1909" s="18" t="n">
        <v>92.69</v>
      </c>
      <c r="P1909" s="18" t="n">
        <v>128.05</v>
      </c>
      <c r="Q1909" s="18" t="n">
        <v>61.88</v>
      </c>
      <c r="R1909" s="21">
        <f>IF(OR(G1909="",P1909=""),"",G1909/P1909-1)</f>
        <v/>
      </c>
      <c r="S1909" s="19" t="n">
        <v>0.2088</v>
      </c>
      <c r="T1909" s="22" t="n">
        <v>-0.0042</v>
      </c>
      <c r="U1909" s="16" t="inlineStr">
        <is>
          <t>No</t>
        </is>
      </c>
      <c r="V1909" s="16" t="inlineStr">
        <is>
          <t>Yes</t>
        </is>
      </c>
      <c r="W1909" s="16" t="inlineStr">
        <is>
          <t>No</t>
        </is>
      </c>
      <c r="X1909" s="16" t="inlineStr">
        <is>
          <t>Yes</t>
        </is>
      </c>
      <c r="Y1909" s="20" t="n">
        <v>51</v>
      </c>
      <c r="Z1909" s="19" t="n">
        <v>0.1533</v>
      </c>
      <c r="AA1909" s="18" t="n"/>
      <c r="AB1909" s="16" t="n"/>
      <c r="AC1909" s="16" t="inlineStr">
        <is>
          <t>No</t>
        </is>
      </c>
      <c r="AD1909" s="19" t="n"/>
      <c r="AE1909" s="19" t="n"/>
      <c r="AF1909" s="19" t="n"/>
      <c r="AG1909" s="19" t="n"/>
      <c r="AH1909" s="23" t="n"/>
      <c r="AI1909" s="23" t="n"/>
      <c r="AJ1909" s="19" t="n"/>
    </row>
    <row r="1910">
      <c r="A1910" s="16" t="inlineStr">
        <is>
          <t>KSE</t>
        </is>
      </c>
      <c r="B1910" s="16" t="inlineStr">
        <is>
          <t>KSE Ltd.</t>
        </is>
      </c>
      <c r="C1910" s="16" t="inlineStr">
        <is>
          <t>Other Food &amp; Beverages</t>
        </is>
      </c>
      <c r="D1910" s="16" t="inlineStr">
        <is>
          <t>Food, Beverages &amp; Tobacco</t>
        </is>
      </c>
      <c r="E1910" s="16" t="inlineStr">
        <is>
          <t>INE953E01022</t>
        </is>
      </c>
      <c r="F1910" s="17" t="n">
        <v>573.12</v>
      </c>
      <c r="G1910" s="18" t="n">
        <v>179.1</v>
      </c>
      <c r="H1910" s="19" t="n">
        <v>-0.008</v>
      </c>
      <c r="I1910" s="20" t="n">
        <v>21</v>
      </c>
      <c r="J1910" s="16" t="inlineStr">
        <is>
          <t>red</t>
        </is>
      </c>
      <c r="K1910" s="20" t="n">
        <v>111</v>
      </c>
      <c r="L1910" s="18" t="n">
        <v>37.26</v>
      </c>
      <c r="M1910" s="18" t="n">
        <v>178.76</v>
      </c>
      <c r="N1910" s="18" t="n">
        <v>184.25</v>
      </c>
      <c r="O1910" s="18" t="n">
        <v>196.46</v>
      </c>
      <c r="P1910" s="18" t="n">
        <v>261.13</v>
      </c>
      <c r="Q1910" s="18" t="n">
        <v>169.58</v>
      </c>
      <c r="R1910" s="21">
        <f>IF(OR(G1910="",P1910=""),"",G1910/P1910-1)</f>
        <v/>
      </c>
      <c r="S1910" s="19" t="n">
        <v>0.3797</v>
      </c>
      <c r="T1910" s="22" t="n">
        <v>-0.0288</v>
      </c>
      <c r="U1910" s="16" t="inlineStr">
        <is>
          <t>No</t>
        </is>
      </c>
      <c r="V1910" s="16" t="inlineStr">
        <is>
          <t>No</t>
        </is>
      </c>
      <c r="W1910" s="16" t="inlineStr">
        <is>
          <t>Yes</t>
        </is>
      </c>
      <c r="X1910" s="16" t="inlineStr">
        <is>
          <t>No</t>
        </is>
      </c>
      <c r="Y1910" s="20" t="n">
        <v>151</v>
      </c>
      <c r="Z1910" s="19" t="n">
        <v>-0.0621</v>
      </c>
      <c r="AA1910" s="18" t="n"/>
      <c r="AB1910" s="16" t="n"/>
      <c r="AC1910" s="16" t="inlineStr">
        <is>
          <t>No</t>
        </is>
      </c>
      <c r="AD1910" s="19" t="n"/>
      <c r="AE1910" s="19" t="n"/>
      <c r="AF1910" s="19" t="n"/>
      <c r="AG1910" s="19" t="n"/>
      <c r="AH1910" s="23" t="n"/>
      <c r="AI1910" s="23" t="n"/>
      <c r="AJ1910" s="19" t="n"/>
    </row>
    <row r="1911">
      <c r="A1911" s="16" t="inlineStr">
        <is>
          <t>VTMLTD</t>
        </is>
      </c>
      <c r="B1911" s="16" t="inlineStr">
        <is>
          <t>VTM Ltd.</t>
        </is>
      </c>
      <c r="C1911" s="16" t="inlineStr">
        <is>
          <t>Textiles</t>
        </is>
      </c>
      <c r="D1911" s="16" t="inlineStr">
        <is>
          <t>Textiles Apparels &amp; Accessories</t>
        </is>
      </c>
      <c r="E1911" s="16" t="inlineStr">
        <is>
          <t>INE222F01029</t>
        </is>
      </c>
      <c r="F1911" s="17" t="n">
        <v>573.04</v>
      </c>
      <c r="G1911" s="18" t="n">
        <v>56.98</v>
      </c>
      <c r="H1911" s="19" t="n">
        <v>0.007800000000000001</v>
      </c>
      <c r="I1911" s="20" t="n">
        <v>17</v>
      </c>
      <c r="J1911" s="16" t="inlineStr">
        <is>
          <t>red</t>
        </is>
      </c>
      <c r="K1911" s="20" t="n">
        <v>90</v>
      </c>
      <c r="L1911" s="18" t="n">
        <v>76.34</v>
      </c>
      <c r="M1911" s="18" t="n">
        <v>57</v>
      </c>
      <c r="N1911" s="18" t="n">
        <v>60.15</v>
      </c>
      <c r="O1911" s="18" t="n">
        <v>69.78</v>
      </c>
      <c r="P1911" s="18" t="n">
        <v>99.81999999999999</v>
      </c>
      <c r="Q1911" s="18" t="n">
        <v>46.02</v>
      </c>
      <c r="R1911" s="21">
        <f>IF(OR(G1911="",P1911=""),"",G1911/P1911-1)</f>
        <v/>
      </c>
      <c r="S1911" s="19" t="n">
        <v>0.0603</v>
      </c>
      <c r="T1911" s="22" t="n">
        <v>-0.0258</v>
      </c>
      <c r="U1911" s="16" t="inlineStr">
        <is>
          <t>No</t>
        </is>
      </c>
      <c r="V1911" s="16" t="inlineStr">
        <is>
          <t>No</t>
        </is>
      </c>
      <c r="W1911" s="16" t="inlineStr">
        <is>
          <t>No</t>
        </is>
      </c>
      <c r="X1911" s="16" t="inlineStr">
        <is>
          <t>No</t>
        </is>
      </c>
      <c r="Y1911" s="20" t="n">
        <v>63</v>
      </c>
      <c r="Z1911" s="19" t="n">
        <v>-0.138</v>
      </c>
      <c r="AA1911" s="18" t="n"/>
      <c r="AB1911" s="16" t="n"/>
      <c r="AC1911" s="16" t="inlineStr">
        <is>
          <t>No</t>
        </is>
      </c>
      <c r="AD1911" s="19" t="n"/>
      <c r="AE1911" s="19" t="n"/>
      <c r="AF1911" s="19" t="n"/>
      <c r="AG1911" s="19" t="n"/>
      <c r="AH1911" s="23" t="n"/>
      <c r="AI1911" s="23" t="n"/>
      <c r="AJ1911" s="19" t="n"/>
    </row>
    <row r="1912">
      <c r="A1912" s="16" t="inlineStr">
        <is>
          <t>GARGI</t>
        </is>
      </c>
      <c r="B1912" s="16" t="inlineStr">
        <is>
          <t>PNGS Gargi Fashion Jewellery Ltd.</t>
        </is>
      </c>
      <c r="C1912" s="16" t="inlineStr">
        <is>
          <t>Gems &amp; Jewellery</t>
        </is>
      </c>
      <c r="D1912" s="16" t="inlineStr">
        <is>
          <t>Textiles Apparels &amp; Accessories</t>
        </is>
      </c>
      <c r="E1912" s="16" t="inlineStr">
        <is>
          <t>INE0NT601018</t>
        </is>
      </c>
      <c r="F1912" s="17" t="n">
        <v>572.73</v>
      </c>
      <c r="G1912" s="18" t="n">
        <v>547</v>
      </c>
      <c r="H1912" s="19" t="n">
        <v>-0.0051</v>
      </c>
      <c r="I1912" s="20" t="n">
        <v>2</v>
      </c>
      <c r="J1912" s="16" t="inlineStr">
        <is>
          <t>red</t>
        </is>
      </c>
      <c r="K1912" s="20" t="n">
        <v>115</v>
      </c>
      <c r="L1912" s="18" t="n">
        <v>42.71</v>
      </c>
      <c r="M1912" s="18" t="n">
        <v>550.99</v>
      </c>
      <c r="N1912" s="18" t="n">
        <v>644.61</v>
      </c>
      <c r="O1912" s="18" t="n">
        <v>851.5</v>
      </c>
      <c r="P1912" s="18" t="n">
        <v>1175.3</v>
      </c>
      <c r="Q1912" s="18" t="n">
        <v>543.5</v>
      </c>
      <c r="R1912" s="21">
        <f>IF(OR(G1912="",P1912=""),"",G1912/P1912-1)</f>
        <v/>
      </c>
      <c r="S1912" s="19" t="n">
        <v>0.875</v>
      </c>
      <c r="T1912" s="22" t="n">
        <v>-0.05019999999999999</v>
      </c>
      <c r="U1912" s="16" t="inlineStr">
        <is>
          <t>No</t>
        </is>
      </c>
      <c r="V1912" s="16" t="inlineStr">
        <is>
          <t>No</t>
        </is>
      </c>
      <c r="W1912" s="16" t="inlineStr">
        <is>
          <t>No</t>
        </is>
      </c>
      <c r="X1912" s="16" t="inlineStr">
        <is>
          <t>No</t>
        </is>
      </c>
      <c r="Y1912" s="20" t="n">
        <v>118</v>
      </c>
      <c r="Z1912" s="19" t="n">
        <v>-0.243</v>
      </c>
      <c r="AA1912" s="18" t="n"/>
      <c r="AB1912" s="16" t="n"/>
      <c r="AC1912" s="16" t="inlineStr">
        <is>
          <t>No</t>
        </is>
      </c>
      <c r="AD1912" s="19" t="n"/>
      <c r="AE1912" s="19" t="n"/>
      <c r="AF1912" s="19" t="n"/>
      <c r="AG1912" s="19" t="n"/>
      <c r="AH1912" s="23" t="n"/>
      <c r="AI1912" s="23" t="n"/>
      <c r="AJ1912" s="19" t="n"/>
    </row>
    <row r="1913">
      <c r="A1913" s="16" t="inlineStr">
        <is>
          <t>FOCE</t>
        </is>
      </c>
      <c r="B1913" s="16" t="inlineStr">
        <is>
          <t>Foce India Ltd.</t>
        </is>
      </c>
      <c r="C1913" s="16" t="inlineStr">
        <is>
          <t>Other Apparels &amp; Accessories</t>
        </is>
      </c>
      <c r="D1913" s="16" t="inlineStr">
        <is>
          <t>Textiles Apparels &amp; Accessories</t>
        </is>
      </c>
      <c r="E1913" s="16" t="inlineStr">
        <is>
          <t>INE0I7D01019</t>
        </is>
      </c>
      <c r="F1913" s="17" t="n">
        <v>571.88</v>
      </c>
      <c r="G1913" s="18" t="n"/>
      <c r="H1913" s="19" t="n"/>
      <c r="I1913" s="20" t="n"/>
      <c r="J1913" s="16" t="n"/>
      <c r="K1913" s="20" t="n"/>
      <c r="L1913" s="18" t="n"/>
      <c r="M1913" s="18" t="n"/>
      <c r="N1913" s="18" t="n"/>
      <c r="O1913" s="18" t="n"/>
      <c r="P1913" s="18" t="n"/>
      <c r="Q1913" s="18" t="n"/>
      <c r="R1913" s="21">
        <f>IF(OR(G1913="",P1913=""),"",G1913/P1913-1)</f>
        <v/>
      </c>
      <c r="S1913" s="19" t="n"/>
      <c r="T1913" s="22" t="n"/>
      <c r="U1913" s="16" t="n"/>
      <c r="V1913" s="16" t="n"/>
      <c r="W1913" s="16" t="n"/>
      <c r="X1913" s="16" t="n"/>
      <c r="Y1913" s="20" t="n"/>
      <c r="Z1913" s="19" t="n"/>
      <c r="AA1913" s="18" t="n"/>
      <c r="AB1913" s="16" t="n"/>
      <c r="AC1913" s="16" t="inlineStr">
        <is>
          <t>No</t>
        </is>
      </c>
      <c r="AD1913" s="19" t="n"/>
      <c r="AE1913" s="19" t="n"/>
      <c r="AF1913" s="19" t="n"/>
      <c r="AG1913" s="19" t="n"/>
      <c r="AH1913" s="23" t="n"/>
      <c r="AI1913" s="23" t="n"/>
      <c r="AJ1913" s="19" t="n"/>
    </row>
    <row r="1914">
      <c r="A1914" s="16" t="inlineStr">
        <is>
          <t>SYSTEMATIC</t>
        </is>
      </c>
      <c r="B1914" s="16" t="inlineStr">
        <is>
          <t>Systematic Industries Ltd.</t>
        </is>
      </c>
      <c r="C1914" s="16" t="inlineStr">
        <is>
          <t>Wires &amp; Cables</t>
        </is>
      </c>
      <c r="D1914" s="16" t="inlineStr">
        <is>
          <t>Consumer Durables</t>
        </is>
      </c>
      <c r="E1914" s="16" t="inlineStr">
        <is>
          <t>INE1KLZ01011</t>
        </is>
      </c>
      <c r="F1914" s="17" t="n">
        <v>571.12</v>
      </c>
      <c r="G1914" s="18" t="n">
        <v>255.75</v>
      </c>
      <c r="H1914" s="19" t="n">
        <v>-0.012</v>
      </c>
      <c r="I1914" s="20" t="n">
        <v>84</v>
      </c>
      <c r="J1914" s="16" t="inlineStr">
        <is>
          <t>green</t>
        </is>
      </c>
      <c r="K1914" s="20" t="n">
        <v>3</v>
      </c>
      <c r="L1914" s="18" t="n">
        <v>58.74</v>
      </c>
      <c r="M1914" s="18" t="n">
        <v>236.68</v>
      </c>
      <c r="N1914" s="18" t="n">
        <v>207.24</v>
      </c>
      <c r="O1914" s="18" t="n">
        <v>188.87</v>
      </c>
      <c r="P1914" s="18" t="n">
        <v>267.05</v>
      </c>
      <c r="Q1914" s="18" t="n">
        <v>131.1</v>
      </c>
      <c r="R1914" s="21">
        <f>IF(OR(G1914="",P1914=""),"",G1914/P1914-1)</f>
        <v/>
      </c>
      <c r="S1914" s="19" t="n">
        <v>0.7928000000000001</v>
      </c>
      <c r="T1914" s="22" t="n">
        <v>0.0124</v>
      </c>
      <c r="U1914" s="16" t="inlineStr">
        <is>
          <t>Yes</t>
        </is>
      </c>
      <c r="V1914" s="16" t="inlineStr">
        <is>
          <t>Yes</t>
        </is>
      </c>
      <c r="W1914" s="16" t="inlineStr">
        <is>
          <t>Yes</t>
        </is>
      </c>
      <c r="X1914" s="16" t="inlineStr">
        <is>
          <t>Yes</t>
        </is>
      </c>
      <c r="Y1914" s="20" t="n">
        <v>32</v>
      </c>
      <c r="Z1914" s="19" t="n">
        <v>0.0973</v>
      </c>
      <c r="AA1914" s="18" t="n"/>
      <c r="AB1914" s="16" t="n"/>
      <c r="AC1914" s="16" t="inlineStr">
        <is>
          <t>No</t>
        </is>
      </c>
      <c r="AD1914" s="19" t="n"/>
      <c r="AE1914" s="19" t="n"/>
      <c r="AF1914" s="19" t="n"/>
      <c r="AG1914" s="19" t="n"/>
      <c r="AH1914" s="23" t="n"/>
      <c r="AI1914" s="23" t="n"/>
      <c r="AJ1914" s="19" t="n"/>
    </row>
    <row r="1915">
      <c r="A1915" s="16" t="inlineStr">
        <is>
          <t>ARVAYA</t>
        </is>
      </c>
      <c r="B1915" s="16" t="inlineStr">
        <is>
          <t>Arvaya Healthcare Ltd.</t>
        </is>
      </c>
      <c r="C1915" s="16" t="inlineStr">
        <is>
          <t>Commodity Trading  &amp; Distribution</t>
        </is>
      </c>
      <c r="D1915" s="16" t="inlineStr">
        <is>
          <t>Commercial Services &amp; Supplies</t>
        </is>
      </c>
      <c r="E1915" s="16" t="inlineStr">
        <is>
          <t>INE491D01017</t>
        </is>
      </c>
      <c r="F1915" s="17" t="n">
        <v>570.26</v>
      </c>
      <c r="G1915" s="18" t="n">
        <v>118.75</v>
      </c>
      <c r="H1915" s="19" t="n">
        <v>-0.05</v>
      </c>
      <c r="I1915" s="20" t="n">
        <v>98</v>
      </c>
      <c r="J1915" s="16" t="inlineStr">
        <is>
          <t>green</t>
        </is>
      </c>
      <c r="K1915" s="20" t="n">
        <v>242</v>
      </c>
      <c r="L1915" s="18" t="n">
        <v>71.38</v>
      </c>
      <c r="M1915" s="18" t="n">
        <v>120.42</v>
      </c>
      <c r="N1915" s="18" t="n">
        <v>109.33</v>
      </c>
      <c r="O1915" s="18" t="n">
        <v>67.34</v>
      </c>
      <c r="P1915" s="18" t="n">
        <v>142.19</v>
      </c>
      <c r="Q1915" s="18" t="n">
        <v>25.35</v>
      </c>
      <c r="R1915" s="21">
        <f>IF(OR(G1915="",P1915=""),"",G1915/P1915-1)</f>
        <v/>
      </c>
      <c r="S1915" s="19" t="n">
        <v>1.9896</v>
      </c>
      <c r="T1915" s="22" t="n">
        <v>0.1121</v>
      </c>
      <c r="U1915" s="16" t="inlineStr">
        <is>
          <t>Yes</t>
        </is>
      </c>
      <c r="V1915" s="16" t="inlineStr">
        <is>
          <t>Yes</t>
        </is>
      </c>
      <c r="W1915" s="16" t="inlineStr">
        <is>
          <t>No</t>
        </is>
      </c>
      <c r="X1915" s="16" t="inlineStr">
        <is>
          <t>Yes</t>
        </is>
      </c>
      <c r="Y1915" s="20" t="n">
        <v>265</v>
      </c>
      <c r="Z1915" s="19" t="n">
        <v>0.6236</v>
      </c>
      <c r="AA1915" s="18" t="n"/>
      <c r="AB1915" s="16" t="n"/>
      <c r="AC1915" s="16" t="inlineStr">
        <is>
          <t>No</t>
        </is>
      </c>
      <c r="AD1915" s="19" t="n"/>
      <c r="AE1915" s="19" t="n"/>
      <c r="AF1915" s="19" t="n"/>
      <c r="AG1915" s="19" t="n"/>
      <c r="AH1915" s="23" t="n"/>
      <c r="AI1915" s="23" t="n"/>
      <c r="AJ1915" s="19" t="n"/>
    </row>
    <row r="1916">
      <c r="A1916" s="16" t="inlineStr">
        <is>
          <t>AQYLON</t>
        </is>
      </c>
      <c r="B1916" s="16" t="inlineStr">
        <is>
          <t>Aqylon Nexus Ltd.</t>
        </is>
      </c>
      <c r="C1916" s="16" t="inlineStr">
        <is>
          <t>Movies &amp; Entertainment</t>
        </is>
      </c>
      <c r="D1916" s="16" t="inlineStr">
        <is>
          <t>Media</t>
        </is>
      </c>
      <c r="E1916" s="16" t="inlineStr">
        <is>
          <t>INE416A01051</t>
        </is>
      </c>
      <c r="F1916" s="17" t="n">
        <v>569.88</v>
      </c>
      <c r="G1916" s="18" t="n">
        <v>22.46</v>
      </c>
      <c r="H1916" s="19" t="n">
        <v>0.0403</v>
      </c>
      <c r="I1916" s="20" t="n">
        <v>1</v>
      </c>
      <c r="J1916" s="16" t="inlineStr">
        <is>
          <t>red</t>
        </is>
      </c>
      <c r="K1916" s="20" t="n">
        <v>170</v>
      </c>
      <c r="L1916" s="18" t="n">
        <v>52.42</v>
      </c>
      <c r="M1916" s="18" t="n">
        <v>22.09</v>
      </c>
      <c r="N1916" s="18" t="n">
        <v>29.39</v>
      </c>
      <c r="O1916" s="18" t="n">
        <v>288.56</v>
      </c>
      <c r="P1916" s="18" t="n">
        <v>1698.9</v>
      </c>
      <c r="Q1916" s="18" t="n">
        <v>20.61</v>
      </c>
      <c r="R1916" s="21">
        <f>IF(OR(G1916="",P1916=""),"",G1916/P1916-1)</f>
        <v/>
      </c>
      <c r="S1916" s="19" t="n">
        <v>0.1424</v>
      </c>
      <c r="T1916" s="22" t="n">
        <v>-0.2228</v>
      </c>
      <c r="U1916" s="16" t="inlineStr">
        <is>
          <t>No</t>
        </is>
      </c>
      <c r="V1916" s="16" t="inlineStr">
        <is>
          <t>No</t>
        </is>
      </c>
      <c r="W1916" s="16" t="inlineStr">
        <is>
          <t>Yes</t>
        </is>
      </c>
      <c r="X1916" s="16" t="inlineStr">
        <is>
          <t>No</t>
        </is>
      </c>
      <c r="Y1916" s="20" t="n">
        <v>147</v>
      </c>
      <c r="Z1916" s="19" t="n">
        <v>-0.8981999999999999</v>
      </c>
      <c r="AA1916" s="18" t="n">
        <v>51.1</v>
      </c>
      <c r="AB1916" s="16" t="inlineStr">
        <is>
          <t>Average</t>
        </is>
      </c>
      <c r="AC1916" s="16" t="inlineStr">
        <is>
          <t>No</t>
        </is>
      </c>
      <c r="AD1916" s="19" t="n">
        <v>-0.2911</v>
      </c>
      <c r="AE1916" s="19" t="n">
        <v>-0.0573</v>
      </c>
      <c r="AF1916" s="19" t="n">
        <v>0.7333</v>
      </c>
      <c r="AG1916" s="19" t="n">
        <v>1.1869</v>
      </c>
      <c r="AH1916" s="23" t="n">
        <v>-3.18</v>
      </c>
      <c r="AI1916" s="23" t="n">
        <v>1.88</v>
      </c>
      <c r="AJ1916" s="19" t="n">
        <v>0</v>
      </c>
    </row>
    <row r="1917">
      <c r="A1917" s="16" t="inlineStr">
        <is>
          <t>MAWANASUG</t>
        </is>
      </c>
      <c r="B1917" s="16" t="inlineStr">
        <is>
          <t>Mawana Sugars Ltd.</t>
        </is>
      </c>
      <c r="C1917" s="16" t="inlineStr">
        <is>
          <t>Sugar</t>
        </is>
      </c>
      <c r="D1917" s="16" t="inlineStr">
        <is>
          <t>Food, Beverages &amp; Tobacco</t>
        </is>
      </c>
      <c r="E1917" s="16" t="inlineStr">
        <is>
          <t>INE636A01039</t>
        </is>
      </c>
      <c r="F1917" s="17" t="n">
        <v>568.88</v>
      </c>
      <c r="G1917" s="18" t="n">
        <v>145.43</v>
      </c>
      <c r="H1917" s="19" t="n">
        <v>-0.005699999999999999</v>
      </c>
      <c r="I1917" s="20" t="n">
        <v>90</v>
      </c>
      <c r="J1917" s="16" t="inlineStr">
        <is>
          <t>green</t>
        </is>
      </c>
      <c r="K1917" s="20" t="n">
        <v>17</v>
      </c>
      <c r="L1917" s="18" t="n">
        <v>67.05</v>
      </c>
      <c r="M1917" s="18" t="n">
        <v>145.21</v>
      </c>
      <c r="N1917" s="18" t="n">
        <v>120.08</v>
      </c>
      <c r="O1917" s="18" t="n">
        <v>95.95999999999999</v>
      </c>
      <c r="P1917" s="18" t="n">
        <v>152.54</v>
      </c>
      <c r="Q1917" s="18" t="n">
        <v>73.40000000000001</v>
      </c>
      <c r="R1917" s="21">
        <f>IF(OR(G1917="",P1917=""),"",G1917/P1917-1)</f>
        <v/>
      </c>
      <c r="S1917" s="19" t="n">
        <v>0.3614</v>
      </c>
      <c r="T1917" s="22" t="n">
        <v>0.0575</v>
      </c>
      <c r="U1917" s="16" t="inlineStr">
        <is>
          <t>Yes</t>
        </is>
      </c>
      <c r="V1917" s="16" t="inlineStr">
        <is>
          <t>Yes</t>
        </is>
      </c>
      <c r="W1917" s="16" t="inlineStr">
        <is>
          <t>Yes</t>
        </is>
      </c>
      <c r="X1917" s="16" t="inlineStr">
        <is>
          <t>Yes</t>
        </is>
      </c>
      <c r="Y1917" s="20" t="n">
        <v>92</v>
      </c>
      <c r="Z1917" s="19" t="n">
        <v>0.2513</v>
      </c>
      <c r="AA1917" s="18" t="n"/>
      <c r="AB1917" s="16" t="n"/>
      <c r="AC1917" s="16" t="inlineStr">
        <is>
          <t>No</t>
        </is>
      </c>
      <c r="AD1917" s="19" t="n"/>
      <c r="AE1917" s="19" t="n"/>
      <c r="AF1917" s="19" t="n"/>
      <c r="AG1917" s="19" t="n"/>
      <c r="AH1917" s="23" t="n"/>
      <c r="AI1917" s="23" t="n"/>
      <c r="AJ1917" s="19" t="n"/>
    </row>
    <row r="1918">
      <c r="A1918" s="16" t="inlineStr">
        <is>
          <t>DICIND</t>
        </is>
      </c>
      <c r="B1918" s="16" t="inlineStr">
        <is>
          <t>DIC India Ltd.</t>
        </is>
      </c>
      <c r="C1918" s="16" t="inlineStr">
        <is>
          <t>Specialty Chemicals</t>
        </is>
      </c>
      <c r="D1918" s="16" t="inlineStr">
        <is>
          <t>Chemicals &amp; Petrochemicals</t>
        </is>
      </c>
      <c r="E1918" s="16" t="inlineStr">
        <is>
          <t>INE303A01010</t>
        </is>
      </c>
      <c r="F1918" s="17" t="n">
        <v>567.8099999999999</v>
      </c>
      <c r="G1918" s="18" t="n">
        <v>618.6</v>
      </c>
      <c r="H1918" s="19" t="n">
        <v>0.0592</v>
      </c>
      <c r="I1918" s="20" t="n">
        <v>65</v>
      </c>
      <c r="J1918" s="16" t="inlineStr">
        <is>
          <t>amber</t>
        </is>
      </c>
      <c r="K1918" s="20" t="n">
        <v>1</v>
      </c>
      <c r="L1918" s="18" t="n">
        <v>58.04</v>
      </c>
      <c r="M1918" s="18" t="n">
        <v>589.8</v>
      </c>
      <c r="N1918" s="18" t="n">
        <v>538.77</v>
      </c>
      <c r="O1918" s="18" t="n">
        <v>519.65</v>
      </c>
      <c r="P1918" s="18" t="n">
        <v>618.6</v>
      </c>
      <c r="Q1918" s="18" t="n">
        <v>458.9</v>
      </c>
      <c r="R1918" s="21">
        <f>IF(OR(G1918="",P1918=""),"",G1918/P1918-1)</f>
        <v/>
      </c>
      <c r="S1918" s="19" t="n">
        <v>2.7631</v>
      </c>
      <c r="T1918" s="22" t="n">
        <v>0.0134</v>
      </c>
      <c r="U1918" s="16" t="inlineStr">
        <is>
          <t>Yes</t>
        </is>
      </c>
      <c r="V1918" s="16" t="inlineStr">
        <is>
          <t>Yes</t>
        </is>
      </c>
      <c r="W1918" s="16" t="inlineStr">
        <is>
          <t>Yes</t>
        </is>
      </c>
      <c r="X1918" s="16" t="inlineStr">
        <is>
          <t>Yes</t>
        </is>
      </c>
      <c r="Y1918" s="20" t="n">
        <v>16</v>
      </c>
      <c r="Z1918" s="19" t="n">
        <v>0.0368</v>
      </c>
      <c r="AA1918" s="18" t="n"/>
      <c r="AB1918" s="16" t="n"/>
      <c r="AC1918" s="16" t="inlineStr">
        <is>
          <t>No</t>
        </is>
      </c>
      <c r="AD1918" s="19" t="n"/>
      <c r="AE1918" s="19" t="n"/>
      <c r="AF1918" s="19" t="n"/>
      <c r="AG1918" s="19" t="n"/>
      <c r="AH1918" s="23" t="n"/>
      <c r="AI1918" s="23" t="n"/>
      <c r="AJ1918" s="19" t="n"/>
    </row>
    <row r="1919">
      <c r="A1919" s="16" t="inlineStr">
        <is>
          <t>CHANDRIMA</t>
        </is>
      </c>
      <c r="B1919" s="16" t="inlineStr">
        <is>
          <t>Chandrima Mercantiles Ltd.</t>
        </is>
      </c>
      <c r="C1919" s="16" t="inlineStr">
        <is>
          <t>Commodity Trading  &amp; Distribution</t>
        </is>
      </c>
      <c r="D1919" s="16" t="inlineStr">
        <is>
          <t>Commercial Services &amp; Supplies</t>
        </is>
      </c>
      <c r="E1919" s="16" t="inlineStr">
        <is>
          <t>INE371F01024</t>
        </is>
      </c>
      <c r="F1919" s="17" t="n">
        <v>566.72</v>
      </c>
      <c r="G1919" s="18" t="n">
        <v>17.01</v>
      </c>
      <c r="H1919" s="19" t="n">
        <v>0.04099999999999999</v>
      </c>
      <c r="I1919" s="20" t="n">
        <v>98</v>
      </c>
      <c r="J1919" s="16" t="inlineStr">
        <is>
          <t>green</t>
        </is>
      </c>
      <c r="K1919" s="20" t="n">
        <v>9</v>
      </c>
      <c r="L1919" s="18" t="n">
        <v>97.08</v>
      </c>
      <c r="M1919" s="18" t="n">
        <v>14.34</v>
      </c>
      <c r="N1919" s="18" t="n">
        <v>7.99</v>
      </c>
      <c r="O1919" s="18" t="n">
        <v>7.47</v>
      </c>
      <c r="P1919" s="18" t="n">
        <v>17.01</v>
      </c>
      <c r="Q1919" s="18" t="n">
        <v>3.28</v>
      </c>
      <c r="R1919" s="21">
        <f>IF(OR(G1919="",P1919=""),"",G1919/P1919-1)</f>
        <v/>
      </c>
      <c r="S1919" s="19" t="n">
        <v>1.9217</v>
      </c>
      <c r="T1919" s="22" t="n">
        <v>0.0046</v>
      </c>
      <c r="U1919" s="16" t="inlineStr">
        <is>
          <t>Yes</t>
        </is>
      </c>
      <c r="V1919" s="16" t="inlineStr">
        <is>
          <t>Yes</t>
        </is>
      </c>
      <c r="W1919" s="16" t="inlineStr">
        <is>
          <t>Yes</t>
        </is>
      </c>
      <c r="X1919" s="16" t="inlineStr">
        <is>
          <t>Yes</t>
        </is>
      </c>
      <c r="Y1919" s="20" t="n">
        <v>3</v>
      </c>
      <c r="Z1919" s="19" t="n">
        <v>0.0706</v>
      </c>
      <c r="AA1919" s="18" t="n"/>
      <c r="AB1919" s="16" t="n"/>
      <c r="AC1919" s="16" t="inlineStr">
        <is>
          <t>No</t>
        </is>
      </c>
      <c r="AD1919" s="19" t="n"/>
      <c r="AE1919" s="19" t="n"/>
      <c r="AF1919" s="19" t="n"/>
      <c r="AG1919" s="19" t="n"/>
      <c r="AH1919" s="23" t="n"/>
      <c r="AI1919" s="23" t="n"/>
      <c r="AJ1919" s="19" t="n"/>
    </row>
    <row r="1920">
      <c r="A1920" s="16" t="inlineStr">
        <is>
          <t>SATANIBRG</t>
        </is>
      </c>
      <c r="B1920" s="16" t="inlineStr">
        <is>
          <t>Satani Bearings Ltd.</t>
        </is>
      </c>
      <c r="C1920" s="16" t="inlineStr">
        <is>
          <t>Industrial Machinery</t>
        </is>
      </c>
      <c r="D1920" s="16" t="inlineStr">
        <is>
          <t>General Industrials</t>
        </is>
      </c>
      <c r="E1920" s="16" t="inlineStr">
        <is>
          <t>INE498D01012</t>
        </is>
      </c>
      <c r="F1920" s="17" t="n">
        <v>566.1</v>
      </c>
      <c r="G1920" s="18" t="n">
        <v>283.05</v>
      </c>
      <c r="H1920" s="19" t="n">
        <v>0</v>
      </c>
      <c r="I1920" s="20" t="n">
        <v>90</v>
      </c>
      <c r="J1920" s="16" t="inlineStr">
        <is>
          <t>green</t>
        </is>
      </c>
      <c r="K1920" s="20" t="n">
        <v>185</v>
      </c>
      <c r="L1920" s="18" t="n">
        <v>100</v>
      </c>
      <c r="M1920" s="18" t="n">
        <v>282.19</v>
      </c>
      <c r="N1920" s="18" t="n">
        <v>275.54</v>
      </c>
      <c r="O1920" s="18" t="n">
        <v>264.1</v>
      </c>
      <c r="P1920" s="18" t="n">
        <v>310.25</v>
      </c>
      <c r="Q1920" s="18" t="n">
        <v>103.35</v>
      </c>
      <c r="R1920" s="21">
        <f>IF(OR(G1920="",P1920=""),"",G1920/P1920-1)</f>
        <v/>
      </c>
      <c r="S1920" s="19" t="n">
        <v>0</v>
      </c>
      <c r="T1920" s="22" t="n">
        <v>0.0687</v>
      </c>
      <c r="U1920" s="16" t="inlineStr">
        <is>
          <t>Yes</t>
        </is>
      </c>
      <c r="V1920" s="16" t="inlineStr">
        <is>
          <t>Yes</t>
        </is>
      </c>
      <c r="W1920" s="16" t="inlineStr">
        <is>
          <t>Yes</t>
        </is>
      </c>
      <c r="X1920" s="16" t="inlineStr">
        <is>
          <t>Yes</t>
        </is>
      </c>
      <c r="Y1920" s="20" t="n">
        <v>631</v>
      </c>
      <c r="Z1920" s="19" t="n">
        <v>0.0433</v>
      </c>
      <c r="AA1920" s="18" t="n"/>
      <c r="AB1920" s="16" t="n"/>
      <c r="AC1920" s="16" t="inlineStr">
        <is>
          <t>No</t>
        </is>
      </c>
      <c r="AD1920" s="19" t="n"/>
      <c r="AE1920" s="19" t="n"/>
      <c r="AF1920" s="19" t="n"/>
      <c r="AG1920" s="19" t="n"/>
      <c r="AH1920" s="23" t="n"/>
      <c r="AI1920" s="23" t="n"/>
      <c r="AJ1920" s="19" t="n"/>
    </row>
    <row r="1921">
      <c r="A1921" s="16" t="inlineStr">
        <is>
          <t>PYRAMID</t>
        </is>
      </c>
      <c r="B1921" s="16" t="inlineStr">
        <is>
          <t>Pyramid Technoplast Ltd.</t>
        </is>
      </c>
      <c r="C1921" s="16" t="inlineStr">
        <is>
          <t>Containers &amp; Packaging</t>
        </is>
      </c>
      <c r="D1921" s="16" t="inlineStr">
        <is>
          <t>Commercial Services &amp; Supplies</t>
        </is>
      </c>
      <c r="E1921" s="16" t="inlineStr">
        <is>
          <t>INE0MIS01010</t>
        </is>
      </c>
      <c r="F1921" s="17" t="n">
        <v>565.86</v>
      </c>
      <c r="G1921" s="18" t="n">
        <v>153.83</v>
      </c>
      <c r="H1921" s="19" t="n">
        <v>-0.0067</v>
      </c>
      <c r="I1921" s="20" t="n">
        <v>31</v>
      </c>
      <c r="J1921" s="16" t="inlineStr">
        <is>
          <t>red</t>
        </is>
      </c>
      <c r="K1921" s="20" t="n">
        <v>22</v>
      </c>
      <c r="L1921" s="18" t="n">
        <v>12.92</v>
      </c>
      <c r="M1921" s="18" t="n">
        <v>157.94</v>
      </c>
      <c r="N1921" s="18" t="n">
        <v>167.6</v>
      </c>
      <c r="O1921" s="18" t="n">
        <v>161.66</v>
      </c>
      <c r="P1921" s="18" t="n">
        <v>195.96</v>
      </c>
      <c r="Q1921" s="18" t="n">
        <v>134.46</v>
      </c>
      <c r="R1921" s="21">
        <f>IF(OR(G1921="",P1921=""),"",G1921/P1921-1)</f>
        <v/>
      </c>
      <c r="S1921" s="19" t="n">
        <v>0.232</v>
      </c>
      <c r="T1921" s="22" t="n">
        <v>0.0015</v>
      </c>
      <c r="U1921" s="16" t="inlineStr">
        <is>
          <t>Yes</t>
        </is>
      </c>
      <c r="V1921" s="16" t="inlineStr">
        <is>
          <t>No</t>
        </is>
      </c>
      <c r="W1921" s="16" t="inlineStr">
        <is>
          <t>No</t>
        </is>
      </c>
      <c r="X1921" s="16" t="inlineStr">
        <is>
          <t>Yes</t>
        </is>
      </c>
      <c r="Y1921" s="20" t="n">
        <v>70</v>
      </c>
      <c r="Z1921" s="19" t="n">
        <v>0.0367</v>
      </c>
      <c r="AA1921" s="18" t="n">
        <v>39.47</v>
      </c>
      <c r="AB1921" s="16" t="inlineStr">
        <is>
          <t>Weak</t>
        </is>
      </c>
      <c r="AC1921" s="16" t="inlineStr">
        <is>
          <t>No</t>
        </is>
      </c>
      <c r="AD1921" s="19" t="n">
        <v>0.1144</v>
      </c>
      <c r="AE1921" s="19" t="n">
        <v>0.134</v>
      </c>
      <c r="AF1921" s="19" t="n">
        <v>-0.0241</v>
      </c>
      <c r="AG1921" s="19" t="n">
        <v>0.1238</v>
      </c>
      <c r="AH1921" s="23" t="n">
        <v>0.66</v>
      </c>
      <c r="AI1921" s="23" t="n">
        <v>2.93</v>
      </c>
      <c r="AJ1921" s="19" t="n">
        <v>0.0147</v>
      </c>
    </row>
    <row r="1922">
      <c r="A1922" s="16" t="inlineStr">
        <is>
          <t>LINC</t>
        </is>
      </c>
      <c r="B1922" s="16" t="inlineStr">
        <is>
          <t>Linc Ltd.</t>
        </is>
      </c>
      <c r="C1922" s="16" t="inlineStr">
        <is>
          <t>Commodity Printing/Stationery</t>
        </is>
      </c>
      <c r="D1922" s="16" t="inlineStr">
        <is>
          <t>Commercial Services &amp; Supplies</t>
        </is>
      </c>
      <c r="E1922" s="16" t="inlineStr">
        <is>
          <t>INE802B01027</t>
        </is>
      </c>
      <c r="F1922" s="17" t="n">
        <v>565.5599999999999</v>
      </c>
      <c r="G1922" s="18" t="n">
        <v>95.06999999999999</v>
      </c>
      <c r="H1922" s="19" t="n">
        <v>0.004</v>
      </c>
      <c r="I1922" s="20" t="n">
        <v>18</v>
      </c>
      <c r="J1922" s="16" t="inlineStr">
        <is>
          <t>red</t>
        </is>
      </c>
      <c r="K1922" s="20" t="n">
        <v>282</v>
      </c>
      <c r="L1922" s="18" t="n">
        <v>41.87</v>
      </c>
      <c r="M1922" s="18" t="n">
        <v>95.3</v>
      </c>
      <c r="N1922" s="18" t="n">
        <v>102.19</v>
      </c>
      <c r="O1922" s="18" t="n">
        <v>105.48</v>
      </c>
      <c r="P1922" s="18" t="n">
        <v>135.28</v>
      </c>
      <c r="Q1922" s="18" t="n">
        <v>86.56999999999999</v>
      </c>
      <c r="R1922" s="21">
        <f>IF(OR(G1922="",P1922=""),"",G1922/P1922-1)</f>
        <v/>
      </c>
      <c r="S1922" s="19" t="n">
        <v>0.3295</v>
      </c>
      <c r="T1922" s="22" t="n">
        <v>-0.0275</v>
      </c>
      <c r="U1922" s="16" t="inlineStr">
        <is>
          <t>No</t>
        </is>
      </c>
      <c r="V1922" s="16" t="inlineStr">
        <is>
          <t>No</t>
        </is>
      </c>
      <c r="W1922" s="16" t="inlineStr">
        <is>
          <t>No</t>
        </is>
      </c>
      <c r="X1922" s="16" t="inlineStr">
        <is>
          <t>No</t>
        </is>
      </c>
      <c r="Y1922" s="20" t="n">
        <v>199</v>
      </c>
      <c r="Z1922" s="19" t="n">
        <v>-0.0312</v>
      </c>
      <c r="AA1922" s="18" t="n">
        <v>63.94</v>
      </c>
      <c r="AB1922" s="16" t="inlineStr">
        <is>
          <t>High</t>
        </is>
      </c>
      <c r="AC1922" s="16" t="inlineStr">
        <is>
          <t>No</t>
        </is>
      </c>
      <c r="AD1922" s="19" t="n">
        <v>0.1522</v>
      </c>
      <c r="AE1922" s="19" t="n">
        <v>0.2011</v>
      </c>
      <c r="AF1922" s="19" t="n">
        <v>0.8443000000000001</v>
      </c>
      <c r="AG1922" s="19" t="n">
        <v>0.0409</v>
      </c>
      <c r="AH1922" s="23" t="n">
        <v>0.1</v>
      </c>
      <c r="AI1922" s="23" t="n">
        <v>3.87</v>
      </c>
      <c r="AJ1922" s="19" t="n">
        <v>0.2417</v>
      </c>
    </row>
    <row r="1923">
      <c r="A1923" s="16" t="inlineStr">
        <is>
          <t>INTEGRAEN</t>
        </is>
      </c>
      <c r="B1923" s="16" t="inlineStr">
        <is>
          <t>Integra Engineering India Ltd.</t>
        </is>
      </c>
      <c r="C1923" s="16" t="inlineStr">
        <is>
          <t>Industrial Machinery</t>
        </is>
      </c>
      <c r="D1923" s="16" t="inlineStr">
        <is>
          <t>General Industrials</t>
        </is>
      </c>
      <c r="E1923" s="16" t="inlineStr">
        <is>
          <t>INE984B01023</t>
        </is>
      </c>
      <c r="F1923" s="17" t="n">
        <v>565.09</v>
      </c>
      <c r="G1923" s="18" t="n">
        <v>164.15</v>
      </c>
      <c r="H1923" s="19" t="n">
        <v>-0.015</v>
      </c>
      <c r="I1923" s="20" t="n">
        <v>12</v>
      </c>
      <c r="J1923" s="16" t="inlineStr">
        <is>
          <t>red</t>
        </is>
      </c>
      <c r="K1923" s="20" t="n">
        <v>43</v>
      </c>
      <c r="L1923" s="18" t="n">
        <v>55.72</v>
      </c>
      <c r="M1923" s="18" t="n">
        <v>166.29</v>
      </c>
      <c r="N1923" s="18" t="n">
        <v>175.82</v>
      </c>
      <c r="O1923" s="18" t="n">
        <v>180.94</v>
      </c>
      <c r="P1923" s="18" t="n">
        <v>263.8</v>
      </c>
      <c r="Q1923" s="18" t="n">
        <v>119.05</v>
      </c>
      <c r="R1923" s="21">
        <f>IF(OR(G1923="",P1923=""),"",G1923/P1923-1)</f>
        <v/>
      </c>
      <c r="S1923" s="19" t="n">
        <v>1.2024</v>
      </c>
      <c r="T1923" s="22" t="n">
        <v>-0.03700000000000001</v>
      </c>
      <c r="U1923" s="16" t="inlineStr">
        <is>
          <t>No</t>
        </is>
      </c>
      <c r="V1923" s="16" t="inlineStr">
        <is>
          <t>No</t>
        </is>
      </c>
      <c r="W1923" s="16" t="inlineStr">
        <is>
          <t>No</t>
        </is>
      </c>
      <c r="X1923" s="16" t="inlineStr">
        <is>
          <t>No</t>
        </is>
      </c>
      <c r="Y1923" s="20" t="n">
        <v>7</v>
      </c>
      <c r="Z1923" s="19" t="n">
        <v>-0.0283</v>
      </c>
      <c r="AA1923" s="18" t="n"/>
      <c r="AB1923" s="16" t="n"/>
      <c r="AC1923" s="16" t="inlineStr">
        <is>
          <t>No</t>
        </is>
      </c>
      <c r="AD1923" s="19" t="n"/>
      <c r="AE1923" s="19" t="n"/>
      <c r="AF1923" s="19" t="n"/>
      <c r="AG1923" s="19" t="n"/>
      <c r="AH1923" s="23" t="n"/>
      <c r="AI1923" s="23" t="n"/>
      <c r="AJ1923" s="19" t="n"/>
    </row>
    <row r="1924">
      <c r="A1924" s="16" t="inlineStr">
        <is>
          <t>SKM</t>
        </is>
      </c>
      <c r="B1924" s="16" t="inlineStr">
        <is>
          <t>SK Minerals &amp; Additives Ltd.</t>
        </is>
      </c>
      <c r="C1924" s="16" t="inlineStr">
        <is>
          <t>Specialty Chemicals</t>
        </is>
      </c>
      <c r="D1924" s="16" t="inlineStr">
        <is>
          <t>Chemicals &amp; Petrochemicals</t>
        </is>
      </c>
      <c r="E1924" s="16" t="inlineStr">
        <is>
          <t>INE13YH01017</t>
        </is>
      </c>
      <c r="F1924" s="17" t="n">
        <v>564.88</v>
      </c>
      <c r="G1924" s="18" t="n">
        <v>461.5</v>
      </c>
      <c r="H1924" s="19" t="n">
        <v>-0.0075</v>
      </c>
      <c r="I1924" s="20" t="n">
        <v>97</v>
      </c>
      <c r="J1924" s="16" t="inlineStr">
        <is>
          <t>green</t>
        </is>
      </c>
      <c r="K1924" s="20" t="n">
        <v>108</v>
      </c>
      <c r="L1924" s="18" t="n">
        <v>58.97</v>
      </c>
      <c r="M1924" s="18" t="n">
        <v>448.79</v>
      </c>
      <c r="N1924" s="18" t="n">
        <v>435.27</v>
      </c>
      <c r="O1924" s="18" t="n">
        <v>263.83</v>
      </c>
      <c r="P1924" s="18" t="n">
        <v>490.9</v>
      </c>
      <c r="Q1924" s="18" t="n">
        <v>116.25</v>
      </c>
      <c r="R1924" s="21">
        <f>IF(OR(G1924="",P1924=""),"",G1924/P1924-1)</f>
        <v/>
      </c>
      <c r="S1924" s="19" t="n">
        <v>0.8764</v>
      </c>
      <c r="T1924" s="22" t="n">
        <v>0.115</v>
      </c>
      <c r="U1924" s="16" t="inlineStr">
        <is>
          <t>Yes</t>
        </is>
      </c>
      <c r="V1924" s="16" t="inlineStr">
        <is>
          <t>Yes</t>
        </is>
      </c>
      <c r="W1924" s="16" t="inlineStr">
        <is>
          <t>Yes</t>
        </is>
      </c>
      <c r="X1924" s="16" t="inlineStr">
        <is>
          <t>Yes</t>
        </is>
      </c>
      <c r="Y1924" s="20" t="n">
        <v>21</v>
      </c>
      <c r="Z1924" s="19" t="n">
        <v>0.6498</v>
      </c>
      <c r="AA1924" s="18" t="n"/>
      <c r="AB1924" s="16" t="n"/>
      <c r="AC1924" s="16" t="inlineStr">
        <is>
          <t>No</t>
        </is>
      </c>
      <c r="AD1924" s="19" t="n"/>
      <c r="AE1924" s="19" t="n"/>
      <c r="AF1924" s="19" t="n"/>
      <c r="AG1924" s="19" t="n"/>
      <c r="AH1924" s="23" t="n"/>
      <c r="AI1924" s="23" t="n"/>
      <c r="AJ1924" s="19" t="n"/>
    </row>
    <row r="1925">
      <c r="A1925" s="16" t="inlineStr">
        <is>
          <t>KIRANVYPAR</t>
        </is>
      </c>
      <c r="B1925" s="16" t="inlineStr">
        <is>
          <t>Kiran Vyapar Ltd.</t>
        </is>
      </c>
      <c r="C1925" s="16" t="inlineStr">
        <is>
          <t>Investment Companies</t>
        </is>
      </c>
      <c r="D1925" s="16" t="inlineStr">
        <is>
          <t>Others</t>
        </is>
      </c>
      <c r="E1925" s="16" t="inlineStr">
        <is>
          <t>INE555P01013</t>
        </is>
      </c>
      <c r="F1925" s="17" t="n">
        <v>564.51</v>
      </c>
      <c r="G1925" s="18" t="n">
        <v>206.9</v>
      </c>
      <c r="H1925" s="19" t="n">
        <v>0.0032</v>
      </c>
      <c r="I1925" s="20" t="n">
        <v>52</v>
      </c>
      <c r="J1925" s="16" t="inlineStr">
        <is>
          <t>red</t>
        </is>
      </c>
      <c r="K1925" s="20" t="n">
        <v>288</v>
      </c>
      <c r="L1925" s="18" t="n">
        <v>60.68</v>
      </c>
      <c r="M1925" s="18" t="n">
        <v>199.42</v>
      </c>
      <c r="N1925" s="18" t="n">
        <v>196.89</v>
      </c>
      <c r="O1925" s="18" t="n">
        <v>191.02</v>
      </c>
      <c r="P1925" s="18" t="n">
        <v>224.15</v>
      </c>
      <c r="Q1925" s="18" t="n">
        <v>150.85</v>
      </c>
      <c r="R1925" s="21">
        <f>IF(OR(G1925="",P1925=""),"",G1925/P1925-1)</f>
        <v/>
      </c>
      <c r="S1925" s="19" t="n">
        <v>1.1879</v>
      </c>
      <c r="T1925" s="22" t="n">
        <v>-0.008399999999999999</v>
      </c>
      <c r="U1925" s="16" t="inlineStr">
        <is>
          <t>No</t>
        </is>
      </c>
      <c r="V1925" s="16" t="inlineStr">
        <is>
          <t>Yes</t>
        </is>
      </c>
      <c r="W1925" s="16" t="inlineStr">
        <is>
          <t>Yes</t>
        </is>
      </c>
      <c r="X1925" s="16" t="inlineStr">
        <is>
          <t>Yes</t>
        </is>
      </c>
      <c r="Y1925" s="20" t="n">
        <v>18</v>
      </c>
      <c r="Z1925" s="19" t="n">
        <v>0.0307</v>
      </c>
      <c r="AA1925" s="18" t="n"/>
      <c r="AB1925" s="16" t="n"/>
      <c r="AC1925" s="16" t="inlineStr">
        <is>
          <t>No</t>
        </is>
      </c>
      <c r="AD1925" s="19" t="n"/>
      <c r="AE1925" s="19" t="n"/>
      <c r="AF1925" s="19" t="n"/>
      <c r="AG1925" s="19" t="n"/>
      <c r="AH1925" s="23" t="n"/>
      <c r="AI1925" s="23" t="n"/>
      <c r="AJ1925" s="19" t="n"/>
    </row>
    <row r="1926">
      <c r="A1926" s="16" t="inlineStr">
        <is>
          <t>COMMITTED</t>
        </is>
      </c>
      <c r="B1926" s="16" t="inlineStr">
        <is>
          <t>Committed Cargo Care Ltd.</t>
        </is>
      </c>
      <c r="C1926" s="16" t="inlineStr">
        <is>
          <t>Warehousing &amp; Logistics</t>
        </is>
      </c>
      <c r="D1926" s="16" t="inlineStr">
        <is>
          <t>Transportation</t>
        </is>
      </c>
      <c r="E1926" s="16" t="inlineStr">
        <is>
          <t>INE597Z01014</t>
        </is>
      </c>
      <c r="F1926" s="17" t="n">
        <v>562.6799999999999</v>
      </c>
      <c r="G1926" s="18" t="n">
        <v>345</v>
      </c>
      <c r="H1926" s="19" t="n">
        <v>0</v>
      </c>
      <c r="I1926" s="20" t="n">
        <v>84</v>
      </c>
      <c r="J1926" s="16" t="inlineStr">
        <is>
          <t>green</t>
        </is>
      </c>
      <c r="K1926" s="20" t="n">
        <v>51</v>
      </c>
      <c r="L1926" s="18" t="n">
        <v>47.96</v>
      </c>
      <c r="M1926" s="18" t="n">
        <v>345.05</v>
      </c>
      <c r="N1926" s="18" t="n">
        <v>340.29</v>
      </c>
      <c r="O1926" s="18" t="n">
        <v>262.29</v>
      </c>
      <c r="P1926" s="18" t="n">
        <v>352.2</v>
      </c>
      <c r="Q1926" s="18" t="n">
        <v>182.35</v>
      </c>
      <c r="R1926" s="21">
        <f>IF(OR(G1926="",P1926=""),"",G1926/P1926-1)</f>
        <v/>
      </c>
      <c r="S1926" s="19" t="n">
        <v>0</v>
      </c>
      <c r="T1926" s="22" t="n">
        <v>0.0528</v>
      </c>
      <c r="U1926" s="16" t="inlineStr">
        <is>
          <t>Yes</t>
        </is>
      </c>
      <c r="V1926" s="16" t="inlineStr">
        <is>
          <t>Yes</t>
        </is>
      </c>
      <c r="W1926" s="16" t="inlineStr">
        <is>
          <t>No</t>
        </is>
      </c>
      <c r="X1926" s="16" t="inlineStr">
        <is>
          <t>Yes</t>
        </is>
      </c>
      <c r="Y1926" s="20" t="n">
        <v>101</v>
      </c>
      <c r="Z1926" s="19" t="n">
        <v>0.2974</v>
      </c>
      <c r="AA1926" s="18" t="n"/>
      <c r="AB1926" s="16" t="n"/>
      <c r="AC1926" s="16" t="inlineStr">
        <is>
          <t>No</t>
        </is>
      </c>
      <c r="AD1926" s="19" t="n"/>
      <c r="AE1926" s="19" t="n"/>
      <c r="AF1926" s="19" t="n"/>
      <c r="AG1926" s="19" t="n"/>
      <c r="AH1926" s="23" t="n"/>
      <c r="AI1926" s="23" t="n"/>
      <c r="AJ1926" s="19" t="n"/>
    </row>
    <row r="1927">
      <c r="A1927" s="16" t="inlineStr">
        <is>
          <t>FRATELLI</t>
        </is>
      </c>
      <c r="B1927" s="16" t="inlineStr">
        <is>
          <t>Fratelli Vineyards Ltd.</t>
        </is>
      </c>
      <c r="C1927" s="16" t="inlineStr">
        <is>
          <t>Commodity Trading  &amp; Distribution</t>
        </is>
      </c>
      <c r="D1927" s="16" t="inlineStr">
        <is>
          <t>Commercial Services &amp; Supplies</t>
        </is>
      </c>
      <c r="E1927" s="16" t="inlineStr">
        <is>
          <t>INE401Z01019</t>
        </is>
      </c>
      <c r="F1927" s="17" t="n">
        <v>560.22</v>
      </c>
      <c r="G1927" s="18" t="n">
        <v>129</v>
      </c>
      <c r="H1927" s="19" t="n">
        <v>0.0496</v>
      </c>
      <c r="I1927" s="20" t="n">
        <v>75</v>
      </c>
      <c r="J1927" s="16" t="inlineStr">
        <is>
          <t>amber</t>
        </is>
      </c>
      <c r="K1927" s="20" t="n">
        <v>2</v>
      </c>
      <c r="L1927" s="18" t="n">
        <v>72.77</v>
      </c>
      <c r="M1927" s="18" t="n">
        <v>126.42</v>
      </c>
      <c r="N1927" s="18" t="n">
        <v>105.46</v>
      </c>
      <c r="O1927" s="18" t="n">
        <v>95.81</v>
      </c>
      <c r="P1927" s="18" t="n">
        <v>154.1</v>
      </c>
      <c r="Q1927" s="18" t="n">
        <v>62.77</v>
      </c>
      <c r="R1927" s="21">
        <f>IF(OR(G1927="",P1927=""),"",G1927/P1927-1)</f>
        <v/>
      </c>
      <c r="S1927" s="19" t="n">
        <v>0.7173</v>
      </c>
      <c r="T1927" s="22" t="n">
        <v>-0.0172</v>
      </c>
      <c r="U1927" s="16" t="inlineStr">
        <is>
          <t>No</t>
        </is>
      </c>
      <c r="V1927" s="16" t="inlineStr">
        <is>
          <t>Yes</t>
        </is>
      </c>
      <c r="W1927" s="16" t="inlineStr">
        <is>
          <t>Yes</t>
        </is>
      </c>
      <c r="X1927" s="16" t="inlineStr">
        <is>
          <t>Yes</t>
        </is>
      </c>
      <c r="Y1927" s="20" t="n">
        <v>19</v>
      </c>
      <c r="Z1927" s="19" t="n">
        <v>0.1007</v>
      </c>
      <c r="AA1927" s="18" t="n"/>
      <c r="AB1927" s="16" t="n"/>
      <c r="AC1927" s="16" t="inlineStr">
        <is>
          <t>No</t>
        </is>
      </c>
      <c r="AD1927" s="19" t="n"/>
      <c r="AE1927" s="19" t="n"/>
      <c r="AF1927" s="19" t="n"/>
      <c r="AG1927" s="19" t="n"/>
      <c r="AH1927" s="23" t="n"/>
      <c r="AI1927" s="23" t="n"/>
      <c r="AJ1927" s="19" t="n"/>
    </row>
    <row r="1928">
      <c r="A1928" s="16" t="inlineStr">
        <is>
          <t>SAAKSHI</t>
        </is>
      </c>
      <c r="B1928" s="16" t="inlineStr">
        <is>
          <t>Saakshi Medtech &amp; Panels Ltd.</t>
        </is>
      </c>
      <c r="C1928" s="16" t="inlineStr">
        <is>
          <t>Heavy Electrical Equipment</t>
        </is>
      </c>
      <c r="D1928" s="16" t="inlineStr">
        <is>
          <t>General Industrials</t>
        </is>
      </c>
      <c r="E1928" s="16" t="inlineStr">
        <is>
          <t>INE0PSK01027</t>
        </is>
      </c>
      <c r="F1928" s="17" t="n">
        <v>560.22</v>
      </c>
      <c r="G1928" s="18" t="n">
        <v>317.3</v>
      </c>
      <c r="H1928" s="19" t="n">
        <v>0.017</v>
      </c>
      <c r="I1928" s="20" t="n">
        <v>88</v>
      </c>
      <c r="J1928" s="16" t="inlineStr">
        <is>
          <t>green</t>
        </is>
      </c>
      <c r="K1928" s="20" t="n">
        <v>91</v>
      </c>
      <c r="L1928" s="18" t="n">
        <v>61.27</v>
      </c>
      <c r="M1928" s="18" t="n">
        <v>300.74</v>
      </c>
      <c r="N1928" s="18" t="n">
        <v>296.63</v>
      </c>
      <c r="O1928" s="18" t="n">
        <v>227.12</v>
      </c>
      <c r="P1928" s="18" t="n">
        <v>325.5</v>
      </c>
      <c r="Q1928" s="18" t="n">
        <v>151.7</v>
      </c>
      <c r="R1928" s="21">
        <f>IF(OR(G1928="",P1928=""),"",G1928/P1928-1)</f>
        <v/>
      </c>
      <c r="S1928" s="19" t="n">
        <v>0.7123</v>
      </c>
      <c r="T1928" s="22" t="n">
        <v>0.0591</v>
      </c>
      <c r="U1928" s="16" t="inlineStr">
        <is>
          <t>Yes</t>
        </is>
      </c>
      <c r="V1928" s="16" t="inlineStr">
        <is>
          <t>Yes</t>
        </is>
      </c>
      <c r="W1928" s="16" t="inlineStr">
        <is>
          <t>Yes</t>
        </is>
      </c>
      <c r="X1928" s="16" t="inlineStr">
        <is>
          <t>Yes</t>
        </is>
      </c>
      <c r="Y1928" s="20" t="n">
        <v>272</v>
      </c>
      <c r="Z1928" s="19" t="n">
        <v>0.3061</v>
      </c>
      <c r="AA1928" s="18" t="n"/>
      <c r="AB1928" s="16" t="n"/>
      <c r="AC1928" s="16" t="inlineStr">
        <is>
          <t>No</t>
        </is>
      </c>
      <c r="AD1928" s="19" t="n"/>
      <c r="AE1928" s="19" t="n"/>
      <c r="AF1928" s="19" t="n"/>
      <c r="AG1928" s="19" t="n"/>
      <c r="AH1928" s="23" t="n"/>
      <c r="AI1928" s="23" t="n"/>
      <c r="AJ1928" s="19" t="n"/>
    </row>
    <row r="1929">
      <c r="A1929" s="16" t="inlineStr">
        <is>
          <t>TPLPLASTEH</t>
        </is>
      </c>
      <c r="B1929" s="16" t="inlineStr">
        <is>
          <t>TPL Plastech Ltd.</t>
        </is>
      </c>
      <c r="C1929" s="16" t="inlineStr">
        <is>
          <t>Plastic Products</t>
        </is>
      </c>
      <c r="D1929" s="16" t="inlineStr">
        <is>
          <t>General Industrials</t>
        </is>
      </c>
      <c r="E1929" s="16" t="inlineStr">
        <is>
          <t>INE413G01022</t>
        </is>
      </c>
      <c r="F1929" s="17" t="n">
        <v>559.59</v>
      </c>
      <c r="G1929" s="18" t="n">
        <v>71.73999999999999</v>
      </c>
      <c r="H1929" s="19" t="n">
        <v>-0.0109</v>
      </c>
      <c r="I1929" s="20" t="n">
        <v>50</v>
      </c>
      <c r="J1929" s="16" t="inlineStr">
        <is>
          <t>red</t>
        </is>
      </c>
      <c r="K1929" s="20" t="n">
        <v>9</v>
      </c>
      <c r="L1929" s="18" t="n">
        <v>37.18</v>
      </c>
      <c r="M1929" s="18" t="n">
        <v>73.41</v>
      </c>
      <c r="N1929" s="18" t="n">
        <v>78.01000000000001</v>
      </c>
      <c r="O1929" s="18" t="n">
        <v>68.95</v>
      </c>
      <c r="P1929" s="18" t="n">
        <v>87.16</v>
      </c>
      <c r="Q1929" s="18" t="n">
        <v>51.5</v>
      </c>
      <c r="R1929" s="21">
        <f>IF(OR(G1929="",P1929=""),"",G1929/P1929-1)</f>
        <v/>
      </c>
      <c r="S1929" s="19" t="n">
        <v>0.8575</v>
      </c>
      <c r="T1929" s="22" t="n">
        <v>0.008500000000000001</v>
      </c>
      <c r="U1929" s="16" t="inlineStr">
        <is>
          <t>Yes</t>
        </is>
      </c>
      <c r="V1929" s="16" t="inlineStr">
        <is>
          <t>No</t>
        </is>
      </c>
      <c r="W1929" s="16" t="inlineStr">
        <is>
          <t>No</t>
        </is>
      </c>
      <c r="X1929" s="16" t="inlineStr">
        <is>
          <t>Yes</t>
        </is>
      </c>
      <c r="Y1929" s="20" t="n">
        <v>48</v>
      </c>
      <c r="Z1929" s="19" t="n">
        <v>0.1313</v>
      </c>
      <c r="AA1929" s="18" t="n">
        <v>64.52</v>
      </c>
      <c r="AB1929" s="16" t="inlineStr">
        <is>
          <t>High</t>
        </is>
      </c>
      <c r="AC1929" s="16" t="inlineStr">
        <is>
          <t>No</t>
        </is>
      </c>
      <c r="AD1929" s="19" t="n">
        <v>0.1614</v>
      </c>
      <c r="AE1929" s="19" t="n">
        <v>0.1999</v>
      </c>
      <c r="AF1929" s="19" t="n">
        <v>0.219</v>
      </c>
      <c r="AG1929" s="19" t="n">
        <v>0.1611</v>
      </c>
      <c r="AH1929" s="23" t="n">
        <v>0.11</v>
      </c>
      <c r="AI1929" s="23" t="n">
        <v>4.43</v>
      </c>
      <c r="AJ1929" s="19" t="n">
        <v>0.0588</v>
      </c>
    </row>
    <row r="1930">
      <c r="A1930" s="16" t="inlineStr">
        <is>
          <t>VISACHROME</t>
        </is>
      </c>
      <c r="B1930" s="16" t="inlineStr">
        <is>
          <t>VISA Chrome Ltd.</t>
        </is>
      </c>
      <c r="C1930" s="16" t="inlineStr">
        <is>
          <t>Iron &amp; Steel/Interm.Products</t>
        </is>
      </c>
      <c r="D1930" s="16" t="inlineStr">
        <is>
          <t>Metals &amp; Mining</t>
        </is>
      </c>
      <c r="E1930" s="16" t="inlineStr">
        <is>
          <t>INE286H01012</t>
        </is>
      </c>
      <c r="F1930" s="17" t="n">
        <v>558.96</v>
      </c>
      <c r="G1930" s="18" t="n">
        <v>38.34</v>
      </c>
      <c r="H1930" s="19" t="n">
        <v>-0.0301</v>
      </c>
      <c r="I1930" s="20" t="n">
        <v>25</v>
      </c>
      <c r="J1930" s="16" t="inlineStr">
        <is>
          <t>red</t>
        </is>
      </c>
      <c r="K1930" s="20" t="n">
        <v>45</v>
      </c>
      <c r="L1930" s="18" t="n">
        <v>49.73</v>
      </c>
      <c r="M1930" s="18" t="n">
        <v>38.9</v>
      </c>
      <c r="N1930" s="18" t="n">
        <v>38.86</v>
      </c>
      <c r="O1930" s="18" t="n">
        <v>41.9</v>
      </c>
      <c r="P1930" s="18" t="n">
        <v>70.18000000000001</v>
      </c>
      <c r="Q1930" s="18" t="n">
        <v>27.8</v>
      </c>
      <c r="R1930" s="21">
        <f>IF(OR(G1930="",P1930=""),"",G1930/P1930-1)</f>
        <v/>
      </c>
      <c r="S1930" s="19" t="n">
        <v>0.2073</v>
      </c>
      <c r="T1930" s="22" t="n">
        <v>-0.0567</v>
      </c>
      <c r="U1930" s="16" t="inlineStr">
        <is>
          <t>No</t>
        </is>
      </c>
      <c r="V1930" s="16" t="inlineStr">
        <is>
          <t>No</t>
        </is>
      </c>
      <c r="W1930" s="16" t="inlineStr">
        <is>
          <t>No</t>
        </is>
      </c>
      <c r="X1930" s="16" t="inlineStr">
        <is>
          <t>No</t>
        </is>
      </c>
      <c r="Y1930" s="20" t="n">
        <v>37</v>
      </c>
      <c r="Z1930" s="19" t="n">
        <v>-0.0726</v>
      </c>
      <c r="AA1930" s="18" t="n">
        <v>23.74</v>
      </c>
      <c r="AB1930" s="16" t="inlineStr">
        <is>
          <t>Poor</t>
        </is>
      </c>
      <c r="AC1930" s="16" t="inlineStr">
        <is>
          <t>No</t>
        </is>
      </c>
      <c r="AD1930" s="19" t="n">
        <v>-1.4372</v>
      </c>
      <c r="AE1930" s="19" t="n">
        <v>-2.2896</v>
      </c>
      <c r="AF1930" s="19" t="n">
        <v>-2.0756</v>
      </c>
      <c r="AG1930" s="19" t="n">
        <v>-0.0405</v>
      </c>
      <c r="AH1930" s="23" t="n">
        <v>-1.78</v>
      </c>
      <c r="AI1930" s="23" t="n">
        <v>1.26</v>
      </c>
      <c r="AJ1930" s="19" t="n">
        <v>0</v>
      </c>
    </row>
    <row r="1931">
      <c r="A1931" s="16" t="inlineStr">
        <is>
          <t>LAKSHMIMIL</t>
        </is>
      </c>
      <c r="B1931" s="16" t="inlineStr">
        <is>
          <t>Lakshmi Mills Company Ltd.</t>
        </is>
      </c>
      <c r="C1931" s="16" t="inlineStr">
        <is>
          <t>Textiles</t>
        </is>
      </c>
      <c r="D1931" s="16" t="inlineStr">
        <is>
          <t>Textiles Apparels &amp; Accessories</t>
        </is>
      </c>
      <c r="E1931" s="16" t="inlineStr">
        <is>
          <t>INE938C01019</t>
        </is>
      </c>
      <c r="F1931" s="17" t="n">
        <v>556.48</v>
      </c>
      <c r="G1931" s="18" t="n">
        <v>8000</v>
      </c>
      <c r="H1931" s="19" t="n">
        <v>0.0349</v>
      </c>
      <c r="I1931" s="20" t="n">
        <v>46</v>
      </c>
      <c r="J1931" s="16" t="inlineStr">
        <is>
          <t>red</t>
        </is>
      </c>
      <c r="K1931" s="20" t="n">
        <v>83</v>
      </c>
      <c r="L1931" s="18" t="n">
        <v>45.19</v>
      </c>
      <c r="M1931" s="18" t="n">
        <v>8027.49</v>
      </c>
      <c r="N1931" s="18" t="n">
        <v>7828.13</v>
      </c>
      <c r="O1931" s="18" t="n">
        <v>7658.67</v>
      </c>
      <c r="P1931" s="18" t="n">
        <v>8974</v>
      </c>
      <c r="Q1931" s="18" t="n">
        <v>7022.5</v>
      </c>
      <c r="R1931" s="21">
        <f>IF(OR(G1931="",P1931=""),"",G1931/P1931-1)</f>
        <v/>
      </c>
      <c r="S1931" s="19" t="n">
        <v>0.5021</v>
      </c>
      <c r="T1931" s="22" t="n">
        <v>-0.0067</v>
      </c>
      <c r="U1931" s="16" t="inlineStr">
        <is>
          <t>No</t>
        </is>
      </c>
      <c r="V1931" s="16" t="inlineStr">
        <is>
          <t>Yes</t>
        </is>
      </c>
      <c r="W1931" s="16" t="inlineStr">
        <is>
          <t>No</t>
        </is>
      </c>
      <c r="X1931" s="16" t="inlineStr">
        <is>
          <t>Yes</t>
        </is>
      </c>
      <c r="Y1931" s="20" t="n">
        <v>12</v>
      </c>
      <c r="Z1931" s="19" t="n">
        <v>0.0221</v>
      </c>
      <c r="AA1931" s="18" t="n"/>
      <c r="AB1931" s="16" t="n"/>
      <c r="AC1931" s="16" t="inlineStr">
        <is>
          <t>No</t>
        </is>
      </c>
      <c r="AD1931" s="19" t="n"/>
      <c r="AE1931" s="19" t="n"/>
      <c r="AF1931" s="19" t="n"/>
      <c r="AG1931" s="19" t="n"/>
      <c r="AH1931" s="23" t="n"/>
      <c r="AI1931" s="23" t="n"/>
      <c r="AJ1931" s="19" t="n"/>
    </row>
    <row r="1932">
      <c r="A1932" s="16" t="inlineStr">
        <is>
          <t>SUPREMEPWR</t>
        </is>
      </c>
      <c r="B1932" s="16" t="inlineStr">
        <is>
          <t>Supreme Power Equipment Ltd.</t>
        </is>
      </c>
      <c r="C1932" s="16" t="inlineStr">
        <is>
          <t>Heavy Electrical Equipment</t>
        </is>
      </c>
      <c r="D1932" s="16" t="inlineStr">
        <is>
          <t>General Industrials</t>
        </is>
      </c>
      <c r="E1932" s="16" t="inlineStr">
        <is>
          <t>INE0QHG01026</t>
        </is>
      </c>
      <c r="F1932" s="17" t="n">
        <v>556.3</v>
      </c>
      <c r="G1932" s="18" t="n">
        <v>222.6</v>
      </c>
      <c r="H1932" s="19" t="n">
        <v>0.016</v>
      </c>
      <c r="I1932" s="20" t="n">
        <v>53</v>
      </c>
      <c r="J1932" s="16" t="inlineStr">
        <is>
          <t>red</t>
        </is>
      </c>
      <c r="K1932" s="20" t="n">
        <v>6</v>
      </c>
      <c r="L1932" s="18" t="n">
        <v>65.61</v>
      </c>
      <c r="M1932" s="18" t="n">
        <v>222.54</v>
      </c>
      <c r="N1932" s="18" t="n">
        <v>217.36</v>
      </c>
      <c r="O1932" s="18" t="n">
        <v>205.02</v>
      </c>
      <c r="P1932" s="18" t="n">
        <v>280.15</v>
      </c>
      <c r="Q1932" s="18" t="n">
        <v>137.05</v>
      </c>
      <c r="R1932" s="21">
        <f>IF(OR(G1932="",P1932=""),"",G1932/P1932-1)</f>
        <v/>
      </c>
      <c r="S1932" s="19" t="n">
        <v>1.024</v>
      </c>
      <c r="T1932" s="22" t="n">
        <v>0.004699999999999999</v>
      </c>
      <c r="U1932" s="16" t="inlineStr">
        <is>
          <t>Yes</t>
        </is>
      </c>
      <c r="V1932" s="16" t="inlineStr">
        <is>
          <t>Yes</t>
        </is>
      </c>
      <c r="W1932" s="16" t="inlineStr">
        <is>
          <t>Yes</t>
        </is>
      </c>
      <c r="X1932" s="16" t="inlineStr">
        <is>
          <t>Yes</t>
        </is>
      </c>
      <c r="Y1932" s="20" t="n">
        <v>82</v>
      </c>
      <c r="Z1932" s="19" t="n">
        <v>0.0602</v>
      </c>
      <c r="AA1932" s="18" t="n"/>
      <c r="AB1932" s="16" t="n"/>
      <c r="AC1932" s="16" t="inlineStr">
        <is>
          <t>No</t>
        </is>
      </c>
      <c r="AD1932" s="19" t="n"/>
      <c r="AE1932" s="19" t="n"/>
      <c r="AF1932" s="19" t="n"/>
      <c r="AG1932" s="19" t="n"/>
      <c r="AH1932" s="23" t="n"/>
      <c r="AI1932" s="23" t="n"/>
      <c r="AJ1932" s="19" t="n"/>
    </row>
    <row r="1933">
      <c r="A1933" s="16" t="inlineStr">
        <is>
          <t>GGBL</t>
        </is>
      </c>
      <c r="B1933" s="16" t="inlineStr">
        <is>
          <t>Ganesh Green Bharat Ltd.</t>
        </is>
      </c>
      <c r="C1933" s="16" t="inlineStr">
        <is>
          <t>Power - Electric Utilities</t>
        </is>
      </c>
      <c r="D1933" s="16" t="inlineStr">
        <is>
          <t>Utilities</t>
        </is>
      </c>
      <c r="E1933" s="16" t="inlineStr">
        <is>
          <t>INE0R8C01018</t>
        </is>
      </c>
      <c r="F1933" s="17" t="n">
        <v>552.8099999999999</v>
      </c>
      <c r="G1933" s="18" t="n">
        <v>222.9</v>
      </c>
      <c r="H1933" s="19" t="n">
        <v>0.004699999999999999</v>
      </c>
      <c r="I1933" s="20" t="n">
        <v>2</v>
      </c>
      <c r="J1933" s="16" t="inlineStr">
        <is>
          <t>red</t>
        </is>
      </c>
      <c r="K1933" s="20" t="n">
        <v>85</v>
      </c>
      <c r="L1933" s="18" t="n">
        <v>41.78</v>
      </c>
      <c r="M1933" s="18" t="n">
        <v>223.34</v>
      </c>
      <c r="N1933" s="18" t="n">
        <v>251.53</v>
      </c>
      <c r="O1933" s="18" t="n">
        <v>293.58</v>
      </c>
      <c r="P1933" s="18" t="n">
        <v>443.08</v>
      </c>
      <c r="Q1933" s="18" t="n">
        <v>217.5</v>
      </c>
      <c r="R1933" s="21">
        <f>IF(OR(G1933="",P1933=""),"",G1933/P1933-1)</f>
        <v/>
      </c>
      <c r="S1933" s="19" t="n">
        <v>0.5735</v>
      </c>
      <c r="T1933" s="22" t="n">
        <v>-0.0562</v>
      </c>
      <c r="U1933" s="16" t="inlineStr">
        <is>
          <t>No</t>
        </is>
      </c>
      <c r="V1933" s="16" t="inlineStr">
        <is>
          <t>No</t>
        </is>
      </c>
      <c r="W1933" s="16" t="inlineStr">
        <is>
          <t>No</t>
        </is>
      </c>
      <c r="X1933" s="16" t="inlineStr">
        <is>
          <t>No</t>
        </is>
      </c>
      <c r="Y1933" s="20" t="n">
        <v>228</v>
      </c>
      <c r="Z1933" s="19" t="n">
        <v>-0.1432</v>
      </c>
      <c r="AA1933" s="18" t="n"/>
      <c r="AB1933" s="16" t="n"/>
      <c r="AC1933" s="16" t="inlineStr">
        <is>
          <t>No</t>
        </is>
      </c>
      <c r="AD1933" s="19" t="n"/>
      <c r="AE1933" s="19" t="n"/>
      <c r="AF1933" s="19" t="n"/>
      <c r="AG1933" s="19" t="n"/>
      <c r="AH1933" s="23" t="n"/>
      <c r="AI1933" s="23" t="n"/>
      <c r="AJ1933" s="19" t="n"/>
    </row>
    <row r="1934">
      <c r="A1934" s="16" t="inlineStr">
        <is>
          <t>DHABRIYA</t>
        </is>
      </c>
      <c r="B1934" s="16" t="inlineStr">
        <is>
          <t>Dhabriya Polywood Ltd.</t>
        </is>
      </c>
      <c r="C1934" s="16" t="inlineStr">
        <is>
          <t>Plastic Products</t>
        </is>
      </c>
      <c r="D1934" s="16" t="inlineStr">
        <is>
          <t>General Industrials</t>
        </is>
      </c>
      <c r="E1934" s="16" t="inlineStr">
        <is>
          <t>INE260R01016</t>
        </is>
      </c>
      <c r="F1934" s="17" t="n">
        <v>552.3</v>
      </c>
      <c r="G1934" s="18" t="n">
        <v>510.25</v>
      </c>
      <c r="H1934" s="19" t="n">
        <v>-0.0184</v>
      </c>
      <c r="I1934" s="20" t="n">
        <v>83</v>
      </c>
      <c r="J1934" s="16" t="inlineStr">
        <is>
          <t>green</t>
        </is>
      </c>
      <c r="K1934" s="20" t="n">
        <v>16</v>
      </c>
      <c r="L1934" s="18" t="n">
        <v>52.06</v>
      </c>
      <c r="M1934" s="18" t="n">
        <v>533.97</v>
      </c>
      <c r="N1934" s="18" t="n">
        <v>461.45</v>
      </c>
      <c r="O1934" s="18" t="n">
        <v>381.06</v>
      </c>
      <c r="P1934" s="18" t="n">
        <v>587.1</v>
      </c>
      <c r="Q1934" s="18" t="n">
        <v>285.95</v>
      </c>
      <c r="R1934" s="21">
        <f>IF(OR(G1934="",P1934=""),"",G1934/P1934-1)</f>
        <v/>
      </c>
      <c r="S1934" s="19" t="n">
        <v>0.105</v>
      </c>
      <c r="T1934" s="22" t="n">
        <v>0.03759999999999999</v>
      </c>
      <c r="U1934" s="16" t="inlineStr">
        <is>
          <t>Yes</t>
        </is>
      </c>
      <c r="V1934" s="16" t="inlineStr">
        <is>
          <t>Yes</t>
        </is>
      </c>
      <c r="W1934" s="16" t="inlineStr">
        <is>
          <t>No</t>
        </is>
      </c>
      <c r="X1934" s="16" t="inlineStr">
        <is>
          <t>Yes</t>
        </is>
      </c>
      <c r="Y1934" s="20" t="n">
        <v>53</v>
      </c>
      <c r="Z1934" s="19" t="n">
        <v>0.211</v>
      </c>
      <c r="AA1934" s="18" t="n"/>
      <c r="AB1934" s="16" t="n"/>
      <c r="AC1934" s="16" t="inlineStr">
        <is>
          <t>No</t>
        </is>
      </c>
      <c r="AD1934" s="19" t="n"/>
      <c r="AE1934" s="19" t="n"/>
      <c r="AF1934" s="19" t="n"/>
      <c r="AG1934" s="19" t="n"/>
      <c r="AH1934" s="23" t="n"/>
      <c r="AI1934" s="23" t="n"/>
      <c r="AJ1934" s="19" t="n"/>
    </row>
    <row r="1935">
      <c r="A1935" s="16" t="inlineStr">
        <is>
          <t>SHRJAGP</t>
        </is>
      </c>
      <c r="B1935" s="16" t="inlineStr">
        <is>
          <t>Shri Jagdamba Polymers Ltd.</t>
        </is>
      </c>
      <c r="C1935" s="16" t="inlineStr">
        <is>
          <t>Plastic Products</t>
        </is>
      </c>
      <c r="D1935" s="16" t="inlineStr">
        <is>
          <t>General Industrials</t>
        </is>
      </c>
      <c r="E1935" s="16" t="inlineStr">
        <is>
          <t>INE564J01026</t>
        </is>
      </c>
      <c r="F1935" s="17" t="n">
        <v>550.88</v>
      </c>
      <c r="G1935" s="18" t="n">
        <v>629</v>
      </c>
      <c r="H1935" s="19" t="n">
        <v>0.0137</v>
      </c>
      <c r="I1935" s="20" t="n">
        <v>32</v>
      </c>
      <c r="J1935" s="16" t="inlineStr">
        <is>
          <t>red</t>
        </is>
      </c>
      <c r="K1935" s="20" t="n">
        <v>246</v>
      </c>
      <c r="L1935" s="18" t="n">
        <v>18.64</v>
      </c>
      <c r="M1935" s="18" t="n">
        <v>645.35</v>
      </c>
      <c r="N1935" s="18" t="n">
        <v>613.53</v>
      </c>
      <c r="O1935" s="18" t="n">
        <v>617.9299999999999</v>
      </c>
      <c r="P1935" s="18" t="n">
        <v>958.49</v>
      </c>
      <c r="Q1935" s="18" t="n">
        <v>513.25</v>
      </c>
      <c r="R1935" s="21">
        <f>IF(OR(G1935="",P1935=""),"",G1935/P1935-1)</f>
        <v/>
      </c>
      <c r="S1935" s="19" t="n">
        <v>0.1128</v>
      </c>
      <c r="T1935" s="22" t="n">
        <v>-0.0228</v>
      </c>
      <c r="U1935" s="16" t="inlineStr">
        <is>
          <t>No</t>
        </is>
      </c>
      <c r="V1935" s="16" t="inlineStr">
        <is>
          <t>Yes</t>
        </is>
      </c>
      <c r="W1935" s="16" t="inlineStr">
        <is>
          <t>No</t>
        </is>
      </c>
      <c r="X1935" s="16" t="inlineStr">
        <is>
          <t>No</t>
        </is>
      </c>
      <c r="Y1935" s="20" t="n">
        <v>225</v>
      </c>
      <c r="Z1935" s="19" t="n">
        <v>-0.0071</v>
      </c>
      <c r="AA1935" s="18" t="n"/>
      <c r="AB1935" s="16" t="n"/>
      <c r="AC1935" s="16" t="inlineStr">
        <is>
          <t>No</t>
        </is>
      </c>
      <c r="AD1935" s="19" t="n"/>
      <c r="AE1935" s="19" t="n"/>
      <c r="AF1935" s="19" t="n"/>
      <c r="AG1935" s="19" t="n"/>
      <c r="AH1935" s="23" t="n"/>
      <c r="AI1935" s="23" t="n"/>
      <c r="AJ1935" s="19" t="n"/>
    </row>
    <row r="1936">
      <c r="A1936" s="16" t="inlineStr">
        <is>
          <t>APPL</t>
        </is>
      </c>
      <c r="B1936" s="16" t="inlineStr">
        <is>
          <t>Aptus Pharma Ltd.</t>
        </is>
      </c>
      <c r="C1936" s="16" t="inlineStr">
        <is>
          <t>Pharmaceuticals</t>
        </is>
      </c>
      <c r="D1936" s="16" t="inlineStr">
        <is>
          <t>Pharmaceuticals &amp; Biotechnology</t>
        </is>
      </c>
      <c r="E1936" s="16" t="inlineStr">
        <is>
          <t>INE15XJ01010</t>
        </is>
      </c>
      <c r="F1936" s="17" t="n">
        <v>549.5700000000001</v>
      </c>
      <c r="G1936" s="18" t="n">
        <v>320.45</v>
      </c>
      <c r="H1936" s="19" t="n">
        <v>0.0199</v>
      </c>
      <c r="I1936" s="20" t="n">
        <v>98</v>
      </c>
      <c r="J1936" s="16" t="inlineStr">
        <is>
          <t>green</t>
        </is>
      </c>
      <c r="K1936" s="20" t="n">
        <v>171</v>
      </c>
      <c r="L1936" s="18" t="n">
        <v>83.59999999999999</v>
      </c>
      <c r="M1936" s="18" t="n">
        <v>314.43</v>
      </c>
      <c r="N1936" s="18" t="n">
        <v>267.03</v>
      </c>
      <c r="O1936" s="18" t="n">
        <v>162.84</v>
      </c>
      <c r="P1936" s="18" t="n">
        <v>320.7</v>
      </c>
      <c r="Q1936" s="18" t="n">
        <v>33.2</v>
      </c>
      <c r="R1936" s="21">
        <f>IF(OR(G1936="",P1936=""),"",G1936/P1936-1)</f>
        <v/>
      </c>
      <c r="S1936" s="19" t="n">
        <v>0.2918</v>
      </c>
      <c r="T1936" s="22" t="n">
        <v>0.169</v>
      </c>
      <c r="U1936" s="16" t="inlineStr">
        <is>
          <t>Yes</t>
        </is>
      </c>
      <c r="V1936" s="16" t="inlineStr">
        <is>
          <t>Yes</t>
        </is>
      </c>
      <c r="W1936" s="16" t="inlineStr">
        <is>
          <t>Yes</t>
        </is>
      </c>
      <c r="X1936" s="16" t="inlineStr">
        <is>
          <t>Yes</t>
        </is>
      </c>
      <c r="Y1936" s="20" t="n">
        <v>35</v>
      </c>
      <c r="Z1936" s="19" t="n">
        <v>0.6397999999999999</v>
      </c>
      <c r="AA1936" s="18" t="n"/>
      <c r="AB1936" s="16" t="n"/>
      <c r="AC1936" s="16" t="inlineStr">
        <is>
          <t>No</t>
        </is>
      </c>
      <c r="AD1936" s="19" t="n"/>
      <c r="AE1936" s="19" t="n"/>
      <c r="AF1936" s="19" t="n"/>
      <c r="AG1936" s="19" t="n"/>
      <c r="AH1936" s="23" t="n"/>
      <c r="AI1936" s="23" t="n"/>
      <c r="AJ1936" s="19" t="n"/>
    </row>
    <row r="1937">
      <c r="A1937" s="16" t="inlineStr">
        <is>
          <t>PENINLAND</t>
        </is>
      </c>
      <c r="B1937" s="16" t="inlineStr">
        <is>
          <t>Peninsula Land Ltd.</t>
        </is>
      </c>
      <c r="C1937" s="16" t="inlineStr">
        <is>
          <t>Realty</t>
        </is>
      </c>
      <c r="D1937" s="16" t="inlineStr">
        <is>
          <t>Realty</t>
        </is>
      </c>
      <c r="E1937" s="16" t="inlineStr">
        <is>
          <t>INE138A01028</t>
        </is>
      </c>
      <c r="F1937" s="17" t="n">
        <v>549.54</v>
      </c>
      <c r="G1937" s="18" t="n">
        <v>16.55</v>
      </c>
      <c r="H1937" s="19" t="n">
        <v>0.0305</v>
      </c>
      <c r="I1937" s="20" t="n">
        <v>14</v>
      </c>
      <c r="J1937" s="16" t="inlineStr">
        <is>
          <t>red</t>
        </is>
      </c>
      <c r="K1937" s="20" t="n">
        <v>230</v>
      </c>
      <c r="L1937" s="18" t="n">
        <v>59.57</v>
      </c>
      <c r="M1937" s="18" t="n">
        <v>16.52</v>
      </c>
      <c r="N1937" s="18" t="n">
        <v>16.33</v>
      </c>
      <c r="O1937" s="18" t="n">
        <v>19.1</v>
      </c>
      <c r="P1937" s="18" t="n">
        <v>37.47</v>
      </c>
      <c r="Q1937" s="18" t="n">
        <v>13.99</v>
      </c>
      <c r="R1937" s="21">
        <f>IF(OR(G1937="",P1937=""),"",G1937/P1937-1)</f>
        <v/>
      </c>
      <c r="S1937" s="19" t="n">
        <v>1.0505</v>
      </c>
      <c r="T1937" s="22" t="n">
        <v>-0.0818</v>
      </c>
      <c r="U1937" s="16" t="inlineStr">
        <is>
          <t>No</t>
        </is>
      </c>
      <c r="V1937" s="16" t="inlineStr">
        <is>
          <t>Yes</t>
        </is>
      </c>
      <c r="W1937" s="16" t="inlineStr">
        <is>
          <t>Yes</t>
        </is>
      </c>
      <c r="X1937" s="16" t="inlineStr">
        <is>
          <t>No</t>
        </is>
      </c>
      <c r="Y1937" s="20" t="n">
        <v>182</v>
      </c>
      <c r="Z1937" s="19" t="n">
        <v>-0.1446</v>
      </c>
      <c r="AA1937" s="18" t="n">
        <v>0</v>
      </c>
      <c r="AB1937" s="16" t="inlineStr">
        <is>
          <t>Poor</t>
        </is>
      </c>
      <c r="AC1937" s="16" t="inlineStr">
        <is>
          <t>No</t>
        </is>
      </c>
      <c r="AD1937" s="19" t="n">
        <v>-0.5964</v>
      </c>
      <c r="AE1937" s="19" t="n">
        <v>0.0163</v>
      </c>
      <c r="AF1937" s="19" t="n">
        <v>-1.4014</v>
      </c>
      <c r="AG1937" s="19" t="n">
        <v>-0.4696</v>
      </c>
      <c r="AH1937" s="23" t="n">
        <v>4.24</v>
      </c>
      <c r="AI1937" s="23" t="n">
        <v>6.21</v>
      </c>
      <c r="AJ1937" s="19" t="n">
        <v>0</v>
      </c>
    </row>
    <row r="1938">
      <c r="A1938" s="16" t="inlineStr">
        <is>
          <t>CLN</t>
        </is>
      </c>
      <c r="B1938" s="16" t="inlineStr">
        <is>
          <t>CLN Energy Ltd.</t>
        </is>
      </c>
      <c r="C1938" s="16" t="inlineStr">
        <is>
          <t>Other Electrical Equipment/Products</t>
        </is>
      </c>
      <c r="D1938" s="16" t="inlineStr">
        <is>
          <t>Consumer Durables</t>
        </is>
      </c>
      <c r="E1938" s="16" t="inlineStr">
        <is>
          <t>INE0WDX01010</t>
        </is>
      </c>
      <c r="F1938" s="17" t="n">
        <v>548.77</v>
      </c>
      <c r="G1938" s="18" t="n">
        <v>520</v>
      </c>
      <c r="H1938" s="19" t="n">
        <v>-0.001</v>
      </c>
      <c r="I1938" s="20" t="n">
        <v>71</v>
      </c>
      <c r="J1938" s="16" t="inlineStr">
        <is>
          <t>amber</t>
        </is>
      </c>
      <c r="K1938" s="20" t="n">
        <v>7</v>
      </c>
      <c r="L1938" s="18" t="n">
        <v>41.51</v>
      </c>
      <c r="M1938" s="18" t="n">
        <v>543.3200000000001</v>
      </c>
      <c r="N1938" s="18" t="n">
        <v>515.46</v>
      </c>
      <c r="O1938" s="18" t="n">
        <v>418.47</v>
      </c>
      <c r="P1938" s="18" t="n">
        <v>619.5</v>
      </c>
      <c r="Q1938" s="18" t="n">
        <v>266.15</v>
      </c>
      <c r="R1938" s="21">
        <f>IF(OR(G1938="",P1938=""),"",G1938/P1938-1)</f>
        <v/>
      </c>
      <c r="S1938" s="19" t="n">
        <v>0.6265999999999999</v>
      </c>
      <c r="T1938" s="22" t="n">
        <v>-0.0034</v>
      </c>
      <c r="U1938" s="16" t="inlineStr">
        <is>
          <t>No</t>
        </is>
      </c>
      <c r="V1938" s="16" t="inlineStr">
        <is>
          <t>Yes</t>
        </is>
      </c>
      <c r="W1938" s="16" t="inlineStr">
        <is>
          <t>No</t>
        </is>
      </c>
      <c r="X1938" s="16" t="inlineStr">
        <is>
          <t>Yes</t>
        </is>
      </c>
      <c r="Y1938" s="20" t="n">
        <v>38</v>
      </c>
      <c r="Z1938" s="19" t="n">
        <v>0.2318</v>
      </c>
      <c r="AA1938" s="18" t="n"/>
      <c r="AB1938" s="16" t="n"/>
      <c r="AC1938" s="16" t="inlineStr">
        <is>
          <t>No</t>
        </is>
      </c>
      <c r="AD1938" s="19" t="n"/>
      <c r="AE1938" s="19" t="n"/>
      <c r="AF1938" s="19" t="n"/>
      <c r="AG1938" s="19" t="n"/>
      <c r="AH1938" s="23" t="n"/>
      <c r="AI1938" s="23" t="n"/>
      <c r="AJ1938" s="19" t="n"/>
    </row>
    <row r="1939">
      <c r="A1939" s="16" t="inlineStr">
        <is>
          <t>IRIS</t>
        </is>
      </c>
      <c r="B1939" s="16" t="inlineStr">
        <is>
          <t>IRIS RegTech Solutions Ltd.</t>
        </is>
      </c>
      <c r="C1939" s="16" t="inlineStr">
        <is>
          <t>IT Software Products</t>
        </is>
      </c>
      <c r="D1939" s="16" t="inlineStr">
        <is>
          <t>Software &amp; Services</t>
        </is>
      </c>
      <c r="E1939" s="16" t="inlineStr">
        <is>
          <t>INE864K01010</t>
        </is>
      </c>
      <c r="F1939" s="17" t="n">
        <v>546.95</v>
      </c>
      <c r="G1939" s="18" t="n">
        <v>265.92</v>
      </c>
      <c r="H1939" s="19" t="n">
        <v>0.0472</v>
      </c>
      <c r="I1939" s="20" t="n">
        <v>35</v>
      </c>
      <c r="J1939" s="16" t="inlineStr">
        <is>
          <t>red</t>
        </is>
      </c>
      <c r="K1939" s="20" t="n">
        <v>237</v>
      </c>
      <c r="L1939" s="18" t="n">
        <v>64.40000000000001</v>
      </c>
      <c r="M1939" s="18" t="n">
        <v>248.58</v>
      </c>
      <c r="N1939" s="18" t="n">
        <v>250.68</v>
      </c>
      <c r="O1939" s="18" t="n">
        <v>261.08</v>
      </c>
      <c r="P1939" s="18" t="n">
        <v>376.4</v>
      </c>
      <c r="Q1939" s="18" t="n">
        <v>210.91</v>
      </c>
      <c r="R1939" s="21">
        <f>IF(OR(G1939="",P1939=""),"",G1939/P1939-1)</f>
        <v/>
      </c>
      <c r="S1939" s="19" t="n">
        <v>2.8807</v>
      </c>
      <c r="T1939" s="22" t="n">
        <v>-0.0331</v>
      </c>
      <c r="U1939" s="16" t="inlineStr">
        <is>
          <t>No</t>
        </is>
      </c>
      <c r="V1939" s="16" t="inlineStr">
        <is>
          <t>Yes</t>
        </is>
      </c>
      <c r="W1939" s="16" t="inlineStr">
        <is>
          <t>Yes</t>
        </is>
      </c>
      <c r="X1939" s="16" t="inlineStr">
        <is>
          <t>No</t>
        </is>
      </c>
      <c r="Y1939" s="20" t="n">
        <v>339</v>
      </c>
      <c r="Z1939" s="19" t="n">
        <v>-0.0399</v>
      </c>
      <c r="AA1939" s="18" t="n">
        <v>77.19</v>
      </c>
      <c r="AB1939" s="16" t="inlineStr">
        <is>
          <t>High</t>
        </is>
      </c>
      <c r="AC1939" s="16" t="inlineStr">
        <is>
          <t>No</t>
        </is>
      </c>
      <c r="AD1939" s="19" t="n">
        <v>0.3382</v>
      </c>
      <c r="AE1939" s="19" t="n">
        <v>0.1871</v>
      </c>
      <c r="AF1939" s="19" t="n">
        <v>0.5136999999999999</v>
      </c>
      <c r="AG1939" s="19" t="n">
        <v>0.2114</v>
      </c>
      <c r="AH1939" s="23" t="n">
        <v>0.01</v>
      </c>
      <c r="AI1939" s="23" t="n">
        <v>13.03</v>
      </c>
      <c r="AJ1939" s="19" t="n">
        <v>0</v>
      </c>
    </row>
    <row r="1940">
      <c r="A1940" s="16" t="inlineStr">
        <is>
          <t>RIDDHI</t>
        </is>
      </c>
      <c r="B1940" s="16" t="inlineStr">
        <is>
          <t>Riddhi Siddhi Gluco Biols Ltd.</t>
        </is>
      </c>
      <c r="C1940" s="16" t="inlineStr">
        <is>
          <t>Commodity Trading  &amp; Distribution</t>
        </is>
      </c>
      <c r="D1940" s="16" t="inlineStr">
        <is>
          <t>Commercial Services &amp; Supplies</t>
        </is>
      </c>
      <c r="E1940" s="16" t="inlineStr">
        <is>
          <t>INE249D01019</t>
        </is>
      </c>
      <c r="F1940" s="17" t="n">
        <v>546.14</v>
      </c>
      <c r="G1940" s="18" t="n">
        <v>766</v>
      </c>
      <c r="H1940" s="19" t="n">
        <v>0.0213</v>
      </c>
      <c r="I1940" s="20" t="n">
        <v>76</v>
      </c>
      <c r="J1940" s="16" t="inlineStr">
        <is>
          <t>amber</t>
        </is>
      </c>
      <c r="K1940" s="20" t="n">
        <v>7</v>
      </c>
      <c r="L1940" s="18" t="n">
        <v>59</v>
      </c>
      <c r="M1940" s="18" t="n">
        <v>754.9299999999999</v>
      </c>
      <c r="N1940" s="18" t="n">
        <v>745.34</v>
      </c>
      <c r="O1940" s="18" t="n">
        <v>603.5599999999999</v>
      </c>
      <c r="P1940" s="18" t="n">
        <v>825.9</v>
      </c>
      <c r="Q1940" s="18" t="n">
        <v>411.2</v>
      </c>
      <c r="R1940" s="21">
        <f>IF(OR(G1940="",P1940=""),"",G1940/P1940-1)</f>
        <v/>
      </c>
      <c r="S1940" s="19" t="n">
        <v>0.2633</v>
      </c>
      <c r="T1940" s="22" t="n">
        <v>0.0365</v>
      </c>
      <c r="U1940" s="16" t="inlineStr">
        <is>
          <t>Yes</t>
        </is>
      </c>
      <c r="V1940" s="16" t="inlineStr">
        <is>
          <t>Yes</t>
        </is>
      </c>
      <c r="W1940" s="16" t="inlineStr">
        <is>
          <t>Yes</t>
        </is>
      </c>
      <c r="X1940" s="16" t="inlineStr">
        <is>
          <t>Yes</t>
        </is>
      </c>
      <c r="Y1940" s="20" t="n">
        <v>83</v>
      </c>
      <c r="Z1940" s="19" t="n">
        <v>0.2349</v>
      </c>
      <c r="AA1940" s="18" t="n"/>
      <c r="AB1940" s="16" t="n"/>
      <c r="AC1940" s="16" t="inlineStr">
        <is>
          <t>No</t>
        </is>
      </c>
      <c r="AD1940" s="19" t="n"/>
      <c r="AE1940" s="19" t="n"/>
      <c r="AF1940" s="19" t="n"/>
      <c r="AG1940" s="19" t="n"/>
      <c r="AH1940" s="23" t="n"/>
      <c r="AI1940" s="23" t="n"/>
      <c r="AJ1940" s="19" t="n"/>
    </row>
    <row r="1941">
      <c r="A1941" s="16" t="inlineStr">
        <is>
          <t>GPECO</t>
        </is>
      </c>
      <c r="B1941" s="16" t="inlineStr">
        <is>
          <t>GP Eco Solutions India Ltd.</t>
        </is>
      </c>
      <c r="C1941" s="16" t="inlineStr">
        <is>
          <t>Other Electrical Equipment/Products</t>
        </is>
      </c>
      <c r="D1941" s="16" t="inlineStr">
        <is>
          <t>Consumer Durables</t>
        </is>
      </c>
      <c r="E1941" s="16" t="inlineStr">
        <is>
          <t>INE0S7E01015</t>
        </is>
      </c>
      <c r="F1941" s="17" t="n">
        <v>544.45</v>
      </c>
      <c r="G1941" s="18" t="n">
        <v>441.55</v>
      </c>
      <c r="H1941" s="19" t="n">
        <v>0.04559999999999999</v>
      </c>
      <c r="I1941" s="20" t="n">
        <v>32</v>
      </c>
      <c r="J1941" s="16" t="inlineStr">
        <is>
          <t>red</t>
        </is>
      </c>
      <c r="K1941" s="20" t="n">
        <v>28</v>
      </c>
      <c r="L1941" s="18" t="n">
        <v>73.68000000000001</v>
      </c>
      <c r="M1941" s="18" t="n">
        <v>412.23</v>
      </c>
      <c r="N1941" s="18" t="n">
        <v>414.65</v>
      </c>
      <c r="O1941" s="18" t="n">
        <v>399</v>
      </c>
      <c r="P1941" s="18" t="n">
        <v>616.5</v>
      </c>
      <c r="Q1941" s="18" t="n">
        <v>271.1</v>
      </c>
      <c r="R1941" s="21">
        <f>IF(OR(G1941="",P1941=""),"",G1941/P1941-1)</f>
        <v/>
      </c>
      <c r="S1941" s="19" t="n">
        <v>2.2152</v>
      </c>
      <c r="T1941" s="22" t="n">
        <v>-0.0259</v>
      </c>
      <c r="U1941" s="16" t="inlineStr">
        <is>
          <t>No</t>
        </is>
      </c>
      <c r="V1941" s="16" t="inlineStr">
        <is>
          <t>Yes</t>
        </is>
      </c>
      <c r="W1941" s="16" t="inlineStr">
        <is>
          <t>Yes</t>
        </is>
      </c>
      <c r="X1941" s="16" t="inlineStr">
        <is>
          <t>Yes</t>
        </is>
      </c>
      <c r="Y1941" s="20" t="n">
        <v>40</v>
      </c>
      <c r="Z1941" s="19" t="n">
        <v>0.0392</v>
      </c>
      <c r="AA1941" s="18" t="n"/>
      <c r="AB1941" s="16" t="n"/>
      <c r="AC1941" s="16" t="inlineStr">
        <is>
          <t>No</t>
        </is>
      </c>
      <c r="AD1941" s="19" t="n"/>
      <c r="AE1941" s="19" t="n"/>
      <c r="AF1941" s="19" t="n"/>
      <c r="AG1941" s="19" t="n"/>
      <c r="AH1941" s="23" t="n"/>
      <c r="AI1941" s="23" t="n"/>
      <c r="AJ1941" s="19" t="n"/>
    </row>
    <row r="1942">
      <c r="A1942" s="16" t="inlineStr">
        <is>
          <t>CEWATER</t>
        </is>
      </c>
      <c r="B1942" s="16" t="inlineStr">
        <is>
          <t>Concord Enviro Systems Ltd.</t>
        </is>
      </c>
      <c r="C1942" s="16" t="inlineStr">
        <is>
          <t>Waste Management</t>
        </is>
      </c>
      <c r="D1942" s="16" t="inlineStr">
        <is>
          <t>Utilities</t>
        </is>
      </c>
      <c r="E1942" s="16" t="inlineStr">
        <is>
          <t>INE037Z01029</t>
        </is>
      </c>
      <c r="F1942" s="17" t="n">
        <v>543.38</v>
      </c>
      <c r="G1942" s="18" t="n">
        <v>262.55</v>
      </c>
      <c r="H1942" s="19" t="n">
        <v>-0.0107</v>
      </c>
      <c r="I1942" s="20" t="n">
        <v>11</v>
      </c>
      <c r="J1942" s="16" t="inlineStr">
        <is>
          <t>red</t>
        </is>
      </c>
      <c r="K1942" s="20" t="n">
        <v>253</v>
      </c>
      <c r="L1942" s="18" t="n">
        <v>40.19</v>
      </c>
      <c r="M1942" s="18" t="n">
        <v>266.12</v>
      </c>
      <c r="N1942" s="18" t="n">
        <v>291.79</v>
      </c>
      <c r="O1942" s="18" t="n">
        <v>333.37</v>
      </c>
      <c r="P1942" s="18" t="n">
        <v>544.9</v>
      </c>
      <c r="Q1942" s="18" t="n">
        <v>241.25</v>
      </c>
      <c r="R1942" s="21">
        <f>IF(OR(G1942="",P1942=""),"",G1942/P1942-1)</f>
        <v/>
      </c>
      <c r="S1942" s="19" t="n">
        <v>0.3573</v>
      </c>
      <c r="T1942" s="22" t="n">
        <v>-0.0554</v>
      </c>
      <c r="U1942" s="16" t="inlineStr">
        <is>
          <t>No</t>
        </is>
      </c>
      <c r="V1942" s="16" t="inlineStr">
        <is>
          <t>No</t>
        </is>
      </c>
      <c r="W1942" s="16" t="inlineStr">
        <is>
          <t>No</t>
        </is>
      </c>
      <c r="X1942" s="16" t="inlineStr">
        <is>
          <t>No</t>
        </is>
      </c>
      <c r="Y1942" s="20" t="n">
        <v>223</v>
      </c>
      <c r="Z1942" s="19" t="n">
        <v>-0.1247</v>
      </c>
      <c r="AA1942" s="18" t="n">
        <v>57.46</v>
      </c>
      <c r="AB1942" s="16" t="inlineStr">
        <is>
          <t>Good</t>
        </is>
      </c>
      <c r="AC1942" s="16" t="inlineStr">
        <is>
          <t>No</t>
        </is>
      </c>
      <c r="AD1942" s="19" t="n">
        <v>0.08650000000000001</v>
      </c>
      <c r="AE1942" s="19" t="n">
        <v>0.1424</v>
      </c>
      <c r="AF1942" s="19" t="n">
        <v>1.9726</v>
      </c>
      <c r="AG1942" s="19" t="n">
        <v>0.1969</v>
      </c>
      <c r="AH1942" s="23" t="n">
        <v>0.29</v>
      </c>
      <c r="AI1942" s="23" t="n">
        <v>5.36</v>
      </c>
      <c r="AJ1942" s="19" t="n">
        <v>0.0254</v>
      </c>
    </row>
    <row r="1943">
      <c r="A1943" s="16" t="inlineStr">
        <is>
          <t>MAZDA</t>
        </is>
      </c>
      <c r="B1943" s="16" t="inlineStr">
        <is>
          <t>Mazda Ltd.</t>
        </is>
      </c>
      <c r="C1943" s="16" t="inlineStr">
        <is>
          <t>Industrial Machinery</t>
        </is>
      </c>
      <c r="D1943" s="16" t="inlineStr">
        <is>
          <t>General Industrials</t>
        </is>
      </c>
      <c r="E1943" s="16" t="inlineStr">
        <is>
          <t>INE885E01042</t>
        </is>
      </c>
      <c r="F1943" s="17" t="n">
        <v>540.6799999999999</v>
      </c>
      <c r="G1943" s="18" t="n">
        <v>270</v>
      </c>
      <c r="H1943" s="19" t="n">
        <v>0.0043</v>
      </c>
      <c r="I1943" s="20" t="n">
        <v>64</v>
      </c>
      <c r="J1943" s="16" t="inlineStr">
        <is>
          <t>amber</t>
        </is>
      </c>
      <c r="K1943" s="20" t="n">
        <v>3</v>
      </c>
      <c r="L1943" s="18" t="n">
        <v>89.87</v>
      </c>
      <c r="M1943" s="18" t="n">
        <v>251.62</v>
      </c>
      <c r="N1943" s="18" t="n">
        <v>231.95</v>
      </c>
      <c r="O1943" s="18" t="n">
        <v>213.57</v>
      </c>
      <c r="P1943" s="18" t="n">
        <v>287.82</v>
      </c>
      <c r="Q1943" s="18" t="n">
        <v>158.76</v>
      </c>
      <c r="R1943" s="21">
        <f>IF(OR(G1943="",P1943=""),"",G1943/P1943-1)</f>
        <v/>
      </c>
      <c r="S1943" s="19" t="n">
        <v>2.0207</v>
      </c>
      <c r="T1943" s="22" t="n">
        <v>-0.0102</v>
      </c>
      <c r="U1943" s="16" t="inlineStr">
        <is>
          <t>No</t>
        </is>
      </c>
      <c r="V1943" s="16" t="inlineStr">
        <is>
          <t>Yes</t>
        </is>
      </c>
      <c r="W1943" s="16" t="inlineStr">
        <is>
          <t>Yes</t>
        </is>
      </c>
      <c r="X1943" s="16" t="inlineStr">
        <is>
          <t>Yes</t>
        </is>
      </c>
      <c r="Y1943" s="20" t="n">
        <v>39</v>
      </c>
      <c r="Z1943" s="19" t="n">
        <v>0.0861</v>
      </c>
      <c r="AA1943" s="18" t="n"/>
      <c r="AB1943" s="16" t="n"/>
      <c r="AC1943" s="16" t="inlineStr">
        <is>
          <t>No</t>
        </is>
      </c>
      <c r="AD1943" s="19" t="n"/>
      <c r="AE1943" s="19" t="n"/>
      <c r="AF1943" s="19" t="n"/>
      <c r="AG1943" s="19" t="n"/>
      <c r="AH1943" s="23" t="n"/>
      <c r="AI1943" s="23" t="n"/>
      <c r="AJ1943" s="19" t="n"/>
    </row>
    <row r="1944">
      <c r="A1944" s="16" t="inlineStr">
        <is>
          <t>HIGHENE</t>
        </is>
      </c>
      <c r="B1944" s="16" t="inlineStr">
        <is>
          <t>High Energy Batteries (India) Ltd.</t>
        </is>
      </c>
      <c r="C1944" s="16" t="inlineStr">
        <is>
          <t>Other Electrical Equipment/Products</t>
        </is>
      </c>
      <c r="D1944" s="16" t="inlineStr">
        <is>
          <t>Consumer Durables</t>
        </is>
      </c>
      <c r="E1944" s="16" t="inlineStr">
        <is>
          <t>INE783E01023</t>
        </is>
      </c>
      <c r="F1944" s="17" t="n">
        <v>540.29</v>
      </c>
      <c r="G1944" s="18" t="n">
        <v>602.75</v>
      </c>
      <c r="H1944" s="19" t="n">
        <v>0.0203</v>
      </c>
      <c r="I1944" s="20" t="n">
        <v>54</v>
      </c>
      <c r="J1944" s="16" t="inlineStr">
        <is>
          <t>red</t>
        </is>
      </c>
      <c r="K1944" s="20" t="n">
        <v>10</v>
      </c>
      <c r="L1944" s="18" t="n">
        <v>60.97</v>
      </c>
      <c r="M1944" s="18" t="n">
        <v>588.04</v>
      </c>
      <c r="N1944" s="18" t="n">
        <v>584.33</v>
      </c>
      <c r="O1944" s="18" t="n">
        <v>563.21</v>
      </c>
      <c r="P1944" s="18" t="n">
        <v>664.3200000000001</v>
      </c>
      <c r="Q1944" s="18" t="n">
        <v>488.03</v>
      </c>
      <c r="R1944" s="21">
        <f>IF(OR(G1944="",P1944=""),"",G1944/P1944-1)</f>
        <v/>
      </c>
      <c r="S1944" s="19" t="n">
        <v>0.7981</v>
      </c>
      <c r="T1944" s="22" t="n">
        <v>-0.0019</v>
      </c>
      <c r="U1944" s="16" t="inlineStr">
        <is>
          <t>No</t>
        </is>
      </c>
      <c r="V1944" s="16" t="inlineStr">
        <is>
          <t>Yes</t>
        </is>
      </c>
      <c r="W1944" s="16" t="inlineStr">
        <is>
          <t>Yes</t>
        </is>
      </c>
      <c r="X1944" s="16" t="inlineStr">
        <is>
          <t>Yes</t>
        </is>
      </c>
      <c r="Y1944" s="20" t="n">
        <v>15</v>
      </c>
      <c r="Z1944" s="19" t="n">
        <v>0.0375</v>
      </c>
      <c r="AA1944" s="18" t="n"/>
      <c r="AB1944" s="16" t="n"/>
      <c r="AC1944" s="16" t="inlineStr">
        <is>
          <t>No</t>
        </is>
      </c>
      <c r="AD1944" s="19" t="n"/>
      <c r="AE1944" s="19" t="n"/>
      <c r="AF1944" s="19" t="n"/>
      <c r="AG1944" s="19" t="n"/>
      <c r="AH1944" s="23" t="n"/>
      <c r="AI1944" s="23" t="n"/>
      <c r="AJ1944" s="19" t="n"/>
    </row>
    <row r="1945">
      <c r="A1945" s="16" t="inlineStr">
        <is>
          <t>MINDTECK</t>
        </is>
      </c>
      <c r="B1945" s="16" t="inlineStr">
        <is>
          <t>Mindteck (India) Ltd.</t>
        </is>
      </c>
      <c r="C1945" s="16" t="inlineStr">
        <is>
          <t>IT Consulting &amp; Software</t>
        </is>
      </c>
      <c r="D1945" s="16" t="inlineStr">
        <is>
          <t>Software &amp; Services</t>
        </is>
      </c>
      <c r="E1945" s="16" t="inlineStr">
        <is>
          <t>INE110B01017</t>
        </is>
      </c>
      <c r="F1945" s="17" t="n">
        <v>539.42</v>
      </c>
      <c r="G1945" s="18" t="n">
        <v>168.81</v>
      </c>
      <c r="H1945" s="19" t="n">
        <v>0.0035</v>
      </c>
      <c r="I1945" s="20" t="n">
        <v>11</v>
      </c>
      <c r="J1945" s="16" t="inlineStr">
        <is>
          <t>red</t>
        </is>
      </c>
      <c r="K1945" s="20" t="n">
        <v>123</v>
      </c>
      <c r="L1945" s="18" t="n">
        <v>37.75</v>
      </c>
      <c r="M1945" s="18" t="n">
        <v>171.49</v>
      </c>
      <c r="N1945" s="18" t="n">
        <v>189.63</v>
      </c>
      <c r="O1945" s="18" t="n">
        <v>199.92</v>
      </c>
      <c r="P1945" s="18" t="n">
        <v>294.67</v>
      </c>
      <c r="Q1945" s="18" t="n">
        <v>145.75</v>
      </c>
      <c r="R1945" s="21">
        <f>IF(OR(G1945="",P1945=""),"",G1945/P1945-1)</f>
        <v/>
      </c>
      <c r="S1945" s="19" t="n">
        <v>0.4736</v>
      </c>
      <c r="T1945" s="22" t="n">
        <v>-0.0398</v>
      </c>
      <c r="U1945" s="16" t="inlineStr">
        <is>
          <t>No</t>
        </is>
      </c>
      <c r="V1945" s="16" t="inlineStr">
        <is>
          <t>No</t>
        </is>
      </c>
      <c r="W1945" s="16" t="inlineStr">
        <is>
          <t>No</t>
        </is>
      </c>
      <c r="X1945" s="16" t="inlineStr">
        <is>
          <t>No</t>
        </is>
      </c>
      <c r="Y1945" s="20" t="n">
        <v>165</v>
      </c>
      <c r="Z1945" s="19" t="n">
        <v>-0.0515</v>
      </c>
      <c r="AA1945" s="18" t="n">
        <v>57.69</v>
      </c>
      <c r="AB1945" s="16" t="inlineStr">
        <is>
          <t>Good</t>
        </is>
      </c>
      <c r="AC1945" s="16" t="inlineStr">
        <is>
          <t>No</t>
        </is>
      </c>
      <c r="AD1945" s="19" t="n">
        <v>0.1126</v>
      </c>
      <c r="AE1945" s="19" t="n">
        <v>0.1402</v>
      </c>
      <c r="AF1945" s="19" t="n">
        <v>0.1569</v>
      </c>
      <c r="AG1945" s="19" t="n">
        <v>0.06849999999999999</v>
      </c>
      <c r="AH1945" s="23" t="n">
        <v>0.01</v>
      </c>
      <c r="AI1945" s="23" t="n">
        <v>96.52</v>
      </c>
      <c r="AJ1945" s="19" t="n">
        <v>0</v>
      </c>
    </row>
    <row r="1946">
      <c r="A1946" s="16" t="inlineStr">
        <is>
          <t>ZEEMEDIA</t>
        </is>
      </c>
      <c r="B1946" s="16" t="inlineStr">
        <is>
          <t>Zee Media Corporation Ltd.</t>
        </is>
      </c>
      <c r="C1946" s="16" t="inlineStr">
        <is>
          <t>Broadcasting &amp; Cable TV</t>
        </is>
      </c>
      <c r="D1946" s="16" t="inlineStr">
        <is>
          <t>Media</t>
        </is>
      </c>
      <c r="E1946" s="16" t="inlineStr">
        <is>
          <t>INE966H01019</t>
        </is>
      </c>
      <c r="F1946" s="17" t="n">
        <v>538.76</v>
      </c>
      <c r="G1946" s="18" t="n">
        <v>8.220000000000001</v>
      </c>
      <c r="H1946" s="19" t="n">
        <v>0.0136</v>
      </c>
      <c r="I1946" s="20" t="n">
        <v>21</v>
      </c>
      <c r="J1946" s="16" t="inlineStr">
        <is>
          <t>red</t>
        </is>
      </c>
      <c r="K1946" s="20" t="n">
        <v>301</v>
      </c>
      <c r="L1946" s="18" t="n">
        <v>21.76</v>
      </c>
      <c r="M1946" s="18" t="n">
        <v>8.49</v>
      </c>
      <c r="N1946" s="18" t="n">
        <v>8.24</v>
      </c>
      <c r="O1946" s="18" t="n">
        <v>8.390000000000001</v>
      </c>
      <c r="P1946" s="18" t="n">
        <v>12.65</v>
      </c>
      <c r="Q1946" s="18" t="n">
        <v>6.65</v>
      </c>
      <c r="R1946" s="21">
        <f>IF(OR(G1946="",P1946=""),"",G1946/P1946-1)</f>
        <v/>
      </c>
      <c r="S1946" s="19" t="n">
        <v>0.2626</v>
      </c>
      <c r="T1946" s="22" t="n">
        <v>-0.0159</v>
      </c>
      <c r="U1946" s="16" t="inlineStr">
        <is>
          <t>No</t>
        </is>
      </c>
      <c r="V1946" s="16" t="inlineStr">
        <is>
          <t>No</t>
        </is>
      </c>
      <c r="W1946" s="16" t="inlineStr">
        <is>
          <t>No</t>
        </is>
      </c>
      <c r="X1946" s="16" t="inlineStr">
        <is>
          <t>No</t>
        </is>
      </c>
      <c r="Y1946" s="20" t="n">
        <v>373</v>
      </c>
      <c r="Z1946" s="19" t="n">
        <v>-0.0184</v>
      </c>
      <c r="AA1946" s="18" t="n"/>
      <c r="AB1946" s="16" t="n"/>
      <c r="AC1946" s="16" t="inlineStr">
        <is>
          <t>No</t>
        </is>
      </c>
      <c r="AD1946" s="19" t="n"/>
      <c r="AE1946" s="19" t="n"/>
      <c r="AF1946" s="19" t="n"/>
      <c r="AG1946" s="19" t="n"/>
      <c r="AH1946" s="23" t="n"/>
      <c r="AI1946" s="23" t="n"/>
      <c r="AJ1946" s="19" t="n"/>
    </row>
    <row r="1947">
      <c r="A1947" s="16" t="inlineStr">
        <is>
          <t>UNIVPHOTO</t>
        </is>
      </c>
      <c r="B1947" s="16" t="inlineStr">
        <is>
          <t>Universus Photo Imagings Ltd.</t>
        </is>
      </c>
      <c r="C1947" s="16" t="inlineStr">
        <is>
          <t>Photographic Products</t>
        </is>
      </c>
      <c r="D1947" s="16" t="inlineStr">
        <is>
          <t>General Industrials</t>
        </is>
      </c>
      <c r="E1947" s="16" t="inlineStr">
        <is>
          <t>INE03V001013</t>
        </is>
      </c>
      <c r="F1947" s="17" t="n">
        <v>536.8200000000001</v>
      </c>
      <c r="G1947" s="18" t="n">
        <v>490.4</v>
      </c>
      <c r="H1947" s="19" t="n">
        <v>0.0495</v>
      </c>
      <c r="I1947" s="20" t="n">
        <v>86</v>
      </c>
      <c r="J1947" s="16" t="inlineStr">
        <is>
          <t>green</t>
        </is>
      </c>
      <c r="K1947" s="20" t="n">
        <v>4</v>
      </c>
      <c r="L1947" s="18" t="n">
        <v>55.35</v>
      </c>
      <c r="M1947" s="18" t="n">
        <v>457.88</v>
      </c>
      <c r="N1947" s="18" t="n">
        <v>437.02</v>
      </c>
      <c r="O1947" s="18" t="n">
        <v>364.17</v>
      </c>
      <c r="P1947" s="18" t="n">
        <v>515.8</v>
      </c>
      <c r="Q1947" s="18" t="n">
        <v>188.53</v>
      </c>
      <c r="R1947" s="21">
        <f>IF(OR(G1947="",P1947=""),"",G1947/P1947-1)</f>
        <v/>
      </c>
      <c r="S1947" s="19" t="n">
        <v>2.0772</v>
      </c>
      <c r="T1947" s="22" t="n">
        <v>0.0562</v>
      </c>
      <c r="U1947" s="16" t="inlineStr">
        <is>
          <t>Yes</t>
        </is>
      </c>
      <c r="V1947" s="16" t="inlineStr">
        <is>
          <t>Yes</t>
        </is>
      </c>
      <c r="W1947" s="16" t="inlineStr">
        <is>
          <t>Yes</t>
        </is>
      </c>
      <c r="X1947" s="16" t="inlineStr">
        <is>
          <t>Yes</t>
        </is>
      </c>
      <c r="Y1947" s="20" t="n">
        <v>127</v>
      </c>
      <c r="Z1947" s="19" t="n">
        <v>0.2001</v>
      </c>
      <c r="AA1947" s="18" t="n">
        <v>26.61</v>
      </c>
      <c r="AB1947" s="16" t="inlineStr">
        <is>
          <t>Poor</t>
        </is>
      </c>
      <c r="AC1947" s="16" t="inlineStr">
        <is>
          <t>No</t>
        </is>
      </c>
      <c r="AD1947" s="19" t="n">
        <v>-0.0755</v>
      </c>
      <c r="AE1947" s="19" t="n">
        <v>-0.068</v>
      </c>
      <c r="AF1947" s="19" t="n">
        <v>-1.2971</v>
      </c>
      <c r="AG1947" s="19" t="n">
        <v>-0.2425</v>
      </c>
      <c r="AH1947" s="23" t="n">
        <v>0</v>
      </c>
      <c r="AI1947" s="23" t="n">
        <v>4.78</v>
      </c>
      <c r="AJ1947" s="19" t="n">
        <v>0</v>
      </c>
    </row>
    <row r="1948">
      <c r="A1948" s="16" t="inlineStr">
        <is>
          <t>FABCLEAN</t>
        </is>
      </c>
      <c r="B1948" s="16" t="inlineStr">
        <is>
          <t>Fabtech Cleanrooms Ltd.</t>
        </is>
      </c>
      <c r="C1948" s="16" t="inlineStr">
        <is>
          <t>Medical Equipment</t>
        </is>
      </c>
      <c r="D1948" s="16" t="inlineStr">
        <is>
          <t>Healthcare</t>
        </is>
      </c>
      <c r="E1948" s="16" t="inlineStr">
        <is>
          <t>INE0HSD01011</t>
        </is>
      </c>
      <c r="F1948" s="17" t="n">
        <v>536.26</v>
      </c>
      <c r="G1948" s="18" t="n">
        <v>435.3</v>
      </c>
      <c r="H1948" s="19" t="n">
        <v>0.0499</v>
      </c>
      <c r="I1948" s="20" t="n">
        <v>72</v>
      </c>
      <c r="J1948" s="16" t="inlineStr">
        <is>
          <t>amber</t>
        </is>
      </c>
      <c r="K1948" s="20" t="n">
        <v>3</v>
      </c>
      <c r="L1948" s="18" t="n">
        <v>65.53</v>
      </c>
      <c r="M1948" s="18" t="n">
        <v>404.58</v>
      </c>
      <c r="N1948" s="18" t="n">
        <v>396.43</v>
      </c>
      <c r="O1948" s="18" t="n">
        <v>328.07</v>
      </c>
      <c r="P1948" s="18" t="n">
        <v>450</v>
      </c>
      <c r="Q1948" s="18" t="n">
        <v>212.4</v>
      </c>
      <c r="R1948" s="21">
        <f>IF(OR(G1948="",P1948=""),"",G1948/P1948-1)</f>
        <v/>
      </c>
      <c r="S1948" s="19" t="n">
        <v>1.1682</v>
      </c>
      <c r="T1948" s="22" t="n">
        <v>0.019</v>
      </c>
      <c r="U1948" s="16" t="inlineStr">
        <is>
          <t>Yes</t>
        </is>
      </c>
      <c r="V1948" s="16" t="inlineStr">
        <is>
          <t>Yes</t>
        </is>
      </c>
      <c r="W1948" s="16" t="inlineStr">
        <is>
          <t>Yes</t>
        </is>
      </c>
      <c r="X1948" s="16" t="inlineStr">
        <is>
          <t>Yes</t>
        </is>
      </c>
      <c r="Y1948" s="20" t="n">
        <v>57</v>
      </c>
      <c r="Z1948" s="19" t="n">
        <v>0.2084</v>
      </c>
      <c r="AA1948" s="18" t="n"/>
      <c r="AB1948" s="16" t="n"/>
      <c r="AC1948" s="16" t="inlineStr">
        <is>
          <t>No</t>
        </is>
      </c>
      <c r="AD1948" s="19" t="n"/>
      <c r="AE1948" s="19" t="n"/>
      <c r="AF1948" s="19" t="n"/>
      <c r="AG1948" s="19" t="n"/>
      <c r="AH1948" s="23" t="n"/>
      <c r="AI1948" s="23" t="n"/>
      <c r="AJ1948" s="19" t="n"/>
    </row>
    <row r="1949">
      <c r="A1949" s="16" t="inlineStr">
        <is>
          <t>BLUEWATER</t>
        </is>
      </c>
      <c r="B1949" s="16" t="inlineStr">
        <is>
          <t>Blue Water Logistics Ltd.</t>
        </is>
      </c>
      <c r="C1949" s="16" t="inlineStr">
        <is>
          <t>Warehousing &amp; Logistics</t>
        </is>
      </c>
      <c r="D1949" s="16" t="inlineStr">
        <is>
          <t>Transportation</t>
        </is>
      </c>
      <c r="E1949" s="16" t="inlineStr">
        <is>
          <t>INE0X3M01010</t>
        </is>
      </c>
      <c r="F1949" s="17" t="n">
        <v>535.42</v>
      </c>
      <c r="G1949" s="18" t="n"/>
      <c r="H1949" s="19" t="n"/>
      <c r="I1949" s="20" t="n"/>
      <c r="J1949" s="16" t="n"/>
      <c r="K1949" s="20" t="n"/>
      <c r="L1949" s="18" t="n"/>
      <c r="M1949" s="18" t="n"/>
      <c r="N1949" s="18" t="n"/>
      <c r="O1949" s="18" t="n"/>
      <c r="P1949" s="18" t="n"/>
      <c r="Q1949" s="18" t="n"/>
      <c r="R1949" s="21">
        <f>IF(OR(G1949="",P1949=""),"",G1949/P1949-1)</f>
        <v/>
      </c>
      <c r="S1949" s="19" t="n"/>
      <c r="T1949" s="22" t="n"/>
      <c r="U1949" s="16" t="n"/>
      <c r="V1949" s="16" t="n"/>
      <c r="W1949" s="16" t="n"/>
      <c r="X1949" s="16" t="n"/>
      <c r="Y1949" s="20" t="n"/>
      <c r="Z1949" s="19" t="n"/>
      <c r="AA1949" s="18" t="n"/>
      <c r="AB1949" s="16" t="n"/>
      <c r="AC1949" s="16" t="inlineStr">
        <is>
          <t>No</t>
        </is>
      </c>
      <c r="AD1949" s="19" t="n"/>
      <c r="AE1949" s="19" t="n"/>
      <c r="AF1949" s="19" t="n"/>
      <c r="AG1949" s="19" t="n"/>
      <c r="AH1949" s="23" t="n"/>
      <c r="AI1949" s="23" t="n"/>
      <c r="AJ1949" s="19" t="n"/>
    </row>
    <row r="1950">
      <c r="A1950" s="16" t="inlineStr">
        <is>
          <t>KHAICHEM</t>
        </is>
      </c>
      <c r="B1950" s="16" t="inlineStr">
        <is>
          <t>Khaitan Chemicals &amp; Fertilizers Ltd.</t>
        </is>
      </c>
      <c r="C1950" s="16" t="inlineStr">
        <is>
          <t>Fertilizers</t>
        </is>
      </c>
      <c r="D1950" s="16" t="inlineStr">
        <is>
          <t>Fertilizers</t>
        </is>
      </c>
      <c r="E1950" s="16" t="inlineStr">
        <is>
          <t>INE745B01028</t>
        </is>
      </c>
      <c r="F1950" s="17" t="n">
        <v>532.08</v>
      </c>
      <c r="G1950" s="18" t="n">
        <v>54.86</v>
      </c>
      <c r="H1950" s="19" t="n">
        <v>0.0005</v>
      </c>
      <c r="I1950" s="20" t="n">
        <v>10</v>
      </c>
      <c r="J1950" s="16" t="inlineStr">
        <is>
          <t>red</t>
        </is>
      </c>
      <c r="K1950" s="20" t="n">
        <v>173</v>
      </c>
      <c r="L1950" s="18" t="n">
        <v>33.15</v>
      </c>
      <c r="M1950" s="18" t="n">
        <v>55.29</v>
      </c>
      <c r="N1950" s="18" t="n">
        <v>52.31</v>
      </c>
      <c r="O1950" s="18" t="n">
        <v>60.45</v>
      </c>
      <c r="P1950" s="18" t="n">
        <v>132.14</v>
      </c>
      <c r="Q1950" s="18" t="n">
        <v>43.2</v>
      </c>
      <c r="R1950" s="21">
        <f>IF(OR(G1950="",P1950=""),"",G1950/P1950-1)</f>
        <v/>
      </c>
      <c r="S1950" s="19" t="n">
        <v>0.3459</v>
      </c>
      <c r="T1950" s="22" t="n">
        <v>-0.0806</v>
      </c>
      <c r="U1950" s="16" t="inlineStr">
        <is>
          <t>No</t>
        </is>
      </c>
      <c r="V1950" s="16" t="inlineStr">
        <is>
          <t>Yes</t>
        </is>
      </c>
      <c r="W1950" s="16" t="inlineStr">
        <is>
          <t>No</t>
        </is>
      </c>
      <c r="X1950" s="16" t="inlineStr">
        <is>
          <t>No</t>
        </is>
      </c>
      <c r="Y1950" s="20" t="n">
        <v>169</v>
      </c>
      <c r="Z1950" s="19" t="n">
        <v>-0.1348</v>
      </c>
      <c r="AA1950" s="18" t="n">
        <v>37.14</v>
      </c>
      <c r="AB1950" s="16" t="inlineStr">
        <is>
          <t>Weak</t>
        </is>
      </c>
      <c r="AC1950" s="16" t="inlineStr">
        <is>
          <t>No</t>
        </is>
      </c>
      <c r="AD1950" s="19" t="n">
        <v>-0.0349</v>
      </c>
      <c r="AE1950" s="19" t="n">
        <v>0.0353</v>
      </c>
      <c r="AF1950" s="19" t="n">
        <v>14.9719</v>
      </c>
      <c r="AG1950" s="19" t="n">
        <v>0.1133</v>
      </c>
      <c r="AH1950" s="23" t="n">
        <v>1.05</v>
      </c>
      <c r="AI1950" s="23" t="n">
        <v>8.27</v>
      </c>
      <c r="AJ1950" s="19" t="n">
        <v>0.0238</v>
      </c>
    </row>
    <row r="1951">
      <c r="A1951" s="16" t="inlineStr">
        <is>
          <t>ORIENTCER</t>
        </is>
      </c>
      <c r="B1951" s="16" t="inlineStr">
        <is>
          <t>Orient Ceratech Ltd.</t>
        </is>
      </c>
      <c r="C1951" s="16" t="inlineStr">
        <is>
          <t>Electrodes &amp; Refractories</t>
        </is>
      </c>
      <c r="D1951" s="16" t="inlineStr">
        <is>
          <t>General Industrials</t>
        </is>
      </c>
      <c r="E1951" s="16" t="inlineStr">
        <is>
          <t>INE569C01020</t>
        </is>
      </c>
      <c r="F1951" s="17" t="n">
        <v>525.34</v>
      </c>
      <c r="G1951" s="18" t="n">
        <v>43.91</v>
      </c>
      <c r="H1951" s="19" t="n">
        <v>-0.0007000000000000001</v>
      </c>
      <c r="I1951" s="20" t="n">
        <v>58</v>
      </c>
      <c r="J1951" s="16" t="inlineStr">
        <is>
          <t>red</t>
        </is>
      </c>
      <c r="K1951" s="20" t="n">
        <v>2</v>
      </c>
      <c r="L1951" s="18" t="n">
        <v>49.43</v>
      </c>
      <c r="M1951" s="18" t="n">
        <v>44.61</v>
      </c>
      <c r="N1951" s="18" t="n">
        <v>42.22</v>
      </c>
      <c r="O1951" s="18" t="n">
        <v>41.54</v>
      </c>
      <c r="P1951" s="18" t="n">
        <v>55.07</v>
      </c>
      <c r="Q1951" s="18" t="n">
        <v>34.46</v>
      </c>
      <c r="R1951" s="21">
        <f>IF(OR(G1951="",P1951=""),"",G1951/P1951-1)</f>
        <v/>
      </c>
      <c r="S1951" s="19" t="n">
        <v>0.8325</v>
      </c>
      <c r="T1951" s="22" t="n">
        <v>0.016</v>
      </c>
      <c r="U1951" s="16" t="inlineStr">
        <is>
          <t>Yes</t>
        </is>
      </c>
      <c r="V1951" s="16" t="inlineStr">
        <is>
          <t>Yes</t>
        </is>
      </c>
      <c r="W1951" s="16" t="inlineStr">
        <is>
          <t>No</t>
        </is>
      </c>
      <c r="X1951" s="16" t="inlineStr">
        <is>
          <t>Yes</t>
        </is>
      </c>
      <c r="Y1951" s="20" t="n">
        <v>11</v>
      </c>
      <c r="Z1951" s="19" t="n">
        <v>0.0162</v>
      </c>
      <c r="AA1951" s="18" t="n">
        <v>35.3</v>
      </c>
      <c r="AB1951" s="16" t="inlineStr">
        <is>
          <t>Weak</t>
        </is>
      </c>
      <c r="AC1951" s="16" t="inlineStr">
        <is>
          <t>No</t>
        </is>
      </c>
      <c r="AD1951" s="19" t="n">
        <v>0.0588</v>
      </c>
      <c r="AE1951" s="19" t="n">
        <v>0.07870000000000001</v>
      </c>
      <c r="AF1951" s="19" t="n">
        <v>-0.3806</v>
      </c>
      <c r="AG1951" s="19" t="n">
        <v>0.1058</v>
      </c>
      <c r="AH1951" s="23" t="n">
        <v>0.13</v>
      </c>
      <c r="AI1951" s="23" t="n">
        <v>2.51</v>
      </c>
      <c r="AJ1951" s="19" t="n">
        <v>0.0536</v>
      </c>
    </row>
    <row r="1952">
      <c r="A1952" s="16" t="inlineStr">
        <is>
          <t>MODMA</t>
        </is>
      </c>
      <c r="B1952" s="16" t="inlineStr">
        <is>
          <t>Modern Malleables Ltd.</t>
        </is>
      </c>
      <c r="C1952" s="16" t="inlineStr">
        <is>
          <t>Iron &amp; Steel Products</t>
        </is>
      </c>
      <c r="D1952" s="16" t="inlineStr">
        <is>
          <t>Metals &amp; Mining</t>
        </is>
      </c>
      <c r="E1952" s="16" t="inlineStr">
        <is>
          <t>INE834C01028</t>
        </is>
      </c>
      <c r="F1952" s="17" t="n">
        <v>524.25</v>
      </c>
      <c r="G1952" s="18" t="n">
        <v>44.99</v>
      </c>
      <c r="H1952" s="19" t="n">
        <v>0.019</v>
      </c>
      <c r="I1952" s="20" t="n">
        <v>99</v>
      </c>
      <c r="J1952" s="16" t="inlineStr">
        <is>
          <t>green</t>
        </is>
      </c>
      <c r="K1952" s="20" t="n">
        <v>262</v>
      </c>
      <c r="L1952" s="18" t="n">
        <v>40.62</v>
      </c>
      <c r="M1952" s="18" t="n">
        <v>46.68</v>
      </c>
      <c r="N1952" s="18" t="n">
        <v>51.32</v>
      </c>
      <c r="O1952" s="18" t="n">
        <v>34.19</v>
      </c>
      <c r="P1952" s="18" t="n">
        <v>84.11</v>
      </c>
      <c r="Q1952" s="18" t="n">
        <v>1.9</v>
      </c>
      <c r="R1952" s="21">
        <f>IF(OR(G1952="",P1952=""),"",G1952/P1952-1)</f>
        <v/>
      </c>
      <c r="S1952" s="19" t="n">
        <v>1.194</v>
      </c>
      <c r="T1952" s="22" t="n">
        <v>0.1485</v>
      </c>
      <c r="U1952" s="16" t="inlineStr">
        <is>
          <t>Yes</t>
        </is>
      </c>
      <c r="V1952" s="16" t="inlineStr">
        <is>
          <t>No</t>
        </is>
      </c>
      <c r="W1952" s="16" t="inlineStr">
        <is>
          <t>No</t>
        </is>
      </c>
      <c r="X1952" s="16" t="inlineStr">
        <is>
          <t>Yes</t>
        </is>
      </c>
      <c r="Y1952" s="20" t="n">
        <v>262</v>
      </c>
      <c r="Z1952" s="19" t="n">
        <v>0.5008</v>
      </c>
      <c r="AA1952" s="18" t="n"/>
      <c r="AB1952" s="16" t="n"/>
      <c r="AC1952" s="16" t="inlineStr">
        <is>
          <t>No</t>
        </is>
      </c>
      <c r="AD1952" s="19" t="n"/>
      <c r="AE1952" s="19" t="n"/>
      <c r="AF1952" s="19" t="n"/>
      <c r="AG1952" s="19" t="n"/>
      <c r="AH1952" s="23" t="n"/>
      <c r="AI1952" s="23" t="n"/>
      <c r="AJ1952" s="19" t="n"/>
    </row>
    <row r="1953">
      <c r="A1953" s="16" t="inlineStr">
        <is>
          <t>KAYA</t>
        </is>
      </c>
      <c r="B1953" s="16" t="inlineStr">
        <is>
          <t>Kaya Ltd.</t>
        </is>
      </c>
      <c r="C1953" s="16" t="inlineStr">
        <is>
          <t>Special Consumer Services</t>
        </is>
      </c>
      <c r="D1953" s="16" t="inlineStr">
        <is>
          <t>Diversified Consumer Services</t>
        </is>
      </c>
      <c r="E1953" s="16" t="inlineStr">
        <is>
          <t>INE587G01015</t>
        </is>
      </c>
      <c r="F1953" s="17" t="n">
        <v>524.12</v>
      </c>
      <c r="G1953" s="18" t="n">
        <v>345.1</v>
      </c>
      <c r="H1953" s="19" t="n">
        <v>0.0499</v>
      </c>
      <c r="I1953" s="20" t="n">
        <v>58</v>
      </c>
      <c r="J1953" s="16" t="inlineStr">
        <is>
          <t>red</t>
        </is>
      </c>
      <c r="K1953" s="20" t="n">
        <v>4</v>
      </c>
      <c r="L1953" s="18" t="n">
        <v>52.71</v>
      </c>
      <c r="M1953" s="18" t="n">
        <v>335.86</v>
      </c>
      <c r="N1953" s="18" t="n">
        <v>286.96</v>
      </c>
      <c r="O1953" s="18" t="n">
        <v>305.28</v>
      </c>
      <c r="P1953" s="18" t="n">
        <v>482.45</v>
      </c>
      <c r="Q1953" s="18" t="n">
        <v>227.1</v>
      </c>
      <c r="R1953" s="21">
        <f>IF(OR(G1953="",P1953=""),"",G1953/P1953-1)</f>
        <v/>
      </c>
      <c r="S1953" s="19" t="n">
        <v>0.2525</v>
      </c>
      <c r="T1953" s="22" t="n">
        <v>-0.0308</v>
      </c>
      <c r="U1953" s="16" t="inlineStr">
        <is>
          <t>No</t>
        </is>
      </c>
      <c r="V1953" s="16" t="inlineStr">
        <is>
          <t>Yes</t>
        </is>
      </c>
      <c r="W1953" s="16" t="inlineStr">
        <is>
          <t>Yes</t>
        </is>
      </c>
      <c r="X1953" s="16" t="inlineStr">
        <is>
          <t>No</t>
        </is>
      </c>
      <c r="Y1953" s="20" t="n">
        <v>155</v>
      </c>
      <c r="Z1953" s="19" t="n">
        <v>-0.06</v>
      </c>
      <c r="AA1953" s="18" t="n"/>
      <c r="AB1953" s="16" t="n"/>
      <c r="AC1953" s="16" t="inlineStr">
        <is>
          <t>No</t>
        </is>
      </c>
      <c r="AD1953" s="19" t="n"/>
      <c r="AE1953" s="19" t="n"/>
      <c r="AF1953" s="19" t="n"/>
      <c r="AG1953" s="19" t="n"/>
      <c r="AH1953" s="23" t="n"/>
      <c r="AI1953" s="23" t="n"/>
      <c r="AJ1953" s="19" t="n"/>
    </row>
    <row r="1954">
      <c r="A1954" s="16" t="inlineStr">
        <is>
          <t>PAJSON</t>
        </is>
      </c>
      <c r="B1954" s="16" t="inlineStr">
        <is>
          <t>Pajson Agro India Ltd.</t>
        </is>
      </c>
      <c r="C1954" s="16" t="inlineStr">
        <is>
          <t>Commodity Trading  &amp; Distribution</t>
        </is>
      </c>
      <c r="D1954" s="16" t="inlineStr">
        <is>
          <t>Commercial Services &amp; Supplies</t>
        </is>
      </c>
      <c r="E1954" s="16" t="inlineStr">
        <is>
          <t>INE14LM01012</t>
        </is>
      </c>
      <c r="F1954" s="17" t="n">
        <v>523.8099999999999</v>
      </c>
      <c r="G1954" s="18" t="n">
        <v>220</v>
      </c>
      <c r="H1954" s="19" t="n">
        <v>-0.0014</v>
      </c>
      <c r="I1954" s="20" t="n">
        <v>55</v>
      </c>
      <c r="J1954" s="16" t="inlineStr">
        <is>
          <t>red</t>
        </is>
      </c>
      <c r="K1954" s="20" t="n">
        <v>21</v>
      </c>
      <c r="L1954" s="18" t="n">
        <v>64.37</v>
      </c>
      <c r="M1954" s="18" t="n">
        <v>211.16</v>
      </c>
      <c r="N1954" s="18" t="n">
        <v>189.43</v>
      </c>
      <c r="O1954" s="18" t="n"/>
      <c r="P1954" s="18" t="n">
        <v>233.2</v>
      </c>
      <c r="Q1954" s="18" t="n">
        <v>130.2</v>
      </c>
      <c r="R1954" s="21">
        <f>IF(OR(G1954="",P1954=""),"",G1954/P1954-1)</f>
        <v/>
      </c>
      <c r="S1954" s="19" t="n">
        <v>0.8388</v>
      </c>
      <c r="T1954" s="22" t="n"/>
      <c r="U1954" s="16" t="n"/>
      <c r="V1954" s="16" t="inlineStr">
        <is>
          <t>Yes</t>
        </is>
      </c>
      <c r="W1954" s="16" t="inlineStr">
        <is>
          <t>Yes</t>
        </is>
      </c>
      <c r="X1954" s="16" t="n"/>
      <c r="Y1954" s="20" t="n"/>
      <c r="Z1954" s="19" t="n"/>
      <c r="AA1954" s="18" t="n"/>
      <c r="AB1954" s="16" t="n"/>
      <c r="AC1954" s="16" t="inlineStr">
        <is>
          <t>No</t>
        </is>
      </c>
      <c r="AD1954" s="19" t="n"/>
      <c r="AE1954" s="19" t="n"/>
      <c r="AF1954" s="19" t="n"/>
      <c r="AG1954" s="19" t="n"/>
      <c r="AH1954" s="23" t="n"/>
      <c r="AI1954" s="23" t="n"/>
      <c r="AJ1954" s="19" t="n"/>
    </row>
    <row r="1955">
      <c r="A1955" s="16" t="inlineStr">
        <is>
          <t>OSWALGREEN</t>
        </is>
      </c>
      <c r="B1955" s="16" t="inlineStr">
        <is>
          <t>Oswal Green Tech Ltd.</t>
        </is>
      </c>
      <c r="C1955" s="16" t="inlineStr">
        <is>
          <t>Other Financial Services</t>
        </is>
      </c>
      <c r="D1955" s="16" t="inlineStr">
        <is>
          <t>Banking and Finance</t>
        </is>
      </c>
      <c r="E1955" s="16" t="inlineStr">
        <is>
          <t>INE143A01010</t>
        </is>
      </c>
      <c r="F1955" s="17" t="n">
        <v>523.63</v>
      </c>
      <c r="G1955" s="18" t="n">
        <v>20.39</v>
      </c>
      <c r="H1955" s="19" t="n">
        <v>0.0267</v>
      </c>
      <c r="I1955" s="20" t="n">
        <v>4</v>
      </c>
      <c r="J1955" s="16" t="inlineStr">
        <is>
          <t>red</t>
        </is>
      </c>
      <c r="K1955" s="20" t="n">
        <v>285</v>
      </c>
      <c r="L1955" s="18" t="n">
        <v>40.75</v>
      </c>
      <c r="M1955" s="18" t="n">
        <v>20.46</v>
      </c>
      <c r="N1955" s="18" t="n">
        <v>21.44</v>
      </c>
      <c r="O1955" s="18" t="n">
        <v>26.32</v>
      </c>
      <c r="P1955" s="18" t="n">
        <v>41.07</v>
      </c>
      <c r="Q1955" s="18" t="n">
        <v>19.86</v>
      </c>
      <c r="R1955" s="21">
        <f>IF(OR(G1955="",P1955=""),"",G1955/P1955-1)</f>
        <v/>
      </c>
      <c r="S1955" s="19" t="n">
        <v>0.6576000000000001</v>
      </c>
      <c r="T1955" s="22" t="n">
        <v>-0.0587</v>
      </c>
      <c r="U1955" s="16" t="inlineStr">
        <is>
          <t>No</t>
        </is>
      </c>
      <c r="V1955" s="16" t="inlineStr">
        <is>
          <t>No</t>
        </is>
      </c>
      <c r="W1955" s="16" t="inlineStr">
        <is>
          <t>No</t>
        </is>
      </c>
      <c r="X1955" s="16" t="inlineStr">
        <is>
          <t>No</t>
        </is>
      </c>
      <c r="Y1955" s="20" t="n">
        <v>250</v>
      </c>
      <c r="Z1955" s="19" t="n">
        <v>-0.1857</v>
      </c>
      <c r="AA1955" s="18" t="n">
        <v>6.67</v>
      </c>
      <c r="AB1955" s="16" t="inlineStr">
        <is>
          <t>Poor</t>
        </is>
      </c>
      <c r="AC1955" s="16" t="inlineStr">
        <is>
          <t>Yes</t>
        </is>
      </c>
      <c r="AD1955" s="19" t="n">
        <v>0.0019</v>
      </c>
      <c r="AE1955" s="19" t="n">
        <v>0.0029</v>
      </c>
      <c r="AF1955" s="19" t="n">
        <v>-0.5033</v>
      </c>
      <c r="AG1955" s="19" t="n">
        <v>-0.2058</v>
      </c>
      <c r="AH1955" s="23" t="n">
        <v>0</v>
      </c>
      <c r="AI1955" s="23" t="n">
        <v>0</v>
      </c>
      <c r="AJ1955" s="19" t="n">
        <v>0</v>
      </c>
    </row>
    <row r="1956">
      <c r="A1956" s="16" t="inlineStr">
        <is>
          <t>SUGSLLOYD</t>
        </is>
      </c>
      <c r="B1956" s="16" t="inlineStr">
        <is>
          <t>Sugs Lloyd Ltd.</t>
        </is>
      </c>
      <c r="C1956" s="16" t="inlineStr">
        <is>
          <t>Power - Electric Utilities</t>
        </is>
      </c>
      <c r="D1956" s="16" t="inlineStr">
        <is>
          <t>Utilities</t>
        </is>
      </c>
      <c r="E1956" s="16" t="inlineStr">
        <is>
          <t>INE0XX801016</t>
        </is>
      </c>
      <c r="F1956" s="17" t="n">
        <v>523.59</v>
      </c>
      <c r="G1956" s="18" t="n">
        <v>225.55</v>
      </c>
      <c r="H1956" s="19" t="n">
        <v>0.0248</v>
      </c>
      <c r="I1956" s="20" t="n">
        <v>95</v>
      </c>
      <c r="J1956" s="16" t="inlineStr">
        <is>
          <t>green</t>
        </is>
      </c>
      <c r="K1956" s="20" t="n">
        <v>25</v>
      </c>
      <c r="L1956" s="18" t="n">
        <v>66.8</v>
      </c>
      <c r="M1956" s="18" t="n">
        <v>205.51</v>
      </c>
      <c r="N1956" s="18" t="n">
        <v>162.15</v>
      </c>
      <c r="O1956" s="18" t="n">
        <v>124.98</v>
      </c>
      <c r="P1956" s="18" t="n">
        <v>225.55</v>
      </c>
      <c r="Q1956" s="18" t="n">
        <v>85.28</v>
      </c>
      <c r="R1956" s="21">
        <f>IF(OR(G1956="",P1956=""),"",G1956/P1956-1)</f>
        <v/>
      </c>
      <c r="S1956" s="19" t="n">
        <v>0.5115999999999999</v>
      </c>
      <c r="T1956" s="22" t="n">
        <v>0.08749999999999999</v>
      </c>
      <c r="U1956" s="16" t="inlineStr">
        <is>
          <t>Yes</t>
        </is>
      </c>
      <c r="V1956" s="16" t="inlineStr">
        <is>
          <t>Yes</t>
        </is>
      </c>
      <c r="W1956" s="16" t="inlineStr">
        <is>
          <t>Yes</t>
        </is>
      </c>
      <c r="X1956" s="16" t="inlineStr">
        <is>
          <t>Yes</t>
        </is>
      </c>
      <c r="Y1956" s="20" t="n">
        <v>50</v>
      </c>
      <c r="Z1956" s="19" t="n">
        <v>0.2975</v>
      </c>
      <c r="AA1956" s="18" t="n"/>
      <c r="AB1956" s="16" t="n"/>
      <c r="AC1956" s="16" t="inlineStr">
        <is>
          <t>No</t>
        </is>
      </c>
      <c r="AD1956" s="19" t="n"/>
      <c r="AE1956" s="19" t="n"/>
      <c r="AF1956" s="19" t="n"/>
      <c r="AG1956" s="19" t="n"/>
      <c r="AH1956" s="23" t="n"/>
      <c r="AI1956" s="23" t="n"/>
      <c r="AJ1956" s="19" t="n"/>
    </row>
    <row r="1957">
      <c r="A1957" s="16" t="inlineStr">
        <is>
          <t>PANSARI</t>
        </is>
      </c>
      <c r="B1957" s="16" t="inlineStr">
        <is>
          <t>Pansari Developers Ltd.</t>
        </is>
      </c>
      <c r="C1957" s="16" t="inlineStr">
        <is>
          <t>Realty</t>
        </is>
      </c>
      <c r="D1957" s="16" t="inlineStr">
        <is>
          <t>Realty</t>
        </is>
      </c>
      <c r="E1957" s="16" t="inlineStr">
        <is>
          <t>INE697V01011</t>
        </is>
      </c>
      <c r="F1957" s="17" t="n">
        <v>523.49</v>
      </c>
      <c r="G1957" s="18" t="n">
        <v>300.05</v>
      </c>
      <c r="H1957" s="19" t="n">
        <v>0.0002</v>
      </c>
      <c r="I1957" s="20" t="n">
        <v>49</v>
      </c>
      <c r="J1957" s="16" t="inlineStr">
        <is>
          <t>red</t>
        </is>
      </c>
      <c r="K1957" s="20" t="n">
        <v>8</v>
      </c>
      <c r="L1957" s="18" t="n">
        <v>35.05</v>
      </c>
      <c r="M1957" s="18" t="n">
        <v>306.04</v>
      </c>
      <c r="N1957" s="18" t="n">
        <v>329.42</v>
      </c>
      <c r="O1957" s="18" t="n">
        <v>302.36</v>
      </c>
      <c r="P1957" s="18" t="n">
        <v>365.3</v>
      </c>
      <c r="Q1957" s="18" t="n">
        <v>248.5</v>
      </c>
      <c r="R1957" s="21">
        <f>IF(OR(G1957="",P1957=""),"",G1957/P1957-1)</f>
        <v/>
      </c>
      <c r="S1957" s="19" t="n">
        <v>0.09960000000000001</v>
      </c>
      <c r="T1957" s="22" t="n">
        <v>0.0172</v>
      </c>
      <c r="U1957" s="16" t="inlineStr">
        <is>
          <t>Yes</t>
        </is>
      </c>
      <c r="V1957" s="16" t="inlineStr">
        <is>
          <t>No</t>
        </is>
      </c>
      <c r="W1957" s="16" t="inlineStr">
        <is>
          <t>No</t>
        </is>
      </c>
      <c r="X1957" s="16" t="inlineStr">
        <is>
          <t>Yes</t>
        </is>
      </c>
      <c r="Y1957" s="20" t="n">
        <v>58</v>
      </c>
      <c r="Z1957" s="19" t="n">
        <v>0.0895</v>
      </c>
      <c r="AA1957" s="18" t="n">
        <v>41.52</v>
      </c>
      <c r="AB1957" s="16" t="inlineStr">
        <is>
          <t>Average</t>
        </is>
      </c>
      <c r="AC1957" s="16" t="inlineStr">
        <is>
          <t>No</t>
        </is>
      </c>
      <c r="AD1957" s="19" t="n">
        <v>0.07530000000000001</v>
      </c>
      <c r="AE1957" s="19" t="n">
        <v>0.07679999999999999</v>
      </c>
      <c r="AF1957" s="19" t="n">
        <v>0.3448</v>
      </c>
      <c r="AG1957" s="19" t="n">
        <v>0.7785</v>
      </c>
      <c r="AH1957" s="23" t="n">
        <v>0.65</v>
      </c>
      <c r="AI1957" s="23" t="n">
        <v>1.6</v>
      </c>
      <c r="AJ1957" s="19" t="n">
        <v>0</v>
      </c>
    </row>
    <row r="1958">
      <c r="A1958" s="16" t="inlineStr">
        <is>
          <t>IWARE</t>
        </is>
      </c>
      <c r="B1958" s="16" t="inlineStr">
        <is>
          <t>Iware Supplychain Services Ltd.</t>
        </is>
      </c>
      <c r="C1958" s="16" t="inlineStr">
        <is>
          <t>Warehousing &amp; Logistics</t>
        </is>
      </c>
      <c r="D1958" s="16" t="inlineStr">
        <is>
          <t>Transportation</t>
        </is>
      </c>
      <c r="E1958" s="16" t="inlineStr">
        <is>
          <t>INE1AII01014</t>
        </is>
      </c>
      <c r="F1958" s="17" t="n">
        <v>520.1</v>
      </c>
      <c r="G1958" s="18" t="n"/>
      <c r="H1958" s="19" t="n"/>
      <c r="I1958" s="20" t="n"/>
      <c r="J1958" s="16" t="n"/>
      <c r="K1958" s="20" t="n"/>
      <c r="L1958" s="18" t="n"/>
      <c r="M1958" s="18" t="n"/>
      <c r="N1958" s="18" t="n"/>
      <c r="O1958" s="18" t="n"/>
      <c r="P1958" s="18" t="n"/>
      <c r="Q1958" s="18" t="n"/>
      <c r="R1958" s="21">
        <f>IF(OR(G1958="",P1958=""),"",G1958/P1958-1)</f>
        <v/>
      </c>
      <c r="S1958" s="19" t="n"/>
      <c r="T1958" s="22" t="n"/>
      <c r="U1958" s="16" t="n"/>
      <c r="V1958" s="16" t="n"/>
      <c r="W1958" s="16" t="n"/>
      <c r="X1958" s="16" t="n"/>
      <c r="Y1958" s="20" t="n"/>
      <c r="Z1958" s="19" t="n"/>
      <c r="AA1958" s="18" t="n"/>
      <c r="AB1958" s="16" t="n"/>
      <c r="AC1958" s="16" t="inlineStr">
        <is>
          <t>No</t>
        </is>
      </c>
      <c r="AD1958" s="19" t="n"/>
      <c r="AE1958" s="19" t="n"/>
      <c r="AF1958" s="19" t="n"/>
      <c r="AG1958" s="19" t="n"/>
      <c r="AH1958" s="23" t="n"/>
      <c r="AI1958" s="23" t="n"/>
      <c r="AJ1958" s="19" t="n"/>
    </row>
    <row r="1959">
      <c r="A1959" s="16" t="inlineStr">
        <is>
          <t>MANBRO</t>
        </is>
      </c>
      <c r="B1959" s="16" t="inlineStr">
        <is>
          <t>Manbro Industries Ltd.</t>
        </is>
      </c>
      <c r="C1959" s="16" t="inlineStr">
        <is>
          <t>Other Apparels &amp; Accessories</t>
        </is>
      </c>
      <c r="D1959" s="16" t="inlineStr">
        <is>
          <t>Textiles Apparels &amp; Accessories</t>
        </is>
      </c>
      <c r="E1959" s="16" t="inlineStr">
        <is>
          <t>INE348N01042</t>
        </is>
      </c>
      <c r="F1959" s="17" t="n">
        <v>518.72</v>
      </c>
      <c r="G1959" s="18" t="n">
        <v>51.1</v>
      </c>
      <c r="H1959" s="19" t="n">
        <v>-0.0304</v>
      </c>
      <c r="I1959" s="20" t="n">
        <v>15</v>
      </c>
      <c r="J1959" s="16" t="inlineStr">
        <is>
          <t>red</t>
        </is>
      </c>
      <c r="K1959" s="20" t="n">
        <v>58</v>
      </c>
      <c r="L1959" s="18" t="n">
        <v>43.01</v>
      </c>
      <c r="M1959" s="18" t="n">
        <v>55.23</v>
      </c>
      <c r="N1959" s="18" t="n">
        <v>53.5</v>
      </c>
      <c r="O1959" s="18" t="n">
        <v>63.62</v>
      </c>
      <c r="P1959" s="18" t="n">
        <v>94.8</v>
      </c>
      <c r="Q1959" s="18" t="n">
        <v>37.35</v>
      </c>
      <c r="R1959" s="21">
        <f>IF(OR(G1959="",P1959=""),"",G1959/P1959-1)</f>
        <v/>
      </c>
      <c r="S1959" s="19" t="n">
        <v>0.0534</v>
      </c>
      <c r="T1959" s="22" t="n">
        <v>0.0136</v>
      </c>
      <c r="U1959" s="16" t="inlineStr">
        <is>
          <t>Yes</t>
        </is>
      </c>
      <c r="V1959" s="16" t="inlineStr">
        <is>
          <t>No</t>
        </is>
      </c>
      <c r="W1959" s="16" t="inlineStr">
        <is>
          <t>No</t>
        </is>
      </c>
      <c r="X1959" s="16" t="inlineStr">
        <is>
          <t>No</t>
        </is>
      </c>
      <c r="Y1959" s="20" t="n">
        <v>36</v>
      </c>
      <c r="Z1959" s="19" t="n">
        <v>-0.1591</v>
      </c>
      <c r="AA1959" s="18" t="n"/>
      <c r="AB1959" s="16" t="n"/>
      <c r="AC1959" s="16" t="inlineStr">
        <is>
          <t>No</t>
        </is>
      </c>
      <c r="AD1959" s="19" t="n"/>
      <c r="AE1959" s="19" t="n"/>
      <c r="AF1959" s="19" t="n"/>
      <c r="AG1959" s="19" t="n"/>
      <c r="AH1959" s="23" t="n"/>
      <c r="AI1959" s="23" t="n"/>
      <c r="AJ1959" s="19" t="n"/>
    </row>
    <row r="1960">
      <c r="A1960" s="16" t="inlineStr">
        <is>
          <t>INTLCONV</t>
        </is>
      </c>
      <c r="B1960" s="16" t="inlineStr">
        <is>
          <t>International Conveyors Ltd.</t>
        </is>
      </c>
      <c r="C1960" s="16" t="inlineStr">
        <is>
          <t>Other Industrial Products</t>
        </is>
      </c>
      <c r="D1960" s="16" t="inlineStr">
        <is>
          <t>General Industrials</t>
        </is>
      </c>
      <c r="E1960" s="16" t="inlineStr">
        <is>
          <t>INE575C01027</t>
        </is>
      </c>
      <c r="F1960" s="17" t="n">
        <v>517.77</v>
      </c>
      <c r="G1960" s="18" t="n">
        <v>81.18000000000001</v>
      </c>
      <c r="H1960" s="19" t="n">
        <v>0.0219</v>
      </c>
      <c r="I1960" s="20" t="n">
        <v>37</v>
      </c>
      <c r="J1960" s="16" t="inlineStr">
        <is>
          <t>red</t>
        </is>
      </c>
      <c r="K1960" s="20" t="n">
        <v>132</v>
      </c>
      <c r="L1960" s="18" t="n">
        <v>56.93</v>
      </c>
      <c r="M1960" s="18" t="n">
        <v>79.15000000000001</v>
      </c>
      <c r="N1960" s="18" t="n">
        <v>77.25</v>
      </c>
      <c r="O1960" s="18" t="n">
        <v>79.59999999999999</v>
      </c>
      <c r="P1960" s="18" t="n">
        <v>110.73</v>
      </c>
      <c r="Q1960" s="18" t="n">
        <v>60.11</v>
      </c>
      <c r="R1960" s="21">
        <f>IF(OR(G1960="",P1960=""),"",G1960/P1960-1)</f>
        <v/>
      </c>
      <c r="S1960" s="19" t="n">
        <v>1.3531</v>
      </c>
      <c r="T1960" s="22" t="n">
        <v>-0.0211</v>
      </c>
      <c r="U1960" s="16" t="inlineStr">
        <is>
          <t>No</t>
        </is>
      </c>
      <c r="V1960" s="16" t="inlineStr">
        <is>
          <t>Yes</t>
        </is>
      </c>
      <c r="W1960" s="16" t="inlineStr">
        <is>
          <t>Yes</t>
        </is>
      </c>
      <c r="X1960" s="16" t="inlineStr">
        <is>
          <t>No</t>
        </is>
      </c>
      <c r="Y1960" s="20" t="n">
        <v>158</v>
      </c>
      <c r="Z1960" s="19" t="n">
        <v>-0.0295</v>
      </c>
      <c r="AA1960" s="18" t="n"/>
      <c r="AB1960" s="16" t="n"/>
      <c r="AC1960" s="16" t="inlineStr">
        <is>
          <t>No</t>
        </is>
      </c>
      <c r="AD1960" s="19" t="n"/>
      <c r="AE1960" s="19" t="n"/>
      <c r="AF1960" s="19" t="n"/>
      <c r="AG1960" s="19" t="n"/>
      <c r="AH1960" s="23" t="n"/>
      <c r="AI1960" s="23" t="n"/>
      <c r="AJ1960" s="19" t="n"/>
    </row>
    <row r="1961">
      <c r="A1961" s="16" t="inlineStr">
        <is>
          <t>CHEMFAB</t>
        </is>
      </c>
      <c r="B1961" s="16" t="inlineStr">
        <is>
          <t>Chemfab Alkalis Ltd.</t>
        </is>
      </c>
      <c r="C1961" s="16" t="inlineStr">
        <is>
          <t>Commodity Chemicals</t>
        </is>
      </c>
      <c r="D1961" s="16" t="inlineStr">
        <is>
          <t>Chemicals &amp; Petrochemicals</t>
        </is>
      </c>
      <c r="E1961" s="16" t="inlineStr">
        <is>
          <t>INE783X01023</t>
        </is>
      </c>
      <c r="F1961" s="17" t="n">
        <v>517.6</v>
      </c>
      <c r="G1961" s="18" t="n">
        <v>360.1</v>
      </c>
      <c r="H1961" s="19" t="n">
        <v>0.0059</v>
      </c>
      <c r="I1961" s="20" t="n">
        <v>8</v>
      </c>
      <c r="J1961" s="16" t="inlineStr">
        <is>
          <t>red</t>
        </is>
      </c>
      <c r="K1961" s="20" t="n">
        <v>327</v>
      </c>
      <c r="L1961" s="18" t="n">
        <v>46.85</v>
      </c>
      <c r="M1961" s="18" t="n">
        <v>360.7</v>
      </c>
      <c r="N1961" s="18" t="n">
        <v>367.84</v>
      </c>
      <c r="O1961" s="18" t="n">
        <v>398.1</v>
      </c>
      <c r="P1961" s="18" t="n">
        <v>675.76</v>
      </c>
      <c r="Q1961" s="18" t="n">
        <v>291.89</v>
      </c>
      <c r="R1961" s="21">
        <f>IF(OR(G1961="",P1961=""),"",G1961/P1961-1)</f>
        <v/>
      </c>
      <c r="S1961" s="19" t="n">
        <v>1.3475</v>
      </c>
      <c r="T1961" s="22" t="n">
        <v>-0.0484</v>
      </c>
      <c r="U1961" s="16" t="inlineStr">
        <is>
          <t>No</t>
        </is>
      </c>
      <c r="V1961" s="16" t="inlineStr">
        <is>
          <t>No</t>
        </is>
      </c>
      <c r="W1961" s="16" t="inlineStr">
        <is>
          <t>No</t>
        </is>
      </c>
      <c r="X1961" s="16" t="inlineStr">
        <is>
          <t>No</t>
        </is>
      </c>
      <c r="Y1961" s="20" t="n">
        <v>366</v>
      </c>
      <c r="Z1961" s="19" t="n">
        <v>-0.076</v>
      </c>
      <c r="AA1961" s="18" t="n">
        <v>19.31</v>
      </c>
      <c r="AB1961" s="16" t="inlineStr">
        <is>
          <t>Poor</t>
        </is>
      </c>
      <c r="AC1961" s="16" t="inlineStr">
        <is>
          <t>No</t>
        </is>
      </c>
      <c r="AD1961" s="19" t="n">
        <v>0.0135</v>
      </c>
      <c r="AE1961" s="19" t="n">
        <v>0.0411</v>
      </c>
      <c r="AF1961" s="19" t="n">
        <v>-0.4495</v>
      </c>
      <c r="AG1961" s="19" t="n">
        <v>-0.0199</v>
      </c>
      <c r="AH1961" s="23" t="n">
        <v>0.33</v>
      </c>
      <c r="AI1961" s="23" t="n">
        <v>0.75</v>
      </c>
      <c r="AJ1961" s="19" t="n">
        <v>0.0733</v>
      </c>
    </row>
    <row r="1962">
      <c r="A1962" s="16" t="inlineStr">
        <is>
          <t>CHANDAN</t>
        </is>
      </c>
      <c r="B1962" s="16" t="inlineStr">
        <is>
          <t>Chandan Healthcare Ltd.</t>
        </is>
      </c>
      <c r="C1962" s="16" t="inlineStr">
        <is>
          <t>Healthcare Services</t>
        </is>
      </c>
      <c r="D1962" s="16" t="inlineStr">
        <is>
          <t>Healthcare</t>
        </is>
      </c>
      <c r="E1962" s="16" t="inlineStr">
        <is>
          <t>INE0B2N01016</t>
        </is>
      </c>
      <c r="F1962" s="17" t="n">
        <v>517.16</v>
      </c>
      <c r="G1962" s="18" t="n"/>
      <c r="H1962" s="19" t="n"/>
      <c r="I1962" s="20" t="n"/>
      <c r="J1962" s="16" t="n"/>
      <c r="K1962" s="20" t="n"/>
      <c r="L1962" s="18" t="n"/>
      <c r="M1962" s="18" t="n"/>
      <c r="N1962" s="18" t="n"/>
      <c r="O1962" s="18" t="n"/>
      <c r="P1962" s="18" t="n"/>
      <c r="Q1962" s="18" t="n"/>
      <c r="R1962" s="21">
        <f>IF(OR(G1962="",P1962=""),"",G1962/P1962-1)</f>
        <v/>
      </c>
      <c r="S1962" s="19" t="n"/>
      <c r="T1962" s="22" t="n"/>
      <c r="U1962" s="16" t="n"/>
      <c r="V1962" s="16" t="n"/>
      <c r="W1962" s="16" t="n"/>
      <c r="X1962" s="16" t="n"/>
      <c r="Y1962" s="20" t="n"/>
      <c r="Z1962" s="19" t="n"/>
      <c r="AA1962" s="18" t="n"/>
      <c r="AB1962" s="16" t="n"/>
      <c r="AC1962" s="16" t="inlineStr">
        <is>
          <t>No</t>
        </is>
      </c>
      <c r="AD1962" s="19" t="n"/>
      <c r="AE1962" s="19" t="n"/>
      <c r="AF1962" s="19" t="n"/>
      <c r="AG1962" s="19" t="n"/>
      <c r="AH1962" s="23" t="n"/>
      <c r="AI1962" s="23" t="n"/>
      <c r="AJ1962" s="19" t="n"/>
    </row>
    <row r="1963">
      <c r="A1963" s="16" t="inlineStr">
        <is>
          <t>APTECHT</t>
        </is>
      </c>
      <c r="B1963" s="16" t="inlineStr">
        <is>
          <t>Aptech Ltd.</t>
        </is>
      </c>
      <c r="C1963" s="16" t="inlineStr">
        <is>
          <t>IT Training Services</t>
        </is>
      </c>
      <c r="D1963" s="16" t="inlineStr">
        <is>
          <t>Software &amp; Services</t>
        </is>
      </c>
      <c r="E1963" s="16" t="inlineStr">
        <is>
          <t>INE266F01018</t>
        </is>
      </c>
      <c r="F1963" s="17" t="n">
        <v>516.98</v>
      </c>
      <c r="G1963" s="18" t="n">
        <v>89.13</v>
      </c>
      <c r="H1963" s="19" t="n">
        <v>-0.0202</v>
      </c>
      <c r="I1963" s="20" t="n">
        <v>16</v>
      </c>
      <c r="J1963" s="16" t="inlineStr">
        <is>
          <t>red</t>
        </is>
      </c>
      <c r="K1963" s="20" t="n">
        <v>48</v>
      </c>
      <c r="L1963" s="18" t="n">
        <v>23.52</v>
      </c>
      <c r="M1963" s="18" t="n">
        <v>90.93000000000001</v>
      </c>
      <c r="N1963" s="18" t="n">
        <v>95.17</v>
      </c>
      <c r="O1963" s="18" t="n">
        <v>92.18000000000001</v>
      </c>
      <c r="P1963" s="18" t="n">
        <v>127.57</v>
      </c>
      <c r="Q1963" s="18" t="n">
        <v>67.38</v>
      </c>
      <c r="R1963" s="21">
        <f>IF(OR(G1963="",P1963=""),"",G1963/P1963-1)</f>
        <v/>
      </c>
      <c r="S1963" s="19" t="n">
        <v>2.2439</v>
      </c>
      <c r="T1963" s="22" t="n">
        <v>-0.0119</v>
      </c>
      <c r="U1963" s="16" t="inlineStr">
        <is>
          <t>No</t>
        </is>
      </c>
      <c r="V1963" s="16" t="inlineStr">
        <is>
          <t>No</t>
        </is>
      </c>
      <c r="W1963" s="16" t="inlineStr">
        <is>
          <t>No</t>
        </is>
      </c>
      <c r="X1963" s="16" t="inlineStr">
        <is>
          <t>Yes</t>
        </is>
      </c>
      <c r="Y1963" s="20" t="n">
        <v>60</v>
      </c>
      <c r="Z1963" s="19" t="n">
        <v>0.03240000000000001</v>
      </c>
      <c r="AA1963" s="18" t="n">
        <v>40</v>
      </c>
      <c r="AB1963" s="16" t="inlineStr">
        <is>
          <t>Weak</t>
        </is>
      </c>
      <c r="AC1963" s="16" t="inlineStr">
        <is>
          <t>No</t>
        </is>
      </c>
      <c r="AD1963" s="19" t="n">
        <v>0.0941</v>
      </c>
      <c r="AE1963" s="19" t="n">
        <v>0.1455</v>
      </c>
      <c r="AF1963" s="19" t="n">
        <v>-0.2267</v>
      </c>
      <c r="AG1963" s="19" t="n">
        <v>0.0345</v>
      </c>
      <c r="AH1963" s="23" t="n">
        <v>0.05</v>
      </c>
      <c r="AI1963" s="23" t="n">
        <v>23.45</v>
      </c>
      <c r="AJ1963" s="19" t="n">
        <v>0.0005</v>
      </c>
    </row>
    <row r="1964">
      <c r="A1964" s="16" t="inlineStr">
        <is>
          <t>MEGAMONT</t>
        </is>
      </c>
      <c r="B1964" s="16" t="inlineStr">
        <is>
          <t>Megamont Ltd.</t>
        </is>
      </c>
      <c r="C1964" s="16" t="inlineStr">
        <is>
          <t>Forest Products</t>
        </is>
      </c>
      <c r="D1964" s="16" t="inlineStr">
        <is>
          <t>Forest Materials</t>
        </is>
      </c>
      <c r="E1964" s="16" t="inlineStr">
        <is>
          <t>INE317D01014</t>
        </is>
      </c>
      <c r="F1964" s="17" t="n">
        <v>516.98</v>
      </c>
      <c r="G1964" s="18" t="n">
        <v>179</v>
      </c>
      <c r="H1964" s="19" t="n">
        <v>-0.0003</v>
      </c>
      <c r="I1964" s="20" t="n">
        <v>96</v>
      </c>
      <c r="J1964" s="16" t="inlineStr">
        <is>
          <t>green</t>
        </is>
      </c>
      <c r="K1964" s="20" t="n">
        <v>408</v>
      </c>
      <c r="L1964" s="18" t="n">
        <v>66.7</v>
      </c>
      <c r="M1964" s="18" t="n">
        <v>163.59</v>
      </c>
      <c r="N1964" s="18" t="n">
        <v>160.56</v>
      </c>
      <c r="O1964" s="18" t="n">
        <v>118.23</v>
      </c>
      <c r="P1964" s="18" t="n">
        <v>197.05</v>
      </c>
      <c r="Q1964" s="18" t="n">
        <v>42.1</v>
      </c>
      <c r="R1964" s="21">
        <f>IF(OR(G1964="",P1964=""),"",G1964/P1964-1)</f>
        <v/>
      </c>
      <c r="S1964" s="19" t="n">
        <v>1.0143</v>
      </c>
      <c r="T1964" s="22" t="n">
        <v>0.0911</v>
      </c>
      <c r="U1964" s="16" t="inlineStr">
        <is>
          <t>Yes</t>
        </is>
      </c>
      <c r="V1964" s="16" t="inlineStr">
        <is>
          <t>Yes</t>
        </is>
      </c>
      <c r="W1964" s="16" t="inlineStr">
        <is>
          <t>Yes</t>
        </is>
      </c>
      <c r="X1964" s="16" t="inlineStr">
        <is>
          <t>Yes</t>
        </is>
      </c>
      <c r="Y1964" s="20" t="n">
        <v>399</v>
      </c>
      <c r="Z1964" s="19" t="n">
        <v>0.358</v>
      </c>
      <c r="AA1964" s="18" t="n"/>
      <c r="AB1964" s="16" t="n"/>
      <c r="AC1964" s="16" t="inlineStr">
        <is>
          <t>No</t>
        </is>
      </c>
      <c r="AD1964" s="19" t="n"/>
      <c r="AE1964" s="19" t="n"/>
      <c r="AF1964" s="19" t="n"/>
      <c r="AG1964" s="19" t="n"/>
      <c r="AH1964" s="23" t="n"/>
      <c r="AI1964" s="23" t="n"/>
      <c r="AJ1964" s="19" t="n"/>
    </row>
    <row r="1965">
      <c r="A1965" s="16" t="inlineStr">
        <is>
          <t>MUNJALSHOW</t>
        </is>
      </c>
      <c r="B1965" s="16" t="inlineStr">
        <is>
          <t>Munjal Showa Ltd.</t>
        </is>
      </c>
      <c r="C1965" s="16" t="inlineStr">
        <is>
          <t>Auto Parts &amp; Equipment</t>
        </is>
      </c>
      <c r="D1965" s="16" t="inlineStr">
        <is>
          <t>Automobiles &amp; Auto Components</t>
        </is>
      </c>
      <c r="E1965" s="16" t="inlineStr">
        <is>
          <t>INE577A01027</t>
        </is>
      </c>
      <c r="F1965" s="17" t="n">
        <v>516.78</v>
      </c>
      <c r="G1965" s="18" t="n">
        <v>129.21</v>
      </c>
      <c r="H1965" s="19" t="n">
        <v>-0.0005</v>
      </c>
      <c r="I1965" s="20" t="n">
        <v>43</v>
      </c>
      <c r="J1965" s="16" t="inlineStr">
        <is>
          <t>red</t>
        </is>
      </c>
      <c r="K1965" s="20" t="n">
        <v>70</v>
      </c>
      <c r="L1965" s="18" t="n">
        <v>17.87</v>
      </c>
      <c r="M1965" s="18" t="n">
        <v>130.2</v>
      </c>
      <c r="N1965" s="18" t="n">
        <v>131.73</v>
      </c>
      <c r="O1965" s="18" t="n">
        <v>124.75</v>
      </c>
      <c r="P1965" s="18" t="n">
        <v>141.51</v>
      </c>
      <c r="Q1965" s="18" t="n">
        <v>107.02</v>
      </c>
      <c r="R1965" s="21">
        <f>IF(OR(G1965="",P1965=""),"",G1965/P1965-1)</f>
        <v/>
      </c>
      <c r="S1965" s="19" t="n">
        <v>0.237</v>
      </c>
      <c r="T1965" s="22" t="n">
        <v>0.0058</v>
      </c>
      <c r="U1965" s="16" t="inlineStr">
        <is>
          <t>Yes</t>
        </is>
      </c>
      <c r="V1965" s="16" t="inlineStr">
        <is>
          <t>No</t>
        </is>
      </c>
      <c r="W1965" s="16" t="inlineStr">
        <is>
          <t>No</t>
        </is>
      </c>
      <c r="X1965" s="16" t="inlineStr">
        <is>
          <t>Yes</t>
        </is>
      </c>
      <c r="Y1965" s="20" t="n">
        <v>68</v>
      </c>
      <c r="Z1965" s="19" t="n">
        <v>0.05599999999999999</v>
      </c>
      <c r="AA1965" s="18" t="n">
        <v>39.48</v>
      </c>
      <c r="AB1965" s="16" t="inlineStr">
        <is>
          <t>Weak</t>
        </is>
      </c>
      <c r="AC1965" s="16" t="inlineStr">
        <is>
          <t>No</t>
        </is>
      </c>
      <c r="AD1965" s="19" t="n">
        <v>0.0405</v>
      </c>
      <c r="AE1965" s="19" t="n">
        <v>0.05019999999999999</v>
      </c>
      <c r="AF1965" s="19" t="n">
        <v>-0.1133</v>
      </c>
      <c r="AG1965" s="19" t="n">
        <v>0.0212</v>
      </c>
      <c r="AH1965" s="23" t="n">
        <v>0</v>
      </c>
      <c r="AI1965" s="23" t="n">
        <v>11.77</v>
      </c>
      <c r="AJ1965" s="19" t="n">
        <v>0.0064</v>
      </c>
    </row>
    <row r="1966">
      <c r="A1966" s="16" t="inlineStr">
        <is>
          <t>BPAGRI</t>
        </is>
      </c>
      <c r="B1966" s="16" t="inlineStr">
        <is>
          <t>Blue Pearl Agriventures Ltd.</t>
        </is>
      </c>
      <c r="C1966" s="16" t="inlineStr">
        <is>
          <t>Commodity Chemicals</t>
        </is>
      </c>
      <c r="D1966" s="16" t="inlineStr">
        <is>
          <t>Chemicals &amp; Petrochemicals</t>
        </is>
      </c>
      <c r="E1966" s="16" t="inlineStr">
        <is>
          <t>INE439N01031</t>
        </is>
      </c>
      <c r="F1966" s="17" t="n">
        <v>516.39</v>
      </c>
      <c r="G1966" s="18" t="n">
        <v>8.57</v>
      </c>
      <c r="H1966" s="19" t="n">
        <v>-0.0172</v>
      </c>
      <c r="I1966" s="20" t="n">
        <v>1</v>
      </c>
      <c r="J1966" s="16" t="inlineStr">
        <is>
          <t>red</t>
        </is>
      </c>
      <c r="K1966" s="20" t="n">
        <v>119</v>
      </c>
      <c r="L1966" s="18" t="n">
        <v>24.27</v>
      </c>
      <c r="M1966" s="18" t="n">
        <v>8.67</v>
      </c>
      <c r="N1966" s="18" t="n">
        <v>9.15</v>
      </c>
      <c r="O1966" s="18" t="n">
        <v>37.96</v>
      </c>
      <c r="P1966" s="18" t="n">
        <v>107.9</v>
      </c>
      <c r="Q1966" s="18" t="n">
        <v>8.24</v>
      </c>
      <c r="R1966" s="21">
        <f>IF(OR(G1966="",P1966=""),"",G1966/P1966-1)</f>
        <v/>
      </c>
      <c r="S1966" s="19" t="n">
        <v>12.07</v>
      </c>
      <c r="T1966" s="22" t="n">
        <v>-0.1577</v>
      </c>
      <c r="U1966" s="16" t="inlineStr">
        <is>
          <t>No</t>
        </is>
      </c>
      <c r="V1966" s="16" t="inlineStr">
        <is>
          <t>No</t>
        </is>
      </c>
      <c r="W1966" s="16" t="inlineStr">
        <is>
          <t>No</t>
        </is>
      </c>
      <c r="X1966" s="16" t="inlineStr">
        <is>
          <t>No</t>
        </is>
      </c>
      <c r="Y1966" s="20" t="n">
        <v>137</v>
      </c>
      <c r="Z1966" s="19" t="n">
        <v>-0.759</v>
      </c>
      <c r="AA1966" s="18" t="n"/>
      <c r="AB1966" s="16" t="n"/>
      <c r="AC1966" s="16" t="inlineStr">
        <is>
          <t>No</t>
        </is>
      </c>
      <c r="AD1966" s="19" t="n"/>
      <c r="AE1966" s="19" t="n"/>
      <c r="AF1966" s="19" t="n"/>
      <c r="AG1966" s="19" t="n"/>
      <c r="AH1966" s="23" t="n"/>
      <c r="AI1966" s="23" t="n"/>
      <c r="AJ1966" s="19" t="n"/>
    </row>
    <row r="1967">
      <c r="A1967" s="16" t="inlineStr">
        <is>
          <t>SHIVALIK</t>
        </is>
      </c>
      <c r="B1967" s="16" t="inlineStr">
        <is>
          <t>Shivalik Rasayan Ltd.</t>
        </is>
      </c>
      <c r="C1967" s="16" t="inlineStr">
        <is>
          <t>Agrochemicals</t>
        </is>
      </c>
      <c r="D1967" s="16" t="inlineStr">
        <is>
          <t>Chemicals &amp; Petrochemicals</t>
        </is>
      </c>
      <c r="E1967" s="16" t="inlineStr">
        <is>
          <t>INE788J01021</t>
        </is>
      </c>
      <c r="F1967" s="17" t="n">
        <v>515.67</v>
      </c>
      <c r="G1967" s="18" t="n">
        <v>327.4</v>
      </c>
      <c r="H1967" s="19" t="n">
        <v>0.0447</v>
      </c>
      <c r="I1967" s="20" t="n">
        <v>55</v>
      </c>
      <c r="J1967" s="16" t="inlineStr">
        <is>
          <t>red</t>
        </is>
      </c>
      <c r="K1967" s="20" t="n">
        <v>3</v>
      </c>
      <c r="L1967" s="18" t="n">
        <v>74.66</v>
      </c>
      <c r="M1967" s="18" t="n">
        <v>315.04</v>
      </c>
      <c r="N1967" s="18" t="n">
        <v>255.12</v>
      </c>
      <c r="O1967" s="18" t="n">
        <v>284.51</v>
      </c>
      <c r="P1967" s="18" t="n">
        <v>487.34</v>
      </c>
      <c r="Q1967" s="18" t="n">
        <v>209.5</v>
      </c>
      <c r="R1967" s="21">
        <f>IF(OR(G1967="",P1967=""),"",G1967/P1967-1)</f>
        <v/>
      </c>
      <c r="S1967" s="19" t="n">
        <v>1.3036</v>
      </c>
      <c r="T1967" s="22" t="n">
        <v>-0.0498</v>
      </c>
      <c r="U1967" s="16" t="inlineStr">
        <is>
          <t>No</t>
        </is>
      </c>
      <c r="V1967" s="16" t="inlineStr">
        <is>
          <t>Yes</t>
        </is>
      </c>
      <c r="W1967" s="16" t="inlineStr">
        <is>
          <t>Yes</t>
        </is>
      </c>
      <c r="X1967" s="16" t="inlineStr">
        <is>
          <t>No</t>
        </is>
      </c>
      <c r="Y1967" s="20" t="n">
        <v>339</v>
      </c>
      <c r="Z1967" s="19" t="n">
        <v>-0.1033</v>
      </c>
      <c r="AA1967" s="18" t="n"/>
      <c r="AB1967" s="16" t="n"/>
      <c r="AC1967" s="16" t="inlineStr">
        <is>
          <t>No</t>
        </is>
      </c>
      <c r="AD1967" s="19" t="n"/>
      <c r="AE1967" s="19" t="n"/>
      <c r="AF1967" s="19" t="n"/>
      <c r="AG1967" s="19" t="n"/>
      <c r="AH1967" s="23" t="n"/>
      <c r="AI1967" s="23" t="n"/>
      <c r="AJ1967" s="19" t="n"/>
    </row>
    <row r="1968">
      <c r="A1968" s="16" t="inlineStr">
        <is>
          <t>ONMOBILE</t>
        </is>
      </c>
      <c r="B1968" s="16" t="inlineStr">
        <is>
          <t>OnMobile Global Ltd.</t>
        </is>
      </c>
      <c r="C1968" s="16" t="inlineStr">
        <is>
          <t>Other Telecom Services</t>
        </is>
      </c>
      <c r="D1968" s="16" t="inlineStr">
        <is>
          <t>Telecom Services</t>
        </is>
      </c>
      <c r="E1968" s="16" t="inlineStr">
        <is>
          <t>INE809I01019</t>
        </is>
      </c>
      <c r="F1968" s="17" t="n">
        <v>515.55</v>
      </c>
      <c r="G1968" s="18" t="n">
        <v>48.49</v>
      </c>
      <c r="H1968" s="19" t="n">
        <v>0.02</v>
      </c>
      <c r="I1968" s="20" t="n">
        <v>26</v>
      </c>
      <c r="J1968" s="16" t="inlineStr">
        <is>
          <t>red</t>
        </is>
      </c>
      <c r="K1968" s="20" t="n">
        <v>12</v>
      </c>
      <c r="L1968" s="18" t="n">
        <v>6.26</v>
      </c>
      <c r="M1968" s="18" t="n">
        <v>50.29</v>
      </c>
      <c r="N1968" s="18" t="n">
        <v>62.73</v>
      </c>
      <c r="O1968" s="18" t="n">
        <v>55.21</v>
      </c>
      <c r="P1968" s="18" t="n">
        <v>80.03</v>
      </c>
      <c r="Q1968" s="18" t="n">
        <v>40.53</v>
      </c>
      <c r="R1968" s="21">
        <f>IF(OR(G1968="",P1968=""),"",G1968/P1968-1)</f>
        <v/>
      </c>
      <c r="S1968" s="19" t="n">
        <v>2.184</v>
      </c>
      <c r="T1968" s="22" t="n">
        <v>-0.0209</v>
      </c>
      <c r="U1968" s="16" t="inlineStr">
        <is>
          <t>No</t>
        </is>
      </c>
      <c r="V1968" s="16" t="inlineStr">
        <is>
          <t>No</t>
        </is>
      </c>
      <c r="W1968" s="16" t="inlineStr">
        <is>
          <t>No</t>
        </is>
      </c>
      <c r="X1968" s="16" t="inlineStr">
        <is>
          <t>Yes</t>
        </is>
      </c>
      <c r="Y1968" s="20" t="n">
        <v>38</v>
      </c>
      <c r="Z1968" s="19" t="n">
        <v>0.1363</v>
      </c>
      <c r="AA1968" s="18" t="n">
        <v>27.95</v>
      </c>
      <c r="AB1968" s="16" t="inlineStr">
        <is>
          <t>Poor</t>
        </is>
      </c>
      <c r="AC1968" s="16" t="inlineStr">
        <is>
          <t>No</t>
        </is>
      </c>
      <c r="AD1968" s="19" t="n">
        <v>-0.0197</v>
      </c>
      <c r="AE1968" s="19" t="n">
        <v>0.0004</v>
      </c>
      <c r="AF1968" s="19" t="n">
        <v>-0.5522</v>
      </c>
      <c r="AG1968" s="19" t="n">
        <v>-0.0014</v>
      </c>
      <c r="AH1968" s="23" t="n">
        <v>0.12</v>
      </c>
      <c r="AI1968" s="23" t="n">
        <v>25.65</v>
      </c>
      <c r="AJ1968" s="19" t="n">
        <v>0.001</v>
      </c>
    </row>
    <row r="1969">
      <c r="A1969" s="16" t="inlineStr">
        <is>
          <t>PRIMO</t>
        </is>
      </c>
      <c r="B1969" s="16" t="inlineStr">
        <is>
          <t>Primo Chemicals Ltd.</t>
        </is>
      </c>
      <c r="C1969" s="16" t="inlineStr">
        <is>
          <t>Commodity Chemicals</t>
        </is>
      </c>
      <c r="D1969" s="16" t="inlineStr">
        <is>
          <t>Chemicals &amp; Petrochemicals</t>
        </is>
      </c>
      <c r="E1969" s="16" t="inlineStr">
        <is>
          <t>INE607A01022</t>
        </is>
      </c>
      <c r="F1969" s="17" t="n">
        <v>515.46</v>
      </c>
      <c r="G1969" s="18" t="n">
        <v>21.27</v>
      </c>
      <c r="H1969" s="19" t="n">
        <v>0.0285</v>
      </c>
      <c r="I1969" s="20" t="n">
        <v>23</v>
      </c>
      <c r="J1969" s="16" t="inlineStr">
        <is>
          <t>red</t>
        </is>
      </c>
      <c r="K1969" s="20" t="n">
        <v>48</v>
      </c>
      <c r="L1969" s="18" t="n">
        <v>29.53</v>
      </c>
      <c r="M1969" s="18" t="n">
        <v>21.15</v>
      </c>
      <c r="N1969" s="18" t="n">
        <v>23.14</v>
      </c>
      <c r="O1969" s="18" t="n">
        <v>22.46</v>
      </c>
      <c r="P1969" s="18" t="n">
        <v>26.22</v>
      </c>
      <c r="Q1969" s="18" t="n">
        <v>16.85</v>
      </c>
      <c r="R1969" s="21">
        <f>IF(OR(G1969="",P1969=""),"",G1969/P1969-1)</f>
        <v/>
      </c>
      <c r="S1969" s="19" t="n">
        <v>0.6879999999999999</v>
      </c>
      <c r="T1969" s="22" t="n">
        <v>-0.0039</v>
      </c>
      <c r="U1969" s="16" t="inlineStr">
        <is>
          <t>No</t>
        </is>
      </c>
      <c r="V1969" s="16" t="inlineStr">
        <is>
          <t>No</t>
        </is>
      </c>
      <c r="W1969" s="16" t="inlineStr">
        <is>
          <t>Yes</t>
        </is>
      </c>
      <c r="X1969" s="16" t="inlineStr">
        <is>
          <t>Yes</t>
        </is>
      </c>
      <c r="Y1969" s="20" t="n">
        <v>65</v>
      </c>
      <c r="Z1969" s="19" t="n">
        <v>0.03</v>
      </c>
      <c r="AA1969" s="18" t="n">
        <v>19.34</v>
      </c>
      <c r="AB1969" s="16" t="inlineStr">
        <is>
          <t>Poor</t>
        </is>
      </c>
      <c r="AC1969" s="16" t="inlineStr">
        <is>
          <t>No</t>
        </is>
      </c>
      <c r="AD1969" s="19" t="n">
        <v>-0.0062</v>
      </c>
      <c r="AE1969" s="19" t="n">
        <v>0.0368</v>
      </c>
      <c r="AF1969" s="19" t="n">
        <v>-0.3474</v>
      </c>
      <c r="AG1969" s="19" t="n">
        <v>-0.009399999999999999</v>
      </c>
      <c r="AH1969" s="23" t="n">
        <v>0.32</v>
      </c>
      <c r="AI1969" s="23" t="n">
        <v>1.17</v>
      </c>
      <c r="AJ1969" s="19" t="n">
        <v>0.0258</v>
      </c>
    </row>
    <row r="1970">
      <c r="A1970" s="16" t="inlineStr">
        <is>
          <t>ARYACAPM</t>
        </is>
      </c>
      <c r="B1970" s="16" t="inlineStr">
        <is>
          <t>Aryaman Capital Markets Ltd.</t>
        </is>
      </c>
      <c r="C1970" s="16" t="inlineStr">
        <is>
          <t>Other Financial Services</t>
        </is>
      </c>
      <c r="D1970" s="16" t="inlineStr">
        <is>
          <t>Banking and Finance</t>
        </is>
      </c>
      <c r="E1970" s="16" t="inlineStr">
        <is>
          <t>INE229R01011</t>
        </is>
      </c>
      <c r="F1970" s="17" t="n">
        <v>513.8200000000001</v>
      </c>
      <c r="G1970" s="18" t="n">
        <v>429</v>
      </c>
      <c r="H1970" s="19" t="n">
        <v>0.0214</v>
      </c>
      <c r="I1970" s="20" t="n">
        <v>24</v>
      </c>
      <c r="J1970" s="16" t="inlineStr">
        <is>
          <t>red</t>
        </is>
      </c>
      <c r="K1970" s="20" t="n">
        <v>74</v>
      </c>
      <c r="L1970" s="18" t="n">
        <v>66.76000000000001</v>
      </c>
      <c r="M1970" s="18" t="n">
        <v>425.77</v>
      </c>
      <c r="N1970" s="18" t="n">
        <v>410.09</v>
      </c>
      <c r="O1970" s="18" t="n">
        <v>439.12</v>
      </c>
      <c r="P1970" s="18" t="n">
        <v>652.75</v>
      </c>
      <c r="Q1970" s="18" t="n">
        <v>391.35</v>
      </c>
      <c r="R1970" s="21">
        <f>IF(OR(G1970="",P1970=""),"",G1970/P1970-1)</f>
        <v/>
      </c>
      <c r="S1970" s="19" t="n">
        <v>0.4436</v>
      </c>
      <c r="T1970" s="22" t="n">
        <v>-0.029</v>
      </c>
      <c r="U1970" s="16" t="inlineStr">
        <is>
          <t>No</t>
        </is>
      </c>
      <c r="V1970" s="16" t="inlineStr">
        <is>
          <t>Yes</t>
        </is>
      </c>
      <c r="W1970" s="16" t="inlineStr">
        <is>
          <t>Yes</t>
        </is>
      </c>
      <c r="X1970" s="16" t="inlineStr">
        <is>
          <t>No</t>
        </is>
      </c>
      <c r="Y1970" s="20" t="n">
        <v>123</v>
      </c>
      <c r="Z1970" s="19" t="n">
        <v>-0.06610000000000001</v>
      </c>
      <c r="AA1970" s="18" t="n"/>
      <c r="AB1970" s="16" t="n"/>
      <c r="AC1970" s="16" t="inlineStr">
        <is>
          <t>No</t>
        </is>
      </c>
      <c r="AD1970" s="19" t="n"/>
      <c r="AE1970" s="19" t="n"/>
      <c r="AF1970" s="19" t="n"/>
      <c r="AG1970" s="19" t="n"/>
      <c r="AH1970" s="23" t="n"/>
      <c r="AI1970" s="23" t="n"/>
      <c r="AJ1970" s="19" t="n"/>
    </row>
    <row r="1971">
      <c r="A1971" s="16" t="inlineStr">
        <is>
          <t>VIPULORG</t>
        </is>
      </c>
      <c r="B1971" s="16" t="inlineStr">
        <is>
          <t>Vipul Organics Ltd.</t>
        </is>
      </c>
      <c r="C1971" s="16" t="inlineStr">
        <is>
          <t>Specialty Chemicals</t>
        </is>
      </c>
      <c r="D1971" s="16" t="inlineStr">
        <is>
          <t>Chemicals &amp; Petrochemicals</t>
        </is>
      </c>
      <c r="E1971" s="16" t="inlineStr">
        <is>
          <t>INE834D01018</t>
        </is>
      </c>
      <c r="F1971" s="17" t="n">
        <v>512.95</v>
      </c>
      <c r="G1971" s="18" t="n">
        <v>269.2</v>
      </c>
      <c r="H1971" s="19" t="n">
        <v>0.0002</v>
      </c>
      <c r="I1971" s="20" t="n">
        <v>64</v>
      </c>
      <c r="J1971" s="16" t="inlineStr">
        <is>
          <t>amber</t>
        </is>
      </c>
      <c r="K1971" s="20" t="n">
        <v>10</v>
      </c>
      <c r="L1971" s="18" t="n">
        <v>64.06</v>
      </c>
      <c r="M1971" s="18" t="n">
        <v>267.63</v>
      </c>
      <c r="N1971" s="18" t="n">
        <v>253.22</v>
      </c>
      <c r="O1971" s="18" t="n">
        <v>221.12</v>
      </c>
      <c r="P1971" s="18" t="n">
        <v>286.75</v>
      </c>
      <c r="Q1971" s="18" t="n">
        <v>159.4</v>
      </c>
      <c r="R1971" s="21">
        <f>IF(OR(G1971="",P1971=""),"",G1971/P1971-1)</f>
        <v/>
      </c>
      <c r="S1971" s="19" t="n">
        <v>0.4133</v>
      </c>
      <c r="T1971" s="22" t="n">
        <v>0.0333</v>
      </c>
      <c r="U1971" s="16" t="inlineStr">
        <is>
          <t>Yes</t>
        </is>
      </c>
      <c r="V1971" s="16" t="inlineStr">
        <is>
          <t>Yes</t>
        </is>
      </c>
      <c r="W1971" s="16" t="inlineStr">
        <is>
          <t>Yes</t>
        </is>
      </c>
      <c r="X1971" s="16" t="inlineStr">
        <is>
          <t>Yes</t>
        </is>
      </c>
      <c r="Y1971" s="20" t="n">
        <v>61</v>
      </c>
      <c r="Z1971" s="19" t="n">
        <v>0.1452</v>
      </c>
      <c r="AA1971" s="18" t="n"/>
      <c r="AB1971" s="16" t="n"/>
      <c r="AC1971" s="16" t="inlineStr">
        <is>
          <t>No</t>
        </is>
      </c>
      <c r="AD1971" s="19" t="n"/>
      <c r="AE1971" s="19" t="n"/>
      <c r="AF1971" s="19" t="n"/>
      <c r="AG1971" s="19" t="n"/>
      <c r="AH1971" s="23" t="n"/>
      <c r="AI1971" s="23" t="n"/>
      <c r="AJ1971" s="19" t="n"/>
    </row>
    <row r="1972">
      <c r="A1972" s="16" t="inlineStr">
        <is>
          <t>PTL</t>
        </is>
      </c>
      <c r="B1972" s="16" t="inlineStr">
        <is>
          <t>PTL Enterprises Ltd.</t>
        </is>
      </c>
      <c r="C1972" s="16" t="inlineStr">
        <is>
          <t>Misc. Commercial Services</t>
        </is>
      </c>
      <c r="D1972" s="16" t="inlineStr">
        <is>
          <t>Commercial Services &amp; Supplies</t>
        </is>
      </c>
      <c r="E1972" s="16" t="inlineStr">
        <is>
          <t>INE034D01049</t>
        </is>
      </c>
      <c r="F1972" s="17" t="n">
        <v>512.83</v>
      </c>
      <c r="G1972" s="18" t="n">
        <v>38.74</v>
      </c>
      <c r="H1972" s="19" t="n">
        <v>0.0136</v>
      </c>
      <c r="I1972" s="20" t="n">
        <v>41</v>
      </c>
      <c r="J1972" s="16" t="inlineStr">
        <is>
          <t>red</t>
        </is>
      </c>
      <c r="K1972" s="20" t="n">
        <v>54</v>
      </c>
      <c r="L1972" s="18" t="n">
        <v>51.59</v>
      </c>
      <c r="M1972" s="18" t="n">
        <v>38.51</v>
      </c>
      <c r="N1972" s="18" t="n">
        <v>39.5</v>
      </c>
      <c r="O1972" s="18" t="n">
        <v>38.24</v>
      </c>
      <c r="P1972" s="18" t="n">
        <v>42.12</v>
      </c>
      <c r="Q1972" s="18" t="n">
        <v>35.34</v>
      </c>
      <c r="R1972" s="21">
        <f>IF(OR(G1972="",P1972=""),"",G1972/P1972-1)</f>
        <v/>
      </c>
      <c r="S1972" s="19" t="n">
        <v>1.746</v>
      </c>
      <c r="T1972" s="22" t="n">
        <v>0.0027</v>
      </c>
      <c r="U1972" s="16" t="inlineStr">
        <is>
          <t>Yes</t>
        </is>
      </c>
      <c r="V1972" s="16" t="inlineStr">
        <is>
          <t>No</t>
        </is>
      </c>
      <c r="W1972" s="16" t="inlineStr">
        <is>
          <t>Yes</t>
        </is>
      </c>
      <c r="X1972" s="16" t="inlineStr">
        <is>
          <t>Yes</t>
        </is>
      </c>
      <c r="Y1972" s="20" t="n">
        <v>86</v>
      </c>
      <c r="Z1972" s="19" t="n">
        <v>0.0329</v>
      </c>
      <c r="AA1972" s="18" t="n">
        <v>36.84</v>
      </c>
      <c r="AB1972" s="16" t="inlineStr">
        <is>
          <t>Weak</t>
        </is>
      </c>
      <c r="AC1972" s="16" t="inlineStr">
        <is>
          <t>No</t>
        </is>
      </c>
      <c r="AD1972" s="19" t="n">
        <v>0.0418</v>
      </c>
      <c r="AE1972" s="19" t="n">
        <v>0.0732</v>
      </c>
      <c r="AF1972" s="19" t="n">
        <v>0.2748</v>
      </c>
      <c r="AG1972" s="19" t="n">
        <v>0</v>
      </c>
      <c r="AH1972" s="23" t="n">
        <v>0.01</v>
      </c>
      <c r="AI1972" s="23" t="n">
        <v>0.11</v>
      </c>
      <c r="AJ1972" s="19" t="n">
        <v>0</v>
      </c>
    </row>
    <row r="1973">
      <c r="A1973" s="16" t="inlineStr">
        <is>
          <t>MSAFE</t>
        </is>
      </c>
      <c r="B1973" s="16" t="inlineStr">
        <is>
          <t>Msafe Equipments Ltd.</t>
        </is>
      </c>
      <c r="C1973" s="16" t="inlineStr">
        <is>
          <t>Iron &amp; Steel Products</t>
        </is>
      </c>
      <c r="D1973" s="16" t="inlineStr">
        <is>
          <t>Metals &amp; Mining</t>
        </is>
      </c>
      <c r="E1973" s="16" t="inlineStr">
        <is>
          <t>INE2B5L01011</t>
        </is>
      </c>
      <c r="F1973" s="17" t="n">
        <v>511.63</v>
      </c>
      <c r="G1973" s="18" t="n">
        <v>250.8</v>
      </c>
      <c r="H1973" s="19" t="n">
        <v>0.0005999999999999999</v>
      </c>
      <c r="I1973" s="20" t="n">
        <v>91</v>
      </c>
      <c r="J1973" s="16" t="inlineStr">
        <is>
          <t>green</t>
        </is>
      </c>
      <c r="K1973" s="20" t="n">
        <v>19</v>
      </c>
      <c r="L1973" s="18" t="n">
        <v>71.31999999999999</v>
      </c>
      <c r="M1973" s="18" t="n">
        <v>234.82</v>
      </c>
      <c r="N1973" s="18" t="n">
        <v>205.59</v>
      </c>
      <c r="O1973" s="18" t="n"/>
      <c r="P1973" s="18" t="n">
        <v>250.8</v>
      </c>
      <c r="Q1973" s="18" t="n">
        <v>106.85</v>
      </c>
      <c r="R1973" s="21">
        <f>IF(OR(G1973="",P1973=""),"",G1973/P1973-1)</f>
        <v/>
      </c>
      <c r="S1973" s="19" t="n">
        <v>0.8115000000000001</v>
      </c>
      <c r="T1973" s="22" t="n"/>
      <c r="U1973" s="16" t="n"/>
      <c r="V1973" s="16" t="inlineStr">
        <is>
          <t>Yes</t>
        </is>
      </c>
      <c r="W1973" s="16" t="inlineStr">
        <is>
          <t>Yes</t>
        </is>
      </c>
      <c r="X1973" s="16" t="n"/>
      <c r="Y1973" s="20" t="n"/>
      <c r="Z1973" s="19" t="n"/>
      <c r="AA1973" s="18" t="n"/>
      <c r="AB1973" s="16" t="n"/>
      <c r="AC1973" s="16" t="inlineStr">
        <is>
          <t>No</t>
        </is>
      </c>
      <c r="AD1973" s="19" t="n"/>
      <c r="AE1973" s="19" t="n"/>
      <c r="AF1973" s="19" t="n"/>
      <c r="AG1973" s="19" t="n"/>
      <c r="AH1973" s="23" t="n"/>
      <c r="AI1973" s="23" t="n"/>
      <c r="AJ1973" s="19" t="n"/>
    </row>
    <row r="1974">
      <c r="A1974" s="16" t="inlineStr">
        <is>
          <t>URJA</t>
        </is>
      </c>
      <c r="B1974" s="16" t="inlineStr">
        <is>
          <t>Urja Global Ltd.</t>
        </is>
      </c>
      <c r="C1974" s="16" t="inlineStr">
        <is>
          <t>Heavy Electrical Equipment</t>
        </is>
      </c>
      <c r="D1974" s="16" t="inlineStr">
        <is>
          <t>General Industrials</t>
        </is>
      </c>
      <c r="E1974" s="16" t="inlineStr">
        <is>
          <t>INE550C01020</t>
        </is>
      </c>
      <c r="F1974" s="17" t="n">
        <v>511.52</v>
      </c>
      <c r="G1974" s="18" t="n">
        <v>9.18</v>
      </c>
      <c r="H1974" s="19" t="n">
        <v>0.0033</v>
      </c>
      <c r="I1974" s="20" t="n">
        <v>12</v>
      </c>
      <c r="J1974" s="16" t="inlineStr">
        <is>
          <t>red</t>
        </is>
      </c>
      <c r="K1974" s="20" t="n">
        <v>93</v>
      </c>
      <c r="L1974" s="18" t="n">
        <v>32.93</v>
      </c>
      <c r="M1974" s="18" t="n">
        <v>9.15</v>
      </c>
      <c r="N1974" s="18" t="n">
        <v>9.42</v>
      </c>
      <c r="O1974" s="18" t="n">
        <v>10.2</v>
      </c>
      <c r="P1974" s="18" t="n">
        <v>14.26</v>
      </c>
      <c r="Q1974" s="18" t="n">
        <v>8.01</v>
      </c>
      <c r="R1974" s="21">
        <f>IF(OR(G1974="",P1974=""),"",G1974/P1974-1)</f>
        <v/>
      </c>
      <c r="S1974" s="19" t="n">
        <v>0.8229000000000001</v>
      </c>
      <c r="T1974" s="22" t="n">
        <v>-0.0325</v>
      </c>
      <c r="U1974" s="16" t="inlineStr">
        <is>
          <t>No</t>
        </is>
      </c>
      <c r="V1974" s="16" t="inlineStr">
        <is>
          <t>No</t>
        </is>
      </c>
      <c r="W1974" s="16" t="inlineStr">
        <is>
          <t>Yes</t>
        </is>
      </c>
      <c r="X1974" s="16" t="inlineStr">
        <is>
          <t>No</t>
        </is>
      </c>
      <c r="Y1974" s="20" t="n">
        <v>485</v>
      </c>
      <c r="Z1974" s="19" t="n">
        <v>-0.0771</v>
      </c>
      <c r="AA1974" s="18" t="n">
        <v>37.86</v>
      </c>
      <c r="AB1974" s="16" t="inlineStr">
        <is>
          <t>Weak</t>
        </is>
      </c>
      <c r="AC1974" s="16" t="inlineStr">
        <is>
          <t>No</t>
        </is>
      </c>
      <c r="AD1974" s="19" t="n">
        <v>0.0089</v>
      </c>
      <c r="AE1974" s="19" t="n">
        <v>0.0141</v>
      </c>
      <c r="AF1974" s="19" t="n">
        <v>0.1111</v>
      </c>
      <c r="AG1974" s="19" t="n">
        <v>0.2092</v>
      </c>
      <c r="AH1974" s="23" t="n">
        <v>0.05</v>
      </c>
      <c r="AI1974" s="23" t="n">
        <v>1.1</v>
      </c>
      <c r="AJ1974" s="19" t="n">
        <v>0</v>
      </c>
    </row>
    <row r="1975">
      <c r="A1975" s="16" t="inlineStr">
        <is>
          <t>CRYOGENIC</t>
        </is>
      </c>
      <c r="B1975" s="16" t="inlineStr">
        <is>
          <t>Cryogenic OGS Ltd.</t>
        </is>
      </c>
      <c r="C1975" s="16" t="inlineStr">
        <is>
          <t>Industrial Machinery</t>
        </is>
      </c>
      <c r="D1975" s="16" t="inlineStr">
        <is>
          <t>General Industrials</t>
        </is>
      </c>
      <c r="E1975" s="16" t="inlineStr">
        <is>
          <t>INE0TL001013</t>
        </is>
      </c>
      <c r="F1975" s="17" t="n">
        <v>510.8</v>
      </c>
      <c r="G1975" s="18" t="n">
        <v>357.7</v>
      </c>
      <c r="H1975" s="19" t="n">
        <v>-0.02</v>
      </c>
      <c r="I1975" s="20" t="n">
        <v>95</v>
      </c>
      <c r="J1975" s="16" t="inlineStr">
        <is>
          <t>green</t>
        </is>
      </c>
      <c r="K1975" s="20" t="n">
        <v>77</v>
      </c>
      <c r="L1975" s="18" t="n">
        <v>46.49</v>
      </c>
      <c r="M1975" s="18" t="n">
        <v>365.08</v>
      </c>
      <c r="N1975" s="18" t="n">
        <v>327.78</v>
      </c>
      <c r="O1975" s="18" t="n">
        <v>223.8</v>
      </c>
      <c r="P1975" s="18" t="n">
        <v>408.45</v>
      </c>
      <c r="Q1975" s="18" t="n">
        <v>134.5</v>
      </c>
      <c r="R1975" s="21">
        <f>IF(OR(G1975="",P1975=""),"",G1975/P1975-1)</f>
        <v/>
      </c>
      <c r="S1975" s="19" t="n">
        <v>1.0099</v>
      </c>
      <c r="T1975" s="22" t="n">
        <v>0.0781</v>
      </c>
      <c r="U1975" s="16" t="inlineStr">
        <is>
          <t>Yes</t>
        </is>
      </c>
      <c r="V1975" s="16" t="inlineStr">
        <is>
          <t>Yes</t>
        </is>
      </c>
      <c r="W1975" s="16" t="inlineStr">
        <is>
          <t>No</t>
        </is>
      </c>
      <c r="X1975" s="16" t="inlineStr">
        <is>
          <t>Yes</t>
        </is>
      </c>
      <c r="Y1975" s="20" t="n">
        <v>89</v>
      </c>
      <c r="Z1975" s="19" t="n">
        <v>0.4646</v>
      </c>
      <c r="AA1975" s="18" t="n"/>
      <c r="AB1975" s="16" t="n"/>
      <c r="AC1975" s="16" t="inlineStr">
        <is>
          <t>No</t>
        </is>
      </c>
      <c r="AD1975" s="19" t="n"/>
      <c r="AE1975" s="19" t="n"/>
      <c r="AF1975" s="19" t="n"/>
      <c r="AG1975" s="19" t="n"/>
      <c r="AH1975" s="23" t="n"/>
      <c r="AI1975" s="23" t="n"/>
      <c r="AJ1975" s="19" t="n"/>
    </row>
    <row r="1976">
      <c r="A1976" s="16" t="inlineStr">
        <is>
          <t>SILINV</t>
        </is>
      </c>
      <c r="B1976" s="16" t="inlineStr">
        <is>
          <t>SIL Investments Ltd.</t>
        </is>
      </c>
      <c r="C1976" s="16" t="inlineStr">
        <is>
          <t>Other Financial Services</t>
        </is>
      </c>
      <c r="D1976" s="16" t="inlineStr">
        <is>
          <t>Banking and Finance</t>
        </is>
      </c>
      <c r="E1976" s="16" t="inlineStr">
        <is>
          <t>INE923A01015</t>
        </is>
      </c>
      <c r="F1976" s="17" t="n">
        <v>507.33</v>
      </c>
      <c r="G1976" s="18" t="n">
        <v>478.8</v>
      </c>
      <c r="H1976" s="19" t="n">
        <v>-0.0178</v>
      </c>
      <c r="I1976" s="20" t="n">
        <v>48</v>
      </c>
      <c r="J1976" s="16" t="inlineStr">
        <is>
          <t>red</t>
        </is>
      </c>
      <c r="K1976" s="20" t="n">
        <v>209</v>
      </c>
      <c r="L1976" s="18" t="n">
        <v>61.82</v>
      </c>
      <c r="M1976" s="18" t="n">
        <v>483.73</v>
      </c>
      <c r="N1976" s="18" t="n">
        <v>437.28</v>
      </c>
      <c r="O1976" s="18" t="n">
        <v>450.83</v>
      </c>
      <c r="P1976" s="18" t="n">
        <v>712.33</v>
      </c>
      <c r="Q1976" s="18" t="n">
        <v>379.27</v>
      </c>
      <c r="R1976" s="21">
        <f>IF(OR(G1976="",P1976=""),"",G1976/P1976-1)</f>
        <v/>
      </c>
      <c r="S1976" s="19" t="n">
        <v>0.7695000000000001</v>
      </c>
      <c r="T1976" s="22" t="n">
        <v>-0.0378</v>
      </c>
      <c r="U1976" s="16" t="inlineStr">
        <is>
          <t>No</t>
        </is>
      </c>
      <c r="V1976" s="16" t="inlineStr">
        <is>
          <t>Yes</t>
        </is>
      </c>
      <c r="W1976" s="16" t="inlineStr">
        <is>
          <t>No</t>
        </is>
      </c>
      <c r="X1976" s="16" t="inlineStr">
        <is>
          <t>No</t>
        </is>
      </c>
      <c r="Y1976" s="20" t="n">
        <v>176</v>
      </c>
      <c r="Z1976" s="19" t="n">
        <v>-0.0301</v>
      </c>
      <c r="AA1976" s="18" t="n"/>
      <c r="AB1976" s="16" t="n"/>
      <c r="AC1976" s="16" t="inlineStr">
        <is>
          <t>No</t>
        </is>
      </c>
      <c r="AD1976" s="19" t="n"/>
      <c r="AE1976" s="19" t="n"/>
      <c r="AF1976" s="19" t="n"/>
      <c r="AG1976" s="19" t="n"/>
      <c r="AH1976" s="23" t="n"/>
      <c r="AI1976" s="23" t="n"/>
      <c r="AJ1976" s="19" t="n"/>
    </row>
    <row r="1977">
      <c r="A1977" s="16" t="inlineStr">
        <is>
          <t>KNAGRI</t>
        </is>
      </c>
      <c r="B1977" s="16" t="inlineStr">
        <is>
          <t>KN Agri Resources Ltd.</t>
        </is>
      </c>
      <c r="C1977" s="16" t="inlineStr">
        <is>
          <t>Other Food &amp; Beverages</t>
        </is>
      </c>
      <c r="D1977" s="16" t="inlineStr">
        <is>
          <t>Food, Beverages &amp; Tobacco</t>
        </is>
      </c>
      <c r="E1977" s="16" t="inlineStr">
        <is>
          <t>INE0KNW01016</t>
        </is>
      </c>
      <c r="F1977" s="17" t="n">
        <v>498.48</v>
      </c>
      <c r="G1977" s="18" t="n">
        <v>199.4</v>
      </c>
      <c r="H1977" s="19" t="n">
        <v>-0.0331</v>
      </c>
      <c r="I1977" s="20" t="n">
        <v>41</v>
      </c>
      <c r="J1977" s="16" t="inlineStr">
        <is>
          <t>red</t>
        </is>
      </c>
      <c r="K1977" s="20" t="n">
        <v>15</v>
      </c>
      <c r="L1977" s="18" t="n">
        <v>33.09</v>
      </c>
      <c r="M1977" s="18" t="n">
        <v>212.13</v>
      </c>
      <c r="N1977" s="18" t="n">
        <v>209.93</v>
      </c>
      <c r="O1977" s="18" t="n">
        <v>195.29</v>
      </c>
      <c r="P1977" s="18" t="n">
        <v>239.95</v>
      </c>
      <c r="Q1977" s="18" t="n">
        <v>150.19</v>
      </c>
      <c r="R1977" s="21">
        <f>IF(OR(G1977="",P1977=""),"",G1977/P1977-1)</f>
        <v/>
      </c>
      <c r="S1977" s="19" t="n">
        <v>0.7495000000000001</v>
      </c>
      <c r="T1977" s="22" t="n">
        <v>-0.008399999999999999</v>
      </c>
      <c r="U1977" s="16" t="inlineStr">
        <is>
          <t>No</t>
        </is>
      </c>
      <c r="V1977" s="16" t="inlineStr">
        <is>
          <t>No</t>
        </is>
      </c>
      <c r="W1977" s="16" t="inlineStr">
        <is>
          <t>No</t>
        </is>
      </c>
      <c r="X1977" s="16" t="inlineStr">
        <is>
          <t>Yes</t>
        </is>
      </c>
      <c r="Y1977" s="20" t="n">
        <v>44</v>
      </c>
      <c r="Z1977" s="19" t="n">
        <v>0.07490000000000001</v>
      </c>
      <c r="AA1977" s="18" t="n">
        <v>40</v>
      </c>
      <c r="AB1977" s="16" t="inlineStr">
        <is>
          <t>Weak</t>
        </is>
      </c>
      <c r="AC1977" s="16" t="inlineStr">
        <is>
          <t>No</t>
        </is>
      </c>
      <c r="AD1977" s="19" t="n">
        <v>0.0955</v>
      </c>
      <c r="AE1977" s="19" t="n">
        <v>0.1333</v>
      </c>
      <c r="AF1977" s="19" t="n">
        <v>-0.2518</v>
      </c>
      <c r="AG1977" s="19" t="n">
        <v>-0.0578</v>
      </c>
      <c r="AH1977" s="23" t="n">
        <v>0.09</v>
      </c>
      <c r="AI1977" s="23" t="n">
        <v>36.41</v>
      </c>
      <c r="AJ1977" s="19" t="n">
        <v>0.4081</v>
      </c>
    </row>
    <row r="1978">
      <c r="A1978" s="16" t="inlineStr">
        <is>
          <t>SUBAM</t>
        </is>
      </c>
      <c r="B1978" s="16" t="inlineStr">
        <is>
          <t>Subam Papers Ltd.</t>
        </is>
      </c>
      <c r="C1978" s="16" t="inlineStr">
        <is>
          <t>Paper &amp; Paper Products</t>
        </is>
      </c>
      <c r="D1978" s="16" t="inlineStr">
        <is>
          <t>Commercial Services &amp; Supplies</t>
        </is>
      </c>
      <c r="E1978" s="16" t="inlineStr">
        <is>
          <t>INE0U6201010</t>
        </is>
      </c>
      <c r="F1978" s="17" t="n">
        <v>497.21</v>
      </c>
      <c r="G1978" s="18" t="n">
        <v>213.9</v>
      </c>
      <c r="H1978" s="19" t="n">
        <v>0.0333</v>
      </c>
      <c r="I1978" s="20" t="n">
        <v>65</v>
      </c>
      <c r="J1978" s="16" t="inlineStr">
        <is>
          <t>amber</t>
        </is>
      </c>
      <c r="K1978" s="20" t="n">
        <v>2</v>
      </c>
      <c r="L1978" s="18" t="n">
        <v>49.16</v>
      </c>
      <c r="M1978" s="18" t="n">
        <v>209.17</v>
      </c>
      <c r="N1978" s="18" t="n">
        <v>218.19</v>
      </c>
      <c r="O1978" s="18" t="n">
        <v>200.97</v>
      </c>
      <c r="P1978" s="18" t="n">
        <v>237.85</v>
      </c>
      <c r="Q1978" s="18" t="n">
        <v>121.4</v>
      </c>
      <c r="R1978" s="21">
        <f>IF(OR(G1978="",P1978=""),"",G1978/P1978-1)</f>
        <v/>
      </c>
      <c r="S1978" s="19" t="n">
        <v>0.2143</v>
      </c>
      <c r="T1978" s="22" t="n">
        <v>0.0291</v>
      </c>
      <c r="U1978" s="16" t="inlineStr">
        <is>
          <t>Yes</t>
        </is>
      </c>
      <c r="V1978" s="16" t="inlineStr">
        <is>
          <t>No</t>
        </is>
      </c>
      <c r="W1978" s="16" t="inlineStr">
        <is>
          <t>Yes</t>
        </is>
      </c>
      <c r="X1978" s="16" t="inlineStr">
        <is>
          <t>Yes</t>
        </is>
      </c>
      <c r="Y1978" s="20" t="n">
        <v>238</v>
      </c>
      <c r="Z1978" s="19" t="n">
        <v>0.0857</v>
      </c>
      <c r="AA1978" s="18" t="n"/>
      <c r="AB1978" s="16" t="n"/>
      <c r="AC1978" s="16" t="inlineStr">
        <is>
          <t>No</t>
        </is>
      </c>
      <c r="AD1978" s="19" t="n"/>
      <c r="AE1978" s="19" t="n"/>
      <c r="AF1978" s="19" t="n"/>
      <c r="AG1978" s="19" t="n"/>
      <c r="AH1978" s="23" t="n"/>
      <c r="AI1978" s="23" t="n"/>
      <c r="AJ1978" s="19" t="n"/>
    </row>
    <row r="1979">
      <c r="A1979" s="16" t="inlineStr">
        <is>
          <t>THEINVEST</t>
        </is>
      </c>
      <c r="B1979" s="16" t="inlineStr">
        <is>
          <t>The Investment Trust of India Ltd.</t>
        </is>
      </c>
      <c r="C1979" s="16" t="inlineStr">
        <is>
          <t>Finance (including NBFCs)</t>
        </is>
      </c>
      <c r="D1979" s="16" t="inlineStr">
        <is>
          <t>Banking and Finance</t>
        </is>
      </c>
      <c r="E1979" s="16" t="inlineStr">
        <is>
          <t>INE924D01017</t>
        </is>
      </c>
      <c r="F1979" s="17" t="n">
        <v>496.3</v>
      </c>
      <c r="G1979" s="18" t="n">
        <v>95</v>
      </c>
      <c r="H1979" s="19" t="n">
        <v>-0.0316</v>
      </c>
      <c r="I1979" s="20" t="n">
        <v>20</v>
      </c>
      <c r="J1979" s="16" t="inlineStr">
        <is>
          <t>red</t>
        </is>
      </c>
      <c r="K1979" s="20" t="n">
        <v>388</v>
      </c>
      <c r="L1979" s="18" t="n">
        <v>37.93</v>
      </c>
      <c r="M1979" s="18" t="n">
        <v>95.48</v>
      </c>
      <c r="N1979" s="18" t="n">
        <v>97.27</v>
      </c>
      <c r="O1979" s="18" t="n">
        <v>104.21</v>
      </c>
      <c r="P1979" s="18" t="n">
        <v>156.51</v>
      </c>
      <c r="Q1979" s="18" t="n">
        <v>91.15000000000001</v>
      </c>
      <c r="R1979" s="21">
        <f>IF(OR(G1979="",P1979=""),"",G1979/P1979-1)</f>
        <v/>
      </c>
      <c r="S1979" s="19" t="n">
        <v>0.6456000000000001</v>
      </c>
      <c r="T1979" s="22" t="n">
        <v>-0.0361</v>
      </c>
      <c r="U1979" s="16" t="inlineStr">
        <is>
          <t>No</t>
        </is>
      </c>
      <c r="V1979" s="16" t="inlineStr">
        <is>
          <t>No</t>
        </is>
      </c>
      <c r="W1979" s="16" t="inlineStr">
        <is>
          <t>No</t>
        </is>
      </c>
      <c r="X1979" s="16" t="inlineStr">
        <is>
          <t>No</t>
        </is>
      </c>
      <c r="Y1979" s="20" t="n">
        <v>382</v>
      </c>
      <c r="Z1979" s="19" t="n">
        <v>-0.06660000000000001</v>
      </c>
      <c r="AA1979" s="18" t="n">
        <v>38.64</v>
      </c>
      <c r="AB1979" s="16" t="inlineStr">
        <is>
          <t>Weak</t>
        </is>
      </c>
      <c r="AC1979" s="16" t="inlineStr">
        <is>
          <t>Yes</t>
        </is>
      </c>
      <c r="AD1979" s="19" t="n">
        <v>0.0431</v>
      </c>
      <c r="AE1979" s="19" t="n">
        <v>0.08650000000000001</v>
      </c>
      <c r="AF1979" s="19" t="n">
        <v>0.5374</v>
      </c>
      <c r="AG1979" s="19" t="n">
        <v>0.0114</v>
      </c>
      <c r="AH1979" s="23" t="n">
        <v>0.08</v>
      </c>
      <c r="AI1979" s="23" t="n">
        <v>30.93</v>
      </c>
      <c r="AJ1979" s="19" t="n">
        <v>0</v>
      </c>
    </row>
    <row r="1980">
      <c r="A1980" s="16" t="inlineStr">
        <is>
          <t>SUKHJITS</t>
        </is>
      </c>
      <c r="B1980" s="16" t="inlineStr">
        <is>
          <t>Sukhjit Starch &amp; Chemicals Ltd.</t>
        </is>
      </c>
      <c r="C1980" s="16" t="inlineStr">
        <is>
          <t>Other Agricultural Products</t>
        </is>
      </c>
      <c r="D1980" s="16" t="inlineStr">
        <is>
          <t>Food, Beverages &amp; Tobacco</t>
        </is>
      </c>
      <c r="E1980" s="16" t="inlineStr">
        <is>
          <t>INE450E01029</t>
        </is>
      </c>
      <c r="F1980" s="17" t="n">
        <v>493.22</v>
      </c>
      <c r="G1980" s="18" t="n">
        <v>157.86</v>
      </c>
      <c r="H1980" s="19" t="n">
        <v>0.001</v>
      </c>
      <c r="I1980" s="20" t="n">
        <v>28</v>
      </c>
      <c r="J1980" s="16" t="inlineStr">
        <is>
          <t>red</t>
        </is>
      </c>
      <c r="K1980" s="20" t="n">
        <v>71</v>
      </c>
      <c r="L1980" s="18" t="n">
        <v>52.89</v>
      </c>
      <c r="M1980" s="18" t="n">
        <v>159.24</v>
      </c>
      <c r="N1980" s="18" t="n">
        <v>163.58</v>
      </c>
      <c r="O1980" s="18" t="n">
        <v>169.52</v>
      </c>
      <c r="P1980" s="18" t="n">
        <v>215.26</v>
      </c>
      <c r="Q1980" s="18" t="n">
        <v>139.74</v>
      </c>
      <c r="R1980" s="21">
        <f>IF(OR(G1980="",P1980=""),"",G1980/P1980-1)</f>
        <v/>
      </c>
      <c r="S1980" s="19" t="n">
        <v>0.2157</v>
      </c>
      <c r="T1980" s="22" t="n">
        <v>-0.0007000000000000001</v>
      </c>
      <c r="U1980" s="16" t="inlineStr">
        <is>
          <t>No</t>
        </is>
      </c>
      <c r="V1980" s="16" t="inlineStr">
        <is>
          <t>No</t>
        </is>
      </c>
      <c r="W1980" s="16" t="inlineStr">
        <is>
          <t>No</t>
        </is>
      </c>
      <c r="X1980" s="16" t="inlineStr">
        <is>
          <t>No</t>
        </is>
      </c>
      <c r="Y1980" s="20" t="n">
        <v>22</v>
      </c>
      <c r="Z1980" s="19" t="n">
        <v>-0.035</v>
      </c>
      <c r="AA1980" s="18" t="n">
        <v>25.91</v>
      </c>
      <c r="AB1980" s="16" t="inlineStr">
        <is>
          <t>Poor</t>
        </is>
      </c>
      <c r="AC1980" s="16" t="inlineStr">
        <is>
          <t>No</t>
        </is>
      </c>
      <c r="AD1980" s="19" t="n">
        <v>0.0735</v>
      </c>
      <c r="AE1980" s="19" t="n">
        <v>0.09789999999999999</v>
      </c>
      <c r="AF1980" s="19" t="n">
        <v>-0.2451</v>
      </c>
      <c r="AG1980" s="19" t="n">
        <v>-0.0013</v>
      </c>
      <c r="AH1980" s="23" t="n">
        <v>0.61</v>
      </c>
      <c r="AI1980" s="23" t="n">
        <v>2.66</v>
      </c>
      <c r="AJ1980" s="19" t="n">
        <v>0.0223</v>
      </c>
    </row>
    <row r="1981">
      <c r="A1981" s="16" t="inlineStr">
        <is>
          <t>OSWALAGRO</t>
        </is>
      </c>
      <c r="B1981" s="16" t="inlineStr">
        <is>
          <t>Oswal Agro Mills Ltd.</t>
        </is>
      </c>
      <c r="C1981" s="16" t="inlineStr">
        <is>
          <t>Commodity Trading  &amp; Distribution</t>
        </is>
      </c>
      <c r="D1981" s="16" t="inlineStr">
        <is>
          <t>Commercial Services &amp; Supplies</t>
        </is>
      </c>
      <c r="E1981" s="16" t="inlineStr">
        <is>
          <t>INE142A01012</t>
        </is>
      </c>
      <c r="F1981" s="17" t="n">
        <v>492.1</v>
      </c>
      <c r="G1981" s="18" t="n">
        <v>36.66</v>
      </c>
      <c r="H1981" s="19" t="n">
        <v>-0.006</v>
      </c>
      <c r="I1981" s="20" t="n">
        <v>4</v>
      </c>
      <c r="J1981" s="16" t="inlineStr">
        <is>
          <t>red</t>
        </is>
      </c>
      <c r="K1981" s="20" t="n">
        <v>211</v>
      </c>
      <c r="L1981" s="18" t="n">
        <v>38.67</v>
      </c>
      <c r="M1981" s="18" t="n">
        <v>37.02</v>
      </c>
      <c r="N1981" s="18" t="n">
        <v>38.98</v>
      </c>
      <c r="O1981" s="18" t="n">
        <v>47.12</v>
      </c>
      <c r="P1981" s="18" t="n">
        <v>79.20999999999999</v>
      </c>
      <c r="Q1981" s="18" t="n">
        <v>33.89</v>
      </c>
      <c r="R1981" s="21">
        <f>IF(OR(G1981="",P1981=""),"",G1981/P1981-1)</f>
        <v/>
      </c>
      <c r="S1981" s="19" t="n">
        <v>0.4253</v>
      </c>
      <c r="T1981" s="22" t="n">
        <v>-0.0659</v>
      </c>
      <c r="U1981" s="16" t="inlineStr">
        <is>
          <t>No</t>
        </is>
      </c>
      <c r="V1981" s="16" t="inlineStr">
        <is>
          <t>No</t>
        </is>
      </c>
      <c r="W1981" s="16" t="inlineStr">
        <is>
          <t>No</t>
        </is>
      </c>
      <c r="X1981" s="16" t="inlineStr">
        <is>
          <t>No</t>
        </is>
      </c>
      <c r="Y1981" s="20" t="n">
        <v>234</v>
      </c>
      <c r="Z1981" s="19" t="n">
        <v>-0.1729</v>
      </c>
      <c r="AA1981" s="18" t="n">
        <v>60.46</v>
      </c>
      <c r="AB1981" s="16" t="inlineStr">
        <is>
          <t>Good</t>
        </is>
      </c>
      <c r="AC1981" s="16" t="inlineStr">
        <is>
          <t>No</t>
        </is>
      </c>
      <c r="AD1981" s="19" t="n">
        <v>0.0332</v>
      </c>
      <c r="AE1981" s="19" t="n">
        <v>0.0575</v>
      </c>
      <c r="AF1981" s="19" t="n">
        <v>7.2438</v>
      </c>
      <c r="AG1981" s="19" t="n">
        <v>336.0624</v>
      </c>
      <c r="AH1981" s="23" t="n">
        <v>0</v>
      </c>
      <c r="AI1981" s="23" t="n">
        <v>5.29</v>
      </c>
      <c r="AJ1981" s="19" t="n">
        <v>0</v>
      </c>
    </row>
    <row r="1982">
      <c r="A1982" s="16" t="inlineStr">
        <is>
          <t>MUFTI</t>
        </is>
      </c>
      <c r="B1982" s="16" t="inlineStr">
        <is>
          <t>Credo Brands Marketing Ltd.</t>
        </is>
      </c>
      <c r="C1982" s="16" t="inlineStr">
        <is>
          <t>Specialty Retail</t>
        </is>
      </c>
      <c r="D1982" s="16" t="inlineStr">
        <is>
          <t>Retailing</t>
        </is>
      </c>
      <c r="E1982" s="16" t="inlineStr">
        <is>
          <t>INE220Q01020</t>
        </is>
      </c>
      <c r="F1982" s="17" t="n">
        <v>491.96</v>
      </c>
      <c r="G1982" s="18" t="n">
        <v>75.23</v>
      </c>
      <c r="H1982" s="19" t="n">
        <v>0.03240000000000001</v>
      </c>
      <c r="I1982" s="20" t="n">
        <v>10</v>
      </c>
      <c r="J1982" s="16" t="inlineStr">
        <is>
          <t>red</t>
        </is>
      </c>
      <c r="K1982" s="20" t="n">
        <v>273</v>
      </c>
      <c r="L1982" s="18" t="n">
        <v>50.01</v>
      </c>
      <c r="M1982" s="18" t="n">
        <v>74.48999999999999</v>
      </c>
      <c r="N1982" s="18" t="n">
        <v>80.01000000000001</v>
      </c>
      <c r="O1982" s="18" t="n">
        <v>84.15000000000001</v>
      </c>
      <c r="P1982" s="18" t="n">
        <v>121.89</v>
      </c>
      <c r="Q1982" s="18" t="n">
        <v>62.42</v>
      </c>
      <c r="R1982" s="21">
        <f>IF(OR(G1982="",P1982=""),"",G1982/P1982-1)</f>
        <v/>
      </c>
      <c r="S1982" s="19" t="n">
        <v>1.3064</v>
      </c>
      <c r="T1982" s="22" t="n">
        <v>-0.0348</v>
      </c>
      <c r="U1982" s="16" t="inlineStr">
        <is>
          <t>No</t>
        </is>
      </c>
      <c r="V1982" s="16" t="inlineStr">
        <is>
          <t>No</t>
        </is>
      </c>
      <c r="W1982" s="16" t="inlineStr">
        <is>
          <t>Yes</t>
        </is>
      </c>
      <c r="X1982" s="16" t="inlineStr">
        <is>
          <t>No</t>
        </is>
      </c>
      <c r="Y1982" s="20" t="n">
        <v>259</v>
      </c>
      <c r="Z1982" s="19" t="n">
        <v>-0.0492</v>
      </c>
      <c r="AA1982" s="18" t="n">
        <v>40</v>
      </c>
      <c r="AB1982" s="16" t="inlineStr">
        <is>
          <t>Weak</t>
        </is>
      </c>
      <c r="AC1982" s="16" t="inlineStr">
        <is>
          <t>No</t>
        </is>
      </c>
      <c r="AD1982" s="19" t="n">
        <v>0.1494</v>
      </c>
      <c r="AE1982" s="19" t="n">
        <v>0.1614</v>
      </c>
      <c r="AF1982" s="19" t="n">
        <v>-0.1346</v>
      </c>
      <c r="AG1982" s="19" t="n">
        <v>0.0621</v>
      </c>
      <c r="AH1982" s="23" t="n">
        <v>0.52</v>
      </c>
      <c r="AI1982" s="23" t="n">
        <v>2.15</v>
      </c>
      <c r="AJ1982" s="19" t="n">
        <v>0.0028</v>
      </c>
    </row>
    <row r="1983">
      <c r="A1983" s="16" t="inlineStr">
        <is>
          <t>APS</t>
        </is>
      </c>
      <c r="B1983" s="16" t="inlineStr">
        <is>
          <t>Australian Premium Solar (India) Ltd.</t>
        </is>
      </c>
      <c r="C1983" s="16" t="inlineStr">
        <is>
          <t>Power - Electric Utilities</t>
        </is>
      </c>
      <c r="D1983" s="16" t="inlineStr">
        <is>
          <t>Utilities</t>
        </is>
      </c>
      <c r="E1983" s="16" t="inlineStr">
        <is>
          <t>INE0P0001010</t>
        </is>
      </c>
      <c r="F1983" s="17" t="n">
        <v>491.7</v>
      </c>
      <c r="G1983" s="18" t="n">
        <v>244.75</v>
      </c>
      <c r="H1983" s="19" t="n">
        <v>-0.001</v>
      </c>
      <c r="I1983" s="20" t="n">
        <v>3</v>
      </c>
      <c r="J1983" s="16" t="inlineStr">
        <is>
          <t>red</t>
        </is>
      </c>
      <c r="K1983" s="20" t="n">
        <v>205</v>
      </c>
      <c r="L1983" s="18" t="n">
        <v>53.96</v>
      </c>
      <c r="M1983" s="18" t="n">
        <v>250.66</v>
      </c>
      <c r="N1983" s="18" t="n">
        <v>269.99</v>
      </c>
      <c r="O1983" s="18" t="n">
        <v>328.34</v>
      </c>
      <c r="P1983" s="18" t="n">
        <v>530.09</v>
      </c>
      <c r="Q1983" s="18" t="n">
        <v>233.75</v>
      </c>
      <c r="R1983" s="21">
        <f>IF(OR(G1983="",P1983=""),"",G1983/P1983-1)</f>
        <v/>
      </c>
      <c r="S1983" s="19" t="n">
        <v>0.5968</v>
      </c>
      <c r="T1983" s="22" t="n">
        <v>-0.0677</v>
      </c>
      <c r="U1983" s="16" t="inlineStr">
        <is>
          <t>No</t>
        </is>
      </c>
      <c r="V1983" s="16" t="inlineStr">
        <is>
          <t>No</t>
        </is>
      </c>
      <c r="W1983" s="16" t="inlineStr">
        <is>
          <t>No</t>
        </is>
      </c>
      <c r="X1983" s="16" t="inlineStr">
        <is>
          <t>No</t>
        </is>
      </c>
      <c r="Y1983" s="20" t="n">
        <v>199</v>
      </c>
      <c r="Z1983" s="19" t="n">
        <v>-0.1777</v>
      </c>
      <c r="AA1983" s="18" t="n"/>
      <c r="AB1983" s="16" t="n"/>
      <c r="AC1983" s="16" t="inlineStr">
        <is>
          <t>No</t>
        </is>
      </c>
      <c r="AD1983" s="19" t="n"/>
      <c r="AE1983" s="19" t="n"/>
      <c r="AF1983" s="19" t="n"/>
      <c r="AG1983" s="19" t="n"/>
      <c r="AH1983" s="23" t="n"/>
      <c r="AI1983" s="23" t="n"/>
      <c r="AJ1983" s="19" t="n"/>
    </row>
    <row r="1984">
      <c r="A1984" s="16" t="inlineStr">
        <is>
          <t>DIGILOGIC</t>
        </is>
      </c>
      <c r="B1984" s="16" t="inlineStr">
        <is>
          <t>Digilogic Systems Ltd.</t>
        </is>
      </c>
      <c r="C1984" s="16" t="inlineStr">
        <is>
          <t>Aerospace &amp; Defence</t>
        </is>
      </c>
      <c r="D1984" s="16" t="inlineStr">
        <is>
          <t>General Industrials</t>
        </is>
      </c>
      <c r="E1984" s="16" t="inlineStr">
        <is>
          <t>INE1OOT01028</t>
        </is>
      </c>
      <c r="F1984" s="17" t="n">
        <v>491.59</v>
      </c>
      <c r="G1984" s="18" t="n">
        <v>169.8</v>
      </c>
      <c r="H1984" s="19" t="n">
        <v>-0.0199</v>
      </c>
      <c r="I1984" s="20" t="n">
        <v>90</v>
      </c>
      <c r="J1984" s="16" t="inlineStr">
        <is>
          <t>green</t>
        </is>
      </c>
      <c r="K1984" s="20" t="n">
        <v>25</v>
      </c>
      <c r="L1984" s="18" t="n">
        <v>44.86</v>
      </c>
      <c r="M1984" s="18" t="n">
        <v>182.36</v>
      </c>
      <c r="N1984" s="18" t="n">
        <v>150.88</v>
      </c>
      <c r="O1984" s="18" t="n"/>
      <c r="P1984" s="18" t="n">
        <v>207.6</v>
      </c>
      <c r="Q1984" s="18" t="n">
        <v>76.75</v>
      </c>
      <c r="R1984" s="21">
        <f>IF(OR(G1984="",P1984=""),"",G1984/P1984-1)</f>
        <v/>
      </c>
      <c r="S1984" s="19" t="n">
        <v>0.1505</v>
      </c>
      <c r="T1984" s="22" t="n"/>
      <c r="U1984" s="16" t="n"/>
      <c r="V1984" s="16" t="inlineStr">
        <is>
          <t>Yes</t>
        </is>
      </c>
      <c r="W1984" s="16" t="inlineStr">
        <is>
          <t>No</t>
        </is>
      </c>
      <c r="X1984" s="16" t="n"/>
      <c r="Y1984" s="20" t="n"/>
      <c r="Z1984" s="19" t="n"/>
      <c r="AA1984" s="18" t="n"/>
      <c r="AB1984" s="16" t="n"/>
      <c r="AC1984" s="16" t="inlineStr">
        <is>
          <t>No</t>
        </is>
      </c>
      <c r="AD1984" s="19" t="n"/>
      <c r="AE1984" s="19" t="n"/>
      <c r="AF1984" s="19" t="n"/>
      <c r="AG1984" s="19" t="n"/>
      <c r="AH1984" s="23" t="n"/>
      <c r="AI1984" s="23" t="n"/>
      <c r="AJ1984" s="19" t="n"/>
    </row>
    <row r="1985">
      <c r="A1985" s="16" t="inlineStr">
        <is>
          <t>DLTNCBL</t>
        </is>
      </c>
      <c r="B1985" s="16" t="inlineStr">
        <is>
          <t>Delton Cables Ltd.</t>
        </is>
      </c>
      <c r="C1985" s="16" t="inlineStr">
        <is>
          <t>Other Electrical Equipment/Products</t>
        </is>
      </c>
      <c r="D1985" s="16" t="inlineStr">
        <is>
          <t>Consumer Durables</t>
        </is>
      </c>
      <c r="E1985" s="16" t="inlineStr">
        <is>
          <t>INE872E01016</t>
        </is>
      </c>
      <c r="F1985" s="17" t="n">
        <v>491.27</v>
      </c>
      <c r="G1985" s="18" t="n">
        <v>568.6</v>
      </c>
      <c r="H1985" s="19" t="n">
        <v>-0.0292</v>
      </c>
      <c r="I1985" s="20" t="n">
        <v>61</v>
      </c>
      <c r="J1985" s="16" t="inlineStr">
        <is>
          <t>amber</t>
        </is>
      </c>
      <c r="K1985" s="20" t="n">
        <v>7</v>
      </c>
      <c r="L1985" s="18" t="n">
        <v>37.61</v>
      </c>
      <c r="M1985" s="18" t="n">
        <v>587.22</v>
      </c>
      <c r="N1985" s="18" t="n">
        <v>485.39</v>
      </c>
      <c r="O1985" s="18" t="n">
        <v>499.12</v>
      </c>
      <c r="P1985" s="18" t="n">
        <v>799.55</v>
      </c>
      <c r="Q1985" s="18" t="n">
        <v>338.7</v>
      </c>
      <c r="R1985" s="21">
        <f>IF(OR(G1985="",P1985=""),"",G1985/P1985-1)</f>
        <v/>
      </c>
      <c r="S1985" s="19" t="n">
        <v>0.4745</v>
      </c>
      <c r="T1985" s="22" t="n">
        <v>-0.0288</v>
      </c>
      <c r="U1985" s="16" t="inlineStr">
        <is>
          <t>No</t>
        </is>
      </c>
      <c r="V1985" s="16" t="inlineStr">
        <is>
          <t>Yes</t>
        </is>
      </c>
      <c r="W1985" s="16" t="inlineStr">
        <is>
          <t>No</t>
        </is>
      </c>
      <c r="X1985" s="16" t="inlineStr">
        <is>
          <t>No</t>
        </is>
      </c>
      <c r="Y1985" s="20" t="n">
        <v>178</v>
      </c>
      <c r="Z1985" s="19" t="n">
        <v>-0.0275</v>
      </c>
      <c r="AA1985" s="18" t="n"/>
      <c r="AB1985" s="16" t="n"/>
      <c r="AC1985" s="16" t="inlineStr">
        <is>
          <t>No</t>
        </is>
      </c>
      <c r="AD1985" s="19" t="n"/>
      <c r="AE1985" s="19" t="n"/>
      <c r="AF1985" s="19" t="n"/>
      <c r="AG1985" s="19" t="n"/>
      <c r="AH1985" s="23" t="n"/>
      <c r="AI1985" s="23" t="n"/>
      <c r="AJ1985" s="19" t="n"/>
    </row>
    <row r="1986">
      <c r="A1986" s="16" t="inlineStr">
        <is>
          <t>ALBERTDAVD</t>
        </is>
      </c>
      <c r="B1986" s="16" t="inlineStr">
        <is>
          <t>Albert David Ltd.</t>
        </is>
      </c>
      <c r="C1986" s="16" t="inlineStr">
        <is>
          <t>Pharmaceuticals</t>
        </is>
      </c>
      <c r="D1986" s="16" t="inlineStr">
        <is>
          <t>Pharmaceuticals &amp; Biotechnology</t>
        </is>
      </c>
      <c r="E1986" s="16" t="inlineStr">
        <is>
          <t>INE155C01010</t>
        </is>
      </c>
      <c r="F1986" s="17" t="n">
        <v>490.96</v>
      </c>
      <c r="G1986" s="18" t="n">
        <v>860.25</v>
      </c>
      <c r="H1986" s="19" t="n">
        <v>-0.0114</v>
      </c>
      <c r="I1986" s="20" t="n">
        <v>65</v>
      </c>
      <c r="J1986" s="16" t="inlineStr">
        <is>
          <t>amber</t>
        </is>
      </c>
      <c r="K1986" s="20" t="n">
        <v>14</v>
      </c>
      <c r="L1986" s="18" t="n">
        <v>65.70999999999999</v>
      </c>
      <c r="M1986" s="18" t="n">
        <v>878.78</v>
      </c>
      <c r="N1986" s="18" t="n">
        <v>758.86</v>
      </c>
      <c r="O1986" s="18" t="n">
        <v>725.61</v>
      </c>
      <c r="P1986" s="18" t="n">
        <v>898.6</v>
      </c>
      <c r="Q1986" s="18" t="n">
        <v>582.79</v>
      </c>
      <c r="R1986" s="21">
        <f>IF(OR(G1986="",P1986=""),"",G1986/P1986-1)</f>
        <v/>
      </c>
      <c r="S1986" s="19" t="n">
        <v>0.1771</v>
      </c>
      <c r="T1986" s="22" t="n">
        <v>0.0026</v>
      </c>
      <c r="U1986" s="16" t="inlineStr">
        <is>
          <t>Yes</t>
        </is>
      </c>
      <c r="V1986" s="16" t="inlineStr">
        <is>
          <t>Yes</t>
        </is>
      </c>
      <c r="W1986" s="16" t="inlineStr">
        <is>
          <t>No</t>
        </is>
      </c>
      <c r="X1986" s="16" t="inlineStr">
        <is>
          <t>Yes</t>
        </is>
      </c>
      <c r="Y1986" s="20" t="n">
        <v>11</v>
      </c>
      <c r="Z1986" s="19" t="n">
        <v>0.0458</v>
      </c>
      <c r="AA1986" s="18" t="n"/>
      <c r="AB1986" s="16" t="n"/>
      <c r="AC1986" s="16" t="inlineStr">
        <is>
          <t>No</t>
        </is>
      </c>
      <c r="AD1986" s="19" t="n"/>
      <c r="AE1986" s="19" t="n"/>
      <c r="AF1986" s="19" t="n"/>
      <c r="AG1986" s="19" t="n"/>
      <c r="AH1986" s="23" t="n"/>
      <c r="AI1986" s="23" t="n"/>
      <c r="AJ1986" s="19" t="n"/>
    </row>
    <row r="1987">
      <c r="A1987" s="16" t="inlineStr">
        <is>
          <t>AZADIND</t>
        </is>
      </c>
      <c r="B1987" s="16" t="inlineStr">
        <is>
          <t>Azad India Mobility Ltd.</t>
        </is>
      </c>
      <c r="C1987" s="16" t="inlineStr">
        <is>
          <t>Iron &amp; Steel/Interm.Products</t>
        </is>
      </c>
      <c r="D1987" s="16" t="inlineStr">
        <is>
          <t>Metals &amp; Mining</t>
        </is>
      </c>
      <c r="E1987" s="16" t="inlineStr">
        <is>
          <t>INE566M01017</t>
        </is>
      </c>
      <c r="F1987" s="17" t="n">
        <v>490.04</v>
      </c>
      <c r="G1987" s="18" t="n">
        <v>90.01000000000001</v>
      </c>
      <c r="H1987" s="19" t="n">
        <v>0.0007000000000000001</v>
      </c>
      <c r="I1987" s="20" t="n">
        <v>8</v>
      </c>
      <c r="J1987" s="16" t="inlineStr">
        <is>
          <t>red</t>
        </is>
      </c>
      <c r="K1987" s="20" t="n">
        <v>156</v>
      </c>
      <c r="L1987" s="18" t="n">
        <v>44.18</v>
      </c>
      <c r="M1987" s="18" t="n">
        <v>90.97</v>
      </c>
      <c r="N1987" s="18" t="n">
        <v>92.27</v>
      </c>
      <c r="O1987" s="18" t="n">
        <v>106.32</v>
      </c>
      <c r="P1987" s="18" t="n">
        <v>173.55</v>
      </c>
      <c r="Q1987" s="18" t="n">
        <v>77.84</v>
      </c>
      <c r="R1987" s="21">
        <f>IF(OR(G1987="",P1987=""),"",G1987/P1987-1)</f>
        <v/>
      </c>
      <c r="S1987" s="19" t="n">
        <v>0.1183</v>
      </c>
      <c r="T1987" s="22" t="n">
        <v>-0.0617</v>
      </c>
      <c r="U1987" s="16" t="inlineStr">
        <is>
          <t>No</t>
        </is>
      </c>
      <c r="V1987" s="16" t="inlineStr">
        <is>
          <t>No</t>
        </is>
      </c>
      <c r="W1987" s="16" t="inlineStr">
        <is>
          <t>No</t>
        </is>
      </c>
      <c r="X1987" s="16" t="inlineStr">
        <is>
          <t>No</t>
        </is>
      </c>
      <c r="Y1987" s="20" t="n">
        <v>157</v>
      </c>
      <c r="Z1987" s="19" t="n">
        <v>-0.1321</v>
      </c>
      <c r="AA1987" s="18" t="n"/>
      <c r="AB1987" s="16" t="n"/>
      <c r="AC1987" s="16" t="inlineStr">
        <is>
          <t>No</t>
        </is>
      </c>
      <c r="AD1987" s="19" t="n"/>
      <c r="AE1987" s="19" t="n"/>
      <c r="AF1987" s="19" t="n"/>
      <c r="AG1987" s="19" t="n"/>
      <c r="AH1987" s="23" t="n"/>
      <c r="AI1987" s="23" t="n"/>
      <c r="AJ1987" s="19" t="n"/>
    </row>
    <row r="1988">
      <c r="A1988" s="16" t="inlineStr">
        <is>
          <t>HRS</t>
        </is>
      </c>
      <c r="B1988" s="16" t="inlineStr">
        <is>
          <t>HRS Aluglaze Ltd.</t>
        </is>
      </c>
      <c r="C1988" s="16" t="inlineStr">
        <is>
          <t>Aluminium and Aluminium Products</t>
        </is>
      </c>
      <c r="D1988" s="16" t="inlineStr">
        <is>
          <t>Metals &amp; Mining</t>
        </is>
      </c>
      <c r="E1988" s="16" t="inlineStr">
        <is>
          <t>INE1E1V01017</t>
        </is>
      </c>
      <c r="F1988" s="17" t="n">
        <v>489.67</v>
      </c>
      <c r="G1988" s="18" t="n">
        <v>253.95</v>
      </c>
      <c r="H1988" s="19" t="n">
        <v>0.0038</v>
      </c>
      <c r="I1988" s="20" t="n">
        <v>49</v>
      </c>
      <c r="J1988" s="16" t="inlineStr">
        <is>
          <t>red</t>
        </is>
      </c>
      <c r="K1988" s="20" t="n">
        <v>17</v>
      </c>
      <c r="L1988" s="18" t="n">
        <v>58.3</v>
      </c>
      <c r="M1988" s="18" t="n">
        <v>253.44</v>
      </c>
      <c r="N1988" s="18" t="n">
        <v>249.89</v>
      </c>
      <c r="O1988" s="18" t="n"/>
      <c r="P1988" s="18" t="n">
        <v>291.1</v>
      </c>
      <c r="Q1988" s="18" t="n">
        <v>132.3</v>
      </c>
      <c r="R1988" s="21">
        <f>IF(OR(G1988="",P1988=""),"",G1988/P1988-1)</f>
        <v/>
      </c>
      <c r="S1988" s="19" t="n">
        <v>0.0281</v>
      </c>
      <c r="T1988" s="22" t="n"/>
      <c r="U1988" s="16" t="n"/>
      <c r="V1988" s="16" t="inlineStr">
        <is>
          <t>Yes</t>
        </is>
      </c>
      <c r="W1988" s="16" t="inlineStr">
        <is>
          <t>Yes</t>
        </is>
      </c>
      <c r="X1988" s="16" t="n"/>
      <c r="Y1988" s="20" t="n"/>
      <c r="Z1988" s="19" t="n"/>
      <c r="AA1988" s="18" t="n"/>
      <c r="AB1988" s="16" t="n"/>
      <c r="AC1988" s="16" t="inlineStr">
        <is>
          <t>No</t>
        </is>
      </c>
      <c r="AD1988" s="19" t="n"/>
      <c r="AE1988" s="19" t="n"/>
      <c r="AF1988" s="19" t="n"/>
      <c r="AG1988" s="19" t="n"/>
      <c r="AH1988" s="23" t="n"/>
      <c r="AI1988" s="23" t="n"/>
      <c r="AJ1988" s="19" t="n"/>
    </row>
    <row r="1989">
      <c r="A1989" s="16" t="inlineStr">
        <is>
          <t>SHISHIND</t>
        </is>
      </c>
      <c r="B1989" s="16" t="inlineStr">
        <is>
          <t>Shish Industries Ltd.</t>
        </is>
      </c>
      <c r="C1989" s="16" t="inlineStr">
        <is>
          <t>Plastic Products</t>
        </is>
      </c>
      <c r="D1989" s="16" t="inlineStr">
        <is>
          <t>General Industrials</t>
        </is>
      </c>
      <c r="E1989" s="16" t="inlineStr">
        <is>
          <t>INE145Y01023</t>
        </is>
      </c>
      <c r="F1989" s="17" t="n">
        <v>489.58</v>
      </c>
      <c r="G1989" s="18" t="n">
        <v>12.9</v>
      </c>
      <c r="H1989" s="19" t="n">
        <v>0.0174</v>
      </c>
      <c r="I1989" s="20" t="n">
        <v>71</v>
      </c>
      <c r="J1989" s="16" t="inlineStr">
        <is>
          <t>amber</t>
        </is>
      </c>
      <c r="K1989" s="20" t="n">
        <v>4</v>
      </c>
      <c r="L1989" s="18" t="n">
        <v>81.48999999999999</v>
      </c>
      <c r="M1989" s="18" t="n">
        <v>11.42</v>
      </c>
      <c r="N1989" s="18" t="n">
        <v>11.63</v>
      </c>
      <c r="O1989" s="18" t="n">
        <v>12.69</v>
      </c>
      <c r="P1989" s="18" t="n">
        <v>18.77</v>
      </c>
      <c r="Q1989" s="18" t="n">
        <v>8.32</v>
      </c>
      <c r="R1989" s="21">
        <f>IF(OR(G1989="",P1989=""),"",G1989/P1989-1)</f>
        <v/>
      </c>
      <c r="S1989" s="19" t="n">
        <v>0.4982</v>
      </c>
      <c r="T1989" s="22" t="n">
        <v>0.0153</v>
      </c>
      <c r="U1989" s="16" t="inlineStr">
        <is>
          <t>Yes</t>
        </is>
      </c>
      <c r="V1989" s="16" t="inlineStr">
        <is>
          <t>Yes</t>
        </is>
      </c>
      <c r="W1989" s="16" t="inlineStr">
        <is>
          <t>Yes</t>
        </is>
      </c>
      <c r="X1989" s="16" t="inlineStr">
        <is>
          <t>No</t>
        </is>
      </c>
      <c r="Y1989" s="20" t="n">
        <v>46</v>
      </c>
      <c r="Z1989" s="19" t="n">
        <v>-0.0839</v>
      </c>
      <c r="AA1989" s="18" t="n"/>
      <c r="AB1989" s="16" t="n"/>
      <c r="AC1989" s="16" t="inlineStr">
        <is>
          <t>No</t>
        </is>
      </c>
      <c r="AD1989" s="19" t="n"/>
      <c r="AE1989" s="19" t="n"/>
      <c r="AF1989" s="19" t="n"/>
      <c r="AG1989" s="19" t="n"/>
      <c r="AH1989" s="23" t="n"/>
      <c r="AI1989" s="23" t="n"/>
      <c r="AJ1989" s="19" t="n"/>
    </row>
    <row r="1990">
      <c r="A1990" s="16" t="inlineStr">
        <is>
          <t>ENIL</t>
        </is>
      </c>
      <c r="B1990" s="16" t="inlineStr">
        <is>
          <t>Entertainment Network (India) Ltd.</t>
        </is>
      </c>
      <c r="C1990" s="16" t="inlineStr">
        <is>
          <t>Broadcasting &amp; Cable TV</t>
        </is>
      </c>
      <c r="D1990" s="16" t="inlineStr">
        <is>
          <t>Media</t>
        </is>
      </c>
      <c r="E1990" s="16" t="inlineStr">
        <is>
          <t>INE265F01028</t>
        </is>
      </c>
      <c r="F1990" s="17" t="n">
        <v>489.34</v>
      </c>
      <c r="G1990" s="18" t="n">
        <v>102.65</v>
      </c>
      <c r="H1990" s="19" t="n">
        <v>0.0305</v>
      </c>
      <c r="I1990" s="20" t="n">
        <v>13</v>
      </c>
      <c r="J1990" s="16" t="inlineStr">
        <is>
          <t>red</t>
        </is>
      </c>
      <c r="K1990" s="20" t="n">
        <v>233</v>
      </c>
      <c r="L1990" s="18" t="n">
        <v>53.99</v>
      </c>
      <c r="M1990" s="18" t="n">
        <v>102.72</v>
      </c>
      <c r="N1990" s="18" t="n">
        <v>104.83</v>
      </c>
      <c r="O1990" s="18" t="n">
        <v>110.92</v>
      </c>
      <c r="P1990" s="18" t="n">
        <v>164.76</v>
      </c>
      <c r="Q1990" s="18" t="n">
        <v>99.54000000000001</v>
      </c>
      <c r="R1990" s="21">
        <f>IF(OR(G1990="",P1990=""),"",G1990/P1990-1)</f>
        <v/>
      </c>
      <c r="S1990" s="19" t="n">
        <v>0.6462</v>
      </c>
      <c r="T1990" s="22" t="n">
        <v>-0.0291</v>
      </c>
      <c r="U1990" s="16" t="inlineStr">
        <is>
          <t>No</t>
        </is>
      </c>
      <c r="V1990" s="16" t="inlineStr">
        <is>
          <t>No</t>
        </is>
      </c>
      <c r="W1990" s="16" t="inlineStr">
        <is>
          <t>No</t>
        </is>
      </c>
      <c r="X1990" s="16" t="inlineStr">
        <is>
          <t>No</t>
        </is>
      </c>
      <c r="Y1990" s="20" t="n">
        <v>194</v>
      </c>
      <c r="Z1990" s="19" t="n">
        <v>-0.0549</v>
      </c>
      <c r="AA1990" s="18" t="n"/>
      <c r="AB1990" s="16" t="n"/>
      <c r="AC1990" s="16" t="inlineStr">
        <is>
          <t>No</t>
        </is>
      </c>
      <c r="AD1990" s="19" t="n"/>
      <c r="AE1990" s="19" t="n"/>
      <c r="AF1990" s="19" t="n"/>
      <c r="AG1990" s="19" t="n"/>
      <c r="AH1990" s="23" t="n"/>
      <c r="AI1990" s="23" t="n"/>
      <c r="AJ1990" s="19" t="n"/>
    </row>
    <row r="1991">
      <c r="A1991" s="16" t="inlineStr">
        <is>
          <t>NWIL</t>
        </is>
      </c>
      <c r="B1991" s="16" t="inlineStr">
        <is>
          <t>Nurture Well Industries Ltd.</t>
        </is>
      </c>
      <c r="C1991" s="16" t="inlineStr">
        <is>
          <t>Packaged Foods</t>
        </is>
      </c>
      <c r="D1991" s="16" t="inlineStr">
        <is>
          <t>FMCG</t>
        </is>
      </c>
      <c r="E1991" s="16" t="inlineStr">
        <is>
          <t>INE882B01037</t>
        </is>
      </c>
      <c r="F1991" s="17" t="n">
        <v>488.73</v>
      </c>
      <c r="G1991" s="18" t="n">
        <v>20.99</v>
      </c>
      <c r="H1991" s="19" t="n">
        <v>-0.0122</v>
      </c>
      <c r="I1991" s="20" t="n">
        <v>18</v>
      </c>
      <c r="J1991" s="16" t="inlineStr">
        <is>
          <t>red</t>
        </is>
      </c>
      <c r="K1991" s="20" t="n">
        <v>78</v>
      </c>
      <c r="L1991" s="18" t="n">
        <v>41.78</v>
      </c>
      <c r="M1991" s="18" t="n">
        <v>21.86</v>
      </c>
      <c r="N1991" s="18" t="n">
        <v>24.48</v>
      </c>
      <c r="O1991" s="18" t="n">
        <v>31.21</v>
      </c>
      <c r="P1991" s="18" t="n">
        <v>45.15</v>
      </c>
      <c r="Q1991" s="18" t="n">
        <v>18.2</v>
      </c>
      <c r="R1991" s="21">
        <f>IF(OR(G1991="",P1991=""),"",G1991/P1991-1)</f>
        <v/>
      </c>
      <c r="S1991" s="19" t="n">
        <v>0.8384999999999999</v>
      </c>
      <c r="T1991" s="22" t="n">
        <v>-0.0064</v>
      </c>
      <c r="U1991" s="16" t="inlineStr">
        <is>
          <t>No</t>
        </is>
      </c>
      <c r="V1991" s="16" t="inlineStr">
        <is>
          <t>No</t>
        </is>
      </c>
      <c r="W1991" s="16" t="inlineStr">
        <is>
          <t>No</t>
        </is>
      </c>
      <c r="X1991" s="16" t="inlineStr">
        <is>
          <t>No</t>
        </is>
      </c>
      <c r="Y1991" s="20" t="n">
        <v>61</v>
      </c>
      <c r="Z1991" s="19" t="n">
        <v>-0.2157</v>
      </c>
      <c r="AA1991" s="18" t="n"/>
      <c r="AB1991" s="16" t="n"/>
      <c r="AC1991" s="16" t="inlineStr">
        <is>
          <t>No</t>
        </is>
      </c>
      <c r="AD1991" s="19" t="n"/>
      <c r="AE1991" s="19" t="n"/>
      <c r="AF1991" s="19" t="n"/>
      <c r="AG1991" s="19" t="n"/>
      <c r="AH1991" s="23" t="n"/>
      <c r="AI1991" s="23" t="n"/>
      <c r="AJ1991" s="19" t="n"/>
    </row>
    <row r="1992">
      <c r="A1992" s="16" t="inlineStr">
        <is>
          <t>PLASTIBLEN</t>
        </is>
      </c>
      <c r="B1992" s="16" t="inlineStr">
        <is>
          <t>Plastiblends India Ltd.</t>
        </is>
      </c>
      <c r="C1992" s="16" t="inlineStr">
        <is>
          <t>Specialty Chemicals</t>
        </is>
      </c>
      <c r="D1992" s="16" t="inlineStr">
        <is>
          <t>Chemicals &amp; Petrochemicals</t>
        </is>
      </c>
      <c r="E1992" s="16" t="inlineStr">
        <is>
          <t>INE083C01022</t>
        </is>
      </c>
      <c r="F1992" s="17" t="n">
        <v>488.36</v>
      </c>
      <c r="G1992" s="18" t="n">
        <v>187.91</v>
      </c>
      <c r="H1992" s="19" t="n">
        <v>-0.0022</v>
      </c>
      <c r="I1992" s="20" t="n">
        <v>61</v>
      </c>
      <c r="J1992" s="16" t="inlineStr">
        <is>
          <t>amber</t>
        </is>
      </c>
      <c r="K1992" s="20" t="n">
        <v>4</v>
      </c>
      <c r="L1992" s="18" t="n">
        <v>42.54</v>
      </c>
      <c r="M1992" s="18" t="n">
        <v>187.3</v>
      </c>
      <c r="N1992" s="18" t="n">
        <v>187.63</v>
      </c>
      <c r="O1992" s="18" t="n">
        <v>163.69</v>
      </c>
      <c r="P1992" s="18" t="n">
        <v>201.43</v>
      </c>
      <c r="Q1992" s="18" t="n">
        <v>119.74</v>
      </c>
      <c r="R1992" s="21">
        <f>IF(OR(G1992="",P1992=""),"",G1992/P1992-1)</f>
        <v/>
      </c>
      <c r="S1992" s="19" t="n">
        <v>0.2783</v>
      </c>
      <c r="T1992" s="22" t="n">
        <v>0.0113</v>
      </c>
      <c r="U1992" s="16" t="inlineStr">
        <is>
          <t>Yes</t>
        </is>
      </c>
      <c r="V1992" s="16" t="inlineStr">
        <is>
          <t>Yes</t>
        </is>
      </c>
      <c r="W1992" s="16" t="inlineStr">
        <is>
          <t>Yes</t>
        </is>
      </c>
      <c r="X1992" s="16" t="inlineStr">
        <is>
          <t>Yes</t>
        </is>
      </c>
      <c r="Y1992" s="20" t="n">
        <v>59</v>
      </c>
      <c r="Z1992" s="19" t="n">
        <v>0.1462</v>
      </c>
      <c r="AA1992" s="18" t="n">
        <v>43.93</v>
      </c>
      <c r="AB1992" s="16" t="inlineStr">
        <is>
          <t>Average</t>
        </is>
      </c>
      <c r="AC1992" s="16" t="inlineStr">
        <is>
          <t>No</t>
        </is>
      </c>
      <c r="AD1992" s="19" t="n">
        <v>0.08169999999999999</v>
      </c>
      <c r="AE1992" s="19" t="n">
        <v>0.1098</v>
      </c>
      <c r="AF1992" s="19" t="n">
        <v>0.1173</v>
      </c>
      <c r="AG1992" s="19" t="n">
        <v>0.009300000000000001</v>
      </c>
      <c r="AH1992" s="23" t="n">
        <v>0.05</v>
      </c>
      <c r="AI1992" s="23" t="n">
        <v>4.29</v>
      </c>
      <c r="AJ1992" s="19" t="n">
        <v>0.0335</v>
      </c>
    </row>
    <row r="1993">
      <c r="A1993" s="16" t="inlineStr">
        <is>
          <t>CSM</t>
        </is>
      </c>
      <c r="B1993" s="16" t="inlineStr">
        <is>
          <t>CSM Technologies Ltd.</t>
        </is>
      </c>
      <c r="C1993" s="16" t="inlineStr">
        <is>
          <t>IT Consulting &amp; Software</t>
        </is>
      </c>
      <c r="D1993" s="16" t="inlineStr">
        <is>
          <t>Software &amp; Services</t>
        </is>
      </c>
      <c r="E1993" s="16" t="inlineStr">
        <is>
          <t>INE0ZK601013</t>
        </is>
      </c>
      <c r="F1993" s="17" t="n">
        <v>486.93</v>
      </c>
      <c r="G1993" s="18" t="n">
        <v>94.36</v>
      </c>
      <c r="H1993" s="19" t="n">
        <v>0.0038</v>
      </c>
      <c r="I1993" s="20" t="n"/>
      <c r="J1993" s="16" t="n"/>
      <c r="K1993" s="20" t="n"/>
      <c r="L1993" s="18" t="n">
        <v>23.48</v>
      </c>
      <c r="M1993" s="18" t="n">
        <v>95.87</v>
      </c>
      <c r="N1993" s="18" t="n"/>
      <c r="O1993" s="18" t="n"/>
      <c r="P1993" s="18" t="n">
        <v>107.35</v>
      </c>
      <c r="Q1993" s="18" t="n">
        <v>94</v>
      </c>
      <c r="R1993" s="21">
        <f>IF(OR(G1993="",P1993=""),"",G1993/P1993-1)</f>
        <v/>
      </c>
      <c r="S1993" s="19" t="n">
        <v>0.2485</v>
      </c>
      <c r="T1993" s="22" t="n"/>
      <c r="U1993" s="16" t="n"/>
      <c r="V1993" s="16" t="n"/>
      <c r="W1993" s="16" t="inlineStr">
        <is>
          <t>No</t>
        </is>
      </c>
      <c r="X1993" s="16" t="n"/>
      <c r="Y1993" s="20" t="n"/>
      <c r="Z1993" s="19" t="n"/>
      <c r="AA1993" s="18" t="n">
        <v>40</v>
      </c>
      <c r="AB1993" s="16" t="inlineStr">
        <is>
          <t>Weak</t>
        </is>
      </c>
      <c r="AC1993" s="16" t="inlineStr">
        <is>
          <t>No</t>
        </is>
      </c>
      <c r="AD1993" s="19" t="n">
        <v>0.2358</v>
      </c>
      <c r="AE1993" s="19" t="n">
        <v>0.2762</v>
      </c>
      <c r="AF1993" s="19" t="n">
        <v>-0.0425</v>
      </c>
      <c r="AG1993" s="19" t="n">
        <v>0.1195</v>
      </c>
      <c r="AH1993" s="23" t="n">
        <v>0.45</v>
      </c>
      <c r="AI1993" s="23" t="n">
        <v>3.44</v>
      </c>
      <c r="AJ1993" s="19" t="n">
        <v>0.0019</v>
      </c>
    </row>
    <row r="1994">
      <c r="A1994" s="16" t="inlineStr">
        <is>
          <t>JDCABLES</t>
        </is>
      </c>
      <c r="B1994" s="16" t="inlineStr">
        <is>
          <t>JD Cables Ltd.</t>
        </is>
      </c>
      <c r="C1994" s="16" t="inlineStr">
        <is>
          <t>Wires &amp; Cables</t>
        </is>
      </c>
      <c r="D1994" s="16" t="inlineStr">
        <is>
          <t>Consumer Durables</t>
        </is>
      </c>
      <c r="E1994" s="16" t="inlineStr">
        <is>
          <t>INE14VP01014</t>
        </is>
      </c>
      <c r="F1994" s="17" t="n">
        <v>486.2</v>
      </c>
      <c r="G1994" s="18" t="n">
        <v>215.6</v>
      </c>
      <c r="H1994" s="19" t="n">
        <v>0.0105</v>
      </c>
      <c r="I1994" s="20" t="n">
        <v>57</v>
      </c>
      <c r="J1994" s="16" t="inlineStr">
        <is>
          <t>red</t>
        </is>
      </c>
      <c r="K1994" s="20" t="n">
        <v>2</v>
      </c>
      <c r="L1994" s="18" t="n">
        <v>58.72</v>
      </c>
      <c r="M1994" s="18" t="n">
        <v>213.2</v>
      </c>
      <c r="N1994" s="18" t="n">
        <v>221.84</v>
      </c>
      <c r="O1994" s="18" t="n">
        <v>200.3</v>
      </c>
      <c r="P1994" s="18" t="n">
        <v>249.65</v>
      </c>
      <c r="Q1994" s="18" t="n">
        <v>130.9</v>
      </c>
      <c r="R1994" s="21">
        <f>IF(OR(G1994="",P1994=""),"",G1994/P1994-1)</f>
        <v/>
      </c>
      <c r="S1994" s="19" t="n">
        <v>1.4194</v>
      </c>
      <c r="T1994" s="22" t="n">
        <v>0.0306</v>
      </c>
      <c r="U1994" s="16" t="inlineStr">
        <is>
          <t>Yes</t>
        </is>
      </c>
      <c r="V1994" s="16" t="inlineStr">
        <is>
          <t>No</t>
        </is>
      </c>
      <c r="W1994" s="16" t="inlineStr">
        <is>
          <t>Yes</t>
        </is>
      </c>
      <c r="X1994" s="16" t="inlineStr">
        <is>
          <t>Yes</t>
        </is>
      </c>
      <c r="Y1994" s="20" t="n">
        <v>36</v>
      </c>
      <c r="Z1994" s="19" t="n">
        <v>0.1076</v>
      </c>
      <c r="AA1994" s="18" t="n"/>
      <c r="AB1994" s="16" t="n"/>
      <c r="AC1994" s="16" t="inlineStr">
        <is>
          <t>No</t>
        </is>
      </c>
      <c r="AD1994" s="19" t="n"/>
      <c r="AE1994" s="19" t="n"/>
      <c r="AF1994" s="19" t="n"/>
      <c r="AG1994" s="19" t="n"/>
      <c r="AH1994" s="23" t="n"/>
      <c r="AI1994" s="23" t="n"/>
      <c r="AJ1994" s="19" t="n"/>
    </row>
    <row r="1995">
      <c r="A1995" s="16" t="inlineStr">
        <is>
          <t>FILTRON</t>
        </is>
      </c>
      <c r="B1995" s="16" t="inlineStr">
        <is>
          <t>Filtron Engineers Ltd.</t>
        </is>
      </c>
      <c r="C1995" s="16" t="inlineStr">
        <is>
          <t>Commodity Trading  &amp; Distribution</t>
        </is>
      </c>
      <c r="D1995" s="16" t="inlineStr">
        <is>
          <t>Commercial Services &amp; Supplies</t>
        </is>
      </c>
      <c r="E1995" s="16" t="inlineStr">
        <is>
          <t>INE589N01017</t>
        </is>
      </c>
      <c r="F1995" s="17" t="n">
        <v>485.9</v>
      </c>
      <c r="G1995" s="18" t="n">
        <v>76.5</v>
      </c>
      <c r="H1995" s="19" t="n">
        <v>-0.0162</v>
      </c>
      <c r="I1995" s="20" t="n">
        <v>90</v>
      </c>
      <c r="J1995" s="16" t="inlineStr">
        <is>
          <t>green</t>
        </is>
      </c>
      <c r="K1995" s="20" t="n">
        <v>261</v>
      </c>
      <c r="L1995" s="18" t="n">
        <v>47.84</v>
      </c>
      <c r="M1995" s="18" t="n">
        <v>77.09999999999999</v>
      </c>
      <c r="N1995" s="18" t="n">
        <v>73.43000000000001</v>
      </c>
      <c r="O1995" s="18" t="n">
        <v>86.77</v>
      </c>
      <c r="P1995" s="18" t="n">
        <v>106.41</v>
      </c>
      <c r="Q1995" s="18" t="n">
        <v>17.92</v>
      </c>
      <c r="R1995" s="21">
        <f>IF(OR(G1995="",P1995=""),"",G1995/P1995-1)</f>
        <v/>
      </c>
      <c r="S1995" s="19" t="n">
        <v>0.0026</v>
      </c>
      <c r="T1995" s="22" t="n">
        <v>0.0411</v>
      </c>
      <c r="U1995" s="16" t="inlineStr">
        <is>
          <t>Yes</t>
        </is>
      </c>
      <c r="V1995" s="16" t="inlineStr">
        <is>
          <t>Yes</t>
        </is>
      </c>
      <c r="W1995" s="16" t="inlineStr">
        <is>
          <t>No</t>
        </is>
      </c>
      <c r="X1995" s="16" t="inlineStr">
        <is>
          <t>No</t>
        </is>
      </c>
      <c r="Y1995" s="20" t="n">
        <v>30</v>
      </c>
      <c r="Z1995" s="19" t="n">
        <v>-0.1537</v>
      </c>
      <c r="AA1995" s="18" t="n"/>
      <c r="AB1995" s="16" t="n"/>
      <c r="AC1995" s="16" t="inlineStr">
        <is>
          <t>No</t>
        </is>
      </c>
      <c r="AD1995" s="19" t="n"/>
      <c r="AE1995" s="19" t="n"/>
      <c r="AF1995" s="19" t="n"/>
      <c r="AG1995" s="19" t="n"/>
      <c r="AH1995" s="23" t="n"/>
      <c r="AI1995" s="23" t="n"/>
      <c r="AJ1995" s="19" t="n"/>
    </row>
    <row r="1996">
      <c r="A1996" s="16" t="inlineStr">
        <is>
          <t>HSIL</t>
        </is>
      </c>
      <c r="B1996" s="16" t="inlineStr">
        <is>
          <t>Hemant Surgical Industries Ltd.</t>
        </is>
      </c>
      <c r="C1996" s="16" t="inlineStr">
        <is>
          <t>Medical Equipment</t>
        </is>
      </c>
      <c r="D1996" s="16" t="inlineStr">
        <is>
          <t>Healthcare</t>
        </is>
      </c>
      <c r="E1996" s="16" t="inlineStr">
        <is>
          <t>INE0GYI01028</t>
        </is>
      </c>
      <c r="F1996" s="17" t="n">
        <v>485.48</v>
      </c>
      <c r="G1996" s="18" t="n">
        <v>372.35</v>
      </c>
      <c r="H1996" s="19" t="n">
        <v>0.01</v>
      </c>
      <c r="I1996" s="20" t="n">
        <v>66</v>
      </c>
      <c r="J1996" s="16" t="inlineStr">
        <is>
          <t>amber</t>
        </is>
      </c>
      <c r="K1996" s="20" t="n">
        <v>10</v>
      </c>
      <c r="L1996" s="18" t="n">
        <v>57.56</v>
      </c>
      <c r="M1996" s="18" t="n">
        <v>367.79</v>
      </c>
      <c r="N1996" s="18" t="n">
        <v>368.66</v>
      </c>
      <c r="O1996" s="18" t="n">
        <v>322.15</v>
      </c>
      <c r="P1996" s="18" t="n">
        <v>428.95</v>
      </c>
      <c r="Q1996" s="18" t="n">
        <v>217.5</v>
      </c>
      <c r="R1996" s="21">
        <f>IF(OR(G1996="",P1996=""),"",G1996/P1996-1)</f>
        <v/>
      </c>
      <c r="S1996" s="19" t="n">
        <v>0.3351</v>
      </c>
      <c r="T1996" s="22" t="n">
        <v>0.0235</v>
      </c>
      <c r="U1996" s="16" t="inlineStr">
        <is>
          <t>Yes</t>
        </is>
      </c>
      <c r="V1996" s="16" t="inlineStr">
        <is>
          <t>Yes</t>
        </is>
      </c>
      <c r="W1996" s="16" t="inlineStr">
        <is>
          <t>Yes</t>
        </is>
      </c>
      <c r="X1996" s="16" t="inlineStr">
        <is>
          <t>Yes</t>
        </is>
      </c>
      <c r="Y1996" s="20" t="n">
        <v>84</v>
      </c>
      <c r="Z1996" s="19" t="n">
        <v>0.1444</v>
      </c>
      <c r="AA1996" s="18" t="n"/>
      <c r="AB1996" s="16" t="n"/>
      <c r="AC1996" s="16" t="inlineStr">
        <is>
          <t>No</t>
        </is>
      </c>
      <c r="AD1996" s="19" t="n"/>
      <c r="AE1996" s="19" t="n"/>
      <c r="AF1996" s="19" t="n"/>
      <c r="AG1996" s="19" t="n"/>
      <c r="AH1996" s="23" t="n"/>
      <c r="AI1996" s="23" t="n"/>
      <c r="AJ1996" s="19" t="n"/>
    </row>
    <row r="1997">
      <c r="A1997" s="16" t="inlineStr">
        <is>
          <t>MCLEODRUSS</t>
        </is>
      </c>
      <c r="B1997" s="16" t="inlineStr">
        <is>
          <t>McLeod Russel (India) Ltd.</t>
        </is>
      </c>
      <c r="C1997" s="16" t="inlineStr">
        <is>
          <t>Tea &amp; Coffee</t>
        </is>
      </c>
      <c r="D1997" s="16" t="inlineStr">
        <is>
          <t>Food, Beverages &amp; Tobacco</t>
        </is>
      </c>
      <c r="E1997" s="16" t="inlineStr">
        <is>
          <t>INE942G01012</t>
        </is>
      </c>
      <c r="F1997" s="17" t="n">
        <v>483.63</v>
      </c>
      <c r="G1997" s="18" t="n">
        <v>46.3</v>
      </c>
      <c r="H1997" s="19" t="n">
        <v>-0.0067</v>
      </c>
      <c r="I1997" s="20" t="n">
        <v>26</v>
      </c>
      <c r="J1997" s="16" t="inlineStr">
        <is>
          <t>red</t>
        </is>
      </c>
      <c r="K1997" s="20" t="n">
        <v>30</v>
      </c>
      <c r="L1997" s="18" t="n">
        <v>55.81</v>
      </c>
      <c r="M1997" s="18" t="n">
        <v>48.32</v>
      </c>
      <c r="N1997" s="18" t="n">
        <v>51.57</v>
      </c>
      <c r="O1997" s="18" t="n">
        <v>50.72</v>
      </c>
      <c r="P1997" s="18" t="n">
        <v>78.41</v>
      </c>
      <c r="Q1997" s="18" t="n">
        <v>28.97</v>
      </c>
      <c r="R1997" s="21">
        <f>IF(OR(G1997="",P1997=""),"",G1997/P1997-1)</f>
        <v/>
      </c>
      <c r="S1997" s="19" t="n">
        <v>0.7448999999999999</v>
      </c>
      <c r="T1997" s="22" t="n">
        <v>-0.0261</v>
      </c>
      <c r="U1997" s="16" t="inlineStr">
        <is>
          <t>No</t>
        </is>
      </c>
      <c r="V1997" s="16" t="inlineStr">
        <is>
          <t>No</t>
        </is>
      </c>
      <c r="W1997" s="16" t="inlineStr">
        <is>
          <t>No</t>
        </is>
      </c>
      <c r="X1997" s="16" t="inlineStr">
        <is>
          <t>Yes</t>
        </is>
      </c>
      <c r="Y1997" s="20" t="n">
        <v>80</v>
      </c>
      <c r="Z1997" s="19" t="n">
        <v>0.0168</v>
      </c>
      <c r="AA1997" s="18" t="n">
        <v>36.61</v>
      </c>
      <c r="AB1997" s="16" t="inlineStr">
        <is>
          <t>Weak</t>
        </is>
      </c>
      <c r="AC1997" s="16" t="inlineStr">
        <is>
          <t>No</t>
        </is>
      </c>
      <c r="AD1997" s="19" t="n">
        <v>-0.7645000000000001</v>
      </c>
      <c r="AE1997" s="19" t="n">
        <v>-0.0803</v>
      </c>
      <c r="AF1997" s="19" t="n">
        <v>0.482</v>
      </c>
      <c r="AG1997" s="19" t="n">
        <v>-0.0415</v>
      </c>
      <c r="AH1997" s="23" t="n">
        <v>-29.62</v>
      </c>
      <c r="AI1997" s="23" t="n">
        <v>1.09</v>
      </c>
      <c r="AJ1997" s="19" t="n">
        <v>0.0361</v>
      </c>
    </row>
    <row r="1998">
      <c r="A1998" s="16" t="inlineStr">
        <is>
          <t>SJLOGISTIC</t>
        </is>
      </c>
      <c r="B1998" s="16" t="inlineStr">
        <is>
          <t>S J Logistics (India) Ltd.</t>
        </is>
      </c>
      <c r="C1998" s="16" t="inlineStr">
        <is>
          <t>Warehousing &amp; Logistics</t>
        </is>
      </c>
      <c r="D1998" s="16" t="inlineStr">
        <is>
          <t>Transportation</t>
        </is>
      </c>
      <c r="E1998" s="16" t="inlineStr">
        <is>
          <t>INE0F3301020</t>
        </is>
      </c>
      <c r="F1998" s="17" t="n">
        <v>482.8</v>
      </c>
      <c r="G1998" s="18" t="n">
        <v>315.7</v>
      </c>
      <c r="H1998" s="19" t="n">
        <v>0.0016</v>
      </c>
      <c r="I1998" s="20" t="n">
        <v>17</v>
      </c>
      <c r="J1998" s="16" t="inlineStr">
        <is>
          <t>red</t>
        </is>
      </c>
      <c r="K1998" s="20" t="n">
        <v>330</v>
      </c>
      <c r="L1998" s="18" t="n">
        <v>44.38</v>
      </c>
      <c r="M1998" s="18" t="n">
        <v>325.26</v>
      </c>
      <c r="N1998" s="18" t="n">
        <v>326.37</v>
      </c>
      <c r="O1998" s="18" t="n">
        <v>330.63</v>
      </c>
      <c r="P1998" s="18" t="n">
        <v>449.65</v>
      </c>
      <c r="Q1998" s="18" t="n">
        <v>230.4</v>
      </c>
      <c r="R1998" s="21">
        <f>IF(OR(G1998="",P1998=""),"",G1998/P1998-1)</f>
        <v/>
      </c>
      <c r="S1998" s="19" t="n">
        <v>0.6179</v>
      </c>
      <c r="T1998" s="22" t="n">
        <v>-0.0069</v>
      </c>
      <c r="U1998" s="16" t="inlineStr">
        <is>
          <t>No</t>
        </is>
      </c>
      <c r="V1998" s="16" t="inlineStr">
        <is>
          <t>No</t>
        </is>
      </c>
      <c r="W1998" s="16" t="inlineStr">
        <is>
          <t>No</t>
        </is>
      </c>
      <c r="X1998" s="16" t="inlineStr">
        <is>
          <t>No</t>
        </is>
      </c>
      <c r="Y1998" s="20" t="n">
        <v>19</v>
      </c>
      <c r="Z1998" s="19" t="n">
        <v>-0.0129</v>
      </c>
      <c r="AA1998" s="18" t="n"/>
      <c r="AB1998" s="16" t="n"/>
      <c r="AC1998" s="16" t="inlineStr">
        <is>
          <t>No</t>
        </is>
      </c>
      <c r="AD1998" s="19" t="n"/>
      <c r="AE1998" s="19" t="n"/>
      <c r="AF1998" s="19" t="n"/>
      <c r="AG1998" s="19" t="n"/>
      <c r="AH1998" s="23" t="n"/>
      <c r="AI1998" s="23" t="n"/>
      <c r="AJ1998" s="19" t="n"/>
    </row>
    <row r="1999">
      <c r="A1999" s="16" t="inlineStr">
        <is>
          <t>MANCREDIT</t>
        </is>
      </c>
      <c r="B1999" s="16" t="inlineStr">
        <is>
          <t>Mangal Credit And Fincorp Ltd.</t>
        </is>
      </c>
      <c r="C1999" s="16" t="inlineStr">
        <is>
          <t>Finance (including NBFCs)</t>
        </is>
      </c>
      <c r="D1999" s="16" t="inlineStr">
        <is>
          <t>Banking and Finance</t>
        </is>
      </c>
      <c r="E1999" s="16" t="inlineStr">
        <is>
          <t>INE545L01039</t>
        </is>
      </c>
      <c r="F1999" s="17" t="n">
        <v>482.1</v>
      </c>
      <c r="G1999" s="18" t="n">
        <v>228.33</v>
      </c>
      <c r="H1999" s="19" t="n">
        <v>-0.0133</v>
      </c>
      <c r="I1999" s="20" t="n">
        <v>69</v>
      </c>
      <c r="J1999" s="16" t="inlineStr">
        <is>
          <t>amber</t>
        </is>
      </c>
      <c r="K1999" s="20" t="n">
        <v>14</v>
      </c>
      <c r="L1999" s="18" t="n">
        <v>44.87</v>
      </c>
      <c r="M1999" s="18" t="n">
        <v>232.4</v>
      </c>
      <c r="N1999" s="18" t="n">
        <v>233.49</v>
      </c>
      <c r="O1999" s="18" t="n">
        <v>190.06</v>
      </c>
      <c r="P1999" s="18" t="n">
        <v>257.36</v>
      </c>
      <c r="Q1999" s="18" t="n">
        <v>157.48</v>
      </c>
      <c r="R1999" s="21">
        <f>IF(OR(G1999="",P1999=""),"",G1999/P1999-1)</f>
        <v/>
      </c>
      <c r="S1999" s="19" t="n">
        <v>0.0222</v>
      </c>
      <c r="T1999" s="22" t="n">
        <v>0.0275</v>
      </c>
      <c r="U1999" s="16" t="inlineStr">
        <is>
          <t>Yes</t>
        </is>
      </c>
      <c r="V1999" s="16" t="inlineStr">
        <is>
          <t>No</t>
        </is>
      </c>
      <c r="W1999" s="16" t="inlineStr">
        <is>
          <t>No</t>
        </is>
      </c>
      <c r="X1999" s="16" t="inlineStr">
        <is>
          <t>Yes</t>
        </is>
      </c>
      <c r="Y1999" s="20" t="n">
        <v>67</v>
      </c>
      <c r="Z1999" s="19" t="n">
        <v>0.2285</v>
      </c>
      <c r="AA1999" s="18" t="n">
        <v>34.32</v>
      </c>
      <c r="AB1999" s="16" t="inlineStr">
        <is>
          <t>Poor</t>
        </is>
      </c>
      <c r="AC1999" s="16" t="inlineStr">
        <is>
          <t>Yes</t>
        </is>
      </c>
      <c r="AD1999" s="19" t="n">
        <v>0.08810000000000001</v>
      </c>
      <c r="AE1999" s="19" t="n">
        <v>0.0521</v>
      </c>
      <c r="AF1999" s="19" t="n">
        <v>-0.1545</v>
      </c>
      <c r="AG1999" s="19" t="n">
        <v>0.4988</v>
      </c>
      <c r="AH1999" s="23" t="n">
        <v>1.92</v>
      </c>
      <c r="AI1999" s="23" t="n">
        <v>16.8</v>
      </c>
      <c r="AJ1999" s="19" t="n">
        <v>0</v>
      </c>
    </row>
    <row r="2000">
      <c r="A2000" s="16" t="inlineStr">
        <is>
          <t>IL&amp;FSENGG</t>
        </is>
      </c>
      <c r="B2000" s="16" t="inlineStr">
        <is>
          <t>IL&amp;FS Engineering &amp; Construction Company Ltd.</t>
        </is>
      </c>
      <c r="C2000" s="16" t="inlineStr">
        <is>
          <t>Construction &amp; Engineering</t>
        </is>
      </c>
      <c r="D2000" s="16" t="inlineStr">
        <is>
          <t>Cement and Construction</t>
        </is>
      </c>
      <c r="E2000" s="16" t="inlineStr">
        <is>
          <t>INE369I01014</t>
        </is>
      </c>
      <c r="F2000" s="17" t="n">
        <v>481.87</v>
      </c>
      <c r="G2000" s="18" t="n">
        <v>36.75</v>
      </c>
      <c r="H2000" s="19" t="n">
        <v>0.05</v>
      </c>
      <c r="I2000" s="20" t="n">
        <v>74</v>
      </c>
      <c r="J2000" s="16" t="inlineStr">
        <is>
          <t>amber</t>
        </is>
      </c>
      <c r="K2000" s="20" t="n">
        <v>12</v>
      </c>
      <c r="L2000" s="18" t="n">
        <v>55.23</v>
      </c>
      <c r="M2000" s="18" t="n">
        <v>35.3</v>
      </c>
      <c r="N2000" s="18" t="n">
        <v>32.85</v>
      </c>
      <c r="O2000" s="18" t="n">
        <v>28.05</v>
      </c>
      <c r="P2000" s="18" t="n">
        <v>37.57</v>
      </c>
      <c r="Q2000" s="18" t="n">
        <v>21.76</v>
      </c>
      <c r="R2000" s="21">
        <f>IF(OR(G2000="",P2000=""),"",G2000/P2000-1)</f>
        <v/>
      </c>
      <c r="S2000" s="19" t="n">
        <v>2.1434</v>
      </c>
      <c r="T2000" s="22" t="n">
        <v>0.0318</v>
      </c>
      <c r="U2000" s="16" t="inlineStr">
        <is>
          <t>Yes</t>
        </is>
      </c>
      <c r="V2000" s="16" t="inlineStr">
        <is>
          <t>Yes</t>
        </is>
      </c>
      <c r="W2000" s="16" t="inlineStr">
        <is>
          <t>Yes</t>
        </is>
      </c>
      <c r="X2000" s="16" t="inlineStr">
        <is>
          <t>Yes</t>
        </is>
      </c>
      <c r="Y2000" s="20" t="n">
        <v>63</v>
      </c>
      <c r="Z2000" s="19" t="n">
        <v>0.171</v>
      </c>
      <c r="AA2000" s="18" t="n"/>
      <c r="AB2000" s="16" t="n"/>
      <c r="AC2000" s="16" t="inlineStr">
        <is>
          <t>No</t>
        </is>
      </c>
      <c r="AD2000" s="19" t="n"/>
      <c r="AE2000" s="19" t="n"/>
      <c r="AF2000" s="19" t="n"/>
      <c r="AG2000" s="19" t="n"/>
      <c r="AH2000" s="23" t="n"/>
      <c r="AI2000" s="23" t="n"/>
      <c r="AJ2000" s="19" t="n"/>
    </row>
    <row r="2001">
      <c r="A2001" s="16" t="inlineStr">
        <is>
          <t>NILASPACES</t>
        </is>
      </c>
      <c r="B2001" s="16" t="inlineStr">
        <is>
          <t>Nila Spaces Ltd.</t>
        </is>
      </c>
      <c r="C2001" s="16" t="inlineStr">
        <is>
          <t>Realty</t>
        </is>
      </c>
      <c r="D2001" s="16" t="inlineStr">
        <is>
          <t>Realty</t>
        </is>
      </c>
      <c r="E2001" s="16" t="inlineStr">
        <is>
          <t>INE00S901012</t>
        </is>
      </c>
      <c r="F2001" s="17" t="n">
        <v>481.73</v>
      </c>
      <c r="G2001" s="18" t="n">
        <v>12.23</v>
      </c>
      <c r="H2001" s="19" t="n">
        <v>-0.004099999999999999</v>
      </c>
      <c r="I2001" s="20" t="n">
        <v>23</v>
      </c>
      <c r="J2001" s="16" t="inlineStr">
        <is>
          <t>red</t>
        </is>
      </c>
      <c r="K2001" s="20" t="n">
        <v>85</v>
      </c>
      <c r="L2001" s="18" t="n">
        <v>36.99</v>
      </c>
      <c r="M2001" s="18" t="n">
        <v>12.53</v>
      </c>
      <c r="N2001" s="18" t="n">
        <v>12.4</v>
      </c>
      <c r="O2001" s="18" t="n">
        <v>13.67</v>
      </c>
      <c r="P2001" s="18" t="n">
        <v>19.23</v>
      </c>
      <c r="Q2001" s="18" t="n">
        <v>11.56</v>
      </c>
      <c r="R2001" s="21">
        <f>IF(OR(G2001="",P2001=""),"",G2001/P2001-1)</f>
        <v/>
      </c>
      <c r="S2001" s="19" t="n">
        <v>0.6313</v>
      </c>
      <c r="T2001" s="22" t="n">
        <v>-0.0357</v>
      </c>
      <c r="U2001" s="16" t="inlineStr">
        <is>
          <t>No</t>
        </is>
      </c>
      <c r="V2001" s="16" t="inlineStr">
        <is>
          <t>No</t>
        </is>
      </c>
      <c r="W2001" s="16" t="inlineStr">
        <is>
          <t>No</t>
        </is>
      </c>
      <c r="X2001" s="16" t="inlineStr">
        <is>
          <t>No</t>
        </is>
      </c>
      <c r="Y2001" s="20" t="n">
        <v>133</v>
      </c>
      <c r="Z2001" s="19" t="n">
        <v>-0.09279999999999999</v>
      </c>
      <c r="AA2001" s="18" t="n"/>
      <c r="AB2001" s="16" t="n"/>
      <c r="AC2001" s="16" t="inlineStr">
        <is>
          <t>No</t>
        </is>
      </c>
      <c r="AD2001" s="19" t="n"/>
      <c r="AE2001" s="19" t="n"/>
      <c r="AF2001" s="19" t="n"/>
      <c r="AG2001" s="19" t="n"/>
      <c r="AH2001" s="23" t="n"/>
      <c r="AI2001" s="23" t="n"/>
      <c r="AJ2001" s="19" t="n"/>
    </row>
    <row r="2002">
      <c r="A2002" s="16" t="inlineStr">
        <is>
          <t>GOODRICKE</t>
        </is>
      </c>
      <c r="B2002" s="16" t="inlineStr">
        <is>
          <t>Goodricke Group Ltd.</t>
        </is>
      </c>
      <c r="C2002" s="16" t="inlineStr">
        <is>
          <t>Tea &amp; Coffee</t>
        </is>
      </c>
      <c r="D2002" s="16" t="inlineStr">
        <is>
          <t>Food, Beverages &amp; Tobacco</t>
        </is>
      </c>
      <c r="E2002" s="16" t="inlineStr">
        <is>
          <t>INE300A01016</t>
        </is>
      </c>
      <c r="F2002" s="17" t="n">
        <v>481.36</v>
      </c>
      <c r="G2002" s="18" t="n">
        <v>222.85</v>
      </c>
      <c r="H2002" s="19" t="n">
        <v>0.0116</v>
      </c>
      <c r="I2002" s="20" t="n">
        <v>75</v>
      </c>
      <c r="J2002" s="16" t="inlineStr">
        <is>
          <t>amber</t>
        </is>
      </c>
      <c r="K2002" s="20" t="n">
        <v>3</v>
      </c>
      <c r="L2002" s="18" t="n">
        <v>56</v>
      </c>
      <c r="M2002" s="18" t="n">
        <v>235.81</v>
      </c>
      <c r="N2002" s="18" t="n">
        <v>198.76</v>
      </c>
      <c r="O2002" s="18" t="n">
        <v>173.9</v>
      </c>
      <c r="P2002" s="18" t="n">
        <v>247.6</v>
      </c>
      <c r="Q2002" s="18" t="n">
        <v>141.62</v>
      </c>
      <c r="R2002" s="21">
        <f>IF(OR(G2002="",P2002=""),"",G2002/P2002-1)</f>
        <v/>
      </c>
      <c r="S2002" s="19" t="n">
        <v>0.4444</v>
      </c>
      <c r="T2002" s="22" t="n">
        <v>0.021</v>
      </c>
      <c r="U2002" s="16" t="inlineStr">
        <is>
          <t>Yes</t>
        </is>
      </c>
      <c r="V2002" s="16" t="inlineStr">
        <is>
          <t>Yes</t>
        </is>
      </c>
      <c r="W2002" s="16" t="inlineStr">
        <is>
          <t>No</t>
        </is>
      </c>
      <c r="X2002" s="16" t="inlineStr">
        <is>
          <t>Yes</t>
        </is>
      </c>
      <c r="Y2002" s="20" t="n">
        <v>59</v>
      </c>
      <c r="Z2002" s="19" t="n">
        <v>0.143</v>
      </c>
      <c r="AA2002" s="18" t="n"/>
      <c r="AB2002" s="16" t="n"/>
      <c r="AC2002" s="16" t="inlineStr">
        <is>
          <t>No</t>
        </is>
      </c>
      <c r="AD2002" s="19" t="n"/>
      <c r="AE2002" s="19" t="n"/>
      <c r="AF2002" s="19" t="n"/>
      <c r="AG2002" s="19" t="n"/>
      <c r="AH2002" s="23" t="n"/>
      <c r="AI2002" s="23" t="n"/>
      <c r="AJ2002" s="19" t="n"/>
    </row>
    <row r="2003">
      <c r="A2003" s="16" t="inlineStr">
        <is>
          <t>SCHAND</t>
        </is>
      </c>
      <c r="B2003" s="16" t="inlineStr">
        <is>
          <t>S Chand &amp; Company Ltd.</t>
        </is>
      </c>
      <c r="C2003" s="16" t="inlineStr">
        <is>
          <t>Publishing</t>
        </is>
      </c>
      <c r="D2003" s="16" t="inlineStr">
        <is>
          <t>Commercial Services &amp; Supplies</t>
        </is>
      </c>
      <c r="E2003" s="16" t="inlineStr">
        <is>
          <t>INE807K01035</t>
        </is>
      </c>
      <c r="F2003" s="17" t="n">
        <v>481.15</v>
      </c>
      <c r="G2003" s="18" t="n">
        <v>136.41</v>
      </c>
      <c r="H2003" s="19" t="n">
        <v>-0.0023</v>
      </c>
      <c r="I2003" s="20" t="n">
        <v>17</v>
      </c>
      <c r="J2003" s="16" t="inlineStr">
        <is>
          <t>red</t>
        </is>
      </c>
      <c r="K2003" s="20" t="n">
        <v>269</v>
      </c>
      <c r="L2003" s="18" t="n">
        <v>46.85</v>
      </c>
      <c r="M2003" s="18" t="n">
        <v>136.23</v>
      </c>
      <c r="N2003" s="18" t="n">
        <v>143.47</v>
      </c>
      <c r="O2003" s="18" t="n">
        <v>152.18</v>
      </c>
      <c r="P2003" s="18" t="n">
        <v>194.01</v>
      </c>
      <c r="Q2003" s="18" t="n">
        <v>128.3</v>
      </c>
      <c r="R2003" s="21">
        <f>IF(OR(G2003="",P2003=""),"",G2003/P2003-1)</f>
        <v/>
      </c>
      <c r="S2003" s="19" t="n">
        <v>0.31</v>
      </c>
      <c r="T2003" s="22" t="n">
        <v>-0.0221</v>
      </c>
      <c r="U2003" s="16" t="inlineStr">
        <is>
          <t>No</t>
        </is>
      </c>
      <c r="V2003" s="16" t="inlineStr">
        <is>
          <t>No</t>
        </is>
      </c>
      <c r="W2003" s="16" t="inlineStr">
        <is>
          <t>Yes</t>
        </is>
      </c>
      <c r="X2003" s="16" t="inlineStr">
        <is>
          <t>No</t>
        </is>
      </c>
      <c r="Y2003" s="20" t="n">
        <v>234</v>
      </c>
      <c r="Z2003" s="19" t="n">
        <v>-0.0572</v>
      </c>
      <c r="AA2003" s="18" t="n">
        <v>41.85</v>
      </c>
      <c r="AB2003" s="16" t="inlineStr">
        <is>
          <t>Average</t>
        </is>
      </c>
      <c r="AC2003" s="16" t="inlineStr">
        <is>
          <t>No</t>
        </is>
      </c>
      <c r="AD2003" s="19" t="n">
        <v>0.0655</v>
      </c>
      <c r="AE2003" s="19" t="n">
        <v>0.0864</v>
      </c>
      <c r="AF2003" s="19" t="n">
        <v>0.0571</v>
      </c>
      <c r="AG2003" s="19" t="n">
        <v>0.0978</v>
      </c>
      <c r="AH2003" s="23" t="n">
        <v>0.13</v>
      </c>
      <c r="AI2003" s="23" t="n">
        <v>5</v>
      </c>
      <c r="AJ2003" s="19" t="n">
        <v>0.039</v>
      </c>
    </row>
    <row r="2004">
      <c r="A2004" s="16" t="inlineStr">
        <is>
          <t>BMWVENTLTD</t>
        </is>
      </c>
      <c r="B2004" s="16" t="inlineStr">
        <is>
          <t>BMW Ventures Ltd.</t>
        </is>
      </c>
      <c r="C2004" s="16" t="inlineStr">
        <is>
          <t>Iron &amp; Steel Products</t>
        </is>
      </c>
      <c r="D2004" s="16" t="inlineStr">
        <is>
          <t>Metals &amp; Mining</t>
        </is>
      </c>
      <c r="E2004" s="16" t="inlineStr">
        <is>
          <t>INE965W01036</t>
        </is>
      </c>
      <c r="F2004" s="17" t="n">
        <v>480.05</v>
      </c>
      <c r="G2004" s="18" t="n">
        <v>55.36</v>
      </c>
      <c r="H2004" s="19" t="n">
        <v>0.0042</v>
      </c>
      <c r="I2004" s="20" t="n">
        <v>26</v>
      </c>
      <c r="J2004" s="16" t="inlineStr">
        <is>
          <t>red</t>
        </is>
      </c>
      <c r="K2004" s="20" t="n">
        <v>62</v>
      </c>
      <c r="L2004" s="18" t="n">
        <v>26.06</v>
      </c>
      <c r="M2004" s="18" t="n">
        <v>56.01</v>
      </c>
      <c r="N2004" s="18" t="n">
        <v>57.62</v>
      </c>
      <c r="O2004" s="18" t="n">
        <v>58.4</v>
      </c>
      <c r="P2004" s="18" t="n">
        <v>72.31</v>
      </c>
      <c r="Q2004" s="18" t="n">
        <v>48.67</v>
      </c>
      <c r="R2004" s="21">
        <f>IF(OR(G2004="",P2004=""),"",G2004/P2004-1)</f>
        <v/>
      </c>
      <c r="S2004" s="19" t="n">
        <v>0.5197999999999999</v>
      </c>
      <c r="T2004" s="22" t="n">
        <v>-0.0134</v>
      </c>
      <c r="U2004" s="16" t="inlineStr">
        <is>
          <t>No</t>
        </is>
      </c>
      <c r="V2004" s="16" t="inlineStr">
        <is>
          <t>No</t>
        </is>
      </c>
      <c r="W2004" s="16" t="inlineStr">
        <is>
          <t>No</t>
        </is>
      </c>
      <c r="X2004" s="16" t="inlineStr">
        <is>
          <t>No</t>
        </is>
      </c>
      <c r="Y2004" s="20" t="n">
        <v>34</v>
      </c>
      <c r="Z2004" s="19" t="n">
        <v>-0.0133</v>
      </c>
      <c r="AA2004" s="18" t="n">
        <v>42.49</v>
      </c>
      <c r="AB2004" s="16" t="inlineStr">
        <is>
          <t>Average</t>
        </is>
      </c>
      <c r="AC2004" s="16" t="inlineStr">
        <is>
          <t>No</t>
        </is>
      </c>
      <c r="AD2004" s="19" t="n">
        <v>0.1338</v>
      </c>
      <c r="AE2004" s="19" t="n">
        <v>0.1204</v>
      </c>
      <c r="AF2004" s="19" t="n">
        <v>0.1101</v>
      </c>
      <c r="AG2004" s="19" t="n">
        <v>0.0445</v>
      </c>
      <c r="AH2004" s="23" t="n">
        <v>0.58</v>
      </c>
      <c r="AI2004" s="23" t="n">
        <v>21.24</v>
      </c>
      <c r="AJ2004" s="19" t="n">
        <v>0</v>
      </c>
    </row>
    <row r="2005">
      <c r="A2005" s="16" t="inlineStr">
        <is>
          <t>DONEAR</t>
        </is>
      </c>
      <c r="B2005" s="16" t="inlineStr">
        <is>
          <t>Donear Industries Ltd.</t>
        </is>
      </c>
      <c r="C2005" s="16" t="inlineStr">
        <is>
          <t>Textiles</t>
        </is>
      </c>
      <c r="D2005" s="16" t="inlineStr">
        <is>
          <t>Textiles Apparels &amp; Accessories</t>
        </is>
      </c>
      <c r="E2005" s="16" t="inlineStr">
        <is>
          <t>INE668D01028</t>
        </is>
      </c>
      <c r="F2005" s="17" t="n">
        <v>479.7</v>
      </c>
      <c r="G2005" s="18" t="n">
        <v>92.25</v>
      </c>
      <c r="H2005" s="19" t="n">
        <v>0.0417</v>
      </c>
      <c r="I2005" s="20" t="n">
        <v>38</v>
      </c>
      <c r="J2005" s="16" t="inlineStr">
        <is>
          <t>red</t>
        </is>
      </c>
      <c r="K2005" s="20" t="n">
        <v>192</v>
      </c>
      <c r="L2005" s="18" t="n">
        <v>62.77</v>
      </c>
      <c r="M2005" s="18" t="n">
        <v>85.8</v>
      </c>
      <c r="N2005" s="18" t="n">
        <v>85.59999999999999</v>
      </c>
      <c r="O2005" s="18" t="n">
        <v>90.16</v>
      </c>
      <c r="P2005" s="18" t="n">
        <v>106.53</v>
      </c>
      <c r="Q2005" s="18" t="n">
        <v>78.72</v>
      </c>
      <c r="R2005" s="21">
        <f>IF(OR(G2005="",P2005=""),"",G2005/P2005-1)</f>
        <v/>
      </c>
      <c r="S2005" s="19" t="n">
        <v>4.6629</v>
      </c>
      <c r="T2005" s="22" t="n">
        <v>-0.0145</v>
      </c>
      <c r="U2005" s="16" t="inlineStr">
        <is>
          <t>No</t>
        </is>
      </c>
      <c r="V2005" s="16" t="inlineStr">
        <is>
          <t>Yes</t>
        </is>
      </c>
      <c r="W2005" s="16" t="inlineStr">
        <is>
          <t>Yes</t>
        </is>
      </c>
      <c r="X2005" s="16" t="inlineStr">
        <is>
          <t>No</t>
        </is>
      </c>
      <c r="Y2005" s="20" t="n">
        <v>369</v>
      </c>
      <c r="Z2005" s="19" t="n">
        <v>-0.0506</v>
      </c>
      <c r="AA2005" s="18" t="n"/>
      <c r="AB2005" s="16" t="n"/>
      <c r="AC2005" s="16" t="inlineStr">
        <is>
          <t>No</t>
        </is>
      </c>
      <c r="AD2005" s="19" t="n"/>
      <c r="AE2005" s="19" t="n"/>
      <c r="AF2005" s="19" t="n"/>
      <c r="AG2005" s="19" t="n"/>
      <c r="AH2005" s="23" t="n"/>
      <c r="AI2005" s="23" t="n"/>
      <c r="AJ2005" s="19" t="n"/>
    </row>
    <row r="2006">
      <c r="A2006" s="16" t="inlineStr">
        <is>
          <t>SIGMA</t>
        </is>
      </c>
      <c r="B2006" s="16" t="inlineStr">
        <is>
          <t>Sigma Solve Ltd.</t>
        </is>
      </c>
      <c r="C2006" s="16" t="inlineStr">
        <is>
          <t>IT Consulting &amp; Software</t>
        </is>
      </c>
      <c r="D2006" s="16" t="inlineStr">
        <is>
          <t>Software &amp; Services</t>
        </is>
      </c>
      <c r="E2006" s="16" t="inlineStr">
        <is>
          <t>INE0A0S01028</t>
        </is>
      </c>
      <c r="F2006" s="17" t="n">
        <v>479.55</v>
      </c>
      <c r="G2006" s="18" t="n">
        <v>46.66</v>
      </c>
      <c r="H2006" s="19" t="n">
        <v>-0.016</v>
      </c>
      <c r="I2006" s="20" t="n">
        <v>56</v>
      </c>
      <c r="J2006" s="16" t="inlineStr">
        <is>
          <t>red</t>
        </is>
      </c>
      <c r="K2006" s="20" t="n">
        <v>4</v>
      </c>
      <c r="L2006" s="18" t="n">
        <v>58.25</v>
      </c>
      <c r="M2006" s="18" t="n">
        <v>47.49</v>
      </c>
      <c r="N2006" s="18" t="n">
        <v>43.34</v>
      </c>
      <c r="O2006" s="18" t="n">
        <v>45.49</v>
      </c>
      <c r="P2006" s="18" t="n">
        <v>63.02</v>
      </c>
      <c r="Q2006" s="18" t="n">
        <v>36.33</v>
      </c>
      <c r="R2006" s="21">
        <f>IF(OR(G2006="",P2006=""),"",G2006/P2006-1)</f>
        <v/>
      </c>
      <c r="S2006" s="19" t="n">
        <v>0.2379</v>
      </c>
      <c r="T2006" s="22" t="n">
        <v>-0.0135</v>
      </c>
      <c r="U2006" s="16" t="inlineStr">
        <is>
          <t>No</t>
        </is>
      </c>
      <c r="V2006" s="16" t="inlineStr">
        <is>
          <t>Yes</t>
        </is>
      </c>
      <c r="W2006" s="16" t="inlineStr">
        <is>
          <t>No</t>
        </is>
      </c>
      <c r="X2006" s="16" t="inlineStr">
        <is>
          <t>No</t>
        </is>
      </c>
      <c r="Y2006" s="20" t="n">
        <v>115</v>
      </c>
      <c r="Z2006" s="19" t="n">
        <v>-0.0472</v>
      </c>
      <c r="AA2006" s="18" t="n"/>
      <c r="AB2006" s="16" t="n"/>
      <c r="AC2006" s="16" t="inlineStr">
        <is>
          <t>No</t>
        </is>
      </c>
      <c r="AD2006" s="19" t="n"/>
      <c r="AE2006" s="19" t="n"/>
      <c r="AF2006" s="19" t="n"/>
      <c r="AG2006" s="19" t="n"/>
      <c r="AH2006" s="23" t="n"/>
      <c r="AI2006" s="23" t="n"/>
      <c r="AJ2006" s="19" t="n"/>
    </row>
    <row r="2007">
      <c r="A2007" s="16" t="inlineStr">
        <is>
          <t>BIZOTIC</t>
        </is>
      </c>
      <c r="B2007" s="16" t="inlineStr">
        <is>
          <t>Bizotic Commercial Ltd.</t>
        </is>
      </c>
      <c r="C2007" s="16" t="inlineStr">
        <is>
          <t>Other Apparels &amp; Accessories</t>
        </is>
      </c>
      <c r="D2007" s="16" t="inlineStr">
        <is>
          <t>Textiles Apparels &amp; Accessories</t>
        </is>
      </c>
      <c r="E2007" s="16" t="inlineStr">
        <is>
          <t>INE0OJ401014</t>
        </is>
      </c>
      <c r="F2007" s="17" t="n">
        <v>479.07</v>
      </c>
      <c r="G2007" s="18" t="n">
        <v>82.81</v>
      </c>
      <c r="H2007" s="19" t="n">
        <v>0.0498</v>
      </c>
      <c r="I2007" s="20" t="n">
        <v>5</v>
      </c>
      <c r="J2007" s="16" t="inlineStr">
        <is>
          <t>red</t>
        </is>
      </c>
      <c r="K2007" s="20" t="n">
        <v>8</v>
      </c>
      <c r="L2007" s="18" t="n">
        <v>19.94</v>
      </c>
      <c r="M2007" s="18" t="n">
        <v>91.25</v>
      </c>
      <c r="N2007" s="18" t="n">
        <v>104.15</v>
      </c>
      <c r="O2007" s="18" t="n">
        <v>138.04</v>
      </c>
      <c r="P2007" s="18" t="n">
        <v>175.5</v>
      </c>
      <c r="Q2007" s="18" t="n">
        <v>60.68</v>
      </c>
      <c r="R2007" s="21">
        <f>IF(OR(G2007="",P2007=""),"",G2007/P2007-1)</f>
        <v/>
      </c>
      <c r="S2007" s="19" t="n">
        <v>1.7777</v>
      </c>
      <c r="T2007" s="22" t="n">
        <v>-0.0063</v>
      </c>
      <c r="U2007" s="16" t="inlineStr">
        <is>
          <t>No</t>
        </is>
      </c>
      <c r="V2007" s="16" t="inlineStr">
        <is>
          <t>No</t>
        </is>
      </c>
      <c r="W2007" s="16" t="inlineStr">
        <is>
          <t>No</t>
        </is>
      </c>
      <c r="X2007" s="16" t="inlineStr">
        <is>
          <t>No</t>
        </is>
      </c>
      <c r="Y2007" s="20" t="n">
        <v>57</v>
      </c>
      <c r="Z2007" s="19" t="n">
        <v>-0.2455</v>
      </c>
      <c r="AA2007" s="18" t="n"/>
      <c r="AB2007" s="16" t="n"/>
      <c r="AC2007" s="16" t="inlineStr">
        <is>
          <t>No</t>
        </is>
      </c>
      <c r="AD2007" s="19" t="n"/>
      <c r="AE2007" s="19" t="n"/>
      <c r="AF2007" s="19" t="n"/>
      <c r="AG2007" s="19" t="n"/>
      <c r="AH2007" s="23" t="n"/>
      <c r="AI2007" s="23" t="n"/>
      <c r="AJ2007" s="19" t="n"/>
    </row>
    <row r="2008">
      <c r="A2008" s="16" t="inlineStr">
        <is>
          <t>BRAHMINFRA</t>
        </is>
      </c>
      <c r="B2008" s="16" t="inlineStr">
        <is>
          <t>Brahmaputra Infrastructure Ltd.</t>
        </is>
      </c>
      <c r="C2008" s="16" t="inlineStr">
        <is>
          <t>Construction &amp; Engineering</t>
        </is>
      </c>
      <c r="D2008" s="16" t="inlineStr">
        <is>
          <t>Cement and Construction</t>
        </is>
      </c>
      <c r="E2008" s="16" t="inlineStr">
        <is>
          <t>INE320I01017</t>
        </is>
      </c>
      <c r="F2008" s="17" t="n">
        <v>476.63</v>
      </c>
      <c r="G2008" s="18" t="n">
        <v>164.25</v>
      </c>
      <c r="H2008" s="19" t="n">
        <v>0.0183</v>
      </c>
      <c r="I2008" s="20" t="n">
        <v>75</v>
      </c>
      <c r="J2008" s="16" t="inlineStr">
        <is>
          <t>amber</t>
        </is>
      </c>
      <c r="K2008" s="20" t="n">
        <v>13</v>
      </c>
      <c r="L2008" s="18" t="n">
        <v>44.36</v>
      </c>
      <c r="M2008" s="18" t="n">
        <v>160.33</v>
      </c>
      <c r="N2008" s="18" t="n">
        <v>167.12</v>
      </c>
      <c r="O2008" s="18" t="n">
        <v>148.93</v>
      </c>
      <c r="P2008" s="18" t="n">
        <v>194.2</v>
      </c>
      <c r="Q2008" s="18" t="n">
        <v>82.31</v>
      </c>
      <c r="R2008" s="21">
        <f>IF(OR(G2008="",P2008=""),"",G2008/P2008-1)</f>
        <v/>
      </c>
      <c r="S2008" s="19" t="n">
        <v>0.3403</v>
      </c>
      <c r="T2008" s="22" t="n">
        <v>0.0455</v>
      </c>
      <c r="U2008" s="16" t="inlineStr">
        <is>
          <t>Yes</t>
        </is>
      </c>
      <c r="V2008" s="16" t="inlineStr">
        <is>
          <t>No</t>
        </is>
      </c>
      <c r="W2008" s="16" t="inlineStr">
        <is>
          <t>Yes</t>
        </is>
      </c>
      <c r="X2008" s="16" t="inlineStr">
        <is>
          <t>Yes</t>
        </is>
      </c>
      <c r="Y2008" s="20" t="n">
        <v>304</v>
      </c>
      <c r="Z2008" s="19" t="n">
        <v>0.1222</v>
      </c>
      <c r="AA2008" s="18" t="n"/>
      <c r="AB2008" s="16" t="n"/>
      <c r="AC2008" s="16" t="inlineStr">
        <is>
          <t>No</t>
        </is>
      </c>
      <c r="AD2008" s="19" t="n"/>
      <c r="AE2008" s="19" t="n"/>
      <c r="AF2008" s="19" t="n"/>
      <c r="AG2008" s="19" t="n"/>
      <c r="AH2008" s="23" t="n"/>
      <c r="AI2008" s="23" t="n"/>
      <c r="AJ2008" s="19" t="n"/>
    </row>
    <row r="2009">
      <c r="A2009" s="16" t="inlineStr">
        <is>
          <t>UDAYJEW</t>
        </is>
      </c>
      <c r="B2009" s="16" t="inlineStr">
        <is>
          <t>Uday Jewellery Industries Ltd.</t>
        </is>
      </c>
      <c r="C2009" s="16" t="inlineStr">
        <is>
          <t>Gems &amp; Jewellery</t>
        </is>
      </c>
      <c r="D2009" s="16" t="inlineStr">
        <is>
          <t>Textiles Apparels &amp; Accessories</t>
        </is>
      </c>
      <c r="E2009" s="16" t="inlineStr">
        <is>
          <t>INE551B01012</t>
        </is>
      </c>
      <c r="F2009" s="17" t="n">
        <v>475.99</v>
      </c>
      <c r="G2009" s="18" t="n">
        <v>141.65</v>
      </c>
      <c r="H2009" s="19" t="n">
        <v>0.0216</v>
      </c>
      <c r="I2009" s="20" t="n">
        <v>26</v>
      </c>
      <c r="J2009" s="16" t="inlineStr">
        <is>
          <t>red</t>
        </is>
      </c>
      <c r="K2009" s="20" t="n">
        <v>61</v>
      </c>
      <c r="L2009" s="18" t="n">
        <v>45.14</v>
      </c>
      <c r="M2009" s="18" t="n">
        <v>138.61</v>
      </c>
      <c r="N2009" s="18" t="n">
        <v>142.76</v>
      </c>
      <c r="O2009" s="18" t="n">
        <v>142.05</v>
      </c>
      <c r="P2009" s="18" t="n">
        <v>170.15</v>
      </c>
      <c r="Q2009" s="18" t="n">
        <v>114.8</v>
      </c>
      <c r="R2009" s="21">
        <f>IF(OR(G2009="",P2009=""),"",G2009/P2009-1)</f>
        <v/>
      </c>
      <c r="S2009" s="19" t="n">
        <v>0.8079999999999999</v>
      </c>
      <c r="T2009" s="22" t="n">
        <v>-0.0153</v>
      </c>
      <c r="U2009" s="16" t="inlineStr">
        <is>
          <t>No</t>
        </is>
      </c>
      <c r="V2009" s="16" t="inlineStr">
        <is>
          <t>No</t>
        </is>
      </c>
      <c r="W2009" s="16" t="inlineStr">
        <is>
          <t>Yes</t>
        </is>
      </c>
      <c r="X2009" s="16" t="inlineStr">
        <is>
          <t>Yes</t>
        </is>
      </c>
      <c r="Y2009" s="20" t="n">
        <v>65</v>
      </c>
      <c r="Z2009" s="19" t="n">
        <v>0.005</v>
      </c>
      <c r="AA2009" s="18" t="n"/>
      <c r="AB2009" s="16" t="n"/>
      <c r="AC2009" s="16" t="inlineStr">
        <is>
          <t>No</t>
        </is>
      </c>
      <c r="AD2009" s="19" t="n"/>
      <c r="AE2009" s="19" t="n"/>
      <c r="AF2009" s="19" t="n"/>
      <c r="AG2009" s="19" t="n"/>
      <c r="AH2009" s="23" t="n"/>
      <c r="AI2009" s="23" t="n"/>
      <c r="AJ2009" s="19" t="n"/>
    </row>
    <row r="2010">
      <c r="A2010" s="16" t="inlineStr">
        <is>
          <t>RKSWAMY</t>
        </is>
      </c>
      <c r="B2010" s="16" t="inlineStr">
        <is>
          <t>R K Swamy Ltd.</t>
        </is>
      </c>
      <c r="C2010" s="16" t="inlineStr">
        <is>
          <t>Advertising &amp; Media</t>
        </is>
      </c>
      <c r="D2010" s="16" t="inlineStr">
        <is>
          <t>Media</t>
        </is>
      </c>
      <c r="E2010" s="16" t="inlineStr">
        <is>
          <t>INE0NQ801033</t>
        </is>
      </c>
      <c r="F2010" s="17" t="n">
        <v>475.75</v>
      </c>
      <c r="G2010" s="18" t="n">
        <v>94.25</v>
      </c>
      <c r="H2010" s="19" t="n">
        <v>0.0245</v>
      </c>
      <c r="I2010" s="20" t="n">
        <v>16</v>
      </c>
      <c r="J2010" s="16" t="inlineStr">
        <is>
          <t>red</t>
        </is>
      </c>
      <c r="K2010" s="20" t="n">
        <v>360</v>
      </c>
      <c r="L2010" s="18" t="n">
        <v>40</v>
      </c>
      <c r="M2010" s="18" t="n">
        <v>92.72</v>
      </c>
      <c r="N2010" s="18" t="n">
        <v>99.04000000000001</v>
      </c>
      <c r="O2010" s="18" t="n">
        <v>99.2</v>
      </c>
      <c r="P2010" s="18" t="n">
        <v>154.87</v>
      </c>
      <c r="Q2010" s="18" t="n">
        <v>67.7</v>
      </c>
      <c r="R2010" s="21">
        <f>IF(OR(G2010="",P2010=""),"",G2010/P2010-1)</f>
        <v/>
      </c>
      <c r="S2010" s="19" t="n">
        <v>0.3263</v>
      </c>
      <c r="T2010" s="22" t="n">
        <v>-0.0314</v>
      </c>
      <c r="U2010" s="16" t="inlineStr">
        <is>
          <t>No</t>
        </is>
      </c>
      <c r="V2010" s="16" t="inlineStr">
        <is>
          <t>No</t>
        </is>
      </c>
      <c r="W2010" s="16" t="inlineStr">
        <is>
          <t>Yes</t>
        </is>
      </c>
      <c r="X2010" s="16" t="inlineStr">
        <is>
          <t>No</t>
        </is>
      </c>
      <c r="Y2010" s="20" t="n">
        <v>418</v>
      </c>
      <c r="Z2010" s="19" t="n">
        <v>-0.0015</v>
      </c>
      <c r="AA2010" s="18" t="n">
        <v>40</v>
      </c>
      <c r="AB2010" s="16" t="inlineStr">
        <is>
          <t>Weak</t>
        </is>
      </c>
      <c r="AC2010" s="16" t="inlineStr">
        <is>
          <t>No</t>
        </is>
      </c>
      <c r="AD2010" s="19" t="n">
        <v>0.1077</v>
      </c>
      <c r="AE2010" s="19" t="n">
        <v>0.1429</v>
      </c>
      <c r="AF2010" s="19" t="n">
        <v>-0.3837</v>
      </c>
      <c r="AG2010" s="19" t="n">
        <v>0.0595</v>
      </c>
      <c r="AH2010" s="23" t="n">
        <v>0.16</v>
      </c>
      <c r="AI2010" s="23" t="n">
        <v>6.1</v>
      </c>
      <c r="AJ2010" s="19" t="n">
        <v>0.0036</v>
      </c>
    </row>
    <row r="2011">
      <c r="A2011" s="16" t="inlineStr">
        <is>
          <t>INDOTHAI</t>
        </is>
      </c>
      <c r="B2011" s="16" t="inlineStr">
        <is>
          <t>Indo Thai Securities Ltd.</t>
        </is>
      </c>
      <c r="C2011" s="16" t="inlineStr">
        <is>
          <t>Capital Markets</t>
        </is>
      </c>
      <c r="D2011" s="16" t="inlineStr">
        <is>
          <t>Banking and Finance</t>
        </is>
      </c>
      <c r="E2011" s="16" t="inlineStr">
        <is>
          <t>INE337M01021</t>
        </is>
      </c>
      <c r="F2011" s="17" t="n">
        <v>474.9</v>
      </c>
      <c r="G2011" s="18" t="n">
        <v>35.75</v>
      </c>
      <c r="H2011" s="19" t="n">
        <v>-0.05</v>
      </c>
      <c r="I2011" s="20" t="n">
        <v>1</v>
      </c>
      <c r="J2011" s="16" t="inlineStr">
        <is>
          <t>red</t>
        </is>
      </c>
      <c r="K2011" s="20" t="n">
        <v>71</v>
      </c>
      <c r="L2011" s="18" t="n">
        <v>0</v>
      </c>
      <c r="M2011" s="18" t="n">
        <v>43.06</v>
      </c>
      <c r="N2011" s="18" t="n">
        <v>148.45</v>
      </c>
      <c r="O2011" s="18" t="n">
        <v>252.81</v>
      </c>
      <c r="P2011" s="18" t="n">
        <v>460.4</v>
      </c>
      <c r="Q2011" s="18" t="n">
        <v>35.75</v>
      </c>
      <c r="R2011" s="21">
        <f>IF(OR(G2011="",P2011=""),"",G2011/P2011-1)</f>
        <v/>
      </c>
      <c r="S2011" s="19" t="n">
        <v>0.3377000000000001</v>
      </c>
      <c r="T2011" s="22" t="n">
        <v>-0.1169</v>
      </c>
      <c r="U2011" s="16" t="inlineStr">
        <is>
          <t>No</t>
        </is>
      </c>
      <c r="V2011" s="16" t="inlineStr">
        <is>
          <t>No</t>
        </is>
      </c>
      <c r="W2011" s="16" t="inlineStr">
        <is>
          <t>No</t>
        </is>
      </c>
      <c r="X2011" s="16" t="inlineStr">
        <is>
          <t>No</t>
        </is>
      </c>
      <c r="Y2011" s="20" t="n">
        <v>126</v>
      </c>
      <c r="Z2011" s="19" t="n">
        <v>-0.4128</v>
      </c>
      <c r="AA2011" s="18" t="n">
        <v>82.95999999999999</v>
      </c>
      <c r="AB2011" s="16" t="inlineStr">
        <is>
          <t>High</t>
        </is>
      </c>
      <c r="AC2011" s="16" t="inlineStr">
        <is>
          <t>Yes</t>
        </is>
      </c>
      <c r="AD2011" s="19" t="n">
        <v>0.1653</v>
      </c>
      <c r="AE2011" s="19" t="n">
        <v>0.1999</v>
      </c>
      <c r="AF2011" s="19" t="n">
        <v>2.9857</v>
      </c>
      <c r="AG2011" s="19" t="n">
        <v>0.929</v>
      </c>
      <c r="AH2011" s="23" t="n">
        <v>0.08</v>
      </c>
      <c r="AI2011" s="23" t="n">
        <v>3.35</v>
      </c>
      <c r="AJ2011" s="19" t="n">
        <v>0</v>
      </c>
    </row>
    <row r="2012">
      <c r="A2012" s="16" t="inlineStr">
        <is>
          <t>ELIN</t>
        </is>
      </c>
      <c r="B2012" s="16" t="inlineStr">
        <is>
          <t>Elin Electronics Ltd.</t>
        </is>
      </c>
      <c r="C2012" s="16" t="inlineStr">
        <is>
          <t>Household Appliances</t>
        </is>
      </c>
      <c r="D2012" s="16" t="inlineStr">
        <is>
          <t>Consumer Durables</t>
        </is>
      </c>
      <c r="E2012" s="16" t="inlineStr">
        <is>
          <t>INE050401020</t>
        </is>
      </c>
      <c r="F2012" s="17" t="n">
        <v>474.23</v>
      </c>
      <c r="G2012" s="18" t="n">
        <v>95.40000000000001</v>
      </c>
      <c r="H2012" s="19" t="n">
        <v>0.0015</v>
      </c>
      <c r="I2012" s="20" t="n">
        <v>4</v>
      </c>
      <c r="J2012" s="16" t="inlineStr">
        <is>
          <t>red</t>
        </is>
      </c>
      <c r="K2012" s="20" t="n">
        <v>187</v>
      </c>
      <c r="L2012" s="18" t="n">
        <v>34.7</v>
      </c>
      <c r="M2012" s="18" t="n">
        <v>98.5</v>
      </c>
      <c r="N2012" s="18" t="n">
        <v>100.65</v>
      </c>
      <c r="O2012" s="18" t="n">
        <v>126.98</v>
      </c>
      <c r="P2012" s="18" t="n">
        <v>228.92</v>
      </c>
      <c r="Q2012" s="18" t="n">
        <v>94.25</v>
      </c>
      <c r="R2012" s="21">
        <f>IF(OR(G2012="",P2012=""),"",G2012/P2012-1)</f>
        <v/>
      </c>
      <c r="S2012" s="19" t="n">
        <v>0.8056</v>
      </c>
      <c r="T2012" s="22" t="n">
        <v>-0.07539999999999999</v>
      </c>
      <c r="U2012" s="16" t="inlineStr">
        <is>
          <t>No</t>
        </is>
      </c>
      <c r="V2012" s="16" t="inlineStr">
        <is>
          <t>No</t>
        </is>
      </c>
      <c r="W2012" s="16" t="inlineStr">
        <is>
          <t>No</t>
        </is>
      </c>
      <c r="X2012" s="16" t="inlineStr">
        <is>
          <t>No</t>
        </is>
      </c>
      <c r="Y2012" s="20" t="n">
        <v>163</v>
      </c>
      <c r="Z2012" s="19" t="n">
        <v>-0.2074</v>
      </c>
      <c r="AA2012" s="18" t="n"/>
      <c r="AB2012" s="16" t="n"/>
      <c r="AC2012" s="16" t="inlineStr">
        <is>
          <t>No</t>
        </is>
      </c>
      <c r="AD2012" s="19" t="n"/>
      <c r="AE2012" s="19" t="n"/>
      <c r="AF2012" s="19" t="n"/>
      <c r="AG2012" s="19" t="n"/>
      <c r="AH2012" s="23" t="n"/>
      <c r="AI2012" s="23" t="n"/>
      <c r="AJ2012" s="19" t="n"/>
    </row>
    <row r="2013">
      <c r="A2013" s="16" t="inlineStr">
        <is>
          <t>PPARIVAH</t>
        </is>
      </c>
      <c r="B2013" s="16" t="inlineStr">
        <is>
          <t>Paradeep Parivahan Ltd.</t>
        </is>
      </c>
      <c r="C2013" s="16" t="inlineStr">
        <is>
          <t>Warehousing &amp; Logistics</t>
        </is>
      </c>
      <c r="D2013" s="16" t="inlineStr">
        <is>
          <t>Commercial Services &amp; Supplies</t>
        </is>
      </c>
      <c r="E2013" s="16" t="inlineStr">
        <is>
          <t>INE0SMW01011</t>
        </is>
      </c>
      <c r="F2013" s="17" t="n">
        <v>473.4</v>
      </c>
      <c r="G2013" s="18" t="n">
        <v>297.4</v>
      </c>
      <c r="H2013" s="19" t="n">
        <v>0.0362</v>
      </c>
      <c r="I2013" s="20" t="n">
        <v>94</v>
      </c>
      <c r="J2013" s="16" t="inlineStr">
        <is>
          <t>green</t>
        </is>
      </c>
      <c r="K2013" s="20" t="n">
        <v>57</v>
      </c>
      <c r="L2013" s="18" t="n">
        <v>72.20999999999999</v>
      </c>
      <c r="M2013" s="18" t="n">
        <v>284.33</v>
      </c>
      <c r="N2013" s="18" t="n">
        <v>246.38</v>
      </c>
      <c r="O2013" s="18" t="n">
        <v>182.48</v>
      </c>
      <c r="P2013" s="18" t="n">
        <v>297.4</v>
      </c>
      <c r="Q2013" s="18" t="n">
        <v>125.2</v>
      </c>
      <c r="R2013" s="21">
        <f>IF(OR(G2013="",P2013=""),"",G2013/P2013-1)</f>
        <v/>
      </c>
      <c r="S2013" s="19" t="n">
        <v>0.8645999999999999</v>
      </c>
      <c r="T2013" s="22" t="n">
        <v>0.07440000000000001</v>
      </c>
      <c r="U2013" s="16" t="inlineStr">
        <is>
          <t>Yes</t>
        </is>
      </c>
      <c r="V2013" s="16" t="inlineStr">
        <is>
          <t>Yes</t>
        </is>
      </c>
      <c r="W2013" s="16" t="inlineStr">
        <is>
          <t>Yes</t>
        </is>
      </c>
      <c r="X2013" s="16" t="inlineStr">
        <is>
          <t>Yes</t>
        </is>
      </c>
      <c r="Y2013" s="20" t="n">
        <v>162</v>
      </c>
      <c r="Z2013" s="19" t="n">
        <v>0.3502</v>
      </c>
      <c r="AA2013" s="18" t="n"/>
      <c r="AB2013" s="16" t="n"/>
      <c r="AC2013" s="16" t="inlineStr">
        <is>
          <t>No</t>
        </is>
      </c>
      <c r="AD2013" s="19" t="n"/>
      <c r="AE2013" s="19" t="n"/>
      <c r="AF2013" s="19" t="n"/>
      <c r="AG2013" s="19" t="n"/>
      <c r="AH2013" s="23" t="n"/>
      <c r="AI2013" s="23" t="n"/>
      <c r="AJ2013" s="19" t="n"/>
    </row>
    <row r="2014">
      <c r="A2014" s="16" t="inlineStr">
        <is>
          <t>SINGERIND</t>
        </is>
      </c>
      <c r="B2014" s="16" t="inlineStr">
        <is>
          <t>Singer India Ltd.</t>
        </is>
      </c>
      <c r="C2014" s="16" t="inlineStr">
        <is>
          <t>Household Appliances</t>
        </is>
      </c>
      <c r="D2014" s="16" t="inlineStr">
        <is>
          <t>Consumer Durables</t>
        </is>
      </c>
      <c r="E2014" s="16" t="inlineStr">
        <is>
          <t>INE638A01035</t>
        </is>
      </c>
      <c r="F2014" s="17" t="n">
        <v>473.27</v>
      </c>
      <c r="G2014" s="18" t="n">
        <v>76.76000000000001</v>
      </c>
      <c r="H2014" s="19" t="n">
        <v>0.0014</v>
      </c>
      <c r="I2014" s="20" t="n">
        <v>51</v>
      </c>
      <c r="J2014" s="16" t="inlineStr">
        <is>
          <t>red</t>
        </is>
      </c>
      <c r="K2014" s="20" t="n">
        <v>10</v>
      </c>
      <c r="L2014" s="18" t="n">
        <v>40.08</v>
      </c>
      <c r="M2014" s="18" t="n">
        <v>76.67</v>
      </c>
      <c r="N2014" s="18" t="n">
        <v>71.92</v>
      </c>
      <c r="O2014" s="18" t="n">
        <v>70.29000000000001</v>
      </c>
      <c r="P2014" s="18" t="n">
        <v>91.54000000000001</v>
      </c>
      <c r="Q2014" s="18" t="n">
        <v>55.97</v>
      </c>
      <c r="R2014" s="21">
        <f>IF(OR(G2014="",P2014=""),"",G2014/P2014-1)</f>
        <v/>
      </c>
      <c r="S2014" s="19" t="n">
        <v>0.7539</v>
      </c>
      <c r="T2014" s="22" t="n">
        <v>0.002</v>
      </c>
      <c r="U2014" s="16" t="inlineStr">
        <is>
          <t>Yes</t>
        </is>
      </c>
      <c r="V2014" s="16" t="inlineStr">
        <is>
          <t>Yes</t>
        </is>
      </c>
      <c r="W2014" s="16" t="inlineStr">
        <is>
          <t>Yes</t>
        </is>
      </c>
      <c r="X2014" s="16" t="inlineStr">
        <is>
          <t>Yes</t>
        </is>
      </c>
      <c r="Y2014" s="20" t="n">
        <v>12</v>
      </c>
      <c r="Z2014" s="19" t="n">
        <v>0.0231</v>
      </c>
      <c r="AA2014" s="18" t="n"/>
      <c r="AB2014" s="16" t="n"/>
      <c r="AC2014" s="16" t="inlineStr">
        <is>
          <t>No</t>
        </is>
      </c>
      <c r="AD2014" s="19" t="n"/>
      <c r="AE2014" s="19" t="n"/>
      <c r="AF2014" s="19" t="n"/>
      <c r="AG2014" s="19" t="n"/>
      <c r="AH2014" s="23" t="n"/>
      <c r="AI2014" s="23" t="n"/>
      <c r="AJ2014" s="19" t="n"/>
    </row>
    <row r="2015">
      <c r="A2015" s="16" t="inlineStr">
        <is>
          <t>DISHTV</t>
        </is>
      </c>
      <c r="B2015" s="16" t="inlineStr">
        <is>
          <t>Dish TV India Ltd.</t>
        </is>
      </c>
      <c r="C2015" s="16" t="inlineStr">
        <is>
          <t>Broadcasting &amp; Cable TV</t>
        </is>
      </c>
      <c r="D2015" s="16" t="inlineStr">
        <is>
          <t>Media</t>
        </is>
      </c>
      <c r="E2015" s="16" t="inlineStr">
        <is>
          <t>INE836F01026</t>
        </is>
      </c>
      <c r="F2015" s="17" t="n">
        <v>473.2</v>
      </c>
      <c r="G2015" s="18" t="n">
        <v>2.57</v>
      </c>
      <c r="H2015" s="19" t="n">
        <v>-0.0153</v>
      </c>
      <c r="I2015" s="20" t="n">
        <v>6</v>
      </c>
      <c r="J2015" s="16" t="inlineStr">
        <is>
          <t>red</t>
        </is>
      </c>
      <c r="K2015" s="20" t="n">
        <v>501</v>
      </c>
      <c r="L2015" s="18" t="n">
        <v>26</v>
      </c>
      <c r="M2015" s="18" t="n">
        <v>2.69</v>
      </c>
      <c r="N2015" s="18" t="n">
        <v>2.85</v>
      </c>
      <c r="O2015" s="18" t="n">
        <v>3.26</v>
      </c>
      <c r="P2015" s="18" t="n">
        <v>5.75</v>
      </c>
      <c r="Q2015" s="18" t="n">
        <v>1.84</v>
      </c>
      <c r="R2015" s="21">
        <f>IF(OR(G2015="",P2015=""),"",G2015/P2015-1)</f>
        <v/>
      </c>
      <c r="S2015" s="19" t="n">
        <v>2.1695</v>
      </c>
      <c r="T2015" s="22" t="n">
        <v>-0.0488</v>
      </c>
      <c r="U2015" s="16" t="inlineStr">
        <is>
          <t>No</t>
        </is>
      </c>
      <c r="V2015" s="16" t="inlineStr">
        <is>
          <t>No</t>
        </is>
      </c>
      <c r="W2015" s="16" t="inlineStr">
        <is>
          <t>No</t>
        </is>
      </c>
      <c r="X2015" s="16" t="inlineStr">
        <is>
          <t>No</t>
        </is>
      </c>
      <c r="Y2015" s="20" t="n">
        <v>585</v>
      </c>
      <c r="Z2015" s="19" t="n">
        <v>-0.1249</v>
      </c>
      <c r="AA2015" s="18" t="n">
        <v>40</v>
      </c>
      <c r="AB2015" s="16" t="inlineStr">
        <is>
          <t>Weak</t>
        </is>
      </c>
      <c r="AC2015" s="16" t="inlineStr">
        <is>
          <t>No</t>
        </is>
      </c>
      <c r="AD2015" s="19" t="n">
        <v>0.3545</v>
      </c>
      <c r="AE2015" s="19" t="n">
        <v>0.07969999999999999</v>
      </c>
      <c r="AF2015" s="19" t="n">
        <v>-0.0252</v>
      </c>
      <c r="AG2015" s="19" t="n">
        <v>-0.1945</v>
      </c>
      <c r="AH2015" s="23" t="n">
        <v>0</v>
      </c>
      <c r="AI2015" s="23" t="n">
        <v>1.15</v>
      </c>
      <c r="AJ2015" s="19" t="n">
        <v>0.142</v>
      </c>
    </row>
    <row r="2016">
      <c r="A2016" s="16" t="inlineStr">
        <is>
          <t>SHIVACEM</t>
        </is>
      </c>
      <c r="B2016" s="16" t="inlineStr">
        <is>
          <t>Shiva Cement Ltd.</t>
        </is>
      </c>
      <c r="C2016" s="16" t="inlineStr">
        <is>
          <t>Cement &amp; Cement Products</t>
        </is>
      </c>
      <c r="D2016" s="16" t="inlineStr">
        <is>
          <t>Cement and Construction</t>
        </is>
      </c>
      <c r="E2016" s="16" t="inlineStr">
        <is>
          <t>INE555C01029</t>
        </is>
      </c>
      <c r="F2016" s="17" t="n">
        <v>472.59</v>
      </c>
      <c r="G2016" s="18" t="n">
        <v>16.02</v>
      </c>
      <c r="H2016" s="19" t="n">
        <v>0.0133</v>
      </c>
      <c r="I2016" s="20" t="n">
        <v>7</v>
      </c>
      <c r="J2016" s="16" t="inlineStr">
        <is>
          <t>red</t>
        </is>
      </c>
      <c r="K2016" s="20" t="n">
        <v>268</v>
      </c>
      <c r="L2016" s="18" t="n">
        <v>32.34</v>
      </c>
      <c r="M2016" s="18" t="n">
        <v>16.18</v>
      </c>
      <c r="N2016" s="18" t="n">
        <v>16.88</v>
      </c>
      <c r="O2016" s="18" t="n">
        <v>19</v>
      </c>
      <c r="P2016" s="18" t="n">
        <v>30.76</v>
      </c>
      <c r="Q2016" s="18" t="n">
        <v>13.16</v>
      </c>
      <c r="R2016" s="21">
        <f>IF(OR(G2016="",P2016=""),"",G2016/P2016-1)</f>
        <v/>
      </c>
      <c r="S2016" s="19" t="n">
        <v>1.0351</v>
      </c>
      <c r="T2016" s="22" t="n">
        <v>-0.0449</v>
      </c>
      <c r="U2016" s="16" t="inlineStr">
        <is>
          <t>No</t>
        </is>
      </c>
      <c r="V2016" s="16" t="inlineStr">
        <is>
          <t>No</t>
        </is>
      </c>
      <c r="W2016" s="16" t="inlineStr">
        <is>
          <t>No</t>
        </is>
      </c>
      <c r="X2016" s="16" t="inlineStr">
        <is>
          <t>No</t>
        </is>
      </c>
      <c r="Y2016" s="20" t="n">
        <v>238</v>
      </c>
      <c r="Z2016" s="19" t="n">
        <v>-0.1118</v>
      </c>
      <c r="AA2016" s="18" t="n"/>
      <c r="AB2016" s="16" t="n"/>
      <c r="AC2016" s="16" t="inlineStr">
        <is>
          <t>No</t>
        </is>
      </c>
      <c r="AD2016" s="19" t="n"/>
      <c r="AE2016" s="19" t="n"/>
      <c r="AF2016" s="19" t="n"/>
      <c r="AG2016" s="19" t="n"/>
      <c r="AH2016" s="23" t="n"/>
      <c r="AI2016" s="23" t="n"/>
      <c r="AJ2016" s="19" t="n"/>
    </row>
    <row r="2017">
      <c r="A2017" s="16" t="inlineStr">
        <is>
          <t>BBTCL</t>
        </is>
      </c>
      <c r="B2017" s="16" t="inlineStr">
        <is>
          <t>B&amp;B Triplewall Containers Ltd.</t>
        </is>
      </c>
      <c r="C2017" s="16" t="inlineStr">
        <is>
          <t>Containers &amp; Packaging</t>
        </is>
      </c>
      <c r="D2017" s="16" t="inlineStr">
        <is>
          <t>Commercial Services &amp; Supplies</t>
        </is>
      </c>
      <c r="E2017" s="16" t="inlineStr">
        <is>
          <t>INE01EE01011</t>
        </is>
      </c>
      <c r="F2017" s="17" t="n">
        <v>472.21</v>
      </c>
      <c r="G2017" s="18" t="n">
        <v>230.22</v>
      </c>
      <c r="H2017" s="19" t="n">
        <v>-0.0152</v>
      </c>
      <c r="I2017" s="20" t="n">
        <v>59</v>
      </c>
      <c r="J2017" s="16" t="inlineStr">
        <is>
          <t>red</t>
        </is>
      </c>
      <c r="K2017" s="20" t="n">
        <v>1</v>
      </c>
      <c r="L2017" s="18" t="n">
        <v>47.72</v>
      </c>
      <c r="M2017" s="18" t="n">
        <v>229.47</v>
      </c>
      <c r="N2017" s="18" t="n">
        <v>224.62</v>
      </c>
      <c r="O2017" s="18" t="n">
        <v>201.21</v>
      </c>
      <c r="P2017" s="18" t="n">
        <v>248.14</v>
      </c>
      <c r="Q2017" s="18" t="n">
        <v>159.75</v>
      </c>
      <c r="R2017" s="21">
        <f>IF(OR(G2017="",P2017=""),"",G2017/P2017-1)</f>
        <v/>
      </c>
      <c r="S2017" s="19" t="n">
        <v>0.1701</v>
      </c>
      <c r="T2017" s="22" t="n">
        <v>0.0181</v>
      </c>
      <c r="U2017" s="16" t="inlineStr">
        <is>
          <t>Yes</t>
        </is>
      </c>
      <c r="V2017" s="16" t="inlineStr">
        <is>
          <t>Yes</t>
        </is>
      </c>
      <c r="W2017" s="16" t="inlineStr">
        <is>
          <t>Yes</t>
        </is>
      </c>
      <c r="X2017" s="16" t="inlineStr">
        <is>
          <t>Yes</t>
        </is>
      </c>
      <c r="Y2017" s="20" t="n">
        <v>66</v>
      </c>
      <c r="Z2017" s="19" t="n">
        <v>0.1164</v>
      </c>
      <c r="AA2017" s="18" t="n"/>
      <c r="AB2017" s="16" t="n"/>
      <c r="AC2017" s="16" t="inlineStr">
        <is>
          <t>No</t>
        </is>
      </c>
      <c r="AD2017" s="19" t="n"/>
      <c r="AE2017" s="19" t="n"/>
      <c r="AF2017" s="19" t="n"/>
      <c r="AG2017" s="19" t="n"/>
      <c r="AH2017" s="23" t="n"/>
      <c r="AI2017" s="23" t="n"/>
      <c r="AJ2017" s="19" t="n"/>
    </row>
    <row r="2018">
      <c r="A2018" s="16" t="inlineStr">
        <is>
          <t>RUSHIL</t>
        </is>
      </c>
      <c r="B2018" s="16" t="inlineStr">
        <is>
          <t>Rushil Decor Ltd.</t>
        </is>
      </c>
      <c r="C2018" s="16" t="inlineStr">
        <is>
          <t>Forest Products</t>
        </is>
      </c>
      <c r="D2018" s="16" t="inlineStr">
        <is>
          <t>Forest Materials</t>
        </is>
      </c>
      <c r="E2018" s="16" t="inlineStr">
        <is>
          <t>INE573K01025</t>
        </is>
      </c>
      <c r="F2018" s="17" t="n">
        <v>469.76</v>
      </c>
      <c r="G2018" s="18" t="n">
        <v>16.01</v>
      </c>
      <c r="H2018" s="19" t="n">
        <v>-0.0105</v>
      </c>
      <c r="I2018" s="20" t="n">
        <v>16</v>
      </c>
      <c r="J2018" s="16" t="inlineStr">
        <is>
          <t>red</t>
        </is>
      </c>
      <c r="K2018" s="20" t="n">
        <v>232</v>
      </c>
      <c r="L2018" s="18" t="n">
        <v>37.38</v>
      </c>
      <c r="M2018" s="18" t="n">
        <v>16.37</v>
      </c>
      <c r="N2018" s="18" t="n">
        <v>16.76</v>
      </c>
      <c r="O2018" s="18" t="n">
        <v>18.15</v>
      </c>
      <c r="P2018" s="18" t="n">
        <v>33.17</v>
      </c>
      <c r="Q2018" s="18" t="n">
        <v>12.83</v>
      </c>
      <c r="R2018" s="21">
        <f>IF(OR(G2018="",P2018=""),"",G2018/P2018-1)</f>
        <v/>
      </c>
      <c r="S2018" s="19" t="n">
        <v>0.3240999999999999</v>
      </c>
      <c r="T2018" s="22" t="n">
        <v>-0.047</v>
      </c>
      <c r="U2018" s="16" t="inlineStr">
        <is>
          <t>No</t>
        </is>
      </c>
      <c r="V2018" s="16" t="inlineStr">
        <is>
          <t>No</t>
        </is>
      </c>
      <c r="W2018" s="16" t="inlineStr">
        <is>
          <t>No</t>
        </is>
      </c>
      <c r="X2018" s="16" t="inlineStr">
        <is>
          <t>No</t>
        </is>
      </c>
      <c r="Y2018" s="20" t="n">
        <v>189</v>
      </c>
      <c r="Z2018" s="19" t="n">
        <v>-0.07629999999999999</v>
      </c>
      <c r="AA2018" s="18" t="n">
        <v>22.78</v>
      </c>
      <c r="AB2018" s="16" t="inlineStr">
        <is>
          <t>Poor</t>
        </is>
      </c>
      <c r="AC2018" s="16" t="inlineStr">
        <is>
          <t>No</t>
        </is>
      </c>
      <c r="AD2018" s="19" t="n">
        <v>0.0552</v>
      </c>
      <c r="AE2018" s="19" t="n">
        <v>0.0843</v>
      </c>
      <c r="AF2018" s="19" t="n">
        <v>-0.4624</v>
      </c>
      <c r="AG2018" s="19" t="n">
        <v>0.0151</v>
      </c>
      <c r="AH2018" s="23" t="n">
        <v>0.4</v>
      </c>
      <c r="AI2018" s="23" t="n">
        <v>1.17</v>
      </c>
      <c r="AJ2018" s="19" t="n">
        <v>0.0145</v>
      </c>
    </row>
    <row r="2019">
      <c r="A2019" s="16" t="inlineStr">
        <is>
          <t>MGEL</t>
        </is>
      </c>
      <c r="B2019" s="16" t="inlineStr">
        <is>
          <t>Mangalam Global Enterprise Ltd.</t>
        </is>
      </c>
      <c r="C2019" s="16" t="inlineStr">
        <is>
          <t>Other Agricultural Products</t>
        </is>
      </c>
      <c r="D2019" s="16" t="inlineStr">
        <is>
          <t>Food, Beverages &amp; Tobacco</t>
        </is>
      </c>
      <c r="E2019" s="16" t="inlineStr">
        <is>
          <t>INE0APB01032</t>
        </is>
      </c>
      <c r="F2019" s="17" t="n">
        <v>469.29</v>
      </c>
      <c r="G2019" s="18" t="n">
        <v>14.24</v>
      </c>
      <c r="H2019" s="19" t="n">
        <v>-0.0111</v>
      </c>
      <c r="I2019" s="20" t="n">
        <v>39</v>
      </c>
      <c r="J2019" s="16" t="inlineStr">
        <is>
          <t>red</t>
        </is>
      </c>
      <c r="K2019" s="20" t="n">
        <v>25</v>
      </c>
      <c r="L2019" s="18" t="n">
        <v>40.09</v>
      </c>
      <c r="M2019" s="18" t="n">
        <v>14.36</v>
      </c>
      <c r="N2019" s="18" t="n">
        <v>15.53</v>
      </c>
      <c r="O2019" s="18" t="n">
        <v>13.88</v>
      </c>
      <c r="P2019" s="18" t="n">
        <v>17.98</v>
      </c>
      <c r="Q2019" s="18" t="n">
        <v>9.77</v>
      </c>
      <c r="R2019" s="21">
        <f>IF(OR(G2019="",P2019=""),"",G2019/P2019-1)</f>
        <v/>
      </c>
      <c r="S2019" s="19" t="n">
        <v>0.9942</v>
      </c>
      <c r="T2019" s="22" t="n">
        <v>0</v>
      </c>
      <c r="U2019" s="16" t="inlineStr">
        <is>
          <t>No</t>
        </is>
      </c>
      <c r="V2019" s="16" t="inlineStr">
        <is>
          <t>No</t>
        </is>
      </c>
      <c r="W2019" s="16" t="inlineStr">
        <is>
          <t>No</t>
        </is>
      </c>
      <c r="X2019" s="16" t="inlineStr">
        <is>
          <t>Yes</t>
        </is>
      </c>
      <c r="Y2019" s="20" t="n">
        <v>60</v>
      </c>
      <c r="Z2019" s="19" t="n">
        <v>0.1193</v>
      </c>
      <c r="AA2019" s="18" t="n"/>
      <c r="AB2019" s="16" t="n"/>
      <c r="AC2019" s="16" t="inlineStr">
        <is>
          <t>No</t>
        </is>
      </c>
      <c r="AD2019" s="19" t="n"/>
      <c r="AE2019" s="19" t="n"/>
      <c r="AF2019" s="19" t="n"/>
      <c r="AG2019" s="19" t="n"/>
      <c r="AH2019" s="23" t="n"/>
      <c r="AI2019" s="23" t="n"/>
      <c r="AJ2019" s="19" t="n"/>
    </row>
    <row r="2020">
      <c r="A2020" s="16" t="inlineStr">
        <is>
          <t>BEMHY</t>
        </is>
      </c>
      <c r="B2020" s="16" t="inlineStr">
        <is>
          <t>Bemco Hydraulics Ltd.</t>
        </is>
      </c>
      <c r="C2020" s="16" t="inlineStr">
        <is>
          <t>Other Industrial Goods</t>
        </is>
      </c>
      <c r="D2020" s="16" t="inlineStr">
        <is>
          <t>General Industrials</t>
        </is>
      </c>
      <c r="E2020" s="16" t="inlineStr">
        <is>
          <t>INE142E01022</t>
        </is>
      </c>
      <c r="F2020" s="17" t="n">
        <v>469.05</v>
      </c>
      <c r="G2020" s="18" t="n">
        <v>107.25</v>
      </c>
      <c r="H2020" s="19" t="n">
        <v>-0.0165</v>
      </c>
      <c r="I2020" s="20" t="n">
        <v>56</v>
      </c>
      <c r="J2020" s="16" t="inlineStr">
        <is>
          <t>red</t>
        </is>
      </c>
      <c r="K2020" s="20" t="n">
        <v>10</v>
      </c>
      <c r="L2020" s="18" t="n">
        <v>59.19</v>
      </c>
      <c r="M2020" s="18" t="n">
        <v>107.54</v>
      </c>
      <c r="N2020" s="18" t="n">
        <v>105.09</v>
      </c>
      <c r="O2020" s="18" t="n">
        <v>92.59</v>
      </c>
      <c r="P2020" s="18" t="n">
        <v>153.92</v>
      </c>
      <c r="Q2020" s="18" t="n">
        <v>60.13</v>
      </c>
      <c r="R2020" s="21">
        <f>IF(OR(G2020="",P2020=""),"",G2020/P2020-1)</f>
        <v/>
      </c>
      <c r="S2020" s="19" t="n">
        <v>0.1777</v>
      </c>
      <c r="T2020" s="22" t="n">
        <v>-0.0121</v>
      </c>
      <c r="U2020" s="16" t="inlineStr">
        <is>
          <t>No</t>
        </is>
      </c>
      <c r="V2020" s="16" t="inlineStr">
        <is>
          <t>Yes</t>
        </is>
      </c>
      <c r="W2020" s="16" t="inlineStr">
        <is>
          <t>No</t>
        </is>
      </c>
      <c r="X2020" s="16" t="inlineStr">
        <is>
          <t>Yes</t>
        </is>
      </c>
      <c r="Y2020" s="20" t="n">
        <v>27</v>
      </c>
      <c r="Z2020" s="19" t="n">
        <v>0.1351</v>
      </c>
      <c r="AA2020" s="18" t="n"/>
      <c r="AB2020" s="16" t="n"/>
      <c r="AC2020" s="16" t="inlineStr">
        <is>
          <t>No</t>
        </is>
      </c>
      <c r="AD2020" s="19" t="n"/>
      <c r="AE2020" s="19" t="n"/>
      <c r="AF2020" s="19" t="n"/>
      <c r="AG2020" s="19" t="n"/>
      <c r="AH2020" s="23" t="n"/>
      <c r="AI2020" s="23" t="n"/>
      <c r="AJ2020" s="19" t="n"/>
    </row>
    <row r="2021">
      <c r="A2021" s="16" t="inlineStr">
        <is>
          <t>RAMANEWS</t>
        </is>
      </c>
      <c r="B2021" s="16" t="inlineStr">
        <is>
          <t>Shree Rama Newsprint Ltd.</t>
        </is>
      </c>
      <c r="C2021" s="16" t="inlineStr">
        <is>
          <t>Paper &amp; Paper Products</t>
        </is>
      </c>
      <c r="D2021" s="16" t="inlineStr">
        <is>
          <t>Commercial Services &amp; Supplies</t>
        </is>
      </c>
      <c r="E2021" s="16" t="inlineStr">
        <is>
          <t>INE278B01020</t>
        </is>
      </c>
      <c r="F2021" s="17" t="n">
        <v>468.38</v>
      </c>
      <c r="G2021" s="18" t="n">
        <v>31.75</v>
      </c>
      <c r="H2021" s="19" t="n">
        <v>-0.0185</v>
      </c>
      <c r="I2021" s="20" t="n">
        <v>46</v>
      </c>
      <c r="J2021" s="16" t="inlineStr">
        <is>
          <t>red</t>
        </is>
      </c>
      <c r="K2021" s="20" t="n">
        <v>13</v>
      </c>
      <c r="L2021" s="18" t="n">
        <v>43.12</v>
      </c>
      <c r="M2021" s="18" t="n">
        <v>31.81</v>
      </c>
      <c r="N2021" s="18" t="n">
        <v>30.57</v>
      </c>
      <c r="O2021" s="18" t="n">
        <v>31.11</v>
      </c>
      <c r="P2021" s="18" t="n">
        <v>39.41</v>
      </c>
      <c r="Q2021" s="18" t="n">
        <v>27.93</v>
      </c>
      <c r="R2021" s="21">
        <f>IF(OR(G2021="",P2021=""),"",G2021/P2021-1)</f>
        <v/>
      </c>
      <c r="S2021" s="19" t="n">
        <v>0.1147</v>
      </c>
      <c r="T2021" s="22" t="n">
        <v>0.009300000000000001</v>
      </c>
      <c r="U2021" s="16" t="inlineStr">
        <is>
          <t>Yes</t>
        </is>
      </c>
      <c r="V2021" s="16" t="inlineStr">
        <is>
          <t>Yes</t>
        </is>
      </c>
      <c r="W2021" s="16" t="inlineStr">
        <is>
          <t>No</t>
        </is>
      </c>
      <c r="X2021" s="16" t="inlineStr">
        <is>
          <t>No</t>
        </is>
      </c>
      <c r="Y2021" s="20" t="n">
        <v>68</v>
      </c>
      <c r="Z2021" s="19" t="n">
        <v>-0.0173</v>
      </c>
      <c r="AA2021" s="18" t="n"/>
      <c r="AB2021" s="16" t="n"/>
      <c r="AC2021" s="16" t="inlineStr">
        <is>
          <t>No</t>
        </is>
      </c>
      <c r="AD2021" s="19" t="n"/>
      <c r="AE2021" s="19" t="n"/>
      <c r="AF2021" s="19" t="n"/>
      <c r="AG2021" s="19" t="n"/>
      <c r="AH2021" s="23" t="n"/>
      <c r="AI2021" s="23" t="n"/>
      <c r="AJ2021" s="19" t="n"/>
    </row>
    <row r="2022">
      <c r="A2022" s="16" t="inlineStr">
        <is>
          <t>CONNPLEX</t>
        </is>
      </c>
      <c r="B2022" s="16" t="inlineStr">
        <is>
          <t>Connplex Cinemas Ltd.</t>
        </is>
      </c>
      <c r="C2022" s="16" t="inlineStr">
        <is>
          <t>Movies &amp; Entertainment</t>
        </is>
      </c>
      <c r="D2022" s="16" t="inlineStr">
        <is>
          <t>Media</t>
        </is>
      </c>
      <c r="E2022" s="16" t="inlineStr">
        <is>
          <t>INE0EAS01014</t>
        </is>
      </c>
      <c r="F2022" s="17" t="n">
        <v>466.9</v>
      </c>
      <c r="G2022" s="18" t="n"/>
      <c r="H2022" s="19" t="n"/>
      <c r="I2022" s="20" t="n"/>
      <c r="J2022" s="16" t="n"/>
      <c r="K2022" s="20" t="n"/>
      <c r="L2022" s="18" t="n"/>
      <c r="M2022" s="18" t="n"/>
      <c r="N2022" s="18" t="n"/>
      <c r="O2022" s="18" t="n"/>
      <c r="P2022" s="18" t="n"/>
      <c r="Q2022" s="18" t="n"/>
      <c r="R2022" s="21">
        <f>IF(OR(G2022="",P2022=""),"",G2022/P2022-1)</f>
        <v/>
      </c>
      <c r="S2022" s="19" t="n"/>
      <c r="T2022" s="22" t="n"/>
      <c r="U2022" s="16" t="n"/>
      <c r="V2022" s="16" t="n"/>
      <c r="W2022" s="16" t="n"/>
      <c r="X2022" s="16" t="n"/>
      <c r="Y2022" s="20" t="n"/>
      <c r="Z2022" s="19" t="n"/>
      <c r="AA2022" s="18" t="n"/>
      <c r="AB2022" s="16" t="n"/>
      <c r="AC2022" s="16" t="inlineStr">
        <is>
          <t>No</t>
        </is>
      </c>
      <c r="AD2022" s="19" t="n"/>
      <c r="AE2022" s="19" t="n"/>
      <c r="AF2022" s="19" t="n"/>
      <c r="AG2022" s="19" t="n"/>
      <c r="AH2022" s="23" t="n"/>
      <c r="AI2022" s="23" t="n"/>
      <c r="AJ2022" s="19" t="n"/>
    </row>
    <row r="2023">
      <c r="A2023" s="16" t="inlineStr">
        <is>
          <t>ARHAM</t>
        </is>
      </c>
      <c r="B2023" s="16" t="inlineStr">
        <is>
          <t>Arham Technologies Ltd.</t>
        </is>
      </c>
      <c r="C2023" s="16" t="inlineStr">
        <is>
          <t>Consumer Electronics</t>
        </is>
      </c>
      <c r="D2023" s="16" t="inlineStr">
        <is>
          <t>Consumer Durables</t>
        </is>
      </c>
      <c r="E2023" s="16" t="inlineStr">
        <is>
          <t>INE0L2Y01011</t>
        </is>
      </c>
      <c r="F2023" s="17" t="n">
        <v>466.67</v>
      </c>
      <c r="G2023" s="18" t="n"/>
      <c r="H2023" s="19" t="n"/>
      <c r="I2023" s="20" t="n"/>
      <c r="J2023" s="16" t="n"/>
      <c r="K2023" s="20" t="n"/>
      <c r="L2023" s="18" t="n"/>
      <c r="M2023" s="18" t="n"/>
      <c r="N2023" s="18" t="n"/>
      <c r="O2023" s="18" t="n"/>
      <c r="P2023" s="18" t="n"/>
      <c r="Q2023" s="18" t="n"/>
      <c r="R2023" s="21">
        <f>IF(OR(G2023="",P2023=""),"",G2023/P2023-1)</f>
        <v/>
      </c>
      <c r="S2023" s="19" t="n"/>
      <c r="T2023" s="22" t="n"/>
      <c r="U2023" s="16" t="n"/>
      <c r="V2023" s="16" t="n"/>
      <c r="W2023" s="16" t="n"/>
      <c r="X2023" s="16" t="n"/>
      <c r="Y2023" s="20" t="n"/>
      <c r="Z2023" s="19" t="n"/>
      <c r="AA2023" s="18" t="n"/>
      <c r="AB2023" s="16" t="n"/>
      <c r="AC2023" s="16" t="inlineStr">
        <is>
          <t>No</t>
        </is>
      </c>
      <c r="AD2023" s="19" t="n"/>
      <c r="AE2023" s="19" t="n"/>
      <c r="AF2023" s="19" t="n"/>
      <c r="AG2023" s="19" t="n"/>
      <c r="AH2023" s="23" t="n"/>
      <c r="AI2023" s="23" t="n"/>
      <c r="AJ2023" s="19" t="n"/>
    </row>
    <row r="2024">
      <c r="A2024" s="16" t="inlineStr">
        <is>
          <t>SHARDUL</t>
        </is>
      </c>
      <c r="B2024" s="16" t="inlineStr">
        <is>
          <t>Shardul Securities Ltd.</t>
        </is>
      </c>
      <c r="C2024" s="16" t="inlineStr">
        <is>
          <t>Capital Markets</t>
        </is>
      </c>
      <c r="D2024" s="16" t="inlineStr">
        <is>
          <t>Banking and Finance</t>
        </is>
      </c>
      <c r="E2024" s="16" t="inlineStr">
        <is>
          <t>INE037B01020</t>
        </is>
      </c>
      <c r="F2024" s="17" t="n">
        <v>466.51</v>
      </c>
      <c r="G2024" s="18" t="n">
        <v>53.32</v>
      </c>
      <c r="H2024" s="19" t="n">
        <v>-0.0071</v>
      </c>
      <c r="I2024" s="20" t="n">
        <v>88</v>
      </c>
      <c r="J2024" s="16" t="inlineStr">
        <is>
          <t>green</t>
        </is>
      </c>
      <c r="K2024" s="20" t="n">
        <v>17</v>
      </c>
      <c r="L2024" s="18" t="n">
        <v>49.07</v>
      </c>
      <c r="M2024" s="18" t="n">
        <v>52.65</v>
      </c>
      <c r="N2024" s="18" t="n">
        <v>45.36</v>
      </c>
      <c r="O2024" s="18" t="n">
        <v>34.27</v>
      </c>
      <c r="P2024" s="18" t="n">
        <v>59.55</v>
      </c>
      <c r="Q2024" s="18" t="n">
        <v>21.56</v>
      </c>
      <c r="R2024" s="21">
        <f>IF(OR(G2024="",P2024=""),"",G2024/P2024-1)</f>
        <v/>
      </c>
      <c r="S2024" s="19" t="n">
        <v>0.0578</v>
      </c>
      <c r="T2024" s="22" t="n">
        <v>0.0135</v>
      </c>
      <c r="U2024" s="16" t="inlineStr">
        <is>
          <t>Yes</t>
        </is>
      </c>
      <c r="V2024" s="16" t="inlineStr">
        <is>
          <t>Yes</t>
        </is>
      </c>
      <c r="W2024" s="16" t="inlineStr">
        <is>
          <t>Yes</t>
        </is>
      </c>
      <c r="X2024" s="16" t="inlineStr">
        <is>
          <t>Yes</t>
        </is>
      </c>
      <c r="Y2024" s="20" t="n">
        <v>28</v>
      </c>
      <c r="Z2024" s="19" t="n">
        <v>0.3239</v>
      </c>
      <c r="AA2024" s="18" t="n"/>
      <c r="AB2024" s="16" t="n"/>
      <c r="AC2024" s="16" t="inlineStr">
        <is>
          <t>No</t>
        </is>
      </c>
      <c r="AD2024" s="19" t="n"/>
      <c r="AE2024" s="19" t="n"/>
      <c r="AF2024" s="19" t="n"/>
      <c r="AG2024" s="19" t="n"/>
      <c r="AH2024" s="23" t="n"/>
      <c r="AI2024" s="23" t="n"/>
      <c r="AJ2024" s="19" t="n"/>
    </row>
    <row r="2025">
      <c r="A2025" s="16" t="inlineStr">
        <is>
          <t>AARTISURF</t>
        </is>
      </c>
      <c r="B2025" s="16" t="inlineStr">
        <is>
          <t>Aarti Surfactants Ltd.</t>
        </is>
      </c>
      <c r="C2025" s="16" t="inlineStr">
        <is>
          <t>Specialty Chemicals</t>
        </is>
      </c>
      <c r="D2025" s="16" t="inlineStr">
        <is>
          <t>Chemicals &amp; Petrochemicals</t>
        </is>
      </c>
      <c r="E2025" s="16" t="inlineStr">
        <is>
          <t>INE09EO01013</t>
        </is>
      </c>
      <c r="F2025" s="17" t="n">
        <v>464.63</v>
      </c>
      <c r="G2025" s="18" t="n">
        <v>548.5</v>
      </c>
      <c r="H2025" s="19" t="n">
        <v>0.007800000000000001</v>
      </c>
      <c r="I2025" s="20" t="n">
        <v>81</v>
      </c>
      <c r="J2025" s="16" t="inlineStr">
        <is>
          <t>green</t>
        </is>
      </c>
      <c r="K2025" s="20" t="n">
        <v>2</v>
      </c>
      <c r="L2025" s="18" t="n">
        <v>28.9</v>
      </c>
      <c r="M2025" s="18" t="n">
        <v>534.1799999999999</v>
      </c>
      <c r="N2025" s="18" t="n">
        <v>472.12</v>
      </c>
      <c r="O2025" s="18" t="n">
        <v>414.58</v>
      </c>
      <c r="P2025" s="18" t="n">
        <v>658.55</v>
      </c>
      <c r="Q2025" s="18" t="n">
        <v>321.1</v>
      </c>
      <c r="R2025" s="21">
        <f>IF(OR(G2025="",P2025=""),"",G2025/P2025-1)</f>
        <v/>
      </c>
      <c r="S2025" s="19" t="n">
        <v>0.1236</v>
      </c>
      <c r="T2025" s="22" t="n">
        <v>0.0239</v>
      </c>
      <c r="U2025" s="16" t="inlineStr">
        <is>
          <t>Yes</t>
        </is>
      </c>
      <c r="V2025" s="16" t="inlineStr">
        <is>
          <t>Yes</t>
        </is>
      </c>
      <c r="W2025" s="16" t="inlineStr">
        <is>
          <t>Yes</t>
        </is>
      </c>
      <c r="X2025" s="16" t="inlineStr">
        <is>
          <t>Yes</t>
        </is>
      </c>
      <c r="Y2025" s="20" t="n">
        <v>18</v>
      </c>
      <c r="Z2025" s="19" t="n">
        <v>0.1388</v>
      </c>
      <c r="AA2025" s="18" t="n"/>
      <c r="AB2025" s="16" t="n"/>
      <c r="AC2025" s="16" t="inlineStr">
        <is>
          <t>No</t>
        </is>
      </c>
      <c r="AD2025" s="19" t="n"/>
      <c r="AE2025" s="19" t="n"/>
      <c r="AF2025" s="19" t="n"/>
      <c r="AG2025" s="19" t="n"/>
      <c r="AH2025" s="23" t="n"/>
      <c r="AI2025" s="23" t="n"/>
      <c r="AJ2025" s="19" t="n"/>
    </row>
    <row r="2026">
      <c r="A2026" s="16" t="inlineStr">
        <is>
          <t>3IINFOLTD</t>
        </is>
      </c>
      <c r="B2026" s="16" t="inlineStr">
        <is>
          <t>3i Infotech Ltd.</t>
        </is>
      </c>
      <c r="C2026" s="16" t="inlineStr">
        <is>
          <t>IT Consulting &amp; Software</t>
        </is>
      </c>
      <c r="D2026" s="16" t="inlineStr">
        <is>
          <t>Software &amp; Services</t>
        </is>
      </c>
      <c r="E2026" s="16" t="inlineStr">
        <is>
          <t>INE748C01038</t>
        </is>
      </c>
      <c r="F2026" s="17" t="n">
        <v>463.95</v>
      </c>
      <c r="G2026" s="18" t="n">
        <v>22.37</v>
      </c>
      <c r="H2026" s="19" t="n">
        <v>0.0266</v>
      </c>
      <c r="I2026" s="20" t="n">
        <v>77</v>
      </c>
      <c r="J2026" s="16" t="inlineStr">
        <is>
          <t>amber</t>
        </is>
      </c>
      <c r="K2026" s="20" t="n">
        <v>5</v>
      </c>
      <c r="L2026" s="18" t="n">
        <v>33.63</v>
      </c>
      <c r="M2026" s="18" t="n">
        <v>22.95</v>
      </c>
      <c r="N2026" s="18" t="n">
        <v>21.79</v>
      </c>
      <c r="O2026" s="18" t="n">
        <v>17.48</v>
      </c>
      <c r="P2026" s="18" t="n">
        <v>27.6</v>
      </c>
      <c r="Q2026" s="18" t="n">
        <v>12.72</v>
      </c>
      <c r="R2026" s="21">
        <f>IF(OR(G2026="",P2026=""),"",G2026/P2026-1)</f>
        <v/>
      </c>
      <c r="S2026" s="19" t="n">
        <v>0.1486</v>
      </c>
      <c r="T2026" s="22" t="n">
        <v>0.0368</v>
      </c>
      <c r="U2026" s="16" t="inlineStr">
        <is>
          <t>Yes</t>
        </is>
      </c>
      <c r="V2026" s="16" t="inlineStr">
        <is>
          <t>Yes</t>
        </is>
      </c>
      <c r="W2026" s="16" t="inlineStr">
        <is>
          <t>No</t>
        </is>
      </c>
      <c r="X2026" s="16" t="inlineStr">
        <is>
          <t>Yes</t>
        </is>
      </c>
      <c r="Y2026" s="20" t="n">
        <v>56</v>
      </c>
      <c r="Z2026" s="19" t="n">
        <v>0.2465</v>
      </c>
      <c r="AA2026" s="18" t="n">
        <v>26.02</v>
      </c>
      <c r="AB2026" s="16" t="inlineStr">
        <is>
          <t>Poor</t>
        </is>
      </c>
      <c r="AC2026" s="16" t="inlineStr">
        <is>
          <t>No</t>
        </is>
      </c>
      <c r="AD2026" s="19" t="n">
        <v>-0.2977</v>
      </c>
      <c r="AE2026" s="19" t="n">
        <v>-0.2016</v>
      </c>
      <c r="AF2026" s="19" t="n">
        <v>-0.0005999999999999999</v>
      </c>
      <c r="AG2026" s="19" t="n">
        <v>-0.0122</v>
      </c>
      <c r="AH2026" s="23" t="n">
        <v>0.16</v>
      </c>
      <c r="AI2026" s="23" t="n">
        <v>5.55</v>
      </c>
      <c r="AJ2026" s="19" t="n">
        <v>0</v>
      </c>
    </row>
    <row r="2027">
      <c r="A2027" s="16" t="inlineStr">
        <is>
          <t>BIRLACOT</t>
        </is>
      </c>
      <c r="B2027" s="16" t="inlineStr">
        <is>
          <t>Birla Cotsyn (India) Ltd.</t>
        </is>
      </c>
      <c r="C2027" s="16" t="inlineStr">
        <is>
          <t>Textiles</t>
        </is>
      </c>
      <c r="D2027" s="16" t="inlineStr">
        <is>
          <t>Textiles Apparels &amp; Accessories</t>
        </is>
      </c>
      <c r="E2027" s="16" t="inlineStr">
        <is>
          <t>INE655I01032</t>
        </is>
      </c>
      <c r="F2027" s="17" t="n">
        <v>463.12</v>
      </c>
      <c r="G2027" s="18" t="n">
        <v>17.52</v>
      </c>
      <c r="H2027" s="19" t="n">
        <v>0.0069</v>
      </c>
      <c r="I2027" s="20" t="n"/>
      <c r="J2027" s="16" t="n"/>
      <c r="K2027" s="20" t="n"/>
      <c r="L2027" s="18" t="n">
        <v>43.49</v>
      </c>
      <c r="M2027" s="18" t="n">
        <v>18.25</v>
      </c>
      <c r="N2027" s="18" t="n"/>
      <c r="O2027" s="18" t="n"/>
      <c r="P2027" s="18" t="n">
        <v>28.51</v>
      </c>
      <c r="Q2027" s="18" t="n">
        <v>17.11</v>
      </c>
      <c r="R2027" s="21">
        <f>IF(OR(G2027="",P2027=""),"",G2027/P2027-1)</f>
        <v/>
      </c>
      <c r="S2027" s="19" t="n">
        <v>0.6911</v>
      </c>
      <c r="T2027" s="22" t="n"/>
      <c r="U2027" s="16" t="n"/>
      <c r="V2027" s="16" t="n"/>
      <c r="W2027" s="16" t="inlineStr">
        <is>
          <t>No</t>
        </is>
      </c>
      <c r="X2027" s="16" t="n"/>
      <c r="Y2027" s="20" t="n"/>
      <c r="Z2027" s="19" t="n"/>
      <c r="AA2027" s="18" t="n"/>
      <c r="AB2027" s="16" t="n"/>
      <c r="AC2027" s="16" t="inlineStr">
        <is>
          <t>No</t>
        </is>
      </c>
      <c r="AD2027" s="19" t="n"/>
      <c r="AE2027" s="19" t="n"/>
      <c r="AF2027" s="19" t="n"/>
      <c r="AG2027" s="19" t="n"/>
      <c r="AH2027" s="23" t="n"/>
      <c r="AI2027" s="23" t="n"/>
      <c r="AJ2027" s="19" t="n"/>
    </row>
    <row r="2028">
      <c r="A2028" s="16" t="inlineStr">
        <is>
          <t>VISHAL</t>
        </is>
      </c>
      <c r="B2028" s="16" t="inlineStr">
        <is>
          <t>Vishal Fabrics Ltd.</t>
        </is>
      </c>
      <c r="C2028" s="16" t="inlineStr">
        <is>
          <t>Textiles</t>
        </is>
      </c>
      <c r="D2028" s="16" t="inlineStr">
        <is>
          <t>Textiles Apparels &amp; Accessories</t>
        </is>
      </c>
      <c r="E2028" s="16" t="inlineStr">
        <is>
          <t>INE755Q01025</t>
        </is>
      </c>
      <c r="F2028" s="17" t="n">
        <v>461.79</v>
      </c>
      <c r="G2028" s="18" t="n">
        <v>18.65</v>
      </c>
      <c r="H2028" s="19" t="n">
        <v>0.006999999999999999</v>
      </c>
      <c r="I2028" s="20" t="n">
        <v>6</v>
      </c>
      <c r="J2028" s="16" t="inlineStr">
        <is>
          <t>red</t>
        </is>
      </c>
      <c r="K2028" s="20" t="n">
        <v>235</v>
      </c>
      <c r="L2028" s="18" t="n">
        <v>56.44</v>
      </c>
      <c r="M2028" s="18" t="n">
        <v>18.81</v>
      </c>
      <c r="N2028" s="18" t="n">
        <v>18.88</v>
      </c>
      <c r="O2028" s="18" t="n">
        <v>21.95</v>
      </c>
      <c r="P2028" s="18" t="n">
        <v>36.91</v>
      </c>
      <c r="Q2028" s="18" t="n">
        <v>15.11</v>
      </c>
      <c r="R2028" s="21">
        <f>IF(OR(G2028="",P2028=""),"",G2028/P2028-1)</f>
        <v/>
      </c>
      <c r="S2028" s="19" t="n">
        <v>0.1476</v>
      </c>
      <c r="T2028" s="22" t="n">
        <v>-0.0423</v>
      </c>
      <c r="U2028" s="16" t="inlineStr">
        <is>
          <t>No</t>
        </is>
      </c>
      <c r="V2028" s="16" t="inlineStr">
        <is>
          <t>No</t>
        </is>
      </c>
      <c r="W2028" s="16" t="inlineStr">
        <is>
          <t>No</t>
        </is>
      </c>
      <c r="X2028" s="16" t="inlineStr">
        <is>
          <t>No</t>
        </is>
      </c>
      <c r="Y2028" s="20" t="n">
        <v>206</v>
      </c>
      <c r="Z2028" s="19" t="n">
        <v>-0.1397</v>
      </c>
      <c r="AA2028" s="18" t="n"/>
      <c r="AB2028" s="16" t="n"/>
      <c r="AC2028" s="16" t="inlineStr">
        <is>
          <t>No</t>
        </is>
      </c>
      <c r="AD2028" s="19" t="n"/>
      <c r="AE2028" s="19" t="n"/>
      <c r="AF2028" s="19" t="n"/>
      <c r="AG2028" s="19" t="n"/>
      <c r="AH2028" s="23" t="n"/>
      <c r="AI2028" s="23" t="n"/>
      <c r="AJ2028" s="19" t="n"/>
    </row>
    <row r="2029">
      <c r="A2029" s="16" t="inlineStr">
        <is>
          <t>LANCER</t>
        </is>
      </c>
      <c r="B2029" s="16" t="inlineStr">
        <is>
          <t>Lancer Container Lines Ltd.</t>
        </is>
      </c>
      <c r="C2029" s="16" t="inlineStr">
        <is>
          <t>Warehousing &amp; Logistics</t>
        </is>
      </c>
      <c r="D2029" s="16" t="inlineStr">
        <is>
          <t>Transportation</t>
        </is>
      </c>
      <c r="E2029" s="16" t="inlineStr">
        <is>
          <t>INE359U01028</t>
        </is>
      </c>
      <c r="F2029" s="17" t="n">
        <v>461.72</v>
      </c>
      <c r="G2029" s="18" t="n">
        <v>13.07</v>
      </c>
      <c r="H2029" s="19" t="n">
        <v>-0.0076</v>
      </c>
      <c r="I2029" s="20" t="n"/>
      <c r="J2029" s="16" t="n"/>
      <c r="K2029" s="20" t="n"/>
      <c r="L2029" s="18" t="n">
        <v>69.44</v>
      </c>
      <c r="M2029" s="18" t="n">
        <v>12.46</v>
      </c>
      <c r="N2029" s="18" t="n"/>
      <c r="O2029" s="18" t="n"/>
      <c r="P2029" s="18" t="n">
        <v>13.17</v>
      </c>
      <c r="Q2029" s="18" t="n">
        <v>10.04</v>
      </c>
      <c r="R2029" s="21">
        <f>IF(OR(G2029="",P2029=""),"",G2029/P2029-1)</f>
        <v/>
      </c>
      <c r="S2029" s="19" t="n">
        <v>0.34</v>
      </c>
      <c r="T2029" s="22" t="n"/>
      <c r="U2029" s="16" t="n"/>
      <c r="V2029" s="16" t="n"/>
      <c r="W2029" s="16" t="inlineStr">
        <is>
          <t>Yes</t>
        </is>
      </c>
      <c r="X2029" s="16" t="n"/>
      <c r="Y2029" s="20" t="n"/>
      <c r="Z2029" s="19" t="n"/>
      <c r="AA2029" s="18" t="n"/>
      <c r="AB2029" s="16" t="n"/>
      <c r="AC2029" s="16" t="inlineStr">
        <is>
          <t>No</t>
        </is>
      </c>
      <c r="AD2029" s="19" t="n"/>
      <c r="AE2029" s="19" t="n"/>
      <c r="AF2029" s="19" t="n"/>
      <c r="AG2029" s="19" t="n"/>
      <c r="AH2029" s="23" t="n"/>
      <c r="AI2029" s="23" t="n"/>
      <c r="AJ2029" s="19" t="n"/>
    </row>
    <row r="2030">
      <c r="A2030" s="16" t="inlineStr">
        <is>
          <t>GUJAPOLLO</t>
        </is>
      </c>
      <c r="B2030" s="16" t="inlineStr">
        <is>
          <t>Gujarat Apollo Industries Ltd.</t>
        </is>
      </c>
      <c r="C2030" s="16" t="inlineStr">
        <is>
          <t>Industrial Machinery</t>
        </is>
      </c>
      <c r="D2030" s="16" t="inlineStr">
        <is>
          <t>General Industrials</t>
        </is>
      </c>
      <c r="E2030" s="16" t="inlineStr">
        <is>
          <t>INE826C01016</t>
        </is>
      </c>
      <c r="F2030" s="17" t="n">
        <v>461.67</v>
      </c>
      <c r="G2030" s="18" t="n">
        <v>355.95</v>
      </c>
      <c r="H2030" s="19" t="n">
        <v>0.023</v>
      </c>
      <c r="I2030" s="20" t="n">
        <v>16</v>
      </c>
      <c r="J2030" s="16" t="inlineStr">
        <is>
          <t>red</t>
        </is>
      </c>
      <c r="K2030" s="20" t="n">
        <v>84</v>
      </c>
      <c r="L2030" s="18" t="n">
        <v>53.89</v>
      </c>
      <c r="M2030" s="18" t="n">
        <v>345.83</v>
      </c>
      <c r="N2030" s="18" t="n">
        <v>353.4</v>
      </c>
      <c r="O2030" s="18" t="n">
        <v>394.28</v>
      </c>
      <c r="P2030" s="18" t="n">
        <v>505.45</v>
      </c>
      <c r="Q2030" s="18" t="n">
        <v>335.65</v>
      </c>
      <c r="R2030" s="21">
        <f>IF(OR(G2030="",P2030=""),"",G2030/P2030-1)</f>
        <v/>
      </c>
      <c r="S2030" s="19" t="n">
        <v>1.4006</v>
      </c>
      <c r="T2030" s="22" t="n">
        <v>-0.0245</v>
      </c>
      <c r="U2030" s="16" t="inlineStr">
        <is>
          <t>No</t>
        </is>
      </c>
      <c r="V2030" s="16" t="inlineStr">
        <is>
          <t>Yes</t>
        </is>
      </c>
      <c r="W2030" s="16" t="inlineStr">
        <is>
          <t>Yes</t>
        </is>
      </c>
      <c r="X2030" s="16" t="inlineStr">
        <is>
          <t>No</t>
        </is>
      </c>
      <c r="Y2030" s="20" t="n">
        <v>148</v>
      </c>
      <c r="Z2030" s="19" t="n">
        <v>-0.1037</v>
      </c>
      <c r="AA2030" s="18" t="n"/>
      <c r="AB2030" s="16" t="n"/>
      <c r="AC2030" s="16" t="inlineStr">
        <is>
          <t>No</t>
        </is>
      </c>
      <c r="AD2030" s="19" t="n"/>
      <c r="AE2030" s="19" t="n"/>
      <c r="AF2030" s="19" t="n"/>
      <c r="AG2030" s="19" t="n"/>
      <c r="AH2030" s="23" t="n"/>
      <c r="AI2030" s="23" t="n"/>
      <c r="AJ2030" s="19" t="n"/>
    </row>
    <row r="2031">
      <c r="A2031" s="16" t="inlineStr">
        <is>
          <t>IGCL</t>
        </is>
      </c>
      <c r="B2031" s="16" t="inlineStr">
        <is>
          <t>Indogulf Cropsciences Ltd.</t>
        </is>
      </c>
      <c r="C2031" s="16" t="inlineStr">
        <is>
          <t>Agrochemicals</t>
        </is>
      </c>
      <c r="D2031" s="16" t="inlineStr">
        <is>
          <t>Chemicals &amp; Petrochemicals</t>
        </is>
      </c>
      <c r="E2031" s="16" t="inlineStr">
        <is>
          <t>INE05J901018</t>
        </is>
      </c>
      <c r="F2031" s="17" t="n">
        <v>460.84</v>
      </c>
      <c r="G2031" s="18" t="n">
        <v>72.89</v>
      </c>
      <c r="H2031" s="19" t="n">
        <v>-0.0052</v>
      </c>
      <c r="I2031" s="20" t="n">
        <v>45</v>
      </c>
      <c r="J2031" s="16" t="inlineStr">
        <is>
          <t>red</t>
        </is>
      </c>
      <c r="K2031" s="20" t="n">
        <v>231</v>
      </c>
      <c r="L2031" s="18" t="n">
        <v>62.12</v>
      </c>
      <c r="M2031" s="18" t="n">
        <v>72.45999999999999</v>
      </c>
      <c r="N2031" s="18" t="n">
        <v>72.03</v>
      </c>
      <c r="O2031" s="18" t="n">
        <v>69.65000000000001</v>
      </c>
      <c r="P2031" s="18" t="n">
        <v>115.33</v>
      </c>
      <c r="Q2031" s="18" t="n">
        <v>53.58</v>
      </c>
      <c r="R2031" s="21">
        <f>IF(OR(G2031="",P2031=""),"",G2031/P2031-1)</f>
        <v/>
      </c>
      <c r="S2031" s="19" t="n">
        <v>0.4225</v>
      </c>
      <c r="T2031" s="22" t="n">
        <v>-0.0429</v>
      </c>
      <c r="U2031" s="16" t="inlineStr">
        <is>
          <t>No</t>
        </is>
      </c>
      <c r="V2031" s="16" t="inlineStr">
        <is>
          <t>Yes</t>
        </is>
      </c>
      <c r="W2031" s="16" t="inlineStr">
        <is>
          <t>Yes</t>
        </is>
      </c>
      <c r="X2031" s="16" t="inlineStr">
        <is>
          <t>Yes</t>
        </is>
      </c>
      <c r="Y2031" s="20" t="n">
        <v>7</v>
      </c>
      <c r="Z2031" s="19" t="n">
        <v>0.0342</v>
      </c>
      <c r="AA2031" s="18" t="n"/>
      <c r="AB2031" s="16" t="n"/>
      <c r="AC2031" s="16" t="inlineStr">
        <is>
          <t>No</t>
        </is>
      </c>
      <c r="AD2031" s="19" t="n"/>
      <c r="AE2031" s="19" t="n"/>
      <c r="AF2031" s="19" t="n"/>
      <c r="AG2031" s="19" t="n"/>
      <c r="AH2031" s="23" t="n"/>
      <c r="AI2031" s="23" t="n"/>
      <c r="AJ2031" s="19" t="n"/>
    </row>
    <row r="2032">
      <c r="A2032" s="16" t="inlineStr">
        <is>
          <t>BRGIL</t>
        </is>
      </c>
      <c r="B2032" s="16" t="inlineStr">
        <is>
          <t>B.R.Goyal Infrastructure Ltd.</t>
        </is>
      </c>
      <c r="C2032" s="16" t="inlineStr">
        <is>
          <t>Construction &amp; Engineering</t>
        </is>
      </c>
      <c r="D2032" s="16" t="inlineStr">
        <is>
          <t>Cement and Construction</t>
        </is>
      </c>
      <c r="E2032" s="16" t="inlineStr">
        <is>
          <t>INE00ST01011</t>
        </is>
      </c>
      <c r="F2032" s="17" t="n">
        <v>459.82</v>
      </c>
      <c r="G2032" s="18" t="n">
        <v>193</v>
      </c>
      <c r="H2032" s="19" t="n">
        <v>0.03759999999999999</v>
      </c>
      <c r="I2032" s="20" t="n">
        <v>89</v>
      </c>
      <c r="J2032" s="16" t="inlineStr">
        <is>
          <t>green</t>
        </is>
      </c>
      <c r="K2032" s="20" t="n">
        <v>26</v>
      </c>
      <c r="L2032" s="18" t="n">
        <v>43.77</v>
      </c>
      <c r="M2032" s="18" t="n">
        <v>187.81</v>
      </c>
      <c r="N2032" s="18" t="n">
        <v>160.63</v>
      </c>
      <c r="O2032" s="18" t="n">
        <v>126</v>
      </c>
      <c r="P2032" s="18" t="n">
        <v>199.25</v>
      </c>
      <c r="Q2032" s="18" t="n">
        <v>91.23</v>
      </c>
      <c r="R2032" s="21">
        <f>IF(OR(G2032="",P2032=""),"",G2032/P2032-1)</f>
        <v/>
      </c>
      <c r="S2032" s="19" t="n">
        <v>0.2682</v>
      </c>
      <c r="T2032" s="22" t="n">
        <v>0.0499</v>
      </c>
      <c r="U2032" s="16" t="inlineStr">
        <is>
          <t>Yes</t>
        </is>
      </c>
      <c r="V2032" s="16" t="inlineStr">
        <is>
          <t>Yes</t>
        </is>
      </c>
      <c r="W2032" s="16" t="inlineStr">
        <is>
          <t>Yes</t>
        </is>
      </c>
      <c r="X2032" s="16" t="inlineStr">
        <is>
          <t>Yes</t>
        </is>
      </c>
      <c r="Y2032" s="20" t="n">
        <v>45</v>
      </c>
      <c r="Z2032" s="19" t="n">
        <v>0.2748</v>
      </c>
      <c r="AA2032" s="18" t="n"/>
      <c r="AB2032" s="16" t="n"/>
      <c r="AC2032" s="16" t="inlineStr">
        <is>
          <t>No</t>
        </is>
      </c>
      <c r="AD2032" s="19" t="n"/>
      <c r="AE2032" s="19" t="n"/>
      <c r="AF2032" s="19" t="n"/>
      <c r="AG2032" s="19" t="n"/>
      <c r="AH2032" s="23" t="n"/>
      <c r="AI2032" s="23" t="n"/>
      <c r="AJ2032" s="19" t="n"/>
    </row>
    <row r="2033">
      <c r="A2033" s="16" t="inlineStr">
        <is>
          <t>PREVEST</t>
        </is>
      </c>
      <c r="B2033" s="16" t="inlineStr">
        <is>
          <t>Prevest Denpro Ltd.</t>
        </is>
      </c>
      <c r="C2033" s="16" t="inlineStr">
        <is>
          <t>Medical Equipment</t>
        </is>
      </c>
      <c r="D2033" s="16" t="inlineStr">
        <is>
          <t>Healthcare</t>
        </is>
      </c>
      <c r="E2033" s="16" t="inlineStr">
        <is>
          <t>INE0GAO01018</t>
        </is>
      </c>
      <c r="F2033" s="17" t="n">
        <v>458.33</v>
      </c>
      <c r="G2033" s="18" t="n">
        <v>381.85</v>
      </c>
      <c r="H2033" s="19" t="n">
        <v>-0.0176</v>
      </c>
      <c r="I2033" s="20" t="n">
        <v>20</v>
      </c>
      <c r="J2033" s="16" t="inlineStr">
        <is>
          <t>red</t>
        </is>
      </c>
      <c r="K2033" s="20" t="n">
        <v>133</v>
      </c>
      <c r="L2033" s="18" t="n">
        <v>49.26</v>
      </c>
      <c r="M2033" s="18" t="n">
        <v>388</v>
      </c>
      <c r="N2033" s="18" t="n">
        <v>386.45</v>
      </c>
      <c r="O2033" s="18" t="n">
        <v>419.3</v>
      </c>
      <c r="P2033" s="18" t="n">
        <v>602.6</v>
      </c>
      <c r="Q2033" s="18" t="n">
        <v>340.92</v>
      </c>
      <c r="R2033" s="21">
        <f>IF(OR(G2033="",P2033=""),"",G2033/P2033-1)</f>
        <v/>
      </c>
      <c r="S2033" s="19" t="n">
        <v>1.0552</v>
      </c>
      <c r="T2033" s="22" t="n">
        <v>-0.0282</v>
      </c>
      <c r="U2033" s="16" t="inlineStr">
        <is>
          <t>No</t>
        </is>
      </c>
      <c r="V2033" s="16" t="inlineStr">
        <is>
          <t>No</t>
        </is>
      </c>
      <c r="W2033" s="16" t="inlineStr">
        <is>
          <t>No</t>
        </is>
      </c>
      <c r="X2033" s="16" t="inlineStr">
        <is>
          <t>No</t>
        </is>
      </c>
      <c r="Y2033" s="20" t="n">
        <v>187</v>
      </c>
      <c r="Z2033" s="19" t="n">
        <v>-0.0784</v>
      </c>
      <c r="AA2033" s="18" t="n"/>
      <c r="AB2033" s="16" t="n"/>
      <c r="AC2033" s="16" t="inlineStr">
        <is>
          <t>No</t>
        </is>
      </c>
      <c r="AD2033" s="19" t="n"/>
      <c r="AE2033" s="19" t="n"/>
      <c r="AF2033" s="19" t="n"/>
      <c r="AG2033" s="19" t="n"/>
      <c r="AH2033" s="23" t="n"/>
      <c r="AI2033" s="23" t="n"/>
      <c r="AJ2033" s="19" t="n"/>
    </row>
    <row r="2034">
      <c r="A2034" s="16" t="inlineStr">
        <is>
          <t>REPRO</t>
        </is>
      </c>
      <c r="B2034" s="16" t="inlineStr">
        <is>
          <t>Repro India Ltd.</t>
        </is>
      </c>
      <c r="C2034" s="16" t="inlineStr">
        <is>
          <t>Publishing</t>
        </is>
      </c>
      <c r="D2034" s="16" t="inlineStr">
        <is>
          <t>Commercial Services &amp; Supplies</t>
        </is>
      </c>
      <c r="E2034" s="16" t="inlineStr">
        <is>
          <t>INE461B01014</t>
        </is>
      </c>
      <c r="F2034" s="17" t="n">
        <v>458.26</v>
      </c>
      <c r="G2034" s="18" t="n">
        <v>319.45</v>
      </c>
      <c r="H2034" s="19" t="n">
        <v>-0.0114</v>
      </c>
      <c r="I2034" s="20" t="n">
        <v>8</v>
      </c>
      <c r="J2034" s="16" t="inlineStr">
        <is>
          <t>red</t>
        </is>
      </c>
      <c r="K2034" s="20" t="n">
        <v>167</v>
      </c>
      <c r="L2034" s="18" t="n">
        <v>46.11</v>
      </c>
      <c r="M2034" s="18" t="n">
        <v>315.05</v>
      </c>
      <c r="N2034" s="18" t="n">
        <v>351.45</v>
      </c>
      <c r="O2034" s="18" t="n">
        <v>389.91</v>
      </c>
      <c r="P2034" s="18" t="n">
        <v>576.75</v>
      </c>
      <c r="Q2034" s="18" t="n">
        <v>306.1</v>
      </c>
      <c r="R2034" s="21">
        <f>IF(OR(G2034="",P2034=""),"",G2034/P2034-1)</f>
        <v/>
      </c>
      <c r="S2034" s="19" t="n">
        <v>0.1795</v>
      </c>
      <c r="T2034" s="22" t="n">
        <v>-0.0556</v>
      </c>
      <c r="U2034" s="16" t="inlineStr">
        <is>
          <t>No</t>
        </is>
      </c>
      <c r="V2034" s="16" t="inlineStr">
        <is>
          <t>No</t>
        </is>
      </c>
      <c r="W2034" s="16" t="inlineStr">
        <is>
          <t>Yes</t>
        </is>
      </c>
      <c r="X2034" s="16" t="inlineStr">
        <is>
          <t>No</t>
        </is>
      </c>
      <c r="Y2034" s="20" t="n">
        <v>166</v>
      </c>
      <c r="Z2034" s="19" t="n">
        <v>-0.09859999999999999</v>
      </c>
      <c r="AA2034" s="18" t="n">
        <v>24.44</v>
      </c>
      <c r="AB2034" s="16" t="inlineStr">
        <is>
          <t>Poor</t>
        </is>
      </c>
      <c r="AC2034" s="16" t="inlineStr">
        <is>
          <t>No</t>
        </is>
      </c>
      <c r="AD2034" s="19" t="n">
        <v>-0.0231</v>
      </c>
      <c r="AE2034" s="19" t="n">
        <v>0.0146</v>
      </c>
      <c r="AF2034" s="19" t="n">
        <v>0.0189</v>
      </c>
      <c r="AG2034" s="19" t="n">
        <v>0.0616</v>
      </c>
      <c r="AH2034" s="23" t="n">
        <v>0.53</v>
      </c>
      <c r="AI2034" s="23" t="n">
        <v>2.51</v>
      </c>
      <c r="AJ2034" s="19" t="n">
        <v>0.06150000000000001</v>
      </c>
    </row>
    <row r="2035">
      <c r="A2035" s="16" t="inlineStr">
        <is>
          <t>WSI</t>
        </is>
      </c>
      <c r="B2035" s="16" t="inlineStr">
        <is>
          <t>W S Industries (India) Ltd.</t>
        </is>
      </c>
      <c r="C2035" s="16" t="inlineStr">
        <is>
          <t>Construction &amp; Engineering</t>
        </is>
      </c>
      <c r="D2035" s="16" t="inlineStr">
        <is>
          <t>Cement and Construction</t>
        </is>
      </c>
      <c r="E2035" s="16" t="inlineStr">
        <is>
          <t>INE100D01014</t>
        </is>
      </c>
      <c r="F2035" s="17" t="n">
        <v>458.18</v>
      </c>
      <c r="G2035" s="18" t="n">
        <v>60.37</v>
      </c>
      <c r="H2035" s="19" t="n">
        <v>0.0156</v>
      </c>
      <c r="I2035" s="20" t="n">
        <v>12</v>
      </c>
      <c r="J2035" s="16" t="inlineStr">
        <is>
          <t>red</t>
        </is>
      </c>
      <c r="K2035" s="20" t="n">
        <v>107</v>
      </c>
      <c r="L2035" s="18" t="n">
        <v>47.51</v>
      </c>
      <c r="M2035" s="18" t="n">
        <v>60.76</v>
      </c>
      <c r="N2035" s="18" t="n">
        <v>61.82</v>
      </c>
      <c r="O2035" s="18" t="n">
        <v>71.72</v>
      </c>
      <c r="P2035" s="18" t="n">
        <v>92.65000000000001</v>
      </c>
      <c r="Q2035" s="18" t="n">
        <v>56.93</v>
      </c>
      <c r="R2035" s="21">
        <f>IF(OR(G2035="",P2035=""),"",G2035/P2035-1)</f>
        <v/>
      </c>
      <c r="S2035" s="19" t="n">
        <v>0.9516</v>
      </c>
      <c r="T2035" s="22" t="n">
        <v>-0.0286</v>
      </c>
      <c r="U2035" s="16" t="inlineStr">
        <is>
          <t>No</t>
        </is>
      </c>
      <c r="V2035" s="16" t="inlineStr">
        <is>
          <t>No</t>
        </is>
      </c>
      <c r="W2035" s="16" t="inlineStr">
        <is>
          <t>No</t>
        </is>
      </c>
      <c r="X2035" s="16" t="inlineStr">
        <is>
          <t>No</t>
        </is>
      </c>
      <c r="Y2035" s="20" t="n">
        <v>127</v>
      </c>
      <c r="Z2035" s="19" t="n">
        <v>-0.138</v>
      </c>
      <c r="AA2035" s="18" t="n"/>
      <c r="AB2035" s="16" t="n"/>
      <c r="AC2035" s="16" t="inlineStr">
        <is>
          <t>No</t>
        </is>
      </c>
      <c r="AD2035" s="19" t="n"/>
      <c r="AE2035" s="19" t="n"/>
      <c r="AF2035" s="19" t="n"/>
      <c r="AG2035" s="19" t="n"/>
      <c r="AH2035" s="23" t="n"/>
      <c r="AI2035" s="23" t="n"/>
      <c r="AJ2035" s="19" t="n"/>
    </row>
    <row r="2036">
      <c r="A2036" s="16" t="inlineStr">
        <is>
          <t>MEEIND</t>
        </is>
      </c>
      <c r="B2036" s="16" t="inlineStr">
        <is>
          <t>Meenakshi (India) Ltd.</t>
        </is>
      </c>
      <c r="C2036" s="16" t="inlineStr">
        <is>
          <t>Textiles</t>
        </is>
      </c>
      <c r="D2036" s="16" t="inlineStr">
        <is>
          <t>Textiles Apparels &amp; Accessories</t>
        </is>
      </c>
      <c r="E2036" s="16" t="inlineStr">
        <is>
          <t>INE208H01016</t>
        </is>
      </c>
      <c r="F2036" s="17" t="n">
        <v>457.82</v>
      </c>
      <c r="G2036" s="18" t="n">
        <v>406.95</v>
      </c>
      <c r="H2036" s="19" t="n">
        <v>0.0224</v>
      </c>
      <c r="I2036" s="20" t="n"/>
      <c r="J2036" s="16" t="n"/>
      <c r="K2036" s="20" t="n"/>
      <c r="L2036" s="18" t="n">
        <v>55.79</v>
      </c>
      <c r="M2036" s="18" t="n">
        <v>408.88</v>
      </c>
      <c r="N2036" s="18" t="n"/>
      <c r="O2036" s="18" t="n"/>
      <c r="P2036" s="18" t="n">
        <v>424.45</v>
      </c>
      <c r="Q2036" s="18" t="n">
        <v>296.08</v>
      </c>
      <c r="R2036" s="21">
        <f>IF(OR(G2036="",P2036=""),"",G2036/P2036-1)</f>
        <v/>
      </c>
      <c r="S2036" s="19" t="n">
        <v>0.07820000000000001</v>
      </c>
      <c r="T2036" s="22" t="n"/>
      <c r="U2036" s="16" t="n"/>
      <c r="V2036" s="16" t="n"/>
      <c r="W2036" s="16" t="inlineStr">
        <is>
          <t>No</t>
        </is>
      </c>
      <c r="X2036" s="16" t="n"/>
      <c r="Y2036" s="20" t="n"/>
      <c r="Z2036" s="19" t="n"/>
      <c r="AA2036" s="18" t="n"/>
      <c r="AB2036" s="16" t="n"/>
      <c r="AC2036" s="16" t="inlineStr">
        <is>
          <t>No</t>
        </is>
      </c>
      <c r="AD2036" s="19" t="n"/>
      <c r="AE2036" s="19" t="n"/>
      <c r="AF2036" s="19" t="n"/>
      <c r="AG2036" s="19" t="n"/>
      <c r="AH2036" s="23" t="n"/>
      <c r="AI2036" s="23" t="n"/>
      <c r="AJ2036" s="19" t="n"/>
    </row>
    <row r="2037">
      <c r="A2037" s="16" t="inlineStr">
        <is>
          <t>UNIDT</t>
        </is>
      </c>
      <c r="B2037" s="16" t="inlineStr">
        <is>
          <t>United Drilling Tools Ltd.</t>
        </is>
      </c>
      <c r="C2037" s="16" t="inlineStr">
        <is>
          <t>Other Industrial Goods</t>
        </is>
      </c>
      <c r="D2037" s="16" t="inlineStr">
        <is>
          <t>General Industrials</t>
        </is>
      </c>
      <c r="E2037" s="16" t="inlineStr">
        <is>
          <t>INE961D01019</t>
        </is>
      </c>
      <c r="F2037" s="17" t="n">
        <v>457.75</v>
      </c>
      <c r="G2037" s="18" t="n">
        <v>225.46</v>
      </c>
      <c r="H2037" s="19" t="n">
        <v>0.0158</v>
      </c>
      <c r="I2037" s="20" t="n">
        <v>53</v>
      </c>
      <c r="J2037" s="16" t="inlineStr">
        <is>
          <t>red</t>
        </is>
      </c>
      <c r="K2037" s="20" t="n">
        <v>17</v>
      </c>
      <c r="L2037" s="18" t="n">
        <v>47.04</v>
      </c>
      <c r="M2037" s="18" t="n">
        <v>219.57</v>
      </c>
      <c r="N2037" s="18" t="n">
        <v>223.54</v>
      </c>
      <c r="O2037" s="18" t="n">
        <v>205.16</v>
      </c>
      <c r="P2037" s="18" t="n">
        <v>249.55</v>
      </c>
      <c r="Q2037" s="18" t="n">
        <v>146.38</v>
      </c>
      <c r="R2037" s="21">
        <f>IF(OR(G2037="",P2037=""),"",G2037/P2037-1)</f>
        <v/>
      </c>
      <c r="S2037" s="19" t="n">
        <v>3.9685</v>
      </c>
      <c r="T2037" s="22" t="n">
        <v>0.0117</v>
      </c>
      <c r="U2037" s="16" t="inlineStr">
        <is>
          <t>Yes</t>
        </is>
      </c>
      <c r="V2037" s="16" t="inlineStr">
        <is>
          <t>Yes</t>
        </is>
      </c>
      <c r="W2037" s="16" t="inlineStr">
        <is>
          <t>Yes</t>
        </is>
      </c>
      <c r="X2037" s="16" t="inlineStr">
        <is>
          <t>Yes</t>
        </is>
      </c>
      <c r="Y2037" s="20" t="n">
        <v>75</v>
      </c>
      <c r="Z2037" s="19" t="n">
        <v>0.08960000000000001</v>
      </c>
      <c r="AA2037" s="18" t="n"/>
      <c r="AB2037" s="16" t="n"/>
      <c r="AC2037" s="16" t="inlineStr">
        <is>
          <t>No</t>
        </is>
      </c>
      <c r="AD2037" s="19" t="n"/>
      <c r="AE2037" s="19" t="n"/>
      <c r="AF2037" s="19" t="n"/>
      <c r="AG2037" s="19" t="n"/>
      <c r="AH2037" s="23" t="n"/>
      <c r="AI2037" s="23" t="n"/>
      <c r="AJ2037" s="19" t="n"/>
    </row>
    <row r="2038">
      <c r="A2038" s="16" t="inlineStr">
        <is>
          <t>ABCOTS</t>
        </is>
      </c>
      <c r="B2038" s="16" t="inlineStr">
        <is>
          <t>AB Cotspin India Ltd.</t>
        </is>
      </c>
      <c r="C2038" s="16" t="inlineStr">
        <is>
          <t>Textiles</t>
        </is>
      </c>
      <c r="D2038" s="16" t="inlineStr">
        <is>
          <t>Textiles Apparels &amp; Accessories</t>
        </is>
      </c>
      <c r="E2038" s="16" t="inlineStr">
        <is>
          <t>INE08PH01015</t>
        </is>
      </c>
      <c r="F2038" s="17" t="n">
        <v>457.17</v>
      </c>
      <c r="G2038" s="18" t="n">
        <v>208.15</v>
      </c>
      <c r="H2038" s="19" t="n">
        <v>0.0033</v>
      </c>
      <c r="I2038" s="20" t="n">
        <v>3</v>
      </c>
      <c r="J2038" s="16" t="inlineStr">
        <is>
          <t>red</t>
        </is>
      </c>
      <c r="K2038" s="20" t="n">
        <v>107</v>
      </c>
      <c r="L2038" s="18" t="n">
        <v>57.97</v>
      </c>
      <c r="M2038" s="18" t="n">
        <v>208.32</v>
      </c>
      <c r="N2038" s="18" t="n">
        <v>206.84</v>
      </c>
      <c r="O2038" s="18" t="n">
        <v>317.22</v>
      </c>
      <c r="P2038" s="18" t="n">
        <v>456.5</v>
      </c>
      <c r="Q2038" s="18" t="n">
        <v>198.38</v>
      </c>
      <c r="R2038" s="21">
        <f>IF(OR(G2038="",P2038=""),"",G2038/P2038-1)</f>
        <v/>
      </c>
      <c r="S2038" s="19" t="n">
        <v>0.3268</v>
      </c>
      <c r="T2038" s="22" t="n">
        <v>-0.0617</v>
      </c>
      <c r="U2038" s="16" t="inlineStr">
        <is>
          <t>No</t>
        </is>
      </c>
      <c r="V2038" s="16" t="inlineStr">
        <is>
          <t>Yes</t>
        </is>
      </c>
      <c r="W2038" s="16" t="inlineStr">
        <is>
          <t>No</t>
        </is>
      </c>
      <c r="X2038" s="16" t="inlineStr">
        <is>
          <t>No</t>
        </is>
      </c>
      <c r="Y2038" s="20" t="n">
        <v>285</v>
      </c>
      <c r="Z2038" s="19" t="n">
        <v>-0.348</v>
      </c>
      <c r="AA2038" s="18" t="n"/>
      <c r="AB2038" s="16" t="n"/>
      <c r="AC2038" s="16" t="inlineStr">
        <is>
          <t>No</t>
        </is>
      </c>
      <c r="AD2038" s="19" t="n"/>
      <c r="AE2038" s="19" t="n"/>
      <c r="AF2038" s="19" t="n"/>
      <c r="AG2038" s="19" t="n"/>
      <c r="AH2038" s="23" t="n"/>
      <c r="AI2038" s="23" t="n"/>
      <c r="AJ2038" s="19" t="n"/>
    </row>
    <row r="2039">
      <c r="A2039" s="16" t="inlineStr">
        <is>
          <t>ADVANIHOTR</t>
        </is>
      </c>
      <c r="B2039" s="16" t="inlineStr">
        <is>
          <t>Advani Hotels &amp; Resorts (India) Ltd.</t>
        </is>
      </c>
      <c r="C2039" s="16" t="inlineStr">
        <is>
          <t>Hotels</t>
        </is>
      </c>
      <c r="D2039" s="16" t="inlineStr">
        <is>
          <t>Hotels Restaurants &amp; Tourism</t>
        </is>
      </c>
      <c r="E2039" s="16" t="inlineStr">
        <is>
          <t>INE199C01026</t>
        </is>
      </c>
      <c r="F2039" s="17" t="n">
        <v>457.11</v>
      </c>
      <c r="G2039" s="18" t="n">
        <v>49.45</v>
      </c>
      <c r="H2039" s="19" t="n">
        <v>0.005500000000000001</v>
      </c>
      <c r="I2039" s="20" t="n">
        <v>21</v>
      </c>
      <c r="J2039" s="16" t="inlineStr">
        <is>
          <t>red</t>
        </is>
      </c>
      <c r="K2039" s="20" t="n">
        <v>138</v>
      </c>
      <c r="L2039" s="18" t="n">
        <v>43.07</v>
      </c>
      <c r="M2039" s="18" t="n">
        <v>49.66</v>
      </c>
      <c r="N2039" s="18" t="n">
        <v>51.29</v>
      </c>
      <c r="O2039" s="18" t="n">
        <v>52.99</v>
      </c>
      <c r="P2039" s="18" t="n">
        <v>60.16</v>
      </c>
      <c r="Q2039" s="18" t="n">
        <v>46.4</v>
      </c>
      <c r="R2039" s="21">
        <f>IF(OR(G2039="",P2039=""),"",G2039/P2039-1)</f>
        <v/>
      </c>
      <c r="S2039" s="19" t="n">
        <v>0.6829000000000001</v>
      </c>
      <c r="T2039" s="22" t="n">
        <v>-0.0107</v>
      </c>
      <c r="U2039" s="16" t="inlineStr">
        <is>
          <t>No</t>
        </is>
      </c>
      <c r="V2039" s="16" t="inlineStr">
        <is>
          <t>No</t>
        </is>
      </c>
      <c r="W2039" s="16" t="inlineStr">
        <is>
          <t>No</t>
        </is>
      </c>
      <c r="X2039" s="16" t="inlineStr">
        <is>
          <t>No</t>
        </is>
      </c>
      <c r="Y2039" s="20" t="n">
        <v>462</v>
      </c>
      <c r="Z2039" s="19" t="n">
        <v>-0.0322</v>
      </c>
      <c r="AA2039" s="18" t="n"/>
      <c r="AB2039" s="16" t="n"/>
      <c r="AC2039" s="16" t="inlineStr">
        <is>
          <t>No</t>
        </is>
      </c>
      <c r="AD2039" s="19" t="n"/>
      <c r="AE2039" s="19" t="n"/>
      <c r="AF2039" s="19" t="n"/>
      <c r="AG2039" s="19" t="n"/>
      <c r="AH2039" s="23" t="n"/>
      <c r="AI2039" s="23" t="n"/>
      <c r="AJ2039" s="19" t="n"/>
    </row>
    <row r="2040">
      <c r="A2040" s="16" t="inlineStr">
        <is>
          <t>SRAMSET</t>
        </is>
      </c>
      <c r="B2040" s="16" t="inlineStr">
        <is>
          <t>Shriram Asset Management Company Ltd.</t>
        </is>
      </c>
      <c r="C2040" s="16" t="inlineStr">
        <is>
          <t>Asset Management Cos.</t>
        </is>
      </c>
      <c r="D2040" s="16" t="inlineStr">
        <is>
          <t>Banking and Finance</t>
        </is>
      </c>
      <c r="E2040" s="16" t="inlineStr">
        <is>
          <t>INE777G01012</t>
        </is>
      </c>
      <c r="F2040" s="17" t="n">
        <v>456.71</v>
      </c>
      <c r="G2040" s="18" t="n">
        <v>270.15</v>
      </c>
      <c r="H2040" s="19" t="n">
        <v>-0.0144</v>
      </c>
      <c r="I2040" s="20" t="n">
        <v>8</v>
      </c>
      <c r="J2040" s="16" t="inlineStr">
        <is>
          <t>red</t>
        </is>
      </c>
      <c r="K2040" s="20" t="n">
        <v>257</v>
      </c>
      <c r="L2040" s="18" t="n">
        <v>20.04</v>
      </c>
      <c r="M2040" s="18" t="n">
        <v>276.58</v>
      </c>
      <c r="N2040" s="18" t="n">
        <v>285</v>
      </c>
      <c r="O2040" s="18" t="n">
        <v>320.42</v>
      </c>
      <c r="P2040" s="18" t="n">
        <v>498</v>
      </c>
      <c r="Q2040" s="18" t="n">
        <v>265.65</v>
      </c>
      <c r="R2040" s="21">
        <f>IF(OR(G2040="",P2040=""),"",G2040/P2040-1)</f>
        <v/>
      </c>
      <c r="S2040" s="19" t="n">
        <v>0.2872</v>
      </c>
      <c r="T2040" s="22" t="n">
        <v>-0.0379</v>
      </c>
      <c r="U2040" s="16" t="inlineStr">
        <is>
          <t>No</t>
        </is>
      </c>
      <c r="V2040" s="16" t="inlineStr">
        <is>
          <t>No</t>
        </is>
      </c>
      <c r="W2040" s="16" t="inlineStr">
        <is>
          <t>No</t>
        </is>
      </c>
      <c r="X2040" s="16" t="inlineStr">
        <is>
          <t>No</t>
        </is>
      </c>
      <c r="Y2040" s="20" t="n">
        <v>235</v>
      </c>
      <c r="Z2040" s="19" t="n">
        <v>-0.1105</v>
      </c>
      <c r="AA2040" s="18" t="n"/>
      <c r="AB2040" s="16" t="n"/>
      <c r="AC2040" s="16" t="inlineStr">
        <is>
          <t>No</t>
        </is>
      </c>
      <c r="AD2040" s="19" t="n"/>
      <c r="AE2040" s="19" t="n"/>
      <c r="AF2040" s="19" t="n"/>
      <c r="AG2040" s="19" t="n"/>
      <c r="AH2040" s="23" t="n"/>
      <c r="AI2040" s="23" t="n"/>
      <c r="AJ2040" s="19" t="n"/>
    </row>
    <row r="2041">
      <c r="A2041" s="16" t="inlineStr">
        <is>
          <t>JENBURPH</t>
        </is>
      </c>
      <c r="B2041" s="16" t="inlineStr">
        <is>
          <t>Jenburkt Pharmaceuticals Ltd.</t>
        </is>
      </c>
      <c r="C2041" s="16" t="inlineStr">
        <is>
          <t>Pharmaceuticals</t>
        </is>
      </c>
      <c r="D2041" s="16" t="inlineStr">
        <is>
          <t>Pharmaceuticals &amp; Biotechnology</t>
        </is>
      </c>
      <c r="E2041" s="16" t="inlineStr">
        <is>
          <t>INE354A01013</t>
        </is>
      </c>
      <c r="F2041" s="17" t="n">
        <v>456.51</v>
      </c>
      <c r="G2041" s="18" t="n">
        <v>1034.4</v>
      </c>
      <c r="H2041" s="19" t="n">
        <v>-0.0054</v>
      </c>
      <c r="I2041" s="20" t="n">
        <v>29</v>
      </c>
      <c r="J2041" s="16" t="inlineStr">
        <is>
          <t>red</t>
        </is>
      </c>
      <c r="K2041" s="20" t="n">
        <v>62</v>
      </c>
      <c r="L2041" s="18" t="n">
        <v>51.91</v>
      </c>
      <c r="M2041" s="18" t="n">
        <v>1036.64</v>
      </c>
      <c r="N2041" s="18" t="n">
        <v>1058.25</v>
      </c>
      <c r="O2041" s="18" t="n">
        <v>1065.42</v>
      </c>
      <c r="P2041" s="18" t="n">
        <v>1250.22</v>
      </c>
      <c r="Q2041" s="18" t="n">
        <v>936.26</v>
      </c>
      <c r="R2041" s="21">
        <f>IF(OR(G2041="",P2041=""),"",G2041/P2041-1)</f>
        <v/>
      </c>
      <c r="S2041" s="19" t="n">
        <v>0.11</v>
      </c>
      <c r="T2041" s="22" t="n">
        <v>-0.01</v>
      </c>
      <c r="U2041" s="16" t="inlineStr">
        <is>
          <t>No</t>
        </is>
      </c>
      <c r="V2041" s="16" t="inlineStr">
        <is>
          <t>No</t>
        </is>
      </c>
      <c r="W2041" s="16" t="inlineStr">
        <is>
          <t>No</t>
        </is>
      </c>
      <c r="X2041" s="16" t="inlineStr">
        <is>
          <t>No</t>
        </is>
      </c>
      <c r="Y2041" s="20" t="n">
        <v>10</v>
      </c>
      <c r="Z2041" s="19" t="n">
        <v>-0.0067</v>
      </c>
      <c r="AA2041" s="18" t="n"/>
      <c r="AB2041" s="16" t="n"/>
      <c r="AC2041" s="16" t="inlineStr">
        <is>
          <t>No</t>
        </is>
      </c>
      <c r="AD2041" s="19" t="n"/>
      <c r="AE2041" s="19" t="n"/>
      <c r="AF2041" s="19" t="n"/>
      <c r="AG2041" s="19" t="n"/>
      <c r="AH2041" s="23" t="n"/>
      <c r="AI2041" s="23" t="n"/>
      <c r="AJ2041" s="19" t="n"/>
    </row>
    <row r="2042">
      <c r="A2042" s="16" t="inlineStr">
        <is>
          <t>UCIL</t>
        </is>
      </c>
      <c r="B2042" s="16" t="inlineStr">
        <is>
          <t>Unifinz Capital India Ltd.</t>
        </is>
      </c>
      <c r="C2042" s="16" t="inlineStr">
        <is>
          <t>Finance (including NBFCs)</t>
        </is>
      </c>
      <c r="D2042" s="16" t="inlineStr">
        <is>
          <t>Banking and Finance</t>
        </is>
      </c>
      <c r="E2042" s="16" t="inlineStr">
        <is>
          <t>INE926R01012</t>
        </is>
      </c>
      <c r="F2042" s="17" t="n">
        <v>455.96</v>
      </c>
      <c r="G2042" s="18" t="n">
        <v>103</v>
      </c>
      <c r="H2042" s="19" t="n">
        <v>-0.0463</v>
      </c>
      <c r="I2042" s="20" t="n">
        <v>59</v>
      </c>
      <c r="J2042" s="16" t="inlineStr">
        <is>
          <t>red</t>
        </is>
      </c>
      <c r="K2042" s="20" t="n">
        <v>1</v>
      </c>
      <c r="L2042" s="18" t="n">
        <v>46.72</v>
      </c>
      <c r="M2042" s="18" t="n">
        <v>102.81</v>
      </c>
      <c r="N2042" s="18" t="n">
        <v>108.08</v>
      </c>
      <c r="O2042" s="18" t="n">
        <v>101.36</v>
      </c>
      <c r="P2042" s="18" t="n">
        <v>128.82</v>
      </c>
      <c r="Q2042" s="18" t="n">
        <v>61</v>
      </c>
      <c r="R2042" s="21">
        <f>IF(OR(G2042="",P2042=""),"",G2042/P2042-1)</f>
        <v/>
      </c>
      <c r="S2042" s="19" t="n">
        <v>0.3862</v>
      </c>
      <c r="T2042" s="22" t="n">
        <v>-0.0014</v>
      </c>
      <c r="U2042" s="16" t="inlineStr">
        <is>
          <t>No</t>
        </is>
      </c>
      <c r="V2042" s="16" t="inlineStr">
        <is>
          <t>No</t>
        </is>
      </c>
      <c r="W2042" s="16" t="inlineStr">
        <is>
          <t>Yes</t>
        </is>
      </c>
      <c r="X2042" s="16" t="inlineStr">
        <is>
          <t>Yes</t>
        </is>
      </c>
      <c r="Y2042" s="20" t="n">
        <v>30</v>
      </c>
      <c r="Z2042" s="19" t="n">
        <v>0.0663</v>
      </c>
      <c r="AA2042" s="18" t="n"/>
      <c r="AB2042" s="16" t="n"/>
      <c r="AC2042" s="16" t="inlineStr">
        <is>
          <t>No</t>
        </is>
      </c>
      <c r="AD2042" s="19" t="n"/>
      <c r="AE2042" s="19" t="n"/>
      <c r="AF2042" s="19" t="n"/>
      <c r="AG2042" s="19" t="n"/>
      <c r="AH2042" s="23" t="n"/>
      <c r="AI2042" s="23" t="n"/>
      <c r="AJ2042" s="19" t="n"/>
    </row>
    <row r="2043">
      <c r="A2043" s="16" t="inlineStr">
        <is>
          <t>KALIND</t>
        </is>
      </c>
      <c r="B2043" s="16" t="inlineStr">
        <is>
          <t>Kalind Ltd.</t>
        </is>
      </c>
      <c r="C2043" s="16" t="inlineStr">
        <is>
          <t>Other Financial Services</t>
        </is>
      </c>
      <c r="D2043" s="16" t="inlineStr">
        <is>
          <t>Banking and Finance</t>
        </is>
      </c>
      <c r="E2043" s="16" t="inlineStr">
        <is>
          <t>INE377D01026</t>
        </is>
      </c>
      <c r="F2043" s="17" t="n">
        <v>455.26</v>
      </c>
      <c r="G2043" s="18" t="n">
        <v>4.98</v>
      </c>
      <c r="H2043" s="19" t="n">
        <v>0.0353</v>
      </c>
      <c r="I2043" s="20" t="n">
        <v>2</v>
      </c>
      <c r="J2043" s="16" t="inlineStr">
        <is>
          <t>red</t>
        </is>
      </c>
      <c r="K2043" s="20" t="n">
        <v>18</v>
      </c>
      <c r="L2043" s="18" t="n">
        <v>33.45</v>
      </c>
      <c r="M2043" s="18" t="n">
        <v>4.44</v>
      </c>
      <c r="N2043" s="18" t="n">
        <v>8.56</v>
      </c>
      <c r="O2043" s="18" t="n">
        <v>10.72</v>
      </c>
      <c r="P2043" s="18" t="n">
        <v>13.97</v>
      </c>
      <c r="Q2043" s="18" t="n">
        <v>3.56</v>
      </c>
      <c r="R2043" s="21">
        <f>IF(OR(G2043="",P2043=""),"",G2043/P2043-1)</f>
        <v/>
      </c>
      <c r="S2043" s="19" t="n">
        <v>3.0253</v>
      </c>
      <c r="T2043" s="22" t="n">
        <v>-0.0097</v>
      </c>
      <c r="U2043" s="16" t="inlineStr">
        <is>
          <t>No</t>
        </is>
      </c>
      <c r="V2043" s="16" t="inlineStr">
        <is>
          <t>No</t>
        </is>
      </c>
      <c r="W2043" s="16" t="inlineStr">
        <is>
          <t>Yes</t>
        </is>
      </c>
      <c r="X2043" s="16" t="inlineStr">
        <is>
          <t>No</t>
        </is>
      </c>
      <c r="Y2043" s="20" t="n">
        <v>16</v>
      </c>
      <c r="Z2043" s="19" t="n">
        <v>-0.2016</v>
      </c>
      <c r="AA2043" s="18" t="n"/>
      <c r="AB2043" s="16" t="n"/>
      <c r="AC2043" s="16" t="inlineStr">
        <is>
          <t>No</t>
        </is>
      </c>
      <c r="AD2043" s="19" t="n"/>
      <c r="AE2043" s="19" t="n"/>
      <c r="AF2043" s="19" t="n"/>
      <c r="AG2043" s="19" t="n"/>
      <c r="AH2043" s="23" t="n"/>
      <c r="AI2043" s="23" t="n"/>
      <c r="AJ2043" s="19" t="n"/>
    </row>
    <row r="2044">
      <c r="A2044" s="16" t="inlineStr">
        <is>
          <t>MODINATUR</t>
        </is>
      </c>
      <c r="B2044" s="16" t="inlineStr">
        <is>
          <t>Modi Naturals Ltd.</t>
        </is>
      </c>
      <c r="C2044" s="16" t="inlineStr">
        <is>
          <t>Other Agricultural Products</t>
        </is>
      </c>
      <c r="D2044" s="16" t="inlineStr">
        <is>
          <t>Food, Beverages &amp; Tobacco</t>
        </is>
      </c>
      <c r="E2044" s="16" t="inlineStr">
        <is>
          <t>INE537F01012</t>
        </is>
      </c>
      <c r="F2044" s="17" t="n">
        <v>453.68</v>
      </c>
      <c r="G2044" s="18" t="n">
        <v>340.95</v>
      </c>
      <c r="H2044" s="19" t="n">
        <v>0.0199</v>
      </c>
      <c r="I2044" s="20" t="n">
        <v>26</v>
      </c>
      <c r="J2044" s="16" t="inlineStr">
        <is>
          <t>red</t>
        </is>
      </c>
      <c r="K2044" s="20" t="n">
        <v>19</v>
      </c>
      <c r="L2044" s="18" t="n">
        <v>36.39</v>
      </c>
      <c r="M2044" s="18" t="n">
        <v>348.77</v>
      </c>
      <c r="N2044" s="18" t="n">
        <v>392.73</v>
      </c>
      <c r="O2044" s="18" t="n"/>
      <c r="P2044" s="18" t="n">
        <v>484.75</v>
      </c>
      <c r="Q2044" s="18" t="n">
        <v>272.25</v>
      </c>
      <c r="R2044" s="21">
        <f>IF(OR(G2044="",P2044=""),"",G2044/P2044-1)</f>
        <v/>
      </c>
      <c r="S2044" s="19" t="n">
        <v>0.3867</v>
      </c>
      <c r="T2044" s="22" t="n"/>
      <c r="U2044" s="16" t="n"/>
      <c r="V2044" s="16" t="inlineStr">
        <is>
          <t>No</t>
        </is>
      </c>
      <c r="W2044" s="16" t="inlineStr">
        <is>
          <t>No</t>
        </is>
      </c>
      <c r="X2044" s="16" t="n"/>
      <c r="Y2044" s="20" t="n"/>
      <c r="Z2044" s="19" t="n"/>
      <c r="AA2044" s="18" t="n">
        <v>57.18</v>
      </c>
      <c r="AB2044" s="16" t="inlineStr">
        <is>
          <t>Good</t>
        </is>
      </c>
      <c r="AC2044" s="16" t="inlineStr">
        <is>
          <t>No</t>
        </is>
      </c>
      <c r="AD2044" s="19" t="n">
        <v>0.1774</v>
      </c>
      <c r="AE2044" s="19" t="n">
        <v>0.136</v>
      </c>
      <c r="AF2044" s="19" t="n">
        <v>6.9058</v>
      </c>
      <c r="AG2044" s="19" t="n">
        <v>0.2091</v>
      </c>
      <c r="AH2044" s="23" t="n">
        <v>0.9399999999999999</v>
      </c>
      <c r="AI2044" s="23" t="n">
        <v>2.92</v>
      </c>
      <c r="AJ2044" s="19" t="n">
        <v>0.08359999999999999</v>
      </c>
    </row>
    <row r="2045">
      <c r="A2045" s="16" t="inlineStr">
        <is>
          <t>VPRPL</t>
        </is>
      </c>
      <c r="B2045" s="16" t="inlineStr">
        <is>
          <t>Vishnu Prakash R Punglia Ltd.</t>
        </is>
      </c>
      <c r="C2045" s="16" t="inlineStr">
        <is>
          <t>Construction &amp; Engineering</t>
        </is>
      </c>
      <c r="D2045" s="16" t="inlineStr">
        <is>
          <t>Cement and Construction</t>
        </is>
      </c>
      <c r="E2045" s="16" t="inlineStr">
        <is>
          <t>INE0AE001013</t>
        </is>
      </c>
      <c r="F2045" s="17" t="n">
        <v>452.21</v>
      </c>
      <c r="G2045" s="18" t="n">
        <v>36.28</v>
      </c>
      <c r="H2045" s="19" t="n">
        <v>0.008100000000000001</v>
      </c>
      <c r="I2045" s="20" t="n">
        <v>13</v>
      </c>
      <c r="J2045" s="16" t="inlineStr">
        <is>
          <t>red</t>
        </is>
      </c>
      <c r="K2045" s="20" t="n">
        <v>395</v>
      </c>
      <c r="L2045" s="18" t="n">
        <v>56.63</v>
      </c>
      <c r="M2045" s="18" t="n">
        <v>33.99</v>
      </c>
      <c r="N2045" s="18" t="n">
        <v>30.28</v>
      </c>
      <c r="O2045" s="18" t="n">
        <v>42.81</v>
      </c>
      <c r="P2045" s="18" t="n">
        <v>121.93</v>
      </c>
      <c r="Q2045" s="18" t="n">
        <v>25.19</v>
      </c>
      <c r="R2045" s="21">
        <f>IF(OR(G2045="",P2045=""),"",G2045/P2045-1)</f>
        <v/>
      </c>
      <c r="S2045" s="19" t="n">
        <v>0.7826000000000001</v>
      </c>
      <c r="T2045" s="22" t="n">
        <v>-0.1158</v>
      </c>
      <c r="U2045" s="16" t="inlineStr">
        <is>
          <t>No</t>
        </is>
      </c>
      <c r="V2045" s="16" t="inlineStr">
        <is>
          <t>Yes</t>
        </is>
      </c>
      <c r="W2045" s="16" t="inlineStr">
        <is>
          <t>Yes</t>
        </is>
      </c>
      <c r="X2045" s="16" t="inlineStr">
        <is>
          <t>No</t>
        </is>
      </c>
      <c r="Y2045" s="20" t="n">
        <v>379</v>
      </c>
      <c r="Z2045" s="19" t="n">
        <v>-0.2928</v>
      </c>
      <c r="AA2045" s="18" t="n"/>
      <c r="AB2045" s="16" t="n"/>
      <c r="AC2045" s="16" t="inlineStr">
        <is>
          <t>No</t>
        </is>
      </c>
      <c r="AD2045" s="19" t="n"/>
      <c r="AE2045" s="19" t="n"/>
      <c r="AF2045" s="19" t="n"/>
      <c r="AG2045" s="19" t="n"/>
      <c r="AH2045" s="23" t="n"/>
      <c r="AI2045" s="23" t="n"/>
      <c r="AJ2045" s="19" t="n"/>
    </row>
    <row r="2046">
      <c r="A2046" s="16" t="inlineStr">
        <is>
          <t>SOTEFIN</t>
        </is>
      </c>
      <c r="B2046" s="16" t="inlineStr">
        <is>
          <t>Sotefin Bharat Ltd.</t>
        </is>
      </c>
      <c r="C2046" s="16" t="inlineStr">
        <is>
          <t>Industrial Machinery</t>
        </is>
      </c>
      <c r="D2046" s="16" t="inlineStr">
        <is>
          <t>General Industrials</t>
        </is>
      </c>
      <c r="E2046" s="16" t="inlineStr">
        <is>
          <t>INE12Z301012</t>
        </is>
      </c>
      <c r="F2046" s="17" t="n">
        <v>452.01</v>
      </c>
      <c r="G2046" s="18" t="n">
        <v>248.9</v>
      </c>
      <c r="H2046" s="19" t="n">
        <v>0.0289</v>
      </c>
      <c r="I2046" s="20" t="n"/>
      <c r="J2046" s="16" t="n"/>
      <c r="K2046" s="20" t="n"/>
      <c r="L2046" s="18" t="n">
        <v>45.49</v>
      </c>
      <c r="M2046" s="18" t="n">
        <v>252.52</v>
      </c>
      <c r="N2046" s="18" t="n"/>
      <c r="O2046" s="18" t="n"/>
      <c r="P2046" s="18" t="n">
        <v>273.85</v>
      </c>
      <c r="Q2046" s="18" t="n">
        <v>201.6</v>
      </c>
      <c r="R2046" s="21">
        <f>IF(OR(G2046="",P2046=""),"",G2046/P2046-1)</f>
        <v/>
      </c>
      <c r="S2046" s="19" t="n">
        <v>0.2545</v>
      </c>
      <c r="T2046" s="22" t="n"/>
      <c r="U2046" s="16" t="n"/>
      <c r="V2046" s="16" t="n"/>
      <c r="W2046" s="16" t="inlineStr">
        <is>
          <t>No</t>
        </is>
      </c>
      <c r="X2046" s="16" t="n"/>
      <c r="Y2046" s="20" t="n"/>
      <c r="Z2046" s="19" t="n"/>
      <c r="AA2046" s="18" t="n"/>
      <c r="AB2046" s="16" t="n"/>
      <c r="AC2046" s="16" t="inlineStr">
        <is>
          <t>No</t>
        </is>
      </c>
      <c r="AD2046" s="19" t="n"/>
      <c r="AE2046" s="19" t="n"/>
      <c r="AF2046" s="19" t="n"/>
      <c r="AG2046" s="19" t="n"/>
      <c r="AH2046" s="23" t="n"/>
      <c r="AI2046" s="23" t="n"/>
      <c r="AJ2046" s="19" t="n"/>
    </row>
    <row r="2047">
      <c r="A2047" s="16" t="inlineStr">
        <is>
          <t>SARTELE</t>
        </is>
      </c>
      <c r="B2047" s="16" t="inlineStr">
        <is>
          <t>SAR Televenture Ltd.</t>
        </is>
      </c>
      <c r="C2047" s="16" t="inlineStr">
        <is>
          <t>Other Telecom Services</t>
        </is>
      </c>
      <c r="D2047" s="16" t="inlineStr">
        <is>
          <t>Telecom Services</t>
        </is>
      </c>
      <c r="E2047" s="16" t="inlineStr">
        <is>
          <t>INE0PUC01020</t>
        </is>
      </c>
      <c r="F2047" s="17" t="n">
        <v>448.32</v>
      </c>
      <c r="G2047" s="18" t="n">
        <v>89.40000000000001</v>
      </c>
      <c r="H2047" s="19" t="n">
        <v>-0.0213</v>
      </c>
      <c r="I2047" s="20" t="n">
        <v>2</v>
      </c>
      <c r="J2047" s="16" t="inlineStr">
        <is>
          <t>red</t>
        </is>
      </c>
      <c r="K2047" s="20" t="n">
        <v>132</v>
      </c>
      <c r="L2047" s="18" t="n">
        <v>30.44</v>
      </c>
      <c r="M2047" s="18" t="n">
        <v>93.48999999999999</v>
      </c>
      <c r="N2047" s="18" t="n">
        <v>115.31</v>
      </c>
      <c r="O2047" s="18" t="n">
        <v>169.13</v>
      </c>
      <c r="P2047" s="18" t="n">
        <v>259.85</v>
      </c>
      <c r="Q2047" s="18" t="n">
        <v>89.40000000000001</v>
      </c>
      <c r="R2047" s="21">
        <f>IF(OR(G2047="",P2047=""),"",G2047/P2047-1)</f>
        <v/>
      </c>
      <c r="S2047" s="19" t="n">
        <v>0.4297</v>
      </c>
      <c r="T2047" s="22" t="n">
        <v>-0.0407</v>
      </c>
      <c r="U2047" s="16" t="inlineStr">
        <is>
          <t>No</t>
        </is>
      </c>
      <c r="V2047" s="16" t="inlineStr">
        <is>
          <t>No</t>
        </is>
      </c>
      <c r="W2047" s="16" t="inlineStr">
        <is>
          <t>No</t>
        </is>
      </c>
      <c r="X2047" s="16" t="inlineStr">
        <is>
          <t>No</t>
        </is>
      </c>
      <c r="Y2047" s="20" t="n">
        <v>116</v>
      </c>
      <c r="Z2047" s="19" t="n">
        <v>-0.3182</v>
      </c>
      <c r="AA2047" s="18" t="n"/>
      <c r="AB2047" s="16" t="n"/>
      <c r="AC2047" s="16" t="inlineStr">
        <is>
          <t>No</t>
        </is>
      </c>
      <c r="AD2047" s="19" t="n"/>
      <c r="AE2047" s="19" t="n"/>
      <c r="AF2047" s="19" t="n"/>
      <c r="AG2047" s="19" t="n"/>
      <c r="AH2047" s="23" t="n"/>
      <c r="AI2047" s="23" t="n"/>
      <c r="AJ2047" s="19" t="n"/>
    </row>
    <row r="2048">
      <c r="A2048" s="16" t="inlineStr">
        <is>
          <t>AKIKO</t>
        </is>
      </c>
      <c r="B2048" s="16" t="inlineStr">
        <is>
          <t>Akiko Global Services Ltd.</t>
        </is>
      </c>
      <c r="C2048" s="16" t="inlineStr">
        <is>
          <t>Distributors</t>
        </is>
      </c>
      <c r="D2048" s="16" t="inlineStr">
        <is>
          <t>Commercial Services &amp; Supplies</t>
        </is>
      </c>
      <c r="E2048" s="16" t="inlineStr">
        <is>
          <t>INE0PMR01017</t>
        </is>
      </c>
      <c r="F2048" s="17" t="n">
        <v>448.18</v>
      </c>
      <c r="G2048" s="18" t="n">
        <v>416.15</v>
      </c>
      <c r="H2048" s="19" t="n">
        <v>0.0301</v>
      </c>
      <c r="I2048" s="20" t="n">
        <v>94</v>
      </c>
      <c r="J2048" s="16" t="inlineStr">
        <is>
          <t>green</t>
        </is>
      </c>
      <c r="K2048" s="20" t="n">
        <v>276</v>
      </c>
      <c r="L2048" s="18" t="n">
        <v>72.53</v>
      </c>
      <c r="M2048" s="18" t="n">
        <v>400.83</v>
      </c>
      <c r="N2048" s="18" t="n">
        <v>340.64</v>
      </c>
      <c r="O2048" s="18" t="n">
        <v>267.33</v>
      </c>
      <c r="P2048" s="18" t="n">
        <v>416.15</v>
      </c>
      <c r="Q2048" s="18" t="n">
        <v>168</v>
      </c>
      <c r="R2048" s="21">
        <f>IF(OR(G2048="",P2048=""),"",G2048/P2048-1)</f>
        <v/>
      </c>
      <c r="S2048" s="19" t="n">
        <v>1.0692</v>
      </c>
      <c r="T2048" s="22" t="n">
        <v>0.043</v>
      </c>
      <c r="U2048" s="16" t="inlineStr">
        <is>
          <t>Yes</t>
        </is>
      </c>
      <c r="V2048" s="16" t="inlineStr">
        <is>
          <t>Yes</t>
        </is>
      </c>
      <c r="W2048" s="16" t="inlineStr">
        <is>
          <t>Yes</t>
        </is>
      </c>
      <c r="X2048" s="16" t="inlineStr">
        <is>
          <t>Yes</t>
        </is>
      </c>
      <c r="Y2048" s="20" t="n">
        <v>78</v>
      </c>
      <c r="Z2048" s="19" t="n">
        <v>0.2742</v>
      </c>
      <c r="AA2048" s="18" t="n"/>
      <c r="AB2048" s="16" t="n"/>
      <c r="AC2048" s="16" t="inlineStr">
        <is>
          <t>No</t>
        </is>
      </c>
      <c r="AD2048" s="19" t="n"/>
      <c r="AE2048" s="19" t="n"/>
      <c r="AF2048" s="19" t="n"/>
      <c r="AG2048" s="19" t="n"/>
      <c r="AH2048" s="23" t="n"/>
      <c r="AI2048" s="23" t="n"/>
      <c r="AJ2048" s="19" t="n"/>
    </row>
    <row r="2049">
      <c r="A2049" s="16" t="inlineStr">
        <is>
          <t>ANNU</t>
        </is>
      </c>
      <c r="B2049" s="16" t="inlineStr">
        <is>
          <t>Annu Projects Ltd.</t>
        </is>
      </c>
      <c r="C2049" s="16" t="inlineStr">
        <is>
          <t>Construction &amp; Engineering</t>
        </is>
      </c>
      <c r="D2049" s="16" t="inlineStr">
        <is>
          <t>Cement and Construction</t>
        </is>
      </c>
      <c r="E2049" s="16" t="inlineStr">
        <is>
          <t>INE103001017</t>
        </is>
      </c>
      <c r="F2049" s="17" t="n">
        <v>446.86</v>
      </c>
      <c r="G2049" s="18" t="n">
        <v>68.23</v>
      </c>
      <c r="H2049" s="19" t="n">
        <v>-0.05</v>
      </c>
      <c r="I2049" s="20" t="n"/>
      <c r="J2049" s="16" t="n"/>
      <c r="K2049" s="20" t="n"/>
      <c r="L2049" s="18" t="n"/>
      <c r="M2049" s="18" t="n"/>
      <c r="N2049" s="18" t="n"/>
      <c r="O2049" s="18" t="n"/>
      <c r="P2049" s="18" t="n">
        <v>75.59999999999999</v>
      </c>
      <c r="Q2049" s="18" t="n">
        <v>68.23</v>
      </c>
      <c r="R2049" s="21">
        <f>IF(OR(G2049="",P2049=""),"",G2049/P2049-1)</f>
        <v/>
      </c>
      <c r="S2049" s="19" t="n">
        <v>0.1404</v>
      </c>
      <c r="T2049" s="22" t="n"/>
      <c r="U2049" s="16" t="n"/>
      <c r="V2049" s="16" t="n"/>
      <c r="W2049" s="16" t="n"/>
      <c r="X2049" s="16" t="n"/>
      <c r="Y2049" s="20" t="n"/>
      <c r="Z2049" s="19" t="n"/>
      <c r="AA2049" s="18" t="n"/>
      <c r="AB2049" s="16" t="n"/>
      <c r="AC2049" s="16" t="inlineStr">
        <is>
          <t>No</t>
        </is>
      </c>
      <c r="AD2049" s="19" t="n"/>
      <c r="AE2049" s="19" t="n"/>
      <c r="AF2049" s="19" t="n"/>
      <c r="AG2049" s="19" t="n"/>
      <c r="AH2049" s="23" t="n"/>
      <c r="AI2049" s="23" t="n"/>
      <c r="AJ2049" s="19" t="n"/>
    </row>
    <row r="2050">
      <c r="A2050" s="16" t="inlineStr">
        <is>
          <t>AEPL</t>
        </is>
      </c>
      <c r="B2050" s="16" t="inlineStr">
        <is>
          <t>Artemis Electricals and Projects Ltd.</t>
        </is>
      </c>
      <c r="C2050" s="16" t="inlineStr">
        <is>
          <t>Household Appliances</t>
        </is>
      </c>
      <c r="D2050" s="16" t="inlineStr">
        <is>
          <t>Consumer Durables</t>
        </is>
      </c>
      <c r="E2050" s="16" t="inlineStr">
        <is>
          <t>INE757T01025</t>
        </is>
      </c>
      <c r="F2050" s="17" t="n">
        <v>446.09</v>
      </c>
      <c r="G2050" s="18" t="n">
        <v>17.77</v>
      </c>
      <c r="H2050" s="19" t="n">
        <v>0.0527</v>
      </c>
      <c r="I2050" s="20" t="n">
        <v>26</v>
      </c>
      <c r="J2050" s="16" t="inlineStr">
        <is>
          <t>red</t>
        </is>
      </c>
      <c r="K2050" s="20" t="n">
        <v>247</v>
      </c>
      <c r="L2050" s="18" t="n">
        <v>78.34</v>
      </c>
      <c r="M2050" s="18" t="n">
        <v>15.66</v>
      </c>
      <c r="N2050" s="18" t="n">
        <v>15.61</v>
      </c>
      <c r="O2050" s="18" t="n">
        <v>18.08</v>
      </c>
      <c r="P2050" s="18" t="n">
        <v>26.88</v>
      </c>
      <c r="Q2050" s="18" t="n">
        <v>14.02</v>
      </c>
      <c r="R2050" s="21">
        <f>IF(OR(G2050="",P2050=""),"",G2050/P2050-1)</f>
        <v/>
      </c>
      <c r="S2050" s="19" t="n">
        <v>0.8079999999999999</v>
      </c>
      <c r="T2050" s="22" t="n">
        <v>-0.0408</v>
      </c>
      <c r="U2050" s="16" t="inlineStr">
        <is>
          <t>No</t>
        </is>
      </c>
      <c r="V2050" s="16" t="inlineStr">
        <is>
          <t>Yes</t>
        </is>
      </c>
      <c r="W2050" s="16" t="inlineStr">
        <is>
          <t>Yes</t>
        </is>
      </c>
      <c r="X2050" s="16" t="inlineStr">
        <is>
          <t>No</t>
        </is>
      </c>
      <c r="Y2050" s="20" t="n">
        <v>183</v>
      </c>
      <c r="Z2050" s="19" t="n">
        <v>-0.137</v>
      </c>
      <c r="AA2050" s="18" t="n"/>
      <c r="AB2050" s="16" t="n"/>
      <c r="AC2050" s="16" t="inlineStr">
        <is>
          <t>No</t>
        </is>
      </c>
      <c r="AD2050" s="19" t="n"/>
      <c r="AE2050" s="19" t="n"/>
      <c r="AF2050" s="19" t="n"/>
      <c r="AG2050" s="19" t="n"/>
      <c r="AH2050" s="23" t="n"/>
      <c r="AI2050" s="23" t="n"/>
      <c r="AJ2050" s="19" t="n"/>
    </row>
    <row r="2051">
      <c r="A2051" s="16" t="inlineStr">
        <is>
          <t>SHETHJI</t>
        </is>
      </c>
      <c r="B2051" s="16" t="inlineStr">
        <is>
          <t>Shreeji Global FMCG Ltd.</t>
        </is>
      </c>
      <c r="C2051" s="16" t="inlineStr">
        <is>
          <t>Other Food &amp; Beverages</t>
        </is>
      </c>
      <c r="D2051" s="16" t="inlineStr">
        <is>
          <t>Food, Beverages &amp; Tobacco</t>
        </is>
      </c>
      <c r="E2051" s="16" t="inlineStr">
        <is>
          <t>INE1FL101016</t>
        </is>
      </c>
      <c r="F2051" s="17" t="n">
        <v>445.98</v>
      </c>
      <c r="G2051" s="18" t="n"/>
      <c r="H2051" s="19" t="n"/>
      <c r="I2051" s="20" t="n"/>
      <c r="J2051" s="16" t="n"/>
      <c r="K2051" s="20" t="n"/>
      <c r="L2051" s="18" t="n"/>
      <c r="M2051" s="18" t="n"/>
      <c r="N2051" s="18" t="n"/>
      <c r="O2051" s="18" t="n"/>
      <c r="P2051" s="18" t="n"/>
      <c r="Q2051" s="18" t="n"/>
      <c r="R2051" s="21">
        <f>IF(OR(G2051="",P2051=""),"",G2051/P2051-1)</f>
        <v/>
      </c>
      <c r="S2051" s="19" t="n"/>
      <c r="T2051" s="22" t="n"/>
      <c r="U2051" s="16" t="n"/>
      <c r="V2051" s="16" t="n"/>
      <c r="W2051" s="16" t="n"/>
      <c r="X2051" s="16" t="n"/>
      <c r="Y2051" s="20" t="n"/>
      <c r="Z2051" s="19" t="n"/>
      <c r="AA2051" s="18" t="n"/>
      <c r="AB2051" s="16" t="n"/>
      <c r="AC2051" s="16" t="inlineStr">
        <is>
          <t>No</t>
        </is>
      </c>
      <c r="AD2051" s="19" t="n"/>
      <c r="AE2051" s="19" t="n"/>
      <c r="AF2051" s="19" t="n"/>
      <c r="AG2051" s="19" t="n"/>
      <c r="AH2051" s="23" t="n"/>
      <c r="AI2051" s="23" t="n"/>
      <c r="AJ2051" s="19" t="n"/>
    </row>
    <row r="2052">
      <c r="A2052" s="16" t="inlineStr">
        <is>
          <t>BCCFUBA</t>
        </is>
      </c>
      <c r="B2052" s="16" t="inlineStr">
        <is>
          <t>BCC Fuba India Ltd.</t>
        </is>
      </c>
      <c r="C2052" s="16" t="inlineStr">
        <is>
          <t>Computer Hardware</t>
        </is>
      </c>
      <c r="D2052" s="16" t="inlineStr">
        <is>
          <t>Hardware Technology &amp; Equipment</t>
        </is>
      </c>
      <c r="E2052" s="16" t="inlineStr">
        <is>
          <t>INE788D01016</t>
        </is>
      </c>
      <c r="F2052" s="17" t="n">
        <v>445.91</v>
      </c>
      <c r="G2052" s="18" t="n">
        <v>224.95</v>
      </c>
      <c r="H2052" s="19" t="n">
        <v>0.0316</v>
      </c>
      <c r="I2052" s="20" t="n">
        <v>83</v>
      </c>
      <c r="J2052" s="16" t="inlineStr">
        <is>
          <t>green</t>
        </is>
      </c>
      <c r="K2052" s="20" t="n">
        <v>26</v>
      </c>
      <c r="L2052" s="18" t="n">
        <v>41.76</v>
      </c>
      <c r="M2052" s="18" t="n">
        <v>232.92</v>
      </c>
      <c r="N2052" s="18" t="n">
        <v>204.1</v>
      </c>
      <c r="O2052" s="18" t="n">
        <v>168.61</v>
      </c>
      <c r="P2052" s="18" t="n">
        <v>244.35</v>
      </c>
      <c r="Q2052" s="18" t="n">
        <v>106.3</v>
      </c>
      <c r="R2052" s="21">
        <f>IF(OR(G2052="",P2052=""),"",G2052/P2052-1)</f>
        <v/>
      </c>
      <c r="S2052" s="19" t="n">
        <v>0.8081999999999999</v>
      </c>
      <c r="T2052" s="22" t="n">
        <v>0.0342</v>
      </c>
      <c r="U2052" s="16" t="inlineStr">
        <is>
          <t>Yes</t>
        </is>
      </c>
      <c r="V2052" s="16" t="inlineStr">
        <is>
          <t>Yes</t>
        </is>
      </c>
      <c r="W2052" s="16" t="inlineStr">
        <is>
          <t>No</t>
        </is>
      </c>
      <c r="X2052" s="16" t="inlineStr">
        <is>
          <t>Yes</t>
        </is>
      </c>
      <c r="Y2052" s="20" t="n">
        <v>36</v>
      </c>
      <c r="Z2052" s="19" t="n">
        <v>0.2105</v>
      </c>
      <c r="AA2052" s="18" t="n"/>
      <c r="AB2052" s="16" t="n"/>
      <c r="AC2052" s="16" t="inlineStr">
        <is>
          <t>No</t>
        </is>
      </c>
      <c r="AD2052" s="19" t="n"/>
      <c r="AE2052" s="19" t="n"/>
      <c r="AF2052" s="19" t="n"/>
      <c r="AG2052" s="19" t="n"/>
      <c r="AH2052" s="23" t="n"/>
      <c r="AI2052" s="23" t="n"/>
      <c r="AJ2052" s="19" t="n"/>
    </row>
    <row r="2053">
      <c r="A2053" s="16" t="inlineStr">
        <is>
          <t>RADIANTCMS</t>
        </is>
      </c>
      <c r="B2053" s="16" t="inlineStr">
        <is>
          <t>Radiant Cash Management Services Ltd.</t>
        </is>
      </c>
      <c r="C2053" s="16" t="inlineStr">
        <is>
          <t>Other Financial Services</t>
        </is>
      </c>
      <c r="D2053" s="16" t="inlineStr">
        <is>
          <t>Banking and Finance</t>
        </is>
      </c>
      <c r="E2053" s="16" t="inlineStr">
        <is>
          <t>INE855R01021</t>
        </is>
      </c>
      <c r="F2053" s="17" t="n">
        <v>445.83</v>
      </c>
      <c r="G2053" s="18" t="n">
        <v>41.78</v>
      </c>
      <c r="H2053" s="19" t="n">
        <v>0.0479</v>
      </c>
      <c r="I2053" s="20" t="n">
        <v>34</v>
      </c>
      <c r="J2053" s="16" t="inlineStr">
        <is>
          <t>red</t>
        </is>
      </c>
      <c r="K2053" s="20" t="n">
        <v>501</v>
      </c>
      <c r="L2053" s="18" t="n">
        <v>75.67</v>
      </c>
      <c r="M2053" s="18" t="n">
        <v>40.05</v>
      </c>
      <c r="N2053" s="18" t="n">
        <v>37.87</v>
      </c>
      <c r="O2053" s="18" t="n">
        <v>42.22</v>
      </c>
      <c r="P2053" s="18" t="n">
        <v>56.86</v>
      </c>
      <c r="Q2053" s="18" t="n">
        <v>32.76</v>
      </c>
      <c r="R2053" s="21">
        <f>IF(OR(G2053="",P2053=""),"",G2053/P2053-1)</f>
        <v/>
      </c>
      <c r="S2053" s="19" t="n">
        <v>6.0078</v>
      </c>
      <c r="T2053" s="22" t="n">
        <v>-0.0354</v>
      </c>
      <c r="U2053" s="16" t="inlineStr">
        <is>
          <t>No</t>
        </is>
      </c>
      <c r="V2053" s="16" t="inlineStr">
        <is>
          <t>Yes</t>
        </is>
      </c>
      <c r="W2053" s="16" t="inlineStr">
        <is>
          <t>Yes</t>
        </is>
      </c>
      <c r="X2053" s="16" t="inlineStr">
        <is>
          <t>No</t>
        </is>
      </c>
      <c r="Y2053" s="20" t="n">
        <v>690</v>
      </c>
      <c r="Z2053" s="19" t="n">
        <v>-0.103</v>
      </c>
      <c r="AA2053" s="18" t="n"/>
      <c r="AB2053" s="16" t="n"/>
      <c r="AC2053" s="16" t="inlineStr">
        <is>
          <t>No</t>
        </is>
      </c>
      <c r="AD2053" s="19" t="n"/>
      <c r="AE2053" s="19" t="n"/>
      <c r="AF2053" s="19" t="n"/>
      <c r="AG2053" s="19" t="n"/>
      <c r="AH2053" s="23" t="n"/>
      <c r="AI2053" s="23" t="n"/>
      <c r="AJ2053" s="19" t="n"/>
    </row>
    <row r="2054">
      <c r="A2054" s="16" t="inlineStr">
        <is>
          <t>SHERA</t>
        </is>
      </c>
      <c r="B2054" s="16" t="inlineStr">
        <is>
          <t>Shera Energy Ltd.</t>
        </is>
      </c>
      <c r="C2054" s="16" t="inlineStr">
        <is>
          <t>Iron &amp; Steel Products</t>
        </is>
      </c>
      <c r="D2054" s="16" t="inlineStr">
        <is>
          <t>Metals &amp; Mining</t>
        </is>
      </c>
      <c r="E2054" s="16" t="inlineStr">
        <is>
          <t>INE0MM001019</t>
        </is>
      </c>
      <c r="F2054" s="17" t="n">
        <v>445.53</v>
      </c>
      <c r="G2054" s="18" t="n">
        <v>182.3</v>
      </c>
      <c r="H2054" s="19" t="n">
        <v>-0.0005</v>
      </c>
      <c r="I2054" s="20" t="n">
        <v>77</v>
      </c>
      <c r="J2054" s="16" t="inlineStr">
        <is>
          <t>amber</t>
        </is>
      </c>
      <c r="K2054" s="20" t="n">
        <v>29</v>
      </c>
      <c r="L2054" s="18" t="n">
        <v>54.98</v>
      </c>
      <c r="M2054" s="18" t="n">
        <v>177.77</v>
      </c>
      <c r="N2054" s="18" t="n">
        <v>167.95</v>
      </c>
      <c r="O2054" s="18" t="n">
        <v>142.64</v>
      </c>
      <c r="P2054" s="18" t="n">
        <v>182.4</v>
      </c>
      <c r="Q2054" s="18" t="n">
        <v>100.15</v>
      </c>
      <c r="R2054" s="21">
        <f>IF(OR(G2054="",P2054=""),"",G2054/P2054-1)</f>
        <v/>
      </c>
      <c r="S2054" s="19" t="n">
        <v>0.9808</v>
      </c>
      <c r="T2054" s="22" t="n">
        <v>0.0322</v>
      </c>
      <c r="U2054" s="16" t="inlineStr">
        <is>
          <t>Yes</t>
        </is>
      </c>
      <c r="V2054" s="16" t="inlineStr">
        <is>
          <t>Yes</t>
        </is>
      </c>
      <c r="W2054" s="16" t="inlineStr">
        <is>
          <t>Yes</t>
        </is>
      </c>
      <c r="X2054" s="16" t="inlineStr">
        <is>
          <t>Yes</t>
        </is>
      </c>
      <c r="Y2054" s="20" t="n">
        <v>79</v>
      </c>
      <c r="Z2054" s="19" t="n">
        <v>0.1775</v>
      </c>
      <c r="AA2054" s="18" t="n"/>
      <c r="AB2054" s="16" t="n"/>
      <c r="AC2054" s="16" t="inlineStr">
        <is>
          <t>No</t>
        </is>
      </c>
      <c r="AD2054" s="19" t="n"/>
      <c r="AE2054" s="19" t="n"/>
      <c r="AF2054" s="19" t="n"/>
      <c r="AG2054" s="19" t="n"/>
      <c r="AH2054" s="23" t="n"/>
      <c r="AI2054" s="23" t="n"/>
      <c r="AJ2054" s="19" t="n"/>
    </row>
    <row r="2055">
      <c r="A2055" s="16" t="inlineStr">
        <is>
          <t>PARMESHWAR</t>
        </is>
      </c>
      <c r="B2055" s="16" t="inlineStr">
        <is>
          <t>Parmeshwar Metal Ltd.</t>
        </is>
      </c>
      <c r="C2055" s="16" t="inlineStr">
        <is>
          <t>Other Electrical Equipment/Products</t>
        </is>
      </c>
      <c r="D2055" s="16" t="inlineStr">
        <is>
          <t>Consumer Durables</t>
        </is>
      </c>
      <c r="E2055" s="16" t="inlineStr">
        <is>
          <t>INE0QQJ01021</t>
        </is>
      </c>
      <c r="F2055" s="17" t="n">
        <v>445.4</v>
      </c>
      <c r="G2055" s="18" t="n">
        <v>291</v>
      </c>
      <c r="H2055" s="19" t="n">
        <v>-0.0248</v>
      </c>
      <c r="I2055" s="20" t="n">
        <v>97</v>
      </c>
      <c r="J2055" s="16" t="inlineStr">
        <is>
          <t>green</t>
        </is>
      </c>
      <c r="K2055" s="20" t="n">
        <v>194</v>
      </c>
      <c r="L2055" s="18" t="n">
        <v>84.45999999999999</v>
      </c>
      <c r="M2055" s="18" t="n">
        <v>290.95</v>
      </c>
      <c r="N2055" s="18" t="n">
        <v>209.38</v>
      </c>
      <c r="O2055" s="18" t="n">
        <v>164.78</v>
      </c>
      <c r="P2055" s="18" t="n">
        <v>298.4</v>
      </c>
      <c r="Q2055" s="18" t="n">
        <v>64.36</v>
      </c>
      <c r="R2055" s="21">
        <f>IF(OR(G2055="",P2055=""),"",G2055/P2055-1)</f>
        <v/>
      </c>
      <c r="S2055" s="19" t="n">
        <v>0.5832000000000001</v>
      </c>
      <c r="T2055" s="22" t="n">
        <v>0.1143</v>
      </c>
      <c r="U2055" s="16" t="inlineStr">
        <is>
          <t>Yes</t>
        </is>
      </c>
      <c r="V2055" s="16" t="inlineStr">
        <is>
          <t>Yes</t>
        </is>
      </c>
      <c r="W2055" s="16" t="inlineStr">
        <is>
          <t>Yes</t>
        </is>
      </c>
      <c r="X2055" s="16" t="inlineStr">
        <is>
          <t>Yes</t>
        </is>
      </c>
      <c r="Y2055" s="20" t="n">
        <v>210</v>
      </c>
      <c r="Z2055" s="19" t="n">
        <v>0.2706</v>
      </c>
      <c r="AA2055" s="18" t="n"/>
      <c r="AB2055" s="16" t="n"/>
      <c r="AC2055" s="16" t="inlineStr">
        <is>
          <t>No</t>
        </is>
      </c>
      <c r="AD2055" s="19" t="n"/>
      <c r="AE2055" s="19" t="n"/>
      <c r="AF2055" s="19" t="n"/>
      <c r="AG2055" s="19" t="n"/>
      <c r="AH2055" s="23" t="n"/>
      <c r="AI2055" s="23" t="n"/>
      <c r="AJ2055" s="19" t="n"/>
    </row>
    <row r="2056">
      <c r="A2056" s="16" t="inlineStr">
        <is>
          <t>HAZOOR</t>
        </is>
      </c>
      <c r="B2056" s="16" t="inlineStr">
        <is>
          <t>Hazoor Multi Projects Ltd.</t>
        </is>
      </c>
      <c r="C2056" s="16" t="inlineStr">
        <is>
          <t>Roads &amp; Highways</t>
        </is>
      </c>
      <c r="D2056" s="16" t="inlineStr">
        <is>
          <t>Cement and Construction</t>
        </is>
      </c>
      <c r="E2056" s="16" t="inlineStr">
        <is>
          <t>INE550F01049</t>
        </is>
      </c>
      <c r="F2056" s="17" t="n">
        <v>444.51</v>
      </c>
      <c r="G2056" s="18" t="n">
        <v>19.19</v>
      </c>
      <c r="H2056" s="19" t="n">
        <v>-0.004699999999999999</v>
      </c>
      <c r="I2056" s="20" t="n">
        <v>2</v>
      </c>
      <c r="J2056" s="16" t="inlineStr">
        <is>
          <t>red</t>
        </is>
      </c>
      <c r="K2056" s="20" t="n">
        <v>460</v>
      </c>
      <c r="L2056" s="18" t="n">
        <v>19.78</v>
      </c>
      <c r="M2056" s="18" t="n">
        <v>19.7</v>
      </c>
      <c r="N2056" s="18" t="n">
        <v>22.14</v>
      </c>
      <c r="O2056" s="18" t="n">
        <v>28.58</v>
      </c>
      <c r="P2056" s="18" t="n">
        <v>41.62</v>
      </c>
      <c r="Q2056" s="18" t="n">
        <v>18.98</v>
      </c>
      <c r="R2056" s="21">
        <f>IF(OR(G2056="",P2056=""),"",G2056/P2056-1)</f>
        <v/>
      </c>
      <c r="S2056" s="19" t="n">
        <v>0.364</v>
      </c>
      <c r="T2056" s="22" t="n">
        <v>-0.0454</v>
      </c>
      <c r="U2056" s="16" t="inlineStr">
        <is>
          <t>No</t>
        </is>
      </c>
      <c r="V2056" s="16" t="inlineStr">
        <is>
          <t>No</t>
        </is>
      </c>
      <c r="W2056" s="16" t="inlineStr">
        <is>
          <t>No</t>
        </is>
      </c>
      <c r="X2056" s="16" t="inlineStr">
        <is>
          <t>No</t>
        </is>
      </c>
      <c r="Y2056" s="20" t="n">
        <v>443</v>
      </c>
      <c r="Z2056" s="19" t="n">
        <v>-0.2254</v>
      </c>
      <c r="AA2056" s="18" t="n"/>
      <c r="AB2056" s="16" t="n"/>
      <c r="AC2056" s="16" t="inlineStr">
        <is>
          <t>No</t>
        </is>
      </c>
      <c r="AD2056" s="19" t="n"/>
      <c r="AE2056" s="19" t="n"/>
      <c r="AF2056" s="19" t="n"/>
      <c r="AG2056" s="19" t="n"/>
      <c r="AH2056" s="23" t="n"/>
      <c r="AI2056" s="23" t="n"/>
      <c r="AJ2056" s="19" t="n"/>
    </row>
    <row r="2057">
      <c r="A2057" s="16" t="inlineStr">
        <is>
          <t>WORKMATES</t>
        </is>
      </c>
      <c r="B2057" s="16" t="inlineStr">
        <is>
          <t>Workmates Core2Cloud Solution Ltd.</t>
        </is>
      </c>
      <c r="C2057" s="16" t="inlineStr">
        <is>
          <t>IT Consulting &amp; Software</t>
        </is>
      </c>
      <c r="D2057" s="16" t="inlineStr">
        <is>
          <t>Software &amp; Services</t>
        </is>
      </c>
      <c r="E2057" s="16" t="inlineStr">
        <is>
          <t>INE1I1301016</t>
        </is>
      </c>
      <c r="F2057" s="17" t="n">
        <v>444.41</v>
      </c>
      <c r="G2057" s="18" t="n">
        <v>344</v>
      </c>
      <c r="H2057" s="19" t="n">
        <v>0.0321</v>
      </c>
      <c r="I2057" s="20" t="n">
        <v>41</v>
      </c>
      <c r="J2057" s="16" t="inlineStr">
        <is>
          <t>red</t>
        </is>
      </c>
      <c r="K2057" s="20" t="n">
        <v>12</v>
      </c>
      <c r="L2057" s="18" t="n">
        <v>50.46</v>
      </c>
      <c r="M2057" s="18" t="n">
        <v>333.55</v>
      </c>
      <c r="N2057" s="18" t="n">
        <v>326.51</v>
      </c>
      <c r="O2057" s="18" t="n">
        <v>340.24</v>
      </c>
      <c r="P2057" s="18" t="n">
        <v>484.33</v>
      </c>
      <c r="Q2057" s="18" t="n">
        <v>274.89</v>
      </c>
      <c r="R2057" s="21">
        <f>IF(OR(G2057="",P2057=""),"",G2057/P2057-1)</f>
        <v/>
      </c>
      <c r="S2057" s="19" t="n">
        <v>2.3328</v>
      </c>
      <c r="T2057" s="22" t="n"/>
      <c r="U2057" s="16" t="n"/>
      <c r="V2057" s="16" t="inlineStr">
        <is>
          <t>Yes</t>
        </is>
      </c>
      <c r="W2057" s="16" t="inlineStr">
        <is>
          <t>Yes</t>
        </is>
      </c>
      <c r="X2057" s="16" t="inlineStr">
        <is>
          <t>No</t>
        </is>
      </c>
      <c r="Y2057" s="20" t="n">
        <v>1</v>
      </c>
      <c r="Z2057" s="19" t="n">
        <v>-0.0403</v>
      </c>
      <c r="AA2057" s="18" t="n"/>
      <c r="AB2057" s="16" t="n"/>
      <c r="AC2057" s="16" t="inlineStr">
        <is>
          <t>No</t>
        </is>
      </c>
      <c r="AD2057" s="19" t="n"/>
      <c r="AE2057" s="19" t="n"/>
      <c r="AF2057" s="19" t="n"/>
      <c r="AG2057" s="19" t="n"/>
      <c r="AH2057" s="23" t="n"/>
      <c r="AI2057" s="23" t="n"/>
      <c r="AJ2057" s="19" t="n"/>
    </row>
    <row r="2058">
      <c r="A2058" s="16" t="inlineStr">
        <is>
          <t>RAJSEC</t>
        </is>
      </c>
      <c r="B2058" s="16" t="inlineStr">
        <is>
          <t>Rajasthan Securities Ltd.</t>
        </is>
      </c>
      <c r="C2058" s="16" t="inlineStr">
        <is>
          <t>Oil Marketing &amp; Distribution</t>
        </is>
      </c>
      <c r="D2058" s="16" t="inlineStr">
        <is>
          <t>Oil &amp; Gas</t>
        </is>
      </c>
      <c r="E2058" s="16" t="inlineStr">
        <is>
          <t>INE184D01026</t>
        </is>
      </c>
      <c r="F2058" s="17" t="n">
        <v>439.72</v>
      </c>
      <c r="G2058" s="18" t="n">
        <v>57.2</v>
      </c>
      <c r="H2058" s="19" t="n">
        <v>0.0037</v>
      </c>
      <c r="I2058" s="20" t="n">
        <v>79</v>
      </c>
      <c r="J2058" s="16" t="inlineStr">
        <is>
          <t>amber</t>
        </is>
      </c>
      <c r="K2058" s="20" t="n">
        <v>3</v>
      </c>
      <c r="L2058" s="18" t="n">
        <v>93.20999999999999</v>
      </c>
      <c r="M2058" s="18" t="n">
        <v>56.9</v>
      </c>
      <c r="N2058" s="18" t="n">
        <v>54.93</v>
      </c>
      <c r="O2058" s="18" t="n">
        <v>45.42</v>
      </c>
      <c r="P2058" s="18" t="n">
        <v>66.06</v>
      </c>
      <c r="Q2058" s="18" t="n">
        <v>30</v>
      </c>
      <c r="R2058" s="21">
        <f>IF(OR(G2058="",P2058=""),"",G2058/P2058-1)</f>
        <v/>
      </c>
      <c r="S2058" s="19" t="n">
        <v>0.06849999999999999</v>
      </c>
      <c r="T2058" s="22" t="n">
        <v>0.0243</v>
      </c>
      <c r="U2058" s="16" t="inlineStr">
        <is>
          <t>Yes</t>
        </is>
      </c>
      <c r="V2058" s="16" t="inlineStr">
        <is>
          <t>Yes</t>
        </is>
      </c>
      <c r="W2058" s="16" t="inlineStr">
        <is>
          <t>Yes</t>
        </is>
      </c>
      <c r="X2058" s="16" t="inlineStr">
        <is>
          <t>Yes</t>
        </is>
      </c>
      <c r="Y2058" s="20" t="n">
        <v>91</v>
      </c>
      <c r="Z2058" s="19" t="n">
        <v>0.2094</v>
      </c>
      <c r="AA2058" s="18" t="n"/>
      <c r="AB2058" s="16" t="n"/>
      <c r="AC2058" s="16" t="inlineStr">
        <is>
          <t>No</t>
        </is>
      </c>
      <c r="AD2058" s="19" t="n"/>
      <c r="AE2058" s="19" t="n"/>
      <c r="AF2058" s="19" t="n"/>
      <c r="AG2058" s="19" t="n"/>
      <c r="AH2058" s="23" t="n"/>
      <c r="AI2058" s="23" t="n"/>
      <c r="AJ2058" s="19" t="n"/>
    </row>
    <row r="2059">
      <c r="A2059" s="16" t="inlineStr">
        <is>
          <t>TRANSCHEM</t>
        </is>
      </c>
      <c r="B2059" s="16" t="inlineStr">
        <is>
          <t>Transchem Ltd.</t>
        </is>
      </c>
      <c r="C2059" s="16" t="inlineStr">
        <is>
          <t>Other Food &amp; Beverages</t>
        </is>
      </c>
      <c r="D2059" s="16" t="inlineStr">
        <is>
          <t>Food, Beverages &amp; Tobacco</t>
        </is>
      </c>
      <c r="E2059" s="16" t="inlineStr">
        <is>
          <t>INE019B01010</t>
        </is>
      </c>
      <c r="F2059" s="17" t="n">
        <v>439.42</v>
      </c>
      <c r="G2059" s="18" t="n">
        <v>359</v>
      </c>
      <c r="H2059" s="19" t="n">
        <v>-0.001</v>
      </c>
      <c r="I2059" s="20" t="n">
        <v>98</v>
      </c>
      <c r="J2059" s="16" t="inlineStr">
        <is>
          <t>green</t>
        </is>
      </c>
      <c r="K2059" s="20" t="n">
        <v>245</v>
      </c>
      <c r="L2059" s="18" t="n">
        <v>85.45999999999999</v>
      </c>
      <c r="M2059" s="18" t="n">
        <v>348.99</v>
      </c>
      <c r="N2059" s="18" t="n">
        <v>332.07</v>
      </c>
      <c r="O2059" s="18" t="n">
        <v>217.72</v>
      </c>
      <c r="P2059" s="18" t="n">
        <v>370.25</v>
      </c>
      <c r="Q2059" s="18" t="n">
        <v>46.46</v>
      </c>
      <c r="R2059" s="21">
        <f>IF(OR(G2059="",P2059=""),"",G2059/P2059-1)</f>
        <v/>
      </c>
      <c r="S2059" s="19" t="n">
        <v>0.8622</v>
      </c>
      <c r="T2059" s="22" t="n">
        <v>0.1369</v>
      </c>
      <c r="U2059" s="16" t="inlineStr">
        <is>
          <t>Yes</t>
        </is>
      </c>
      <c r="V2059" s="16" t="inlineStr">
        <is>
          <t>Yes</t>
        </is>
      </c>
      <c r="W2059" s="16" t="inlineStr">
        <is>
          <t>Yes</t>
        </is>
      </c>
      <c r="X2059" s="16" t="inlineStr">
        <is>
          <t>Yes</t>
        </is>
      </c>
      <c r="Y2059" s="20" t="n">
        <v>253</v>
      </c>
      <c r="Z2059" s="19" t="n">
        <v>0.5252</v>
      </c>
      <c r="AA2059" s="18" t="n"/>
      <c r="AB2059" s="16" t="n"/>
      <c r="AC2059" s="16" t="inlineStr">
        <is>
          <t>No</t>
        </is>
      </c>
      <c r="AD2059" s="19" t="n"/>
      <c r="AE2059" s="19" t="n"/>
      <c r="AF2059" s="19" t="n"/>
      <c r="AG2059" s="19" t="n"/>
      <c r="AH2059" s="23" t="n"/>
      <c r="AI2059" s="23" t="n"/>
      <c r="AJ2059" s="19" t="n"/>
    </row>
    <row r="2060">
      <c r="A2060" s="16" t="inlineStr">
        <is>
          <t>ASAHISONG</t>
        </is>
      </c>
      <c r="B2060" s="16" t="inlineStr">
        <is>
          <t>Asahi Songwon Colors Ltd.</t>
        </is>
      </c>
      <c r="C2060" s="16" t="inlineStr">
        <is>
          <t>Dyes &amp; Pigments</t>
        </is>
      </c>
      <c r="D2060" s="16" t="inlineStr">
        <is>
          <t>Chemicals &amp; Petrochemicals</t>
        </is>
      </c>
      <c r="E2060" s="16" t="inlineStr">
        <is>
          <t>INE228I01012</t>
        </is>
      </c>
      <c r="F2060" s="17" t="n">
        <v>439.25</v>
      </c>
      <c r="G2060" s="18" t="n">
        <v>372.65</v>
      </c>
      <c r="H2060" s="19" t="n">
        <v>0.0104</v>
      </c>
      <c r="I2060" s="20" t="n">
        <v>82</v>
      </c>
      <c r="J2060" s="16" t="inlineStr">
        <is>
          <t>green</t>
        </is>
      </c>
      <c r="K2060" s="20" t="n">
        <v>17</v>
      </c>
      <c r="L2060" s="18" t="n">
        <v>59.37</v>
      </c>
      <c r="M2060" s="18" t="n">
        <v>370.01</v>
      </c>
      <c r="N2060" s="18" t="n">
        <v>328.07</v>
      </c>
      <c r="O2060" s="18" t="n">
        <v>261.55</v>
      </c>
      <c r="P2060" s="18" t="n">
        <v>394.9</v>
      </c>
      <c r="Q2060" s="18" t="n">
        <v>182.78</v>
      </c>
      <c r="R2060" s="21">
        <f>IF(OR(G2060="",P2060=""),"",G2060/P2060-1)</f>
        <v/>
      </c>
      <c r="S2060" s="19" t="n">
        <v>0.2884</v>
      </c>
      <c r="T2060" s="22" t="n">
        <v>0.035</v>
      </c>
      <c r="U2060" s="16" t="inlineStr">
        <is>
          <t>Yes</t>
        </is>
      </c>
      <c r="V2060" s="16" t="inlineStr">
        <is>
          <t>Yes</t>
        </is>
      </c>
      <c r="W2060" s="16" t="inlineStr">
        <is>
          <t>Yes</t>
        </is>
      </c>
      <c r="X2060" s="16" t="inlineStr">
        <is>
          <t>Yes</t>
        </is>
      </c>
      <c r="Y2060" s="20" t="n">
        <v>49</v>
      </c>
      <c r="Z2060" s="19" t="n">
        <v>0.2543</v>
      </c>
      <c r="AA2060" s="18" t="n"/>
      <c r="AB2060" s="16" t="n"/>
      <c r="AC2060" s="16" t="inlineStr">
        <is>
          <t>No</t>
        </is>
      </c>
      <c r="AD2060" s="19" t="n"/>
      <c r="AE2060" s="19" t="n"/>
      <c r="AF2060" s="19" t="n"/>
      <c r="AG2060" s="19" t="n"/>
      <c r="AH2060" s="23" t="n"/>
      <c r="AI2060" s="23" t="n"/>
      <c r="AJ2060" s="19" t="n"/>
    </row>
    <row r="2061">
      <c r="A2061" s="16" t="inlineStr">
        <is>
          <t>TAURIAN</t>
        </is>
      </c>
      <c r="B2061" s="16" t="inlineStr">
        <is>
          <t>Taurian Mps Ltd.</t>
        </is>
      </c>
      <c r="C2061" s="16" t="inlineStr">
        <is>
          <t>Industrial Machinery</t>
        </is>
      </c>
      <c r="D2061" s="16" t="inlineStr">
        <is>
          <t>General Industrials</t>
        </is>
      </c>
      <c r="E2061" s="16" t="inlineStr">
        <is>
          <t>INE0XWS01018</t>
        </is>
      </c>
      <c r="F2061" s="17" t="n">
        <v>438.83</v>
      </c>
      <c r="G2061" s="18" t="n"/>
      <c r="H2061" s="19" t="n"/>
      <c r="I2061" s="20" t="n"/>
      <c r="J2061" s="16" t="n"/>
      <c r="K2061" s="20" t="n"/>
      <c r="L2061" s="18" t="n"/>
      <c r="M2061" s="18" t="n"/>
      <c r="N2061" s="18" t="n"/>
      <c r="O2061" s="18" t="n"/>
      <c r="P2061" s="18" t="n"/>
      <c r="Q2061" s="18" t="n"/>
      <c r="R2061" s="21">
        <f>IF(OR(G2061="",P2061=""),"",G2061/P2061-1)</f>
        <v/>
      </c>
      <c r="S2061" s="19" t="n"/>
      <c r="T2061" s="22" t="n"/>
      <c r="U2061" s="16" t="n"/>
      <c r="V2061" s="16" t="n"/>
      <c r="W2061" s="16" t="n"/>
      <c r="X2061" s="16" t="n"/>
      <c r="Y2061" s="20" t="n"/>
      <c r="Z2061" s="19" t="n"/>
      <c r="AA2061" s="18" t="n"/>
      <c r="AB2061" s="16" t="n"/>
      <c r="AC2061" s="16" t="inlineStr">
        <is>
          <t>No</t>
        </is>
      </c>
      <c r="AD2061" s="19" t="n"/>
      <c r="AE2061" s="19" t="n"/>
      <c r="AF2061" s="19" t="n"/>
      <c r="AG2061" s="19" t="n"/>
      <c r="AH2061" s="23" t="n"/>
      <c r="AI2061" s="23" t="n"/>
      <c r="AJ2061" s="19" t="n"/>
    </row>
    <row r="2062">
      <c r="A2062" s="16" t="inlineStr">
        <is>
          <t>HALEOSLABS</t>
        </is>
      </c>
      <c r="B2062" s="16" t="inlineStr">
        <is>
          <t>Haleos Labs Ltd.</t>
        </is>
      </c>
      <c r="C2062" s="16" t="inlineStr">
        <is>
          <t>Pharmaceuticals</t>
        </is>
      </c>
      <c r="D2062" s="16" t="inlineStr">
        <is>
          <t>Pharmaceuticals &amp; Biotechnology</t>
        </is>
      </c>
      <c r="E2062" s="16" t="inlineStr">
        <is>
          <t>INE320X01016</t>
        </is>
      </c>
      <c r="F2062" s="17" t="n">
        <v>438.77</v>
      </c>
      <c r="G2062" s="18" t="n">
        <v>1451.3</v>
      </c>
      <c r="H2062" s="19" t="n">
        <v>-0.0208</v>
      </c>
      <c r="I2062" s="20" t="n">
        <v>55</v>
      </c>
      <c r="J2062" s="16" t="inlineStr">
        <is>
          <t>red</t>
        </is>
      </c>
      <c r="K2062" s="20" t="n">
        <v>1</v>
      </c>
      <c r="L2062" s="18" t="n">
        <v>53.21</v>
      </c>
      <c r="M2062" s="18" t="n">
        <v>1482.18</v>
      </c>
      <c r="N2062" s="18" t="n">
        <v>1520</v>
      </c>
      <c r="O2062" s="18" t="n">
        <v>1394.11</v>
      </c>
      <c r="P2062" s="18" t="n">
        <v>1690.1</v>
      </c>
      <c r="Q2062" s="18" t="n">
        <v>1110.01</v>
      </c>
      <c r="R2062" s="21">
        <f>IF(OR(G2062="",P2062=""),"",G2062/P2062-1)</f>
        <v/>
      </c>
      <c r="S2062" s="19" t="n">
        <v>6.3378</v>
      </c>
      <c r="T2062" s="22" t="n">
        <v>0.0213</v>
      </c>
      <c r="U2062" s="16" t="inlineStr">
        <is>
          <t>Yes</t>
        </is>
      </c>
      <c r="V2062" s="16" t="inlineStr">
        <is>
          <t>No</t>
        </is>
      </c>
      <c r="W2062" s="16" t="inlineStr">
        <is>
          <t>No</t>
        </is>
      </c>
      <c r="X2062" s="16" t="inlineStr">
        <is>
          <t>Yes</t>
        </is>
      </c>
      <c r="Y2062" s="20" t="n">
        <v>192</v>
      </c>
      <c r="Z2062" s="19" t="n">
        <v>0.09029999999999999</v>
      </c>
      <c r="AA2062" s="18" t="n"/>
      <c r="AB2062" s="16" t="n"/>
      <c r="AC2062" s="16" t="inlineStr">
        <is>
          <t>No</t>
        </is>
      </c>
      <c r="AD2062" s="19" t="n"/>
      <c r="AE2062" s="19" t="n"/>
      <c r="AF2062" s="19" t="n"/>
      <c r="AG2062" s="19" t="n"/>
      <c r="AH2062" s="23" t="n"/>
      <c r="AI2062" s="23" t="n"/>
      <c r="AJ2062" s="19" t="n"/>
    </row>
    <row r="2063">
      <c r="A2063" s="16" t="inlineStr">
        <is>
          <t>BASILIC</t>
        </is>
      </c>
      <c r="B2063" s="16" t="inlineStr">
        <is>
          <t>Basilic Fly Studio Ltd.</t>
        </is>
      </c>
      <c r="C2063" s="16" t="inlineStr">
        <is>
          <t>Movies &amp; Entertainment</t>
        </is>
      </c>
      <c r="D2063" s="16" t="inlineStr">
        <is>
          <t>Media</t>
        </is>
      </c>
      <c r="E2063" s="16" t="inlineStr">
        <is>
          <t>INE0OCC01013</t>
        </is>
      </c>
      <c r="F2063" s="17" t="n">
        <v>438.42</v>
      </c>
      <c r="G2063" s="18" t="n">
        <v>188.65</v>
      </c>
      <c r="H2063" s="19" t="n">
        <v>-0.0273</v>
      </c>
      <c r="I2063" s="20" t="n">
        <v>5</v>
      </c>
      <c r="J2063" s="16" t="inlineStr">
        <is>
          <t>red</t>
        </is>
      </c>
      <c r="K2063" s="20" t="n">
        <v>167</v>
      </c>
      <c r="L2063" s="18" t="n">
        <v>63.63</v>
      </c>
      <c r="M2063" s="18" t="n">
        <v>190.11</v>
      </c>
      <c r="N2063" s="18" t="n">
        <v>196.35</v>
      </c>
      <c r="O2063" s="18" t="n">
        <v>239.23</v>
      </c>
      <c r="P2063" s="18" t="n">
        <v>493.35</v>
      </c>
      <c r="Q2063" s="18" t="n">
        <v>168.35</v>
      </c>
      <c r="R2063" s="21">
        <f>IF(OR(G2063="",P2063=""),"",G2063/P2063-1)</f>
        <v/>
      </c>
      <c r="S2063" s="19" t="n">
        <v>0.4433</v>
      </c>
      <c r="T2063" s="22" t="n">
        <v>-0.0716</v>
      </c>
      <c r="U2063" s="16" t="inlineStr">
        <is>
          <t>No</t>
        </is>
      </c>
      <c r="V2063" s="16" t="inlineStr">
        <is>
          <t>No</t>
        </is>
      </c>
      <c r="W2063" s="16" t="inlineStr">
        <is>
          <t>No</t>
        </is>
      </c>
      <c r="X2063" s="16" t="inlineStr">
        <is>
          <t>No</t>
        </is>
      </c>
      <c r="Y2063" s="20" t="n">
        <v>195</v>
      </c>
      <c r="Z2063" s="19" t="n">
        <v>-0.1792</v>
      </c>
      <c r="AA2063" s="18" t="n"/>
      <c r="AB2063" s="16" t="n"/>
      <c r="AC2063" s="16" t="inlineStr">
        <is>
          <t>No</t>
        </is>
      </c>
      <c r="AD2063" s="19" t="n"/>
      <c r="AE2063" s="19" t="n"/>
      <c r="AF2063" s="19" t="n"/>
      <c r="AG2063" s="19" t="n"/>
      <c r="AH2063" s="23" t="n"/>
      <c r="AI2063" s="23" t="n"/>
      <c r="AJ2063" s="19" t="n"/>
    </row>
    <row r="2064">
      <c r="A2064" s="16" t="inlineStr">
        <is>
          <t>HOACFOODS</t>
        </is>
      </c>
      <c r="B2064" s="16" t="inlineStr">
        <is>
          <t>HOAC Foods India Ltd.</t>
        </is>
      </c>
      <c r="C2064" s="16" t="inlineStr">
        <is>
          <t>Packaged Foods</t>
        </is>
      </c>
      <c r="D2064" s="16" t="inlineStr">
        <is>
          <t>FMCG</t>
        </is>
      </c>
      <c r="E2064" s="16" t="inlineStr">
        <is>
          <t>INE0S6S01017</t>
        </is>
      </c>
      <c r="F2064" s="17" t="n">
        <v>438.37</v>
      </c>
      <c r="G2064" s="18" t="n">
        <v>1009.95</v>
      </c>
      <c r="H2064" s="19" t="n">
        <v>0.0466</v>
      </c>
      <c r="I2064" s="20" t="n">
        <v>98</v>
      </c>
      <c r="J2064" s="16" t="inlineStr">
        <is>
          <t>green</t>
        </is>
      </c>
      <c r="K2064" s="20" t="n">
        <v>326</v>
      </c>
      <c r="L2064" s="18" t="n">
        <v>90.75</v>
      </c>
      <c r="M2064" s="18" t="n">
        <v>902.9400000000001</v>
      </c>
      <c r="N2064" s="18" t="n">
        <v>764.24</v>
      </c>
      <c r="O2064" s="18" t="n">
        <v>502.02</v>
      </c>
      <c r="P2064" s="18" t="n">
        <v>1009.95</v>
      </c>
      <c r="Q2064" s="18" t="n">
        <v>214.2</v>
      </c>
      <c r="R2064" s="21">
        <f>IF(OR(G2064="",P2064=""),"",G2064/P2064-1)</f>
        <v/>
      </c>
      <c r="S2064" s="19" t="n">
        <v>1.7586</v>
      </c>
      <c r="T2064" s="22" t="n">
        <v>0.1277</v>
      </c>
      <c r="U2064" s="16" t="inlineStr">
        <is>
          <t>Yes</t>
        </is>
      </c>
      <c r="V2064" s="16" t="inlineStr">
        <is>
          <t>Yes</t>
        </is>
      </c>
      <c r="W2064" s="16" t="inlineStr">
        <is>
          <t>Yes</t>
        </is>
      </c>
      <c r="X2064" s="16" t="inlineStr">
        <is>
          <t>Yes</t>
        </is>
      </c>
      <c r="Y2064" s="20" t="n">
        <v>328</v>
      </c>
      <c r="Z2064" s="19" t="n">
        <v>0.5223</v>
      </c>
      <c r="AA2064" s="18" t="n"/>
      <c r="AB2064" s="16" t="n"/>
      <c r="AC2064" s="16" t="inlineStr">
        <is>
          <t>No</t>
        </is>
      </c>
      <c r="AD2064" s="19" t="n"/>
      <c r="AE2064" s="19" t="n"/>
      <c r="AF2064" s="19" t="n"/>
      <c r="AG2064" s="19" t="n"/>
      <c r="AH2064" s="23" t="n"/>
      <c r="AI2064" s="23" t="n"/>
      <c r="AJ2064" s="19" t="n"/>
    </row>
    <row r="2065">
      <c r="A2065" s="16" t="inlineStr">
        <is>
          <t>NAHARCAP</t>
        </is>
      </c>
      <c r="B2065" s="16" t="inlineStr">
        <is>
          <t>Nahar Capital &amp; Financial Services Ltd.</t>
        </is>
      </c>
      <c r="C2065" s="16" t="inlineStr">
        <is>
          <t>Investment Companies</t>
        </is>
      </c>
      <c r="D2065" s="16" t="inlineStr">
        <is>
          <t>Others</t>
        </is>
      </c>
      <c r="E2065" s="16" t="inlineStr">
        <is>
          <t>INE049I01012</t>
        </is>
      </c>
      <c r="F2065" s="17" t="n">
        <v>438.33</v>
      </c>
      <c r="G2065" s="18" t="n">
        <v>261.75</v>
      </c>
      <c r="H2065" s="19" t="n">
        <v>0.0145</v>
      </c>
      <c r="I2065" s="20" t="n">
        <v>46</v>
      </c>
      <c r="J2065" s="16" t="inlineStr">
        <is>
          <t>red</t>
        </is>
      </c>
      <c r="K2065" s="20" t="n">
        <v>260</v>
      </c>
      <c r="L2065" s="18" t="n">
        <v>62.55</v>
      </c>
      <c r="M2065" s="18" t="n">
        <v>256.78</v>
      </c>
      <c r="N2065" s="18" t="n">
        <v>252.59</v>
      </c>
      <c r="O2065" s="18" t="n">
        <v>246.9</v>
      </c>
      <c r="P2065" s="18" t="n">
        <v>291.51</v>
      </c>
      <c r="Q2065" s="18" t="n">
        <v>193.64</v>
      </c>
      <c r="R2065" s="21">
        <f>IF(OR(G2065="",P2065=""),"",G2065/P2065-1)</f>
        <v/>
      </c>
      <c r="S2065" s="19" t="n">
        <v>0.1249</v>
      </c>
      <c r="T2065" s="22" t="n">
        <v>-0.0102</v>
      </c>
      <c r="U2065" s="16" t="inlineStr">
        <is>
          <t>No</t>
        </is>
      </c>
      <c r="V2065" s="16" t="inlineStr">
        <is>
          <t>Yes</t>
        </is>
      </c>
      <c r="W2065" s="16" t="inlineStr">
        <is>
          <t>Yes</t>
        </is>
      </c>
      <c r="X2065" s="16" t="inlineStr">
        <is>
          <t>Yes</t>
        </is>
      </c>
      <c r="Y2065" s="20" t="n">
        <v>25</v>
      </c>
      <c r="Z2065" s="19" t="n">
        <v>0.023</v>
      </c>
      <c r="AA2065" s="18" t="n"/>
      <c r="AB2065" s="16" t="n"/>
      <c r="AC2065" s="16" t="inlineStr">
        <is>
          <t>No</t>
        </is>
      </c>
      <c r="AD2065" s="19" t="n"/>
      <c r="AE2065" s="19" t="n"/>
      <c r="AF2065" s="19" t="n"/>
      <c r="AG2065" s="19" t="n"/>
      <c r="AH2065" s="23" t="n"/>
      <c r="AI2065" s="23" t="n"/>
      <c r="AJ2065" s="19" t="n"/>
    </row>
    <row r="2066">
      <c r="A2066" s="16" t="inlineStr">
        <is>
          <t>NILE</t>
        </is>
      </c>
      <c r="B2066" s="16" t="inlineStr">
        <is>
          <t>Nile Ltd.</t>
        </is>
      </c>
      <c r="C2066" s="16" t="inlineStr">
        <is>
          <t>Other Non-Ferrous Metals</t>
        </is>
      </c>
      <c r="D2066" s="16" t="inlineStr">
        <is>
          <t>Metals &amp; Mining</t>
        </is>
      </c>
      <c r="E2066" s="16" t="inlineStr">
        <is>
          <t>INE445D01013</t>
        </is>
      </c>
      <c r="F2066" s="17" t="n">
        <v>438.28</v>
      </c>
      <c r="G2066" s="18" t="n">
        <v>1460</v>
      </c>
      <c r="H2066" s="19" t="n">
        <v>-0.0029</v>
      </c>
      <c r="I2066" s="20" t="n">
        <v>12</v>
      </c>
      <c r="J2066" s="16" t="inlineStr">
        <is>
          <t>red</t>
        </is>
      </c>
      <c r="K2066" s="20" t="n">
        <v>24</v>
      </c>
      <c r="L2066" s="18" t="n">
        <v>46.33</v>
      </c>
      <c r="M2066" s="18" t="n">
        <v>1480.13</v>
      </c>
      <c r="N2066" s="18" t="n">
        <v>1681.89</v>
      </c>
      <c r="O2066" s="18" t="n">
        <v>1653.41</v>
      </c>
      <c r="P2066" s="18" t="n">
        <v>2000.38</v>
      </c>
      <c r="Q2066" s="18" t="n">
        <v>1288.25</v>
      </c>
      <c r="R2066" s="21">
        <f>IF(OR(G2066="",P2066=""),"",G2066/P2066-1)</f>
        <v/>
      </c>
      <c r="S2066" s="19" t="n">
        <v>0.1525</v>
      </c>
      <c r="T2066" s="22" t="n">
        <v>-0.0173</v>
      </c>
      <c r="U2066" s="16" t="inlineStr">
        <is>
          <t>No</t>
        </is>
      </c>
      <c r="V2066" s="16" t="inlineStr">
        <is>
          <t>No</t>
        </is>
      </c>
      <c r="W2066" s="16" t="inlineStr">
        <is>
          <t>No</t>
        </is>
      </c>
      <c r="X2066" s="16" t="inlineStr">
        <is>
          <t>Yes</t>
        </is>
      </c>
      <c r="Y2066" s="20" t="n">
        <v>63</v>
      </c>
      <c r="Z2066" s="19" t="n">
        <v>0.0172</v>
      </c>
      <c r="AA2066" s="18" t="n"/>
      <c r="AB2066" s="16" t="n"/>
      <c r="AC2066" s="16" t="inlineStr">
        <is>
          <t>No</t>
        </is>
      </c>
      <c r="AD2066" s="19" t="n"/>
      <c r="AE2066" s="19" t="n"/>
      <c r="AF2066" s="19" t="n"/>
      <c r="AG2066" s="19" t="n"/>
      <c r="AH2066" s="23" t="n"/>
      <c r="AI2066" s="23" t="n"/>
      <c r="AJ2066" s="19" t="n"/>
    </row>
    <row r="2067">
      <c r="A2067" s="16" t="inlineStr">
        <is>
          <t>AMCL</t>
        </is>
      </c>
      <c r="B2067" s="16" t="inlineStr">
        <is>
          <t>ANB Metal Cast Ltd.</t>
        </is>
      </c>
      <c r="C2067" s="16" t="inlineStr">
        <is>
          <t>Aluminium and Aluminium Products</t>
        </is>
      </c>
      <c r="D2067" s="16" t="inlineStr">
        <is>
          <t>Metals &amp; Mining</t>
        </is>
      </c>
      <c r="E2067" s="16" t="inlineStr">
        <is>
          <t>INE0VG001016</t>
        </is>
      </c>
      <c r="F2067" s="17" t="n">
        <v>437.89</v>
      </c>
      <c r="G2067" s="18" t="n"/>
      <c r="H2067" s="19" t="n"/>
      <c r="I2067" s="20" t="n"/>
      <c r="J2067" s="16" t="n"/>
      <c r="K2067" s="20" t="n"/>
      <c r="L2067" s="18" t="n"/>
      <c r="M2067" s="18" t="n"/>
      <c r="N2067" s="18" t="n"/>
      <c r="O2067" s="18" t="n"/>
      <c r="P2067" s="18" t="n"/>
      <c r="Q2067" s="18" t="n"/>
      <c r="R2067" s="21">
        <f>IF(OR(G2067="",P2067=""),"",G2067/P2067-1)</f>
        <v/>
      </c>
      <c r="S2067" s="19" t="n"/>
      <c r="T2067" s="22" t="n"/>
      <c r="U2067" s="16" t="n"/>
      <c r="V2067" s="16" t="n"/>
      <c r="W2067" s="16" t="n"/>
      <c r="X2067" s="16" t="n"/>
      <c r="Y2067" s="20" t="n"/>
      <c r="Z2067" s="19" t="n"/>
      <c r="AA2067" s="18" t="n"/>
      <c r="AB2067" s="16" t="n"/>
      <c r="AC2067" s="16" t="inlineStr">
        <is>
          <t>No</t>
        </is>
      </c>
      <c r="AD2067" s="19" t="n"/>
      <c r="AE2067" s="19" t="n"/>
      <c r="AF2067" s="19" t="n"/>
      <c r="AG2067" s="19" t="n"/>
      <c r="AH2067" s="23" t="n"/>
      <c r="AI2067" s="23" t="n"/>
      <c r="AJ2067" s="19" t="n"/>
    </row>
    <row r="2068">
      <c r="A2068" s="16" t="inlineStr">
        <is>
          <t>POEL</t>
        </is>
      </c>
      <c r="B2068" s="16" t="inlineStr">
        <is>
          <t>POCL Enterprises Ltd.</t>
        </is>
      </c>
      <c r="C2068" s="16" t="inlineStr">
        <is>
          <t>Commodity Chemicals</t>
        </is>
      </c>
      <c r="D2068" s="16" t="inlineStr">
        <is>
          <t>Chemicals &amp; Petrochemicals</t>
        </is>
      </c>
      <c r="E2068" s="16" t="inlineStr">
        <is>
          <t>INE035S01028</t>
        </is>
      </c>
      <c r="F2068" s="17" t="n">
        <v>437.8</v>
      </c>
      <c r="G2068" s="18" t="n">
        <v>142.3</v>
      </c>
      <c r="H2068" s="19" t="n">
        <v>-0.0121</v>
      </c>
      <c r="I2068" s="20" t="n">
        <v>7</v>
      </c>
      <c r="J2068" s="16" t="inlineStr">
        <is>
          <t>red</t>
        </is>
      </c>
      <c r="K2068" s="20" t="n">
        <v>120</v>
      </c>
      <c r="L2068" s="18" t="n">
        <v>41.41</v>
      </c>
      <c r="M2068" s="18" t="n">
        <v>147.44</v>
      </c>
      <c r="N2068" s="18" t="n">
        <v>166.35</v>
      </c>
      <c r="O2068" s="18" t="n">
        <v>175.88</v>
      </c>
      <c r="P2068" s="18" t="n">
        <v>258.33</v>
      </c>
      <c r="Q2068" s="18" t="n">
        <v>142.3</v>
      </c>
      <c r="R2068" s="21">
        <f>IF(OR(G2068="",P2068=""),"",G2068/P2068-1)</f>
        <v/>
      </c>
      <c r="S2068" s="19" t="n">
        <v>1.1575</v>
      </c>
      <c r="T2068" s="22" t="n">
        <v>-0.03759999999999999</v>
      </c>
      <c r="U2068" s="16" t="inlineStr">
        <is>
          <t>No</t>
        </is>
      </c>
      <c r="V2068" s="16" t="inlineStr">
        <is>
          <t>No</t>
        </is>
      </c>
      <c r="W2068" s="16" t="inlineStr">
        <is>
          <t>No</t>
        </is>
      </c>
      <c r="X2068" s="16" t="inlineStr">
        <is>
          <t>No</t>
        </is>
      </c>
      <c r="Y2068" s="20" t="n">
        <v>193</v>
      </c>
      <c r="Z2068" s="19" t="n">
        <v>-0.0542</v>
      </c>
      <c r="AA2068" s="18" t="n"/>
      <c r="AB2068" s="16" t="n"/>
      <c r="AC2068" s="16" t="inlineStr">
        <is>
          <t>No</t>
        </is>
      </c>
      <c r="AD2068" s="19" t="n"/>
      <c r="AE2068" s="19" t="n"/>
      <c r="AF2068" s="19" t="n"/>
      <c r="AG2068" s="19" t="n"/>
      <c r="AH2068" s="23" t="n"/>
      <c r="AI2068" s="23" t="n"/>
      <c r="AJ2068" s="19" t="n"/>
    </row>
    <row r="2069">
      <c r="A2069" s="16" t="inlineStr">
        <is>
          <t>RAMAPHO</t>
        </is>
      </c>
      <c r="B2069" s="16" t="inlineStr">
        <is>
          <t>Rama Phosphates Ltd.</t>
        </is>
      </c>
      <c r="C2069" s="16" t="inlineStr">
        <is>
          <t>Fertilizers</t>
        </is>
      </c>
      <c r="D2069" s="16" t="inlineStr">
        <is>
          <t>Fertilizers</t>
        </is>
      </c>
      <c r="E2069" s="16" t="inlineStr">
        <is>
          <t>INE809A01032</t>
        </is>
      </c>
      <c r="F2069" s="17" t="n">
        <v>436.95</v>
      </c>
      <c r="G2069" s="18" t="n">
        <v>123.48</v>
      </c>
      <c r="H2069" s="19" t="n">
        <v>-0.0043</v>
      </c>
      <c r="I2069" s="20" t="n">
        <v>28</v>
      </c>
      <c r="J2069" s="16" t="inlineStr">
        <is>
          <t>red</t>
        </is>
      </c>
      <c r="K2069" s="20" t="n">
        <v>99</v>
      </c>
      <c r="L2069" s="18" t="n">
        <v>55.03</v>
      </c>
      <c r="M2069" s="18" t="n">
        <v>124.55</v>
      </c>
      <c r="N2069" s="18" t="n">
        <v>124.53</v>
      </c>
      <c r="O2069" s="18" t="n">
        <v>137.33</v>
      </c>
      <c r="P2069" s="18" t="n">
        <v>210.57</v>
      </c>
      <c r="Q2069" s="18" t="n">
        <v>104.03</v>
      </c>
      <c r="R2069" s="21">
        <f>IF(OR(G2069="",P2069=""),"",G2069/P2069-1)</f>
        <v/>
      </c>
      <c r="S2069" s="19" t="n">
        <v>0.3465</v>
      </c>
      <c r="T2069" s="22" t="n">
        <v>-0.0473</v>
      </c>
      <c r="U2069" s="16" t="inlineStr">
        <is>
          <t>No</t>
        </is>
      </c>
      <c r="V2069" s="16" t="inlineStr">
        <is>
          <t>No</t>
        </is>
      </c>
      <c r="W2069" s="16" t="inlineStr">
        <is>
          <t>No</t>
        </is>
      </c>
      <c r="X2069" s="16" t="inlineStr">
        <is>
          <t>No</t>
        </is>
      </c>
      <c r="Y2069" s="20" t="n">
        <v>123</v>
      </c>
      <c r="Z2069" s="19" t="n">
        <v>-0.0931</v>
      </c>
      <c r="AA2069" s="18" t="n"/>
      <c r="AB2069" s="16" t="n"/>
      <c r="AC2069" s="16" t="inlineStr">
        <is>
          <t>No</t>
        </is>
      </c>
      <c r="AD2069" s="19" t="n"/>
      <c r="AE2069" s="19" t="n"/>
      <c r="AF2069" s="19" t="n"/>
      <c r="AG2069" s="19" t="n"/>
      <c r="AH2069" s="23" t="n"/>
      <c r="AI2069" s="23" t="n"/>
      <c r="AJ2069" s="19" t="n"/>
    </row>
    <row r="2070">
      <c r="A2070" s="16" t="inlineStr">
        <is>
          <t>EBIX</t>
        </is>
      </c>
      <c r="B2070" s="16" t="inlineStr">
        <is>
          <t>EBIX Ltd.</t>
        </is>
      </c>
      <c r="C2070" s="16" t="inlineStr">
        <is>
          <t>Hotels</t>
        </is>
      </c>
      <c r="D2070" s="16" t="inlineStr">
        <is>
          <t>Hotels Restaurants &amp; Tourism</t>
        </is>
      </c>
      <c r="E2070" s="16" t="inlineStr">
        <is>
          <t>INE432F01032</t>
        </is>
      </c>
      <c r="F2070" s="17" t="n">
        <v>436.73</v>
      </c>
      <c r="G2070" s="18" t="n">
        <v>20.38</v>
      </c>
      <c r="H2070" s="19" t="n">
        <v>0.009899999999999999</v>
      </c>
      <c r="I2070" s="20" t="n">
        <v>2</v>
      </c>
      <c r="J2070" s="16" t="inlineStr">
        <is>
          <t>red</t>
        </is>
      </c>
      <c r="K2070" s="20" t="n">
        <v>135</v>
      </c>
      <c r="L2070" s="18" t="n">
        <v>72.63</v>
      </c>
      <c r="M2070" s="18" t="n">
        <v>20.79</v>
      </c>
      <c r="N2070" s="18" t="n">
        <v>21.28</v>
      </c>
      <c r="O2070" s="18" t="n">
        <v>29.13</v>
      </c>
      <c r="P2070" s="18" t="n">
        <v>47.07</v>
      </c>
      <c r="Q2070" s="18" t="n">
        <v>16.46</v>
      </c>
      <c r="R2070" s="21">
        <f>IF(OR(G2070="",P2070=""),"",G2070/P2070-1)</f>
        <v/>
      </c>
      <c r="S2070" s="19" t="n">
        <v>0.08839999999999999</v>
      </c>
      <c r="T2070" s="22" t="n">
        <v>-0.0344</v>
      </c>
      <c r="U2070" s="16" t="inlineStr">
        <is>
          <t>No</t>
        </is>
      </c>
      <c r="V2070" s="16" t="inlineStr">
        <is>
          <t>No</t>
        </is>
      </c>
      <c r="W2070" s="16" t="inlineStr">
        <is>
          <t>No</t>
        </is>
      </c>
      <c r="X2070" s="16" t="inlineStr">
        <is>
          <t>No</t>
        </is>
      </c>
      <c r="Y2070" s="20" t="n">
        <v>414</v>
      </c>
      <c r="Z2070" s="19" t="n">
        <v>-0.2697</v>
      </c>
      <c r="AA2070" s="18" t="n"/>
      <c r="AB2070" s="16" t="n"/>
      <c r="AC2070" s="16" t="inlineStr">
        <is>
          <t>No</t>
        </is>
      </c>
      <c r="AD2070" s="19" t="n"/>
      <c r="AE2070" s="19" t="n"/>
      <c r="AF2070" s="19" t="n"/>
      <c r="AG2070" s="19" t="n"/>
      <c r="AH2070" s="23" t="n"/>
      <c r="AI2070" s="23" t="n"/>
      <c r="AJ2070" s="19" t="n"/>
    </row>
    <row r="2071">
      <c r="A2071" s="16" t="inlineStr">
        <is>
          <t>EMERALL</t>
        </is>
      </c>
      <c r="B2071" s="16" t="inlineStr">
        <is>
          <t>Emerald Leisures Ltd.</t>
        </is>
      </c>
      <c r="C2071" s="16" t="inlineStr">
        <is>
          <t>Hotels</t>
        </is>
      </c>
      <c r="D2071" s="16" t="inlineStr">
        <is>
          <t>Hotels Restaurants &amp; Tourism</t>
        </is>
      </c>
      <c r="E2071" s="16" t="inlineStr">
        <is>
          <t>INE044N01021</t>
        </is>
      </c>
      <c r="F2071" s="17" t="n">
        <v>435.99</v>
      </c>
      <c r="G2071" s="18" t="n">
        <v>290.3</v>
      </c>
      <c r="H2071" s="19" t="n">
        <v>-0.0429</v>
      </c>
      <c r="I2071" s="20" t="n">
        <v>86</v>
      </c>
      <c r="J2071" s="16" t="inlineStr">
        <is>
          <t>green</t>
        </is>
      </c>
      <c r="K2071" s="20" t="n">
        <v>13</v>
      </c>
      <c r="L2071" s="18" t="n">
        <v>70.13</v>
      </c>
      <c r="M2071" s="18" t="n">
        <v>303.04</v>
      </c>
      <c r="N2071" s="18" t="n">
        <v>217.18</v>
      </c>
      <c r="O2071" s="18" t="n">
        <v>199.18</v>
      </c>
      <c r="P2071" s="18" t="n">
        <v>317.15</v>
      </c>
      <c r="Q2071" s="18" t="n">
        <v>159.85</v>
      </c>
      <c r="R2071" s="21">
        <f>IF(OR(G2071="",P2071=""),"",G2071/P2071-1)</f>
        <v/>
      </c>
      <c r="S2071" s="19" t="n">
        <v>0.0958</v>
      </c>
      <c r="T2071" s="22" t="n">
        <v>0.0328</v>
      </c>
      <c r="U2071" s="16" t="inlineStr">
        <is>
          <t>Yes</t>
        </is>
      </c>
      <c r="V2071" s="16" t="inlineStr">
        <is>
          <t>Yes</t>
        </is>
      </c>
      <c r="W2071" s="16" t="inlineStr">
        <is>
          <t>No</t>
        </is>
      </c>
      <c r="X2071" s="16" t="inlineStr">
        <is>
          <t>Yes</t>
        </is>
      </c>
      <c r="Y2071" s="20" t="n">
        <v>10</v>
      </c>
      <c r="Z2071" s="19" t="n">
        <v>0.09039999999999999</v>
      </c>
      <c r="AA2071" s="18" t="n"/>
      <c r="AB2071" s="16" t="n"/>
      <c r="AC2071" s="16" t="inlineStr">
        <is>
          <t>No</t>
        </is>
      </c>
      <c r="AD2071" s="19" t="n"/>
      <c r="AE2071" s="19" t="n"/>
      <c r="AF2071" s="19" t="n"/>
      <c r="AG2071" s="19" t="n"/>
      <c r="AH2071" s="23" t="n"/>
      <c r="AI2071" s="23" t="n"/>
      <c r="AJ2071" s="19" t="n"/>
    </row>
    <row r="2072">
      <c r="A2072" s="16" t="inlineStr">
        <is>
          <t>PRIORITY</t>
        </is>
      </c>
      <c r="B2072" s="16" t="inlineStr">
        <is>
          <t>Priority Jewels Ltd.</t>
        </is>
      </c>
      <c r="C2072" s="16" t="inlineStr">
        <is>
          <t>Gems &amp; Jewellery</t>
        </is>
      </c>
      <c r="D2072" s="16" t="inlineStr">
        <is>
          <t>Textiles Apparels &amp; Accessories</t>
        </is>
      </c>
      <c r="E2072" s="16" t="inlineStr">
        <is>
          <t>INE15EH01014</t>
        </is>
      </c>
      <c r="F2072" s="17" t="n">
        <v>434.7</v>
      </c>
      <c r="G2072" s="18" t="n">
        <v>241.5</v>
      </c>
      <c r="H2072" s="19" t="n"/>
      <c r="I2072" s="20" t="n"/>
      <c r="J2072" s="16" t="n"/>
      <c r="K2072" s="20" t="n"/>
      <c r="L2072" s="18" t="n"/>
      <c r="M2072" s="18" t="n"/>
      <c r="N2072" s="18" t="n"/>
      <c r="O2072" s="18" t="n"/>
      <c r="P2072" s="18" t="n">
        <v>241.5</v>
      </c>
      <c r="Q2072" s="18" t="n">
        <v>241.5</v>
      </c>
      <c r="R2072" s="21">
        <f>IF(OR(G2072="",P2072=""),"",G2072/P2072-1)</f>
        <v/>
      </c>
      <c r="S2072" s="19" t="n">
        <v>1</v>
      </c>
      <c r="T2072" s="22" t="n"/>
      <c r="U2072" s="16" t="n"/>
      <c r="V2072" s="16" t="n"/>
      <c r="W2072" s="16" t="n"/>
      <c r="X2072" s="16" t="n"/>
      <c r="Y2072" s="20" t="n"/>
      <c r="Z2072" s="19" t="n"/>
      <c r="AA2072" s="18" t="n"/>
      <c r="AB2072" s="16" t="n"/>
      <c r="AC2072" s="16" t="inlineStr">
        <is>
          <t>No</t>
        </is>
      </c>
      <c r="AD2072" s="19" t="n"/>
      <c r="AE2072" s="19" t="n"/>
      <c r="AF2072" s="19" t="n"/>
      <c r="AG2072" s="19" t="n"/>
      <c r="AH2072" s="23" t="n"/>
      <c r="AI2072" s="23" t="n"/>
      <c r="AJ2072" s="19" t="n"/>
    </row>
    <row r="2073">
      <c r="A2073" s="16" t="inlineStr">
        <is>
          <t>VERITAS</t>
        </is>
      </c>
      <c r="B2073" s="16" t="inlineStr">
        <is>
          <t>Veritas (India) Ltd.</t>
        </is>
      </c>
      <c r="C2073" s="16" t="inlineStr">
        <is>
          <t>Commodity Trading  &amp; Distribution</t>
        </is>
      </c>
      <c r="D2073" s="16" t="inlineStr">
        <is>
          <t>Commercial Services &amp; Supplies</t>
        </is>
      </c>
      <c r="E2073" s="16" t="inlineStr">
        <is>
          <t>INE379J01029</t>
        </is>
      </c>
      <c r="F2073" s="17" t="n">
        <v>433.52</v>
      </c>
      <c r="G2073" s="18" t="n">
        <v>161.7</v>
      </c>
      <c r="H2073" s="19" t="n">
        <v>-0.0194</v>
      </c>
      <c r="I2073" s="20" t="n">
        <v>15</v>
      </c>
      <c r="J2073" s="16" t="inlineStr">
        <is>
          <t>red</t>
        </is>
      </c>
      <c r="K2073" s="20" t="n">
        <v>421</v>
      </c>
      <c r="L2073" s="18" t="n">
        <v>40.68</v>
      </c>
      <c r="M2073" s="18" t="n">
        <v>163.93</v>
      </c>
      <c r="N2073" s="18" t="n">
        <v>171.69</v>
      </c>
      <c r="O2073" s="18" t="n">
        <v>174.08</v>
      </c>
      <c r="P2073" s="18" t="n">
        <v>373.24</v>
      </c>
      <c r="Q2073" s="18" t="n">
        <v>134.81</v>
      </c>
      <c r="R2073" s="21">
        <f>IF(OR(G2073="",P2073=""),"",G2073/P2073-1)</f>
        <v/>
      </c>
      <c r="S2073" s="19" t="n">
        <v>1.3335</v>
      </c>
      <c r="T2073" s="22" t="n">
        <v>-0.0641</v>
      </c>
      <c r="U2073" s="16" t="inlineStr">
        <is>
          <t>No</t>
        </is>
      </c>
      <c r="V2073" s="16" t="inlineStr">
        <is>
          <t>No</t>
        </is>
      </c>
      <c r="W2073" s="16" t="inlineStr">
        <is>
          <t>No</t>
        </is>
      </c>
      <c r="X2073" s="16" t="inlineStr">
        <is>
          <t>No</t>
        </is>
      </c>
      <c r="Y2073" s="20" t="n">
        <v>453</v>
      </c>
      <c r="Z2073" s="19" t="n">
        <v>-0.0138</v>
      </c>
      <c r="AA2073" s="18" t="n"/>
      <c r="AB2073" s="16" t="n"/>
      <c r="AC2073" s="16" t="inlineStr">
        <is>
          <t>No</t>
        </is>
      </c>
      <c r="AD2073" s="19" t="n"/>
      <c r="AE2073" s="19" t="n"/>
      <c r="AF2073" s="19" t="n"/>
      <c r="AG2073" s="19" t="n"/>
      <c r="AH2073" s="23" t="n"/>
      <c r="AI2073" s="23" t="n"/>
      <c r="AJ2073" s="19" t="n"/>
    </row>
    <row r="2074">
      <c r="A2074" s="16" t="inlineStr">
        <is>
          <t>GANESHIN</t>
        </is>
      </c>
      <c r="B2074" s="16" t="inlineStr">
        <is>
          <t>Ganesh Infraworld Ltd.</t>
        </is>
      </c>
      <c r="C2074" s="16" t="inlineStr">
        <is>
          <t>Construction &amp; Engineering</t>
        </is>
      </c>
      <c r="D2074" s="16" t="inlineStr">
        <is>
          <t>Cement and Construction</t>
        </is>
      </c>
      <c r="E2074" s="16" t="inlineStr">
        <is>
          <t>INE0TVT01024</t>
        </is>
      </c>
      <c r="F2074" s="17" t="n">
        <v>433.33</v>
      </c>
      <c r="G2074" s="18" t="n"/>
      <c r="H2074" s="19" t="n"/>
      <c r="I2074" s="20" t="n"/>
      <c r="J2074" s="16" t="n"/>
      <c r="K2074" s="20" t="n"/>
      <c r="L2074" s="18" t="n"/>
      <c r="M2074" s="18" t="n"/>
      <c r="N2074" s="18" t="n"/>
      <c r="O2074" s="18" t="n"/>
      <c r="P2074" s="18" t="n"/>
      <c r="Q2074" s="18" t="n"/>
      <c r="R2074" s="21">
        <f>IF(OR(G2074="",P2074=""),"",G2074/P2074-1)</f>
        <v/>
      </c>
      <c r="S2074" s="19" t="n"/>
      <c r="T2074" s="22" t="n"/>
      <c r="U2074" s="16" t="n"/>
      <c r="V2074" s="16" t="n"/>
      <c r="W2074" s="16" t="n"/>
      <c r="X2074" s="16" t="n"/>
      <c r="Y2074" s="20" t="n"/>
      <c r="Z2074" s="19" t="n"/>
      <c r="AA2074" s="18" t="n"/>
      <c r="AB2074" s="16" t="n"/>
      <c r="AC2074" s="16" t="inlineStr">
        <is>
          <t>No</t>
        </is>
      </c>
      <c r="AD2074" s="19" t="n"/>
      <c r="AE2074" s="19" t="n"/>
      <c r="AF2074" s="19" t="n"/>
      <c r="AG2074" s="19" t="n"/>
      <c r="AH2074" s="23" t="n"/>
      <c r="AI2074" s="23" t="n"/>
      <c r="AJ2074" s="19" t="n"/>
    </row>
    <row r="2075">
      <c r="A2075" s="16" t="inlineStr">
        <is>
          <t>KRITINUT</t>
        </is>
      </c>
      <c r="B2075" s="16" t="inlineStr">
        <is>
          <t>Kriti Nutrients Ltd.</t>
        </is>
      </c>
      <c r="C2075" s="16" t="inlineStr">
        <is>
          <t>Edible Oils</t>
        </is>
      </c>
      <c r="D2075" s="16" t="inlineStr">
        <is>
          <t>FMCG</t>
        </is>
      </c>
      <c r="E2075" s="16" t="inlineStr">
        <is>
          <t>INE798K01010</t>
        </is>
      </c>
      <c r="F2075" s="17" t="n">
        <v>433.14</v>
      </c>
      <c r="G2075" s="18" t="n">
        <v>86.45</v>
      </c>
      <c r="H2075" s="19" t="n">
        <v>0.0371</v>
      </c>
      <c r="I2075" s="20" t="n">
        <v>49</v>
      </c>
      <c r="J2075" s="16" t="inlineStr">
        <is>
          <t>red</t>
        </is>
      </c>
      <c r="K2075" s="20" t="n">
        <v>46</v>
      </c>
      <c r="L2075" s="18" t="n">
        <v>52.66</v>
      </c>
      <c r="M2075" s="18" t="n">
        <v>86.39</v>
      </c>
      <c r="N2075" s="18" t="n">
        <v>81.90000000000001</v>
      </c>
      <c r="O2075" s="18" t="n">
        <v>78.22</v>
      </c>
      <c r="P2075" s="18" t="n">
        <v>100.08</v>
      </c>
      <c r="Q2075" s="18" t="n">
        <v>53.87</v>
      </c>
      <c r="R2075" s="21">
        <f>IF(OR(G2075="",P2075=""),"",G2075/P2075-1)</f>
        <v/>
      </c>
      <c r="S2075" s="19" t="n">
        <v>0.5715</v>
      </c>
      <c r="T2075" s="22" t="n">
        <v>-0.0028</v>
      </c>
      <c r="U2075" s="16" t="inlineStr">
        <is>
          <t>No</t>
        </is>
      </c>
      <c r="V2075" s="16" t="inlineStr">
        <is>
          <t>Yes</t>
        </is>
      </c>
      <c r="W2075" s="16" t="inlineStr">
        <is>
          <t>Yes</t>
        </is>
      </c>
      <c r="X2075" s="16" t="inlineStr">
        <is>
          <t>Yes</t>
        </is>
      </c>
      <c r="Y2075" s="20" t="n">
        <v>69</v>
      </c>
      <c r="Z2075" s="19" t="n">
        <v>0.047</v>
      </c>
      <c r="AA2075" s="18" t="n"/>
      <c r="AB2075" s="16" t="n"/>
      <c r="AC2075" s="16" t="inlineStr">
        <is>
          <t>No</t>
        </is>
      </c>
      <c r="AD2075" s="19" t="n"/>
      <c r="AE2075" s="19" t="n"/>
      <c r="AF2075" s="19" t="n"/>
      <c r="AG2075" s="19" t="n"/>
      <c r="AH2075" s="23" t="n"/>
      <c r="AI2075" s="23" t="n"/>
      <c r="AJ2075" s="19" t="n"/>
    </row>
    <row r="2076">
      <c r="A2076" s="16" t="inlineStr">
        <is>
          <t>MSECL</t>
        </is>
      </c>
      <c r="B2076" s="16" t="inlineStr">
        <is>
          <t>Monarch Surveyors and Engineering Consultants Ltd.</t>
        </is>
      </c>
      <c r="C2076" s="16" t="inlineStr">
        <is>
          <t>Consulting Services</t>
        </is>
      </c>
      <c r="D2076" s="16" t="inlineStr">
        <is>
          <t>Commercial Services &amp; Supplies</t>
        </is>
      </c>
      <c r="E2076" s="16" t="inlineStr">
        <is>
          <t>INE0V0L01028</t>
        </is>
      </c>
      <c r="F2076" s="17" t="n">
        <v>432.11</v>
      </c>
      <c r="G2076" s="18" t="n">
        <v>305.25</v>
      </c>
      <c r="H2076" s="19" t="n">
        <v>0.1606</v>
      </c>
      <c r="I2076" s="20" t="n">
        <v>79</v>
      </c>
      <c r="J2076" s="16" t="inlineStr">
        <is>
          <t>amber</t>
        </is>
      </c>
      <c r="K2076" s="20" t="n">
        <v>4</v>
      </c>
      <c r="L2076" s="18" t="n">
        <v>97.2</v>
      </c>
      <c r="M2076" s="18" t="n">
        <v>251.68</v>
      </c>
      <c r="N2076" s="18" t="n">
        <v>229.19</v>
      </c>
      <c r="O2076" s="18" t="n">
        <v>217.35</v>
      </c>
      <c r="P2076" s="18" t="n">
        <v>305.25</v>
      </c>
      <c r="Q2076" s="18" t="n">
        <v>166.66</v>
      </c>
      <c r="R2076" s="21">
        <f>IF(OR(G2076="",P2076=""),"",G2076/P2076-1)</f>
        <v/>
      </c>
      <c r="S2076" s="19" t="n">
        <v>10.4762</v>
      </c>
      <c r="T2076" s="22" t="n">
        <v>-0.009000000000000001</v>
      </c>
      <c r="U2076" s="16" t="inlineStr">
        <is>
          <t>No</t>
        </is>
      </c>
      <c r="V2076" s="16" t="inlineStr">
        <is>
          <t>Yes</t>
        </is>
      </c>
      <c r="W2076" s="16" t="inlineStr">
        <is>
          <t>Yes</t>
        </is>
      </c>
      <c r="X2076" s="16" t="inlineStr">
        <is>
          <t>Yes</t>
        </is>
      </c>
      <c r="Y2076" s="20" t="n">
        <v>62</v>
      </c>
      <c r="Z2076" s="19" t="n">
        <v>0.0544</v>
      </c>
      <c r="AA2076" s="18" t="n"/>
      <c r="AB2076" s="16" t="n"/>
      <c r="AC2076" s="16" t="inlineStr">
        <is>
          <t>No</t>
        </is>
      </c>
      <c r="AD2076" s="19" t="n"/>
      <c r="AE2076" s="19" t="n"/>
      <c r="AF2076" s="19" t="n"/>
      <c r="AG2076" s="19" t="n"/>
      <c r="AH2076" s="23" t="n"/>
      <c r="AI2076" s="23" t="n"/>
      <c r="AJ2076" s="19" t="n"/>
    </row>
    <row r="2077">
      <c r="A2077" s="16" t="inlineStr">
        <is>
          <t>DENORA</t>
        </is>
      </c>
      <c r="B2077" s="16" t="inlineStr">
        <is>
          <t>De Nora India Ltd.</t>
        </is>
      </c>
      <c r="C2077" s="16" t="inlineStr">
        <is>
          <t>Electrodes &amp; Refractories</t>
        </is>
      </c>
      <c r="D2077" s="16" t="inlineStr">
        <is>
          <t>General Industrials</t>
        </is>
      </c>
      <c r="E2077" s="16" t="inlineStr">
        <is>
          <t>INE244A01016</t>
        </is>
      </c>
      <c r="F2077" s="17" t="n">
        <v>431.22</v>
      </c>
      <c r="G2077" s="18" t="n">
        <v>812.3</v>
      </c>
      <c r="H2077" s="19" t="n">
        <v>-0.0149</v>
      </c>
      <c r="I2077" s="20" t="n">
        <v>53</v>
      </c>
      <c r="J2077" s="16" t="inlineStr">
        <is>
          <t>red</t>
        </is>
      </c>
      <c r="K2077" s="20" t="n">
        <v>4</v>
      </c>
      <c r="L2077" s="18" t="n">
        <v>43.22</v>
      </c>
      <c r="M2077" s="18" t="n">
        <v>820.99</v>
      </c>
      <c r="N2077" s="18" t="n">
        <v>862.4400000000001</v>
      </c>
      <c r="O2077" s="18" t="n">
        <v>747.76</v>
      </c>
      <c r="P2077" s="18" t="n">
        <v>949.2</v>
      </c>
      <c r="Q2077" s="18" t="n">
        <v>567.75</v>
      </c>
      <c r="R2077" s="21">
        <f>IF(OR(G2077="",P2077=""),"",G2077/P2077-1)</f>
        <v/>
      </c>
      <c r="S2077" s="19" t="n">
        <v>0.454</v>
      </c>
      <c r="T2077" s="22" t="n">
        <v>0.0067</v>
      </c>
      <c r="U2077" s="16" t="inlineStr">
        <is>
          <t>Yes</t>
        </is>
      </c>
      <c r="V2077" s="16" t="inlineStr">
        <is>
          <t>No</t>
        </is>
      </c>
      <c r="W2077" s="16" t="inlineStr">
        <is>
          <t>No</t>
        </is>
      </c>
      <c r="X2077" s="16" t="inlineStr">
        <is>
          <t>Yes</t>
        </is>
      </c>
      <c r="Y2077" s="20" t="n">
        <v>76</v>
      </c>
      <c r="Z2077" s="19" t="n">
        <v>0.1534</v>
      </c>
      <c r="AA2077" s="18" t="n"/>
      <c r="AB2077" s="16" t="n"/>
      <c r="AC2077" s="16" t="inlineStr">
        <is>
          <t>No</t>
        </is>
      </c>
      <c r="AD2077" s="19" t="n"/>
      <c r="AE2077" s="19" t="n"/>
      <c r="AF2077" s="19" t="n"/>
      <c r="AG2077" s="19" t="n"/>
      <c r="AH2077" s="23" t="n"/>
      <c r="AI2077" s="23" t="n"/>
      <c r="AJ2077" s="19" t="n"/>
    </row>
    <row r="2078">
      <c r="A2078" s="16" t="inlineStr">
        <is>
          <t>MEGATHERM</t>
        </is>
      </c>
      <c r="B2078" s="16" t="inlineStr">
        <is>
          <t>Megatherm Induction Ltd.</t>
        </is>
      </c>
      <c r="C2078" s="16" t="inlineStr">
        <is>
          <t>Industrial Machinery</t>
        </is>
      </c>
      <c r="D2078" s="16" t="inlineStr">
        <is>
          <t>General Industrials</t>
        </is>
      </c>
      <c r="E2078" s="16" t="inlineStr">
        <is>
          <t>INE531R01010</t>
        </is>
      </c>
      <c r="F2078" s="17" t="n">
        <v>430.98</v>
      </c>
      <c r="G2078" s="18" t="n">
        <v>228.75</v>
      </c>
      <c r="H2078" s="19" t="n">
        <v>0.1153</v>
      </c>
      <c r="I2078" s="20" t="n">
        <v>36</v>
      </c>
      <c r="J2078" s="16" t="inlineStr">
        <is>
          <t>red</t>
        </is>
      </c>
      <c r="K2078" s="20" t="n">
        <v>81</v>
      </c>
      <c r="L2078" s="18" t="n">
        <v>68.22</v>
      </c>
      <c r="M2078" s="18" t="n">
        <v>218.52</v>
      </c>
      <c r="N2078" s="18" t="n">
        <v>212.82</v>
      </c>
      <c r="O2078" s="18" t="n">
        <v>220.61</v>
      </c>
      <c r="P2078" s="18" t="n">
        <v>312.55</v>
      </c>
      <c r="Q2078" s="18" t="n">
        <v>171.65</v>
      </c>
      <c r="R2078" s="21">
        <f>IF(OR(G2078="",P2078=""),"",G2078/P2078-1)</f>
        <v/>
      </c>
      <c r="S2078" s="19" t="n">
        <v>2.6638</v>
      </c>
      <c r="T2078" s="22" t="n">
        <v>-0.0195</v>
      </c>
      <c r="U2078" s="16" t="inlineStr">
        <is>
          <t>No</t>
        </is>
      </c>
      <c r="V2078" s="16" t="inlineStr">
        <is>
          <t>Yes</t>
        </is>
      </c>
      <c r="W2078" s="16" t="inlineStr">
        <is>
          <t>Yes</t>
        </is>
      </c>
      <c r="X2078" s="16" t="inlineStr">
        <is>
          <t>No</t>
        </is>
      </c>
      <c r="Y2078" s="20" t="n">
        <v>44</v>
      </c>
      <c r="Z2078" s="19" t="n">
        <v>-0.0353</v>
      </c>
      <c r="AA2078" s="18" t="n"/>
      <c r="AB2078" s="16" t="n"/>
      <c r="AC2078" s="16" t="inlineStr">
        <is>
          <t>No</t>
        </is>
      </c>
      <c r="AD2078" s="19" t="n"/>
      <c r="AE2078" s="19" t="n"/>
      <c r="AF2078" s="19" t="n"/>
      <c r="AG2078" s="19" t="n"/>
      <c r="AH2078" s="23" t="n"/>
      <c r="AI2078" s="23" t="n"/>
      <c r="AJ2078" s="19" t="n"/>
    </row>
    <row r="2079">
      <c r="A2079" s="16" t="inlineStr">
        <is>
          <t>SAHYADRI</t>
        </is>
      </c>
      <c r="B2079" s="16" t="inlineStr">
        <is>
          <t>Sahyadri Industries Ltd.</t>
        </is>
      </c>
      <c r="C2079" s="16" t="inlineStr">
        <is>
          <t>Cement &amp; Cement Products</t>
        </is>
      </c>
      <c r="D2079" s="16" t="inlineStr">
        <is>
          <t>Cement and Construction</t>
        </is>
      </c>
      <c r="E2079" s="16" t="inlineStr">
        <is>
          <t>INE280H01015</t>
        </is>
      </c>
      <c r="F2079" s="17" t="n">
        <v>429.26</v>
      </c>
      <c r="G2079" s="18" t="n">
        <v>392.15</v>
      </c>
      <c r="H2079" s="19" t="n">
        <v>0.0911</v>
      </c>
      <c r="I2079" s="20" t="n">
        <v>86</v>
      </c>
      <c r="J2079" s="16" t="inlineStr">
        <is>
          <t>green</t>
        </is>
      </c>
      <c r="K2079" s="20" t="n">
        <v>4</v>
      </c>
      <c r="L2079" s="18" t="n">
        <v>52.64</v>
      </c>
      <c r="M2079" s="18" t="n">
        <v>355.98</v>
      </c>
      <c r="N2079" s="18" t="n">
        <v>316.76</v>
      </c>
      <c r="O2079" s="18" t="n">
        <v>270.71</v>
      </c>
      <c r="P2079" s="18" t="n">
        <v>392.15</v>
      </c>
      <c r="Q2079" s="18" t="n">
        <v>201.28</v>
      </c>
      <c r="R2079" s="21">
        <f>IF(OR(G2079="",P2079=""),"",G2079/P2079-1)</f>
        <v/>
      </c>
      <c r="S2079" s="19" t="n">
        <v>3.2699</v>
      </c>
      <c r="T2079" s="22" t="n">
        <v>0.0406</v>
      </c>
      <c r="U2079" s="16" t="inlineStr">
        <is>
          <t>Yes</t>
        </is>
      </c>
      <c r="V2079" s="16" t="inlineStr">
        <is>
          <t>Yes</t>
        </is>
      </c>
      <c r="W2079" s="16" t="inlineStr">
        <is>
          <t>Yes</t>
        </is>
      </c>
      <c r="X2079" s="16" t="inlineStr">
        <is>
          <t>Yes</t>
        </is>
      </c>
      <c r="Y2079" s="20" t="n">
        <v>73</v>
      </c>
      <c r="Z2079" s="19" t="n">
        <v>0.1701</v>
      </c>
      <c r="AA2079" s="18" t="n"/>
      <c r="AB2079" s="16" t="n"/>
      <c r="AC2079" s="16" t="inlineStr">
        <is>
          <t>No</t>
        </is>
      </c>
      <c r="AD2079" s="19" t="n"/>
      <c r="AE2079" s="19" t="n"/>
      <c r="AF2079" s="19" t="n"/>
      <c r="AG2079" s="19" t="n"/>
      <c r="AH2079" s="23" t="n"/>
      <c r="AI2079" s="23" t="n"/>
      <c r="AJ2079" s="19" t="n"/>
    </row>
    <row r="2080">
      <c r="A2080" s="16" t="inlineStr">
        <is>
          <t>QLL</t>
        </is>
      </c>
      <c r="B2080" s="16" t="inlineStr">
        <is>
          <t>Qualitek Labs Ltd.</t>
        </is>
      </c>
      <c r="C2080" s="16" t="inlineStr">
        <is>
          <t>Consulting Services</t>
        </is>
      </c>
      <c r="D2080" s="16" t="inlineStr">
        <is>
          <t>Commercial Services &amp; Supplies</t>
        </is>
      </c>
      <c r="E2080" s="16" t="inlineStr">
        <is>
          <t>INE0Q1R01012</t>
        </is>
      </c>
      <c r="F2080" s="17" t="n">
        <v>429.12</v>
      </c>
      <c r="G2080" s="18" t="n">
        <v>430</v>
      </c>
      <c r="H2080" s="19" t="n">
        <v>-0.0126</v>
      </c>
      <c r="I2080" s="20" t="n">
        <v>57</v>
      </c>
      <c r="J2080" s="16" t="inlineStr">
        <is>
          <t>red</t>
        </is>
      </c>
      <c r="K2080" s="20" t="n">
        <v>1</v>
      </c>
      <c r="L2080" s="18" t="n">
        <v>49.35</v>
      </c>
      <c r="M2080" s="18" t="n">
        <v>445.19</v>
      </c>
      <c r="N2080" s="18" t="n">
        <v>450.89</v>
      </c>
      <c r="O2080" s="18" t="n">
        <v>387.89</v>
      </c>
      <c r="P2080" s="18" t="n">
        <v>487.8</v>
      </c>
      <c r="Q2080" s="18" t="n">
        <v>308.85</v>
      </c>
      <c r="R2080" s="21">
        <f>IF(OR(G2080="",P2080=""),"",G2080/P2080-1)</f>
        <v/>
      </c>
      <c r="S2080" s="19" t="n">
        <v>3.6798</v>
      </c>
      <c r="T2080" s="22" t="n">
        <v>0.0064</v>
      </c>
      <c r="U2080" s="16" t="inlineStr">
        <is>
          <t>Yes</t>
        </is>
      </c>
      <c r="V2080" s="16" t="inlineStr">
        <is>
          <t>No</t>
        </is>
      </c>
      <c r="W2080" s="16" t="inlineStr">
        <is>
          <t>No</t>
        </is>
      </c>
      <c r="X2080" s="16" t="inlineStr">
        <is>
          <t>Yes</t>
        </is>
      </c>
      <c r="Y2080" s="20" t="n">
        <v>58</v>
      </c>
      <c r="Z2080" s="19" t="n">
        <v>0.1624</v>
      </c>
      <c r="AA2080" s="18" t="n"/>
      <c r="AB2080" s="16" t="n"/>
      <c r="AC2080" s="16" t="inlineStr">
        <is>
          <t>No</t>
        </is>
      </c>
      <c r="AD2080" s="19" t="n"/>
      <c r="AE2080" s="19" t="n"/>
      <c r="AF2080" s="19" t="n"/>
      <c r="AG2080" s="19" t="n"/>
      <c r="AH2080" s="23" t="n"/>
      <c r="AI2080" s="23" t="n"/>
      <c r="AJ2080" s="19" t="n"/>
    </row>
    <row r="2081">
      <c r="A2081" s="16" t="inlineStr">
        <is>
          <t>DEVSON</t>
        </is>
      </c>
      <c r="B2081" s="16" t="inlineStr">
        <is>
          <t>Devson Catalyst Ltd.</t>
        </is>
      </c>
      <c r="C2081" s="16" t="inlineStr">
        <is>
          <t>Specialty Chemicals</t>
        </is>
      </c>
      <c r="D2081" s="16" t="inlineStr">
        <is>
          <t>Chemicals &amp; Petrochemicals</t>
        </is>
      </c>
      <c r="E2081" s="16" t="inlineStr">
        <is>
          <t>INE2KRP01017</t>
        </is>
      </c>
      <c r="F2081" s="17" t="n">
        <v>429.04</v>
      </c>
      <c r="G2081" s="18" t="n">
        <v>315.75</v>
      </c>
      <c r="H2081" s="19" t="n">
        <v>0.1179</v>
      </c>
      <c r="I2081" s="20" t="n"/>
      <c r="J2081" s="16" t="n"/>
      <c r="K2081" s="20" t="n"/>
      <c r="L2081" s="18" t="n">
        <v>70.94</v>
      </c>
      <c r="M2081" s="18" t="n">
        <v>273.03</v>
      </c>
      <c r="N2081" s="18" t="n"/>
      <c r="O2081" s="18" t="n"/>
      <c r="P2081" s="18" t="n">
        <v>315.75</v>
      </c>
      <c r="Q2081" s="18" t="n">
        <v>202.55</v>
      </c>
      <c r="R2081" s="21">
        <f>IF(OR(G2081="",P2081=""),"",G2081/P2081-1)</f>
        <v/>
      </c>
      <c r="S2081" s="19" t="n">
        <v>1.3092</v>
      </c>
      <c r="T2081" s="22" t="n"/>
      <c r="U2081" s="16" t="n"/>
      <c r="V2081" s="16" t="n"/>
      <c r="W2081" s="16" t="inlineStr">
        <is>
          <t>Yes</t>
        </is>
      </c>
      <c r="X2081" s="16" t="n"/>
      <c r="Y2081" s="20" t="n"/>
      <c r="Z2081" s="19" t="n"/>
      <c r="AA2081" s="18" t="n"/>
      <c r="AB2081" s="16" t="n"/>
      <c r="AC2081" s="16" t="inlineStr">
        <is>
          <t>No</t>
        </is>
      </c>
      <c r="AD2081" s="19" t="n"/>
      <c r="AE2081" s="19" t="n"/>
      <c r="AF2081" s="19" t="n"/>
      <c r="AG2081" s="19" t="n"/>
      <c r="AH2081" s="23" t="n"/>
      <c r="AI2081" s="23" t="n"/>
      <c r="AJ2081" s="19" t="n"/>
    </row>
    <row r="2082">
      <c r="A2082" s="16" t="inlineStr">
        <is>
          <t>DIVINEHIRA</t>
        </is>
      </c>
      <c r="B2082" s="16" t="inlineStr">
        <is>
          <t>Divine Hira Jewellers Ltd.</t>
        </is>
      </c>
      <c r="C2082" s="16" t="inlineStr">
        <is>
          <t>Gems &amp; Jewellery</t>
        </is>
      </c>
      <c r="D2082" s="16" t="inlineStr">
        <is>
          <t>Textiles Apparels &amp; Accessories</t>
        </is>
      </c>
      <c r="E2082" s="16" t="inlineStr">
        <is>
          <t>INE0NA501011</t>
        </is>
      </c>
      <c r="F2082" s="17" t="n">
        <v>428.4</v>
      </c>
      <c r="G2082" s="18" t="n"/>
      <c r="H2082" s="19" t="n"/>
      <c r="I2082" s="20" t="n"/>
      <c r="J2082" s="16" t="n"/>
      <c r="K2082" s="20" t="n"/>
      <c r="L2082" s="18" t="n"/>
      <c r="M2082" s="18" t="n"/>
      <c r="N2082" s="18" t="n"/>
      <c r="O2082" s="18" t="n"/>
      <c r="P2082" s="18" t="n"/>
      <c r="Q2082" s="18" t="n"/>
      <c r="R2082" s="21">
        <f>IF(OR(G2082="",P2082=""),"",G2082/P2082-1)</f>
        <v/>
      </c>
      <c r="S2082" s="19" t="n"/>
      <c r="T2082" s="22" t="n"/>
      <c r="U2082" s="16" t="n"/>
      <c r="V2082" s="16" t="n"/>
      <c r="W2082" s="16" t="n"/>
      <c r="X2082" s="16" t="n"/>
      <c r="Y2082" s="20" t="n"/>
      <c r="Z2082" s="19" t="n"/>
      <c r="AA2082" s="18" t="n"/>
      <c r="AB2082" s="16" t="n"/>
      <c r="AC2082" s="16" t="inlineStr">
        <is>
          <t>No</t>
        </is>
      </c>
      <c r="AD2082" s="19" t="n"/>
      <c r="AE2082" s="19" t="n"/>
      <c r="AF2082" s="19" t="n"/>
      <c r="AG2082" s="19" t="n"/>
      <c r="AH2082" s="23" t="n"/>
      <c r="AI2082" s="23" t="n"/>
      <c r="AJ2082" s="19" t="n"/>
    </row>
    <row r="2083">
      <c r="A2083" s="16" t="inlineStr">
        <is>
          <t>FOCUS</t>
        </is>
      </c>
      <c r="B2083" s="16" t="inlineStr">
        <is>
          <t>Focus Lighting and Fixtures Ltd.</t>
        </is>
      </c>
      <c r="C2083" s="16" t="inlineStr">
        <is>
          <t>Other Electrical Equipment/Products</t>
        </is>
      </c>
      <c r="D2083" s="16" t="inlineStr">
        <is>
          <t>Consumer Durables</t>
        </is>
      </c>
      <c r="E2083" s="16" t="inlineStr">
        <is>
          <t>INE593W01028</t>
        </is>
      </c>
      <c r="F2083" s="17" t="n">
        <v>428.19</v>
      </c>
      <c r="G2083" s="18" t="n">
        <v>63.37</v>
      </c>
      <c r="H2083" s="19" t="n">
        <v>-0.0083</v>
      </c>
      <c r="I2083" s="20" t="n">
        <v>6</v>
      </c>
      <c r="J2083" s="16" t="inlineStr">
        <is>
          <t>red</t>
        </is>
      </c>
      <c r="K2083" s="20" t="n">
        <v>47</v>
      </c>
      <c r="L2083" s="18" t="n">
        <v>28.58</v>
      </c>
      <c r="M2083" s="18" t="n">
        <v>65.59</v>
      </c>
      <c r="N2083" s="18" t="n">
        <v>72.98999999999999</v>
      </c>
      <c r="O2083" s="18" t="n">
        <v>74.7</v>
      </c>
      <c r="P2083" s="18" t="n">
        <v>97.65000000000001</v>
      </c>
      <c r="Q2083" s="18" t="n">
        <v>58.15</v>
      </c>
      <c r="R2083" s="21">
        <f>IF(OR(G2083="",P2083=""),"",G2083/P2083-1)</f>
        <v/>
      </c>
      <c r="S2083" s="19" t="n">
        <v>1.5079</v>
      </c>
      <c r="T2083" s="22" t="n">
        <v>-0.0225</v>
      </c>
      <c r="U2083" s="16" t="inlineStr">
        <is>
          <t>No</t>
        </is>
      </c>
      <c r="V2083" s="16" t="inlineStr">
        <is>
          <t>No</t>
        </is>
      </c>
      <c r="W2083" s="16" t="inlineStr">
        <is>
          <t>No</t>
        </is>
      </c>
      <c r="X2083" s="16" t="inlineStr">
        <is>
          <t>No</t>
        </is>
      </c>
      <c r="Y2083" s="20" t="n">
        <v>5</v>
      </c>
      <c r="Z2083" s="19" t="n">
        <v>-0.0229</v>
      </c>
      <c r="AA2083" s="18" t="n"/>
      <c r="AB2083" s="16" t="n"/>
      <c r="AC2083" s="16" t="inlineStr">
        <is>
          <t>No</t>
        </is>
      </c>
      <c r="AD2083" s="19" t="n"/>
      <c r="AE2083" s="19" t="n"/>
      <c r="AF2083" s="19" t="n"/>
      <c r="AG2083" s="19" t="n"/>
      <c r="AH2083" s="23" t="n"/>
      <c r="AI2083" s="23" t="n"/>
      <c r="AJ2083" s="19" t="n"/>
    </row>
    <row r="2084">
      <c r="A2084" s="16" t="inlineStr">
        <is>
          <t>SINCLAIR</t>
        </is>
      </c>
      <c r="B2084" s="16" t="inlineStr">
        <is>
          <t>Sinclairs Hotels Ltd.</t>
        </is>
      </c>
      <c r="C2084" s="16" t="inlineStr">
        <is>
          <t>Hotels</t>
        </is>
      </c>
      <c r="D2084" s="16" t="inlineStr">
        <is>
          <t>Hotels Restaurants &amp; Tourism</t>
        </is>
      </c>
      <c r="E2084" s="16" t="inlineStr">
        <is>
          <t>INE985A01022</t>
        </is>
      </c>
      <c r="F2084" s="17" t="n">
        <v>428.02</v>
      </c>
      <c r="G2084" s="18" t="n">
        <v>83.5</v>
      </c>
      <c r="H2084" s="19" t="n">
        <v>-0.0042</v>
      </c>
      <c r="I2084" s="20" t="n">
        <v>41</v>
      </c>
      <c r="J2084" s="16" t="inlineStr">
        <is>
          <t>red</t>
        </is>
      </c>
      <c r="K2084" s="20" t="n">
        <v>234</v>
      </c>
      <c r="L2084" s="18" t="n">
        <v>83.11</v>
      </c>
      <c r="M2084" s="18" t="n">
        <v>81.45</v>
      </c>
      <c r="N2084" s="18" t="n">
        <v>76.16</v>
      </c>
      <c r="O2084" s="18" t="n">
        <v>78.05</v>
      </c>
      <c r="P2084" s="18" t="n">
        <v>111.7</v>
      </c>
      <c r="Q2084" s="18" t="n">
        <v>70.53</v>
      </c>
      <c r="R2084" s="21">
        <f>IF(OR(G2084="",P2084=""),"",G2084/P2084-1)</f>
        <v/>
      </c>
      <c r="S2084" s="19" t="n">
        <v>0.8073</v>
      </c>
      <c r="T2084" s="22" t="n">
        <v>-0.0185</v>
      </c>
      <c r="U2084" s="16" t="inlineStr">
        <is>
          <t>No</t>
        </is>
      </c>
      <c r="V2084" s="16" t="inlineStr">
        <is>
          <t>Yes</t>
        </is>
      </c>
      <c r="W2084" s="16" t="inlineStr">
        <is>
          <t>Yes</t>
        </is>
      </c>
      <c r="X2084" s="16" t="inlineStr">
        <is>
          <t>No</t>
        </is>
      </c>
      <c r="Y2084" s="20" t="n">
        <v>190</v>
      </c>
      <c r="Z2084" s="19" t="n">
        <v>-0.0242</v>
      </c>
      <c r="AA2084" s="18" t="n"/>
      <c r="AB2084" s="16" t="n"/>
      <c r="AC2084" s="16" t="inlineStr">
        <is>
          <t>No</t>
        </is>
      </c>
      <c r="AD2084" s="19" t="n"/>
      <c r="AE2084" s="19" t="n"/>
      <c r="AF2084" s="19" t="n"/>
      <c r="AG2084" s="19" t="n"/>
      <c r="AH2084" s="23" t="n"/>
      <c r="AI2084" s="23" t="n"/>
      <c r="AJ2084" s="19" t="n"/>
    </row>
    <row r="2085">
      <c r="A2085" s="16" t="inlineStr">
        <is>
          <t>MIRZAINT</t>
        </is>
      </c>
      <c r="B2085" s="16" t="inlineStr">
        <is>
          <t>Mirza International Ltd.</t>
        </is>
      </c>
      <c r="C2085" s="16" t="inlineStr">
        <is>
          <t>Footwear</t>
        </is>
      </c>
      <c r="D2085" s="16" t="inlineStr">
        <is>
          <t>Retailing</t>
        </is>
      </c>
      <c r="E2085" s="16" t="inlineStr">
        <is>
          <t>INE771A01026</t>
        </is>
      </c>
      <c r="F2085" s="17" t="n">
        <v>427.87</v>
      </c>
      <c r="G2085" s="18" t="n">
        <v>30.96</v>
      </c>
      <c r="H2085" s="19" t="n">
        <v>-0.001</v>
      </c>
      <c r="I2085" s="20" t="n">
        <v>28</v>
      </c>
      <c r="J2085" s="16" t="inlineStr">
        <is>
          <t>red</t>
        </is>
      </c>
      <c r="K2085" s="20" t="n">
        <v>34</v>
      </c>
      <c r="L2085" s="18" t="n">
        <v>43.65</v>
      </c>
      <c r="M2085" s="18" t="n">
        <v>31.38</v>
      </c>
      <c r="N2085" s="18" t="n">
        <v>34.14</v>
      </c>
      <c r="O2085" s="18" t="n">
        <v>34.17</v>
      </c>
      <c r="P2085" s="18" t="n">
        <v>42.54</v>
      </c>
      <c r="Q2085" s="18" t="n">
        <v>25.05</v>
      </c>
      <c r="R2085" s="21">
        <f>IF(OR(G2085="",P2085=""),"",G2085/P2085-1)</f>
        <v/>
      </c>
      <c r="S2085" s="19" t="n">
        <v>0.4316</v>
      </c>
      <c r="T2085" s="22" t="n">
        <v>-0.0177</v>
      </c>
      <c r="U2085" s="16" t="inlineStr">
        <is>
          <t>No</t>
        </is>
      </c>
      <c r="V2085" s="16" t="inlineStr">
        <is>
          <t>No</t>
        </is>
      </c>
      <c r="W2085" s="16" t="inlineStr">
        <is>
          <t>No</t>
        </is>
      </c>
      <c r="X2085" s="16" t="inlineStr">
        <is>
          <t>No</t>
        </is>
      </c>
      <c r="Y2085" s="20" t="n">
        <v>1</v>
      </c>
      <c r="Z2085" s="19" t="n">
        <v>-0.0009</v>
      </c>
      <c r="AA2085" s="18" t="n"/>
      <c r="AB2085" s="16" t="n"/>
      <c r="AC2085" s="16" t="inlineStr">
        <is>
          <t>No</t>
        </is>
      </c>
      <c r="AD2085" s="19" t="n"/>
      <c r="AE2085" s="19" t="n"/>
      <c r="AF2085" s="19" t="n"/>
      <c r="AG2085" s="19" t="n"/>
      <c r="AH2085" s="23" t="n"/>
      <c r="AI2085" s="23" t="n"/>
      <c r="AJ2085" s="19" t="n"/>
    </row>
    <row r="2086">
      <c r="A2086" s="16" t="inlineStr">
        <is>
          <t>HLVLTD</t>
        </is>
      </c>
      <c r="B2086" s="16" t="inlineStr">
        <is>
          <t>HLV Ltd.</t>
        </is>
      </c>
      <c r="C2086" s="16" t="inlineStr">
        <is>
          <t>Hotels</t>
        </is>
      </c>
      <c r="D2086" s="16" t="inlineStr">
        <is>
          <t>Hotels Restaurants &amp; Tourism</t>
        </is>
      </c>
      <c r="E2086" s="16" t="inlineStr">
        <is>
          <t>INE102A01024</t>
        </is>
      </c>
      <c r="F2086" s="17" t="n">
        <v>427.2</v>
      </c>
      <c r="G2086" s="18" t="n">
        <v>6.48</v>
      </c>
      <c r="H2086" s="19" t="n">
        <v>0.0109</v>
      </c>
      <c r="I2086" s="20" t="n">
        <v>5</v>
      </c>
      <c r="J2086" s="16" t="inlineStr">
        <is>
          <t>red</t>
        </is>
      </c>
      <c r="K2086" s="20" t="n">
        <v>501</v>
      </c>
      <c r="L2086" s="18" t="n">
        <v>36.56</v>
      </c>
      <c r="M2086" s="18" t="n">
        <v>6.48</v>
      </c>
      <c r="N2086" s="18" t="n">
        <v>7.09</v>
      </c>
      <c r="O2086" s="18" t="n">
        <v>8.09</v>
      </c>
      <c r="P2086" s="18" t="n">
        <v>12.3</v>
      </c>
      <c r="Q2086" s="18" t="n">
        <v>5.72</v>
      </c>
      <c r="R2086" s="21">
        <f>IF(OR(G2086="",P2086=""),"",G2086/P2086-1)</f>
        <v/>
      </c>
      <c r="S2086" s="19" t="n">
        <v>0.7101000000000001</v>
      </c>
      <c r="T2086" s="22" t="n">
        <v>-0.05019999999999999</v>
      </c>
      <c r="U2086" s="16" t="inlineStr">
        <is>
          <t>No</t>
        </is>
      </c>
      <c r="V2086" s="16" t="inlineStr">
        <is>
          <t>No</t>
        </is>
      </c>
      <c r="W2086" s="16" t="inlineStr">
        <is>
          <t>Yes</t>
        </is>
      </c>
      <c r="X2086" s="16" t="inlineStr">
        <is>
          <t>No</t>
        </is>
      </c>
      <c r="Y2086" s="20" t="n">
        <v>543</v>
      </c>
      <c r="Z2086" s="19" t="n">
        <v>-0.1229</v>
      </c>
      <c r="AA2086" s="18" t="n"/>
      <c r="AB2086" s="16" t="n"/>
      <c r="AC2086" s="16" t="inlineStr">
        <is>
          <t>No</t>
        </is>
      </c>
      <c r="AD2086" s="19" t="n"/>
      <c r="AE2086" s="19" t="n"/>
      <c r="AF2086" s="19" t="n"/>
      <c r="AG2086" s="19" t="n"/>
      <c r="AH2086" s="23" t="n"/>
      <c r="AI2086" s="23" t="n"/>
      <c r="AJ2086" s="19" t="n"/>
    </row>
    <row r="2087">
      <c r="A2087" s="16" t="inlineStr">
        <is>
          <t>BATLIBOI</t>
        </is>
      </c>
      <c r="B2087" s="16" t="inlineStr">
        <is>
          <t>Batliboi Ltd.</t>
        </is>
      </c>
      <c r="C2087" s="16" t="inlineStr">
        <is>
          <t>Industrial Machinery</t>
        </is>
      </c>
      <c r="D2087" s="16" t="inlineStr">
        <is>
          <t>General Industrials</t>
        </is>
      </c>
      <c r="E2087" s="16" t="inlineStr">
        <is>
          <t>INE177C01022</t>
        </is>
      </c>
      <c r="F2087" s="17" t="n">
        <v>426.5</v>
      </c>
      <c r="G2087" s="18" t="n">
        <v>90.76000000000001</v>
      </c>
      <c r="H2087" s="19" t="n">
        <v>0.0237</v>
      </c>
      <c r="I2087" s="20" t="n">
        <v>46</v>
      </c>
      <c r="J2087" s="16" t="inlineStr">
        <is>
          <t>red</t>
        </is>
      </c>
      <c r="K2087" s="20" t="n">
        <v>167</v>
      </c>
      <c r="L2087" s="18" t="n">
        <v>54.9</v>
      </c>
      <c r="M2087" s="18" t="n">
        <v>88.25</v>
      </c>
      <c r="N2087" s="18" t="n">
        <v>85.73</v>
      </c>
      <c r="O2087" s="18" t="n">
        <v>89.19</v>
      </c>
      <c r="P2087" s="18" t="n">
        <v>146.38</v>
      </c>
      <c r="Q2087" s="18" t="n">
        <v>67.23</v>
      </c>
      <c r="R2087" s="21">
        <f>IF(OR(G2087="",P2087=""),"",G2087/P2087-1)</f>
        <v/>
      </c>
      <c r="S2087" s="19" t="n">
        <v>0.3686</v>
      </c>
      <c r="T2087" s="22" t="n">
        <v>-0.0295</v>
      </c>
      <c r="U2087" s="16" t="inlineStr">
        <is>
          <t>No</t>
        </is>
      </c>
      <c r="V2087" s="16" t="inlineStr">
        <is>
          <t>Yes</t>
        </is>
      </c>
      <c r="W2087" s="16" t="inlineStr">
        <is>
          <t>Yes</t>
        </is>
      </c>
      <c r="X2087" s="16" t="inlineStr">
        <is>
          <t>No</t>
        </is>
      </c>
      <c r="Y2087" s="20" t="n">
        <v>153</v>
      </c>
      <c r="Z2087" s="19" t="n">
        <v>-0.0388</v>
      </c>
      <c r="AA2087" s="18" t="n"/>
      <c r="AB2087" s="16" t="n"/>
      <c r="AC2087" s="16" t="inlineStr">
        <is>
          <t>No</t>
        </is>
      </c>
      <c r="AD2087" s="19" t="n"/>
      <c r="AE2087" s="19" t="n"/>
      <c r="AF2087" s="19" t="n"/>
      <c r="AG2087" s="19" t="n"/>
      <c r="AH2087" s="23" t="n"/>
      <c r="AI2087" s="23" t="n"/>
      <c r="AJ2087" s="19" t="n"/>
    </row>
    <row r="2088">
      <c r="A2088" s="16" t="inlineStr">
        <is>
          <t>VINYLINDIA</t>
        </is>
      </c>
      <c r="B2088" s="16" t="inlineStr">
        <is>
          <t>Vinyl Chemicals (I) Ltd.</t>
        </is>
      </c>
      <c r="C2088" s="16" t="inlineStr">
        <is>
          <t>Commodity Trading  &amp; Distribution</t>
        </is>
      </c>
      <c r="D2088" s="16" t="inlineStr">
        <is>
          <t>Commercial Services &amp; Supplies</t>
        </is>
      </c>
      <c r="E2088" s="16" t="inlineStr">
        <is>
          <t>INE250B01029</t>
        </is>
      </c>
      <c r="F2088" s="17" t="n">
        <v>426.12</v>
      </c>
      <c r="G2088" s="18" t="n">
        <v>232.38</v>
      </c>
      <c r="H2088" s="19" t="n">
        <v>0.0195</v>
      </c>
      <c r="I2088" s="20" t="n">
        <v>34</v>
      </c>
      <c r="J2088" s="16" t="inlineStr">
        <is>
          <t>red</t>
        </is>
      </c>
      <c r="K2088" s="20" t="n">
        <v>44</v>
      </c>
      <c r="L2088" s="18" t="n">
        <v>43.73</v>
      </c>
      <c r="M2088" s="18" t="n">
        <v>231.49</v>
      </c>
      <c r="N2088" s="18" t="n">
        <v>244.09</v>
      </c>
      <c r="O2088" s="18" t="n">
        <v>234.37</v>
      </c>
      <c r="P2088" s="18" t="n">
        <v>301.03</v>
      </c>
      <c r="Q2088" s="18" t="n">
        <v>160.98</v>
      </c>
      <c r="R2088" s="21">
        <f>IF(OR(G2088="",P2088=""),"",G2088/P2088-1)</f>
        <v/>
      </c>
      <c r="S2088" s="19" t="n">
        <v>0.9379999999999999</v>
      </c>
      <c r="T2088" s="22" t="n">
        <v>-0.0131</v>
      </c>
      <c r="U2088" s="16" t="inlineStr">
        <is>
          <t>No</t>
        </is>
      </c>
      <c r="V2088" s="16" t="inlineStr">
        <is>
          <t>No</t>
        </is>
      </c>
      <c r="W2088" s="16" t="inlineStr">
        <is>
          <t>Yes</t>
        </is>
      </c>
      <c r="X2088" s="16" t="inlineStr">
        <is>
          <t>Yes</t>
        </is>
      </c>
      <c r="Y2088" s="20" t="n">
        <v>64</v>
      </c>
      <c r="Z2088" s="19" t="n">
        <v>0.0415</v>
      </c>
      <c r="AA2088" s="18" t="n"/>
      <c r="AB2088" s="16" t="n"/>
      <c r="AC2088" s="16" t="inlineStr">
        <is>
          <t>No</t>
        </is>
      </c>
      <c r="AD2088" s="19" t="n"/>
      <c r="AE2088" s="19" t="n"/>
      <c r="AF2088" s="19" t="n"/>
      <c r="AG2088" s="19" t="n"/>
      <c r="AH2088" s="23" t="n"/>
      <c r="AI2088" s="23" t="n"/>
      <c r="AJ2088" s="19" t="n"/>
    </row>
    <row r="2089">
      <c r="A2089" s="16" t="inlineStr">
        <is>
          <t>GOKUL</t>
        </is>
      </c>
      <c r="B2089" s="16" t="inlineStr">
        <is>
          <t>Gokul Refoils &amp; Solvent Ltd.</t>
        </is>
      </c>
      <c r="C2089" s="16" t="inlineStr">
        <is>
          <t>Edible Oils</t>
        </is>
      </c>
      <c r="D2089" s="16" t="inlineStr">
        <is>
          <t>FMCG</t>
        </is>
      </c>
      <c r="E2089" s="16" t="inlineStr">
        <is>
          <t>INE020J01029</t>
        </is>
      </c>
      <c r="F2089" s="17" t="n">
        <v>425.28</v>
      </c>
      <c r="G2089" s="18" t="n">
        <v>42.96</v>
      </c>
      <c r="H2089" s="19" t="n">
        <v>0.0241</v>
      </c>
      <c r="I2089" s="20" t="n">
        <v>50</v>
      </c>
      <c r="J2089" s="16" t="inlineStr">
        <is>
          <t>red</t>
        </is>
      </c>
      <c r="K2089" s="20" t="n">
        <v>71</v>
      </c>
      <c r="L2089" s="18" t="n">
        <v>68.61</v>
      </c>
      <c r="M2089" s="18" t="n">
        <v>42.39</v>
      </c>
      <c r="N2089" s="18" t="n">
        <v>40.7</v>
      </c>
      <c r="O2089" s="18" t="n">
        <v>39.72</v>
      </c>
      <c r="P2089" s="18" t="n">
        <v>44.98</v>
      </c>
      <c r="Q2089" s="18" t="n">
        <v>31.72</v>
      </c>
      <c r="R2089" s="21">
        <f>IF(OR(G2089="",P2089=""),"",G2089/P2089-1)</f>
        <v/>
      </c>
      <c r="S2089" s="19" t="n">
        <v>1.1619</v>
      </c>
      <c r="T2089" s="22" t="n">
        <v>0.0022</v>
      </c>
      <c r="U2089" s="16" t="inlineStr">
        <is>
          <t>Yes</t>
        </is>
      </c>
      <c r="V2089" s="16" t="inlineStr">
        <is>
          <t>Yes</t>
        </is>
      </c>
      <c r="W2089" s="16" t="inlineStr">
        <is>
          <t>Yes</t>
        </is>
      </c>
      <c r="X2089" s="16" t="inlineStr">
        <is>
          <t>Yes</t>
        </is>
      </c>
      <c r="Y2089" s="20" t="n">
        <v>80</v>
      </c>
      <c r="Z2089" s="19" t="n">
        <v>0.0244</v>
      </c>
      <c r="AA2089" s="18" t="n"/>
      <c r="AB2089" s="16" t="n"/>
      <c r="AC2089" s="16" t="inlineStr">
        <is>
          <t>No</t>
        </is>
      </c>
      <c r="AD2089" s="19" t="n"/>
      <c r="AE2089" s="19" t="n"/>
      <c r="AF2089" s="19" t="n"/>
      <c r="AG2089" s="19" t="n"/>
      <c r="AH2089" s="23" t="n"/>
      <c r="AI2089" s="23" t="n"/>
      <c r="AJ2089" s="19" t="n"/>
    </row>
    <row r="2090">
      <c r="A2090" s="16" t="inlineStr">
        <is>
          <t>XTGLOBAL</t>
        </is>
      </c>
      <c r="B2090" s="16" t="inlineStr">
        <is>
          <t>Xtglobal Infotech Ltd.</t>
        </is>
      </c>
      <c r="C2090" s="16" t="inlineStr">
        <is>
          <t>IT Consulting &amp; Software</t>
        </is>
      </c>
      <c r="D2090" s="16" t="inlineStr">
        <is>
          <t>Software &amp; Services</t>
        </is>
      </c>
      <c r="E2090" s="16" t="inlineStr">
        <is>
          <t>INE547B01028</t>
        </is>
      </c>
      <c r="F2090" s="17" t="n">
        <v>425.04</v>
      </c>
      <c r="G2090" s="18" t="n">
        <v>31.69</v>
      </c>
      <c r="H2090" s="19" t="n">
        <v>0.0035</v>
      </c>
      <c r="I2090" s="20" t="n">
        <v>34</v>
      </c>
      <c r="J2090" s="16" t="inlineStr">
        <is>
          <t>red</t>
        </is>
      </c>
      <c r="K2090" s="20" t="n">
        <v>121</v>
      </c>
      <c r="L2090" s="18" t="n">
        <v>60.37</v>
      </c>
      <c r="M2090" s="18" t="n">
        <v>30.75</v>
      </c>
      <c r="N2090" s="18" t="n">
        <v>29.94</v>
      </c>
      <c r="O2090" s="18" t="n">
        <v>31.39</v>
      </c>
      <c r="P2090" s="18" t="n">
        <v>44.55</v>
      </c>
      <c r="Q2090" s="18" t="n">
        <v>25.99</v>
      </c>
      <c r="R2090" s="21">
        <f>IF(OR(G2090="",P2090=""),"",G2090/P2090-1)</f>
        <v/>
      </c>
      <c r="S2090" s="19" t="n">
        <v>1.3828</v>
      </c>
      <c r="T2090" s="22" t="n">
        <v>-0.0285</v>
      </c>
      <c r="U2090" s="16" t="inlineStr">
        <is>
          <t>No</t>
        </is>
      </c>
      <c r="V2090" s="16" t="inlineStr">
        <is>
          <t>Yes</t>
        </is>
      </c>
      <c r="W2090" s="16" t="inlineStr">
        <is>
          <t>Yes</t>
        </is>
      </c>
      <c r="X2090" s="16" t="inlineStr">
        <is>
          <t>No</t>
        </is>
      </c>
      <c r="Y2090" s="20" t="n">
        <v>159</v>
      </c>
      <c r="Z2090" s="19" t="n">
        <v>-0.0461</v>
      </c>
      <c r="AA2090" s="18" t="n"/>
      <c r="AB2090" s="16" t="n"/>
      <c r="AC2090" s="16" t="inlineStr">
        <is>
          <t>No</t>
        </is>
      </c>
      <c r="AD2090" s="19" t="n"/>
      <c r="AE2090" s="19" t="n"/>
      <c r="AF2090" s="19" t="n"/>
      <c r="AG2090" s="19" t="n"/>
      <c r="AH2090" s="23" t="n"/>
      <c r="AI2090" s="23" t="n"/>
      <c r="AJ2090" s="19" t="n"/>
    </row>
    <row r="2091">
      <c r="A2091" s="16" t="inlineStr">
        <is>
          <t>MANOMAY</t>
        </is>
      </c>
      <c r="B2091" s="16" t="inlineStr">
        <is>
          <t>Manomay Tex India Ltd.</t>
        </is>
      </c>
      <c r="C2091" s="16" t="inlineStr">
        <is>
          <t>Textiles</t>
        </is>
      </c>
      <c r="D2091" s="16" t="inlineStr">
        <is>
          <t>Textiles Apparels &amp; Accessories</t>
        </is>
      </c>
      <c r="E2091" s="16" t="inlineStr">
        <is>
          <t>INE784W01015</t>
        </is>
      </c>
      <c r="F2091" s="17" t="n">
        <v>424.09</v>
      </c>
      <c r="G2091" s="18" t="n">
        <v>234.97</v>
      </c>
      <c r="H2091" s="19" t="n">
        <v>0.0359</v>
      </c>
      <c r="I2091" s="20" t="n">
        <v>67</v>
      </c>
      <c r="J2091" s="16" t="inlineStr">
        <is>
          <t>amber</t>
        </is>
      </c>
      <c r="K2091" s="20" t="n">
        <v>11</v>
      </c>
      <c r="L2091" s="18" t="n">
        <v>72.12</v>
      </c>
      <c r="M2091" s="18" t="n">
        <v>225.9</v>
      </c>
      <c r="N2091" s="18" t="n">
        <v>203.97</v>
      </c>
      <c r="O2091" s="18" t="n">
        <v>209.12</v>
      </c>
      <c r="P2091" s="18" t="n">
        <v>258.62</v>
      </c>
      <c r="Q2091" s="18" t="n">
        <v>164.42</v>
      </c>
      <c r="R2091" s="21">
        <f>IF(OR(G2091="",P2091=""),"",G2091/P2091-1)</f>
        <v/>
      </c>
      <c r="S2091" s="19" t="n">
        <v>2.5669</v>
      </c>
      <c r="T2091" s="22" t="n">
        <v>0.0027</v>
      </c>
      <c r="U2091" s="16" t="inlineStr">
        <is>
          <t>Yes</t>
        </is>
      </c>
      <c r="V2091" s="16" t="inlineStr">
        <is>
          <t>Yes</t>
        </is>
      </c>
      <c r="W2091" s="16" t="inlineStr">
        <is>
          <t>Yes</t>
        </is>
      </c>
      <c r="X2091" s="16" t="inlineStr">
        <is>
          <t>No</t>
        </is>
      </c>
      <c r="Y2091" s="20" t="n">
        <v>67</v>
      </c>
      <c r="Z2091" s="19" t="n">
        <v>-0.0246</v>
      </c>
      <c r="AA2091" s="18" t="n"/>
      <c r="AB2091" s="16" t="n"/>
      <c r="AC2091" s="16" t="inlineStr">
        <is>
          <t>No</t>
        </is>
      </c>
      <c r="AD2091" s="19" t="n"/>
      <c r="AE2091" s="19" t="n"/>
      <c r="AF2091" s="19" t="n"/>
      <c r="AG2091" s="19" t="n"/>
      <c r="AH2091" s="23" t="n"/>
      <c r="AI2091" s="23" t="n"/>
      <c r="AJ2091" s="19" t="n"/>
    </row>
    <row r="2092">
      <c r="A2092" s="16" t="inlineStr">
        <is>
          <t>ATVOENT</t>
        </is>
      </c>
      <c r="B2092" s="16" t="inlineStr">
        <is>
          <t>ATVO Enterprises Ltd.</t>
        </is>
      </c>
      <c r="C2092" s="16" t="inlineStr">
        <is>
          <t>Textiles</t>
        </is>
      </c>
      <c r="D2092" s="16" t="inlineStr">
        <is>
          <t>Textiles Apparels &amp; Accessories</t>
        </is>
      </c>
      <c r="E2092" s="16" t="inlineStr">
        <is>
          <t>INE219M01021</t>
        </is>
      </c>
      <c r="F2092" s="17" t="n">
        <v>422.7</v>
      </c>
      <c r="G2092" s="18" t="n">
        <v>39.51</v>
      </c>
      <c r="H2092" s="19" t="n">
        <v>0.05</v>
      </c>
      <c r="I2092" s="20" t="n">
        <v>95</v>
      </c>
      <c r="J2092" s="16" t="inlineStr">
        <is>
          <t>green</t>
        </is>
      </c>
      <c r="K2092" s="20" t="n">
        <v>153</v>
      </c>
      <c r="L2092" s="18" t="n">
        <v>57.12</v>
      </c>
      <c r="M2092" s="18" t="n">
        <v>41.64</v>
      </c>
      <c r="N2092" s="18" t="n">
        <v>34.94</v>
      </c>
      <c r="O2092" s="18" t="n">
        <v>23.98</v>
      </c>
      <c r="P2092" s="18" t="n">
        <v>44.98</v>
      </c>
      <c r="Q2092" s="18" t="n">
        <v>12.61</v>
      </c>
      <c r="R2092" s="21">
        <f>IF(OR(G2092="",P2092=""),"",G2092/P2092-1)</f>
        <v/>
      </c>
      <c r="S2092" s="19" t="n">
        <v>0.6603</v>
      </c>
      <c r="T2092" s="22" t="n">
        <v>0.1081</v>
      </c>
      <c r="U2092" s="16" t="inlineStr">
        <is>
          <t>Yes</t>
        </is>
      </c>
      <c r="V2092" s="16" t="inlineStr">
        <is>
          <t>Yes</t>
        </is>
      </c>
      <c r="W2092" s="16" t="inlineStr">
        <is>
          <t>No</t>
        </is>
      </c>
      <c r="X2092" s="16" t="inlineStr">
        <is>
          <t>Yes</t>
        </is>
      </c>
      <c r="Y2092" s="20" t="n">
        <v>122</v>
      </c>
      <c r="Z2092" s="19" t="n">
        <v>0.457</v>
      </c>
      <c r="AA2092" s="18" t="n"/>
      <c r="AB2092" s="16" t="n"/>
      <c r="AC2092" s="16" t="inlineStr">
        <is>
          <t>No</t>
        </is>
      </c>
      <c r="AD2092" s="19" t="n"/>
      <c r="AE2092" s="19" t="n"/>
      <c r="AF2092" s="19" t="n"/>
      <c r="AG2092" s="19" t="n"/>
      <c r="AH2092" s="23" t="n"/>
      <c r="AI2092" s="23" t="n"/>
      <c r="AJ2092" s="19" t="n"/>
    </row>
    <row r="2093">
      <c r="A2093" s="16" t="inlineStr">
        <is>
          <t>FOODSIN</t>
        </is>
      </c>
      <c r="B2093" s="16" t="inlineStr">
        <is>
          <t>Foods &amp; Inns Ltd.</t>
        </is>
      </c>
      <c r="C2093" s="16" t="inlineStr">
        <is>
          <t>Other Food &amp; Beverages</t>
        </is>
      </c>
      <c r="D2093" s="16" t="inlineStr">
        <is>
          <t>Food, Beverages &amp; Tobacco</t>
        </is>
      </c>
      <c r="E2093" s="16" t="inlineStr">
        <is>
          <t>INE976E01023</t>
        </is>
      </c>
      <c r="F2093" s="17" t="n">
        <v>421.85</v>
      </c>
      <c r="G2093" s="18" t="n">
        <v>57.37</v>
      </c>
      <c r="H2093" s="19" t="n">
        <v>0.0234</v>
      </c>
      <c r="I2093" s="20" t="n">
        <v>24</v>
      </c>
      <c r="J2093" s="16" t="inlineStr">
        <is>
          <t>red</t>
        </is>
      </c>
      <c r="K2093" s="20" t="n">
        <v>294</v>
      </c>
      <c r="L2093" s="18" t="n">
        <v>63.15</v>
      </c>
      <c r="M2093" s="18" t="n">
        <v>54.5</v>
      </c>
      <c r="N2093" s="18" t="n">
        <v>56.01</v>
      </c>
      <c r="O2093" s="18" t="n">
        <v>60.54</v>
      </c>
      <c r="P2093" s="18" t="n">
        <v>93.8</v>
      </c>
      <c r="Q2093" s="18" t="n">
        <v>45.83</v>
      </c>
      <c r="R2093" s="21">
        <f>IF(OR(G2093="",P2093=""),"",G2093/P2093-1)</f>
        <v/>
      </c>
      <c r="S2093" s="19" t="n">
        <v>0.8260999999999999</v>
      </c>
      <c r="T2093" s="22" t="n">
        <v>-0.0437</v>
      </c>
      <c r="U2093" s="16" t="inlineStr">
        <is>
          <t>No</t>
        </is>
      </c>
      <c r="V2093" s="16" t="inlineStr">
        <is>
          <t>Yes</t>
        </is>
      </c>
      <c r="W2093" s="16" t="inlineStr">
        <is>
          <t>Yes</t>
        </is>
      </c>
      <c r="X2093" s="16" t="inlineStr">
        <is>
          <t>No</t>
        </is>
      </c>
      <c r="Y2093" s="20" t="n">
        <v>243</v>
      </c>
      <c r="Z2093" s="19" t="n">
        <v>-0.07480000000000001</v>
      </c>
      <c r="AA2093" s="18" t="n"/>
      <c r="AB2093" s="16" t="n"/>
      <c r="AC2093" s="16" t="inlineStr">
        <is>
          <t>No</t>
        </is>
      </c>
      <c r="AD2093" s="19" t="n"/>
      <c r="AE2093" s="19" t="n"/>
      <c r="AF2093" s="19" t="n"/>
      <c r="AG2093" s="19" t="n"/>
      <c r="AH2093" s="23" t="n"/>
      <c r="AI2093" s="23" t="n"/>
      <c r="AJ2093" s="19" t="n"/>
    </row>
    <row r="2094">
      <c r="A2094" s="16" t="inlineStr">
        <is>
          <t>SIMPLEXCAS</t>
        </is>
      </c>
      <c r="B2094" s="16" t="inlineStr">
        <is>
          <t>Simplex Castings Ltd.</t>
        </is>
      </c>
      <c r="C2094" s="16" t="inlineStr">
        <is>
          <t>Other Industrial Products</t>
        </is>
      </c>
      <c r="D2094" s="16" t="inlineStr">
        <is>
          <t>General Industrials</t>
        </is>
      </c>
      <c r="E2094" s="16" t="inlineStr">
        <is>
          <t>INE658D01029</t>
        </is>
      </c>
      <c r="F2094" s="17" t="n">
        <v>420.42</v>
      </c>
      <c r="G2094" s="18" t="n">
        <v>102.55</v>
      </c>
      <c r="H2094" s="19" t="n">
        <v>0.0039</v>
      </c>
      <c r="I2094" s="20" t="n">
        <v>52</v>
      </c>
      <c r="J2094" s="16" t="inlineStr">
        <is>
          <t>red</t>
        </is>
      </c>
      <c r="K2094" s="20" t="n">
        <v>4</v>
      </c>
      <c r="L2094" s="18" t="n">
        <v>43.6</v>
      </c>
      <c r="M2094" s="18" t="n">
        <v>104.85</v>
      </c>
      <c r="N2094" s="18" t="n">
        <v>105.2</v>
      </c>
      <c r="O2094" s="18" t="n">
        <v>99.2</v>
      </c>
      <c r="P2094" s="18" t="n">
        <v>120.5</v>
      </c>
      <c r="Q2094" s="18" t="n">
        <v>75.37</v>
      </c>
      <c r="R2094" s="21">
        <f>IF(OR(G2094="",P2094=""),"",G2094/P2094-1)</f>
        <v/>
      </c>
      <c r="S2094" s="19" t="n">
        <v>0.8495999999999999</v>
      </c>
      <c r="T2094" s="22" t="n">
        <v>0.0061</v>
      </c>
      <c r="U2094" s="16" t="inlineStr">
        <is>
          <t>Yes</t>
        </is>
      </c>
      <c r="V2094" s="16" t="inlineStr">
        <is>
          <t>No</t>
        </is>
      </c>
      <c r="W2094" s="16" t="inlineStr">
        <is>
          <t>No</t>
        </is>
      </c>
      <c r="X2094" s="16" t="inlineStr">
        <is>
          <t>Yes</t>
        </is>
      </c>
      <c r="Y2094" s="20" t="n">
        <v>52</v>
      </c>
      <c r="Z2094" s="19" t="n">
        <v>0.0604</v>
      </c>
      <c r="AA2094" s="18" t="n"/>
      <c r="AB2094" s="16" t="n"/>
      <c r="AC2094" s="16" t="inlineStr">
        <is>
          <t>No</t>
        </is>
      </c>
      <c r="AD2094" s="19" t="n"/>
      <c r="AE2094" s="19" t="n"/>
      <c r="AF2094" s="19" t="n"/>
      <c r="AG2094" s="19" t="n"/>
      <c r="AH2094" s="23" t="n"/>
      <c r="AI2094" s="23" t="n"/>
      <c r="AJ2094" s="19" t="n"/>
    </row>
    <row r="2095">
      <c r="A2095" s="16" t="inlineStr">
        <is>
          <t>LORDSCHLO</t>
        </is>
      </c>
      <c r="B2095" s="16" t="inlineStr">
        <is>
          <t>Lords Chloro Alkali Ltd.</t>
        </is>
      </c>
      <c r="C2095" s="16" t="inlineStr">
        <is>
          <t>Commodity Chemicals</t>
        </is>
      </c>
      <c r="D2095" s="16" t="inlineStr">
        <is>
          <t>Chemicals &amp; Petrochemicals</t>
        </is>
      </c>
      <c r="E2095" s="16" t="inlineStr">
        <is>
          <t>INE846D01012</t>
        </is>
      </c>
      <c r="F2095" s="17" t="n">
        <v>420.07</v>
      </c>
      <c r="G2095" s="18" t="n">
        <v>146.6</v>
      </c>
      <c r="H2095" s="19" t="n">
        <v>0.0357</v>
      </c>
      <c r="I2095" s="20" t="n">
        <v>42</v>
      </c>
      <c r="J2095" s="16" t="inlineStr">
        <is>
          <t>red</t>
        </is>
      </c>
      <c r="K2095" s="20" t="n">
        <v>168</v>
      </c>
      <c r="L2095" s="18" t="n">
        <v>59.64</v>
      </c>
      <c r="M2095" s="18" t="n">
        <v>139.76</v>
      </c>
      <c r="N2095" s="18" t="n">
        <v>140.05</v>
      </c>
      <c r="O2095" s="18" t="n">
        <v>144.32</v>
      </c>
      <c r="P2095" s="18" t="n">
        <v>225.41</v>
      </c>
      <c r="Q2095" s="18" t="n">
        <v>109.08</v>
      </c>
      <c r="R2095" s="21">
        <f>IF(OR(G2095="",P2095=""),"",G2095/P2095-1)</f>
        <v/>
      </c>
      <c r="S2095" s="19" t="n">
        <v>1.6784</v>
      </c>
      <c r="T2095" s="22" t="n">
        <v>-0.0474</v>
      </c>
      <c r="U2095" s="16" t="inlineStr">
        <is>
          <t>No</t>
        </is>
      </c>
      <c r="V2095" s="16" t="inlineStr">
        <is>
          <t>Yes</t>
        </is>
      </c>
      <c r="W2095" s="16" t="inlineStr">
        <is>
          <t>Yes</t>
        </is>
      </c>
      <c r="X2095" s="16" t="inlineStr">
        <is>
          <t>No</t>
        </is>
      </c>
      <c r="Y2095" s="20" t="n">
        <v>158</v>
      </c>
      <c r="Z2095" s="19" t="n">
        <v>-0.0296</v>
      </c>
      <c r="AA2095" s="18" t="n"/>
      <c r="AB2095" s="16" t="n"/>
      <c r="AC2095" s="16" t="inlineStr">
        <is>
          <t>No</t>
        </is>
      </c>
      <c r="AD2095" s="19" t="n"/>
      <c r="AE2095" s="19" t="n"/>
      <c r="AF2095" s="19" t="n"/>
      <c r="AG2095" s="19" t="n"/>
      <c r="AH2095" s="23" t="n"/>
      <c r="AI2095" s="23" t="n"/>
      <c r="AJ2095" s="19" t="n"/>
    </row>
    <row r="2096">
      <c r="A2096" s="16" t="inlineStr">
        <is>
          <t>NDLVENTURE</t>
        </is>
      </c>
      <c r="B2096" s="16" t="inlineStr">
        <is>
          <t>NDL Ventures Ltd.</t>
        </is>
      </c>
      <c r="C2096" s="16" t="inlineStr">
        <is>
          <t>Broadcasting &amp; Cable TV</t>
        </is>
      </c>
      <c r="D2096" s="16" t="inlineStr">
        <is>
          <t>Media</t>
        </is>
      </c>
      <c r="E2096" s="16" t="inlineStr">
        <is>
          <t>INE353A01023</t>
        </is>
      </c>
      <c r="F2096" s="17" t="n">
        <v>419.95</v>
      </c>
      <c r="G2096" s="18" t="n">
        <v>124.72</v>
      </c>
      <c r="H2096" s="19" t="n">
        <v>0.0139</v>
      </c>
      <c r="I2096" s="20" t="n">
        <v>60</v>
      </c>
      <c r="J2096" s="16" t="inlineStr">
        <is>
          <t>amber</t>
        </is>
      </c>
      <c r="K2096" s="20" t="n">
        <v>1</v>
      </c>
      <c r="L2096" s="18" t="n">
        <v>51.96</v>
      </c>
      <c r="M2096" s="18" t="n">
        <v>122.39</v>
      </c>
      <c r="N2096" s="18" t="n">
        <v>126.58</v>
      </c>
      <c r="O2096" s="18" t="n">
        <v>113.82</v>
      </c>
      <c r="P2096" s="18" t="n">
        <v>134.39</v>
      </c>
      <c r="Q2096" s="18" t="n">
        <v>81.59999999999999</v>
      </c>
      <c r="R2096" s="21">
        <f>IF(OR(G2096="",P2096=""),"",G2096/P2096-1)</f>
        <v/>
      </c>
      <c r="S2096" s="19" t="n">
        <v>0.6426999999999999</v>
      </c>
      <c r="T2096" s="22" t="n">
        <v>0.0334</v>
      </c>
      <c r="U2096" s="16" t="inlineStr">
        <is>
          <t>Yes</t>
        </is>
      </c>
      <c r="V2096" s="16" t="inlineStr">
        <is>
          <t>No</t>
        </is>
      </c>
      <c r="W2096" s="16" t="inlineStr">
        <is>
          <t>Yes</t>
        </is>
      </c>
      <c r="X2096" s="16" t="inlineStr">
        <is>
          <t>Yes</t>
        </is>
      </c>
      <c r="Y2096" s="20" t="n">
        <v>235</v>
      </c>
      <c r="Z2096" s="19" t="n">
        <v>0.1121</v>
      </c>
      <c r="AA2096" s="18" t="n"/>
      <c r="AB2096" s="16" t="n"/>
      <c r="AC2096" s="16" t="inlineStr">
        <is>
          <t>No</t>
        </is>
      </c>
      <c r="AD2096" s="19" t="n"/>
      <c r="AE2096" s="19" t="n"/>
      <c r="AF2096" s="19" t="n"/>
      <c r="AG2096" s="19" t="n"/>
      <c r="AH2096" s="23" t="n"/>
      <c r="AI2096" s="23" t="n"/>
      <c r="AJ2096" s="19" t="n"/>
    </row>
    <row r="2097">
      <c r="A2097" s="16" t="inlineStr">
        <is>
          <t>MSCTC</t>
        </is>
      </c>
      <c r="B2097" s="16" t="inlineStr">
        <is>
          <t>Mardia Samyoung Capillary Tubes Company Ltd.</t>
        </is>
      </c>
      <c r="C2097" s="16" t="inlineStr">
        <is>
          <t>Copper</t>
        </is>
      </c>
      <c r="D2097" s="16" t="inlineStr">
        <is>
          <t>Metals &amp; Mining</t>
        </is>
      </c>
      <c r="E2097" s="16" t="inlineStr">
        <is>
          <t>INE277E01026</t>
        </is>
      </c>
      <c r="F2097" s="17" t="n">
        <v>419.41</v>
      </c>
      <c r="G2097" s="18" t="n">
        <v>52.79</v>
      </c>
      <c r="H2097" s="19" t="n">
        <v>0.0351</v>
      </c>
      <c r="I2097" s="20" t="n">
        <v>9</v>
      </c>
      <c r="J2097" s="16" t="inlineStr">
        <is>
          <t>red</t>
        </is>
      </c>
      <c r="K2097" s="20" t="n">
        <v>48</v>
      </c>
      <c r="L2097" s="18" t="n">
        <v>46.51</v>
      </c>
      <c r="M2097" s="18" t="n">
        <v>54.83</v>
      </c>
      <c r="N2097" s="18" t="n">
        <v>48.27</v>
      </c>
      <c r="O2097" s="18" t="n">
        <v>81.79000000000001</v>
      </c>
      <c r="P2097" s="18" t="n">
        <v>123.4</v>
      </c>
      <c r="Q2097" s="18" t="n">
        <v>39</v>
      </c>
      <c r="R2097" s="21">
        <f>IF(OR(G2097="",P2097=""),"",G2097/P2097-1)</f>
        <v/>
      </c>
      <c r="S2097" s="19" t="n">
        <v>0.4132</v>
      </c>
      <c r="T2097" s="22" t="n">
        <v>-0.0667</v>
      </c>
      <c r="U2097" s="16" t="inlineStr">
        <is>
          <t>No</t>
        </is>
      </c>
      <c r="V2097" s="16" t="inlineStr">
        <is>
          <t>Yes</t>
        </is>
      </c>
      <c r="W2097" s="16" t="inlineStr">
        <is>
          <t>No</t>
        </is>
      </c>
      <c r="X2097" s="16" t="inlineStr">
        <is>
          <t>No</t>
        </is>
      </c>
      <c r="Y2097" s="20" t="n">
        <v>84</v>
      </c>
      <c r="Z2097" s="19" t="n">
        <v>-0.4097999999999999</v>
      </c>
      <c r="AA2097" s="18" t="n"/>
      <c r="AB2097" s="16" t="n"/>
      <c r="AC2097" s="16" t="inlineStr">
        <is>
          <t>No</t>
        </is>
      </c>
      <c r="AD2097" s="19" t="n"/>
      <c r="AE2097" s="19" t="n"/>
      <c r="AF2097" s="19" t="n"/>
      <c r="AG2097" s="19" t="n"/>
      <c r="AH2097" s="23" t="n"/>
      <c r="AI2097" s="23" t="n"/>
      <c r="AJ2097" s="19" t="n"/>
    </row>
    <row r="2098">
      <c r="A2098" s="16" t="inlineStr">
        <is>
          <t>MANORG</t>
        </is>
      </c>
      <c r="B2098" s="16" t="inlineStr">
        <is>
          <t>Mangalam Organics Ltd.</t>
        </is>
      </c>
      <c r="C2098" s="16" t="inlineStr">
        <is>
          <t>Commodity Chemicals</t>
        </is>
      </c>
      <c r="D2098" s="16" t="inlineStr">
        <is>
          <t>Chemicals &amp; Petrochemicals</t>
        </is>
      </c>
      <c r="E2098" s="16" t="inlineStr">
        <is>
          <t>INE370D01013</t>
        </is>
      </c>
      <c r="F2098" s="17" t="n">
        <v>419.23</v>
      </c>
      <c r="G2098" s="18" t="n">
        <v>489.5</v>
      </c>
      <c r="H2098" s="19" t="n">
        <v>-0.0015</v>
      </c>
      <c r="I2098" s="20" t="n">
        <v>45</v>
      </c>
      <c r="J2098" s="16" t="inlineStr">
        <is>
          <t>red</t>
        </is>
      </c>
      <c r="K2098" s="20" t="n">
        <v>27</v>
      </c>
      <c r="L2098" s="18" t="n">
        <v>64.26000000000001</v>
      </c>
      <c r="M2098" s="18" t="n">
        <v>498.61</v>
      </c>
      <c r="N2098" s="18" t="n">
        <v>504.64</v>
      </c>
      <c r="O2098" s="18" t="n">
        <v>481.01</v>
      </c>
      <c r="P2098" s="18" t="n">
        <v>619.95</v>
      </c>
      <c r="Q2098" s="18" t="n">
        <v>367.05</v>
      </c>
      <c r="R2098" s="21">
        <f>IF(OR(G2098="",P2098=""),"",G2098/P2098-1)</f>
        <v/>
      </c>
      <c r="S2098" s="19" t="n">
        <v>1.1517</v>
      </c>
      <c r="T2098" s="22" t="n">
        <v>-0.0077</v>
      </c>
      <c r="U2098" s="16" t="inlineStr">
        <is>
          <t>No</t>
        </is>
      </c>
      <c r="V2098" s="16" t="inlineStr">
        <is>
          <t>No</t>
        </is>
      </c>
      <c r="W2098" s="16" t="inlineStr">
        <is>
          <t>No</t>
        </is>
      </c>
      <c r="X2098" s="16" t="inlineStr">
        <is>
          <t>Yes</t>
        </is>
      </c>
      <c r="Y2098" s="20" t="n">
        <v>69</v>
      </c>
      <c r="Z2098" s="19" t="n">
        <v>0.0491</v>
      </c>
      <c r="AA2098" s="18" t="n"/>
      <c r="AB2098" s="16" t="n"/>
      <c r="AC2098" s="16" t="inlineStr">
        <is>
          <t>No</t>
        </is>
      </c>
      <c r="AD2098" s="19" t="n"/>
      <c r="AE2098" s="19" t="n"/>
      <c r="AF2098" s="19" t="n"/>
      <c r="AG2098" s="19" t="n"/>
      <c r="AH2098" s="23" t="n"/>
      <c r="AI2098" s="23" t="n"/>
      <c r="AJ2098" s="19" t="n"/>
    </row>
    <row r="2099">
      <c r="A2099" s="16" t="inlineStr">
        <is>
          <t>ANLON</t>
        </is>
      </c>
      <c r="B2099" s="16" t="inlineStr">
        <is>
          <t>Anlon Technology Solutions Ltd.</t>
        </is>
      </c>
      <c r="C2099" s="16" t="inlineStr">
        <is>
          <t>Industrial Machinery</t>
        </is>
      </c>
      <c r="D2099" s="16" t="inlineStr">
        <is>
          <t>General Industrials</t>
        </is>
      </c>
      <c r="E2099" s="16" t="inlineStr">
        <is>
          <t>INE0LR101013</t>
        </is>
      </c>
      <c r="F2099" s="17" t="n">
        <v>419.11</v>
      </c>
      <c r="G2099" s="18" t="n">
        <v>670</v>
      </c>
      <c r="H2099" s="19" t="n">
        <v>0.0182</v>
      </c>
      <c r="I2099" s="20" t="n">
        <v>82</v>
      </c>
      <c r="J2099" s="16" t="inlineStr">
        <is>
          <t>green</t>
        </is>
      </c>
      <c r="K2099" s="20" t="n">
        <v>1</v>
      </c>
      <c r="L2099" s="18" t="n">
        <v>47.71</v>
      </c>
      <c r="M2099" s="18" t="n">
        <v>643.75</v>
      </c>
      <c r="N2099" s="18" t="n">
        <v>638.03</v>
      </c>
      <c r="O2099" s="18" t="n">
        <v>500.92</v>
      </c>
      <c r="P2099" s="18" t="n">
        <v>716.7</v>
      </c>
      <c r="Q2099" s="18" t="n">
        <v>336</v>
      </c>
      <c r="R2099" s="21">
        <f>IF(OR(G2099="",P2099=""),"",G2099/P2099-1)</f>
        <v/>
      </c>
      <c r="S2099" s="19" t="n">
        <v>1.0241</v>
      </c>
      <c r="T2099" s="22" t="n">
        <v>0.0539</v>
      </c>
      <c r="U2099" s="16" t="inlineStr">
        <is>
          <t>Yes</t>
        </is>
      </c>
      <c r="V2099" s="16" t="inlineStr">
        <is>
          <t>Yes</t>
        </is>
      </c>
      <c r="W2099" s="16" t="inlineStr">
        <is>
          <t>Yes</t>
        </is>
      </c>
      <c r="X2099" s="16" t="inlineStr">
        <is>
          <t>Yes</t>
        </is>
      </c>
      <c r="Y2099" s="20" t="n">
        <v>84</v>
      </c>
      <c r="Z2099" s="19" t="n">
        <v>0.2737</v>
      </c>
      <c r="AA2099" s="18" t="n"/>
      <c r="AB2099" s="16" t="n"/>
      <c r="AC2099" s="16" t="inlineStr">
        <is>
          <t>No</t>
        </is>
      </c>
      <c r="AD2099" s="19" t="n"/>
      <c r="AE2099" s="19" t="n"/>
      <c r="AF2099" s="19" t="n"/>
      <c r="AG2099" s="19" t="n"/>
      <c r="AH2099" s="23" t="n"/>
      <c r="AI2099" s="23" t="n"/>
      <c r="AJ2099" s="19" t="n"/>
    </row>
    <row r="2100">
      <c r="A2100" s="16" t="inlineStr">
        <is>
          <t>MAHALIFE</t>
        </is>
      </c>
      <c r="B2100" s="16" t="inlineStr">
        <is>
          <t>Mahamaya Lifesciences Ltd.</t>
        </is>
      </c>
      <c r="C2100" s="16" t="inlineStr">
        <is>
          <t>Agrochemicals</t>
        </is>
      </c>
      <c r="D2100" s="16" t="inlineStr">
        <is>
          <t>Chemicals &amp; Petrochemicals</t>
        </is>
      </c>
      <c r="E2100" s="16" t="inlineStr">
        <is>
          <t>INE0U9D01019</t>
        </is>
      </c>
      <c r="F2100" s="17" t="n">
        <v>417.43</v>
      </c>
      <c r="G2100" s="18" t="n">
        <v>178.35</v>
      </c>
      <c r="H2100" s="19" t="n">
        <v>0.0134</v>
      </c>
      <c r="I2100" s="20" t="n">
        <v>61</v>
      </c>
      <c r="J2100" s="16" t="inlineStr">
        <is>
          <t>amber</t>
        </is>
      </c>
      <c r="K2100" s="20" t="n">
        <v>12</v>
      </c>
      <c r="L2100" s="18" t="n">
        <v>37.83</v>
      </c>
      <c r="M2100" s="18" t="n">
        <v>181.98</v>
      </c>
      <c r="N2100" s="18" t="n">
        <v>176.57</v>
      </c>
      <c r="O2100" s="18" t="n">
        <v>169.55</v>
      </c>
      <c r="P2100" s="18" t="n">
        <v>201.25</v>
      </c>
      <c r="Q2100" s="18" t="n">
        <v>113.85</v>
      </c>
      <c r="R2100" s="21">
        <f>IF(OR(G2100="",P2100=""),"",G2100/P2100-1)</f>
        <v/>
      </c>
      <c r="S2100" s="19" t="n">
        <v>0.5254</v>
      </c>
      <c r="T2100" s="22" t="n"/>
      <c r="U2100" s="16" t="n"/>
      <c r="V2100" s="16" t="inlineStr">
        <is>
          <t>Yes</t>
        </is>
      </c>
      <c r="W2100" s="16" t="inlineStr">
        <is>
          <t>No</t>
        </is>
      </c>
      <c r="X2100" s="16" t="inlineStr">
        <is>
          <t>Yes</t>
        </is>
      </c>
      <c r="Y2100" s="20" t="n">
        <v>1</v>
      </c>
      <c r="Z2100" s="19" t="n">
        <v>0.0414</v>
      </c>
      <c r="AA2100" s="18" t="n"/>
      <c r="AB2100" s="16" t="n"/>
      <c r="AC2100" s="16" t="inlineStr">
        <is>
          <t>No</t>
        </is>
      </c>
      <c r="AD2100" s="19" t="n"/>
      <c r="AE2100" s="19" t="n"/>
      <c r="AF2100" s="19" t="n"/>
      <c r="AG2100" s="19" t="n"/>
      <c r="AH2100" s="23" t="n"/>
      <c r="AI2100" s="23" t="n"/>
      <c r="AJ2100" s="19" t="n"/>
    </row>
    <row r="2101">
      <c r="A2101" s="16" t="inlineStr">
        <is>
          <t>BHATIA</t>
        </is>
      </c>
      <c r="B2101" s="16" t="inlineStr">
        <is>
          <t>Bhatia Communications &amp; Retail (India) Ltd.</t>
        </is>
      </c>
      <c r="C2101" s="16" t="inlineStr">
        <is>
          <t>Specialty Retail</t>
        </is>
      </c>
      <c r="D2101" s="16" t="inlineStr">
        <is>
          <t>Retailing</t>
        </is>
      </c>
      <c r="E2101" s="16" t="inlineStr">
        <is>
          <t>INE341Z01025</t>
        </is>
      </c>
      <c r="F2101" s="17" t="n">
        <v>416.75</v>
      </c>
      <c r="G2101" s="18" t="n">
        <v>32.02</v>
      </c>
      <c r="H2101" s="19" t="n">
        <v>0.0034</v>
      </c>
      <c r="I2101" s="20" t="n">
        <v>70</v>
      </c>
      <c r="J2101" s="16" t="inlineStr">
        <is>
          <t>amber</t>
        </is>
      </c>
      <c r="K2101" s="20" t="n">
        <v>20</v>
      </c>
      <c r="L2101" s="18" t="n">
        <v>88.22</v>
      </c>
      <c r="M2101" s="18" t="n">
        <v>31.48</v>
      </c>
      <c r="N2101" s="18" t="n">
        <v>26.32</v>
      </c>
      <c r="O2101" s="18" t="n">
        <v>24.14</v>
      </c>
      <c r="P2101" s="18" t="n">
        <v>32.02</v>
      </c>
      <c r="Q2101" s="18" t="n">
        <v>19.32</v>
      </c>
      <c r="R2101" s="21">
        <f>IF(OR(G2101="",P2101=""),"",G2101/P2101-1)</f>
        <v/>
      </c>
      <c r="S2101" s="19" t="n">
        <v>0.7365</v>
      </c>
      <c r="T2101" s="22" t="n">
        <v>0.0095</v>
      </c>
      <c r="U2101" s="16" t="inlineStr">
        <is>
          <t>Yes</t>
        </is>
      </c>
      <c r="V2101" s="16" t="inlineStr">
        <is>
          <t>Yes</t>
        </is>
      </c>
      <c r="W2101" s="16" t="inlineStr">
        <is>
          <t>Yes</t>
        </is>
      </c>
      <c r="X2101" s="16" t="inlineStr">
        <is>
          <t>Yes</t>
        </is>
      </c>
      <c r="Y2101" s="20" t="n">
        <v>45</v>
      </c>
      <c r="Z2101" s="19" t="n">
        <v>0.0901</v>
      </c>
      <c r="AA2101" s="18" t="n"/>
      <c r="AB2101" s="16" t="n"/>
      <c r="AC2101" s="16" t="inlineStr">
        <is>
          <t>No</t>
        </is>
      </c>
      <c r="AD2101" s="19" t="n"/>
      <c r="AE2101" s="19" t="n"/>
      <c r="AF2101" s="19" t="n"/>
      <c r="AG2101" s="19" t="n"/>
      <c r="AH2101" s="23" t="n"/>
      <c r="AI2101" s="23" t="n"/>
      <c r="AJ2101" s="19" t="n"/>
    </row>
    <row r="2102">
      <c r="A2102" s="16" t="inlineStr">
        <is>
          <t>FORCAS</t>
        </is>
      </c>
      <c r="B2102" s="16" t="inlineStr">
        <is>
          <t>Forcas Studio Ltd.</t>
        </is>
      </c>
      <c r="C2102" s="16" t="inlineStr">
        <is>
          <t>Textiles</t>
        </is>
      </c>
      <c r="D2102" s="16" t="inlineStr">
        <is>
          <t>Textiles Apparels &amp; Accessories</t>
        </is>
      </c>
      <c r="E2102" s="16" t="inlineStr">
        <is>
          <t>INE0U2501017</t>
        </is>
      </c>
      <c r="F2102" s="17" t="n">
        <v>416.73</v>
      </c>
      <c r="G2102" s="18" t="n"/>
      <c r="H2102" s="19" t="n"/>
      <c r="I2102" s="20" t="n"/>
      <c r="J2102" s="16" t="n"/>
      <c r="K2102" s="20" t="n"/>
      <c r="L2102" s="18" t="n"/>
      <c r="M2102" s="18" t="n"/>
      <c r="N2102" s="18" t="n"/>
      <c r="O2102" s="18" t="n"/>
      <c r="P2102" s="18" t="n"/>
      <c r="Q2102" s="18" t="n"/>
      <c r="R2102" s="21">
        <f>IF(OR(G2102="",P2102=""),"",G2102/P2102-1)</f>
        <v/>
      </c>
      <c r="S2102" s="19" t="n"/>
      <c r="T2102" s="22" t="n"/>
      <c r="U2102" s="16" t="n"/>
      <c r="V2102" s="16" t="n"/>
      <c r="W2102" s="16" t="n"/>
      <c r="X2102" s="16" t="n"/>
      <c r="Y2102" s="20" t="n"/>
      <c r="Z2102" s="19" t="n"/>
      <c r="AA2102" s="18" t="n"/>
      <c r="AB2102" s="16" t="n"/>
      <c r="AC2102" s="16" t="inlineStr">
        <is>
          <t>No</t>
        </is>
      </c>
      <c r="AD2102" s="19" t="n"/>
      <c r="AE2102" s="19" t="n"/>
      <c r="AF2102" s="19" t="n"/>
      <c r="AG2102" s="19" t="n"/>
      <c r="AH2102" s="23" t="n"/>
      <c r="AI2102" s="23" t="n"/>
      <c r="AJ2102" s="19" t="n"/>
    </row>
    <row r="2103">
      <c r="A2103" s="16" t="inlineStr">
        <is>
          <t>PESB</t>
        </is>
      </c>
      <c r="B2103" s="16" t="inlineStr">
        <is>
          <t>Pune E-Stock Broking Ltd.</t>
        </is>
      </c>
      <c r="C2103" s="16" t="inlineStr">
        <is>
          <t>Capital Markets</t>
        </is>
      </c>
      <c r="D2103" s="16" t="inlineStr">
        <is>
          <t>Banking and Finance</t>
        </is>
      </c>
      <c r="E2103" s="16" t="inlineStr">
        <is>
          <t>INE510U01018</t>
        </is>
      </c>
      <c r="F2103" s="17" t="n">
        <v>415.77</v>
      </c>
      <c r="G2103" s="18" t="n">
        <v>265.65</v>
      </c>
      <c r="H2103" s="19" t="n">
        <v>0.0843</v>
      </c>
      <c r="I2103" s="20" t="n">
        <v>60</v>
      </c>
      <c r="J2103" s="16" t="inlineStr">
        <is>
          <t>amber</t>
        </is>
      </c>
      <c r="K2103" s="20" t="n">
        <v>1</v>
      </c>
      <c r="L2103" s="18" t="n">
        <v>55.41</v>
      </c>
      <c r="M2103" s="18" t="n">
        <v>252.13</v>
      </c>
      <c r="N2103" s="18" t="n">
        <v>259.48</v>
      </c>
      <c r="O2103" s="18" t="n">
        <v>245.87</v>
      </c>
      <c r="P2103" s="18" t="n">
        <v>314.43</v>
      </c>
      <c r="Q2103" s="18" t="n">
        <v>174.3</v>
      </c>
      <c r="R2103" s="21">
        <f>IF(OR(G2103="",P2103=""),"",G2103/P2103-1)</f>
        <v/>
      </c>
      <c r="S2103" s="19" t="n">
        <v>5.545199999999999</v>
      </c>
      <c r="T2103" s="22" t="n">
        <v>0.0189</v>
      </c>
      <c r="U2103" s="16" t="inlineStr">
        <is>
          <t>Yes</t>
        </is>
      </c>
      <c r="V2103" s="16" t="inlineStr">
        <is>
          <t>Yes</t>
        </is>
      </c>
      <c r="W2103" s="16" t="inlineStr">
        <is>
          <t>Yes</t>
        </is>
      </c>
      <c r="X2103" s="16" t="inlineStr">
        <is>
          <t>Yes</t>
        </is>
      </c>
      <c r="Y2103" s="20" t="n">
        <v>284</v>
      </c>
      <c r="Z2103" s="19" t="n">
        <v>0.0554</v>
      </c>
      <c r="AA2103" s="18" t="n"/>
      <c r="AB2103" s="16" t="n"/>
      <c r="AC2103" s="16" t="inlineStr">
        <is>
          <t>No</t>
        </is>
      </c>
      <c r="AD2103" s="19" t="n"/>
      <c r="AE2103" s="19" t="n"/>
      <c r="AF2103" s="19" t="n"/>
      <c r="AG2103" s="19" t="n"/>
      <c r="AH2103" s="23" t="n"/>
      <c r="AI2103" s="23" t="n"/>
      <c r="AJ2103" s="19" t="n"/>
    </row>
    <row r="2104">
      <c r="A2104" s="16" t="inlineStr">
        <is>
          <t>SBGLP</t>
        </is>
      </c>
      <c r="B2104" s="16" t="inlineStr">
        <is>
          <t>Suratwwala Business Group Ltd.</t>
        </is>
      </c>
      <c r="C2104" s="16" t="inlineStr">
        <is>
          <t>Realty</t>
        </is>
      </c>
      <c r="D2104" s="16" t="inlineStr">
        <is>
          <t>Realty</t>
        </is>
      </c>
      <c r="E2104" s="16" t="inlineStr">
        <is>
          <t>INE05ST01028</t>
        </is>
      </c>
      <c r="F2104" s="17" t="n">
        <v>415.51</v>
      </c>
      <c r="G2104" s="18" t="n">
        <v>23.96</v>
      </c>
      <c r="H2104" s="19" t="n">
        <v>-0.0292</v>
      </c>
      <c r="I2104" s="20" t="n">
        <v>13</v>
      </c>
      <c r="J2104" s="16" t="inlineStr">
        <is>
          <t>red</t>
        </is>
      </c>
      <c r="K2104" s="20" t="n">
        <v>177</v>
      </c>
      <c r="L2104" s="18" t="n">
        <v>43.79</v>
      </c>
      <c r="M2104" s="18" t="n">
        <v>24.09</v>
      </c>
      <c r="N2104" s="18" t="n">
        <v>24.88</v>
      </c>
      <c r="O2104" s="18" t="n">
        <v>28.28</v>
      </c>
      <c r="P2104" s="18" t="n">
        <v>39.49</v>
      </c>
      <c r="Q2104" s="18" t="n">
        <v>18.54</v>
      </c>
      <c r="R2104" s="21">
        <f>IF(OR(G2104="",P2104=""),"",G2104/P2104-1)</f>
        <v/>
      </c>
      <c r="S2104" s="19" t="n">
        <v>0.6069</v>
      </c>
      <c r="T2104" s="22" t="n">
        <v>-0.0311</v>
      </c>
      <c r="U2104" s="16" t="inlineStr">
        <is>
          <t>No</t>
        </is>
      </c>
      <c r="V2104" s="16" t="inlineStr">
        <is>
          <t>No</t>
        </is>
      </c>
      <c r="W2104" s="16" t="inlineStr">
        <is>
          <t>No</t>
        </is>
      </c>
      <c r="X2104" s="16" t="inlineStr">
        <is>
          <t>No</t>
        </is>
      </c>
      <c r="Y2104" s="20" t="n">
        <v>382</v>
      </c>
      <c r="Z2104" s="19" t="n">
        <v>-0.1202</v>
      </c>
      <c r="AA2104" s="18" t="n"/>
      <c r="AB2104" s="16" t="n"/>
      <c r="AC2104" s="16" t="inlineStr">
        <is>
          <t>No</t>
        </is>
      </c>
      <c r="AD2104" s="19" t="n"/>
      <c r="AE2104" s="19" t="n"/>
      <c r="AF2104" s="19" t="n"/>
      <c r="AG2104" s="19" t="n"/>
      <c r="AH2104" s="23" t="n"/>
      <c r="AI2104" s="23" t="n"/>
      <c r="AJ2104" s="19" t="n"/>
    </row>
    <row r="2105">
      <c r="A2105" s="16" t="inlineStr">
        <is>
          <t>SARVESHWAR</t>
        </is>
      </c>
      <c r="B2105" s="16" t="inlineStr">
        <is>
          <t>Sarveshwar Foods Ltd.</t>
        </is>
      </c>
      <c r="C2105" s="16" t="inlineStr">
        <is>
          <t>Other Agricultural Products</t>
        </is>
      </c>
      <c r="D2105" s="16" t="inlineStr">
        <is>
          <t>Food, Beverages &amp; Tobacco</t>
        </is>
      </c>
      <c r="E2105" s="16" t="inlineStr">
        <is>
          <t>INE324X01026</t>
        </is>
      </c>
      <c r="F2105" s="17" t="n">
        <v>413.83</v>
      </c>
      <c r="G2105" s="18" t="n">
        <v>3.36</v>
      </c>
      <c r="H2105" s="19" t="n">
        <v>0.003</v>
      </c>
      <c r="I2105" s="20" t="n">
        <v>8</v>
      </c>
      <c r="J2105" s="16" t="inlineStr">
        <is>
          <t>red</t>
        </is>
      </c>
      <c r="K2105" s="20" t="n">
        <v>267</v>
      </c>
      <c r="L2105" s="18" t="n">
        <v>31.58</v>
      </c>
      <c r="M2105" s="18" t="n">
        <v>3.38</v>
      </c>
      <c r="N2105" s="18" t="n">
        <v>3.48</v>
      </c>
      <c r="O2105" s="18" t="n">
        <v>3.82</v>
      </c>
      <c r="P2105" s="18" t="n">
        <v>8.130000000000001</v>
      </c>
      <c r="Q2105" s="18" t="n">
        <v>2.51</v>
      </c>
      <c r="R2105" s="21">
        <f>IF(OR(G2105="",P2105=""),"",G2105/P2105-1)</f>
        <v/>
      </c>
      <c r="S2105" s="19" t="n">
        <v>1.0296</v>
      </c>
      <c r="T2105" s="22" t="n">
        <v>-0.0405</v>
      </c>
      <c r="U2105" s="16" t="inlineStr">
        <is>
          <t>No</t>
        </is>
      </c>
      <c r="V2105" s="16" t="inlineStr">
        <is>
          <t>No</t>
        </is>
      </c>
      <c r="W2105" s="16" t="inlineStr">
        <is>
          <t>No</t>
        </is>
      </c>
      <c r="X2105" s="16" t="inlineStr">
        <is>
          <t>No</t>
        </is>
      </c>
      <c r="Y2105" s="20" t="n">
        <v>233</v>
      </c>
      <c r="Z2105" s="19" t="n">
        <v>-0.08869999999999999</v>
      </c>
      <c r="AA2105" s="18" t="n"/>
      <c r="AB2105" s="16" t="n"/>
      <c r="AC2105" s="16" t="inlineStr">
        <is>
          <t>No</t>
        </is>
      </c>
      <c r="AD2105" s="19" t="n"/>
      <c r="AE2105" s="19" t="n"/>
      <c r="AF2105" s="19" t="n"/>
      <c r="AG2105" s="19" t="n"/>
      <c r="AH2105" s="23" t="n"/>
      <c r="AI2105" s="23" t="n"/>
      <c r="AJ2105" s="19" t="n"/>
    </row>
    <row r="2106">
      <c r="A2106" s="16" t="inlineStr">
        <is>
          <t>MANAKSIA</t>
        </is>
      </c>
      <c r="B2106" s="16" t="inlineStr">
        <is>
          <t>Manaksia Ltd.</t>
        </is>
      </c>
      <c r="C2106" s="16" t="inlineStr">
        <is>
          <t>Iron &amp; Steel Products</t>
        </is>
      </c>
      <c r="D2106" s="16" t="inlineStr">
        <is>
          <t>Metals &amp; Mining</t>
        </is>
      </c>
      <c r="E2106" s="16" t="inlineStr">
        <is>
          <t>INE015D01022</t>
        </is>
      </c>
      <c r="F2106" s="17" t="n">
        <v>413.19</v>
      </c>
      <c r="G2106" s="18" t="n">
        <v>63.05</v>
      </c>
      <c r="H2106" s="19" t="n">
        <v>0.0665</v>
      </c>
      <c r="I2106" s="20" t="n">
        <v>45</v>
      </c>
      <c r="J2106" s="16" t="inlineStr">
        <is>
          <t>red</t>
        </is>
      </c>
      <c r="K2106" s="20" t="n">
        <v>154</v>
      </c>
      <c r="L2106" s="18" t="n">
        <v>68.11</v>
      </c>
      <c r="M2106" s="18" t="n">
        <v>58.62</v>
      </c>
      <c r="N2106" s="18" t="n">
        <v>57.74</v>
      </c>
      <c r="O2106" s="18" t="n">
        <v>59.42</v>
      </c>
      <c r="P2106" s="18" t="n">
        <v>71.37</v>
      </c>
      <c r="Q2106" s="18" t="n">
        <v>42.54</v>
      </c>
      <c r="R2106" s="21">
        <f>IF(OR(G2106="",P2106=""),"",G2106/P2106-1)</f>
        <v/>
      </c>
      <c r="S2106" s="19" t="n">
        <v>7.4635</v>
      </c>
      <c r="T2106" s="22" t="n">
        <v>-0.0132</v>
      </c>
      <c r="U2106" s="16" t="inlineStr">
        <is>
          <t>No</t>
        </is>
      </c>
      <c r="V2106" s="16" t="inlineStr">
        <is>
          <t>Yes</t>
        </is>
      </c>
      <c r="W2106" s="16" t="inlineStr">
        <is>
          <t>Yes</t>
        </is>
      </c>
      <c r="X2106" s="16" t="inlineStr">
        <is>
          <t>No</t>
        </is>
      </c>
      <c r="Y2106" s="20" t="n">
        <v>683</v>
      </c>
      <c r="Z2106" s="19" t="n">
        <v>-0.0283</v>
      </c>
      <c r="AA2106" s="18" t="n"/>
      <c r="AB2106" s="16" t="n"/>
      <c r="AC2106" s="16" t="inlineStr">
        <is>
          <t>No</t>
        </is>
      </c>
      <c r="AD2106" s="19" t="n"/>
      <c r="AE2106" s="19" t="n"/>
      <c r="AF2106" s="19" t="n"/>
      <c r="AG2106" s="19" t="n"/>
      <c r="AH2106" s="23" t="n"/>
      <c r="AI2106" s="23" t="n"/>
      <c r="AJ2106" s="19" t="n"/>
    </row>
    <row r="2107">
      <c r="A2107" s="16" t="inlineStr">
        <is>
          <t>TEAMTECH</t>
        </is>
      </c>
      <c r="B2107" s="16" t="inlineStr">
        <is>
          <t>Teamtech Formwork Solutions Ltd.</t>
        </is>
      </c>
      <c r="C2107" s="16" t="inlineStr">
        <is>
          <t>Construction Materials</t>
        </is>
      </c>
      <c r="D2107" s="16" t="inlineStr">
        <is>
          <t>Cement and Construction</t>
        </is>
      </c>
      <c r="E2107" s="16" t="inlineStr">
        <is>
          <t>INE2OL601013</t>
        </is>
      </c>
      <c r="F2107" s="17" t="n">
        <v>410.67</v>
      </c>
      <c r="G2107" s="18" t="n"/>
      <c r="H2107" s="19" t="n"/>
      <c r="I2107" s="20" t="n"/>
      <c r="J2107" s="16" t="n"/>
      <c r="K2107" s="20" t="n"/>
      <c r="L2107" s="18" t="n"/>
      <c r="M2107" s="18" t="n"/>
      <c r="N2107" s="18" t="n"/>
      <c r="O2107" s="18" t="n"/>
      <c r="P2107" s="18" t="n"/>
      <c r="Q2107" s="18" t="n"/>
      <c r="R2107" s="21">
        <f>IF(OR(G2107="",P2107=""),"",G2107/P2107-1)</f>
        <v/>
      </c>
      <c r="S2107" s="19" t="n"/>
      <c r="T2107" s="22" t="n"/>
      <c r="U2107" s="16" t="n"/>
      <c r="V2107" s="16" t="n"/>
      <c r="W2107" s="16" t="n"/>
      <c r="X2107" s="16" t="n"/>
      <c r="Y2107" s="20" t="n"/>
      <c r="Z2107" s="19" t="n"/>
      <c r="AA2107" s="18" t="n"/>
      <c r="AB2107" s="16" t="n"/>
      <c r="AC2107" s="16" t="inlineStr">
        <is>
          <t>No</t>
        </is>
      </c>
      <c r="AD2107" s="19" t="n"/>
      <c r="AE2107" s="19" t="n"/>
      <c r="AF2107" s="19" t="n"/>
      <c r="AG2107" s="19" t="n"/>
      <c r="AH2107" s="23" t="n"/>
      <c r="AI2107" s="23" t="n"/>
      <c r="AJ2107" s="19" t="n"/>
    </row>
    <row r="2108">
      <c r="A2108" s="16" t="inlineStr">
        <is>
          <t>MONEYBOXX</t>
        </is>
      </c>
      <c r="B2108" s="16" t="inlineStr">
        <is>
          <t>Moneyboxx Finance Ltd.</t>
        </is>
      </c>
      <c r="C2108" s="16" t="inlineStr">
        <is>
          <t>Finance (including NBFCs)</t>
        </is>
      </c>
      <c r="D2108" s="16" t="inlineStr">
        <is>
          <t>Banking and Finance</t>
        </is>
      </c>
      <c r="E2108" s="16" t="inlineStr">
        <is>
          <t>INE296Q01012</t>
        </is>
      </c>
      <c r="F2108" s="17" t="n">
        <v>410.48</v>
      </c>
      <c r="G2108" s="18" t="n">
        <v>58.8</v>
      </c>
      <c r="H2108" s="19" t="n">
        <v>0.0276</v>
      </c>
      <c r="I2108" s="20" t="n">
        <v>12</v>
      </c>
      <c r="J2108" s="16" t="inlineStr">
        <is>
          <t>red</t>
        </is>
      </c>
      <c r="K2108" s="20" t="n">
        <v>63</v>
      </c>
      <c r="L2108" s="18" t="n">
        <v>57.76</v>
      </c>
      <c r="M2108" s="18" t="n">
        <v>56.97</v>
      </c>
      <c r="N2108" s="18" t="n">
        <v>59.48</v>
      </c>
      <c r="O2108" s="18" t="n">
        <v>64.55</v>
      </c>
      <c r="P2108" s="18" t="n">
        <v>85.89</v>
      </c>
      <c r="Q2108" s="18" t="n">
        <v>50.04</v>
      </c>
      <c r="R2108" s="21">
        <f>IF(OR(G2108="",P2108=""),"",G2108/P2108-1)</f>
        <v/>
      </c>
      <c r="S2108" s="19" t="n">
        <v>4.6088</v>
      </c>
      <c r="T2108" s="22" t="n">
        <v>-0.0328</v>
      </c>
      <c r="U2108" s="16" t="inlineStr">
        <is>
          <t>No</t>
        </is>
      </c>
      <c r="V2108" s="16" t="inlineStr">
        <is>
          <t>No</t>
        </is>
      </c>
      <c r="W2108" s="16" t="inlineStr">
        <is>
          <t>Yes</t>
        </is>
      </c>
      <c r="X2108" s="16" t="inlineStr">
        <is>
          <t>No</t>
        </is>
      </c>
      <c r="Y2108" s="20" t="n">
        <v>23</v>
      </c>
      <c r="Z2108" s="19" t="n">
        <v>-0.0785</v>
      </c>
      <c r="AA2108" s="18" t="n"/>
      <c r="AB2108" s="16" t="n"/>
      <c r="AC2108" s="16" t="inlineStr">
        <is>
          <t>No</t>
        </is>
      </c>
      <c r="AD2108" s="19" t="n"/>
      <c r="AE2108" s="19" t="n"/>
      <c r="AF2108" s="19" t="n"/>
      <c r="AG2108" s="19" t="n"/>
      <c r="AH2108" s="23" t="n"/>
      <c r="AI2108" s="23" t="n"/>
      <c r="AJ2108" s="19" t="n"/>
    </row>
    <row r="2109">
      <c r="A2109" s="16" t="inlineStr">
        <is>
          <t>SEALMATIC</t>
        </is>
      </c>
      <c r="B2109" s="16" t="inlineStr">
        <is>
          <t>Sealmatic India Ltd.</t>
        </is>
      </c>
      <c r="C2109" s="16" t="inlineStr">
        <is>
          <t>Industrial Machinery</t>
        </is>
      </c>
      <c r="D2109" s="16" t="inlineStr">
        <is>
          <t>General Industrials</t>
        </is>
      </c>
      <c r="E2109" s="16" t="inlineStr">
        <is>
          <t>INE0O4601016</t>
        </is>
      </c>
      <c r="F2109" s="17" t="n">
        <v>409.96</v>
      </c>
      <c r="G2109" s="18" t="n">
        <v>377.5</v>
      </c>
      <c r="H2109" s="19" t="n">
        <v>0.01</v>
      </c>
      <c r="I2109" s="20" t="n">
        <v>37</v>
      </c>
      <c r="J2109" s="16" t="inlineStr">
        <is>
          <t>red</t>
        </is>
      </c>
      <c r="K2109" s="20" t="n">
        <v>78</v>
      </c>
      <c r="L2109" s="18" t="n">
        <v>31.04</v>
      </c>
      <c r="M2109" s="18" t="n">
        <v>389.91</v>
      </c>
      <c r="N2109" s="18" t="n">
        <v>389.2</v>
      </c>
      <c r="O2109" s="18" t="n">
        <v>378.06</v>
      </c>
      <c r="P2109" s="18" t="n">
        <v>441.61</v>
      </c>
      <c r="Q2109" s="18" t="n">
        <v>324.29</v>
      </c>
      <c r="R2109" s="21">
        <f>IF(OR(G2109="",P2109=""),"",G2109/P2109-1)</f>
        <v/>
      </c>
      <c r="S2109" s="19" t="n">
        <v>0.6888</v>
      </c>
      <c r="T2109" s="22" t="n">
        <v>-0.0005</v>
      </c>
      <c r="U2109" s="16" t="inlineStr">
        <is>
          <t>No</t>
        </is>
      </c>
      <c r="V2109" s="16" t="inlineStr">
        <is>
          <t>No</t>
        </is>
      </c>
      <c r="W2109" s="16" t="inlineStr">
        <is>
          <t>No</t>
        </is>
      </c>
      <c r="X2109" s="16" t="inlineStr">
        <is>
          <t>Yes</t>
        </is>
      </c>
      <c r="Y2109" s="20" t="n">
        <v>21</v>
      </c>
      <c r="Z2109" s="19" t="n">
        <v>0.0295</v>
      </c>
      <c r="AA2109" s="18" t="n"/>
      <c r="AB2109" s="16" t="n"/>
      <c r="AC2109" s="16" t="inlineStr">
        <is>
          <t>No</t>
        </is>
      </c>
      <c r="AD2109" s="19" t="n"/>
      <c r="AE2109" s="19" t="n"/>
      <c r="AF2109" s="19" t="n"/>
      <c r="AG2109" s="19" t="n"/>
      <c r="AH2109" s="23" t="n"/>
      <c r="AI2109" s="23" t="n"/>
      <c r="AJ2109" s="19" t="n"/>
    </row>
    <row r="2110">
      <c r="A2110" s="16" t="inlineStr">
        <is>
          <t>CORDSCABLE</t>
        </is>
      </c>
      <c r="B2110" s="16" t="inlineStr">
        <is>
          <t>Cords Cable Industries Ltd.</t>
        </is>
      </c>
      <c r="C2110" s="16" t="inlineStr">
        <is>
          <t>Wires &amp; Cables</t>
        </is>
      </c>
      <c r="D2110" s="16" t="inlineStr">
        <is>
          <t>Consumer Durables</t>
        </is>
      </c>
      <c r="E2110" s="16" t="inlineStr">
        <is>
          <t>INE792I01017</t>
        </is>
      </c>
      <c r="F2110" s="17" t="n">
        <v>409.81</v>
      </c>
      <c r="G2110" s="18" t="n">
        <v>317</v>
      </c>
      <c r="H2110" s="19" t="n">
        <v>0.0466</v>
      </c>
      <c r="I2110" s="20" t="n">
        <v>91</v>
      </c>
      <c r="J2110" s="16" t="inlineStr">
        <is>
          <t>green</t>
        </is>
      </c>
      <c r="K2110" s="20" t="n">
        <v>5</v>
      </c>
      <c r="L2110" s="18" t="n">
        <v>84.45999999999999</v>
      </c>
      <c r="M2110" s="18" t="n">
        <v>284.4</v>
      </c>
      <c r="N2110" s="18" t="n">
        <v>226.12</v>
      </c>
      <c r="O2110" s="18" t="n">
        <v>193.78</v>
      </c>
      <c r="P2110" s="18" t="n">
        <v>317</v>
      </c>
      <c r="Q2110" s="18" t="n">
        <v>129.69</v>
      </c>
      <c r="R2110" s="21">
        <f>IF(OR(G2110="",P2110=""),"",G2110/P2110-1)</f>
        <v/>
      </c>
      <c r="S2110" s="19" t="n">
        <v>2.08</v>
      </c>
      <c r="T2110" s="22" t="n">
        <v>0.0385</v>
      </c>
      <c r="U2110" s="16" t="inlineStr">
        <is>
          <t>Yes</t>
        </is>
      </c>
      <c r="V2110" s="16" t="inlineStr">
        <is>
          <t>Yes</t>
        </is>
      </c>
      <c r="W2110" s="16" t="inlineStr">
        <is>
          <t>Yes</t>
        </is>
      </c>
      <c r="X2110" s="16" t="inlineStr">
        <is>
          <t>Yes</t>
        </is>
      </c>
      <c r="Y2110" s="20" t="n">
        <v>73</v>
      </c>
      <c r="Z2110" s="19" t="n">
        <v>0.1669</v>
      </c>
      <c r="AA2110" s="18" t="n"/>
      <c r="AB2110" s="16" t="n"/>
      <c r="AC2110" s="16" t="inlineStr">
        <is>
          <t>No</t>
        </is>
      </c>
      <c r="AD2110" s="19" t="n"/>
      <c r="AE2110" s="19" t="n"/>
      <c r="AF2110" s="19" t="n"/>
      <c r="AG2110" s="19" t="n"/>
      <c r="AH2110" s="23" t="n"/>
      <c r="AI2110" s="23" t="n"/>
      <c r="AJ2110" s="19" t="n"/>
    </row>
    <row r="2111">
      <c r="A2111" s="16" t="inlineStr">
        <is>
          <t>VISHNUINFR</t>
        </is>
      </c>
      <c r="B2111" s="16" t="inlineStr">
        <is>
          <t>Vishnusurya Projects And Infra Ltd.</t>
        </is>
      </c>
      <c r="C2111" s="16" t="inlineStr">
        <is>
          <t>Construction &amp; Engineering</t>
        </is>
      </c>
      <c r="D2111" s="16" t="inlineStr">
        <is>
          <t>Cement and Construction</t>
        </is>
      </c>
      <c r="E2111" s="16" t="inlineStr">
        <is>
          <t>INE0PQ001012</t>
        </is>
      </c>
      <c r="F2111" s="17" t="n">
        <v>409.62</v>
      </c>
      <c r="G2111" s="18" t="n">
        <v>158</v>
      </c>
      <c r="H2111" s="19" t="n">
        <v>-0.0159</v>
      </c>
      <c r="I2111" s="20" t="n">
        <v>33</v>
      </c>
      <c r="J2111" s="16" t="inlineStr">
        <is>
          <t>red</t>
        </is>
      </c>
      <c r="K2111" s="20" t="n">
        <v>103</v>
      </c>
      <c r="L2111" s="18" t="n">
        <v>57.18</v>
      </c>
      <c r="M2111" s="18" t="n">
        <v>158.4</v>
      </c>
      <c r="N2111" s="18" t="n">
        <v>158.43</v>
      </c>
      <c r="O2111" s="18" t="n">
        <v>163.52</v>
      </c>
      <c r="P2111" s="18" t="n">
        <v>215.3</v>
      </c>
      <c r="Q2111" s="18" t="n">
        <v>125.6</v>
      </c>
      <c r="R2111" s="21">
        <f>IF(OR(G2111="",P2111=""),"",G2111/P2111-1)</f>
        <v/>
      </c>
      <c r="S2111" s="19" t="n">
        <v>0.1228</v>
      </c>
      <c r="T2111" s="22" t="n">
        <v>-0.0035</v>
      </c>
      <c r="U2111" s="16" t="inlineStr">
        <is>
          <t>No</t>
        </is>
      </c>
      <c r="V2111" s="16" t="inlineStr">
        <is>
          <t>No</t>
        </is>
      </c>
      <c r="W2111" s="16" t="inlineStr">
        <is>
          <t>No</t>
        </is>
      </c>
      <c r="X2111" s="16" t="inlineStr">
        <is>
          <t>No</t>
        </is>
      </c>
      <c r="Y2111" s="20" t="n">
        <v>115</v>
      </c>
      <c r="Z2111" s="19" t="n">
        <v>-0.0311</v>
      </c>
      <c r="AA2111" s="18" t="n"/>
      <c r="AB2111" s="16" t="n"/>
      <c r="AC2111" s="16" t="inlineStr">
        <is>
          <t>No</t>
        </is>
      </c>
      <c r="AD2111" s="19" t="n"/>
      <c r="AE2111" s="19" t="n"/>
      <c r="AF2111" s="19" t="n"/>
      <c r="AG2111" s="19" t="n"/>
      <c r="AH2111" s="23" t="n"/>
      <c r="AI2111" s="23" t="n"/>
      <c r="AJ2111" s="19" t="n"/>
    </row>
    <row r="2112">
      <c r="A2112" s="16" t="inlineStr">
        <is>
          <t>NDL</t>
        </is>
      </c>
      <c r="B2112" s="16" t="inlineStr">
        <is>
          <t>Nandan Denim Ltd.</t>
        </is>
      </c>
      <c r="C2112" s="16" t="inlineStr">
        <is>
          <t>Textiles</t>
        </is>
      </c>
      <c r="D2112" s="16" t="inlineStr">
        <is>
          <t>Textiles Apparels &amp; Accessories</t>
        </is>
      </c>
      <c r="E2112" s="16" t="inlineStr">
        <is>
          <t>INE875G01048</t>
        </is>
      </c>
      <c r="F2112" s="17" t="n">
        <v>407.94</v>
      </c>
      <c r="G2112" s="18" t="n">
        <v>2.83</v>
      </c>
      <c r="H2112" s="19" t="n">
        <v>0</v>
      </c>
      <c r="I2112" s="20" t="n">
        <v>43</v>
      </c>
      <c r="J2112" s="16" t="inlineStr">
        <is>
          <t>red</t>
        </is>
      </c>
      <c r="K2112" s="20" t="n">
        <v>391</v>
      </c>
      <c r="L2112" s="18" t="n">
        <v>68.94</v>
      </c>
      <c r="M2112" s="18" t="n">
        <v>2.9</v>
      </c>
      <c r="N2112" s="18" t="n">
        <v>2.47</v>
      </c>
      <c r="O2112" s="18" t="n">
        <v>2.68</v>
      </c>
      <c r="P2112" s="18" t="n">
        <v>3.62</v>
      </c>
      <c r="Q2112" s="18" t="n">
        <v>1.84</v>
      </c>
      <c r="R2112" s="21">
        <f>IF(OR(G2112="",P2112=""),"",G2112/P2112-1)</f>
        <v/>
      </c>
      <c r="S2112" s="19" t="n">
        <v>0.635</v>
      </c>
      <c r="T2112" s="22" t="n">
        <v>-0.023</v>
      </c>
      <c r="U2112" s="16" t="inlineStr">
        <is>
          <t>No</t>
        </is>
      </c>
      <c r="V2112" s="16" t="inlineStr">
        <is>
          <t>Yes</t>
        </is>
      </c>
      <c r="W2112" s="16" t="inlineStr">
        <is>
          <t>No</t>
        </is>
      </c>
      <c r="X2112" s="16" t="inlineStr">
        <is>
          <t>No</t>
        </is>
      </c>
      <c r="Y2112" s="20" t="n">
        <v>403</v>
      </c>
      <c r="Z2112" s="19" t="n">
        <v>-0.07690000000000001</v>
      </c>
      <c r="AA2112" s="18" t="n"/>
      <c r="AB2112" s="16" t="n"/>
      <c r="AC2112" s="16" t="inlineStr">
        <is>
          <t>No</t>
        </is>
      </c>
      <c r="AD2112" s="19" t="n"/>
      <c r="AE2112" s="19" t="n"/>
      <c r="AF2112" s="19" t="n"/>
      <c r="AG2112" s="19" t="n"/>
      <c r="AH2112" s="23" t="n"/>
      <c r="AI2112" s="23" t="n"/>
      <c r="AJ2112" s="19" t="n"/>
    </row>
    <row r="2113">
      <c r="A2113" s="16" t="inlineStr">
        <is>
          <t>PELATRO</t>
        </is>
      </c>
      <c r="B2113" s="16" t="inlineStr">
        <is>
          <t>Pelatro Ltd.</t>
        </is>
      </c>
      <c r="C2113" s="16" t="inlineStr">
        <is>
          <t>BPO/KPO</t>
        </is>
      </c>
      <c r="D2113" s="16" t="inlineStr">
        <is>
          <t>Software &amp; Services</t>
        </is>
      </c>
      <c r="E2113" s="16" t="inlineStr">
        <is>
          <t>INE0VG601013</t>
        </is>
      </c>
      <c r="F2113" s="17" t="n">
        <v>407.68</v>
      </c>
      <c r="G2113" s="18" t="n"/>
      <c r="H2113" s="19" t="n"/>
      <c r="I2113" s="20" t="n"/>
      <c r="J2113" s="16" t="n"/>
      <c r="K2113" s="20" t="n"/>
      <c r="L2113" s="18" t="n"/>
      <c r="M2113" s="18" t="n"/>
      <c r="N2113" s="18" t="n"/>
      <c r="O2113" s="18" t="n"/>
      <c r="P2113" s="18" t="n"/>
      <c r="Q2113" s="18" t="n"/>
      <c r="R2113" s="21">
        <f>IF(OR(G2113="",P2113=""),"",G2113/P2113-1)</f>
        <v/>
      </c>
      <c r="S2113" s="19" t="n"/>
      <c r="T2113" s="22" t="n"/>
      <c r="U2113" s="16" t="n"/>
      <c r="V2113" s="16" t="n"/>
      <c r="W2113" s="16" t="n"/>
      <c r="X2113" s="16" t="n"/>
      <c r="Y2113" s="20" t="n"/>
      <c r="Z2113" s="19" t="n"/>
      <c r="AA2113" s="18" t="n"/>
      <c r="AB2113" s="16" t="n"/>
      <c r="AC2113" s="16" t="inlineStr">
        <is>
          <t>No</t>
        </is>
      </c>
      <c r="AD2113" s="19" t="n"/>
      <c r="AE2113" s="19" t="n"/>
      <c r="AF2113" s="19" t="n"/>
      <c r="AG2113" s="19" t="n"/>
      <c r="AH2113" s="23" t="n"/>
      <c r="AI2113" s="23" t="n"/>
      <c r="AJ2113" s="19" t="n"/>
    </row>
    <row r="2114">
      <c r="A2114" s="16" t="inlineStr">
        <is>
          <t>OPTIVALUE</t>
        </is>
      </c>
      <c r="B2114" s="16" t="inlineStr">
        <is>
          <t>Optivalue Tek Consulting Ltd.</t>
        </is>
      </c>
      <c r="C2114" s="16" t="inlineStr">
        <is>
          <t>IT Consulting &amp; Software</t>
        </is>
      </c>
      <c r="D2114" s="16" t="inlineStr">
        <is>
          <t>Software &amp; Services</t>
        </is>
      </c>
      <c r="E2114" s="16" t="inlineStr">
        <is>
          <t>INE15B101011</t>
        </is>
      </c>
      <c r="F2114" s="17" t="n">
        <v>407.48</v>
      </c>
      <c r="G2114" s="18" t="n"/>
      <c r="H2114" s="19" t="n"/>
      <c r="I2114" s="20" t="n"/>
      <c r="J2114" s="16" t="n"/>
      <c r="K2114" s="20" t="n"/>
      <c r="L2114" s="18" t="n"/>
      <c r="M2114" s="18" t="n"/>
      <c r="N2114" s="18" t="n"/>
      <c r="O2114" s="18" t="n"/>
      <c r="P2114" s="18" t="n"/>
      <c r="Q2114" s="18" t="n"/>
      <c r="R2114" s="21">
        <f>IF(OR(G2114="",P2114=""),"",G2114/P2114-1)</f>
        <v/>
      </c>
      <c r="S2114" s="19" t="n"/>
      <c r="T2114" s="22" t="n"/>
      <c r="U2114" s="16" t="n"/>
      <c r="V2114" s="16" t="n"/>
      <c r="W2114" s="16" t="n"/>
      <c r="X2114" s="16" t="n"/>
      <c r="Y2114" s="20" t="n"/>
      <c r="Z2114" s="19" t="n"/>
      <c r="AA2114" s="18" t="n"/>
      <c r="AB2114" s="16" t="n"/>
      <c r="AC2114" s="16" t="inlineStr">
        <is>
          <t>No</t>
        </is>
      </c>
      <c r="AD2114" s="19" t="n"/>
      <c r="AE2114" s="19" t="n"/>
      <c r="AF2114" s="19" t="n"/>
      <c r="AG2114" s="19" t="n"/>
      <c r="AH2114" s="23" t="n"/>
      <c r="AI2114" s="23" t="n"/>
      <c r="AJ2114" s="19" t="n"/>
    </row>
    <row r="2115">
      <c r="A2115" s="16" t="inlineStr">
        <is>
          <t>CHAVDA</t>
        </is>
      </c>
      <c r="B2115" s="16" t="inlineStr">
        <is>
          <t>Chavda Infra Ltd.</t>
        </is>
      </c>
      <c r="C2115" s="16" t="inlineStr">
        <is>
          <t>Construction &amp; Engineering</t>
        </is>
      </c>
      <c r="D2115" s="16" t="inlineStr">
        <is>
          <t>Cement and Construction</t>
        </is>
      </c>
      <c r="E2115" s="16" t="inlineStr">
        <is>
          <t>INE0PT101017</t>
        </is>
      </c>
      <c r="F2115" s="17" t="n">
        <v>406.57</v>
      </c>
      <c r="G2115" s="18" t="n">
        <v>124.5</v>
      </c>
      <c r="H2115" s="19" t="n">
        <v>-0.0205</v>
      </c>
      <c r="I2115" s="20" t="n">
        <v>77</v>
      </c>
      <c r="J2115" s="16" t="inlineStr">
        <is>
          <t>amber</t>
        </is>
      </c>
      <c r="K2115" s="20" t="n">
        <v>5</v>
      </c>
      <c r="L2115" s="18" t="n">
        <v>30.57</v>
      </c>
      <c r="M2115" s="18" t="n">
        <v>130.98</v>
      </c>
      <c r="N2115" s="18" t="n">
        <v>120.01</v>
      </c>
      <c r="O2115" s="18" t="n">
        <v>106.93</v>
      </c>
      <c r="P2115" s="18" t="n">
        <v>140.75</v>
      </c>
      <c r="Q2115" s="18" t="n">
        <v>81.3</v>
      </c>
      <c r="R2115" s="21">
        <f>IF(OR(G2115="",P2115=""),"",G2115/P2115-1)</f>
        <v/>
      </c>
      <c r="S2115" s="19" t="n">
        <v>0.094</v>
      </c>
      <c r="T2115" s="22" t="n">
        <v>0.0342</v>
      </c>
      <c r="U2115" s="16" t="inlineStr">
        <is>
          <t>Yes</t>
        </is>
      </c>
      <c r="V2115" s="16" t="inlineStr">
        <is>
          <t>Yes</t>
        </is>
      </c>
      <c r="W2115" s="16" t="inlineStr">
        <is>
          <t>No</t>
        </is>
      </c>
      <c r="X2115" s="16" t="inlineStr">
        <is>
          <t>Yes</t>
        </is>
      </c>
      <c r="Y2115" s="20" t="n">
        <v>19</v>
      </c>
      <c r="Z2115" s="19" t="n">
        <v>0.1223</v>
      </c>
      <c r="AA2115" s="18" t="n"/>
      <c r="AB2115" s="16" t="n"/>
      <c r="AC2115" s="16" t="inlineStr">
        <is>
          <t>No</t>
        </is>
      </c>
      <c r="AD2115" s="19" t="n"/>
      <c r="AE2115" s="19" t="n"/>
      <c r="AF2115" s="19" t="n"/>
      <c r="AG2115" s="19" t="n"/>
      <c r="AH2115" s="23" t="n"/>
      <c r="AI2115" s="23" t="n"/>
      <c r="AJ2115" s="19" t="n"/>
    </row>
    <row r="2116">
      <c r="A2116" s="16" t="inlineStr">
        <is>
          <t>TIERRA</t>
        </is>
      </c>
      <c r="B2116" s="16" t="inlineStr">
        <is>
          <t>Tierra Agrotech Ltd.</t>
        </is>
      </c>
      <c r="C2116" s="16" t="inlineStr">
        <is>
          <t>Other Agricultural Products</t>
        </is>
      </c>
      <c r="D2116" s="16" t="inlineStr">
        <is>
          <t>Food, Beverages &amp; Tobacco</t>
        </is>
      </c>
      <c r="E2116" s="16" t="inlineStr">
        <is>
          <t>INE05CY01014</t>
        </is>
      </c>
      <c r="F2116" s="17" t="n">
        <v>404.98</v>
      </c>
      <c r="G2116" s="18" t="n">
        <v>61.74</v>
      </c>
      <c r="H2116" s="19" t="n">
        <v>0.08199999999999999</v>
      </c>
      <c r="I2116" s="20" t="n">
        <v>84</v>
      </c>
      <c r="J2116" s="16" t="inlineStr">
        <is>
          <t>green</t>
        </is>
      </c>
      <c r="K2116" s="20" t="n">
        <v>1</v>
      </c>
      <c r="L2116" s="18" t="n">
        <v>84.52</v>
      </c>
      <c r="M2116" s="18" t="n">
        <v>50.1</v>
      </c>
      <c r="N2116" s="18" t="n">
        <v>42.63</v>
      </c>
      <c r="O2116" s="18" t="n">
        <v>44.02</v>
      </c>
      <c r="P2116" s="18" t="n">
        <v>61.74</v>
      </c>
      <c r="Q2116" s="18" t="n">
        <v>35.81</v>
      </c>
      <c r="R2116" s="21">
        <f>IF(OR(G2116="",P2116=""),"",G2116/P2116-1)</f>
        <v/>
      </c>
      <c r="S2116" s="19" t="n">
        <v>2.9633</v>
      </c>
      <c r="T2116" s="22" t="n">
        <v>-0.0027</v>
      </c>
      <c r="U2116" s="16" t="inlineStr">
        <is>
          <t>No</t>
        </is>
      </c>
      <c r="V2116" s="16" t="inlineStr">
        <is>
          <t>Yes</t>
        </is>
      </c>
      <c r="W2116" s="16" t="inlineStr">
        <is>
          <t>Yes</t>
        </is>
      </c>
      <c r="X2116" s="16" t="inlineStr">
        <is>
          <t>No</t>
        </is>
      </c>
      <c r="Y2116" s="20" t="n">
        <v>117</v>
      </c>
      <c r="Z2116" s="19" t="n">
        <v>-0.0315</v>
      </c>
      <c r="AA2116" s="18" t="n"/>
      <c r="AB2116" s="16" t="n"/>
      <c r="AC2116" s="16" t="inlineStr">
        <is>
          <t>No</t>
        </is>
      </c>
      <c r="AD2116" s="19" t="n"/>
      <c r="AE2116" s="19" t="n"/>
      <c r="AF2116" s="19" t="n"/>
      <c r="AG2116" s="19" t="n"/>
      <c r="AH2116" s="23" t="n"/>
      <c r="AI2116" s="23" t="n"/>
      <c r="AJ2116" s="19" t="n"/>
    </row>
    <row r="2117">
      <c r="A2117" s="16" t="inlineStr">
        <is>
          <t>MUTHOOTCAP</t>
        </is>
      </c>
      <c r="B2117" s="16" t="inlineStr">
        <is>
          <t>Muthoot Capital Services Ltd.</t>
        </is>
      </c>
      <c r="C2117" s="16" t="inlineStr">
        <is>
          <t>Finance (including NBFCs)</t>
        </is>
      </c>
      <c r="D2117" s="16" t="inlineStr">
        <is>
          <t>Banking and Finance</t>
        </is>
      </c>
      <c r="E2117" s="16" t="inlineStr">
        <is>
          <t>INE296G01013</t>
        </is>
      </c>
      <c r="F2117" s="17" t="n">
        <v>404.07</v>
      </c>
      <c r="G2117" s="18" t="n">
        <v>241.72</v>
      </c>
      <c r="H2117" s="19" t="n">
        <v>-0.0083</v>
      </c>
      <c r="I2117" s="20" t="n">
        <v>51</v>
      </c>
      <c r="J2117" s="16" t="inlineStr">
        <is>
          <t>red</t>
        </is>
      </c>
      <c r="K2117" s="20" t="n">
        <v>156</v>
      </c>
      <c r="L2117" s="18" t="n">
        <v>27.25</v>
      </c>
      <c r="M2117" s="18" t="n">
        <v>242.48</v>
      </c>
      <c r="N2117" s="18" t="n">
        <v>234.08</v>
      </c>
      <c r="O2117" s="18" t="n">
        <v>229.42</v>
      </c>
      <c r="P2117" s="18" t="n">
        <v>294.35</v>
      </c>
      <c r="Q2117" s="18" t="n">
        <v>178.95</v>
      </c>
      <c r="R2117" s="21">
        <f>IF(OR(G2117="",P2117=""),"",G2117/P2117-1)</f>
        <v/>
      </c>
      <c r="S2117" s="19" t="n">
        <v>0.4767</v>
      </c>
      <c r="T2117" s="22" t="n">
        <v>-0.0112</v>
      </c>
      <c r="U2117" s="16" t="inlineStr">
        <is>
          <t>No</t>
        </is>
      </c>
      <c r="V2117" s="16" t="inlineStr">
        <is>
          <t>Yes</t>
        </is>
      </c>
      <c r="W2117" s="16" t="inlineStr">
        <is>
          <t>No</t>
        </is>
      </c>
      <c r="X2117" s="16" t="inlineStr">
        <is>
          <t>Yes</t>
        </is>
      </c>
      <c r="Y2117" s="20" t="n">
        <v>6</v>
      </c>
      <c r="Z2117" s="19" t="n">
        <v>0.0203</v>
      </c>
      <c r="AA2117" s="18" t="n"/>
      <c r="AB2117" s="16" t="n"/>
      <c r="AC2117" s="16" t="inlineStr">
        <is>
          <t>No</t>
        </is>
      </c>
      <c r="AD2117" s="19" t="n"/>
      <c r="AE2117" s="19" t="n"/>
      <c r="AF2117" s="19" t="n"/>
      <c r="AG2117" s="19" t="n"/>
      <c r="AH2117" s="23" t="n"/>
      <c r="AI2117" s="23" t="n"/>
      <c r="AJ2117" s="19" t="n"/>
    </row>
    <row r="2118">
      <c r="A2118" s="16" t="inlineStr">
        <is>
          <t>CYBERTECH</t>
        </is>
      </c>
      <c r="B2118" s="16" t="inlineStr">
        <is>
          <t>Cybertech Systems &amp; Software Ltd.</t>
        </is>
      </c>
      <c r="C2118" s="16" t="inlineStr">
        <is>
          <t>IT Consulting &amp; Software</t>
        </is>
      </c>
      <c r="D2118" s="16" t="inlineStr">
        <is>
          <t>Software &amp; Services</t>
        </is>
      </c>
      <c r="E2118" s="16" t="inlineStr">
        <is>
          <t>INE214A01019</t>
        </is>
      </c>
      <c r="F2118" s="17" t="n">
        <v>403.82</v>
      </c>
      <c r="G2118" s="18" t="n">
        <v>133.36</v>
      </c>
      <c r="H2118" s="19" t="n">
        <v>0.008199999999999999</v>
      </c>
      <c r="I2118" s="20" t="n">
        <v>42</v>
      </c>
      <c r="J2118" s="16" t="inlineStr">
        <is>
          <t>red</t>
        </is>
      </c>
      <c r="K2118" s="20" t="n">
        <v>47</v>
      </c>
      <c r="L2118" s="18" t="n">
        <v>49.09</v>
      </c>
      <c r="M2118" s="18" t="n">
        <v>133.26</v>
      </c>
      <c r="N2118" s="18" t="n">
        <v>138.79</v>
      </c>
      <c r="O2118" s="18" t="n">
        <v>134.41</v>
      </c>
      <c r="P2118" s="18" t="n">
        <v>250.89</v>
      </c>
      <c r="Q2118" s="18" t="n">
        <v>98.72</v>
      </c>
      <c r="R2118" s="21">
        <f>IF(OR(G2118="",P2118=""),"",G2118/P2118-1)</f>
        <v/>
      </c>
      <c r="S2118" s="19" t="n">
        <v>0.7176</v>
      </c>
      <c r="T2118" s="22" t="n">
        <v>-0.0197</v>
      </c>
      <c r="U2118" s="16" t="inlineStr">
        <is>
          <t>No</t>
        </is>
      </c>
      <c r="V2118" s="16" t="inlineStr">
        <is>
          <t>No</t>
        </is>
      </c>
      <c r="W2118" s="16" t="inlineStr">
        <is>
          <t>Yes</t>
        </is>
      </c>
      <c r="X2118" s="16" t="inlineStr">
        <is>
          <t>Yes</t>
        </is>
      </c>
      <c r="Y2118" s="20" t="n">
        <v>45</v>
      </c>
      <c r="Z2118" s="19" t="n">
        <v>0.0326</v>
      </c>
      <c r="AA2118" s="18" t="n"/>
      <c r="AB2118" s="16" t="n"/>
      <c r="AC2118" s="16" t="inlineStr">
        <is>
          <t>No</t>
        </is>
      </c>
      <c r="AD2118" s="19" t="n"/>
      <c r="AE2118" s="19" t="n"/>
      <c r="AF2118" s="19" t="n"/>
      <c r="AG2118" s="19" t="n"/>
      <c r="AH2118" s="23" t="n"/>
      <c r="AI2118" s="23" t="n"/>
      <c r="AJ2118" s="19" t="n"/>
    </row>
    <row r="2119">
      <c r="A2119" s="16" t="inlineStr">
        <is>
          <t>KAVDEFENCE</t>
        </is>
      </c>
      <c r="B2119" s="16" t="inlineStr">
        <is>
          <t>Kavveri Defence &amp; Wireless Technologies Ltd.</t>
        </is>
      </c>
      <c r="C2119" s="16" t="inlineStr">
        <is>
          <t>Telecom Equipment</t>
        </is>
      </c>
      <c r="D2119" s="16" t="inlineStr">
        <is>
          <t>Telecommunications Equipment</t>
        </is>
      </c>
      <c r="E2119" s="16" t="inlineStr">
        <is>
          <t>INE641C01019</t>
        </is>
      </c>
      <c r="F2119" s="17" t="n">
        <v>403.67</v>
      </c>
      <c r="G2119" s="18" t="n">
        <v>67.14</v>
      </c>
      <c r="H2119" s="19" t="n">
        <v>0.1957</v>
      </c>
      <c r="I2119" s="20" t="n">
        <v>38</v>
      </c>
      <c r="J2119" s="16" t="inlineStr">
        <is>
          <t>red</t>
        </is>
      </c>
      <c r="K2119" s="20" t="n">
        <v>82</v>
      </c>
      <c r="L2119" s="18" t="n">
        <v>75.7</v>
      </c>
      <c r="M2119" s="18" t="n">
        <v>58.04</v>
      </c>
      <c r="N2119" s="18" t="n">
        <v>59.01</v>
      </c>
      <c r="O2119" s="18" t="n">
        <v>65.48</v>
      </c>
      <c r="P2119" s="18" t="n">
        <v>155.12</v>
      </c>
      <c r="Q2119" s="18" t="n">
        <v>51.79</v>
      </c>
      <c r="R2119" s="21">
        <f>IF(OR(G2119="",P2119=""),"",G2119/P2119-1)</f>
        <v/>
      </c>
      <c r="S2119" s="19" t="n">
        <v>9.863200000000001</v>
      </c>
      <c r="T2119" s="22" t="n">
        <v>-0.067</v>
      </c>
      <c r="U2119" s="16" t="inlineStr">
        <is>
          <t>No</t>
        </is>
      </c>
      <c r="V2119" s="16" t="inlineStr">
        <is>
          <t>Yes</t>
        </is>
      </c>
      <c r="W2119" s="16" t="inlineStr">
        <is>
          <t>Yes</t>
        </is>
      </c>
      <c r="X2119" s="16" t="inlineStr">
        <is>
          <t>No</t>
        </is>
      </c>
      <c r="Y2119" s="20" t="n">
        <v>149</v>
      </c>
      <c r="Z2119" s="19" t="n">
        <v>-0.0987</v>
      </c>
      <c r="AA2119" s="18" t="n"/>
      <c r="AB2119" s="16" t="n"/>
      <c r="AC2119" s="16" t="inlineStr">
        <is>
          <t>No</t>
        </is>
      </c>
      <c r="AD2119" s="19" t="n"/>
      <c r="AE2119" s="19" t="n"/>
      <c r="AF2119" s="19" t="n"/>
      <c r="AG2119" s="19" t="n"/>
      <c r="AH2119" s="23" t="n"/>
      <c r="AI2119" s="23" t="n"/>
      <c r="AJ2119" s="19" t="n"/>
    </row>
    <row r="2120">
      <c r="A2120" s="16" t="inlineStr">
        <is>
          <t>EMROCK</t>
        </is>
      </c>
      <c r="B2120" s="16" t="inlineStr">
        <is>
          <t>Emrock Corporation Ltd.</t>
        </is>
      </c>
      <c r="C2120" s="16" t="inlineStr">
        <is>
          <t>Other Food &amp; Beverages</t>
        </is>
      </c>
      <c r="D2120" s="16" t="inlineStr">
        <is>
          <t>Food, Beverages &amp; Tobacco</t>
        </is>
      </c>
      <c r="E2120" s="16" t="inlineStr">
        <is>
          <t>INE554H01021</t>
        </is>
      </c>
      <c r="F2120" s="17" t="n">
        <v>403.41</v>
      </c>
      <c r="G2120" s="18" t="n">
        <v>255</v>
      </c>
      <c r="H2120" s="19" t="n">
        <v>-0.007800000000000001</v>
      </c>
      <c r="I2120" s="20" t="n">
        <v>98</v>
      </c>
      <c r="J2120" s="16" t="inlineStr">
        <is>
          <t>green</t>
        </is>
      </c>
      <c r="K2120" s="20" t="n">
        <v>240</v>
      </c>
      <c r="L2120" s="18" t="n">
        <v>19.39</v>
      </c>
      <c r="M2120" s="18" t="n">
        <v>266.31</v>
      </c>
      <c r="N2120" s="18" t="n">
        <v>263.84</v>
      </c>
      <c r="O2120" s="18" t="n">
        <v>245.47</v>
      </c>
      <c r="P2120" s="18" t="n">
        <v>300.6</v>
      </c>
      <c r="Q2120" s="18" t="n">
        <v>25.39</v>
      </c>
      <c r="R2120" s="21">
        <f>IF(OR(G2120="",P2120=""),"",G2120/P2120-1)</f>
        <v/>
      </c>
      <c r="S2120" s="19" t="n">
        <v>1.266</v>
      </c>
      <c r="T2120" s="22" t="n">
        <v>0.07969999999999999</v>
      </c>
      <c r="U2120" s="16" t="inlineStr">
        <is>
          <t>Yes</t>
        </is>
      </c>
      <c r="V2120" s="16" t="inlineStr">
        <is>
          <t>No</t>
        </is>
      </c>
      <c r="W2120" s="16" t="inlineStr">
        <is>
          <t>No</t>
        </is>
      </c>
      <c r="X2120" s="16" t="inlineStr">
        <is>
          <t>Yes</t>
        </is>
      </c>
      <c r="Y2120" s="20" t="n">
        <v>751</v>
      </c>
      <c r="Z2120" s="19" t="n">
        <v>0.07490000000000001</v>
      </c>
      <c r="AA2120" s="18" t="n"/>
      <c r="AB2120" s="16" t="n"/>
      <c r="AC2120" s="16" t="inlineStr">
        <is>
          <t>No</t>
        </is>
      </c>
      <c r="AD2120" s="19" t="n"/>
      <c r="AE2120" s="19" t="n"/>
      <c r="AF2120" s="19" t="n"/>
      <c r="AG2120" s="19" t="n"/>
      <c r="AH2120" s="23" t="n"/>
      <c r="AI2120" s="23" t="n"/>
      <c r="AJ2120" s="19" t="n"/>
    </row>
    <row r="2121">
      <c r="A2121" s="16" t="inlineStr">
        <is>
          <t>POOJAENT</t>
        </is>
      </c>
      <c r="B2121" s="16" t="inlineStr">
        <is>
          <t>Vashu Bhagnani Industries Ltd.</t>
        </is>
      </c>
      <c r="C2121" s="16" t="inlineStr">
        <is>
          <t>Movies &amp; Entertainment</t>
        </is>
      </c>
      <c r="D2121" s="16" t="inlineStr">
        <is>
          <t>Media</t>
        </is>
      </c>
      <c r="E2121" s="16" t="inlineStr">
        <is>
          <t>INE147C01017</t>
        </is>
      </c>
      <c r="F2121" s="17" t="n">
        <v>402.32</v>
      </c>
      <c r="G2121" s="18" t="n">
        <v>72.56999999999999</v>
      </c>
      <c r="H2121" s="19" t="n">
        <v>0.1339</v>
      </c>
      <c r="I2121" s="20" t="n">
        <v>42</v>
      </c>
      <c r="J2121" s="16" t="inlineStr">
        <is>
          <t>red</t>
        </is>
      </c>
      <c r="K2121" s="20" t="n">
        <v>42</v>
      </c>
      <c r="L2121" s="18" t="n">
        <v>52.97</v>
      </c>
      <c r="M2121" s="18" t="n">
        <v>65.90000000000001</v>
      </c>
      <c r="N2121" s="18" t="n">
        <v>72.44</v>
      </c>
      <c r="O2121" s="18" t="n">
        <v>70.28</v>
      </c>
      <c r="P2121" s="18" t="n">
        <v>129.7</v>
      </c>
      <c r="Q2121" s="18" t="n">
        <v>47.97</v>
      </c>
      <c r="R2121" s="21">
        <f>IF(OR(G2121="",P2121=""),"",G2121/P2121-1)</f>
        <v/>
      </c>
      <c r="S2121" s="19" t="n">
        <v>0.8919</v>
      </c>
      <c r="T2121" s="22" t="n">
        <v>-0.0325</v>
      </c>
      <c r="U2121" s="16" t="inlineStr">
        <is>
          <t>No</t>
        </is>
      </c>
      <c r="V2121" s="16" t="inlineStr">
        <is>
          <t>Yes</t>
        </is>
      </c>
      <c r="W2121" s="16" t="inlineStr">
        <is>
          <t>Yes</t>
        </is>
      </c>
      <c r="X2121" s="16" t="inlineStr">
        <is>
          <t>Yes</t>
        </is>
      </c>
      <c r="Y2121" s="20" t="n">
        <v>63</v>
      </c>
      <c r="Z2121" s="19" t="n">
        <v>0.0306</v>
      </c>
      <c r="AA2121" s="18" t="n"/>
      <c r="AB2121" s="16" t="n"/>
      <c r="AC2121" s="16" t="inlineStr">
        <is>
          <t>No</t>
        </is>
      </c>
      <c r="AD2121" s="19" t="n"/>
      <c r="AE2121" s="19" t="n"/>
      <c r="AF2121" s="19" t="n"/>
      <c r="AG2121" s="19" t="n"/>
      <c r="AH2121" s="23" t="n"/>
      <c r="AI2121" s="23" t="n"/>
      <c r="AJ2121" s="19" t="n"/>
    </row>
    <row r="2122">
      <c r="A2122" s="16" t="inlineStr">
        <is>
          <t>KOTHARIPRO</t>
        </is>
      </c>
      <c r="B2122" s="16" t="inlineStr">
        <is>
          <t>Kothari Products Ltd.</t>
        </is>
      </c>
      <c r="C2122" s="16" t="inlineStr">
        <is>
          <t>Commodity Trading  &amp; Distribution</t>
        </is>
      </c>
      <c r="D2122" s="16" t="inlineStr">
        <is>
          <t>Commercial Services &amp; Supplies</t>
        </is>
      </c>
      <c r="E2122" s="16" t="inlineStr">
        <is>
          <t>INE823A01017</t>
        </is>
      </c>
      <c r="F2122" s="17" t="n">
        <v>402.24</v>
      </c>
      <c r="G2122" s="18" t="n">
        <v>67.39</v>
      </c>
      <c r="H2122" s="19" t="n">
        <v>-0.0028</v>
      </c>
      <c r="I2122" s="20" t="n">
        <v>28</v>
      </c>
      <c r="J2122" s="16" t="inlineStr">
        <is>
          <t>red</t>
        </is>
      </c>
      <c r="K2122" s="20" t="n">
        <v>76</v>
      </c>
      <c r="L2122" s="18" t="n">
        <v>42.4</v>
      </c>
      <c r="M2122" s="18" t="n">
        <v>67.8</v>
      </c>
      <c r="N2122" s="18" t="n">
        <v>68.39</v>
      </c>
      <c r="O2122" s="18" t="n">
        <v>70.13</v>
      </c>
      <c r="P2122" s="18" t="n">
        <v>97.06</v>
      </c>
      <c r="Q2122" s="18" t="n">
        <v>58.25</v>
      </c>
      <c r="R2122" s="21">
        <f>IF(OR(G2122="",P2122=""),"",G2122/P2122-1)</f>
        <v/>
      </c>
      <c r="S2122" s="19" t="n">
        <v>0.3812</v>
      </c>
      <c r="T2122" s="22" t="n">
        <v>-0.0286</v>
      </c>
      <c r="U2122" s="16" t="inlineStr">
        <is>
          <t>No</t>
        </is>
      </c>
      <c r="V2122" s="16" t="inlineStr">
        <is>
          <t>No</t>
        </is>
      </c>
      <c r="W2122" s="16" t="inlineStr">
        <is>
          <t>No</t>
        </is>
      </c>
      <c r="X2122" s="16" t="inlineStr">
        <is>
          <t>No</t>
        </is>
      </c>
      <c r="Y2122" s="20" t="n">
        <v>168</v>
      </c>
      <c r="Z2122" s="19" t="n">
        <v>-0.0248</v>
      </c>
      <c r="AA2122" s="18" t="n"/>
      <c r="AB2122" s="16" t="n"/>
      <c r="AC2122" s="16" t="inlineStr">
        <is>
          <t>No</t>
        </is>
      </c>
      <c r="AD2122" s="19" t="n"/>
      <c r="AE2122" s="19" t="n"/>
      <c r="AF2122" s="19" t="n"/>
      <c r="AG2122" s="19" t="n"/>
      <c r="AH2122" s="23" t="n"/>
      <c r="AI2122" s="23" t="n"/>
      <c r="AJ2122" s="19" t="n"/>
    </row>
    <row r="2123">
      <c r="A2123" s="16" t="inlineStr">
        <is>
          <t>VRAJ</t>
        </is>
      </c>
      <c r="B2123" s="16" t="inlineStr">
        <is>
          <t>Vraj Iron &amp; Steel Ltd.</t>
        </is>
      </c>
      <c r="C2123" s="16" t="inlineStr">
        <is>
          <t>Iron &amp; Steel/Interm.Products</t>
        </is>
      </c>
      <c r="D2123" s="16" t="inlineStr">
        <is>
          <t>Metals &amp; Mining</t>
        </is>
      </c>
      <c r="E2123" s="16" t="inlineStr">
        <is>
          <t>INE0S2V01010</t>
        </is>
      </c>
      <c r="F2123" s="17" t="n">
        <v>401.43</v>
      </c>
      <c r="G2123" s="18" t="n">
        <v>121.71</v>
      </c>
      <c r="H2123" s="19" t="n">
        <v>-0.008100000000000001</v>
      </c>
      <c r="I2123" s="20" t="n">
        <v>31</v>
      </c>
      <c r="J2123" s="16" t="inlineStr">
        <is>
          <t>red</t>
        </is>
      </c>
      <c r="K2123" s="20" t="n">
        <v>481</v>
      </c>
      <c r="L2123" s="18" t="n">
        <v>50.58</v>
      </c>
      <c r="M2123" s="18" t="n">
        <v>124.21</v>
      </c>
      <c r="N2123" s="18" t="n">
        <v>123.84</v>
      </c>
      <c r="O2123" s="18" t="n">
        <v>124.62</v>
      </c>
      <c r="P2123" s="18" t="n">
        <v>157.66</v>
      </c>
      <c r="Q2123" s="18" t="n">
        <v>94.67</v>
      </c>
      <c r="R2123" s="21">
        <f>IF(OR(G2123="",P2123=""),"",G2123/P2123-1)</f>
        <v/>
      </c>
      <c r="S2123" s="19" t="n">
        <v>0.6506000000000001</v>
      </c>
      <c r="T2123" s="22" t="n">
        <v>-0.0154</v>
      </c>
      <c r="U2123" s="16" t="inlineStr">
        <is>
          <t>No</t>
        </is>
      </c>
      <c r="V2123" s="16" t="inlineStr">
        <is>
          <t>No</t>
        </is>
      </c>
      <c r="W2123" s="16" t="inlineStr">
        <is>
          <t>No</t>
        </is>
      </c>
      <c r="X2123" s="16" t="inlineStr">
        <is>
          <t>No</t>
        </is>
      </c>
      <c r="Y2123" s="20" t="n">
        <v>345</v>
      </c>
      <c r="Z2123" s="19" t="n">
        <v>-0.0063</v>
      </c>
      <c r="AA2123" s="18" t="n"/>
      <c r="AB2123" s="16" t="n"/>
      <c r="AC2123" s="16" t="inlineStr">
        <is>
          <t>No</t>
        </is>
      </c>
      <c r="AD2123" s="19" t="n"/>
      <c r="AE2123" s="19" t="n"/>
      <c r="AF2123" s="19" t="n"/>
      <c r="AG2123" s="19" t="n"/>
      <c r="AH2123" s="23" t="n"/>
      <c r="AI2123" s="23" t="n"/>
      <c r="AJ2123" s="19" t="n"/>
    </row>
    <row r="2124">
      <c r="A2124" s="16" t="inlineStr">
        <is>
          <t>AFIL</t>
        </is>
      </c>
      <c r="B2124" s="16" t="inlineStr">
        <is>
          <t>Akme Fintrade (India) Ltd.</t>
        </is>
      </c>
      <c r="C2124" s="16" t="inlineStr">
        <is>
          <t>Finance (including NBFCs)</t>
        </is>
      </c>
      <c r="D2124" s="16" t="inlineStr">
        <is>
          <t>Banking and Finance</t>
        </is>
      </c>
      <c r="E2124" s="16" t="inlineStr">
        <is>
          <t>INE916Y01027</t>
        </is>
      </c>
      <c r="F2124" s="17" t="n">
        <v>401.02</v>
      </c>
      <c r="G2124" s="18" t="n">
        <v>9.220000000000001</v>
      </c>
      <c r="H2124" s="19" t="n">
        <v>-0.0097</v>
      </c>
      <c r="I2124" s="20" t="n">
        <v>61</v>
      </c>
      <c r="J2124" s="16" t="inlineStr">
        <is>
          <t>amber</t>
        </is>
      </c>
      <c r="K2124" s="20" t="n">
        <v>9</v>
      </c>
      <c r="L2124" s="18" t="n">
        <v>45.16</v>
      </c>
      <c r="M2124" s="18" t="n">
        <v>9.390000000000001</v>
      </c>
      <c r="N2124" s="18" t="n">
        <v>9.57</v>
      </c>
      <c r="O2124" s="18" t="n">
        <v>8.210000000000001</v>
      </c>
      <c r="P2124" s="18" t="n">
        <v>10.91</v>
      </c>
      <c r="Q2124" s="18" t="n">
        <v>4.88</v>
      </c>
      <c r="R2124" s="21">
        <f>IF(OR(G2124="",P2124=""),"",G2124/P2124-1)</f>
        <v/>
      </c>
      <c r="S2124" s="19" t="n">
        <v>0.8648</v>
      </c>
      <c r="T2124" s="22" t="n">
        <v>0.0217</v>
      </c>
      <c r="U2124" s="16" t="inlineStr">
        <is>
          <t>Yes</t>
        </is>
      </c>
      <c r="V2124" s="16" t="inlineStr">
        <is>
          <t>No</t>
        </is>
      </c>
      <c r="W2124" s="16" t="inlineStr">
        <is>
          <t>No</t>
        </is>
      </c>
      <c r="X2124" s="16" t="inlineStr">
        <is>
          <t>Yes</t>
        </is>
      </c>
      <c r="Y2124" s="20" t="n">
        <v>100</v>
      </c>
      <c r="Z2124" s="19" t="n">
        <v>0.1657</v>
      </c>
      <c r="AA2124" s="18" t="n"/>
      <c r="AB2124" s="16" t="n"/>
      <c r="AC2124" s="16" t="inlineStr">
        <is>
          <t>No</t>
        </is>
      </c>
      <c r="AD2124" s="19" t="n"/>
      <c r="AE2124" s="19" t="n"/>
      <c r="AF2124" s="19" t="n"/>
      <c r="AG2124" s="19" t="n"/>
      <c r="AH2124" s="23" t="n"/>
      <c r="AI2124" s="23" t="n"/>
      <c r="AJ2124" s="19" t="n"/>
    </row>
    <row r="2125">
      <c r="A2125" s="16" t="inlineStr">
        <is>
          <t>FROG</t>
        </is>
      </c>
      <c r="B2125" s="16" t="inlineStr">
        <is>
          <t>Frog Innovations Ltd.</t>
        </is>
      </c>
      <c r="C2125" s="16" t="inlineStr">
        <is>
          <t>Telecom Equipment</t>
        </is>
      </c>
      <c r="D2125" s="16" t="inlineStr">
        <is>
          <t>Telecommunications Equipment</t>
        </is>
      </c>
      <c r="E2125" s="16" t="inlineStr">
        <is>
          <t>INE385O01018</t>
        </is>
      </c>
      <c r="F2125" s="17" t="n">
        <v>400.76</v>
      </c>
      <c r="G2125" s="18" t="n">
        <v>257.65</v>
      </c>
      <c r="H2125" s="19" t="n">
        <v>-0.031</v>
      </c>
      <c r="I2125" s="20" t="n">
        <v>86</v>
      </c>
      <c r="J2125" s="16" t="inlineStr">
        <is>
          <t>green</t>
        </is>
      </c>
      <c r="K2125" s="20" t="n">
        <v>7</v>
      </c>
      <c r="L2125" s="18" t="n">
        <v>81.62</v>
      </c>
      <c r="M2125" s="18" t="n">
        <v>248.98</v>
      </c>
      <c r="N2125" s="18" t="n">
        <v>203.9</v>
      </c>
      <c r="O2125" s="18" t="n">
        <v>168.41</v>
      </c>
      <c r="P2125" s="18" t="n">
        <v>265.9</v>
      </c>
      <c r="Q2125" s="18" t="n">
        <v>125.7</v>
      </c>
      <c r="R2125" s="21">
        <f>IF(OR(G2125="",P2125=""),"",G2125/P2125-1)</f>
        <v/>
      </c>
      <c r="S2125" s="19" t="n">
        <v>1.8854</v>
      </c>
      <c r="T2125" s="22" t="n">
        <v>0.0158</v>
      </c>
      <c r="U2125" s="16" t="inlineStr">
        <is>
          <t>Yes</t>
        </is>
      </c>
      <c r="V2125" s="16" t="inlineStr">
        <is>
          <t>Yes</t>
        </is>
      </c>
      <c r="W2125" s="16" t="inlineStr">
        <is>
          <t>Yes</t>
        </is>
      </c>
      <c r="X2125" s="16" t="inlineStr">
        <is>
          <t>Yes</t>
        </is>
      </c>
      <c r="Y2125" s="20" t="n">
        <v>40</v>
      </c>
      <c r="Z2125" s="19" t="n">
        <v>0.2107</v>
      </c>
      <c r="AA2125" s="18" t="n"/>
      <c r="AB2125" s="16" t="n"/>
      <c r="AC2125" s="16" t="inlineStr">
        <is>
          <t>No</t>
        </is>
      </c>
      <c r="AD2125" s="19" t="n"/>
      <c r="AE2125" s="19" t="n"/>
      <c r="AF2125" s="19" t="n"/>
      <c r="AG2125" s="19" t="n"/>
      <c r="AH2125" s="23" t="n"/>
      <c r="AI2125" s="23" t="n"/>
      <c r="AJ2125" s="19" t="n"/>
    </row>
    <row r="2126">
      <c r="A2126" s="16" t="inlineStr">
        <is>
          <t>BANSWRAS</t>
        </is>
      </c>
      <c r="B2126" s="16" t="inlineStr">
        <is>
          <t>Banswara Syntex Ltd.</t>
        </is>
      </c>
      <c r="C2126" s="16" t="inlineStr">
        <is>
          <t>Textiles</t>
        </is>
      </c>
      <c r="D2126" s="16" t="inlineStr">
        <is>
          <t>Textiles Apparels &amp; Accessories</t>
        </is>
      </c>
      <c r="E2126" s="16" t="inlineStr">
        <is>
          <t>INE629D01020</t>
        </is>
      </c>
      <c r="F2126" s="17" t="n">
        <v>400.69</v>
      </c>
      <c r="G2126" s="18" t="n">
        <v>117.05</v>
      </c>
      <c r="H2126" s="19" t="n">
        <v>-0.0062</v>
      </c>
      <c r="I2126" s="20" t="n">
        <v>32</v>
      </c>
      <c r="J2126" s="16" t="inlineStr">
        <is>
          <t>red</t>
        </is>
      </c>
      <c r="K2126" s="20" t="n">
        <v>30</v>
      </c>
      <c r="L2126" s="18" t="n">
        <v>52.94</v>
      </c>
      <c r="M2126" s="18" t="n">
        <v>116.92</v>
      </c>
      <c r="N2126" s="18" t="n">
        <v>123.49</v>
      </c>
      <c r="O2126" s="18" t="n">
        <v>117.44</v>
      </c>
      <c r="P2126" s="18" t="n">
        <v>136.73</v>
      </c>
      <c r="Q2126" s="18" t="n">
        <v>95.34999999999999</v>
      </c>
      <c r="R2126" s="21">
        <f>IF(OR(G2126="",P2126=""),"",G2126/P2126-1)</f>
        <v/>
      </c>
      <c r="S2126" s="19" t="n">
        <v>0.835</v>
      </c>
      <c r="T2126" s="22" t="n">
        <v>0.0003</v>
      </c>
      <c r="U2126" s="16" t="inlineStr">
        <is>
          <t>Yes</t>
        </is>
      </c>
      <c r="V2126" s="16" t="inlineStr">
        <is>
          <t>No</t>
        </is>
      </c>
      <c r="W2126" s="16" t="inlineStr">
        <is>
          <t>Yes</t>
        </is>
      </c>
      <c r="X2126" s="16" t="inlineStr">
        <is>
          <t>Yes</t>
        </is>
      </c>
      <c r="Y2126" s="20" t="n">
        <v>63</v>
      </c>
      <c r="Z2126" s="19" t="n">
        <v>0.0515</v>
      </c>
      <c r="AA2126" s="18" t="n"/>
      <c r="AB2126" s="16" t="n"/>
      <c r="AC2126" s="16" t="inlineStr">
        <is>
          <t>No</t>
        </is>
      </c>
      <c r="AD2126" s="19" t="n"/>
      <c r="AE2126" s="19" t="n"/>
      <c r="AF2126" s="19" t="n"/>
      <c r="AG2126" s="19" t="n"/>
      <c r="AH2126" s="23" t="n"/>
      <c r="AI2126" s="23" t="n"/>
      <c r="AJ2126" s="19" t="n"/>
    </row>
    <row r="2127">
      <c r="A2127" s="16" t="inlineStr">
        <is>
          <t>PURPLEUTED</t>
        </is>
      </c>
      <c r="B2127" s="16" t="inlineStr">
        <is>
          <t>Purple United Sales Ltd.</t>
        </is>
      </c>
      <c r="C2127" s="16" t="inlineStr">
        <is>
          <t>Other Apparels &amp; Accessories</t>
        </is>
      </c>
      <c r="D2127" s="16" t="inlineStr">
        <is>
          <t>Textiles Apparels &amp; Accessories</t>
        </is>
      </c>
      <c r="E2127" s="16" t="inlineStr">
        <is>
          <t>INE0P5R01014</t>
        </is>
      </c>
      <c r="F2127" s="17" t="n">
        <v>399.96</v>
      </c>
      <c r="G2127" s="18" t="n"/>
      <c r="H2127" s="19" t="n"/>
      <c r="I2127" s="20" t="n"/>
      <c r="J2127" s="16" t="n"/>
      <c r="K2127" s="20" t="n"/>
      <c r="L2127" s="18" t="n"/>
      <c r="M2127" s="18" t="n"/>
      <c r="N2127" s="18" t="n"/>
      <c r="O2127" s="18" t="n"/>
      <c r="P2127" s="18" t="n"/>
      <c r="Q2127" s="18" t="n"/>
      <c r="R2127" s="21">
        <f>IF(OR(G2127="",P2127=""),"",G2127/P2127-1)</f>
        <v/>
      </c>
      <c r="S2127" s="19" t="n"/>
      <c r="T2127" s="22" t="n"/>
      <c r="U2127" s="16" t="n"/>
      <c r="V2127" s="16" t="n"/>
      <c r="W2127" s="16" t="n"/>
      <c r="X2127" s="16" t="n"/>
      <c r="Y2127" s="20" t="n"/>
      <c r="Z2127" s="19" t="n"/>
      <c r="AA2127" s="18" t="n"/>
      <c r="AB2127" s="16" t="n"/>
      <c r="AC2127" s="16" t="inlineStr">
        <is>
          <t>No</t>
        </is>
      </c>
      <c r="AD2127" s="19" t="n"/>
      <c r="AE2127" s="19" t="n"/>
      <c r="AF2127" s="19" t="n"/>
      <c r="AG2127" s="19" t="n"/>
      <c r="AH2127" s="23" t="n"/>
      <c r="AI2127" s="23" t="n"/>
      <c r="AJ2127" s="19" t="n"/>
    </row>
    <row r="2128">
      <c r="A2128" s="16" t="inlineStr">
        <is>
          <t>S&amp;SPOWER</t>
        </is>
      </c>
      <c r="B2128" s="16" t="inlineStr">
        <is>
          <t>S &amp; S Power Switchgear Ltd.</t>
        </is>
      </c>
      <c r="C2128" s="16" t="inlineStr">
        <is>
          <t>Other Electrical Equipment/Products</t>
        </is>
      </c>
      <c r="D2128" s="16" t="inlineStr">
        <is>
          <t>Consumer Durables</t>
        </is>
      </c>
      <c r="E2128" s="16" t="inlineStr">
        <is>
          <t>INE902B01017</t>
        </is>
      </c>
      <c r="F2128" s="17" t="n">
        <v>399.81</v>
      </c>
      <c r="G2128" s="18" t="n">
        <v>323.95</v>
      </c>
      <c r="H2128" s="19" t="n">
        <v>0.0128</v>
      </c>
      <c r="I2128" s="20" t="n">
        <v>32</v>
      </c>
      <c r="J2128" s="16" t="inlineStr">
        <is>
          <t>red</t>
        </is>
      </c>
      <c r="K2128" s="20" t="n">
        <v>50</v>
      </c>
      <c r="L2128" s="18" t="n">
        <v>58.47</v>
      </c>
      <c r="M2128" s="18" t="n">
        <v>332.79</v>
      </c>
      <c r="N2128" s="18" t="n">
        <v>332.89</v>
      </c>
      <c r="O2128" s="18" t="n">
        <v>326.67</v>
      </c>
      <c r="P2128" s="18" t="n">
        <v>450.85</v>
      </c>
      <c r="Q2128" s="18" t="n">
        <v>204.18</v>
      </c>
      <c r="R2128" s="21">
        <f>IF(OR(G2128="",P2128=""),"",G2128/P2128-1)</f>
        <v/>
      </c>
      <c r="S2128" s="19" t="n">
        <v>0.3246</v>
      </c>
      <c r="T2128" s="22" t="n">
        <v>-0.0092</v>
      </c>
      <c r="U2128" s="16" t="inlineStr">
        <is>
          <t>No</t>
        </is>
      </c>
      <c r="V2128" s="16" t="inlineStr">
        <is>
          <t>No</t>
        </is>
      </c>
      <c r="W2128" s="16" t="inlineStr">
        <is>
          <t>No</t>
        </is>
      </c>
      <c r="X2128" s="16" t="inlineStr">
        <is>
          <t>Yes</t>
        </is>
      </c>
      <c r="Y2128" s="20" t="n">
        <v>93</v>
      </c>
      <c r="Z2128" s="19" t="n">
        <v>0.019</v>
      </c>
      <c r="AA2128" s="18" t="n"/>
      <c r="AB2128" s="16" t="n"/>
      <c r="AC2128" s="16" t="inlineStr">
        <is>
          <t>No</t>
        </is>
      </c>
      <c r="AD2128" s="19" t="n"/>
      <c r="AE2128" s="19" t="n"/>
      <c r="AF2128" s="19" t="n"/>
      <c r="AG2128" s="19" t="n"/>
      <c r="AH2128" s="23" t="n"/>
      <c r="AI2128" s="23" t="n"/>
      <c r="AJ2128" s="19" t="n"/>
    </row>
    <row r="2129">
      <c r="A2129" s="16" t="inlineStr">
        <is>
          <t>ACL</t>
        </is>
      </c>
      <c r="B2129" s="16" t="inlineStr">
        <is>
          <t>Andhra Cements Ltd.</t>
        </is>
      </c>
      <c r="C2129" s="16" t="inlineStr">
        <is>
          <t>Cement &amp; Cement Products</t>
        </is>
      </c>
      <c r="D2129" s="16" t="inlineStr">
        <is>
          <t>Cement and Construction</t>
        </is>
      </c>
      <c r="E2129" s="16" t="inlineStr">
        <is>
          <t>INE666E01020</t>
        </is>
      </c>
      <c r="F2129" s="17" t="n">
        <v>399.66</v>
      </c>
      <c r="G2129" s="18" t="n">
        <v>43.36</v>
      </c>
      <c r="H2129" s="19" t="n">
        <v>-0.005</v>
      </c>
      <c r="I2129" s="20" t="n">
        <v>3</v>
      </c>
      <c r="J2129" s="16" t="inlineStr">
        <is>
          <t>red</t>
        </is>
      </c>
      <c r="K2129" s="20" t="n">
        <v>157</v>
      </c>
      <c r="L2129" s="18" t="n">
        <v>19.29</v>
      </c>
      <c r="M2129" s="18" t="n">
        <v>43.89</v>
      </c>
      <c r="N2129" s="18" t="n">
        <v>47.59</v>
      </c>
      <c r="O2129" s="18" t="n">
        <v>56.21</v>
      </c>
      <c r="P2129" s="18" t="n">
        <v>104.76</v>
      </c>
      <c r="Q2129" s="18" t="n">
        <v>40.79</v>
      </c>
      <c r="R2129" s="21">
        <f>IF(OR(G2129="",P2129=""),"",G2129/P2129-1)</f>
        <v/>
      </c>
      <c r="S2129" s="19" t="n">
        <v>1.1556</v>
      </c>
      <c r="T2129" s="22" t="n">
        <v>-0.0496</v>
      </c>
      <c r="U2129" s="16" t="inlineStr">
        <is>
          <t>No</t>
        </is>
      </c>
      <c r="V2129" s="16" t="inlineStr">
        <is>
          <t>No</t>
        </is>
      </c>
      <c r="W2129" s="16" t="inlineStr">
        <is>
          <t>No</t>
        </is>
      </c>
      <c r="X2129" s="16" t="inlineStr">
        <is>
          <t>No</t>
        </is>
      </c>
      <c r="Y2129" s="20" t="n">
        <v>156</v>
      </c>
      <c r="Z2129" s="19" t="n">
        <v>-0.1534</v>
      </c>
      <c r="AA2129" s="18" t="n"/>
      <c r="AB2129" s="16" t="n"/>
      <c r="AC2129" s="16" t="inlineStr">
        <is>
          <t>No</t>
        </is>
      </c>
      <c r="AD2129" s="19" t="n"/>
      <c r="AE2129" s="19" t="n"/>
      <c r="AF2129" s="19" t="n"/>
      <c r="AG2129" s="19" t="n"/>
      <c r="AH2129" s="23" t="n"/>
      <c r="AI2129" s="23" t="n"/>
      <c r="AJ2129" s="19" t="n"/>
    </row>
    <row r="2130">
      <c r="A2130" s="16" t="inlineStr">
        <is>
          <t>TECHD</t>
        </is>
      </c>
      <c r="B2130" s="16" t="inlineStr">
        <is>
          <t>TechD Cybersecurity Ltd.</t>
        </is>
      </c>
      <c r="C2130" s="16" t="inlineStr">
        <is>
          <t>IT Consulting &amp; Software</t>
        </is>
      </c>
      <c r="D2130" s="16" t="inlineStr">
        <is>
          <t>Software &amp; Services</t>
        </is>
      </c>
      <c r="E2130" s="16" t="inlineStr">
        <is>
          <t>INE0Y5H01014</t>
        </is>
      </c>
      <c r="F2130" s="17" t="n">
        <v>399.08</v>
      </c>
      <c r="G2130" s="18" t="n"/>
      <c r="H2130" s="19" t="n"/>
      <c r="I2130" s="20" t="n"/>
      <c r="J2130" s="16" t="n"/>
      <c r="K2130" s="20" t="n"/>
      <c r="L2130" s="18" t="n"/>
      <c r="M2130" s="18" t="n"/>
      <c r="N2130" s="18" t="n"/>
      <c r="O2130" s="18" t="n"/>
      <c r="P2130" s="18" t="n"/>
      <c r="Q2130" s="18" t="n"/>
      <c r="R2130" s="21">
        <f>IF(OR(G2130="",P2130=""),"",G2130/P2130-1)</f>
        <v/>
      </c>
      <c r="S2130" s="19" t="n"/>
      <c r="T2130" s="22" t="n"/>
      <c r="U2130" s="16" t="n"/>
      <c r="V2130" s="16" t="n"/>
      <c r="W2130" s="16" t="n"/>
      <c r="X2130" s="16" t="n"/>
      <c r="Y2130" s="20" t="n"/>
      <c r="Z2130" s="19" t="n"/>
      <c r="AA2130" s="18" t="n"/>
      <c r="AB2130" s="16" t="n"/>
      <c r="AC2130" s="16" t="inlineStr">
        <is>
          <t>No</t>
        </is>
      </c>
      <c r="AD2130" s="19" t="n"/>
      <c r="AE2130" s="19" t="n"/>
      <c r="AF2130" s="19" t="n"/>
      <c r="AG2130" s="19" t="n"/>
      <c r="AH2130" s="23" t="n"/>
      <c r="AI2130" s="23" t="n"/>
      <c r="AJ2130" s="19" t="n"/>
    </row>
    <row r="2131">
      <c r="A2131" s="16" t="inlineStr">
        <is>
          <t>NAPEROL</t>
        </is>
      </c>
      <c r="B2131" s="16" t="inlineStr">
        <is>
          <t>Naperol Investments Ltd.</t>
        </is>
      </c>
      <c r="C2131" s="16" t="inlineStr">
        <is>
          <t>Commodity Chemicals</t>
        </is>
      </c>
      <c r="D2131" s="16" t="inlineStr">
        <is>
          <t>Chemicals &amp; Petrochemicals</t>
        </is>
      </c>
      <c r="E2131" s="16" t="inlineStr">
        <is>
          <t>INE585A01020</t>
        </is>
      </c>
      <c r="F2131" s="17" t="n">
        <v>399.01</v>
      </c>
      <c r="G2131" s="18" t="n">
        <v>694.3</v>
      </c>
      <c r="H2131" s="19" t="n">
        <v>0.0194</v>
      </c>
      <c r="I2131" s="20" t="n">
        <v>38</v>
      </c>
      <c r="J2131" s="16" t="inlineStr">
        <is>
          <t>red</t>
        </is>
      </c>
      <c r="K2131" s="20" t="n">
        <v>309</v>
      </c>
      <c r="L2131" s="18" t="n">
        <v>51.18</v>
      </c>
      <c r="M2131" s="18" t="n">
        <v>690.2</v>
      </c>
      <c r="N2131" s="18" t="n">
        <v>664.7</v>
      </c>
      <c r="O2131" s="18" t="n">
        <v>655.38</v>
      </c>
      <c r="P2131" s="18" t="n">
        <v>964.5599999999999</v>
      </c>
      <c r="Q2131" s="18" t="n">
        <v>499.25</v>
      </c>
      <c r="R2131" s="21">
        <f>IF(OR(G2131="",P2131=""),"",G2131/P2131-1)</f>
        <v/>
      </c>
      <c r="S2131" s="19" t="n">
        <v>1.6766</v>
      </c>
      <c r="T2131" s="22" t="n">
        <v>-0.0328</v>
      </c>
      <c r="U2131" s="16" t="inlineStr">
        <is>
          <t>No</t>
        </is>
      </c>
      <c r="V2131" s="16" t="inlineStr">
        <is>
          <t>Yes</t>
        </is>
      </c>
      <c r="W2131" s="16" t="inlineStr">
        <is>
          <t>Yes</t>
        </is>
      </c>
      <c r="X2131" s="16" t="inlineStr">
        <is>
          <t>Yes</t>
        </is>
      </c>
      <c r="Y2131" s="20" t="n">
        <v>6</v>
      </c>
      <c r="Z2131" s="19" t="n">
        <v>0.0142</v>
      </c>
      <c r="AA2131" s="18" t="n"/>
      <c r="AB2131" s="16" t="n"/>
      <c r="AC2131" s="16" t="inlineStr">
        <is>
          <t>No</t>
        </is>
      </c>
      <c r="AD2131" s="19" t="n"/>
      <c r="AE2131" s="19" t="n"/>
      <c r="AF2131" s="19" t="n"/>
      <c r="AG2131" s="19" t="n"/>
      <c r="AH2131" s="23" t="n"/>
      <c r="AI2131" s="23" t="n"/>
      <c r="AJ2131" s="19" t="n"/>
    </row>
    <row r="2132">
      <c r="A2132" s="16" t="inlineStr">
        <is>
          <t>SHEETAL</t>
        </is>
      </c>
      <c r="B2132" s="16" t="inlineStr">
        <is>
          <t>Sheetal Universal Ltd.</t>
        </is>
      </c>
      <c r="C2132" s="16" t="inlineStr">
        <is>
          <t>Other Agricultural Products</t>
        </is>
      </c>
      <c r="D2132" s="16" t="inlineStr">
        <is>
          <t>Food, Beverages &amp; Tobacco</t>
        </is>
      </c>
      <c r="E2132" s="16" t="inlineStr">
        <is>
          <t>INE04VX01019</t>
        </is>
      </c>
      <c r="F2132" s="17" t="n">
        <v>398.78</v>
      </c>
      <c r="G2132" s="18" t="n">
        <v>348.1</v>
      </c>
      <c r="H2132" s="19" t="n">
        <v>0.0003</v>
      </c>
      <c r="I2132" s="20" t="n">
        <v>93</v>
      </c>
      <c r="J2132" s="16" t="inlineStr">
        <is>
          <t>green</t>
        </is>
      </c>
      <c r="K2132" s="20" t="n">
        <v>397</v>
      </c>
      <c r="L2132" s="18" t="n">
        <v>65.38</v>
      </c>
      <c r="M2132" s="18" t="n">
        <v>338.58</v>
      </c>
      <c r="N2132" s="18" t="n">
        <v>312.66</v>
      </c>
      <c r="O2132" s="18" t="n">
        <v>248.28</v>
      </c>
      <c r="P2132" s="18" t="n">
        <v>348.1</v>
      </c>
      <c r="Q2132" s="18" t="n">
        <v>121.08</v>
      </c>
      <c r="R2132" s="21">
        <f>IF(OR(G2132="",P2132=""),"",G2132/P2132-1)</f>
        <v/>
      </c>
      <c r="S2132" s="19" t="n">
        <v>0.0872</v>
      </c>
      <c r="T2132" s="22" t="n">
        <v>0.08310000000000001</v>
      </c>
      <c r="U2132" s="16" t="inlineStr">
        <is>
          <t>Yes</t>
        </is>
      </c>
      <c r="V2132" s="16" t="inlineStr">
        <is>
          <t>Yes</t>
        </is>
      </c>
      <c r="W2132" s="16" t="inlineStr">
        <is>
          <t>Yes</t>
        </is>
      </c>
      <c r="X2132" s="16" t="inlineStr">
        <is>
          <t>Yes</t>
        </is>
      </c>
      <c r="Y2132" s="20" t="n">
        <v>428</v>
      </c>
      <c r="Z2132" s="19" t="n">
        <v>0.2593</v>
      </c>
      <c r="AA2132" s="18" t="n"/>
      <c r="AB2132" s="16" t="n"/>
      <c r="AC2132" s="16" t="inlineStr">
        <is>
          <t>No</t>
        </is>
      </c>
      <c r="AD2132" s="19" t="n"/>
      <c r="AE2132" s="19" t="n"/>
      <c r="AF2132" s="19" t="n"/>
      <c r="AG2132" s="19" t="n"/>
      <c r="AH2132" s="23" t="n"/>
      <c r="AI2132" s="23" t="n"/>
      <c r="AJ2132" s="19" t="n"/>
    </row>
    <row r="2133">
      <c r="A2133" s="16" t="inlineStr">
        <is>
          <t>DIGISPICE</t>
        </is>
      </c>
      <c r="B2133" s="16" t="inlineStr">
        <is>
          <t>DiGiSPICE Technologies Ltd.</t>
        </is>
      </c>
      <c r="C2133" s="16" t="inlineStr">
        <is>
          <t>IT Software Products</t>
        </is>
      </c>
      <c r="D2133" s="16" t="inlineStr">
        <is>
          <t>Software &amp; Services</t>
        </is>
      </c>
      <c r="E2133" s="16" t="inlineStr">
        <is>
          <t>INE927C01020</t>
        </is>
      </c>
      <c r="F2133" s="17" t="n">
        <v>398.47</v>
      </c>
      <c r="G2133" s="18" t="n">
        <v>16.98</v>
      </c>
      <c r="H2133" s="19" t="n">
        <v>0.0012</v>
      </c>
      <c r="I2133" s="20" t="n">
        <v>8</v>
      </c>
      <c r="J2133" s="16" t="inlineStr">
        <is>
          <t>red</t>
        </is>
      </c>
      <c r="K2133" s="20" t="n">
        <v>154</v>
      </c>
      <c r="L2133" s="18" t="n">
        <v>60.98</v>
      </c>
      <c r="M2133" s="18" t="n">
        <v>16.99</v>
      </c>
      <c r="N2133" s="18" t="n">
        <v>18.21</v>
      </c>
      <c r="O2133" s="18" t="n">
        <v>20.02</v>
      </c>
      <c r="P2133" s="18" t="n">
        <v>32.57</v>
      </c>
      <c r="Q2133" s="18" t="n">
        <v>15.38</v>
      </c>
      <c r="R2133" s="21">
        <f>IF(OR(G2133="",P2133=""),"",G2133/P2133-1)</f>
        <v/>
      </c>
      <c r="S2133" s="19" t="n">
        <v>1.0168</v>
      </c>
      <c r="T2133" s="22" t="n">
        <v>-0.0398</v>
      </c>
      <c r="U2133" s="16" t="inlineStr">
        <is>
          <t>No</t>
        </is>
      </c>
      <c r="V2133" s="16" t="inlineStr">
        <is>
          <t>No</t>
        </is>
      </c>
      <c r="W2133" s="16" t="inlineStr">
        <is>
          <t>No</t>
        </is>
      </c>
      <c r="X2133" s="16" t="inlineStr">
        <is>
          <t>No</t>
        </is>
      </c>
      <c r="Y2133" s="20" t="n">
        <v>152</v>
      </c>
      <c r="Z2133" s="19" t="n">
        <v>-0.09050000000000001</v>
      </c>
      <c r="AA2133" s="18" t="n"/>
      <c r="AB2133" s="16" t="n"/>
      <c r="AC2133" s="16" t="inlineStr">
        <is>
          <t>No</t>
        </is>
      </c>
      <c r="AD2133" s="19" t="n"/>
      <c r="AE2133" s="19" t="n"/>
      <c r="AF2133" s="19" t="n"/>
      <c r="AG2133" s="19" t="n"/>
      <c r="AH2133" s="23" t="n"/>
      <c r="AI2133" s="23" t="n"/>
      <c r="AJ2133" s="19" t="n"/>
    </row>
    <row r="2134">
      <c r="A2134" s="16" t="inlineStr">
        <is>
          <t>PURPLEWAVE</t>
        </is>
      </c>
      <c r="B2134" s="16" t="inlineStr">
        <is>
          <t>Purple Wave Infocom Ltd.</t>
        </is>
      </c>
      <c r="C2134" s="16" t="inlineStr">
        <is>
          <t>Distributors</t>
        </is>
      </c>
      <c r="D2134" s="16" t="inlineStr">
        <is>
          <t>Commercial Services &amp; Supplies</t>
        </is>
      </c>
      <c r="E2134" s="16" t="inlineStr">
        <is>
          <t>INE0VDK01019</t>
        </is>
      </c>
      <c r="F2134" s="17" t="n">
        <v>397.9</v>
      </c>
      <c r="G2134" s="18" t="n">
        <v>430.35</v>
      </c>
      <c r="H2134" s="19" t="n">
        <v>0</v>
      </c>
      <c r="I2134" s="20" t="n">
        <v>99</v>
      </c>
      <c r="J2134" s="16" t="inlineStr">
        <is>
          <t>green</t>
        </is>
      </c>
      <c r="K2134" s="20" t="n">
        <v>29</v>
      </c>
      <c r="L2134" s="18" t="n">
        <v>93.59999999999999</v>
      </c>
      <c r="M2134" s="18" t="n">
        <v>399.28</v>
      </c>
      <c r="N2134" s="18" t="n">
        <v>218.67</v>
      </c>
      <c r="O2134" s="18" t="n"/>
      <c r="P2134" s="18" t="n">
        <v>430.35</v>
      </c>
      <c r="Q2134" s="18" t="n">
        <v>103</v>
      </c>
      <c r="R2134" s="21">
        <f>IF(OR(G2134="",P2134=""),"",G2134/P2134-1)</f>
        <v/>
      </c>
      <c r="S2134" s="19" t="n">
        <v>0.0609</v>
      </c>
      <c r="T2134" s="22" t="n"/>
      <c r="U2134" s="16" t="n"/>
      <c r="V2134" s="16" t="inlineStr">
        <is>
          <t>Yes</t>
        </is>
      </c>
      <c r="W2134" s="16" t="inlineStr">
        <is>
          <t>Yes</t>
        </is>
      </c>
      <c r="X2134" s="16" t="n"/>
      <c r="Y2134" s="20" t="n"/>
      <c r="Z2134" s="19" t="n"/>
      <c r="AA2134" s="18" t="n"/>
      <c r="AB2134" s="16" t="n"/>
      <c r="AC2134" s="16" t="inlineStr">
        <is>
          <t>No</t>
        </is>
      </c>
      <c r="AD2134" s="19" t="n"/>
      <c r="AE2134" s="19" t="n"/>
      <c r="AF2134" s="19" t="n"/>
      <c r="AG2134" s="19" t="n"/>
      <c r="AH2134" s="23" t="n"/>
      <c r="AI2134" s="23" t="n"/>
      <c r="AJ2134" s="19" t="n"/>
    </row>
    <row r="2135">
      <c r="A2135" s="16" t="inlineStr">
        <is>
          <t>LIBERTSHOE</t>
        </is>
      </c>
      <c r="B2135" s="16" t="inlineStr">
        <is>
          <t>Liberty Shoes Ltd.</t>
        </is>
      </c>
      <c r="C2135" s="16" t="inlineStr">
        <is>
          <t>Footwear</t>
        </is>
      </c>
      <c r="D2135" s="16" t="inlineStr">
        <is>
          <t>Retailing</t>
        </is>
      </c>
      <c r="E2135" s="16" t="inlineStr">
        <is>
          <t>INE557B01019</t>
        </is>
      </c>
      <c r="F2135" s="17" t="n">
        <v>397.49</v>
      </c>
      <c r="G2135" s="18" t="n">
        <v>233.27</v>
      </c>
      <c r="H2135" s="19" t="n">
        <v>-0.0044</v>
      </c>
      <c r="I2135" s="20" t="n">
        <v>22</v>
      </c>
      <c r="J2135" s="16" t="inlineStr">
        <is>
          <t>red</t>
        </is>
      </c>
      <c r="K2135" s="20" t="n">
        <v>302</v>
      </c>
      <c r="L2135" s="18" t="n">
        <v>28.69</v>
      </c>
      <c r="M2135" s="18" t="n">
        <v>240.18</v>
      </c>
      <c r="N2135" s="18" t="n">
        <v>256.33</v>
      </c>
      <c r="O2135" s="18" t="n">
        <v>257.08</v>
      </c>
      <c r="P2135" s="18" t="n">
        <v>376.4</v>
      </c>
      <c r="Q2135" s="18" t="n">
        <v>213.11</v>
      </c>
      <c r="R2135" s="21">
        <f>IF(OR(G2135="",P2135=""),"",G2135/P2135-1)</f>
        <v/>
      </c>
      <c r="S2135" s="19" t="n">
        <v>0.5008</v>
      </c>
      <c r="T2135" s="22" t="n">
        <v>-0.0276</v>
      </c>
      <c r="U2135" s="16" t="inlineStr">
        <is>
          <t>No</t>
        </is>
      </c>
      <c r="V2135" s="16" t="inlineStr">
        <is>
          <t>No</t>
        </is>
      </c>
      <c r="W2135" s="16" t="inlineStr">
        <is>
          <t>No</t>
        </is>
      </c>
      <c r="X2135" s="16" t="inlineStr">
        <is>
          <t>No</t>
        </is>
      </c>
      <c r="Y2135" s="20" t="n">
        <v>2</v>
      </c>
      <c r="Z2135" s="19" t="n">
        <v>-0.0029</v>
      </c>
      <c r="AA2135" s="18" t="n"/>
      <c r="AB2135" s="16" t="n"/>
      <c r="AC2135" s="16" t="inlineStr">
        <is>
          <t>No</t>
        </is>
      </c>
      <c r="AD2135" s="19" t="n"/>
      <c r="AE2135" s="19" t="n"/>
      <c r="AF2135" s="19" t="n"/>
      <c r="AG2135" s="19" t="n"/>
      <c r="AH2135" s="23" t="n"/>
      <c r="AI2135" s="23" t="n"/>
      <c r="AJ2135" s="19" t="n"/>
    </row>
    <row r="2136">
      <c r="A2136" s="16" t="inlineStr">
        <is>
          <t>NEPTUNE</t>
        </is>
      </c>
      <c r="B2136" s="16" t="inlineStr">
        <is>
          <t>Neptune Petrochemicals Ltd.</t>
        </is>
      </c>
      <c r="C2136" s="16" t="inlineStr">
        <is>
          <t>Petrochemicals</t>
        </is>
      </c>
      <c r="D2136" s="16" t="inlineStr">
        <is>
          <t>Chemicals &amp; Petrochemicals</t>
        </is>
      </c>
      <c r="E2136" s="16" t="inlineStr">
        <is>
          <t>INE156901014</t>
        </is>
      </c>
      <c r="F2136" s="17" t="n">
        <v>396.44</v>
      </c>
      <c r="G2136" s="18" t="n"/>
      <c r="H2136" s="19" t="n"/>
      <c r="I2136" s="20" t="n"/>
      <c r="J2136" s="16" t="n"/>
      <c r="K2136" s="20" t="n"/>
      <c r="L2136" s="18" t="n"/>
      <c r="M2136" s="18" t="n"/>
      <c r="N2136" s="18" t="n"/>
      <c r="O2136" s="18" t="n"/>
      <c r="P2136" s="18" t="n"/>
      <c r="Q2136" s="18" t="n"/>
      <c r="R2136" s="21">
        <f>IF(OR(G2136="",P2136=""),"",G2136/P2136-1)</f>
        <v/>
      </c>
      <c r="S2136" s="19" t="n"/>
      <c r="T2136" s="22" t="n"/>
      <c r="U2136" s="16" t="n"/>
      <c r="V2136" s="16" t="n"/>
      <c r="W2136" s="16" t="n"/>
      <c r="X2136" s="16" t="n"/>
      <c r="Y2136" s="20" t="n"/>
      <c r="Z2136" s="19" t="n"/>
      <c r="AA2136" s="18" t="n"/>
      <c r="AB2136" s="16" t="n"/>
      <c r="AC2136" s="16" t="inlineStr">
        <is>
          <t>No</t>
        </is>
      </c>
      <c r="AD2136" s="19" t="n"/>
      <c r="AE2136" s="19" t="n"/>
      <c r="AF2136" s="19" t="n"/>
      <c r="AG2136" s="19" t="n"/>
      <c r="AH2136" s="23" t="n"/>
      <c r="AI2136" s="23" t="n"/>
      <c r="AJ2136" s="19" t="n"/>
    </row>
    <row r="2137">
      <c r="A2137" s="16" t="inlineStr">
        <is>
          <t>MENNPIS</t>
        </is>
      </c>
      <c r="B2137" s="16" t="inlineStr">
        <is>
          <t>Menon Pistons Ltd.</t>
        </is>
      </c>
      <c r="C2137" s="16" t="inlineStr">
        <is>
          <t>Auto Parts &amp; Equipment</t>
        </is>
      </c>
      <c r="D2137" s="16" t="inlineStr">
        <is>
          <t>Automobiles &amp; Auto Components</t>
        </is>
      </c>
      <c r="E2137" s="16" t="inlineStr">
        <is>
          <t>INE650G01029</t>
        </is>
      </c>
      <c r="F2137" s="17" t="n">
        <v>395.35</v>
      </c>
      <c r="G2137" s="18" t="n">
        <v>77.52</v>
      </c>
      <c r="H2137" s="19" t="n">
        <v>0.039</v>
      </c>
      <c r="I2137" s="20" t="n">
        <v>79</v>
      </c>
      <c r="J2137" s="16" t="inlineStr">
        <is>
          <t>amber</t>
        </is>
      </c>
      <c r="K2137" s="20" t="n">
        <v>44</v>
      </c>
      <c r="L2137" s="18" t="n">
        <v>65.06</v>
      </c>
      <c r="M2137" s="18" t="n">
        <v>73.81</v>
      </c>
      <c r="N2137" s="18" t="n">
        <v>72.08</v>
      </c>
      <c r="O2137" s="18" t="n">
        <v>60.6</v>
      </c>
      <c r="P2137" s="18" t="n">
        <v>78.16</v>
      </c>
      <c r="Q2137" s="18" t="n">
        <v>46.17</v>
      </c>
      <c r="R2137" s="21">
        <f>IF(OR(G2137="",P2137=""),"",G2137/P2137-1)</f>
        <v/>
      </c>
      <c r="S2137" s="19" t="n">
        <v>1.4864</v>
      </c>
      <c r="T2137" s="22" t="n">
        <v>0.0197</v>
      </c>
      <c r="U2137" s="16" t="inlineStr">
        <is>
          <t>Yes</t>
        </is>
      </c>
      <c r="V2137" s="16" t="inlineStr">
        <is>
          <t>Yes</t>
        </is>
      </c>
      <c r="W2137" s="16" t="inlineStr">
        <is>
          <t>Yes</t>
        </is>
      </c>
      <c r="X2137" s="16" t="inlineStr">
        <is>
          <t>Yes</t>
        </is>
      </c>
      <c r="Y2137" s="20" t="n">
        <v>46</v>
      </c>
      <c r="Z2137" s="19" t="n">
        <v>0.1895</v>
      </c>
      <c r="AA2137" s="18" t="n"/>
      <c r="AB2137" s="16" t="n"/>
      <c r="AC2137" s="16" t="inlineStr">
        <is>
          <t>No</t>
        </is>
      </c>
      <c r="AD2137" s="19" t="n"/>
      <c r="AE2137" s="19" t="n"/>
      <c r="AF2137" s="19" t="n"/>
      <c r="AG2137" s="19" t="n"/>
      <c r="AH2137" s="23" t="n"/>
      <c r="AI2137" s="23" t="n"/>
      <c r="AJ2137" s="19" t="n"/>
    </row>
    <row r="2138">
      <c r="A2138" s="16" t="inlineStr">
        <is>
          <t>ASGARD</t>
        </is>
      </c>
      <c r="B2138" s="16" t="inlineStr">
        <is>
          <t>Asgard Alcobev Ltd.</t>
        </is>
      </c>
      <c r="C2138" s="16" t="inlineStr">
        <is>
          <t>Commodity Trading  &amp; Distribution</t>
        </is>
      </c>
      <c r="D2138" s="16" t="inlineStr">
        <is>
          <t>Commercial Services &amp; Supplies</t>
        </is>
      </c>
      <c r="E2138" s="16" t="inlineStr">
        <is>
          <t>INE767M01029</t>
        </is>
      </c>
      <c r="F2138" s="17" t="n">
        <v>395.3</v>
      </c>
      <c r="G2138" s="18" t="n">
        <v>33</v>
      </c>
      <c r="H2138" s="19" t="n">
        <v>-0.0137</v>
      </c>
      <c r="I2138" s="20" t="n">
        <v>10</v>
      </c>
      <c r="J2138" s="16" t="inlineStr">
        <is>
          <t>red</t>
        </is>
      </c>
      <c r="K2138" s="20" t="n">
        <v>115</v>
      </c>
      <c r="L2138" s="18" t="n">
        <v>66.45</v>
      </c>
      <c r="M2138" s="18" t="n">
        <v>32.59</v>
      </c>
      <c r="N2138" s="18" t="n">
        <v>31.75</v>
      </c>
      <c r="O2138" s="18" t="n">
        <v>41.21</v>
      </c>
      <c r="P2138" s="18" t="n">
        <v>59.13</v>
      </c>
      <c r="Q2138" s="18" t="n">
        <v>30.03</v>
      </c>
      <c r="R2138" s="21">
        <f>IF(OR(G2138="",P2138=""),"",G2138/P2138-1)</f>
        <v/>
      </c>
      <c r="S2138" s="19" t="n">
        <v>2.0358</v>
      </c>
      <c r="T2138" s="22" t="n">
        <v>-0.026</v>
      </c>
      <c r="U2138" s="16" t="inlineStr">
        <is>
          <t>No</t>
        </is>
      </c>
      <c r="V2138" s="16" t="inlineStr">
        <is>
          <t>Yes</t>
        </is>
      </c>
      <c r="W2138" s="16" t="inlineStr">
        <is>
          <t>Yes</t>
        </is>
      </c>
      <c r="X2138" s="16" t="inlineStr">
        <is>
          <t>No</t>
        </is>
      </c>
      <c r="Y2138" s="20" t="n">
        <v>278</v>
      </c>
      <c r="Z2138" s="19" t="n">
        <v>-0.2296</v>
      </c>
      <c r="AA2138" s="18" t="n"/>
      <c r="AB2138" s="16" t="n"/>
      <c r="AC2138" s="16" t="inlineStr">
        <is>
          <t>No</t>
        </is>
      </c>
      <c r="AD2138" s="19" t="n"/>
      <c r="AE2138" s="19" t="n"/>
      <c r="AF2138" s="19" t="n"/>
      <c r="AG2138" s="19" t="n"/>
      <c r="AH2138" s="23" t="n"/>
      <c r="AI2138" s="23" t="n"/>
      <c r="AJ2138" s="19" t="n"/>
    </row>
    <row r="2139">
      <c r="A2139" s="16" t="inlineStr">
        <is>
          <t>MKVENTURES</t>
        </is>
      </c>
      <c r="B2139" s="16" t="inlineStr">
        <is>
          <t>Mkventures Capital Ltd.</t>
        </is>
      </c>
      <c r="C2139" s="16" t="inlineStr">
        <is>
          <t>Other Financial Services</t>
        </is>
      </c>
      <c r="D2139" s="16" t="inlineStr">
        <is>
          <t>Banking and Finance</t>
        </is>
      </c>
      <c r="E2139" s="16" t="inlineStr">
        <is>
          <t>INE874A01010</t>
        </is>
      </c>
      <c r="F2139" s="17" t="n">
        <v>394.87</v>
      </c>
      <c r="G2139" s="18" t="n">
        <v>1027.4</v>
      </c>
      <c r="H2139" s="19" t="n">
        <v>0.0444</v>
      </c>
      <c r="I2139" s="20" t="n">
        <v>36</v>
      </c>
      <c r="J2139" s="16" t="inlineStr">
        <is>
          <t>red</t>
        </is>
      </c>
      <c r="K2139" s="20" t="n">
        <v>47</v>
      </c>
      <c r="L2139" s="18" t="n">
        <v>39.57</v>
      </c>
      <c r="M2139" s="18" t="n">
        <v>1021.88</v>
      </c>
      <c r="N2139" s="18" t="n">
        <v>1095.97</v>
      </c>
      <c r="O2139" s="18" t="n">
        <v>1021.84</v>
      </c>
      <c r="P2139" s="18" t="n">
        <v>1509.24</v>
      </c>
      <c r="Q2139" s="18" t="n">
        <v>747.9</v>
      </c>
      <c r="R2139" s="21">
        <f>IF(OR(G2139="",P2139=""),"",G2139/P2139-1)</f>
        <v/>
      </c>
      <c r="S2139" s="19" t="n">
        <v>0.3375</v>
      </c>
      <c r="T2139" s="22" t="n">
        <v>-0.0281</v>
      </c>
      <c r="U2139" s="16" t="inlineStr">
        <is>
          <t>No</t>
        </is>
      </c>
      <c r="V2139" s="16" t="inlineStr">
        <is>
          <t>No</t>
        </is>
      </c>
      <c r="W2139" s="16" t="inlineStr">
        <is>
          <t>Yes</t>
        </is>
      </c>
      <c r="X2139" s="16" t="inlineStr">
        <is>
          <t>Yes</t>
        </is>
      </c>
      <c r="Y2139" s="20" t="n">
        <v>29</v>
      </c>
      <c r="Z2139" s="19" t="n">
        <v>0.0725</v>
      </c>
      <c r="AA2139" s="18" t="n"/>
      <c r="AB2139" s="16" t="n"/>
      <c r="AC2139" s="16" t="inlineStr">
        <is>
          <t>No</t>
        </is>
      </c>
      <c r="AD2139" s="19" t="n"/>
      <c r="AE2139" s="19" t="n"/>
      <c r="AF2139" s="19" t="n"/>
      <c r="AG2139" s="19" t="n"/>
      <c r="AH2139" s="23" t="n"/>
      <c r="AI2139" s="23" t="n"/>
      <c r="AJ2139" s="19" t="n"/>
    </row>
    <row r="2141" ht="30" customHeight="1">
      <c r="A2141" s="24" t="inlineStr">
        <is>
          <t>Blue = value computed by meridian-engine.js (the same module the app runs). Black = formula computed inside this workbook. Columns tagged G1a/G1b/G2/G3/G4/G5 are the five Golden Breakout gates; the Dashboard rebuilds the funnel from them.</t>
        </is>
      </c>
    </row>
  </sheetData>
  <autoFilter ref="A1:AJ2139"/>
  <mergeCells count="1">
    <mergeCell ref="A2141:H2141"/>
  </mergeCells>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34" customWidth="1" min="3" max="3"/>
    <col width="26" customWidth="1" min="4" max="4"/>
    <col width="11" customWidth="1" min="5" max="5"/>
    <col width="9" customWidth="1" min="6" max="6"/>
    <col width="12" customWidth="1" min="7" max="7"/>
    <col width="12" customWidth="1" min="8" max="8"/>
    <col width="13" customWidth="1" min="9" max="9"/>
    <col width="13" customWidth="1" min="10" max="10"/>
    <col width="11" customWidth="1" min="11" max="11"/>
    <col width="11" customWidth="1" min="12" max="12"/>
  </cols>
  <sheetData>
    <row r="1" ht="30" customHeight="1">
      <c r="A1" s="15" t="inlineStr">
        <is>
          <t>Rank</t>
        </is>
      </c>
      <c r="B1" s="15" t="inlineStr">
        <is>
          <t>Symbol</t>
        </is>
      </c>
      <c r="C1" s="15" t="inlineStr">
        <is>
          <t>Company</t>
        </is>
      </c>
      <c r="D1" s="15" t="inlineStr">
        <is>
          <t>Industry</t>
        </is>
      </c>
      <c r="E1" s="15" t="inlineStr">
        <is>
          <t>CMP (Rs)</t>
        </is>
      </c>
      <c r="F1" s="15" t="inlineStr">
        <is>
          <t>Chg %</t>
        </is>
      </c>
      <c r="G1" s="15" t="inlineStr">
        <is>
          <t>Separation %</t>
        </is>
      </c>
      <c r="H1" s="15" t="inlineStr">
        <is>
          <t>Freshness (d)</t>
        </is>
      </c>
      <c r="I1" s="15" t="inlineStr">
        <is>
          <t>200DMA Slope %</t>
        </is>
      </c>
      <c r="J1" s="15" t="inlineStr">
        <is>
          <t>Vol vs 30d Avg</t>
        </is>
      </c>
      <c r="K1" s="15" t="inlineStr">
        <is>
          <t>Fund Score</t>
        </is>
      </c>
      <c r="L1" s="15" t="inlineStr">
        <is>
          <t>Fund Tier</t>
        </is>
      </c>
    </row>
    <row r="2">
      <c r="A2" s="25">
        <f>ROW()-1</f>
        <v/>
      </c>
      <c r="B2" s="16" t="inlineStr">
        <is>
          <t>MBECL</t>
        </is>
      </c>
      <c r="C2" s="16" t="inlineStr">
        <is>
          <t>McNally Bharat Engineering Company Ltd.</t>
        </is>
      </c>
      <c r="D2" s="16" t="inlineStr">
        <is>
          <t>Construction &amp; Engineering</t>
        </is>
      </c>
      <c r="E2" s="18" t="n">
        <v>258.89</v>
      </c>
      <c r="F2" s="19" t="n">
        <v>0.05</v>
      </c>
      <c r="G2" s="19" t="n">
        <v>0.1529</v>
      </c>
      <c r="H2" s="20" t="n">
        <v>4</v>
      </c>
      <c r="I2" s="22" t="n">
        <v>0.0537</v>
      </c>
      <c r="J2" s="19" t="n">
        <v>4.0665</v>
      </c>
      <c r="K2" s="18" t="n"/>
      <c r="L2" s="16" t="n"/>
    </row>
    <row r="3">
      <c r="A3" s="25">
        <f>ROW()-1</f>
        <v/>
      </c>
      <c r="B3" s="16" t="inlineStr">
        <is>
          <t>PVP</t>
        </is>
      </c>
      <c r="C3" s="16" t="inlineStr">
        <is>
          <t>PVP Ventures Ltd.</t>
        </is>
      </c>
      <c r="D3" s="16" t="inlineStr">
        <is>
          <t>Realty</t>
        </is>
      </c>
      <c r="E3" s="18" t="n">
        <v>67.94</v>
      </c>
      <c r="F3" s="19" t="n">
        <v>0.04679999999999999</v>
      </c>
      <c r="G3" s="19" t="n">
        <v>0.1427</v>
      </c>
      <c r="H3" s="20" t="n">
        <v>9</v>
      </c>
      <c r="I3" s="22" t="n">
        <v>0.0534</v>
      </c>
      <c r="J3" s="19" t="n">
        <v>1.5541</v>
      </c>
      <c r="K3" s="18" t="n">
        <v>30.03</v>
      </c>
      <c r="L3" s="16" t="inlineStr">
        <is>
          <t>Poor</t>
        </is>
      </c>
    </row>
    <row r="4">
      <c r="A4" s="25">
        <f>ROW()-1</f>
        <v/>
      </c>
      <c r="B4" s="16" t="inlineStr">
        <is>
          <t>UFLEX</t>
        </is>
      </c>
      <c r="C4" s="16" t="inlineStr">
        <is>
          <t>Uflex Ltd.</t>
        </is>
      </c>
      <c r="D4" s="16" t="inlineStr">
        <is>
          <t>Containers &amp; Packaging</t>
        </is>
      </c>
      <c r="E4" s="18" t="n">
        <v>675.6</v>
      </c>
      <c r="F4" s="19" t="n">
        <v>-0.0162</v>
      </c>
      <c r="G4" s="19" t="n">
        <v>0.1141</v>
      </c>
      <c r="H4" s="20" t="n">
        <v>14</v>
      </c>
      <c r="I4" s="22" t="n">
        <v>0.0148</v>
      </c>
      <c r="J4" s="19" t="n">
        <v>0.2756</v>
      </c>
      <c r="K4" s="18" t="n">
        <v>18.83</v>
      </c>
      <c r="L4" s="16" t="inlineStr">
        <is>
          <t>Poor</t>
        </is>
      </c>
    </row>
    <row r="5">
      <c r="A5" s="25">
        <f>ROW()-1</f>
        <v/>
      </c>
      <c r="B5" s="16" t="inlineStr">
        <is>
          <t>DOLPHIN</t>
        </is>
      </c>
      <c r="C5" s="16" t="inlineStr">
        <is>
          <t>Dolphin Offshore Enterprises (India) Ltd.</t>
        </is>
      </c>
      <c r="D5" s="16" t="inlineStr">
        <is>
          <t>Oil Equipment &amp; Services</t>
        </is>
      </c>
      <c r="E5" s="18" t="n">
        <v>674</v>
      </c>
      <c r="F5" s="19" t="n">
        <v>0.08779999999999999</v>
      </c>
      <c r="G5" s="19" t="n">
        <v>0.09519999999999999</v>
      </c>
      <c r="H5" s="20" t="n">
        <v>12</v>
      </c>
      <c r="I5" s="22" t="n">
        <v>0.0475</v>
      </c>
      <c r="J5" s="19" t="n">
        <v>1.5599</v>
      </c>
      <c r="K5" s="18" t="n">
        <v>48.47</v>
      </c>
      <c r="L5" s="16" t="inlineStr">
        <is>
          <t>Average</t>
        </is>
      </c>
    </row>
    <row r="6">
      <c r="A6" s="25">
        <f>ROW()-1</f>
        <v/>
      </c>
      <c r="B6" s="16" t="inlineStr">
        <is>
          <t>ARIES</t>
        </is>
      </c>
      <c r="C6" s="16" t="inlineStr">
        <is>
          <t>Aries Agro Ltd.</t>
        </is>
      </c>
      <c r="D6" s="16" t="inlineStr">
        <is>
          <t>Agrochemicals</t>
        </is>
      </c>
      <c r="E6" s="18" t="n">
        <v>500.1</v>
      </c>
      <c r="F6" s="19" t="n">
        <v>0.006999999999999999</v>
      </c>
      <c r="G6" s="19" t="n">
        <v>0.09140000000000001</v>
      </c>
      <c r="H6" s="20" t="n">
        <v>15</v>
      </c>
      <c r="I6" s="22" t="n">
        <v>0.0196</v>
      </c>
      <c r="J6" s="19" t="n">
        <v>0.5008</v>
      </c>
      <c r="K6" s="18" t="n"/>
      <c r="L6" s="16" t="n"/>
    </row>
    <row r="7">
      <c r="A7" s="25">
        <f>ROW()-1</f>
        <v/>
      </c>
      <c r="B7" s="16" t="inlineStr">
        <is>
          <t>VALIANTLAB</t>
        </is>
      </c>
      <c r="C7" s="16" t="inlineStr">
        <is>
          <t>Valiant Laboratories Ltd.</t>
        </is>
      </c>
      <c r="D7" s="16" t="inlineStr">
        <is>
          <t>Pharmaceuticals</t>
        </is>
      </c>
      <c r="E7" s="18" t="n">
        <v>105.97</v>
      </c>
      <c r="F7" s="19" t="n">
        <v>0.0499</v>
      </c>
      <c r="G7" s="19" t="n">
        <v>0.0897</v>
      </c>
      <c r="H7" s="20" t="n">
        <v>11</v>
      </c>
      <c r="I7" s="22" t="n">
        <v>0.0138</v>
      </c>
      <c r="J7" s="19" t="n">
        <v>0.4697</v>
      </c>
      <c r="K7" s="18" t="n"/>
      <c r="L7" s="16" t="n"/>
    </row>
    <row r="8">
      <c r="A8" s="25">
        <f>ROW()-1</f>
        <v/>
      </c>
      <c r="B8" s="16" t="inlineStr">
        <is>
          <t>TNPETRO</t>
        </is>
      </c>
      <c r="C8" s="16" t="inlineStr">
        <is>
          <t>Tamilnadu Petroproducts Ltd.</t>
        </is>
      </c>
      <c r="D8" s="16" t="inlineStr">
        <is>
          <t>Commodity Chemicals</t>
        </is>
      </c>
      <c r="E8" s="18" t="n">
        <v>132.7</v>
      </c>
      <c r="F8" s="19" t="n">
        <v>-0.0371</v>
      </c>
      <c r="G8" s="19" t="n">
        <v>0.08400000000000001</v>
      </c>
      <c r="H8" s="20" t="n">
        <v>15</v>
      </c>
      <c r="I8" s="22" t="n">
        <v>0.0015</v>
      </c>
      <c r="J8" s="19" t="n">
        <v>0.5632</v>
      </c>
      <c r="K8" s="18" t="n">
        <v>29.32</v>
      </c>
      <c r="L8" s="16" t="inlineStr">
        <is>
          <t>Poor</t>
        </is>
      </c>
    </row>
    <row r="9">
      <c r="A9" s="25">
        <f>ROW()-1</f>
        <v/>
      </c>
      <c r="B9" s="16" t="inlineStr">
        <is>
          <t>SYNCOMF</t>
        </is>
      </c>
      <c r="C9" s="16" t="inlineStr">
        <is>
          <t>Syncom Formulation (India) Ltd.</t>
        </is>
      </c>
      <c r="D9" s="16" t="inlineStr">
        <is>
          <t>Pharmaceuticals</t>
        </is>
      </c>
      <c r="E9" s="18" t="n">
        <v>20.58</v>
      </c>
      <c r="F9" s="19" t="n">
        <v>-0.0365</v>
      </c>
      <c r="G9" s="19" t="n">
        <v>0.0707</v>
      </c>
      <c r="H9" s="20" t="n">
        <v>14</v>
      </c>
      <c r="I9" s="22" t="n">
        <v>0.0054</v>
      </c>
      <c r="J9" s="19" t="n">
        <v>1.5453</v>
      </c>
      <c r="K9" s="18" t="n">
        <v>72.29000000000001</v>
      </c>
      <c r="L9" s="16" t="inlineStr">
        <is>
          <t>High</t>
        </is>
      </c>
    </row>
    <row r="10">
      <c r="A10" s="25">
        <f>ROW()-1</f>
        <v/>
      </c>
      <c r="B10" s="16" t="inlineStr">
        <is>
          <t>CHANDRIMA</t>
        </is>
      </c>
      <c r="C10" s="16" t="inlineStr">
        <is>
          <t>Chandrima Mercantiles Ltd.</t>
        </is>
      </c>
      <c r="D10" s="16" t="inlineStr">
        <is>
          <t>Commodity Trading  &amp; Distribution</t>
        </is>
      </c>
      <c r="E10" s="18" t="n">
        <v>17.01</v>
      </c>
      <c r="F10" s="19" t="n">
        <v>0.04099999999999999</v>
      </c>
      <c r="G10" s="19" t="n">
        <v>0.0706</v>
      </c>
      <c r="H10" s="20" t="n">
        <v>3</v>
      </c>
      <c r="I10" s="22" t="n">
        <v>0.0046</v>
      </c>
      <c r="J10" s="19" t="n">
        <v>1.9217</v>
      </c>
      <c r="K10" s="18" t="n"/>
      <c r="L10" s="16" t="n"/>
    </row>
    <row r="11">
      <c r="A11" s="25">
        <f>ROW()-1</f>
        <v/>
      </c>
      <c r="B11" s="16" t="inlineStr">
        <is>
          <t>FOSECOC</t>
        </is>
      </c>
      <c r="C11" s="16" t="inlineStr">
        <is>
          <t>Foseco Crucible (India) Ltd.</t>
        </is>
      </c>
      <c r="D11" s="16" t="inlineStr">
        <is>
          <t>Other Industrial Goods</t>
        </is>
      </c>
      <c r="E11" s="18" t="n">
        <v>1808.45</v>
      </c>
      <c r="F11" s="19" t="n">
        <v>-0.0112</v>
      </c>
      <c r="G11" s="19" t="n">
        <v>0.0572</v>
      </c>
      <c r="H11" s="20" t="n">
        <v>10</v>
      </c>
      <c r="I11" s="22" t="n">
        <v>0.0071</v>
      </c>
      <c r="J11" s="19" t="n">
        <v>0.6718999999999999</v>
      </c>
      <c r="K11" s="18" t="n"/>
      <c r="L11" s="16" t="n"/>
    </row>
    <row r="12">
      <c r="A12" s="25">
        <f>ROW()-1</f>
        <v/>
      </c>
      <c r="B12" s="16" t="inlineStr">
        <is>
          <t>AARTIPHARM</t>
        </is>
      </c>
      <c r="C12" s="16" t="inlineStr">
        <is>
          <t>Aarti Pharmalabs Ltd.</t>
        </is>
      </c>
      <c r="D12" s="16" t="inlineStr">
        <is>
          <t>Pharmaceuticals</t>
        </is>
      </c>
      <c r="E12" s="18" t="n">
        <v>858.8</v>
      </c>
      <c r="F12" s="19" t="n">
        <v>-0.0107</v>
      </c>
      <c r="G12" s="19" t="n">
        <v>0.0501</v>
      </c>
      <c r="H12" s="20" t="n">
        <v>12</v>
      </c>
      <c r="I12" s="22" t="n">
        <v>0.0071</v>
      </c>
      <c r="J12" s="19" t="n">
        <v>0.4589</v>
      </c>
      <c r="K12" s="18" t="n">
        <v>37.43</v>
      </c>
      <c r="L12" s="16" t="inlineStr">
        <is>
          <t>Weak</t>
        </is>
      </c>
    </row>
    <row r="13">
      <c r="A13" s="25">
        <f>ROW()-1</f>
        <v/>
      </c>
      <c r="B13" s="16" t="inlineStr">
        <is>
          <t>BIL</t>
        </is>
      </c>
      <c r="C13" s="16" t="inlineStr">
        <is>
          <t>Bhartiya International Ltd.</t>
        </is>
      </c>
      <c r="D13" s="16" t="inlineStr">
        <is>
          <t>Other Apparels &amp; Accessories</t>
        </is>
      </c>
      <c r="E13" s="18" t="n">
        <v>907.85</v>
      </c>
      <c r="F13" s="19" t="n">
        <v>-0.008699999999999999</v>
      </c>
      <c r="G13" s="19" t="n">
        <v>0.0373</v>
      </c>
      <c r="H13" s="20" t="n">
        <v>12</v>
      </c>
      <c r="I13" s="22" t="n">
        <v>0.0035</v>
      </c>
      <c r="J13" s="19" t="n">
        <v>0.6074000000000001</v>
      </c>
      <c r="K13" s="18" t="n">
        <v>44.42</v>
      </c>
      <c r="L13" s="16" t="inlineStr">
        <is>
          <t>Average</t>
        </is>
      </c>
    </row>
    <row r="15" ht="30" customHeight="1">
      <c r="A15" s="24" t="inlineStr">
        <is>
          <t>Ranked by separation (widest first), freshness breaking ties. Gates: 50DMA&gt;200DMA with price above both, 200DMA rising, separation &gt;= 3%, cross no older than 15 trading days, price above 8DMA. Fund Score is context, not a gate - a blank score means the company is outside the fundamentals sample, not that it scored zero.</t>
        </is>
      </c>
    </row>
  </sheetData>
  <autoFilter ref="A1:L13"/>
  <mergeCells count="1">
    <mergeCell ref="A15:H15"/>
  </mergeCells>
  <pageMargins left="0.75" right="0.75" top="1" bottom="1" header="0.5" footer="0.5"/>
</worksheet>
</file>

<file path=xl/worksheets/sheet5.xml><?xml version="1.0" encoding="utf-8"?>
<worksheet xmlns="http://schemas.openxmlformats.org/spreadsheetml/2006/main">
  <sheetPr>
    <tabColor rgb="007C3AED"/>
    <outlinePr summaryBelow="1" summaryRight="1"/>
    <pageSetUpPr/>
  </sheetPr>
  <dimension ref="A1:O123"/>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4" customWidth="1" min="3" max="3"/>
    <col width="12" customWidth="1" min="4" max="4"/>
    <col width="9" customWidth="1" min="5" max="5"/>
    <col width="9" customWidth="1" min="6" max="6"/>
    <col width="9" customWidth="1" min="7" max="7"/>
    <col width="9" customWidth="1" min="8" max="8"/>
    <col width="9" customWidth="1" min="9" max="9"/>
    <col width="11" customWidth="1" min="10" max="10"/>
    <col width="11" customWidth="1" min="11" max="11"/>
    <col width="13" customWidth="1" min="12" max="12"/>
    <col width="11" customWidth="1" min="13" max="13"/>
    <col width="12" customWidth="1" min="14" max="14"/>
    <col width="12" customWidth="1" min="15" max="15"/>
  </cols>
  <sheetData>
    <row r="1" ht="30" customHeight="1">
      <c r="A1" s="15" t="inlineStr">
        <is>
          <t>Industry</t>
        </is>
      </c>
      <c r="B1" s="15" t="inlineStr">
        <is>
          <t>Constituents</t>
        </is>
      </c>
      <c r="C1" s="15" t="inlineStr">
        <is>
          <t>Share of Priced Universe</t>
        </is>
      </c>
      <c r="D1" s="15" t="inlineStr">
        <is>
          <t>Index Level</t>
        </is>
      </c>
      <c r="E1" s="15" t="inlineStr">
        <is>
          <t>Chg %</t>
        </is>
      </c>
      <c r="F1" s="15" t="inlineStr">
        <is>
          <t>RS Rating</t>
        </is>
      </c>
      <c r="G1" s="15" t="inlineStr">
        <is>
          <t>RS Band</t>
        </is>
      </c>
      <c r="H1" s="15" t="inlineStr">
        <is>
          <t>RS Days</t>
        </is>
      </c>
      <c r="I1" s="15" t="inlineStr">
        <is>
          <t>RSI (14)</t>
        </is>
      </c>
      <c r="J1" s="15" t="inlineStr">
        <is>
          <t>50 DMA</t>
        </is>
      </c>
      <c r="K1" s="15" t="inlineStr">
        <is>
          <t>200 DMA</t>
        </is>
      </c>
      <c r="L1" s="15" t="inlineStr">
        <is>
          <t>200DMA Slope %</t>
        </is>
      </c>
      <c r="M1" s="15" t="inlineStr">
        <is>
          <t>50 &gt; 200DMA</t>
        </is>
      </c>
      <c r="N1" s="15" t="inlineStr">
        <is>
          <t>Freshness (d)</t>
        </is>
      </c>
      <c r="O1" s="15" t="inlineStr">
        <is>
          <t>Separation %</t>
        </is>
      </c>
    </row>
    <row r="2">
      <c r="A2" s="16" t="inlineStr">
        <is>
          <t>Refineries/Petro-Products</t>
        </is>
      </c>
      <c r="B2" s="20" t="n">
        <v>9</v>
      </c>
      <c r="C2" s="21">
        <f>B2/SUM($B$2:$B$121)</f>
        <v/>
      </c>
      <c r="D2" s="18" t="n">
        <v>350.02</v>
      </c>
      <c r="E2" s="19" t="n">
        <v>0.0029</v>
      </c>
      <c r="F2" s="20" t="n">
        <v>85</v>
      </c>
      <c r="G2" s="16" t="inlineStr">
        <is>
          <t>green</t>
        </is>
      </c>
      <c r="H2" s="20" t="n">
        <v>37</v>
      </c>
      <c r="I2" s="18" t="n">
        <v>61.88</v>
      </c>
      <c r="J2" s="18" t="n">
        <v>326.66</v>
      </c>
      <c r="K2" s="18" t="n">
        <v>279.25</v>
      </c>
      <c r="L2" s="22" t="n">
        <v>0.0283</v>
      </c>
      <c r="M2" s="16" t="inlineStr">
        <is>
          <t>Yes</t>
        </is>
      </c>
      <c r="N2" s="20" t="n">
        <v>68</v>
      </c>
      <c r="O2" s="19" t="n">
        <v>0.1698</v>
      </c>
    </row>
    <row r="3">
      <c r="A3" s="16" t="inlineStr">
        <is>
          <t>Telecom Services</t>
        </is>
      </c>
      <c r="B3" s="20" t="n">
        <v>5</v>
      </c>
      <c r="C3" s="21">
        <f>B3/SUM($B$2:$B$121)</f>
        <v/>
      </c>
      <c r="D3" s="18" t="n">
        <v>254.59</v>
      </c>
      <c r="E3" s="19" t="n">
        <v>0.004</v>
      </c>
      <c r="F3" s="20" t="n">
        <v>16</v>
      </c>
      <c r="G3" s="16" t="inlineStr">
        <is>
          <t>red</t>
        </is>
      </c>
      <c r="H3" s="20" t="n">
        <v>149</v>
      </c>
      <c r="I3" s="18" t="n">
        <v>47.06</v>
      </c>
      <c r="J3" s="18" t="n">
        <v>259.64</v>
      </c>
      <c r="K3" s="18" t="n">
        <v>262.04</v>
      </c>
      <c r="L3" s="22" t="n">
        <v>-0.0123</v>
      </c>
      <c r="M3" s="16" t="inlineStr">
        <is>
          <t>No</t>
        </is>
      </c>
      <c r="N3" s="20" t="n">
        <v>9</v>
      </c>
      <c r="O3" s="19" t="n">
        <v>-0.0092</v>
      </c>
    </row>
    <row r="4">
      <c r="A4" s="16" t="inlineStr">
        <is>
          <t>Banks</t>
        </is>
      </c>
      <c r="B4" s="20" t="n">
        <v>32</v>
      </c>
      <c r="C4" s="21">
        <f>B4/SUM($B$2:$B$121)</f>
        <v/>
      </c>
      <c r="D4" s="18" t="n">
        <v>304.61</v>
      </c>
      <c r="E4" s="19" t="n">
        <v>0.0001</v>
      </c>
      <c r="F4" s="20" t="n">
        <v>51</v>
      </c>
      <c r="G4" s="16" t="inlineStr">
        <is>
          <t>red</t>
        </is>
      </c>
      <c r="H4" s="20" t="n">
        <v>32</v>
      </c>
      <c r="I4" s="18" t="n">
        <v>64.25</v>
      </c>
      <c r="J4" s="18" t="n">
        <v>298.63</v>
      </c>
      <c r="K4" s="18" t="n">
        <v>283.19</v>
      </c>
      <c r="L4" s="22" t="n">
        <v>0.0112</v>
      </c>
      <c r="M4" s="16" t="inlineStr">
        <is>
          <t>Yes</t>
        </is>
      </c>
      <c r="N4" s="20" t="n">
        <v>309</v>
      </c>
      <c r="O4" s="19" t="n">
        <v>0.0545</v>
      </c>
    </row>
    <row r="5">
      <c r="A5" s="16" t="inlineStr">
        <is>
          <t>IT Consulting &amp; Software</t>
        </is>
      </c>
      <c r="B5" s="20" t="n">
        <v>73</v>
      </c>
      <c r="C5" s="21">
        <f>B5/SUM($B$2:$B$121)</f>
        <v/>
      </c>
      <c r="D5" s="18" t="n">
        <v>1283.38</v>
      </c>
      <c r="E5" s="19" t="n">
        <v>0.0064</v>
      </c>
      <c r="F5" s="20" t="n">
        <v>46</v>
      </c>
      <c r="G5" s="16" t="inlineStr">
        <is>
          <t>red</t>
        </is>
      </c>
      <c r="H5" s="20" t="n">
        <v>156</v>
      </c>
      <c r="I5" s="18" t="n">
        <v>55.01</v>
      </c>
      <c r="J5" s="18" t="n">
        <v>1250.51</v>
      </c>
      <c r="K5" s="18" t="n">
        <v>1170.88</v>
      </c>
      <c r="L5" s="22" t="n">
        <v>0.0013</v>
      </c>
      <c r="M5" s="16" t="inlineStr">
        <is>
          <t>Yes</t>
        </is>
      </c>
      <c r="N5" s="20" t="n">
        <v>39</v>
      </c>
      <c r="O5" s="19" t="n">
        <v>0.068</v>
      </c>
    </row>
    <row r="6">
      <c r="A6" s="16" t="inlineStr">
        <is>
          <t>Finance (including NBFCs)</t>
        </is>
      </c>
      <c r="B6" s="20" t="n">
        <v>60</v>
      </c>
      <c r="C6" s="21">
        <f>B6/SUM($B$2:$B$121)</f>
        <v/>
      </c>
      <c r="D6" s="18" t="n">
        <v>338.35</v>
      </c>
      <c r="E6" s="19" t="n">
        <v>0.0102</v>
      </c>
      <c r="F6" s="20" t="n">
        <v>60</v>
      </c>
      <c r="G6" s="16" t="inlineStr">
        <is>
          <t>amber</t>
        </is>
      </c>
      <c r="H6" s="20" t="n">
        <v>2</v>
      </c>
      <c r="I6" s="18" t="n">
        <v>61.55</v>
      </c>
      <c r="J6" s="18" t="n">
        <v>331.99</v>
      </c>
      <c r="K6" s="18" t="n">
        <v>302.36</v>
      </c>
      <c r="L6" s="22" t="n">
        <v>0.0123</v>
      </c>
      <c r="M6" s="16" t="inlineStr">
        <is>
          <t>Yes</t>
        </is>
      </c>
      <c r="N6" s="20" t="n">
        <v>67</v>
      </c>
      <c r="O6" s="19" t="n">
        <v>0.098</v>
      </c>
    </row>
    <row r="7">
      <c r="A7" s="16" t="inlineStr">
        <is>
          <t>Construction &amp; Engineering</t>
        </is>
      </c>
      <c r="B7" s="20" t="n">
        <v>65</v>
      </c>
      <c r="C7" s="21">
        <f>B7/SUM($B$2:$B$121)</f>
        <v/>
      </c>
      <c r="D7" s="18" t="n">
        <v>573.1799999999999</v>
      </c>
      <c r="E7" s="19" t="n">
        <v>0.008</v>
      </c>
      <c r="F7" s="20" t="n">
        <v>45</v>
      </c>
      <c r="G7" s="16" t="inlineStr">
        <is>
          <t>red</t>
        </is>
      </c>
      <c r="H7" s="20" t="n">
        <v>310</v>
      </c>
      <c r="I7" s="18" t="n">
        <v>76.51000000000001</v>
      </c>
      <c r="J7" s="18" t="n">
        <v>552.62</v>
      </c>
      <c r="K7" s="18" t="n">
        <v>522.96</v>
      </c>
      <c r="L7" s="22" t="n">
        <v>-0.0031</v>
      </c>
      <c r="M7" s="16" t="inlineStr">
        <is>
          <t>Yes</t>
        </is>
      </c>
      <c r="N7" s="20" t="n">
        <v>58</v>
      </c>
      <c r="O7" s="19" t="n">
        <v>0.0567</v>
      </c>
    </row>
    <row r="8">
      <c r="A8" s="16" t="inlineStr">
        <is>
          <t>Life Insurance</t>
        </is>
      </c>
      <c r="B8" s="20" t="n">
        <v>6</v>
      </c>
      <c r="C8" s="21">
        <f>B8/SUM($B$2:$B$121)</f>
        <v/>
      </c>
      <c r="D8" s="18" t="n">
        <v>112.8</v>
      </c>
      <c r="E8" s="19" t="n">
        <v>0.0135</v>
      </c>
      <c r="F8" s="20" t="n">
        <v>18</v>
      </c>
      <c r="G8" s="16" t="inlineStr">
        <is>
          <t>red</t>
        </is>
      </c>
      <c r="H8" s="20" t="n">
        <v>102</v>
      </c>
      <c r="I8" s="18" t="n">
        <v>52.65</v>
      </c>
      <c r="J8" s="18" t="n">
        <v>112.84</v>
      </c>
      <c r="K8" s="18" t="n">
        <v>117.65</v>
      </c>
      <c r="L8" s="22" t="n">
        <v>-0.0062</v>
      </c>
      <c r="M8" s="16" t="inlineStr">
        <is>
          <t>No</t>
        </is>
      </c>
      <c r="N8" s="20" t="n">
        <v>96</v>
      </c>
      <c r="O8" s="19" t="n">
        <v>-0.0409</v>
      </c>
    </row>
    <row r="9">
      <c r="A9" s="16" t="inlineStr">
        <is>
          <t>Personal Products</t>
        </is>
      </c>
      <c r="B9" s="20" t="n">
        <v>13</v>
      </c>
      <c r="C9" s="21">
        <f>B9/SUM($B$2:$B$121)</f>
        <v/>
      </c>
      <c r="D9" s="18" t="n">
        <v>184.32</v>
      </c>
      <c r="E9" s="19" t="n">
        <v>-0.001</v>
      </c>
      <c r="F9" s="20" t="n">
        <v>31</v>
      </c>
      <c r="G9" s="16" t="inlineStr">
        <is>
          <t>red</t>
        </is>
      </c>
      <c r="H9" s="20" t="n">
        <v>43</v>
      </c>
      <c r="I9" s="18" t="n">
        <v>12.81</v>
      </c>
      <c r="J9" s="18" t="n">
        <v>190.62</v>
      </c>
      <c r="K9" s="18" t="n">
        <v>179.35</v>
      </c>
      <c r="L9" s="22" t="n">
        <v>0.0086</v>
      </c>
      <c r="M9" s="16" t="inlineStr">
        <is>
          <t>Yes</t>
        </is>
      </c>
      <c r="N9" s="20" t="n">
        <v>70</v>
      </c>
      <c r="O9" s="19" t="n">
        <v>0.06280000000000001</v>
      </c>
    </row>
    <row r="10">
      <c r="A10" s="16" t="inlineStr">
        <is>
          <t>Pharmaceuticals</t>
        </is>
      </c>
      <c r="B10" s="20" t="n">
        <v>109</v>
      </c>
      <c r="C10" s="21">
        <f>B10/SUM($B$2:$B$121)</f>
        <v/>
      </c>
      <c r="D10" s="18" t="n">
        <v>299.02</v>
      </c>
      <c r="E10" s="19" t="n">
        <v>0.0009</v>
      </c>
      <c r="F10" s="20" t="n">
        <v>88</v>
      </c>
      <c r="G10" s="16" t="inlineStr">
        <is>
          <t>green</t>
        </is>
      </c>
      <c r="H10" s="20" t="n">
        <v>50</v>
      </c>
      <c r="I10" s="18" t="n">
        <v>93.81</v>
      </c>
      <c r="J10" s="18" t="n">
        <v>279.24</v>
      </c>
      <c r="K10" s="18" t="n">
        <v>233.31</v>
      </c>
      <c r="L10" s="22" t="n">
        <v>0.0319</v>
      </c>
      <c r="M10" s="16" t="inlineStr">
        <is>
          <t>Yes</t>
        </is>
      </c>
      <c r="N10" s="20" t="n">
        <v>81</v>
      </c>
      <c r="O10" s="19" t="n">
        <v>0.1968</v>
      </c>
    </row>
    <row r="11">
      <c r="A11" s="16" t="inlineStr">
        <is>
          <t>Gems &amp; Jewellery</t>
        </is>
      </c>
      <c r="B11" s="20" t="n">
        <v>30</v>
      </c>
      <c r="C11" s="21">
        <f>B11/SUM($B$2:$B$121)</f>
        <v/>
      </c>
      <c r="D11" s="18" t="n">
        <v>625.3200000000001</v>
      </c>
      <c r="E11" s="19" t="n">
        <v>0.0397</v>
      </c>
      <c r="F11" s="20" t="n">
        <v>83</v>
      </c>
      <c r="G11" s="16" t="inlineStr">
        <is>
          <t>green</t>
        </is>
      </c>
      <c r="H11" s="20" t="n">
        <v>1</v>
      </c>
      <c r="I11" s="18" t="n">
        <v>77.77</v>
      </c>
      <c r="J11" s="18" t="n">
        <v>561.71</v>
      </c>
      <c r="K11" s="18" t="n">
        <v>501.37</v>
      </c>
      <c r="L11" s="22" t="n">
        <v>0.0139</v>
      </c>
      <c r="M11" s="16" t="inlineStr">
        <is>
          <t>Yes</t>
        </is>
      </c>
      <c r="N11" s="20" t="n">
        <v>40</v>
      </c>
      <c r="O11" s="19" t="n">
        <v>0.1203</v>
      </c>
    </row>
    <row r="12">
      <c r="A12" s="16" t="inlineStr">
        <is>
          <t>Power - Electric Utilities</t>
        </is>
      </c>
      <c r="B12" s="20" t="n">
        <v>35</v>
      </c>
      <c r="C12" s="21">
        <f>B12/SUM($B$2:$B$121)</f>
        <v/>
      </c>
      <c r="D12" s="18" t="n">
        <v>451.79</v>
      </c>
      <c r="E12" s="19" t="n">
        <v>0.0115</v>
      </c>
      <c r="F12" s="20" t="n">
        <v>13</v>
      </c>
      <c r="G12" s="16" t="inlineStr">
        <is>
          <t>red</t>
        </is>
      </c>
      <c r="H12" s="20" t="n">
        <v>68</v>
      </c>
      <c r="I12" s="18" t="n">
        <v>52</v>
      </c>
      <c r="J12" s="18" t="n">
        <v>462.66</v>
      </c>
      <c r="K12" s="18" t="n">
        <v>457.58</v>
      </c>
      <c r="L12" s="22" t="n">
        <v>-0.0139</v>
      </c>
      <c r="M12" s="16" t="inlineStr">
        <is>
          <t>Yes</t>
        </is>
      </c>
      <c r="N12" s="20" t="n">
        <v>66</v>
      </c>
      <c r="O12" s="19" t="n">
        <v>0.0111</v>
      </c>
    </row>
    <row r="13">
      <c r="A13" s="16" t="inlineStr">
        <is>
          <t>Cars &amp; Utility Vehicles</t>
        </is>
      </c>
      <c r="B13" s="20" t="n">
        <v>6</v>
      </c>
      <c r="C13" s="21">
        <f>B13/SUM($B$2:$B$121)</f>
        <v/>
      </c>
      <c r="D13" s="18" t="n">
        <v>796</v>
      </c>
      <c r="E13" s="19" t="n">
        <v>0.0008</v>
      </c>
      <c r="F13" s="20" t="n">
        <v>10</v>
      </c>
      <c r="G13" s="16" t="inlineStr">
        <is>
          <t>red</t>
        </is>
      </c>
      <c r="H13" s="20" t="n">
        <v>124</v>
      </c>
      <c r="I13" s="18" t="n">
        <v>29.86</v>
      </c>
      <c r="J13" s="18" t="n">
        <v>810.39</v>
      </c>
      <c r="K13" s="18" t="n">
        <v>815.05</v>
      </c>
      <c r="L13" s="22" t="n">
        <v>-0.006500000000000001</v>
      </c>
      <c r="M13" s="16" t="inlineStr">
        <is>
          <t>No</t>
        </is>
      </c>
      <c r="N13" s="20" t="n">
        <v>166</v>
      </c>
      <c r="O13" s="19" t="n">
        <v>-0.005699999999999999</v>
      </c>
    </row>
    <row r="14">
      <c r="A14" s="16" t="inlineStr">
        <is>
          <t>Commodity Trading  &amp; Distribution</t>
        </is>
      </c>
      <c r="B14" s="20" t="n">
        <v>34</v>
      </c>
      <c r="C14" s="21">
        <f>B14/SUM($B$2:$B$121)</f>
        <v/>
      </c>
      <c r="D14" s="18" t="n">
        <v>830.62</v>
      </c>
      <c r="E14" s="19" t="n">
        <v>0.0021</v>
      </c>
      <c r="F14" s="20" t="n">
        <v>58</v>
      </c>
      <c r="G14" s="16" t="inlineStr">
        <is>
          <t>red</t>
        </is>
      </c>
      <c r="H14" s="20" t="n">
        <v>19</v>
      </c>
      <c r="I14" s="18" t="n">
        <v>76.41</v>
      </c>
      <c r="J14" s="18" t="n">
        <v>814.73</v>
      </c>
      <c r="K14" s="18" t="n">
        <v>757.1900000000001</v>
      </c>
      <c r="L14" s="22" t="n">
        <v>0.0083</v>
      </c>
      <c r="M14" s="16" t="inlineStr">
        <is>
          <t>Yes</t>
        </is>
      </c>
      <c r="N14" s="20" t="n">
        <v>751</v>
      </c>
      <c r="O14" s="19" t="n">
        <v>0.076</v>
      </c>
    </row>
    <row r="15">
      <c r="A15" s="16" t="inlineStr">
        <is>
          <t>Marine Port &amp; Services</t>
        </is>
      </c>
      <c r="B15" s="20" t="n">
        <v>7</v>
      </c>
      <c r="C15" s="21">
        <f>B15/SUM($B$2:$B$121)</f>
        <v/>
      </c>
      <c r="D15" s="18" t="n">
        <v>522.92</v>
      </c>
      <c r="E15" s="19" t="n">
        <v>0.0053</v>
      </c>
      <c r="F15" s="20" t="n">
        <v>87</v>
      </c>
      <c r="G15" s="16" t="inlineStr">
        <is>
          <t>green</t>
        </is>
      </c>
      <c r="H15" s="20" t="n">
        <v>8</v>
      </c>
      <c r="I15" s="18" t="n">
        <v>76.79000000000001</v>
      </c>
      <c r="J15" s="18" t="n">
        <v>476.07</v>
      </c>
      <c r="K15" s="18" t="n">
        <v>421.39</v>
      </c>
      <c r="L15" s="22" t="n">
        <v>0.022</v>
      </c>
      <c r="M15" s="16" t="inlineStr">
        <is>
          <t>Yes</t>
        </is>
      </c>
      <c r="N15" s="20" t="n">
        <v>79</v>
      </c>
      <c r="O15" s="19" t="n">
        <v>0.1298</v>
      </c>
    </row>
    <row r="16">
      <c r="A16" s="16" t="inlineStr">
        <is>
          <t>Cement &amp; Cement Products</t>
        </is>
      </c>
      <c r="B16" s="20" t="n">
        <v>32</v>
      </c>
      <c r="C16" s="21">
        <f>B16/SUM($B$2:$B$121)</f>
        <v/>
      </c>
      <c r="D16" s="18" t="n">
        <v>112.99</v>
      </c>
      <c r="E16" s="19" t="n">
        <v>0.0086</v>
      </c>
      <c r="F16" s="20" t="n">
        <v>11</v>
      </c>
      <c r="G16" s="16" t="inlineStr">
        <is>
          <t>red</t>
        </is>
      </c>
      <c r="H16" s="20" t="n">
        <v>251</v>
      </c>
      <c r="I16" s="18" t="n">
        <v>46.69</v>
      </c>
      <c r="J16" s="18" t="n">
        <v>114.37</v>
      </c>
      <c r="K16" s="18" t="n">
        <v>115.93</v>
      </c>
      <c r="L16" s="22" t="n">
        <v>-0.0154</v>
      </c>
      <c r="M16" s="16" t="inlineStr">
        <is>
          <t>No</t>
        </is>
      </c>
      <c r="N16" s="20" t="n">
        <v>185</v>
      </c>
      <c r="O16" s="19" t="n">
        <v>-0.0135</v>
      </c>
    </row>
    <row r="17">
      <c r="A17" s="16" t="inlineStr">
        <is>
          <t>2/3 Wheelers</t>
        </is>
      </c>
      <c r="B17" s="20" t="n">
        <v>8</v>
      </c>
      <c r="C17" s="21">
        <f>B17/SUM($B$2:$B$121)</f>
        <v/>
      </c>
      <c r="D17" s="18" t="n">
        <v>507.02</v>
      </c>
      <c r="E17" s="19" t="n">
        <v>-0.0025</v>
      </c>
      <c r="F17" s="20" t="n">
        <v>87</v>
      </c>
      <c r="G17" s="16" t="inlineStr">
        <is>
          <t>green</t>
        </is>
      </c>
      <c r="H17" s="20" t="n">
        <v>254</v>
      </c>
      <c r="I17" s="18" t="n">
        <v>44.03</v>
      </c>
      <c r="J17" s="18" t="n">
        <v>485.48</v>
      </c>
      <c r="K17" s="18" t="n">
        <v>408.14</v>
      </c>
      <c r="L17" s="22" t="n">
        <v>0.0375</v>
      </c>
      <c r="M17" s="16" t="inlineStr">
        <is>
          <t>Yes</t>
        </is>
      </c>
      <c r="N17" s="20" t="n">
        <v>259</v>
      </c>
      <c r="O17" s="19" t="n">
        <v>0.1895</v>
      </c>
    </row>
    <row r="18">
      <c r="A18" s="16" t="inlineStr">
        <is>
          <t>Cigarettes-Tobacco Products</t>
        </is>
      </c>
      <c r="B18" s="20" t="n">
        <v>3</v>
      </c>
      <c r="C18" s="21">
        <f>B18/SUM($B$2:$B$121)</f>
        <v/>
      </c>
      <c r="D18" s="18" t="n">
        <v>245.39</v>
      </c>
      <c r="E18" s="19" t="n">
        <v>0.0027</v>
      </c>
      <c r="F18" s="20" t="n">
        <v>2</v>
      </c>
      <c r="G18" s="16" t="inlineStr">
        <is>
          <t>red</t>
        </is>
      </c>
      <c r="H18" s="20" t="n">
        <v>183</v>
      </c>
      <c r="I18" s="18" t="n">
        <v>30.32</v>
      </c>
      <c r="J18" s="18" t="n">
        <v>259.32</v>
      </c>
      <c r="K18" s="18" t="n">
        <v>272.08</v>
      </c>
      <c r="L18" s="22" t="n">
        <v>-0.0276</v>
      </c>
      <c r="M18" s="16" t="inlineStr">
        <is>
          <t>No</t>
        </is>
      </c>
      <c r="N18" s="20" t="n">
        <v>177</v>
      </c>
      <c r="O18" s="19" t="n">
        <v>-0.0469</v>
      </c>
    </row>
    <row r="19">
      <c r="A19" s="16" t="inlineStr">
        <is>
          <t>Aerospace &amp; Defence</t>
        </is>
      </c>
      <c r="B19" s="20" t="n">
        <v>25</v>
      </c>
      <c r="C19" s="21">
        <f>B19/SUM($B$2:$B$121)</f>
        <v/>
      </c>
      <c r="D19" s="18" t="n">
        <v>1242.22</v>
      </c>
      <c r="E19" s="19" t="n">
        <v>0.0029</v>
      </c>
      <c r="F19" s="20" t="n">
        <v>83</v>
      </c>
      <c r="G19" s="16" t="inlineStr">
        <is>
          <t>green</t>
        </is>
      </c>
      <c r="H19" s="20" t="n">
        <v>139</v>
      </c>
      <c r="I19" s="18" t="n">
        <v>45.85</v>
      </c>
      <c r="J19" s="18" t="n">
        <v>1235.42</v>
      </c>
      <c r="K19" s="18" t="n">
        <v>1010.73</v>
      </c>
      <c r="L19" s="22" t="n">
        <v>0.0368</v>
      </c>
      <c r="M19" s="16" t="inlineStr">
        <is>
          <t>Yes</t>
        </is>
      </c>
      <c r="N19" s="20" t="n">
        <v>98</v>
      </c>
      <c r="O19" s="19" t="n">
        <v>0.2223</v>
      </c>
    </row>
    <row r="20">
      <c r="A20" s="16" t="inlineStr">
        <is>
          <t>Iron &amp; Steel/Interm.Products</t>
        </is>
      </c>
      <c r="B20" s="20" t="n">
        <v>42</v>
      </c>
      <c r="C20" s="21">
        <f>B20/SUM($B$2:$B$121)</f>
        <v/>
      </c>
      <c r="D20" s="18" t="n">
        <v>541.33</v>
      </c>
      <c r="E20" s="19" t="n">
        <v>0.0032</v>
      </c>
      <c r="F20" s="20" t="n">
        <v>79</v>
      </c>
      <c r="G20" s="16" t="inlineStr">
        <is>
          <t>amber</t>
        </is>
      </c>
      <c r="H20" s="20" t="n">
        <v>1</v>
      </c>
      <c r="I20" s="18" t="n">
        <v>89.77</v>
      </c>
      <c r="J20" s="18" t="n">
        <v>506.46</v>
      </c>
      <c r="K20" s="18" t="n">
        <v>448.96</v>
      </c>
      <c r="L20" s="22" t="n">
        <v>0.0214</v>
      </c>
      <c r="M20" s="16" t="inlineStr">
        <is>
          <t>Yes</t>
        </is>
      </c>
      <c r="N20" s="20" t="n">
        <v>94</v>
      </c>
      <c r="O20" s="19" t="n">
        <v>0.1281</v>
      </c>
    </row>
    <row r="21">
      <c r="A21" s="16" t="inlineStr">
        <is>
          <t>Holding Companies</t>
        </is>
      </c>
      <c r="B21" s="20" t="n">
        <v>14</v>
      </c>
      <c r="C21" s="21">
        <f>B21/SUM($B$2:$B$121)</f>
        <v/>
      </c>
      <c r="D21" s="18" t="n">
        <v>279.11</v>
      </c>
      <c r="E21" s="19" t="n">
        <v>0.0027</v>
      </c>
      <c r="F21" s="20" t="n">
        <v>30</v>
      </c>
      <c r="G21" s="16" t="inlineStr">
        <is>
          <t>red</t>
        </is>
      </c>
      <c r="H21" s="20" t="n">
        <v>163</v>
      </c>
      <c r="I21" s="18" t="n">
        <v>59.4</v>
      </c>
      <c r="J21" s="18" t="n">
        <v>274.97</v>
      </c>
      <c r="K21" s="18" t="n">
        <v>267.41</v>
      </c>
      <c r="L21" s="22" t="n">
        <v>-0.0069</v>
      </c>
      <c r="M21" s="16" t="inlineStr">
        <is>
          <t>Yes</t>
        </is>
      </c>
      <c r="N21" s="20" t="n">
        <v>22</v>
      </c>
      <c r="O21" s="19" t="n">
        <v>0.0283</v>
      </c>
    </row>
    <row r="22">
      <c r="A22" s="16" t="inlineStr">
        <is>
          <t>Internet &amp; Catalogue Retail</t>
        </is>
      </c>
      <c r="B22" s="20" t="n">
        <v>9</v>
      </c>
      <c r="C22" s="21">
        <f>B22/SUM($B$2:$B$121)</f>
        <v/>
      </c>
      <c r="D22" s="18" t="n">
        <v>146.8</v>
      </c>
      <c r="E22" s="19" t="n">
        <v>-0.0012</v>
      </c>
      <c r="F22" s="20" t="n">
        <v>59</v>
      </c>
      <c r="G22" s="16" t="inlineStr">
        <is>
          <t>red</t>
        </is>
      </c>
      <c r="H22" s="20" t="n">
        <v>2</v>
      </c>
      <c r="I22" s="18" t="n">
        <v>46.61</v>
      </c>
      <c r="J22" s="18" t="n">
        <v>141.77</v>
      </c>
      <c r="K22" s="18" t="n">
        <v>129.83</v>
      </c>
      <c r="L22" s="22" t="n">
        <v>0.0021</v>
      </c>
      <c r="M22" s="16" t="inlineStr">
        <is>
          <t>Yes</t>
        </is>
      </c>
      <c r="N22" s="20" t="n">
        <v>25</v>
      </c>
      <c r="O22" s="19" t="n">
        <v>0.092</v>
      </c>
    </row>
    <row r="23">
      <c r="A23" s="16" t="inlineStr">
        <is>
          <t>Exploration &amp; Production</t>
        </is>
      </c>
      <c r="B23" s="20" t="n">
        <v>8</v>
      </c>
      <c r="C23" s="21">
        <f>B23/SUM($B$2:$B$121)</f>
        <v/>
      </c>
      <c r="D23" s="18" t="n">
        <v>563.3</v>
      </c>
      <c r="E23" s="19" t="n">
        <v>0.0067</v>
      </c>
      <c r="F23" s="20" t="n">
        <v>71</v>
      </c>
      <c r="G23" s="16" t="inlineStr">
        <is>
          <t>amber</t>
        </is>
      </c>
      <c r="H23" s="20" t="n">
        <v>4</v>
      </c>
      <c r="I23" s="18" t="n">
        <v>78.06999999999999</v>
      </c>
      <c r="J23" s="18" t="n">
        <v>505.73</v>
      </c>
      <c r="K23" s="18" t="n">
        <v>466.33</v>
      </c>
      <c r="L23" s="22" t="n">
        <v>0.0184</v>
      </c>
      <c r="M23" s="16" t="inlineStr">
        <is>
          <t>Yes</t>
        </is>
      </c>
      <c r="N23" s="20" t="n">
        <v>123</v>
      </c>
      <c r="O23" s="19" t="n">
        <v>0.08449999999999999</v>
      </c>
    </row>
    <row r="24">
      <c r="A24" s="16" t="inlineStr">
        <is>
          <t>Packaged Foods</t>
        </is>
      </c>
      <c r="B24" s="20" t="n">
        <v>29</v>
      </c>
      <c r="C24" s="21">
        <f>B24/SUM($B$2:$B$121)</f>
        <v/>
      </c>
      <c r="D24" s="18" t="n">
        <v>345.47</v>
      </c>
      <c r="E24" s="19" t="n">
        <v>-0.0036</v>
      </c>
      <c r="F24" s="20" t="n">
        <v>70</v>
      </c>
      <c r="G24" s="16" t="inlineStr">
        <is>
          <t>amber</t>
        </is>
      </c>
      <c r="H24" s="20" t="n">
        <v>20</v>
      </c>
      <c r="I24" s="18" t="n">
        <v>83.86</v>
      </c>
      <c r="J24" s="18" t="n">
        <v>329.1</v>
      </c>
      <c r="K24" s="18" t="n">
        <v>296.42</v>
      </c>
      <c r="L24" s="22" t="n">
        <v>0.016</v>
      </c>
      <c r="M24" s="16" t="inlineStr">
        <is>
          <t>Yes</t>
        </is>
      </c>
      <c r="N24" s="20" t="n">
        <v>65</v>
      </c>
      <c r="O24" s="19" t="n">
        <v>0.1102</v>
      </c>
    </row>
    <row r="25">
      <c r="A25" s="16" t="inlineStr">
        <is>
          <t>Coal &amp; Mining</t>
        </is>
      </c>
      <c r="B25" s="20" t="n">
        <v>14</v>
      </c>
      <c r="C25" s="21">
        <f>B25/SUM($B$2:$B$121)</f>
        <v/>
      </c>
      <c r="D25" s="18" t="n">
        <v>719.55</v>
      </c>
      <c r="E25" s="19" t="n">
        <v>0.0004</v>
      </c>
      <c r="F25" s="20" t="n">
        <v>41</v>
      </c>
      <c r="G25" s="16" t="inlineStr">
        <is>
          <t>red</t>
        </is>
      </c>
      <c r="H25" s="20" t="n">
        <v>21</v>
      </c>
      <c r="I25" s="18" t="n">
        <v>38.15</v>
      </c>
      <c r="J25" s="18" t="n">
        <v>730.9400000000001</v>
      </c>
      <c r="K25" s="18" t="n">
        <v>696.52</v>
      </c>
      <c r="L25" s="22" t="n">
        <v>0.0121</v>
      </c>
      <c r="M25" s="16" t="inlineStr">
        <is>
          <t>Yes</t>
        </is>
      </c>
      <c r="N25" s="20" t="n">
        <v>340</v>
      </c>
      <c r="O25" s="19" t="n">
        <v>0.04940000000000001</v>
      </c>
    </row>
    <row r="26">
      <c r="A26" s="16" t="inlineStr">
        <is>
          <t>Other Non-Ferrous Metals</t>
        </is>
      </c>
      <c r="B26" s="20" t="n">
        <v>6</v>
      </c>
      <c r="C26" s="21">
        <f>B26/SUM($B$2:$B$121)</f>
        <v/>
      </c>
      <c r="D26" s="18" t="n">
        <v>1306.56</v>
      </c>
      <c r="E26" s="19" t="n">
        <v>0.0029</v>
      </c>
      <c r="F26" s="20" t="n">
        <v>9</v>
      </c>
      <c r="G26" s="16" t="inlineStr">
        <is>
          <t>red</t>
        </is>
      </c>
      <c r="H26" s="20" t="n">
        <v>52</v>
      </c>
      <c r="I26" s="18" t="n">
        <v>35.3</v>
      </c>
      <c r="J26" s="18" t="n">
        <v>1417.27</v>
      </c>
      <c r="K26" s="18" t="n">
        <v>1430.72</v>
      </c>
      <c r="L26" s="22" t="n">
        <v>-0.003</v>
      </c>
      <c r="M26" s="16" t="inlineStr">
        <is>
          <t>No</t>
        </is>
      </c>
      <c r="N26" s="20" t="n">
        <v>7</v>
      </c>
      <c r="O26" s="19" t="n">
        <v>-0.009399999999999999</v>
      </c>
    </row>
    <row r="27">
      <c r="A27" s="16" t="inlineStr">
        <is>
          <t>Department Stores</t>
        </is>
      </c>
      <c r="B27" s="20" t="n">
        <v>10</v>
      </c>
      <c r="C27" s="21">
        <f>B27/SUM($B$2:$B$121)</f>
        <v/>
      </c>
      <c r="D27" s="18" t="n">
        <v>657.26</v>
      </c>
      <c r="E27" s="19" t="n">
        <v>-0.0004</v>
      </c>
      <c r="F27" s="20" t="n">
        <v>53</v>
      </c>
      <c r="G27" s="16" t="inlineStr">
        <is>
          <t>red</t>
        </is>
      </c>
      <c r="H27" s="20" t="n">
        <v>7</v>
      </c>
      <c r="I27" s="18" t="n">
        <v>51.55</v>
      </c>
      <c r="J27" s="18" t="n">
        <v>641.12</v>
      </c>
      <c r="K27" s="18" t="n">
        <v>578.1799999999999</v>
      </c>
      <c r="L27" s="22" t="n">
        <v>0.005</v>
      </c>
      <c r="M27" s="16" t="inlineStr">
        <is>
          <t>Yes</t>
        </is>
      </c>
      <c r="N27" s="20" t="n">
        <v>55</v>
      </c>
      <c r="O27" s="19" t="n">
        <v>0.1089</v>
      </c>
    </row>
    <row r="28">
      <c r="A28" s="16" t="inlineStr">
        <is>
          <t>Paints</t>
        </is>
      </c>
      <c r="B28" s="20" t="n">
        <v>7</v>
      </c>
      <c r="C28" s="21">
        <f>B28/SUM($B$2:$B$121)</f>
        <v/>
      </c>
      <c r="D28" s="18" t="n">
        <v>107.22</v>
      </c>
      <c r="E28" s="19" t="n">
        <v>0.004500000000000001</v>
      </c>
      <c r="F28" s="20" t="n">
        <v>43</v>
      </c>
      <c r="G28" s="16" t="inlineStr">
        <is>
          <t>red</t>
        </is>
      </c>
      <c r="H28" s="20" t="n">
        <v>152</v>
      </c>
      <c r="I28" s="18" t="n">
        <v>31.67</v>
      </c>
      <c r="J28" s="18" t="n">
        <v>103.46</v>
      </c>
      <c r="K28" s="18" t="n">
        <v>98.78</v>
      </c>
      <c r="L28" s="22" t="n">
        <v>-0.0011</v>
      </c>
      <c r="M28" s="16" t="inlineStr">
        <is>
          <t>Yes</t>
        </is>
      </c>
      <c r="N28" s="20" t="n">
        <v>22</v>
      </c>
      <c r="O28" s="19" t="n">
        <v>0.0473</v>
      </c>
    </row>
    <row r="29">
      <c r="A29" s="16" t="inlineStr">
        <is>
          <t>Aluminium and Aluminium Products</t>
        </is>
      </c>
      <c r="B29" s="20" t="n">
        <v>11</v>
      </c>
      <c r="C29" s="21">
        <f>B29/SUM($B$2:$B$121)</f>
        <v/>
      </c>
      <c r="D29" s="18" t="n">
        <v>710.14</v>
      </c>
      <c r="E29" s="19" t="n">
        <v>-0.0035</v>
      </c>
      <c r="F29" s="20" t="n">
        <v>65</v>
      </c>
      <c r="G29" s="16" t="inlineStr">
        <is>
          <t>amber</t>
        </is>
      </c>
      <c r="H29" s="20" t="n">
        <v>35</v>
      </c>
      <c r="I29" s="18" t="n">
        <v>64.98</v>
      </c>
      <c r="J29" s="18" t="n">
        <v>686.74</v>
      </c>
      <c r="K29" s="18" t="n">
        <v>687.28</v>
      </c>
      <c r="L29" s="22" t="n">
        <v>0.0225</v>
      </c>
      <c r="M29" s="16" t="inlineStr">
        <is>
          <t>No</t>
        </is>
      </c>
      <c r="N29" s="20" t="n">
        <v>2</v>
      </c>
      <c r="O29" s="19" t="n">
        <v>-0.0008</v>
      </c>
    </row>
    <row r="30">
      <c r="A30" s="16" t="inlineStr">
        <is>
          <t>Green &amp; Renewable Energy</t>
        </is>
      </c>
      <c r="B30" s="20" t="n">
        <v>14</v>
      </c>
      <c r="C30" s="21">
        <f>B30/SUM($B$2:$B$121)</f>
        <v/>
      </c>
      <c r="D30" s="18" t="n">
        <v>763.83</v>
      </c>
      <c r="E30" s="19" t="n">
        <v>0.0097</v>
      </c>
      <c r="F30" s="20" t="n">
        <v>15</v>
      </c>
      <c r="G30" s="16" t="inlineStr">
        <is>
          <t>red</t>
        </is>
      </c>
      <c r="H30" s="20" t="n">
        <v>60</v>
      </c>
      <c r="I30" s="18" t="n">
        <v>47.89</v>
      </c>
      <c r="J30" s="18" t="n">
        <v>803.17</v>
      </c>
      <c r="K30" s="18" t="n">
        <v>781.27</v>
      </c>
      <c r="L30" s="22" t="n">
        <v>-0.0143</v>
      </c>
      <c r="M30" s="16" t="inlineStr">
        <is>
          <t>Yes</t>
        </is>
      </c>
      <c r="N30" s="20" t="n">
        <v>67</v>
      </c>
      <c r="O30" s="19" t="n">
        <v>0.028</v>
      </c>
    </row>
    <row r="31">
      <c r="A31" s="16" t="inlineStr">
        <is>
          <t>Oil Marketing &amp; Distribution</t>
        </is>
      </c>
      <c r="B31" s="20" t="n">
        <v>9</v>
      </c>
      <c r="C31" s="21">
        <f>B31/SUM($B$2:$B$121)</f>
        <v/>
      </c>
      <c r="D31" s="18" t="n">
        <v>282.56</v>
      </c>
      <c r="E31" s="19" t="n">
        <v>-0.0011</v>
      </c>
      <c r="F31" s="20" t="n">
        <v>78</v>
      </c>
      <c r="G31" s="16" t="inlineStr">
        <is>
          <t>amber</t>
        </is>
      </c>
      <c r="H31" s="20" t="n">
        <v>8</v>
      </c>
      <c r="I31" s="18" t="n">
        <v>60.31</v>
      </c>
      <c r="J31" s="18" t="n">
        <v>274.7</v>
      </c>
      <c r="K31" s="18" t="n">
        <v>234.11</v>
      </c>
      <c r="L31" s="22" t="n">
        <v>0.0211</v>
      </c>
      <c r="M31" s="16" t="inlineStr">
        <is>
          <t>Yes</t>
        </is>
      </c>
      <c r="N31" s="20" t="n">
        <v>71</v>
      </c>
      <c r="O31" s="19" t="n">
        <v>0.1734</v>
      </c>
    </row>
    <row r="32">
      <c r="A32" s="16" t="inlineStr">
        <is>
          <t>Other Industrial Products</t>
        </is>
      </c>
      <c r="B32" s="20" t="n">
        <v>21</v>
      </c>
      <c r="C32" s="21">
        <f>B32/SUM($B$2:$B$121)</f>
        <v/>
      </c>
      <c r="D32" s="18" t="n">
        <v>856.9299999999999</v>
      </c>
      <c r="E32" s="19" t="n">
        <v>0.0062</v>
      </c>
      <c r="F32" s="20" t="n">
        <v>97</v>
      </c>
      <c r="G32" s="16" t="inlineStr">
        <is>
          <t>green</t>
        </is>
      </c>
      <c r="H32" s="20" t="n">
        <v>111</v>
      </c>
      <c r="I32" s="18" t="n">
        <v>79.61</v>
      </c>
      <c r="J32" s="18" t="n">
        <v>761.79</v>
      </c>
      <c r="K32" s="18" t="n">
        <v>594.37</v>
      </c>
      <c r="L32" s="22" t="n">
        <v>0.0482</v>
      </c>
      <c r="M32" s="16" t="inlineStr">
        <is>
          <t>Yes</t>
        </is>
      </c>
      <c r="N32" s="20" t="n">
        <v>90</v>
      </c>
      <c r="O32" s="19" t="n">
        <v>0.2817</v>
      </c>
    </row>
    <row r="33">
      <c r="A33" s="16" t="inlineStr">
        <is>
          <t>Airlines</t>
        </is>
      </c>
      <c r="B33" s="20" t="n">
        <v>3</v>
      </c>
      <c r="C33" s="21">
        <f>B33/SUM($B$2:$B$121)</f>
        <v/>
      </c>
      <c r="D33" s="18" t="n">
        <v>400.07</v>
      </c>
      <c r="E33" s="19" t="n">
        <v>0.0032</v>
      </c>
      <c r="F33" s="20" t="n">
        <v>62</v>
      </c>
      <c r="G33" s="16" t="inlineStr">
        <is>
          <t>amber</t>
        </is>
      </c>
      <c r="H33" s="20" t="n">
        <v>11</v>
      </c>
      <c r="I33" s="18" t="n">
        <v>33.14</v>
      </c>
      <c r="J33" s="18" t="n">
        <v>408.6</v>
      </c>
      <c r="K33" s="18" t="n">
        <v>347.87</v>
      </c>
      <c r="L33" s="22" t="n">
        <v>0.0145</v>
      </c>
      <c r="M33" s="16" t="inlineStr">
        <is>
          <t>Yes</t>
        </is>
      </c>
      <c r="N33" s="20" t="n">
        <v>45</v>
      </c>
      <c r="O33" s="19" t="n">
        <v>0.1746</v>
      </c>
    </row>
    <row r="34">
      <c r="A34" s="16" t="inlineStr">
        <is>
          <t>Auto Parts &amp; Equipment</t>
        </is>
      </c>
      <c r="B34" s="20" t="n">
        <v>85</v>
      </c>
      <c r="C34" s="21">
        <f>B34/SUM($B$2:$B$121)</f>
        <v/>
      </c>
      <c r="D34" s="18" t="n">
        <v>396.22</v>
      </c>
      <c r="E34" s="19" t="n">
        <v>0.004500000000000001</v>
      </c>
      <c r="F34" s="20" t="n">
        <v>72</v>
      </c>
      <c r="G34" s="16" t="inlineStr">
        <is>
          <t>amber</t>
        </is>
      </c>
      <c r="H34" s="20" t="n">
        <v>22</v>
      </c>
      <c r="I34" s="18" t="n">
        <v>56.1</v>
      </c>
      <c r="J34" s="18" t="n">
        <v>384.46</v>
      </c>
      <c r="K34" s="18" t="n">
        <v>338.43</v>
      </c>
      <c r="L34" s="22" t="n">
        <v>0.021</v>
      </c>
      <c r="M34" s="16" t="inlineStr">
        <is>
          <t>Yes</t>
        </is>
      </c>
      <c r="N34" s="20" t="n">
        <v>75</v>
      </c>
      <c r="O34" s="19" t="n">
        <v>0.136</v>
      </c>
    </row>
    <row r="35">
      <c r="A35" s="16" t="inlineStr">
        <is>
          <t>Realty</t>
        </is>
      </c>
      <c r="B35" s="20" t="n">
        <v>59</v>
      </c>
      <c r="C35" s="21">
        <f>B35/SUM($B$2:$B$121)</f>
        <v/>
      </c>
      <c r="D35" s="18" t="n">
        <v>415.02</v>
      </c>
      <c r="E35" s="19" t="n">
        <v>0.0062</v>
      </c>
      <c r="F35" s="20" t="n">
        <v>34</v>
      </c>
      <c r="G35" s="16" t="inlineStr">
        <is>
          <t>red</t>
        </is>
      </c>
      <c r="H35" s="20" t="n">
        <v>389</v>
      </c>
      <c r="I35" s="18" t="n">
        <v>57.98</v>
      </c>
      <c r="J35" s="18" t="n">
        <v>408.74</v>
      </c>
      <c r="K35" s="18" t="n">
        <v>396.02</v>
      </c>
      <c r="L35" s="22" t="n">
        <v>-0.0059</v>
      </c>
      <c r="M35" s="16" t="inlineStr">
        <is>
          <t>Yes</t>
        </is>
      </c>
      <c r="N35" s="20" t="n">
        <v>30</v>
      </c>
      <c r="O35" s="19" t="n">
        <v>0.0321</v>
      </c>
    </row>
    <row r="36">
      <c r="A36" s="16" t="inlineStr">
        <is>
          <t>Commercial Vehicles</t>
        </is>
      </c>
      <c r="B36" s="20" t="n">
        <v>13</v>
      </c>
      <c r="C36" s="21">
        <f>B36/SUM($B$2:$B$121)</f>
        <v/>
      </c>
      <c r="D36" s="18" t="n">
        <v>560.53</v>
      </c>
      <c r="E36" s="19" t="n">
        <v>0.0073</v>
      </c>
      <c r="F36" s="20" t="n">
        <v>41</v>
      </c>
      <c r="G36" s="16" t="inlineStr">
        <is>
          <t>red</t>
        </is>
      </c>
      <c r="H36" s="20" t="n">
        <v>99</v>
      </c>
      <c r="I36" s="18" t="n">
        <v>51.49</v>
      </c>
      <c r="J36" s="18" t="n">
        <v>547.72</v>
      </c>
      <c r="K36" s="18" t="n">
        <v>527.16</v>
      </c>
      <c r="L36" s="22" t="n">
        <v>0.0026</v>
      </c>
      <c r="M36" s="16" t="inlineStr">
        <is>
          <t>Yes</t>
        </is>
      </c>
      <c r="N36" s="20" t="n">
        <v>27</v>
      </c>
      <c r="O36" s="19" t="n">
        <v>0.039</v>
      </c>
    </row>
    <row r="37">
      <c r="A37" s="16" t="inlineStr">
        <is>
          <t>Specialty Chemicals</t>
        </is>
      </c>
      <c r="B37" s="20" t="n">
        <v>57</v>
      </c>
      <c r="C37" s="21">
        <f>B37/SUM($B$2:$B$121)</f>
        <v/>
      </c>
      <c r="D37" s="18" t="n">
        <v>202.51</v>
      </c>
      <c r="E37" s="19" t="n">
        <v>0.0033</v>
      </c>
      <c r="F37" s="20" t="n">
        <v>78</v>
      </c>
      <c r="G37" s="16" t="inlineStr">
        <is>
          <t>amber</t>
        </is>
      </c>
      <c r="H37" s="20" t="n">
        <v>1</v>
      </c>
      <c r="I37" s="18" t="n">
        <v>63.23</v>
      </c>
      <c r="J37" s="18" t="n">
        <v>192.84</v>
      </c>
      <c r="K37" s="18" t="n">
        <v>165.15</v>
      </c>
      <c r="L37" s="22" t="n">
        <v>0.0213</v>
      </c>
      <c r="M37" s="16" t="inlineStr">
        <is>
          <t>Yes</t>
        </is>
      </c>
      <c r="N37" s="20" t="n">
        <v>69</v>
      </c>
      <c r="O37" s="19" t="n">
        <v>0.1676</v>
      </c>
    </row>
    <row r="38">
      <c r="A38" s="16" t="inlineStr">
        <is>
          <t>Heavy Electrical Equipment</t>
        </is>
      </c>
      <c r="B38" s="20" t="n">
        <v>35</v>
      </c>
      <c r="C38" s="21">
        <f>B38/SUM($B$2:$B$121)</f>
        <v/>
      </c>
      <c r="D38" s="18" t="n">
        <v>927.1799999999999</v>
      </c>
      <c r="E38" s="19" t="n">
        <v>0.0062</v>
      </c>
      <c r="F38" s="20" t="n">
        <v>74</v>
      </c>
      <c r="G38" s="16" t="inlineStr">
        <is>
          <t>amber</t>
        </is>
      </c>
      <c r="H38" s="20" t="n">
        <v>15</v>
      </c>
      <c r="I38" s="18" t="n">
        <v>51.51</v>
      </c>
      <c r="J38" s="18" t="n">
        <v>906.77</v>
      </c>
      <c r="K38" s="18" t="n">
        <v>784.98</v>
      </c>
      <c r="L38" s="22" t="n">
        <v>0.0274</v>
      </c>
      <c r="M38" s="16" t="inlineStr">
        <is>
          <t>Yes</t>
        </is>
      </c>
      <c r="N38" s="20" t="n">
        <v>99</v>
      </c>
      <c r="O38" s="19" t="n">
        <v>0.1551</v>
      </c>
    </row>
    <row r="39">
      <c r="A39" s="16" t="inlineStr">
        <is>
          <t>Asset Management Cos.</t>
        </is>
      </c>
      <c r="B39" s="20" t="n">
        <v>9</v>
      </c>
      <c r="C39" s="21">
        <f>B39/SUM($B$2:$B$121)</f>
        <v/>
      </c>
      <c r="D39" s="18" t="n">
        <v>237.42</v>
      </c>
      <c r="E39" s="19" t="n">
        <v>-0.0007000000000000001</v>
      </c>
      <c r="F39" s="20" t="n">
        <v>24</v>
      </c>
      <c r="G39" s="16" t="inlineStr">
        <is>
          <t>red</t>
        </is>
      </c>
      <c r="H39" s="20" t="n">
        <v>81</v>
      </c>
      <c r="I39" s="18" t="n">
        <v>34.99</v>
      </c>
      <c r="J39" s="18" t="n">
        <v>245.29</v>
      </c>
      <c r="K39" s="18" t="n">
        <v>237.22</v>
      </c>
      <c r="L39" s="22" t="n">
        <v>0.0005</v>
      </c>
      <c r="M39" s="16" t="inlineStr">
        <is>
          <t>Yes</t>
        </is>
      </c>
      <c r="N39" s="20" t="n">
        <v>70</v>
      </c>
      <c r="O39" s="19" t="n">
        <v>0.034</v>
      </c>
    </row>
    <row r="40">
      <c r="A40" s="16" t="inlineStr">
        <is>
          <t>Industrial Machinery</t>
        </is>
      </c>
      <c r="B40" s="20" t="n">
        <v>56</v>
      </c>
      <c r="C40" s="21">
        <f>B40/SUM($B$2:$B$121)</f>
        <v/>
      </c>
      <c r="D40" s="18" t="n">
        <v>647.03</v>
      </c>
      <c r="E40" s="19" t="n">
        <v>0.0123</v>
      </c>
      <c r="F40" s="20" t="n">
        <v>76</v>
      </c>
      <c r="G40" s="16" t="inlineStr">
        <is>
          <t>amber</t>
        </is>
      </c>
      <c r="H40" s="20" t="n">
        <v>109</v>
      </c>
      <c r="I40" s="18" t="n">
        <v>76.20999999999999</v>
      </c>
      <c r="J40" s="18" t="n">
        <v>615.78</v>
      </c>
      <c r="K40" s="18" t="n">
        <v>540.5</v>
      </c>
      <c r="L40" s="22" t="n">
        <v>0.0198</v>
      </c>
      <c r="M40" s="16" t="inlineStr">
        <is>
          <t>Yes</t>
        </is>
      </c>
      <c r="N40" s="20" t="n">
        <v>81</v>
      </c>
      <c r="O40" s="19" t="n">
        <v>0.1393</v>
      </c>
    </row>
    <row r="41">
      <c r="A41" s="16" t="inlineStr">
        <is>
          <t>Capital Markets</t>
        </is>
      </c>
      <c r="B41" s="20" t="n">
        <v>27</v>
      </c>
      <c r="C41" s="21">
        <f>B41/SUM($B$2:$B$121)</f>
        <v/>
      </c>
      <c r="D41" s="18" t="n">
        <v>450.98</v>
      </c>
      <c r="E41" s="19" t="n">
        <v>0.0142</v>
      </c>
      <c r="F41" s="20" t="n">
        <v>35</v>
      </c>
      <c r="G41" s="16" t="inlineStr">
        <is>
          <t>red</t>
        </is>
      </c>
      <c r="H41" s="20" t="n">
        <v>76</v>
      </c>
      <c r="I41" s="18" t="n">
        <v>41.34</v>
      </c>
      <c r="J41" s="18" t="n">
        <v>461.81</v>
      </c>
      <c r="K41" s="18" t="n">
        <v>440.36</v>
      </c>
      <c r="L41" s="22" t="n">
        <v>-0.0025</v>
      </c>
      <c r="M41" s="16" t="inlineStr">
        <is>
          <t>Yes</t>
        </is>
      </c>
      <c r="N41" s="20" t="n">
        <v>61</v>
      </c>
      <c r="O41" s="19" t="n">
        <v>0.0487</v>
      </c>
    </row>
    <row r="42">
      <c r="A42" s="16" t="inlineStr">
        <is>
          <t>Other Food &amp; Beverages</t>
        </is>
      </c>
      <c r="B42" s="20" t="n">
        <v>17</v>
      </c>
      <c r="C42" s="21">
        <f>B42/SUM($B$2:$B$121)</f>
        <v/>
      </c>
      <c r="D42" s="18" t="n">
        <v>484.53</v>
      </c>
      <c r="E42" s="19" t="n">
        <v>0.0054</v>
      </c>
      <c r="F42" s="20" t="n">
        <v>64</v>
      </c>
      <c r="G42" s="16" t="inlineStr">
        <is>
          <t>amber</t>
        </is>
      </c>
      <c r="H42" s="20" t="n">
        <v>26</v>
      </c>
      <c r="I42" s="18" t="n">
        <v>39.32</v>
      </c>
      <c r="J42" s="18" t="n">
        <v>480.13</v>
      </c>
      <c r="K42" s="18" t="n">
        <v>447.8</v>
      </c>
      <c r="L42" s="22" t="n">
        <v>0.0228</v>
      </c>
      <c r="M42" s="16" t="inlineStr">
        <is>
          <t>Yes</t>
        </is>
      </c>
      <c r="N42" s="20" t="n">
        <v>311</v>
      </c>
      <c r="O42" s="19" t="n">
        <v>0.0722</v>
      </c>
    </row>
    <row r="43">
      <c r="A43" s="16" t="inlineStr">
        <is>
          <t>Wires &amp; Cables</t>
        </is>
      </c>
      <c r="B43" s="20" t="n">
        <v>16</v>
      </c>
      <c r="C43" s="21">
        <f>B43/SUM($B$2:$B$121)</f>
        <v/>
      </c>
      <c r="D43" s="18" t="n">
        <v>967</v>
      </c>
      <c r="E43" s="19" t="n">
        <v>-0.0233</v>
      </c>
      <c r="F43" s="20" t="n">
        <v>94</v>
      </c>
      <c r="G43" s="16" t="inlineStr">
        <is>
          <t>green</t>
        </is>
      </c>
      <c r="H43" s="20" t="n">
        <v>107</v>
      </c>
      <c r="I43" s="18" t="n">
        <v>62.68</v>
      </c>
      <c r="J43" s="18" t="n">
        <v>885.11</v>
      </c>
      <c r="K43" s="18" t="n">
        <v>712.01</v>
      </c>
      <c r="L43" s="22" t="n">
        <v>0.05309999999999999</v>
      </c>
      <c r="M43" s="16" t="inlineStr">
        <is>
          <t>Yes</t>
        </is>
      </c>
      <c r="N43" s="20" t="n">
        <v>96</v>
      </c>
      <c r="O43" s="19" t="n">
        <v>0.2431</v>
      </c>
    </row>
    <row r="44">
      <c r="A44" s="16" t="inlineStr">
        <is>
          <t>Healthcare Facilities</t>
        </is>
      </c>
      <c r="B44" s="20" t="n">
        <v>21</v>
      </c>
      <c r="C44" s="21">
        <f>B44/SUM($B$2:$B$121)</f>
        <v/>
      </c>
      <c r="D44" s="18" t="n">
        <v>454.1</v>
      </c>
      <c r="E44" s="19" t="n">
        <v>0.0038</v>
      </c>
      <c r="F44" s="20" t="n">
        <v>55</v>
      </c>
      <c r="G44" s="16" t="inlineStr">
        <is>
          <t>red</t>
        </is>
      </c>
      <c r="H44" s="20" t="n">
        <v>14</v>
      </c>
      <c r="I44" s="18" t="n">
        <v>59.27</v>
      </c>
      <c r="J44" s="18" t="n">
        <v>445.62</v>
      </c>
      <c r="K44" s="18" t="n">
        <v>399.87</v>
      </c>
      <c r="L44" s="22" t="n">
        <v>0.0113</v>
      </c>
      <c r="M44" s="16" t="inlineStr">
        <is>
          <t>Yes</t>
        </is>
      </c>
      <c r="N44" s="20" t="n">
        <v>71</v>
      </c>
      <c r="O44" s="19" t="n">
        <v>0.1144</v>
      </c>
    </row>
    <row r="45">
      <c r="A45" s="16" t="inlineStr">
        <is>
          <t>Other Apparels &amp; Accessories</t>
        </is>
      </c>
      <c r="B45" s="20" t="n">
        <v>26</v>
      </c>
      <c r="C45" s="21">
        <f>B45/SUM($B$2:$B$121)</f>
        <v/>
      </c>
      <c r="D45" s="18" t="n">
        <v>392.63</v>
      </c>
      <c r="E45" s="19" t="n">
        <v>0.0122</v>
      </c>
      <c r="F45" s="20" t="n">
        <v>36</v>
      </c>
      <c r="G45" s="16" t="inlineStr">
        <is>
          <t>red</t>
        </is>
      </c>
      <c r="H45" s="20" t="n">
        <v>94</v>
      </c>
      <c r="I45" s="18" t="n">
        <v>63.19</v>
      </c>
      <c r="J45" s="18" t="n">
        <v>385.76</v>
      </c>
      <c r="K45" s="18" t="n">
        <v>371.12</v>
      </c>
      <c r="L45" s="22" t="n">
        <v>-0.002</v>
      </c>
      <c r="M45" s="16" t="inlineStr">
        <is>
          <t>Yes</t>
        </is>
      </c>
      <c r="N45" s="20" t="n">
        <v>52</v>
      </c>
      <c r="O45" s="19" t="n">
        <v>0.0395</v>
      </c>
    </row>
    <row r="46">
      <c r="A46" s="16" t="inlineStr">
        <is>
          <t>Financial Institutions</t>
        </is>
      </c>
      <c r="B46" s="20" t="n">
        <v>8</v>
      </c>
      <c r="C46" s="21">
        <f>B46/SUM($B$2:$B$121)</f>
        <v/>
      </c>
      <c r="D46" s="18" t="n">
        <v>652.36</v>
      </c>
      <c r="E46" s="19" t="n">
        <v>0.0113</v>
      </c>
      <c r="F46" s="20" t="n">
        <v>38</v>
      </c>
      <c r="G46" s="16" t="inlineStr">
        <is>
          <t>red</t>
        </is>
      </c>
      <c r="H46" s="20" t="n">
        <v>81</v>
      </c>
      <c r="I46" s="18" t="n">
        <v>56.94</v>
      </c>
      <c r="J46" s="18" t="n">
        <v>639</v>
      </c>
      <c r="K46" s="18" t="n">
        <v>617.29</v>
      </c>
      <c r="L46" s="22" t="n">
        <v>0.0015</v>
      </c>
      <c r="M46" s="16" t="inlineStr">
        <is>
          <t>Yes</t>
        </is>
      </c>
      <c r="N46" s="20" t="n">
        <v>61</v>
      </c>
      <c r="O46" s="19" t="n">
        <v>0.0352</v>
      </c>
    </row>
    <row r="47">
      <c r="A47" s="16" t="inlineStr">
        <is>
          <t>Utilities:Non-Electrical</t>
        </is>
      </c>
      <c r="B47" s="20" t="n">
        <v>12</v>
      </c>
      <c r="C47" s="21">
        <f>B47/SUM($B$2:$B$121)</f>
        <v/>
      </c>
      <c r="D47" s="18" t="n">
        <v>174.1</v>
      </c>
      <c r="E47" s="19" t="n">
        <v>0.0109</v>
      </c>
      <c r="F47" s="20" t="n">
        <v>33</v>
      </c>
      <c r="G47" s="16" t="inlineStr">
        <is>
          <t>red</t>
        </is>
      </c>
      <c r="H47" s="20" t="n">
        <v>501</v>
      </c>
      <c r="I47" s="18" t="n">
        <v>61.19</v>
      </c>
      <c r="J47" s="18" t="n">
        <v>177.21</v>
      </c>
      <c r="K47" s="18" t="n">
        <v>165.93</v>
      </c>
      <c r="L47" s="22" t="n">
        <v>-0.0049</v>
      </c>
      <c r="M47" s="16" t="inlineStr">
        <is>
          <t>Yes</t>
        </is>
      </c>
      <c r="N47" s="20" t="n">
        <v>57</v>
      </c>
      <c r="O47" s="19" t="n">
        <v>0.068</v>
      </c>
    </row>
    <row r="48">
      <c r="A48" s="16" t="inlineStr">
        <is>
          <t>Consumer Electronics</t>
        </is>
      </c>
      <c r="B48" s="20" t="n">
        <v>18</v>
      </c>
      <c r="C48" s="21">
        <f>B48/SUM($B$2:$B$121)</f>
        <v/>
      </c>
      <c r="D48" s="18" t="n">
        <v>317.35</v>
      </c>
      <c r="E48" s="19" t="n">
        <v>0.0038</v>
      </c>
      <c r="F48" s="20" t="n">
        <v>44</v>
      </c>
      <c r="G48" s="16" t="inlineStr">
        <is>
          <t>red</t>
        </is>
      </c>
      <c r="H48" s="20" t="n">
        <v>82</v>
      </c>
      <c r="I48" s="18" t="n">
        <v>64.7</v>
      </c>
      <c r="J48" s="18" t="n">
        <v>314.13</v>
      </c>
      <c r="K48" s="18" t="n">
        <v>290.73</v>
      </c>
      <c r="L48" s="22" t="n">
        <v>0.0018</v>
      </c>
      <c r="M48" s="16" t="inlineStr">
        <is>
          <t>Yes</t>
        </is>
      </c>
      <c r="N48" s="20" t="n">
        <v>61</v>
      </c>
      <c r="O48" s="19" t="n">
        <v>0.0805</v>
      </c>
    </row>
    <row r="49">
      <c r="A49" s="16" t="inlineStr">
        <is>
          <t>Breweries &amp; Distilleries</t>
        </is>
      </c>
      <c r="B49" s="20" t="n">
        <v>12</v>
      </c>
      <c r="C49" s="21">
        <f>B49/SUM($B$2:$B$121)</f>
        <v/>
      </c>
      <c r="D49" s="18" t="n">
        <v>293.35</v>
      </c>
      <c r="E49" s="19" t="n">
        <v>0.0007000000000000001</v>
      </c>
      <c r="F49" s="20" t="n">
        <v>27</v>
      </c>
      <c r="G49" s="16" t="inlineStr">
        <is>
          <t>red</t>
        </is>
      </c>
      <c r="H49" s="20" t="n">
        <v>158</v>
      </c>
      <c r="I49" s="18" t="n">
        <v>27.66</v>
      </c>
      <c r="J49" s="18" t="n">
        <v>292.05</v>
      </c>
      <c r="K49" s="18" t="n">
        <v>287.73</v>
      </c>
      <c r="L49" s="22" t="n">
        <v>-0.0156</v>
      </c>
      <c r="M49" s="16" t="inlineStr">
        <is>
          <t>Yes</t>
        </is>
      </c>
      <c r="N49" s="20" t="n">
        <v>9</v>
      </c>
      <c r="O49" s="19" t="n">
        <v>0.015</v>
      </c>
    </row>
    <row r="50">
      <c r="A50" s="16" t="inlineStr">
        <is>
          <t>Internet Software &amp; Services</t>
        </is>
      </c>
      <c r="B50" s="20" t="n">
        <v>20</v>
      </c>
      <c r="C50" s="21">
        <f>B50/SUM($B$2:$B$121)</f>
        <v/>
      </c>
      <c r="D50" s="18" t="n">
        <v>210.77</v>
      </c>
      <c r="E50" s="19" t="n">
        <v>0.006999999999999999</v>
      </c>
      <c r="F50" s="20" t="n">
        <v>50</v>
      </c>
      <c r="G50" s="16" t="inlineStr">
        <is>
          <t>red</t>
        </is>
      </c>
      <c r="H50" s="20" t="n">
        <v>204</v>
      </c>
      <c r="I50" s="18" t="n">
        <v>43.92</v>
      </c>
      <c r="J50" s="18" t="n">
        <v>202.41</v>
      </c>
      <c r="K50" s="18" t="n">
        <v>186.92</v>
      </c>
      <c r="L50" s="22" t="n">
        <v>-0.003</v>
      </c>
      <c r="M50" s="16" t="inlineStr">
        <is>
          <t>Yes</t>
        </is>
      </c>
      <c r="N50" s="20" t="n">
        <v>27</v>
      </c>
      <c r="O50" s="19" t="n">
        <v>0.08289999999999999</v>
      </c>
    </row>
    <row r="51">
      <c r="A51" s="16" t="inlineStr">
        <is>
          <t>Hotels</t>
        </is>
      </c>
      <c r="B51" s="20" t="n">
        <v>31</v>
      </c>
      <c r="C51" s="21">
        <f>B51/SUM($B$2:$B$121)</f>
        <v/>
      </c>
      <c r="D51" s="18" t="n">
        <v>374.48</v>
      </c>
      <c r="E51" s="19" t="n">
        <v>0.0023</v>
      </c>
      <c r="F51" s="20" t="n">
        <v>22</v>
      </c>
      <c r="G51" s="16" t="inlineStr">
        <is>
          <t>red</t>
        </is>
      </c>
      <c r="H51" s="20" t="n">
        <v>343</v>
      </c>
      <c r="I51" s="18" t="n">
        <v>79.63</v>
      </c>
      <c r="J51" s="18" t="n">
        <v>371.47</v>
      </c>
      <c r="K51" s="18" t="n">
        <v>362.89</v>
      </c>
      <c r="L51" s="22" t="n">
        <v>-0.0076</v>
      </c>
      <c r="M51" s="16" t="inlineStr">
        <is>
          <t>Yes</t>
        </is>
      </c>
      <c r="N51" s="20" t="n">
        <v>27</v>
      </c>
      <c r="O51" s="19" t="n">
        <v>0.0236</v>
      </c>
    </row>
    <row r="52">
      <c r="A52" s="16" t="inlineStr">
        <is>
          <t>Tea &amp; Coffee</t>
        </is>
      </c>
      <c r="B52" s="20" t="n">
        <v>5</v>
      </c>
      <c r="C52" s="21">
        <f>B52/SUM($B$2:$B$121)</f>
        <v/>
      </c>
      <c r="D52" s="18" t="n">
        <v>199.23</v>
      </c>
      <c r="E52" s="19" t="n">
        <v>-0.0014</v>
      </c>
      <c r="F52" s="20" t="n">
        <v>32</v>
      </c>
      <c r="G52" s="16" t="inlineStr">
        <is>
          <t>red</t>
        </is>
      </c>
      <c r="H52" s="20" t="n">
        <v>31</v>
      </c>
      <c r="I52" s="18" t="n">
        <v>54.73</v>
      </c>
      <c r="J52" s="18" t="n">
        <v>205.17</v>
      </c>
      <c r="K52" s="18" t="n">
        <v>193.93</v>
      </c>
      <c r="L52" s="22" t="n">
        <v>0.0016</v>
      </c>
      <c r="M52" s="16" t="inlineStr">
        <is>
          <t>Yes</t>
        </is>
      </c>
      <c r="N52" s="20" t="n">
        <v>86</v>
      </c>
      <c r="O52" s="19" t="n">
        <v>0.0579</v>
      </c>
    </row>
    <row r="53">
      <c r="A53" s="16" t="inlineStr">
        <is>
          <t>Other Telecom Services</t>
        </is>
      </c>
      <c r="B53" s="20" t="n">
        <v>6</v>
      </c>
      <c r="C53" s="21">
        <f>B53/SUM($B$2:$B$121)</f>
        <v/>
      </c>
      <c r="D53" s="18" t="n">
        <v>142.82</v>
      </c>
      <c r="E53" s="19" t="n">
        <v>0.004</v>
      </c>
      <c r="F53" s="20" t="n">
        <v>6</v>
      </c>
      <c r="G53" s="16" t="inlineStr">
        <is>
          <t>red</t>
        </is>
      </c>
      <c r="H53" s="20" t="n">
        <v>118</v>
      </c>
      <c r="I53" s="18" t="n">
        <v>6.92</v>
      </c>
      <c r="J53" s="18" t="n">
        <v>159.36</v>
      </c>
      <c r="K53" s="18" t="n">
        <v>158.81</v>
      </c>
      <c r="L53" s="22" t="n">
        <v>-0.0102</v>
      </c>
      <c r="M53" s="16" t="inlineStr">
        <is>
          <t>Yes</t>
        </is>
      </c>
      <c r="N53" s="20" t="n">
        <v>33</v>
      </c>
      <c r="O53" s="19" t="n">
        <v>0.0035</v>
      </c>
    </row>
    <row r="54">
      <c r="A54" s="16" t="inlineStr">
        <is>
          <t>Castings &amp; Forgings</t>
        </is>
      </c>
      <c r="B54" s="20" t="n">
        <v>14</v>
      </c>
      <c r="C54" s="21">
        <f>B54/SUM($B$2:$B$121)</f>
        <v/>
      </c>
      <c r="D54" s="18" t="n">
        <v>591.88</v>
      </c>
      <c r="E54" s="19" t="n">
        <v>0.0027</v>
      </c>
      <c r="F54" s="20" t="n">
        <v>95</v>
      </c>
      <c r="G54" s="16" t="inlineStr">
        <is>
          <t>green</t>
        </is>
      </c>
      <c r="H54" s="20" t="n">
        <v>58</v>
      </c>
      <c r="I54" s="18" t="n">
        <v>67.81</v>
      </c>
      <c r="J54" s="18" t="n">
        <v>540.51</v>
      </c>
      <c r="K54" s="18" t="n">
        <v>431.37</v>
      </c>
      <c r="L54" s="22" t="n">
        <v>0.0525</v>
      </c>
      <c r="M54" s="16" t="inlineStr">
        <is>
          <t>Yes</t>
        </is>
      </c>
      <c r="N54" s="20" t="n">
        <v>115</v>
      </c>
      <c r="O54" s="19" t="n">
        <v>0.253</v>
      </c>
    </row>
    <row r="55">
      <c r="A55" s="16" t="inlineStr">
        <is>
          <t>Microfinance Institutions</t>
        </is>
      </c>
      <c r="B55" s="20" t="n">
        <v>14</v>
      </c>
      <c r="C55" s="21">
        <f>B55/SUM($B$2:$B$121)</f>
        <v/>
      </c>
      <c r="D55" s="18" t="n">
        <v>146.01</v>
      </c>
      <c r="E55" s="19" t="n">
        <v>0.0002</v>
      </c>
      <c r="F55" s="20" t="n">
        <v>55</v>
      </c>
      <c r="G55" s="16" t="inlineStr">
        <is>
          <t>red</t>
        </is>
      </c>
      <c r="H55" s="20" t="n">
        <v>4</v>
      </c>
      <c r="I55" s="18" t="n">
        <v>41.38</v>
      </c>
      <c r="J55" s="18" t="n">
        <v>151.21</v>
      </c>
      <c r="K55" s="18" t="n">
        <v>132.72</v>
      </c>
      <c r="L55" s="22" t="n">
        <v>0.0145</v>
      </c>
      <c r="M55" s="16" t="inlineStr">
        <is>
          <t>Yes</t>
        </is>
      </c>
      <c r="N55" s="20" t="n">
        <v>65</v>
      </c>
      <c r="O55" s="19" t="n">
        <v>0.1393</v>
      </c>
    </row>
    <row r="56">
      <c r="A56" s="16" t="inlineStr">
        <is>
          <t>Other Electrical Equipment/Products</t>
        </is>
      </c>
      <c r="B56" s="20" t="n">
        <v>40</v>
      </c>
      <c r="C56" s="21">
        <f>B56/SUM($B$2:$B$121)</f>
        <v/>
      </c>
      <c r="D56" s="18" t="n">
        <v>1386.46</v>
      </c>
      <c r="E56" s="19" t="n">
        <v>0.0024</v>
      </c>
      <c r="F56" s="20" t="n">
        <v>77</v>
      </c>
      <c r="G56" s="16" t="inlineStr">
        <is>
          <t>amber</t>
        </is>
      </c>
      <c r="H56" s="20" t="n">
        <v>5</v>
      </c>
      <c r="I56" s="18" t="n">
        <v>61.55</v>
      </c>
      <c r="J56" s="18" t="n">
        <v>1352.51</v>
      </c>
      <c r="K56" s="18" t="n">
        <v>1155.89</v>
      </c>
      <c r="L56" s="22" t="n">
        <v>0.0204</v>
      </c>
      <c r="M56" s="16" t="inlineStr">
        <is>
          <t>Yes</t>
        </is>
      </c>
      <c r="N56" s="20" t="n">
        <v>81</v>
      </c>
      <c r="O56" s="19" t="n">
        <v>0.1701</v>
      </c>
    </row>
    <row r="57">
      <c r="A57" s="16" t="inlineStr">
        <is>
          <t>General Insurance</t>
        </is>
      </c>
      <c r="B57" s="20" t="n">
        <v>6</v>
      </c>
      <c r="C57" s="21">
        <f>B57/SUM($B$2:$B$121)</f>
        <v/>
      </c>
      <c r="D57" s="18" t="n">
        <v>146.31</v>
      </c>
      <c r="E57" s="19" t="n">
        <v>0.0342</v>
      </c>
      <c r="F57" s="20" t="n">
        <v>29</v>
      </c>
      <c r="G57" s="16" t="inlineStr">
        <is>
          <t>red</t>
        </is>
      </c>
      <c r="H57" s="20" t="n">
        <v>98</v>
      </c>
      <c r="I57" s="18" t="n">
        <v>67.01000000000001</v>
      </c>
      <c r="J57" s="18" t="n">
        <v>145.31</v>
      </c>
      <c r="K57" s="18" t="n">
        <v>141.93</v>
      </c>
      <c r="L57" s="22" t="n">
        <v>-0.004</v>
      </c>
      <c r="M57" s="16" t="inlineStr">
        <is>
          <t>Yes</t>
        </is>
      </c>
      <c r="N57" s="20" t="n">
        <v>62</v>
      </c>
      <c r="O57" s="19" t="n">
        <v>0.0238</v>
      </c>
    </row>
    <row r="58">
      <c r="A58" s="16" t="inlineStr">
        <is>
          <t>Housing Finance</t>
        </is>
      </c>
      <c r="B58" s="20" t="n">
        <v>12</v>
      </c>
      <c r="C58" s="21">
        <f>B58/SUM($B$2:$B$121)</f>
        <v/>
      </c>
      <c r="D58" s="18" t="n">
        <v>149.78</v>
      </c>
      <c r="E58" s="19" t="n">
        <v>0.008199999999999999</v>
      </c>
      <c r="F58" s="20" t="n">
        <v>25</v>
      </c>
      <c r="G58" s="16" t="inlineStr">
        <is>
          <t>red</t>
        </is>
      </c>
      <c r="H58" s="20" t="n">
        <v>150</v>
      </c>
      <c r="I58" s="18" t="n">
        <v>61.2</v>
      </c>
      <c r="J58" s="18" t="n">
        <v>153.07</v>
      </c>
      <c r="K58" s="18" t="n">
        <v>149.27</v>
      </c>
      <c r="L58" s="22" t="n">
        <v>-0.009000000000000001</v>
      </c>
      <c r="M58" s="16" t="inlineStr">
        <is>
          <t>Yes</t>
        </is>
      </c>
      <c r="N58" s="20" t="n">
        <v>55</v>
      </c>
      <c r="O58" s="19" t="n">
        <v>0.0255</v>
      </c>
    </row>
    <row r="59">
      <c r="A59" s="16" t="inlineStr">
        <is>
          <t>Iron &amp; Steel Products</t>
        </is>
      </c>
      <c r="B59" s="20" t="n">
        <v>38</v>
      </c>
      <c r="C59" s="21">
        <f>B59/SUM($B$2:$B$121)</f>
        <v/>
      </c>
      <c r="D59" s="18" t="n">
        <v>589.38</v>
      </c>
      <c r="E59" s="19" t="n">
        <v>0.0091</v>
      </c>
      <c r="F59" s="20" t="n">
        <v>86</v>
      </c>
      <c r="G59" s="16" t="inlineStr">
        <is>
          <t>green</t>
        </is>
      </c>
      <c r="H59" s="20" t="n">
        <v>104</v>
      </c>
      <c r="I59" s="18" t="n">
        <v>77.40000000000001</v>
      </c>
      <c r="J59" s="18" t="n">
        <v>558.26</v>
      </c>
      <c r="K59" s="18" t="n">
        <v>471.82</v>
      </c>
      <c r="L59" s="22" t="n">
        <v>0.0305</v>
      </c>
      <c r="M59" s="16" t="inlineStr">
        <is>
          <t>Yes</t>
        </is>
      </c>
      <c r="N59" s="20" t="n">
        <v>91</v>
      </c>
      <c r="O59" s="19" t="n">
        <v>0.1832</v>
      </c>
    </row>
    <row r="60">
      <c r="A60" s="16" t="inlineStr">
        <is>
          <t>Biotechnology</t>
        </is>
      </c>
      <c r="B60" s="20" t="n">
        <v>4</v>
      </c>
      <c r="C60" s="21">
        <f>B60/SUM($B$2:$B$121)</f>
        <v/>
      </c>
      <c r="D60" s="18" t="n">
        <v>132.9</v>
      </c>
      <c r="E60" s="19" t="n">
        <v>-0.0155</v>
      </c>
      <c r="F60" s="20" t="n">
        <v>17</v>
      </c>
      <c r="G60" s="16" t="inlineStr">
        <is>
          <t>red</t>
        </is>
      </c>
      <c r="H60" s="20" t="n">
        <v>31</v>
      </c>
      <c r="I60" s="18" t="n">
        <v>23.49</v>
      </c>
      <c r="J60" s="18" t="n">
        <v>141.34</v>
      </c>
      <c r="K60" s="18" t="n">
        <v>129.56</v>
      </c>
      <c r="L60" s="22" t="n">
        <v>0.0049</v>
      </c>
      <c r="M60" s="16" t="inlineStr">
        <is>
          <t>Yes</t>
        </is>
      </c>
      <c r="N60" s="20" t="n">
        <v>63</v>
      </c>
      <c r="O60" s="19" t="n">
        <v>0.091</v>
      </c>
    </row>
    <row r="61">
      <c r="A61" s="16" t="inlineStr">
        <is>
          <t>Abrasives &amp; Bearings</t>
        </is>
      </c>
      <c r="B61" s="20" t="n">
        <v>7</v>
      </c>
      <c r="C61" s="21">
        <f>B61/SUM($B$2:$B$121)</f>
        <v/>
      </c>
      <c r="D61" s="18" t="n">
        <v>185.36</v>
      </c>
      <c r="E61" s="19" t="n">
        <v>0.0022</v>
      </c>
      <c r="F61" s="20" t="n">
        <v>36</v>
      </c>
      <c r="G61" s="16" t="inlineStr">
        <is>
          <t>red</t>
        </is>
      </c>
      <c r="H61" s="20" t="n">
        <v>501</v>
      </c>
      <c r="I61" s="18" t="n">
        <v>40.41</v>
      </c>
      <c r="J61" s="18" t="n">
        <v>184.37</v>
      </c>
      <c r="K61" s="18" t="n">
        <v>170.44</v>
      </c>
      <c r="L61" s="22" t="n">
        <v>0.006</v>
      </c>
      <c r="M61" s="16" t="inlineStr">
        <is>
          <t>Yes</t>
        </is>
      </c>
      <c r="N61" s="20" t="n">
        <v>56</v>
      </c>
      <c r="O61" s="19" t="n">
        <v>0.08169999999999999</v>
      </c>
    </row>
    <row r="62">
      <c r="A62" s="16" t="inlineStr">
        <is>
          <t>Fertilizers</t>
        </is>
      </c>
      <c r="B62" s="20" t="n">
        <v>16</v>
      </c>
      <c r="C62" s="21">
        <f>B62/SUM($B$2:$B$121)</f>
        <v/>
      </c>
      <c r="D62" s="18" t="n">
        <v>442.79</v>
      </c>
      <c r="E62" s="19" t="n">
        <v>0.0029</v>
      </c>
      <c r="F62" s="20" t="n">
        <v>22</v>
      </c>
      <c r="G62" s="16" t="inlineStr">
        <is>
          <t>red</t>
        </is>
      </c>
      <c r="H62" s="20" t="n">
        <v>149</v>
      </c>
      <c r="I62" s="18" t="n">
        <v>45.17</v>
      </c>
      <c r="J62" s="18" t="n">
        <v>439.6</v>
      </c>
      <c r="K62" s="18" t="n">
        <v>431.4</v>
      </c>
      <c r="L62" s="22" t="n">
        <v>-0.0131</v>
      </c>
      <c r="M62" s="16" t="inlineStr">
        <is>
          <t>Yes</t>
        </is>
      </c>
      <c r="N62" s="20" t="n">
        <v>15</v>
      </c>
      <c r="O62" s="19" t="n">
        <v>0.019</v>
      </c>
    </row>
    <row r="63">
      <c r="A63" s="16" t="inlineStr">
        <is>
          <t>Auto Tyres &amp; Rubber Products</t>
        </is>
      </c>
      <c r="B63" s="20" t="n">
        <v>10</v>
      </c>
      <c r="C63" s="21">
        <f>B63/SUM($B$2:$B$121)</f>
        <v/>
      </c>
      <c r="D63" s="18" t="n">
        <v>256.55</v>
      </c>
      <c r="E63" s="19" t="n">
        <v>-0.0042</v>
      </c>
      <c r="F63" s="20" t="n">
        <v>48</v>
      </c>
      <c r="G63" s="16" t="inlineStr">
        <is>
          <t>red</t>
        </is>
      </c>
      <c r="H63" s="20" t="n">
        <v>14</v>
      </c>
      <c r="I63" s="18" t="n">
        <v>34.4</v>
      </c>
      <c r="J63" s="18" t="n">
        <v>253.05</v>
      </c>
      <c r="K63" s="18" t="n">
        <v>239.05</v>
      </c>
      <c r="L63" s="22" t="n">
        <v>0.004699999999999999</v>
      </c>
      <c r="M63" s="16" t="inlineStr">
        <is>
          <t>Yes</t>
        </is>
      </c>
      <c r="N63" s="20" t="n">
        <v>30</v>
      </c>
      <c r="O63" s="19" t="n">
        <v>0.05860000000000001</v>
      </c>
    </row>
    <row r="64">
      <c r="A64" s="16" t="inlineStr">
        <is>
          <t>Industrial Gases</t>
        </is>
      </c>
      <c r="B64" s="20" t="n">
        <v>3</v>
      </c>
      <c r="C64" s="21">
        <f>B64/SUM($B$2:$B$121)</f>
        <v/>
      </c>
      <c r="D64" s="18" t="n">
        <v>567.34</v>
      </c>
      <c r="E64" s="19" t="n">
        <v>0.0039</v>
      </c>
      <c r="F64" s="20" t="n">
        <v>26</v>
      </c>
      <c r="G64" s="16" t="inlineStr">
        <is>
          <t>red</t>
        </is>
      </c>
      <c r="H64" s="20" t="n">
        <v>289</v>
      </c>
      <c r="I64" s="18" t="n">
        <v>35.57</v>
      </c>
      <c r="J64" s="18" t="n">
        <v>574.5</v>
      </c>
      <c r="K64" s="18" t="n">
        <v>529.22</v>
      </c>
      <c r="L64" s="22" t="n">
        <v>-0.0113</v>
      </c>
      <c r="M64" s="16" t="inlineStr">
        <is>
          <t>Yes</t>
        </is>
      </c>
      <c r="N64" s="20" t="n">
        <v>52</v>
      </c>
      <c r="O64" s="19" t="n">
        <v>0.08560000000000001</v>
      </c>
    </row>
    <row r="65">
      <c r="A65" s="16" t="inlineStr">
        <is>
          <t>Copper</t>
        </is>
      </c>
      <c r="B65" s="20" t="n">
        <v>3</v>
      </c>
      <c r="C65" s="21">
        <f>B65/SUM($B$2:$B$121)</f>
        <v/>
      </c>
      <c r="D65" s="18" t="n">
        <v>1217.6</v>
      </c>
      <c r="E65" s="19" t="n">
        <v>0.011</v>
      </c>
      <c r="F65" s="20" t="n">
        <v>89</v>
      </c>
      <c r="G65" s="16" t="inlineStr">
        <is>
          <t>green</t>
        </is>
      </c>
      <c r="H65" s="20" t="n">
        <v>303</v>
      </c>
      <c r="I65" s="18" t="n">
        <v>39.17</v>
      </c>
      <c r="J65" s="18" t="n">
        <v>1178.87</v>
      </c>
      <c r="K65" s="18" t="n">
        <v>1126.87</v>
      </c>
      <c r="L65" s="22" t="n">
        <v>0.03240000000000001</v>
      </c>
      <c r="M65" s="16" t="inlineStr">
        <is>
          <t>Yes</t>
        </is>
      </c>
      <c r="N65" s="20" t="n">
        <v>298</v>
      </c>
      <c r="O65" s="19" t="n">
        <v>0.0461</v>
      </c>
    </row>
    <row r="66">
      <c r="A66" s="16" t="inlineStr">
        <is>
          <t>Agrochemicals</t>
        </is>
      </c>
      <c r="B66" s="20" t="n">
        <v>26</v>
      </c>
      <c r="C66" s="21">
        <f>B66/SUM($B$2:$B$121)</f>
        <v/>
      </c>
      <c r="D66" s="18" t="n">
        <v>123.07</v>
      </c>
      <c r="E66" s="19" t="n">
        <v>-0.0024</v>
      </c>
      <c r="F66" s="20" t="n">
        <v>20</v>
      </c>
      <c r="G66" s="16" t="inlineStr">
        <is>
          <t>red</t>
        </is>
      </c>
      <c r="H66" s="20" t="n">
        <v>236</v>
      </c>
      <c r="I66" s="18" t="n">
        <v>63.36</v>
      </c>
      <c r="J66" s="18" t="n">
        <v>119.98</v>
      </c>
      <c r="K66" s="18" t="n">
        <v>119.06</v>
      </c>
      <c r="L66" s="22" t="n">
        <v>-0.0083</v>
      </c>
      <c r="M66" s="16" t="inlineStr">
        <is>
          <t>Yes</t>
        </is>
      </c>
      <c r="N66" s="20" t="n">
        <v>7</v>
      </c>
      <c r="O66" s="19" t="n">
        <v>0.0077</v>
      </c>
    </row>
    <row r="67">
      <c r="A67" s="16" t="inlineStr">
        <is>
          <t>Plastic Products</t>
        </is>
      </c>
      <c r="B67" s="20" t="n">
        <v>22</v>
      </c>
      <c r="C67" s="21">
        <f>B67/SUM($B$2:$B$121)</f>
        <v/>
      </c>
      <c r="D67" s="18" t="n">
        <v>329.45</v>
      </c>
      <c r="E67" s="19" t="n">
        <v>0.0048</v>
      </c>
      <c r="F67" s="20" t="n">
        <v>64</v>
      </c>
      <c r="G67" s="16" t="inlineStr">
        <is>
          <t>amber</t>
        </is>
      </c>
      <c r="H67" s="20" t="n">
        <v>8</v>
      </c>
      <c r="I67" s="18" t="n">
        <v>76.34999999999999</v>
      </c>
      <c r="J67" s="18" t="n">
        <v>307.19</v>
      </c>
      <c r="K67" s="18" t="n">
        <v>281.46</v>
      </c>
      <c r="L67" s="22" t="n">
        <v>0.009899999999999999</v>
      </c>
      <c r="M67" s="16" t="inlineStr">
        <is>
          <t>Yes</t>
        </is>
      </c>
      <c r="N67" s="20" t="n">
        <v>47</v>
      </c>
      <c r="O67" s="19" t="n">
        <v>0.09140000000000001</v>
      </c>
    </row>
    <row r="68">
      <c r="A68" s="16" t="inlineStr">
        <is>
          <t>Commodity Chemicals</t>
        </is>
      </c>
      <c r="B68" s="20" t="n">
        <v>38</v>
      </c>
      <c r="C68" s="21">
        <f>B68/SUM($B$2:$B$121)</f>
        <v/>
      </c>
      <c r="D68" s="18" t="n">
        <v>218.26</v>
      </c>
      <c r="E68" s="19" t="n">
        <v>0.0029</v>
      </c>
      <c r="F68" s="20" t="n">
        <v>37</v>
      </c>
      <c r="G68" s="16" t="inlineStr">
        <is>
          <t>red</t>
        </is>
      </c>
      <c r="H68" s="20" t="n">
        <v>249</v>
      </c>
      <c r="I68" s="18" t="n">
        <v>50.44</v>
      </c>
      <c r="J68" s="18" t="n">
        <v>216.36</v>
      </c>
      <c r="K68" s="18" t="n">
        <v>201.24</v>
      </c>
      <c r="L68" s="22" t="n">
        <v>-0.0014</v>
      </c>
      <c r="M68" s="16" t="inlineStr">
        <is>
          <t>Yes</t>
        </is>
      </c>
      <c r="N68" s="20" t="n">
        <v>56</v>
      </c>
      <c r="O68" s="19" t="n">
        <v>0.0751</v>
      </c>
    </row>
    <row r="69">
      <c r="A69" s="16" t="inlineStr">
        <is>
          <t>IT Networking Equipment</t>
        </is>
      </c>
      <c r="B69" s="20" t="n">
        <v>4</v>
      </c>
      <c r="C69" s="21">
        <f>B69/SUM($B$2:$B$121)</f>
        <v/>
      </c>
      <c r="D69" s="18" t="n">
        <v>768.9</v>
      </c>
      <c r="E69" s="19" t="n">
        <v>-0.0148</v>
      </c>
      <c r="F69" s="20" t="n">
        <v>90</v>
      </c>
      <c r="G69" s="16" t="inlineStr">
        <is>
          <t>green</t>
        </is>
      </c>
      <c r="H69" s="20" t="n">
        <v>114</v>
      </c>
      <c r="I69" s="18" t="n">
        <v>45.69</v>
      </c>
      <c r="J69" s="18" t="n">
        <v>746.49</v>
      </c>
      <c r="K69" s="18" t="n">
        <v>591.36</v>
      </c>
      <c r="L69" s="22" t="n">
        <v>0.045</v>
      </c>
      <c r="M69" s="16" t="inlineStr">
        <is>
          <t>Yes</t>
        </is>
      </c>
      <c r="N69" s="20" t="n">
        <v>99</v>
      </c>
      <c r="O69" s="19" t="n">
        <v>0.2623</v>
      </c>
    </row>
    <row r="70">
      <c r="A70" s="16" t="inlineStr">
        <is>
          <t>Textiles</t>
        </is>
      </c>
      <c r="B70" s="20" t="n">
        <v>62</v>
      </c>
      <c r="C70" s="21">
        <f>B70/SUM($B$2:$B$121)</f>
        <v/>
      </c>
      <c r="D70" s="18" t="n">
        <v>391.16</v>
      </c>
      <c r="E70" s="19" t="n">
        <v>0.013</v>
      </c>
      <c r="F70" s="20" t="n">
        <v>67</v>
      </c>
      <c r="G70" s="16" t="inlineStr">
        <is>
          <t>amber</t>
        </is>
      </c>
      <c r="H70" s="20" t="n">
        <v>57</v>
      </c>
      <c r="I70" s="18" t="n">
        <v>77.92</v>
      </c>
      <c r="J70" s="18" t="n">
        <v>380.12</v>
      </c>
      <c r="K70" s="18" t="n">
        <v>334.82</v>
      </c>
      <c r="L70" s="22" t="n">
        <v>0.0161</v>
      </c>
      <c r="M70" s="16" t="inlineStr">
        <is>
          <t>Yes</t>
        </is>
      </c>
      <c r="N70" s="20" t="n">
        <v>80</v>
      </c>
      <c r="O70" s="19" t="n">
        <v>0.1353</v>
      </c>
    </row>
    <row r="71">
      <c r="A71" s="16" t="inlineStr">
        <is>
          <t>Diversified</t>
        </is>
      </c>
      <c r="B71" s="20" t="n">
        <v>7</v>
      </c>
      <c r="C71" s="21">
        <f>B71/SUM($B$2:$B$121)</f>
        <v/>
      </c>
      <c r="D71" s="18" t="n">
        <v>196.84</v>
      </c>
      <c r="E71" s="19" t="n">
        <v>0.009899999999999999</v>
      </c>
      <c r="F71" s="20" t="n">
        <v>39</v>
      </c>
      <c r="G71" s="16" t="inlineStr">
        <is>
          <t>red</t>
        </is>
      </c>
      <c r="H71" s="20" t="n">
        <v>233</v>
      </c>
      <c r="I71" s="18" t="n">
        <v>55.68</v>
      </c>
      <c r="J71" s="18" t="n">
        <v>194.85</v>
      </c>
      <c r="K71" s="18" t="n">
        <v>181.38</v>
      </c>
      <c r="L71" s="22" t="n">
        <v>0.0014</v>
      </c>
      <c r="M71" s="16" t="inlineStr">
        <is>
          <t>Yes</t>
        </is>
      </c>
      <c r="N71" s="20" t="n">
        <v>52</v>
      </c>
      <c r="O71" s="19" t="n">
        <v>0.07429999999999999</v>
      </c>
    </row>
    <row r="72">
      <c r="A72" s="16" t="inlineStr">
        <is>
          <t>Warehousing &amp; Logistics</t>
        </is>
      </c>
      <c r="B72" s="20" t="n">
        <v>24</v>
      </c>
      <c r="C72" s="21">
        <f>B72/SUM($B$2:$B$121)</f>
        <v/>
      </c>
      <c r="D72" s="18" t="n">
        <v>193.27</v>
      </c>
      <c r="E72" s="19" t="n">
        <v>-0.0009</v>
      </c>
      <c r="F72" s="20" t="n">
        <v>63</v>
      </c>
      <c r="G72" s="16" t="inlineStr">
        <is>
          <t>amber</t>
        </is>
      </c>
      <c r="H72" s="20" t="n">
        <v>11</v>
      </c>
      <c r="I72" s="18" t="n">
        <v>59.45</v>
      </c>
      <c r="J72" s="18" t="n">
        <v>183.9</v>
      </c>
      <c r="K72" s="18" t="n">
        <v>165.62</v>
      </c>
      <c r="L72" s="22" t="n">
        <v>0.0092</v>
      </c>
      <c r="M72" s="16" t="inlineStr">
        <is>
          <t>Yes</t>
        </is>
      </c>
      <c r="N72" s="20" t="n">
        <v>55</v>
      </c>
      <c r="O72" s="19" t="n">
        <v>0.1104</v>
      </c>
    </row>
    <row r="73">
      <c r="A73" s="16" t="inlineStr">
        <is>
          <t>Telecom Cables</t>
        </is>
      </c>
      <c r="B73" s="20" t="n">
        <v>4</v>
      </c>
      <c r="C73" s="21">
        <f>B73/SUM($B$2:$B$121)</f>
        <v/>
      </c>
      <c r="D73" s="18" t="n">
        <v>306.49</v>
      </c>
      <c r="E73" s="19" t="n">
        <v>0.0395</v>
      </c>
      <c r="F73" s="20" t="n">
        <v>99</v>
      </c>
      <c r="G73" s="16" t="inlineStr">
        <is>
          <t>green</t>
        </is>
      </c>
      <c r="H73" s="20" t="n">
        <v>130</v>
      </c>
      <c r="I73" s="18" t="n">
        <v>76.77</v>
      </c>
      <c r="J73" s="18" t="n">
        <v>260.7</v>
      </c>
      <c r="K73" s="18" t="n">
        <v>172.04</v>
      </c>
      <c r="L73" s="22" t="n">
        <v>0.1061</v>
      </c>
      <c r="M73" s="16" t="inlineStr">
        <is>
          <t>Yes</t>
        </is>
      </c>
      <c r="N73" s="20" t="n">
        <v>105</v>
      </c>
      <c r="O73" s="19" t="n">
        <v>0.5154</v>
      </c>
    </row>
    <row r="74">
      <c r="A74" s="16" t="inlineStr">
        <is>
          <t>Travel Support Services</t>
        </is>
      </c>
      <c r="B74" s="20" t="n">
        <v>7</v>
      </c>
      <c r="C74" s="21">
        <f>B74/SUM($B$2:$B$121)</f>
        <v/>
      </c>
      <c r="D74" s="18" t="n">
        <v>224.66</v>
      </c>
      <c r="E74" s="19" t="n">
        <v>0.008399999999999999</v>
      </c>
      <c r="F74" s="20" t="n">
        <v>7</v>
      </c>
      <c r="G74" s="16" t="inlineStr">
        <is>
          <t>red</t>
        </is>
      </c>
      <c r="H74" s="20" t="n">
        <v>161</v>
      </c>
      <c r="I74" s="18" t="n">
        <v>40.82</v>
      </c>
      <c r="J74" s="18" t="n">
        <v>227.6</v>
      </c>
      <c r="K74" s="18" t="n">
        <v>237.07</v>
      </c>
      <c r="L74" s="22" t="n">
        <v>-0.0246</v>
      </c>
      <c r="M74" s="16" t="inlineStr">
        <is>
          <t>No</t>
        </is>
      </c>
      <c r="N74" s="20" t="n">
        <v>147</v>
      </c>
      <c r="O74" s="19" t="n">
        <v>-0.0399</v>
      </c>
    </row>
    <row r="75">
      <c r="A75" s="16" t="inlineStr">
        <is>
          <t>Edible Oils</t>
        </is>
      </c>
      <c r="B75" s="20" t="n">
        <v>11</v>
      </c>
      <c r="C75" s="21">
        <f>B75/SUM($B$2:$B$121)</f>
        <v/>
      </c>
      <c r="D75" s="18" t="n">
        <v>542.62</v>
      </c>
      <c r="E75" s="19" t="n">
        <v>-0.0029</v>
      </c>
      <c r="F75" s="20" t="n">
        <v>40</v>
      </c>
      <c r="G75" s="16" t="inlineStr">
        <is>
          <t>red</t>
        </is>
      </c>
      <c r="H75" s="20" t="n">
        <v>59</v>
      </c>
      <c r="I75" s="18" t="n">
        <v>44.97</v>
      </c>
      <c r="J75" s="18" t="n">
        <v>538.11</v>
      </c>
      <c r="K75" s="18" t="n">
        <v>505.82</v>
      </c>
      <c r="L75" s="22" t="n">
        <v>-0.0016</v>
      </c>
      <c r="M75" s="16" t="inlineStr">
        <is>
          <t>Yes</t>
        </is>
      </c>
      <c r="N75" s="20" t="n">
        <v>60</v>
      </c>
      <c r="O75" s="19" t="n">
        <v>0.0638</v>
      </c>
    </row>
    <row r="76">
      <c r="A76" s="16" t="inlineStr">
        <is>
          <t>Education</t>
        </is>
      </c>
      <c r="B76" s="20" t="n">
        <v>7</v>
      </c>
      <c r="C76" s="21">
        <f>B76/SUM($B$2:$B$121)</f>
        <v/>
      </c>
      <c r="D76" s="18" t="n">
        <v>1929.05</v>
      </c>
      <c r="E76" s="19" t="n">
        <v>0.008100000000000001</v>
      </c>
      <c r="F76" s="20" t="n">
        <v>23</v>
      </c>
      <c r="G76" s="16" t="inlineStr">
        <is>
          <t>red</t>
        </is>
      </c>
      <c r="H76" s="20" t="n">
        <v>39</v>
      </c>
      <c r="I76" s="18" t="n">
        <v>45.21</v>
      </c>
      <c r="J76" s="18" t="n">
        <v>1970.8</v>
      </c>
      <c r="K76" s="18" t="n">
        <v>1910.8</v>
      </c>
      <c r="L76" s="22" t="n">
        <v>0.0074</v>
      </c>
      <c r="M76" s="16" t="inlineStr">
        <is>
          <t>Yes</t>
        </is>
      </c>
      <c r="N76" s="20" t="n">
        <v>61</v>
      </c>
      <c r="O76" s="19" t="n">
        <v>0.0314</v>
      </c>
    </row>
    <row r="77">
      <c r="A77" s="16" t="inlineStr">
        <is>
          <t>Other Financial Services</t>
        </is>
      </c>
      <c r="B77" s="20" t="n">
        <v>37</v>
      </c>
      <c r="C77" s="21">
        <f>B77/SUM($B$2:$B$121)</f>
        <v/>
      </c>
      <c r="D77" s="18" t="n">
        <v>1138.2</v>
      </c>
      <c r="E77" s="19" t="n">
        <v>0.0092</v>
      </c>
      <c r="F77" s="20" t="n">
        <v>57</v>
      </c>
      <c r="G77" s="16" t="inlineStr">
        <is>
          <t>red</t>
        </is>
      </c>
      <c r="H77" s="20" t="n">
        <v>15</v>
      </c>
      <c r="I77" s="18" t="n">
        <v>71.75</v>
      </c>
      <c r="J77" s="18" t="n">
        <v>1116.15</v>
      </c>
      <c r="K77" s="18" t="n">
        <v>1116.32</v>
      </c>
      <c r="L77" s="22" t="n">
        <v>0.0185</v>
      </c>
      <c r="M77" s="16" t="inlineStr">
        <is>
          <t>No</t>
        </is>
      </c>
      <c r="N77" s="20" t="n">
        <v>9</v>
      </c>
      <c r="O77" s="19" t="n">
        <v>-0.0002</v>
      </c>
    </row>
    <row r="78">
      <c r="A78" s="16" t="inlineStr">
        <is>
          <t>IT Software Products</t>
        </is>
      </c>
      <c r="B78" s="20" t="n">
        <v>16</v>
      </c>
      <c r="C78" s="21">
        <f>B78/SUM($B$2:$B$121)</f>
        <v/>
      </c>
      <c r="D78" s="18" t="n">
        <v>275.66</v>
      </c>
      <c r="E78" s="19" t="n">
        <v>0.0049</v>
      </c>
      <c r="F78" s="20" t="n">
        <v>13</v>
      </c>
      <c r="G78" s="16" t="inlineStr">
        <is>
          <t>red</t>
        </is>
      </c>
      <c r="H78" s="20" t="n">
        <v>408</v>
      </c>
      <c r="I78" s="18" t="n">
        <v>48.46</v>
      </c>
      <c r="J78" s="18" t="n">
        <v>283.35</v>
      </c>
      <c r="K78" s="18" t="n">
        <v>281.21</v>
      </c>
      <c r="L78" s="22" t="n">
        <v>-0.0211</v>
      </c>
      <c r="M78" s="16" t="inlineStr">
        <is>
          <t>Yes</t>
        </is>
      </c>
      <c r="N78" s="20" t="n">
        <v>12</v>
      </c>
      <c r="O78" s="19" t="n">
        <v>0.0076</v>
      </c>
    </row>
    <row r="79">
      <c r="A79" s="16" t="inlineStr">
        <is>
          <t>Restaurants</t>
        </is>
      </c>
      <c r="B79" s="20" t="n">
        <v>9</v>
      </c>
      <c r="C79" s="21">
        <f>B79/SUM($B$2:$B$121)</f>
        <v/>
      </c>
      <c r="D79" s="18" t="n">
        <v>130.97</v>
      </c>
      <c r="E79" s="19" t="n">
        <v>0.0061</v>
      </c>
      <c r="F79" s="20" t="n">
        <v>75</v>
      </c>
      <c r="G79" s="16" t="inlineStr">
        <is>
          <t>amber</t>
        </is>
      </c>
      <c r="H79" s="20" t="n">
        <v>6</v>
      </c>
      <c r="I79" s="18" t="n">
        <v>41.64</v>
      </c>
      <c r="J79" s="18" t="n">
        <v>123.84</v>
      </c>
      <c r="K79" s="18" t="n">
        <v>105.79</v>
      </c>
      <c r="L79" s="22" t="n">
        <v>0.0219</v>
      </c>
      <c r="M79" s="16" t="inlineStr">
        <is>
          <t>Yes</t>
        </is>
      </c>
      <c r="N79" s="20" t="n">
        <v>51</v>
      </c>
      <c r="O79" s="19" t="n">
        <v>0.1706</v>
      </c>
    </row>
    <row r="80">
      <c r="A80" s="16" t="inlineStr">
        <is>
          <t>Healthcare Services</t>
        </is>
      </c>
      <c r="B80" s="20" t="n">
        <v>18</v>
      </c>
      <c r="C80" s="21">
        <f>B80/SUM($B$2:$B$121)</f>
        <v/>
      </c>
      <c r="D80" s="18" t="n">
        <v>304.18</v>
      </c>
      <c r="E80" s="19" t="n">
        <v>-0.0007000000000000001</v>
      </c>
      <c r="F80" s="20" t="n">
        <v>81</v>
      </c>
      <c r="G80" s="16" t="inlineStr">
        <is>
          <t>green</t>
        </is>
      </c>
      <c r="H80" s="20" t="n">
        <v>48</v>
      </c>
      <c r="I80" s="18" t="n">
        <v>72.7</v>
      </c>
      <c r="J80" s="18" t="n">
        <v>287.19</v>
      </c>
      <c r="K80" s="18" t="n">
        <v>248.11</v>
      </c>
      <c r="L80" s="22" t="n">
        <v>0.0291</v>
      </c>
      <c r="M80" s="16" t="inlineStr">
        <is>
          <t>Yes</t>
        </is>
      </c>
      <c r="N80" s="20" t="n">
        <v>78</v>
      </c>
      <c r="O80" s="19" t="n">
        <v>0.1575</v>
      </c>
    </row>
    <row r="81">
      <c r="A81" s="16" t="inlineStr">
        <is>
          <t>Special Consumer Services</t>
        </is>
      </c>
      <c r="B81" s="20" t="n">
        <v>6</v>
      </c>
      <c r="C81" s="21">
        <f>B81/SUM($B$2:$B$121)</f>
        <v/>
      </c>
      <c r="D81" s="18" t="n">
        <v>94.56</v>
      </c>
      <c r="E81" s="19" t="n">
        <v>0.0221</v>
      </c>
      <c r="F81" s="20" t="n">
        <v>52</v>
      </c>
      <c r="G81" s="16" t="inlineStr">
        <is>
          <t>red</t>
        </is>
      </c>
      <c r="H81" s="20" t="n">
        <v>197</v>
      </c>
      <c r="I81" s="18" t="n">
        <v>69.93000000000001</v>
      </c>
      <c r="J81" s="18" t="n">
        <v>86.76000000000001</v>
      </c>
      <c r="K81" s="18" t="n">
        <v>83.86</v>
      </c>
      <c r="L81" s="22" t="n">
        <v>-0.0168</v>
      </c>
      <c r="M81" s="16" t="inlineStr">
        <is>
          <t>Yes</t>
        </is>
      </c>
      <c r="N81" s="20" t="n">
        <v>11</v>
      </c>
      <c r="O81" s="19" t="n">
        <v>0.0346</v>
      </c>
    </row>
    <row r="82">
      <c r="A82" s="16" t="inlineStr">
        <is>
          <t>Telecom Equipment</t>
        </is>
      </c>
      <c r="B82" s="20" t="n">
        <v>10</v>
      </c>
      <c r="C82" s="21">
        <f>B82/SUM($B$2:$B$121)</f>
        <v/>
      </c>
      <c r="D82" s="18" t="n">
        <v>601.73</v>
      </c>
      <c r="E82" s="19" t="n">
        <v>0.0317</v>
      </c>
      <c r="F82" s="20" t="n">
        <v>66</v>
      </c>
      <c r="G82" s="16" t="inlineStr">
        <is>
          <t>amber</t>
        </is>
      </c>
      <c r="H82" s="20" t="n">
        <v>6</v>
      </c>
      <c r="I82" s="18" t="n">
        <v>80.31</v>
      </c>
      <c r="J82" s="18" t="n">
        <v>560.58</v>
      </c>
      <c r="K82" s="18" t="n">
        <v>496.22</v>
      </c>
      <c r="L82" s="22" t="n">
        <v>0.009399999999999999</v>
      </c>
      <c r="M82" s="16" t="inlineStr">
        <is>
          <t>Yes</t>
        </is>
      </c>
      <c r="N82" s="20" t="n">
        <v>70</v>
      </c>
      <c r="O82" s="19" t="n">
        <v>0.1297</v>
      </c>
    </row>
    <row r="83">
      <c r="A83" s="16" t="inlineStr">
        <is>
          <t>Footwear</t>
        </is>
      </c>
      <c r="B83" s="20" t="n">
        <v>8</v>
      </c>
      <c r="C83" s="21">
        <f>B83/SUM($B$2:$B$121)</f>
        <v/>
      </c>
      <c r="D83" s="18" t="n">
        <v>106.68</v>
      </c>
      <c r="E83" s="19" t="n">
        <v>0.0069</v>
      </c>
      <c r="F83" s="20" t="n">
        <v>17</v>
      </c>
      <c r="G83" s="16" t="inlineStr">
        <is>
          <t>red</t>
        </is>
      </c>
      <c r="H83" s="20" t="n">
        <v>501</v>
      </c>
      <c r="I83" s="18" t="n">
        <v>30.27</v>
      </c>
      <c r="J83" s="18" t="n">
        <v>110.39</v>
      </c>
      <c r="K83" s="18" t="n">
        <v>108.9</v>
      </c>
      <c r="L83" s="22" t="n">
        <v>-0.0144</v>
      </c>
      <c r="M83" s="16" t="inlineStr">
        <is>
          <t>Yes</t>
        </is>
      </c>
      <c r="N83" s="20" t="n">
        <v>15</v>
      </c>
      <c r="O83" s="19" t="n">
        <v>0.0136</v>
      </c>
    </row>
    <row r="84">
      <c r="A84" s="16" t="inlineStr">
        <is>
          <t>Movies &amp; Entertainment</t>
        </is>
      </c>
      <c r="B84" s="20" t="n">
        <v>10</v>
      </c>
      <c r="C84" s="21">
        <f>B84/SUM($B$2:$B$121)</f>
        <v/>
      </c>
      <c r="D84" s="18" t="n">
        <v>662.3200000000001</v>
      </c>
      <c r="E84" s="19" t="n">
        <v>0.0285</v>
      </c>
      <c r="F84" s="20" t="n">
        <v>21</v>
      </c>
      <c r="G84" s="16" t="inlineStr">
        <is>
          <t>red</t>
        </is>
      </c>
      <c r="H84" s="20" t="n">
        <v>140</v>
      </c>
      <c r="I84" s="18" t="n">
        <v>75.63</v>
      </c>
      <c r="J84" s="18" t="n">
        <v>627.35</v>
      </c>
      <c r="K84" s="18" t="n">
        <v>636.78</v>
      </c>
      <c r="L84" s="22" t="n">
        <v>-0.0105</v>
      </c>
      <c r="M84" s="16" t="inlineStr">
        <is>
          <t>No</t>
        </is>
      </c>
      <c r="N84" s="20" t="n">
        <v>162</v>
      </c>
      <c r="O84" s="19" t="n">
        <v>-0.0148</v>
      </c>
    </row>
    <row r="85">
      <c r="A85" s="16" t="inlineStr">
        <is>
          <t>Roads &amp; Highways</t>
        </is>
      </c>
      <c r="B85" s="20" t="n">
        <v>6</v>
      </c>
      <c r="C85" s="21">
        <f>B85/SUM($B$2:$B$121)</f>
        <v/>
      </c>
      <c r="D85" s="18" t="n">
        <v>153.79</v>
      </c>
      <c r="E85" s="19" t="n">
        <v>-0.0027</v>
      </c>
      <c r="F85" s="20" t="n">
        <v>1</v>
      </c>
      <c r="G85" s="16" t="inlineStr">
        <is>
          <t>red</t>
        </is>
      </c>
      <c r="H85" s="20" t="n">
        <v>469</v>
      </c>
      <c r="I85" s="18" t="n">
        <v>23.37</v>
      </c>
      <c r="J85" s="18" t="n">
        <v>166.12</v>
      </c>
      <c r="K85" s="18" t="n">
        <v>177.87</v>
      </c>
      <c r="L85" s="22" t="n">
        <v>-0.0284</v>
      </c>
      <c r="M85" s="16" t="inlineStr">
        <is>
          <t>No</t>
        </is>
      </c>
      <c r="N85" s="20" t="n">
        <v>442</v>
      </c>
      <c r="O85" s="19" t="n">
        <v>-0.06610000000000001</v>
      </c>
    </row>
    <row r="86">
      <c r="A86" s="16" t="inlineStr">
        <is>
          <t>Misc. Commercial Services</t>
        </is>
      </c>
      <c r="B86" s="20" t="n">
        <v>20</v>
      </c>
      <c r="C86" s="21">
        <f>B86/SUM($B$2:$B$121)</f>
        <v/>
      </c>
      <c r="D86" s="18" t="n">
        <v>453.35</v>
      </c>
      <c r="E86" s="19" t="n">
        <v>0.0005</v>
      </c>
      <c r="F86" s="20" t="n">
        <v>69</v>
      </c>
      <c r="G86" s="16" t="inlineStr">
        <is>
          <t>amber</t>
        </is>
      </c>
      <c r="H86" s="20" t="n">
        <v>10</v>
      </c>
      <c r="I86" s="18" t="n">
        <v>84.05</v>
      </c>
      <c r="J86" s="18" t="n">
        <v>431.67</v>
      </c>
      <c r="K86" s="18" t="n">
        <v>382.04</v>
      </c>
      <c r="L86" s="22" t="n">
        <v>0.0095</v>
      </c>
      <c r="M86" s="16" t="inlineStr">
        <is>
          <t>Yes</t>
        </is>
      </c>
      <c r="N86" s="20" t="n">
        <v>59</v>
      </c>
      <c r="O86" s="19" t="n">
        <v>0.1299</v>
      </c>
    </row>
    <row r="87">
      <c r="A87" s="16" t="inlineStr">
        <is>
          <t>Compressors &amp; Pumps</t>
        </is>
      </c>
      <c r="B87" s="20" t="n">
        <v>10</v>
      </c>
      <c r="C87" s="21">
        <f>B87/SUM($B$2:$B$121)</f>
        <v/>
      </c>
      <c r="D87" s="18" t="n">
        <v>418.68</v>
      </c>
      <c r="E87" s="19" t="n">
        <v>0.0029</v>
      </c>
      <c r="F87" s="20" t="n">
        <v>31</v>
      </c>
      <c r="G87" s="16" t="inlineStr">
        <is>
          <t>red</t>
        </is>
      </c>
      <c r="H87" s="20" t="n">
        <v>47</v>
      </c>
      <c r="I87" s="18" t="n">
        <v>60.51</v>
      </c>
      <c r="J87" s="18" t="n">
        <v>421.9</v>
      </c>
      <c r="K87" s="18" t="n">
        <v>393.1</v>
      </c>
      <c r="L87" s="22" t="n">
        <v>-0.0061</v>
      </c>
      <c r="M87" s="16" t="inlineStr">
        <is>
          <t>Yes</t>
        </is>
      </c>
      <c r="N87" s="20" t="n">
        <v>56</v>
      </c>
      <c r="O87" s="19" t="n">
        <v>0.0733</v>
      </c>
    </row>
    <row r="88">
      <c r="A88" s="16" t="inlineStr">
        <is>
          <t>Ceramics</t>
        </is>
      </c>
      <c r="B88" s="20" t="n">
        <v>5</v>
      </c>
      <c r="C88" s="21">
        <f>B88/SUM($B$2:$B$121)</f>
        <v/>
      </c>
      <c r="D88" s="18" t="n">
        <v>159.86</v>
      </c>
      <c r="E88" s="19" t="n">
        <v>-0.0032</v>
      </c>
      <c r="F88" s="20" t="n">
        <v>61</v>
      </c>
      <c r="G88" s="16" t="inlineStr">
        <is>
          <t>amber</t>
        </is>
      </c>
      <c r="H88" s="20" t="n">
        <v>3</v>
      </c>
      <c r="I88" s="18" t="n">
        <v>74.90000000000001</v>
      </c>
      <c r="J88" s="18" t="n">
        <v>151.36</v>
      </c>
      <c r="K88" s="18" t="n">
        <v>140.12</v>
      </c>
      <c r="L88" s="22" t="n">
        <v>0.0086</v>
      </c>
      <c r="M88" s="16" t="inlineStr">
        <is>
          <t>Yes</t>
        </is>
      </c>
      <c r="N88" s="20" t="n">
        <v>75</v>
      </c>
      <c r="O88" s="19" t="n">
        <v>0.08019999999999999</v>
      </c>
    </row>
    <row r="89">
      <c r="A89" s="16" t="inlineStr">
        <is>
          <t>Shipping</t>
        </is>
      </c>
      <c r="B89" s="20" t="n">
        <v>6</v>
      </c>
      <c r="C89" s="21">
        <f>B89/SUM($B$2:$B$121)</f>
        <v/>
      </c>
      <c r="D89" s="18" t="n">
        <v>623.26</v>
      </c>
      <c r="E89" s="19" t="n">
        <v>0.0115</v>
      </c>
      <c r="F89" s="20" t="n">
        <v>96</v>
      </c>
      <c r="G89" s="16" t="inlineStr">
        <is>
          <t>green</t>
        </is>
      </c>
      <c r="H89" s="20" t="n">
        <v>280</v>
      </c>
      <c r="I89" s="18" t="n">
        <v>70.13</v>
      </c>
      <c r="J89" s="18" t="n">
        <v>582.98</v>
      </c>
      <c r="K89" s="18" t="n">
        <v>496.05</v>
      </c>
      <c r="L89" s="22" t="n">
        <v>0.0582</v>
      </c>
      <c r="M89" s="16" t="inlineStr">
        <is>
          <t>Yes</t>
        </is>
      </c>
      <c r="N89" s="20" t="n">
        <v>302</v>
      </c>
      <c r="O89" s="19" t="n">
        <v>0.1753</v>
      </c>
    </row>
    <row r="90">
      <c r="A90" s="16" t="inlineStr">
        <is>
          <t>Data Processing Services</t>
        </is>
      </c>
      <c r="B90" s="20" t="n">
        <v>3</v>
      </c>
      <c r="C90" s="21">
        <f>B90/SUM($B$2:$B$121)</f>
        <v/>
      </c>
      <c r="D90" s="18" t="n">
        <v>77.76000000000001</v>
      </c>
      <c r="E90" s="19" t="n">
        <v>0.0033</v>
      </c>
      <c r="F90" s="20" t="n">
        <v>3</v>
      </c>
      <c r="G90" s="16" t="inlineStr">
        <is>
          <t>red</t>
        </is>
      </c>
      <c r="H90" s="20" t="n">
        <v>145</v>
      </c>
      <c r="I90" s="18" t="n">
        <v>27.81</v>
      </c>
      <c r="J90" s="18" t="n">
        <v>82.13</v>
      </c>
      <c r="K90" s="18" t="n">
        <v>86.56999999999999</v>
      </c>
      <c r="L90" s="22" t="n">
        <v>-0.0228</v>
      </c>
      <c r="M90" s="16" t="inlineStr">
        <is>
          <t>No</t>
        </is>
      </c>
      <c r="N90" s="20" t="n">
        <v>140</v>
      </c>
      <c r="O90" s="19" t="n">
        <v>-0.0513</v>
      </c>
    </row>
    <row r="91">
      <c r="A91" s="16" t="inlineStr">
        <is>
          <t>Broadcasting &amp; Cable TV</t>
        </is>
      </c>
      <c r="B91" s="20" t="n">
        <v>13</v>
      </c>
      <c r="C91" s="21">
        <f>B91/SUM($B$2:$B$121)</f>
        <v/>
      </c>
      <c r="D91" s="18" t="n">
        <v>92.81999999999999</v>
      </c>
      <c r="E91" s="19" t="n">
        <v>0.015</v>
      </c>
      <c r="F91" s="20" t="n">
        <v>4</v>
      </c>
      <c r="G91" s="16" t="inlineStr">
        <is>
          <t>red</t>
        </is>
      </c>
      <c r="H91" s="20" t="n">
        <v>501</v>
      </c>
      <c r="I91" s="18" t="n">
        <v>39.16</v>
      </c>
      <c r="J91" s="18" t="n">
        <v>95.28</v>
      </c>
      <c r="K91" s="18" t="n">
        <v>97.95</v>
      </c>
      <c r="L91" s="22" t="n">
        <v>-0.0187</v>
      </c>
      <c r="M91" s="16" t="inlineStr">
        <is>
          <t>No</t>
        </is>
      </c>
      <c r="N91" s="20" t="n">
        <v>203</v>
      </c>
      <c r="O91" s="19" t="n">
        <v>-0.0273</v>
      </c>
    </row>
    <row r="92">
      <c r="A92" s="16" t="inlineStr">
        <is>
          <t>BPO/KPO</t>
        </is>
      </c>
      <c r="B92" s="20" t="n">
        <v>7</v>
      </c>
      <c r="C92" s="21">
        <f>B92/SUM($B$2:$B$121)</f>
        <v/>
      </c>
      <c r="D92" s="18" t="n">
        <v>1062.37</v>
      </c>
      <c r="E92" s="19" t="n">
        <v>0.0022</v>
      </c>
      <c r="F92" s="20" t="n">
        <v>92</v>
      </c>
      <c r="G92" s="16" t="inlineStr">
        <is>
          <t>green</t>
        </is>
      </c>
      <c r="H92" s="20" t="n">
        <v>39</v>
      </c>
      <c r="I92" s="18" t="n">
        <v>86.98999999999999</v>
      </c>
      <c r="J92" s="18" t="n">
        <v>942.1799999999999</v>
      </c>
      <c r="K92" s="18" t="n">
        <v>817.87</v>
      </c>
      <c r="L92" s="22" t="n">
        <v>0.0297</v>
      </c>
      <c r="M92" s="16" t="inlineStr">
        <is>
          <t>Yes</t>
        </is>
      </c>
      <c r="N92" s="20" t="n">
        <v>60</v>
      </c>
      <c r="O92" s="19" t="n">
        <v>0.152</v>
      </c>
    </row>
    <row r="93">
      <c r="A93" s="16" t="inlineStr">
        <is>
          <t>Consulting Services</t>
        </is>
      </c>
      <c r="B93" s="20" t="n">
        <v>4</v>
      </c>
      <c r="C93" s="21">
        <f>B93/SUM($B$2:$B$121)</f>
        <v/>
      </c>
      <c r="D93" s="18" t="n">
        <v>544.86</v>
      </c>
      <c r="E93" s="19" t="n">
        <v>0.0392</v>
      </c>
      <c r="F93" s="20" t="n">
        <v>82</v>
      </c>
      <c r="G93" s="16" t="inlineStr">
        <is>
          <t>green</t>
        </is>
      </c>
      <c r="H93" s="20" t="n">
        <v>1</v>
      </c>
      <c r="I93" s="18" t="n">
        <v>87.87</v>
      </c>
      <c r="J93" s="18" t="n">
        <v>491.84</v>
      </c>
      <c r="K93" s="18" t="n">
        <v>425.22</v>
      </c>
      <c r="L93" s="22" t="n">
        <v>0.0169</v>
      </c>
      <c r="M93" s="16" t="inlineStr">
        <is>
          <t>Yes</t>
        </is>
      </c>
      <c r="N93" s="20" t="n">
        <v>80</v>
      </c>
      <c r="O93" s="19" t="n">
        <v>0.1567</v>
      </c>
    </row>
    <row r="94">
      <c r="A94" s="16" t="inlineStr">
        <is>
          <t>Healthcare Supplies</t>
        </is>
      </c>
      <c r="B94" s="20" t="n">
        <v>4</v>
      </c>
      <c r="C94" s="21">
        <f>B94/SUM($B$2:$B$121)</f>
        <v/>
      </c>
      <c r="D94" s="18" t="n">
        <v>126.47</v>
      </c>
      <c r="E94" s="19" t="n">
        <v>0.004</v>
      </c>
      <c r="F94" s="20" t="n">
        <v>5</v>
      </c>
      <c r="G94" s="16" t="inlineStr">
        <is>
          <t>red</t>
        </is>
      </c>
      <c r="H94" s="20" t="n">
        <v>316</v>
      </c>
      <c r="I94" s="18" t="n">
        <v>53.03</v>
      </c>
      <c r="J94" s="18" t="n">
        <v>129.3</v>
      </c>
      <c r="K94" s="18" t="n">
        <v>132.33</v>
      </c>
      <c r="L94" s="22" t="n">
        <v>-0.0224</v>
      </c>
      <c r="M94" s="16" t="inlineStr">
        <is>
          <t>No</t>
        </is>
      </c>
      <c r="N94" s="20" t="n">
        <v>365</v>
      </c>
      <c r="O94" s="19" t="n">
        <v>-0.0229</v>
      </c>
    </row>
    <row r="95">
      <c r="A95" s="16" t="inlineStr">
        <is>
          <t>Forest Products</t>
        </is>
      </c>
      <c r="B95" s="20" t="n">
        <v>6</v>
      </c>
      <c r="C95" s="21">
        <f>B95/SUM($B$2:$B$121)</f>
        <v/>
      </c>
      <c r="D95" s="18" t="n">
        <v>295.26</v>
      </c>
      <c r="E95" s="19" t="n">
        <v>0.013</v>
      </c>
      <c r="F95" s="20" t="n">
        <v>59</v>
      </c>
      <c r="G95" s="16" t="inlineStr">
        <is>
          <t>red</t>
        </is>
      </c>
      <c r="H95" s="20" t="n">
        <v>9</v>
      </c>
      <c r="I95" s="18" t="n">
        <v>51.41</v>
      </c>
      <c r="J95" s="18" t="n">
        <v>297.9</v>
      </c>
      <c r="K95" s="18" t="n">
        <v>263.69</v>
      </c>
      <c r="L95" s="22" t="n">
        <v>0.0139</v>
      </c>
      <c r="M95" s="16" t="inlineStr">
        <is>
          <t>Yes</t>
        </is>
      </c>
      <c r="N95" s="20" t="n">
        <v>95</v>
      </c>
      <c r="O95" s="19" t="n">
        <v>0.1297</v>
      </c>
    </row>
    <row r="96">
      <c r="A96" s="16" t="inlineStr">
        <is>
          <t>Containers &amp; Packaging</t>
        </is>
      </c>
      <c r="B96" s="20" t="n">
        <v>22</v>
      </c>
      <c r="C96" s="21">
        <f>B96/SUM($B$2:$B$121)</f>
        <v/>
      </c>
      <c r="D96" s="18" t="n">
        <v>296.61</v>
      </c>
      <c r="E96" s="19" t="n">
        <v>-0.003</v>
      </c>
      <c r="F96" s="20" t="n">
        <v>80</v>
      </c>
      <c r="G96" s="16" t="inlineStr">
        <is>
          <t>green</t>
        </is>
      </c>
      <c r="H96" s="20" t="n">
        <v>19</v>
      </c>
      <c r="I96" s="18" t="n">
        <v>59.3</v>
      </c>
      <c r="J96" s="18" t="n">
        <v>278.65</v>
      </c>
      <c r="K96" s="18" t="n">
        <v>237.1</v>
      </c>
      <c r="L96" s="22" t="n">
        <v>0.0248</v>
      </c>
      <c r="M96" s="16" t="inlineStr">
        <is>
          <t>Yes</t>
        </is>
      </c>
      <c r="N96" s="20" t="n">
        <v>66</v>
      </c>
      <c r="O96" s="19" t="n">
        <v>0.1753</v>
      </c>
    </row>
    <row r="97">
      <c r="A97" s="16" t="inlineStr">
        <is>
          <t>Investment Companies</t>
        </is>
      </c>
      <c r="B97" s="20" t="n">
        <v>8</v>
      </c>
      <c r="C97" s="21">
        <f>B97/SUM($B$2:$B$121)</f>
        <v/>
      </c>
      <c r="D97" s="18" t="n">
        <v>365.23</v>
      </c>
      <c r="E97" s="19" t="n">
        <v>0.0011</v>
      </c>
      <c r="F97" s="20" t="n">
        <v>42</v>
      </c>
      <c r="G97" s="16" t="inlineStr">
        <is>
          <t>red</t>
        </is>
      </c>
      <c r="H97" s="20" t="n">
        <v>188</v>
      </c>
      <c r="I97" s="18" t="n">
        <v>55.89</v>
      </c>
      <c r="J97" s="18" t="n">
        <v>364.28</v>
      </c>
      <c r="K97" s="18" t="n">
        <v>334.13</v>
      </c>
      <c r="L97" s="22" t="n">
        <v>-0.0038</v>
      </c>
      <c r="M97" s="16" t="inlineStr">
        <is>
          <t>Yes</t>
        </is>
      </c>
      <c r="N97" s="20" t="n">
        <v>43</v>
      </c>
      <c r="O97" s="19" t="n">
        <v>0.0902</v>
      </c>
    </row>
    <row r="98">
      <c r="A98" s="16" t="inlineStr">
        <is>
          <t>Other Agricultural Products</t>
        </is>
      </c>
      <c r="B98" s="20" t="n">
        <v>18</v>
      </c>
      <c r="C98" s="21">
        <f>B98/SUM($B$2:$B$121)</f>
        <v/>
      </c>
      <c r="D98" s="18" t="n">
        <v>285.03</v>
      </c>
      <c r="E98" s="19" t="n">
        <v>0.0038</v>
      </c>
      <c r="F98" s="20" t="n">
        <v>47</v>
      </c>
      <c r="G98" s="16" t="inlineStr">
        <is>
          <t>red</t>
        </is>
      </c>
      <c r="H98" s="20" t="n">
        <v>103</v>
      </c>
      <c r="I98" s="18" t="n">
        <v>65.11</v>
      </c>
      <c r="J98" s="18" t="n">
        <v>269.28</v>
      </c>
      <c r="K98" s="18" t="n">
        <v>257.92</v>
      </c>
      <c r="L98" s="22" t="n">
        <v>0.0054</v>
      </c>
      <c r="M98" s="16" t="inlineStr">
        <is>
          <t>Yes</t>
        </is>
      </c>
      <c r="N98" s="20" t="n">
        <v>68</v>
      </c>
      <c r="O98" s="19" t="n">
        <v>0.044</v>
      </c>
    </row>
    <row r="99">
      <c r="A99" s="16" t="inlineStr">
        <is>
          <t>Paper &amp; Paper Products</t>
        </is>
      </c>
      <c r="B99" s="20" t="n">
        <v>14</v>
      </c>
      <c r="C99" s="21">
        <f>B99/SUM($B$2:$B$121)</f>
        <v/>
      </c>
      <c r="D99" s="18" t="n">
        <v>241.58</v>
      </c>
      <c r="E99" s="19" t="n">
        <v>0.0182</v>
      </c>
      <c r="F99" s="20" t="n">
        <v>45</v>
      </c>
      <c r="G99" s="16" t="inlineStr">
        <is>
          <t>red</t>
        </is>
      </c>
      <c r="H99" s="20" t="n">
        <v>82</v>
      </c>
      <c r="I99" s="18" t="n">
        <v>73.02</v>
      </c>
      <c r="J99" s="18" t="n">
        <v>228.04</v>
      </c>
      <c r="K99" s="18" t="n">
        <v>223.55</v>
      </c>
      <c r="L99" s="22" t="n">
        <v>0.0043</v>
      </c>
      <c r="M99" s="16" t="inlineStr">
        <is>
          <t>Yes</t>
        </is>
      </c>
      <c r="N99" s="20" t="n">
        <v>21</v>
      </c>
      <c r="O99" s="19" t="n">
        <v>0.0201</v>
      </c>
    </row>
    <row r="100">
      <c r="A100" s="16" t="inlineStr">
        <is>
          <t>Household Appliances</t>
        </is>
      </c>
      <c r="B100" s="20" t="n">
        <v>13</v>
      </c>
      <c r="C100" s="21">
        <f>B100/SUM($B$2:$B$121)</f>
        <v/>
      </c>
      <c r="D100" s="18" t="n">
        <v>145.12</v>
      </c>
      <c r="E100" s="19" t="n">
        <v>-0.0005</v>
      </c>
      <c r="F100" s="20" t="n">
        <v>12</v>
      </c>
      <c r="G100" s="16" t="inlineStr">
        <is>
          <t>red</t>
        </is>
      </c>
      <c r="H100" s="20" t="n">
        <v>501</v>
      </c>
      <c r="I100" s="18" t="n">
        <v>29.23</v>
      </c>
      <c r="J100" s="18" t="n">
        <v>150.98</v>
      </c>
      <c r="K100" s="18" t="n">
        <v>148.29</v>
      </c>
      <c r="L100" s="22" t="n">
        <v>-0.0189</v>
      </c>
      <c r="M100" s="16" t="inlineStr">
        <is>
          <t>Yes</t>
        </is>
      </c>
      <c r="N100" s="20" t="n">
        <v>13</v>
      </c>
      <c r="O100" s="19" t="n">
        <v>0.0182</v>
      </c>
    </row>
    <row r="101">
      <c r="A101" s="16" t="inlineStr">
        <is>
          <t>Sugar</t>
        </is>
      </c>
      <c r="B101" s="20" t="n">
        <v>17</v>
      </c>
      <c r="C101" s="21">
        <f>B101/SUM($B$2:$B$121)</f>
        <v/>
      </c>
      <c r="D101" s="18" t="n">
        <v>181.49</v>
      </c>
      <c r="E101" s="19" t="n">
        <v>-0.0269</v>
      </c>
      <c r="F101" s="20" t="n">
        <v>73</v>
      </c>
      <c r="G101" s="16" t="inlineStr">
        <is>
          <t>amber</t>
        </is>
      </c>
      <c r="H101" s="20" t="n">
        <v>3</v>
      </c>
      <c r="I101" s="18" t="n">
        <v>54.84</v>
      </c>
      <c r="J101" s="18" t="n">
        <v>167.51</v>
      </c>
      <c r="K101" s="18" t="n">
        <v>151.16</v>
      </c>
      <c r="L101" s="22" t="n">
        <v>0.0217</v>
      </c>
      <c r="M101" s="16" t="inlineStr">
        <is>
          <t>Yes</t>
        </is>
      </c>
      <c r="N101" s="20" t="n">
        <v>88</v>
      </c>
      <c r="O101" s="19" t="n">
        <v>0.1081</v>
      </c>
    </row>
    <row r="102">
      <c r="A102" s="16" t="inlineStr">
        <is>
          <t>Petrochemicals</t>
        </is>
      </c>
      <c r="B102" s="20" t="n">
        <v>7</v>
      </c>
      <c r="C102" s="21">
        <f>B102/SUM($B$2:$B$121)</f>
        <v/>
      </c>
      <c r="D102" s="18" t="n">
        <v>202.62</v>
      </c>
      <c r="E102" s="19" t="n">
        <v>0.0118</v>
      </c>
      <c r="F102" s="20" t="n">
        <v>84</v>
      </c>
      <c r="G102" s="16" t="inlineStr">
        <is>
          <t>green</t>
        </is>
      </c>
      <c r="H102" s="20" t="n">
        <v>5</v>
      </c>
      <c r="I102" s="18" t="n">
        <v>85.28</v>
      </c>
      <c r="J102" s="18" t="n">
        <v>180.39</v>
      </c>
      <c r="K102" s="18" t="n">
        <v>157.38</v>
      </c>
      <c r="L102" s="22" t="n">
        <v>0.0197</v>
      </c>
      <c r="M102" s="16" t="inlineStr">
        <is>
          <t>Yes</t>
        </is>
      </c>
      <c r="N102" s="20" t="n">
        <v>65</v>
      </c>
      <c r="O102" s="19" t="n">
        <v>0.1462</v>
      </c>
    </row>
    <row r="103">
      <c r="A103" s="16" t="inlineStr">
        <is>
          <t>Specialty Retail</t>
        </is>
      </c>
      <c r="B103" s="20" t="n">
        <v>9</v>
      </c>
      <c r="C103" s="21">
        <f>B103/SUM($B$2:$B$121)</f>
        <v/>
      </c>
      <c r="D103" s="18" t="n">
        <v>438.15</v>
      </c>
      <c r="E103" s="19" t="n">
        <v>0.0126</v>
      </c>
      <c r="F103" s="20" t="n">
        <v>54</v>
      </c>
      <c r="G103" s="16" t="inlineStr">
        <is>
          <t>red</t>
        </is>
      </c>
      <c r="H103" s="20" t="n">
        <v>501</v>
      </c>
      <c r="I103" s="18" t="n">
        <v>49</v>
      </c>
      <c r="J103" s="18" t="n">
        <v>413.87</v>
      </c>
      <c r="K103" s="18" t="n">
        <v>385.33</v>
      </c>
      <c r="L103" s="22" t="n">
        <v>-0.0072</v>
      </c>
      <c r="M103" s="16" t="inlineStr">
        <is>
          <t>Yes</t>
        </is>
      </c>
      <c r="N103" s="20" t="n">
        <v>22</v>
      </c>
      <c r="O103" s="19" t="n">
        <v>0.0741</v>
      </c>
    </row>
    <row r="104">
      <c r="A104" s="16" t="inlineStr">
        <is>
          <t>Electrodes &amp; Refractories</t>
        </is>
      </c>
      <c r="B104" s="20" t="n">
        <v>8</v>
      </c>
      <c r="C104" s="21">
        <f>B104/SUM($B$2:$B$121)</f>
        <v/>
      </c>
      <c r="D104" s="18" t="n">
        <v>282.91</v>
      </c>
      <c r="E104" s="19" t="n">
        <v>-0.0027</v>
      </c>
      <c r="F104" s="20" t="n">
        <v>68</v>
      </c>
      <c r="G104" s="16" t="inlineStr">
        <is>
          <t>amber</t>
        </is>
      </c>
      <c r="H104" s="20" t="n">
        <v>32</v>
      </c>
      <c r="I104" s="18" t="n">
        <v>60.28</v>
      </c>
      <c r="J104" s="18" t="n">
        <v>270.5</v>
      </c>
      <c r="K104" s="18" t="n">
        <v>243.32</v>
      </c>
      <c r="L104" s="22" t="n">
        <v>0.0173</v>
      </c>
      <c r="M104" s="16" t="inlineStr">
        <is>
          <t>Yes</t>
        </is>
      </c>
      <c r="N104" s="20" t="n">
        <v>71</v>
      </c>
      <c r="O104" s="19" t="n">
        <v>0.1117</v>
      </c>
    </row>
    <row r="105">
      <c r="A105" s="16" t="inlineStr">
        <is>
          <t>Commodity Printing/Stationery</t>
        </is>
      </c>
      <c r="B105" s="20" t="n">
        <v>4</v>
      </c>
      <c r="C105" s="21">
        <f>B105/SUM($B$2:$B$121)</f>
        <v/>
      </c>
      <c r="D105" s="18" t="n">
        <v>242.72</v>
      </c>
      <c r="E105" s="19" t="n">
        <v>0.0036</v>
      </c>
      <c r="F105" s="20" t="n">
        <v>3</v>
      </c>
      <c r="G105" s="16" t="inlineStr">
        <is>
          <t>red</t>
        </is>
      </c>
      <c r="H105" s="20" t="n">
        <v>501</v>
      </c>
      <c r="I105" s="18" t="n">
        <v>27.03</v>
      </c>
      <c r="J105" s="18" t="n">
        <v>252.99</v>
      </c>
      <c r="K105" s="18" t="n">
        <v>264.55</v>
      </c>
      <c r="L105" s="22" t="n">
        <v>-0.0185</v>
      </c>
      <c r="M105" s="16" t="inlineStr">
        <is>
          <t>No</t>
        </is>
      </c>
      <c r="N105" s="20" t="n">
        <v>182</v>
      </c>
      <c r="O105" s="19" t="n">
        <v>-0.0437</v>
      </c>
    </row>
    <row r="106">
      <c r="A106" s="16" t="inlineStr">
        <is>
          <t>Transport Related Services</t>
        </is>
      </c>
      <c r="B106" s="20" t="n">
        <v>7</v>
      </c>
      <c r="C106" s="21">
        <f>B106/SUM($B$2:$B$121)</f>
        <v/>
      </c>
      <c r="D106" s="18" t="n">
        <v>762.8099999999999</v>
      </c>
      <c r="E106" s="19" t="n">
        <v>0.008800000000000001</v>
      </c>
      <c r="F106" s="20" t="n">
        <v>50</v>
      </c>
      <c r="G106" s="16" t="inlineStr">
        <is>
          <t>red</t>
        </is>
      </c>
      <c r="H106" s="20" t="n">
        <v>16</v>
      </c>
      <c r="I106" s="18" t="n">
        <v>54.74</v>
      </c>
      <c r="J106" s="18" t="n">
        <v>779.35</v>
      </c>
      <c r="K106" s="18" t="n">
        <v>694.76</v>
      </c>
      <c r="L106" s="22" t="n">
        <v>-0.0004</v>
      </c>
      <c r="M106" s="16" t="inlineStr">
        <is>
          <t>Yes</t>
        </is>
      </c>
      <c r="N106" s="20" t="n">
        <v>47</v>
      </c>
      <c r="O106" s="19" t="n">
        <v>0.1218</v>
      </c>
    </row>
    <row r="107">
      <c r="A107" s="16" t="inlineStr">
        <is>
          <t>Electronic Components</t>
        </is>
      </c>
      <c r="B107" s="20" t="n">
        <v>16</v>
      </c>
      <c r="C107" s="21">
        <f>B107/SUM($B$2:$B$121)</f>
        <v/>
      </c>
      <c r="D107" s="18" t="n">
        <v>1542.69</v>
      </c>
      <c r="E107" s="19" t="n">
        <v>0.0097</v>
      </c>
      <c r="F107" s="20" t="n">
        <v>97</v>
      </c>
      <c r="G107" s="16" t="inlineStr">
        <is>
          <t>green</t>
        </is>
      </c>
      <c r="H107" s="20" t="n">
        <v>107</v>
      </c>
      <c r="I107" s="18" t="n">
        <v>78.79000000000001</v>
      </c>
      <c r="J107" s="18" t="n">
        <v>1405.29</v>
      </c>
      <c r="K107" s="18" t="n">
        <v>1080.25</v>
      </c>
      <c r="L107" s="22" t="n">
        <v>0.04849999999999999</v>
      </c>
      <c r="M107" s="16" t="inlineStr">
        <is>
          <t>Yes</t>
        </is>
      </c>
      <c r="N107" s="20" t="n">
        <v>90</v>
      </c>
      <c r="O107" s="19" t="n">
        <v>0.3009</v>
      </c>
    </row>
    <row r="108">
      <c r="A108" s="16" t="inlineStr">
        <is>
          <t>Dyes &amp; Pigments</t>
        </is>
      </c>
      <c r="B108" s="20" t="n">
        <v>8</v>
      </c>
      <c r="C108" s="21">
        <f>B108/SUM($B$2:$B$121)</f>
        <v/>
      </c>
      <c r="D108" s="18" t="n">
        <v>177.83</v>
      </c>
      <c r="E108" s="19" t="n">
        <v>0.0031</v>
      </c>
      <c r="F108" s="20" t="n">
        <v>92</v>
      </c>
      <c r="G108" s="16" t="inlineStr">
        <is>
          <t>green</t>
        </is>
      </c>
      <c r="H108" s="20" t="n">
        <v>9</v>
      </c>
      <c r="I108" s="18" t="n">
        <v>98.89</v>
      </c>
      <c r="J108" s="18" t="n">
        <v>139.91</v>
      </c>
      <c r="K108" s="18" t="n">
        <v>123.93</v>
      </c>
      <c r="L108" s="22" t="n">
        <v>0.0134</v>
      </c>
      <c r="M108" s="16" t="inlineStr">
        <is>
          <t>Yes</t>
        </is>
      </c>
      <c r="N108" s="20" t="n">
        <v>44</v>
      </c>
      <c r="O108" s="19" t="n">
        <v>0.1289</v>
      </c>
    </row>
    <row r="109">
      <c r="A109" s="16" t="inlineStr">
        <is>
          <t>Other Industrial Goods</t>
        </is>
      </c>
      <c r="B109" s="20" t="n">
        <v>11</v>
      </c>
      <c r="C109" s="21">
        <f>B109/SUM($B$2:$B$121)</f>
        <v/>
      </c>
      <c r="D109" s="18" t="n">
        <v>616.11</v>
      </c>
      <c r="E109" s="19" t="n">
        <v>-0.0019</v>
      </c>
      <c r="F109" s="20" t="n">
        <v>91</v>
      </c>
      <c r="G109" s="16" t="inlineStr">
        <is>
          <t>green</t>
        </is>
      </c>
      <c r="H109" s="20" t="n">
        <v>55</v>
      </c>
      <c r="I109" s="18" t="n">
        <v>74.63</v>
      </c>
      <c r="J109" s="18" t="n">
        <v>560.23</v>
      </c>
      <c r="K109" s="18" t="n">
        <v>457.24</v>
      </c>
      <c r="L109" s="22" t="n">
        <v>0.038</v>
      </c>
      <c r="M109" s="16" t="inlineStr">
        <is>
          <t>Yes</t>
        </is>
      </c>
      <c r="N109" s="20" t="n">
        <v>70</v>
      </c>
      <c r="O109" s="19" t="n">
        <v>0.2253</v>
      </c>
    </row>
    <row r="110">
      <c r="A110" s="16" t="inlineStr">
        <is>
          <t>Houseware</t>
        </is>
      </c>
      <c r="B110" s="20" t="n">
        <v>6</v>
      </c>
      <c r="C110" s="21">
        <f>B110/SUM($B$2:$B$121)</f>
        <v/>
      </c>
      <c r="D110" s="18" t="n">
        <v>128.89</v>
      </c>
      <c r="E110" s="19" t="n">
        <v>0.0161</v>
      </c>
      <c r="F110" s="20" t="n">
        <v>8</v>
      </c>
      <c r="G110" s="16" t="inlineStr">
        <is>
          <t>red</t>
        </is>
      </c>
      <c r="H110" s="20" t="n">
        <v>501</v>
      </c>
      <c r="I110" s="18" t="n">
        <v>27.48</v>
      </c>
      <c r="J110" s="18" t="n">
        <v>133.54</v>
      </c>
      <c r="K110" s="18" t="n">
        <v>134.51</v>
      </c>
      <c r="L110" s="22" t="n">
        <v>-0.0268</v>
      </c>
      <c r="M110" s="16" t="inlineStr">
        <is>
          <t>No</t>
        </is>
      </c>
      <c r="N110" s="20" t="n">
        <v>172</v>
      </c>
      <c r="O110" s="19" t="n">
        <v>-0.0072</v>
      </c>
    </row>
    <row r="111">
      <c r="A111" s="16" t="inlineStr">
        <is>
          <t>Other Leisure Facilities</t>
        </is>
      </c>
      <c r="B111" s="20" t="n">
        <v>4</v>
      </c>
      <c r="C111" s="21">
        <f>B111/SUM($B$2:$B$121)</f>
        <v/>
      </c>
      <c r="D111" s="18" t="n">
        <v>235.22</v>
      </c>
      <c r="E111" s="19" t="n">
        <v>0.0123</v>
      </c>
      <c r="F111" s="20" t="n">
        <v>56</v>
      </c>
      <c r="G111" s="16" t="inlineStr">
        <is>
          <t>red</t>
        </is>
      </c>
      <c r="H111" s="20" t="n">
        <v>3</v>
      </c>
      <c r="I111" s="18" t="n">
        <v>75.14</v>
      </c>
      <c r="J111" s="18" t="n">
        <v>216.29</v>
      </c>
      <c r="K111" s="18" t="n">
        <v>205.02</v>
      </c>
      <c r="L111" s="22" t="n">
        <v>0.0005999999999999999</v>
      </c>
      <c r="M111" s="16" t="inlineStr">
        <is>
          <t>Yes</t>
        </is>
      </c>
      <c r="N111" s="20" t="n">
        <v>23</v>
      </c>
      <c r="O111" s="19" t="n">
        <v>0.055</v>
      </c>
    </row>
    <row r="112">
      <c r="A112" s="16" t="inlineStr">
        <is>
          <t>Furniture-Furnishing</t>
        </is>
      </c>
      <c r="B112" s="20" t="n">
        <v>7</v>
      </c>
      <c r="C112" s="21">
        <f>B112/SUM($B$2:$B$121)</f>
        <v/>
      </c>
      <c r="D112" s="18" t="n">
        <v>214.51</v>
      </c>
      <c r="E112" s="19" t="n">
        <v>0.0009</v>
      </c>
      <c r="F112" s="20" t="n">
        <v>19</v>
      </c>
      <c r="G112" s="16" t="inlineStr">
        <is>
          <t>red</t>
        </is>
      </c>
      <c r="H112" s="20" t="n">
        <v>189</v>
      </c>
      <c r="I112" s="18" t="n">
        <v>54.98</v>
      </c>
      <c r="J112" s="18" t="n">
        <v>223.15</v>
      </c>
      <c r="K112" s="18" t="n">
        <v>214.91</v>
      </c>
      <c r="L112" s="22" t="n">
        <v>-0.0132</v>
      </c>
      <c r="M112" s="16" t="inlineStr">
        <is>
          <t>Yes</t>
        </is>
      </c>
      <c r="N112" s="20" t="n">
        <v>33</v>
      </c>
      <c r="O112" s="19" t="n">
        <v>0.0383</v>
      </c>
    </row>
    <row r="113">
      <c r="A113" s="16" t="inlineStr">
        <is>
          <t>Computer Hardware</t>
        </is>
      </c>
      <c r="B113" s="20" t="n">
        <v>5</v>
      </c>
      <c r="C113" s="21">
        <f>B113/SUM($B$2:$B$121)</f>
        <v/>
      </c>
      <c r="D113" s="18" t="n">
        <v>1128</v>
      </c>
      <c r="E113" s="19" t="n">
        <v>0.0173</v>
      </c>
      <c r="F113" s="20" t="n">
        <v>93</v>
      </c>
      <c r="G113" s="16" t="inlineStr">
        <is>
          <t>green</t>
        </is>
      </c>
      <c r="H113" s="20" t="n">
        <v>19</v>
      </c>
      <c r="I113" s="18" t="n">
        <v>75.09</v>
      </c>
      <c r="J113" s="18" t="n">
        <v>959.28</v>
      </c>
      <c r="K113" s="18" t="n">
        <v>828.67</v>
      </c>
      <c r="L113" s="22" t="n">
        <v>0.0137</v>
      </c>
      <c r="M113" s="16" t="inlineStr">
        <is>
          <t>Yes</t>
        </is>
      </c>
      <c r="N113" s="20" t="n">
        <v>56</v>
      </c>
      <c r="O113" s="19" t="n">
        <v>0.1576</v>
      </c>
    </row>
    <row r="114">
      <c r="A114" s="16" t="inlineStr">
        <is>
          <t>Oil Equipment &amp; Services</t>
        </is>
      </c>
      <c r="B114" s="20" t="n">
        <v>3</v>
      </c>
      <c r="C114" s="21">
        <f>B114/SUM($B$2:$B$121)</f>
        <v/>
      </c>
      <c r="D114" s="18" t="n">
        <v>1507.95</v>
      </c>
      <c r="E114" s="19" t="n">
        <v>0.0443</v>
      </c>
      <c r="F114" s="20" t="n">
        <v>98</v>
      </c>
      <c r="G114" s="16" t="inlineStr">
        <is>
          <t>green</t>
        </is>
      </c>
      <c r="H114" s="20" t="n">
        <v>26</v>
      </c>
      <c r="I114" s="18" t="n">
        <v>74.56</v>
      </c>
      <c r="J114" s="18" t="n">
        <v>1090.8</v>
      </c>
      <c r="K114" s="18" t="n">
        <v>903.61</v>
      </c>
      <c r="L114" s="22" t="n">
        <v>0.0508</v>
      </c>
      <c r="M114" s="16" t="inlineStr">
        <is>
          <t>Yes</t>
        </is>
      </c>
      <c r="N114" s="20" t="n">
        <v>76</v>
      </c>
      <c r="O114" s="19" t="n">
        <v>0.2072</v>
      </c>
    </row>
    <row r="115">
      <c r="A115" s="16" t="inlineStr">
        <is>
          <t>Publishing</t>
        </is>
      </c>
      <c r="B115" s="20" t="n">
        <v>9</v>
      </c>
      <c r="C115" s="21">
        <f>B115/SUM($B$2:$B$121)</f>
        <v/>
      </c>
      <c r="D115" s="18" t="n">
        <v>195.04</v>
      </c>
      <c r="E115" s="19" t="n">
        <v>-0.004699999999999999</v>
      </c>
      <c r="F115" s="20" t="n">
        <v>28</v>
      </c>
      <c r="G115" s="16" t="inlineStr">
        <is>
          <t>red</t>
        </is>
      </c>
      <c r="H115" s="20" t="n">
        <v>501</v>
      </c>
      <c r="I115" s="18" t="n">
        <v>25.16</v>
      </c>
      <c r="J115" s="18" t="n">
        <v>198.86</v>
      </c>
      <c r="K115" s="18" t="n">
        <v>187.97</v>
      </c>
      <c r="L115" s="22" t="n">
        <v>-0.0059</v>
      </c>
      <c r="M115" s="16" t="inlineStr">
        <is>
          <t>Yes</t>
        </is>
      </c>
      <c r="N115" s="20" t="n">
        <v>30</v>
      </c>
      <c r="O115" s="19" t="n">
        <v>0.0579</v>
      </c>
    </row>
    <row r="116">
      <c r="A116" s="16" t="inlineStr">
        <is>
          <t>Construction Materials</t>
        </is>
      </c>
      <c r="B116" s="20" t="n">
        <v>6</v>
      </c>
      <c r="C116" s="21">
        <f>B116/SUM($B$2:$B$121)</f>
        <v/>
      </c>
      <c r="D116" s="18" t="n">
        <v>417.44</v>
      </c>
      <c r="E116" s="19" t="n">
        <v>-0.005600000000000001</v>
      </c>
      <c r="F116" s="20" t="n">
        <v>49</v>
      </c>
      <c r="G116" s="16" t="inlineStr">
        <is>
          <t>red</t>
        </is>
      </c>
      <c r="H116" s="20" t="n">
        <v>16</v>
      </c>
      <c r="I116" s="18" t="n">
        <v>24.99</v>
      </c>
      <c r="J116" s="18" t="n">
        <v>438.6</v>
      </c>
      <c r="K116" s="18" t="n">
        <v>406</v>
      </c>
      <c r="L116" s="22" t="n">
        <v>0.0067</v>
      </c>
      <c r="M116" s="16" t="inlineStr">
        <is>
          <t>Yes</t>
        </is>
      </c>
      <c r="N116" s="20" t="n">
        <v>98</v>
      </c>
      <c r="O116" s="19" t="n">
        <v>0.0803</v>
      </c>
    </row>
    <row r="117">
      <c r="A117" s="16" t="inlineStr">
        <is>
          <t>Household Products</t>
        </is>
      </c>
      <c r="B117" s="20" t="n">
        <v>3</v>
      </c>
      <c r="C117" s="21">
        <f>B117/SUM($B$2:$B$121)</f>
        <v/>
      </c>
      <c r="D117" s="18" t="n">
        <v>239.8</v>
      </c>
      <c r="E117" s="19" t="n">
        <v>-0.005600000000000001</v>
      </c>
      <c r="F117" s="20" t="n">
        <v>8</v>
      </c>
      <c r="G117" s="16" t="inlineStr">
        <is>
          <t>red</t>
        </is>
      </c>
      <c r="H117" s="20" t="n">
        <v>30</v>
      </c>
      <c r="I117" s="18" t="n">
        <v>9.220000000000001</v>
      </c>
      <c r="J117" s="18" t="n">
        <v>270.01</v>
      </c>
      <c r="K117" s="18" t="n">
        <v>256.35</v>
      </c>
      <c r="L117" s="22" t="n">
        <v>0.006</v>
      </c>
      <c r="M117" s="16" t="inlineStr">
        <is>
          <t>Yes</t>
        </is>
      </c>
      <c r="N117" s="20" t="n">
        <v>278</v>
      </c>
      <c r="O117" s="19" t="n">
        <v>0.0533</v>
      </c>
    </row>
    <row r="118">
      <c r="A118" s="16" t="inlineStr">
        <is>
          <t>IT Training Services</t>
        </is>
      </c>
      <c r="B118" s="20" t="n">
        <v>4</v>
      </c>
      <c r="C118" s="21">
        <f>B118/SUM($B$2:$B$121)</f>
        <v/>
      </c>
      <c r="D118" s="18" t="n">
        <v>180.14</v>
      </c>
      <c r="E118" s="19" t="n">
        <v>-0.0011</v>
      </c>
      <c r="F118" s="20" t="n">
        <v>69</v>
      </c>
      <c r="G118" s="16" t="inlineStr">
        <is>
          <t>amber</t>
        </is>
      </c>
      <c r="H118" s="20" t="n">
        <v>7</v>
      </c>
      <c r="I118" s="18" t="n">
        <v>57.34</v>
      </c>
      <c r="J118" s="18" t="n">
        <v>177.14</v>
      </c>
      <c r="K118" s="18" t="n">
        <v>145.99</v>
      </c>
      <c r="L118" s="22" t="n">
        <v>0.0157</v>
      </c>
      <c r="M118" s="16" t="inlineStr">
        <is>
          <t>Yes</t>
        </is>
      </c>
      <c r="N118" s="20" t="n">
        <v>56</v>
      </c>
      <c r="O118" s="19" t="n">
        <v>0.2134</v>
      </c>
    </row>
    <row r="119">
      <c r="A119" s="16" t="inlineStr">
        <is>
          <t>Waste Management</t>
        </is>
      </c>
      <c r="B119" s="20" t="n">
        <v>4</v>
      </c>
      <c r="C119" s="21">
        <f>B119/SUM($B$2:$B$121)</f>
        <v/>
      </c>
      <c r="D119" s="18" t="n">
        <v>278.56</v>
      </c>
      <c r="E119" s="19" t="n">
        <v>-0.0049</v>
      </c>
      <c r="F119" s="20" t="n">
        <v>14</v>
      </c>
      <c r="G119" s="16" t="inlineStr">
        <is>
          <t>red</t>
        </is>
      </c>
      <c r="H119" s="20" t="n">
        <v>388</v>
      </c>
      <c r="I119" s="18" t="n">
        <v>39.81</v>
      </c>
      <c r="J119" s="18" t="n">
        <v>300.85</v>
      </c>
      <c r="K119" s="18" t="n">
        <v>295.18</v>
      </c>
      <c r="L119" s="22" t="n">
        <v>-0.0283</v>
      </c>
      <c r="M119" s="16" t="inlineStr">
        <is>
          <t>Yes</t>
        </is>
      </c>
      <c r="N119" s="20" t="n">
        <v>19</v>
      </c>
      <c r="O119" s="19" t="n">
        <v>0.0192</v>
      </c>
    </row>
    <row r="120">
      <c r="A120" s="16" t="inlineStr">
        <is>
          <t>Medical Equipment</t>
        </is>
      </c>
      <c r="B120" s="20" t="n">
        <v>4</v>
      </c>
      <c r="C120" s="21">
        <f>B120/SUM($B$2:$B$121)</f>
        <v/>
      </c>
      <c r="D120" s="18" t="n">
        <v>235.27</v>
      </c>
      <c r="E120" s="19" t="n">
        <v>0.009899999999999999</v>
      </c>
      <c r="F120" s="20" t="n">
        <v>73</v>
      </c>
      <c r="G120" s="16" t="inlineStr">
        <is>
          <t>amber</t>
        </is>
      </c>
      <c r="H120" s="20" t="n">
        <v>9</v>
      </c>
      <c r="I120" s="18" t="n">
        <v>52.73</v>
      </c>
      <c r="J120" s="18" t="n">
        <v>224.67</v>
      </c>
      <c r="K120" s="18" t="n">
        <v>191.46</v>
      </c>
      <c r="L120" s="22" t="n">
        <v>0.0175</v>
      </c>
      <c r="M120" s="16" t="inlineStr">
        <is>
          <t>Yes</t>
        </is>
      </c>
      <c r="N120" s="20" t="n">
        <v>58</v>
      </c>
      <c r="O120" s="19" t="n">
        <v>0.1735</v>
      </c>
    </row>
    <row r="121">
      <c r="A121" s="16" t="inlineStr">
        <is>
          <t>Advertising &amp; Media</t>
        </is>
      </c>
      <c r="B121" s="20" t="n">
        <v>5</v>
      </c>
      <c r="C121" s="21">
        <f>B121/SUM($B$2:$B$121)</f>
        <v/>
      </c>
      <c r="D121" s="18" t="n">
        <v>523.65</v>
      </c>
      <c r="E121" s="19" t="n">
        <v>0.0052</v>
      </c>
      <c r="F121" s="20" t="n">
        <v>27</v>
      </c>
      <c r="G121" s="16" t="inlineStr">
        <is>
          <t>red</t>
        </is>
      </c>
      <c r="H121" s="20" t="n">
        <v>501</v>
      </c>
      <c r="I121" s="18" t="n">
        <v>32.6</v>
      </c>
      <c r="J121" s="18" t="n">
        <v>545.01</v>
      </c>
      <c r="K121" s="18" t="n">
        <v>502.43</v>
      </c>
      <c r="L121" s="22" t="n">
        <v>0.0011</v>
      </c>
      <c r="M121" s="16" t="inlineStr">
        <is>
          <t>Yes</t>
        </is>
      </c>
      <c r="N121" s="20" t="n">
        <v>59</v>
      </c>
      <c r="O121" s="19" t="n">
        <v>0.0848</v>
      </c>
    </row>
    <row r="123" ht="30" customHeight="1">
      <c r="A123" s="24" t="inlineStr">
        <is>
          <t>Synthetic equal-weight index per Industry Name, rebased to 100 and chained on daily average constituent returns. Industries with fewer than 3 priced constituents are excluded as too thin to index. Index Level is a rebased level, not a rupee price.</t>
        </is>
      </c>
    </row>
  </sheetData>
  <autoFilter ref="A1:O121"/>
  <mergeCells count="1">
    <mergeCell ref="A123:H123"/>
  </mergeCells>
  <pageMargins left="0.75" right="0.75" top="1" bottom="1" header="0.5" footer="0.5"/>
</worksheet>
</file>

<file path=xl/worksheets/sheet6.xml><?xml version="1.0" encoding="utf-8"?>
<worksheet xmlns="http://schemas.openxmlformats.org/spreadsheetml/2006/main">
  <sheetPr>
    <tabColor rgb="007C3AED"/>
    <outlinePr summaryBelow="1" summaryRight="1"/>
    <pageSetUpPr/>
  </sheetPr>
  <dimension ref="A1:H9"/>
  <sheetViews>
    <sheetView workbookViewId="0">
      <selection activeCell="A1" sqref="A1"/>
    </sheetView>
  </sheetViews>
  <sheetFormatPr baseColWidth="8" defaultRowHeight="15"/>
  <cols>
    <col width="7" customWidth="1" min="1" max="1"/>
    <col width="30" customWidth="1" min="2" max="2"/>
    <col width="12" customWidth="1" min="3" max="3"/>
    <col width="9" customWidth="1" min="4" max="4"/>
    <col width="12" customWidth="1" min="5" max="5"/>
    <col width="12" customWidth="1" min="6" max="6"/>
    <col width="13" customWidth="1" min="7" max="7"/>
  </cols>
  <sheetData>
    <row r="1" ht="30" customHeight="1">
      <c r="A1" s="15" t="inlineStr">
        <is>
          <t>Rank</t>
        </is>
      </c>
      <c r="B1" s="15" t="inlineStr">
        <is>
          <t>Industry</t>
        </is>
      </c>
      <c r="C1" s="15" t="inlineStr">
        <is>
          <t>Index Level</t>
        </is>
      </c>
      <c r="D1" s="15" t="inlineStr">
        <is>
          <t>Chg %</t>
        </is>
      </c>
      <c r="E1" s="15" t="inlineStr">
        <is>
          <t>Separation %</t>
        </is>
      </c>
      <c r="F1" s="15" t="inlineStr">
        <is>
          <t>Freshness (d)</t>
        </is>
      </c>
      <c r="G1" s="15" t="inlineStr">
        <is>
          <t>200DMA Slope %</t>
        </is>
      </c>
    </row>
    <row r="3">
      <c r="B3" s="26" t="inlineStr">
        <is>
          <t>No industry index qualified on this date.</t>
        </is>
      </c>
    </row>
    <row r="5">
      <c r="B5" s="24" t="inlineStr">
        <is>
          <t>This is a real result, not a missing feed. An equal-weight index of many stocks moves far more smoothly than any one of them, so its 50/200 DMA crossovers are rare and, once they happen, quickly age past the freshness window. On this run 104 of 120 industries were in golden-cross state and 72 also cleared separation and a rising 200DMA - but the freshest cross among them was 23 trading days old, outside the 15-day gate. Expect this sheet to be empty most days and to populate in clusters after a broad market turn.</t>
        </is>
      </c>
    </row>
    <row r="6"/>
    <row r="7"/>
    <row r="8"/>
    <row r="9"/>
  </sheetData>
  <mergeCells count="1">
    <mergeCell ref="B5:H9"/>
  </mergeCells>
  <pageMargins left="0.75" right="0.75" top="1" bottom="1" header="0.5" footer="0.5"/>
</worksheet>
</file>

<file path=xl/worksheets/sheet7.xml><?xml version="1.0" encoding="utf-8"?>
<worksheet xmlns="http://schemas.openxmlformats.org/spreadsheetml/2006/main">
  <sheetPr>
    <tabColor rgb="00EA580C"/>
    <outlinePr summaryBelow="1" summaryRight="1"/>
    <pageSetUpPr/>
  </sheetPr>
  <dimension ref="A1:I50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11" customWidth="1" min="4" max="4"/>
    <col width="11" customWidth="1" min="5" max="5"/>
    <col width="11" customWidth="1" min="6" max="6"/>
    <col width="11" customWidth="1" min="7" max="7"/>
    <col width="13" customWidth="1" min="8" max="8"/>
    <col width="11" customWidth="1" min="9" max="9"/>
  </cols>
  <sheetData>
    <row r="1" ht="30" customHeight="1">
      <c r="A1" s="15" t="inlineStr">
        <is>
          <t>Date</t>
        </is>
      </c>
      <c r="B1" s="15" t="inlineStr">
        <is>
          <t>% Above 200DMA</t>
        </is>
      </c>
      <c r="C1" s="15" t="inlineStr">
        <is>
          <t>30d MA</t>
        </is>
      </c>
      <c r="D1" s="15" t="inlineStr">
        <is>
          <t>100d MA</t>
        </is>
      </c>
      <c r="E1" s="15" t="inlineStr">
        <is>
          <t>200d MA</t>
        </is>
      </c>
      <c r="F1" s="15" t="inlineStr">
        <is>
          <t>New Highs</t>
        </is>
      </c>
      <c r="G1" s="15" t="inlineStr">
        <is>
          <t>New Lows</t>
        </is>
      </c>
      <c r="H1" s="15" t="inlineStr">
        <is>
          <t>High/Low Ratio</t>
        </is>
      </c>
      <c r="I1" s="15" t="inlineStr">
        <is>
          <t>Net Highs</t>
        </is>
      </c>
    </row>
    <row r="2">
      <c r="A2" s="16" t="inlineStr">
        <is>
          <t>2024-09-05</t>
        </is>
      </c>
      <c r="B2" s="19" t="n">
        <v>0.7940999999999999</v>
      </c>
      <c r="C2" s="19" t="n">
        <v>0.7940999999999999</v>
      </c>
      <c r="D2" s="19" t="n">
        <v>0.7940999999999999</v>
      </c>
      <c r="E2" s="19" t="n">
        <v>0.7940999999999999</v>
      </c>
      <c r="F2" s="20" t="n">
        <v>272</v>
      </c>
      <c r="G2" s="20" t="n">
        <v>14</v>
      </c>
      <c r="H2" s="18" t="n">
        <v>19.43</v>
      </c>
      <c r="I2" s="25">
        <f>F2-G2</f>
        <v/>
      </c>
    </row>
    <row r="3">
      <c r="A3" s="16" t="inlineStr">
        <is>
          <t>2024-09-06</t>
        </is>
      </c>
      <c r="B3" s="19" t="n">
        <v>0.7907</v>
      </c>
      <c r="C3" s="19" t="n">
        <v>0.7924</v>
      </c>
      <c r="D3" s="19" t="n">
        <v>0.7924</v>
      </c>
      <c r="E3" s="19" t="n">
        <v>0.7924</v>
      </c>
      <c r="F3" s="20" t="n">
        <v>227</v>
      </c>
      <c r="G3" s="20" t="n">
        <v>13</v>
      </c>
      <c r="H3" s="18" t="n">
        <v>17.46</v>
      </c>
      <c r="I3" s="25">
        <f>F3-G3</f>
        <v/>
      </c>
    </row>
    <row r="4">
      <c r="A4" s="16" t="inlineStr">
        <is>
          <t>2024-09-09</t>
        </is>
      </c>
      <c r="B4" s="19" t="n">
        <v>0.7752</v>
      </c>
      <c r="C4" s="19" t="n">
        <v>0.7867000000000001</v>
      </c>
      <c r="D4" s="19" t="n">
        <v>0.7867000000000001</v>
      </c>
      <c r="E4" s="19" t="n">
        <v>0.7867000000000001</v>
      </c>
      <c r="F4" s="20" t="n">
        <v>211</v>
      </c>
      <c r="G4" s="20" t="n">
        <v>14</v>
      </c>
      <c r="H4" s="18" t="n">
        <v>15.07</v>
      </c>
      <c r="I4" s="25">
        <f>F4-G4</f>
        <v/>
      </c>
    </row>
    <row r="5">
      <c r="A5" s="16" t="inlineStr">
        <is>
          <t>2024-09-10</t>
        </is>
      </c>
      <c r="B5" s="19" t="n">
        <v>0.7843000000000001</v>
      </c>
      <c r="C5" s="19" t="n">
        <v>0.7861</v>
      </c>
      <c r="D5" s="19" t="n">
        <v>0.7861</v>
      </c>
      <c r="E5" s="19" t="n">
        <v>0.7861</v>
      </c>
      <c r="F5" s="20" t="n">
        <v>214</v>
      </c>
      <c r="G5" s="20" t="n">
        <v>16</v>
      </c>
      <c r="H5" s="18" t="n">
        <v>13.38</v>
      </c>
      <c r="I5" s="25">
        <f>F5-G5</f>
        <v/>
      </c>
    </row>
    <row r="6">
      <c r="A6" s="16" t="inlineStr">
        <is>
          <t>2024-09-11</t>
        </is>
      </c>
      <c r="B6" s="19" t="n">
        <v>0.7806000000000001</v>
      </c>
      <c r="C6" s="19" t="n">
        <v>0.785</v>
      </c>
      <c r="D6" s="19" t="n">
        <v>0.785</v>
      </c>
      <c r="E6" s="19" t="n">
        <v>0.785</v>
      </c>
      <c r="F6" s="20" t="n">
        <v>210</v>
      </c>
      <c r="G6" s="20" t="n">
        <v>16</v>
      </c>
      <c r="H6" s="18" t="n">
        <v>13.13</v>
      </c>
      <c r="I6" s="25">
        <f>F6-G6</f>
        <v/>
      </c>
    </row>
    <row r="7">
      <c r="A7" s="16" t="inlineStr">
        <is>
          <t>2024-09-12</t>
        </is>
      </c>
      <c r="B7" s="19" t="n">
        <v>0.7848999999999999</v>
      </c>
      <c r="C7" s="19" t="n">
        <v>0.785</v>
      </c>
      <c r="D7" s="19" t="n">
        <v>0.785</v>
      </c>
      <c r="E7" s="19" t="n">
        <v>0.785</v>
      </c>
      <c r="F7" s="20" t="n">
        <v>239</v>
      </c>
      <c r="G7" s="20" t="n">
        <v>14</v>
      </c>
      <c r="H7" s="18" t="n">
        <v>17.07</v>
      </c>
      <c r="I7" s="25">
        <f>F7-G7</f>
        <v/>
      </c>
    </row>
    <row r="8">
      <c r="A8" s="16" t="inlineStr">
        <is>
          <t>2024-09-13</t>
        </is>
      </c>
      <c r="B8" s="19" t="n">
        <v>0.7968999999999999</v>
      </c>
      <c r="C8" s="19" t="n">
        <v>0.7867000000000001</v>
      </c>
      <c r="D8" s="19" t="n">
        <v>0.7867000000000001</v>
      </c>
      <c r="E8" s="19" t="n">
        <v>0.7867000000000001</v>
      </c>
      <c r="F8" s="20" t="n">
        <v>270</v>
      </c>
      <c r="G8" s="20" t="n">
        <v>15</v>
      </c>
      <c r="H8" s="18" t="n">
        <v>18</v>
      </c>
      <c r="I8" s="25">
        <f>F8-G8</f>
        <v/>
      </c>
    </row>
    <row r="9">
      <c r="A9" s="16" t="inlineStr">
        <is>
          <t>2024-09-16</t>
        </is>
      </c>
      <c r="B9" s="19" t="n">
        <v>0.7963</v>
      </c>
      <c r="C9" s="19" t="n">
        <v>0.7879</v>
      </c>
      <c r="D9" s="19" t="n">
        <v>0.7879</v>
      </c>
      <c r="E9" s="19" t="n">
        <v>0.7879</v>
      </c>
      <c r="F9" s="20" t="n">
        <v>257</v>
      </c>
      <c r="G9" s="20" t="n">
        <v>12</v>
      </c>
      <c r="H9" s="18" t="n">
        <v>21.42</v>
      </c>
      <c r="I9" s="25">
        <f>F9-G9</f>
        <v/>
      </c>
    </row>
    <row r="10">
      <c r="A10" s="16" t="inlineStr">
        <is>
          <t>2024-09-17</t>
        </is>
      </c>
      <c r="B10" s="19" t="n">
        <v>0.8018000000000001</v>
      </c>
      <c r="C10" s="19" t="n">
        <v>0.7894</v>
      </c>
      <c r="D10" s="19" t="n">
        <v>0.7894</v>
      </c>
      <c r="E10" s="19" t="n">
        <v>0.7894</v>
      </c>
      <c r="F10" s="20" t="n">
        <v>240</v>
      </c>
      <c r="G10" s="20" t="n">
        <v>11</v>
      </c>
      <c r="H10" s="18" t="n">
        <v>21.82</v>
      </c>
      <c r="I10" s="25">
        <f>F10-G10</f>
        <v/>
      </c>
    </row>
    <row r="11">
      <c r="A11" s="16" t="inlineStr">
        <is>
          <t>2024-09-18</t>
        </is>
      </c>
      <c r="B11" s="19" t="n">
        <v>0.7922</v>
      </c>
      <c r="C11" s="19" t="n">
        <v>0.7897</v>
      </c>
      <c r="D11" s="19" t="n">
        <v>0.7897</v>
      </c>
      <c r="E11" s="19" t="n">
        <v>0.7897</v>
      </c>
      <c r="F11" s="20" t="n">
        <v>194</v>
      </c>
      <c r="G11" s="20" t="n">
        <v>13</v>
      </c>
      <c r="H11" s="18" t="n">
        <v>14.92</v>
      </c>
      <c r="I11" s="25">
        <f>F11-G11</f>
        <v/>
      </c>
    </row>
    <row r="12">
      <c r="A12" s="16" t="inlineStr">
        <is>
          <t>2024-09-19</t>
        </is>
      </c>
      <c r="B12" s="19" t="n">
        <v>0.7742</v>
      </c>
      <c r="C12" s="19" t="n">
        <v>0.7883</v>
      </c>
      <c r="D12" s="19" t="n">
        <v>0.7883</v>
      </c>
      <c r="E12" s="19" t="n">
        <v>0.7883</v>
      </c>
      <c r="F12" s="20" t="n">
        <v>154</v>
      </c>
      <c r="G12" s="20" t="n">
        <v>19</v>
      </c>
      <c r="H12" s="18" t="n">
        <v>8.109999999999999</v>
      </c>
      <c r="I12" s="25">
        <f>F12-G12</f>
        <v/>
      </c>
    </row>
    <row r="13">
      <c r="A13" s="16" t="inlineStr">
        <is>
          <t>2024-09-20</t>
        </is>
      </c>
      <c r="B13" s="19" t="n">
        <v>0.7791</v>
      </c>
      <c r="C13" s="19" t="n">
        <v>0.7875</v>
      </c>
      <c r="D13" s="19" t="n">
        <v>0.7875</v>
      </c>
      <c r="E13" s="19" t="n">
        <v>0.7875</v>
      </c>
      <c r="F13" s="20" t="n">
        <v>182</v>
      </c>
      <c r="G13" s="20" t="n">
        <v>21</v>
      </c>
      <c r="H13" s="18" t="n">
        <v>8.67</v>
      </c>
      <c r="I13" s="25">
        <f>F13-G13</f>
        <v/>
      </c>
    </row>
    <row r="14">
      <c r="A14" s="16" t="inlineStr">
        <is>
          <t>2024-09-23</t>
        </is>
      </c>
      <c r="B14" s="19" t="n">
        <v>0.7873</v>
      </c>
      <c r="C14" s="19" t="n">
        <v>0.7875</v>
      </c>
      <c r="D14" s="19" t="n">
        <v>0.7875</v>
      </c>
      <c r="E14" s="19" t="n">
        <v>0.7875</v>
      </c>
      <c r="F14" s="20" t="n">
        <v>215</v>
      </c>
      <c r="G14" s="20" t="n">
        <v>18</v>
      </c>
      <c r="H14" s="18" t="n">
        <v>11.94</v>
      </c>
      <c r="I14" s="25">
        <f>F14-G14</f>
        <v/>
      </c>
    </row>
    <row r="15">
      <c r="A15" s="16" t="inlineStr">
        <is>
          <t>2024-09-24</t>
        </is>
      </c>
      <c r="B15" s="19" t="n">
        <v>0.7915000000000001</v>
      </c>
      <c r="C15" s="19" t="n">
        <v>0.7878000000000001</v>
      </c>
      <c r="D15" s="19" t="n">
        <v>0.7878000000000001</v>
      </c>
      <c r="E15" s="19" t="n">
        <v>0.7878000000000001</v>
      </c>
      <c r="F15" s="20" t="n">
        <v>212</v>
      </c>
      <c r="G15" s="20" t="n">
        <v>20</v>
      </c>
      <c r="H15" s="18" t="n">
        <v>10.6</v>
      </c>
      <c r="I15" s="25">
        <f>F15-G15</f>
        <v/>
      </c>
    </row>
    <row r="16">
      <c r="A16" s="16" t="inlineStr">
        <is>
          <t>2024-09-25</t>
        </is>
      </c>
      <c r="B16" s="19" t="n">
        <v>0.7874</v>
      </c>
      <c r="C16" s="19" t="n">
        <v>0.7878000000000001</v>
      </c>
      <c r="D16" s="19" t="n">
        <v>0.7878000000000001</v>
      </c>
      <c r="E16" s="19" t="n">
        <v>0.7878000000000001</v>
      </c>
      <c r="F16" s="20" t="n">
        <v>198</v>
      </c>
      <c r="G16" s="20" t="n">
        <v>20</v>
      </c>
      <c r="H16" s="18" t="n">
        <v>9.9</v>
      </c>
      <c r="I16" s="25">
        <f>F16-G16</f>
        <v/>
      </c>
    </row>
    <row r="17">
      <c r="A17" s="16" t="inlineStr">
        <is>
          <t>2024-09-26</t>
        </is>
      </c>
      <c r="B17" s="19" t="n">
        <v>0.7856000000000001</v>
      </c>
      <c r="C17" s="19" t="n">
        <v>0.7876000000000001</v>
      </c>
      <c r="D17" s="19" t="n">
        <v>0.7876000000000001</v>
      </c>
      <c r="E17" s="19" t="n">
        <v>0.7876000000000001</v>
      </c>
      <c r="F17" s="20" t="n">
        <v>188</v>
      </c>
      <c r="G17" s="20" t="n">
        <v>28</v>
      </c>
      <c r="H17" s="18" t="n">
        <v>6.71</v>
      </c>
      <c r="I17" s="25">
        <f>F17-G17</f>
        <v/>
      </c>
    </row>
    <row r="18">
      <c r="A18" s="16" t="inlineStr">
        <is>
          <t>2024-09-27</t>
        </is>
      </c>
      <c r="B18" s="19" t="n">
        <v>0.7796</v>
      </c>
      <c r="C18" s="19" t="n">
        <v>0.7872</v>
      </c>
      <c r="D18" s="19" t="n">
        <v>0.7872</v>
      </c>
      <c r="E18" s="19" t="n">
        <v>0.7872</v>
      </c>
      <c r="F18" s="20" t="n">
        <v>183</v>
      </c>
      <c r="G18" s="20" t="n">
        <v>27</v>
      </c>
      <c r="H18" s="18" t="n">
        <v>6.78</v>
      </c>
      <c r="I18" s="25">
        <f>F18-G18</f>
        <v/>
      </c>
    </row>
    <row r="19">
      <c r="A19" s="16" t="inlineStr">
        <is>
          <t>2024-09-30</t>
        </is>
      </c>
      <c r="B19" s="19" t="n">
        <v>0.7784</v>
      </c>
      <c r="C19" s="19" t="n">
        <v>0.7867000000000001</v>
      </c>
      <c r="D19" s="19" t="n">
        <v>0.7867000000000001</v>
      </c>
      <c r="E19" s="19" t="n">
        <v>0.7867000000000001</v>
      </c>
      <c r="F19" s="20" t="n">
        <v>169</v>
      </c>
      <c r="G19" s="20" t="n">
        <v>26</v>
      </c>
      <c r="H19" s="18" t="n">
        <v>6.5</v>
      </c>
      <c r="I19" s="25">
        <f>F19-G19</f>
        <v/>
      </c>
    </row>
    <row r="20">
      <c r="A20" s="16" t="inlineStr">
        <is>
          <t>2024-10-01</t>
        </is>
      </c>
      <c r="B20" s="19" t="n">
        <v>0.7743000000000001</v>
      </c>
      <c r="C20" s="19" t="n">
        <v>0.7859999999999999</v>
      </c>
      <c r="D20" s="19" t="n">
        <v>0.7859999999999999</v>
      </c>
      <c r="E20" s="19" t="n">
        <v>0.7859999999999999</v>
      </c>
      <c r="F20" s="20" t="n">
        <v>179</v>
      </c>
      <c r="G20" s="20" t="n">
        <v>26</v>
      </c>
      <c r="H20" s="18" t="n">
        <v>6.88</v>
      </c>
      <c r="I20" s="25">
        <f>F20-G20</f>
        <v/>
      </c>
    </row>
    <row r="21">
      <c r="A21" s="16" t="inlineStr">
        <is>
          <t>2024-10-03</t>
        </is>
      </c>
      <c r="B21" s="19" t="n">
        <v>0.7581</v>
      </c>
      <c r="C21" s="19" t="n">
        <v>0.7846</v>
      </c>
      <c r="D21" s="19" t="n">
        <v>0.7846</v>
      </c>
      <c r="E21" s="19" t="n">
        <v>0.7846</v>
      </c>
      <c r="F21" s="20" t="n">
        <v>145</v>
      </c>
      <c r="G21" s="20" t="n">
        <v>29</v>
      </c>
      <c r="H21" s="18" t="n">
        <v>5</v>
      </c>
      <c r="I21" s="25">
        <f>F21-G21</f>
        <v/>
      </c>
    </row>
    <row r="22">
      <c r="A22" s="16" t="inlineStr">
        <is>
          <t>2024-10-04</t>
        </is>
      </c>
      <c r="B22" s="19" t="n">
        <v>0.7415</v>
      </c>
      <c r="C22" s="19" t="n">
        <v>0.7826000000000001</v>
      </c>
      <c r="D22" s="19" t="n">
        <v>0.7826000000000001</v>
      </c>
      <c r="E22" s="19" t="n">
        <v>0.7826000000000001</v>
      </c>
      <c r="F22" s="20" t="n">
        <v>112</v>
      </c>
      <c r="G22" s="20" t="n">
        <v>34</v>
      </c>
      <c r="H22" s="18" t="n">
        <v>3.29</v>
      </c>
      <c r="I22" s="25">
        <f>F22-G22</f>
        <v/>
      </c>
    </row>
    <row r="23">
      <c r="A23" s="16" t="inlineStr">
        <is>
          <t>2024-10-07</t>
        </is>
      </c>
      <c r="B23" s="19" t="n">
        <v>0.6920000000000001</v>
      </c>
      <c r="C23" s="19" t="n">
        <v>0.7785</v>
      </c>
      <c r="D23" s="19" t="n">
        <v>0.7785</v>
      </c>
      <c r="E23" s="19" t="n">
        <v>0.7785</v>
      </c>
      <c r="F23" s="20" t="n">
        <v>88</v>
      </c>
      <c r="G23" s="20" t="n">
        <v>55</v>
      </c>
      <c r="H23" s="18" t="n">
        <v>1.6</v>
      </c>
      <c r="I23" s="25">
        <f>F23-G23</f>
        <v/>
      </c>
    </row>
    <row r="24">
      <c r="A24" s="16" t="inlineStr">
        <is>
          <t>2024-10-08</t>
        </is>
      </c>
      <c r="B24" s="19" t="n">
        <v>0.6908</v>
      </c>
      <c r="C24" s="19" t="n">
        <v>0.7746</v>
      </c>
      <c r="D24" s="19" t="n">
        <v>0.7746</v>
      </c>
      <c r="E24" s="19" t="n">
        <v>0.7746</v>
      </c>
      <c r="F24" s="20" t="n">
        <v>105</v>
      </c>
      <c r="G24" s="20" t="n">
        <v>46</v>
      </c>
      <c r="H24" s="18" t="n">
        <v>2.28</v>
      </c>
      <c r="I24" s="25">
        <f>F24-G24</f>
        <v/>
      </c>
    </row>
    <row r="25">
      <c r="A25" s="16" t="inlineStr">
        <is>
          <t>2024-10-09</t>
        </is>
      </c>
      <c r="B25" s="19" t="n">
        <v>0.6973999999999999</v>
      </c>
      <c r="C25" s="19" t="n">
        <v>0.7714</v>
      </c>
      <c r="D25" s="19" t="n">
        <v>0.7714</v>
      </c>
      <c r="E25" s="19" t="n">
        <v>0.7714</v>
      </c>
      <c r="F25" s="20" t="n">
        <v>120</v>
      </c>
      <c r="G25" s="20" t="n">
        <v>38</v>
      </c>
      <c r="H25" s="18" t="n">
        <v>3.16</v>
      </c>
      <c r="I25" s="25">
        <f>F25-G25</f>
        <v/>
      </c>
    </row>
    <row r="26">
      <c r="A26" s="16" t="inlineStr">
        <is>
          <t>2024-10-10</t>
        </is>
      </c>
      <c r="B26" s="19" t="n">
        <v>0.7087</v>
      </c>
      <c r="C26" s="19" t="n">
        <v>0.7689</v>
      </c>
      <c r="D26" s="19" t="n">
        <v>0.7689</v>
      </c>
      <c r="E26" s="19" t="n">
        <v>0.7689</v>
      </c>
      <c r="F26" s="20" t="n">
        <v>119</v>
      </c>
      <c r="G26" s="20" t="n">
        <v>25</v>
      </c>
      <c r="H26" s="18" t="n">
        <v>4.76</v>
      </c>
      <c r="I26" s="25">
        <f>F26-G26</f>
        <v/>
      </c>
    </row>
    <row r="27">
      <c r="A27" s="16" t="inlineStr">
        <is>
          <t>2024-10-11</t>
        </is>
      </c>
      <c r="B27" s="19" t="n">
        <v>0.7143</v>
      </c>
      <c r="C27" s="19" t="n">
        <v>0.7668</v>
      </c>
      <c r="D27" s="19" t="n">
        <v>0.7668</v>
      </c>
      <c r="E27" s="19" t="n">
        <v>0.7668</v>
      </c>
      <c r="F27" s="20" t="n">
        <v>142</v>
      </c>
      <c r="G27" s="20" t="n">
        <v>23</v>
      </c>
      <c r="H27" s="18" t="n">
        <v>6.17</v>
      </c>
      <c r="I27" s="25">
        <f>F27-G27</f>
        <v/>
      </c>
    </row>
    <row r="28">
      <c r="A28" s="16" t="inlineStr">
        <is>
          <t>2024-10-14</t>
        </is>
      </c>
      <c r="B28" s="19" t="n">
        <v>0.7151000000000001</v>
      </c>
      <c r="C28" s="19" t="n">
        <v>0.7648999999999999</v>
      </c>
      <c r="D28" s="19" t="n">
        <v>0.7648999999999999</v>
      </c>
      <c r="E28" s="19" t="n">
        <v>0.7648999999999999</v>
      </c>
      <c r="F28" s="20" t="n">
        <v>157</v>
      </c>
      <c r="G28" s="20" t="n">
        <v>25</v>
      </c>
      <c r="H28" s="18" t="n">
        <v>6.28</v>
      </c>
      <c r="I28" s="25">
        <f>F28-G28</f>
        <v/>
      </c>
    </row>
    <row r="29">
      <c r="A29" s="16" t="inlineStr">
        <is>
          <t>2024-10-15</t>
        </is>
      </c>
      <c r="B29" s="19" t="n">
        <v>0.72</v>
      </c>
      <c r="C29" s="19" t="n">
        <v>0.7633</v>
      </c>
      <c r="D29" s="19" t="n">
        <v>0.7633</v>
      </c>
      <c r="E29" s="19" t="n">
        <v>0.7633</v>
      </c>
      <c r="F29" s="20" t="n">
        <v>169</v>
      </c>
      <c r="G29" s="20" t="n">
        <v>23</v>
      </c>
      <c r="H29" s="18" t="n">
        <v>7.35</v>
      </c>
      <c r="I29" s="25">
        <f>F29-G29</f>
        <v/>
      </c>
    </row>
    <row r="30">
      <c r="A30" s="16" t="inlineStr">
        <is>
          <t>2024-10-16</t>
        </is>
      </c>
      <c r="B30" s="19" t="n">
        <v>0.7234999999999999</v>
      </c>
      <c r="C30" s="19" t="n">
        <v>0.7619</v>
      </c>
      <c r="D30" s="19" t="n">
        <v>0.7619</v>
      </c>
      <c r="E30" s="19" t="n">
        <v>0.7619</v>
      </c>
      <c r="F30" s="20" t="n">
        <v>185</v>
      </c>
      <c r="G30" s="20" t="n">
        <v>18</v>
      </c>
      <c r="H30" s="18" t="n">
        <v>10.28</v>
      </c>
      <c r="I30" s="25">
        <f>F30-G30</f>
        <v/>
      </c>
    </row>
    <row r="31">
      <c r="A31" s="16" t="inlineStr">
        <is>
          <t>2024-10-17</t>
        </is>
      </c>
      <c r="B31" s="19" t="n">
        <v>0.7167</v>
      </c>
      <c r="C31" s="19" t="n">
        <v>0.7604000000000001</v>
      </c>
      <c r="D31" s="19" t="n">
        <v>0.7604000000000001</v>
      </c>
      <c r="E31" s="19" t="n">
        <v>0.7604000000000001</v>
      </c>
      <c r="F31" s="20" t="n">
        <v>150</v>
      </c>
      <c r="G31" s="20" t="n">
        <v>28</v>
      </c>
      <c r="H31" s="18" t="n">
        <v>5.36</v>
      </c>
      <c r="I31" s="25">
        <f>F31-G31</f>
        <v/>
      </c>
    </row>
    <row r="32">
      <c r="A32" s="16" t="inlineStr">
        <is>
          <t>2024-10-18</t>
        </is>
      </c>
      <c r="B32" s="19" t="n">
        <v>0.7060999999999999</v>
      </c>
      <c r="C32" s="19" t="n">
        <v>0.7575</v>
      </c>
      <c r="D32" s="19" t="n">
        <v>0.7587</v>
      </c>
      <c r="E32" s="19" t="n">
        <v>0.7587</v>
      </c>
      <c r="F32" s="20" t="n">
        <v>141</v>
      </c>
      <c r="G32" s="20" t="n">
        <v>36</v>
      </c>
      <c r="H32" s="18" t="n">
        <v>3.92</v>
      </c>
      <c r="I32" s="25">
        <f>F32-G32</f>
        <v/>
      </c>
    </row>
    <row r="33">
      <c r="A33" s="16" t="inlineStr">
        <is>
          <t>2024-10-21</t>
        </is>
      </c>
      <c r="B33" s="19" t="n">
        <v>0.6823</v>
      </c>
      <c r="C33" s="19" t="n">
        <v>0.7539</v>
      </c>
      <c r="D33" s="19" t="n">
        <v>0.7563</v>
      </c>
      <c r="E33" s="19" t="n">
        <v>0.7563</v>
      </c>
      <c r="F33" s="20" t="n">
        <v>138</v>
      </c>
      <c r="G33" s="20" t="n">
        <v>56</v>
      </c>
      <c r="H33" s="18" t="n">
        <v>2.46</v>
      </c>
      <c r="I33" s="25">
        <f>F33-G33</f>
        <v/>
      </c>
    </row>
    <row r="34">
      <c r="A34" s="16" t="inlineStr">
        <is>
          <t>2024-10-22</t>
        </is>
      </c>
      <c r="B34" s="19" t="n">
        <v>0.6291</v>
      </c>
      <c r="C34" s="19" t="n">
        <v>0.7490000000000001</v>
      </c>
      <c r="D34" s="19" t="n">
        <v>0.7524</v>
      </c>
      <c r="E34" s="19" t="n">
        <v>0.7524</v>
      </c>
      <c r="F34" s="20" t="n">
        <v>94</v>
      </c>
      <c r="G34" s="20" t="n">
        <v>80</v>
      </c>
      <c r="H34" s="18" t="n">
        <v>1.18</v>
      </c>
      <c r="I34" s="25">
        <f>F34-G34</f>
        <v/>
      </c>
    </row>
    <row r="35">
      <c r="A35" s="16" t="inlineStr">
        <is>
          <t>2024-10-23</t>
        </is>
      </c>
      <c r="B35" s="19" t="n">
        <v>0.6157</v>
      </c>
      <c r="C35" s="19" t="n">
        <v>0.7434000000000001</v>
      </c>
      <c r="D35" s="19" t="n">
        <v>0.7484000000000001</v>
      </c>
      <c r="E35" s="19" t="n">
        <v>0.7484000000000001</v>
      </c>
      <c r="F35" s="20" t="n">
        <v>92</v>
      </c>
      <c r="G35" s="20" t="n">
        <v>92</v>
      </c>
      <c r="H35" s="18" t="n">
        <v>1</v>
      </c>
      <c r="I35" s="25">
        <f>F35-G35</f>
        <v/>
      </c>
    </row>
    <row r="36">
      <c r="A36" s="16" t="inlineStr">
        <is>
          <t>2024-10-24</t>
        </is>
      </c>
      <c r="B36" s="19" t="n">
        <v>0.6014</v>
      </c>
      <c r="C36" s="19" t="n">
        <v>0.7373999999999999</v>
      </c>
      <c r="D36" s="19" t="n">
        <v>0.7442</v>
      </c>
      <c r="E36" s="19" t="n">
        <v>0.7442</v>
      </c>
      <c r="F36" s="20" t="n">
        <v>83</v>
      </c>
      <c r="G36" s="20" t="n">
        <v>100</v>
      </c>
      <c r="H36" s="18" t="n">
        <v>0.83</v>
      </c>
      <c r="I36" s="25">
        <f>F36-G36</f>
        <v/>
      </c>
    </row>
    <row r="37">
      <c r="A37" s="16" t="inlineStr">
        <is>
          <t>2024-10-25</t>
        </is>
      </c>
      <c r="B37" s="19" t="n">
        <v>0.5628</v>
      </c>
      <c r="C37" s="19" t="n">
        <v>0.73</v>
      </c>
      <c r="D37" s="19" t="n">
        <v>0.7392</v>
      </c>
      <c r="E37" s="19" t="n">
        <v>0.7392</v>
      </c>
      <c r="F37" s="20" t="n">
        <v>64</v>
      </c>
      <c r="G37" s="20" t="n">
        <v>121</v>
      </c>
      <c r="H37" s="18" t="n">
        <v>0.53</v>
      </c>
      <c r="I37" s="25">
        <f>F37-G37</f>
        <v/>
      </c>
    </row>
    <row r="38">
      <c r="A38" s="16" t="inlineStr">
        <is>
          <t>2024-10-28</t>
        </is>
      </c>
      <c r="B38" s="19" t="n">
        <v>0.5569</v>
      </c>
      <c r="C38" s="19" t="n">
        <v>0.722</v>
      </c>
      <c r="D38" s="19" t="n">
        <v>0.7342</v>
      </c>
      <c r="E38" s="19" t="n">
        <v>0.7342</v>
      </c>
      <c r="F38" s="20" t="n">
        <v>68</v>
      </c>
      <c r="G38" s="20" t="n">
        <v>107</v>
      </c>
      <c r="H38" s="18" t="n">
        <v>0.64</v>
      </c>
      <c r="I38" s="25">
        <f>F38-G38</f>
        <v/>
      </c>
    </row>
    <row r="39">
      <c r="A39" s="16" t="inlineStr">
        <is>
          <t>2024-10-29</t>
        </is>
      </c>
      <c r="B39" s="19" t="n">
        <v>0.5628</v>
      </c>
      <c r="C39" s="19" t="n">
        <v>0.7142000000000001</v>
      </c>
      <c r="D39" s="19" t="n">
        <v>0.7297</v>
      </c>
      <c r="E39" s="19" t="n">
        <v>0.7297</v>
      </c>
      <c r="F39" s="20" t="n">
        <v>76</v>
      </c>
      <c r="G39" s="20" t="n">
        <v>75</v>
      </c>
      <c r="H39" s="18" t="n">
        <v>1.01</v>
      </c>
      <c r="I39" s="25">
        <f>F39-G39</f>
        <v/>
      </c>
    </row>
    <row r="40">
      <c r="A40" s="16" t="inlineStr">
        <is>
          <t>2024-10-30</t>
        </is>
      </c>
      <c r="B40" s="19" t="n">
        <v>0.5719</v>
      </c>
      <c r="C40" s="19" t="n">
        <v>0.7065</v>
      </c>
      <c r="D40" s="19" t="n">
        <v>0.7256999999999999</v>
      </c>
      <c r="E40" s="19" t="n">
        <v>0.7256999999999999</v>
      </c>
      <c r="F40" s="20" t="n">
        <v>84</v>
      </c>
      <c r="G40" s="20" t="n">
        <v>45</v>
      </c>
      <c r="H40" s="18" t="n">
        <v>1.87</v>
      </c>
      <c r="I40" s="25">
        <f>F40-G40</f>
        <v/>
      </c>
    </row>
    <row r="41">
      <c r="A41" s="16" t="inlineStr">
        <is>
          <t>2024-10-31</t>
        </is>
      </c>
      <c r="B41" s="19" t="n">
        <v>0.5961</v>
      </c>
      <c r="C41" s="19" t="n">
        <v>0.7</v>
      </c>
      <c r="D41" s="19" t="n">
        <v>0.7223999999999999</v>
      </c>
      <c r="E41" s="19" t="n">
        <v>0.7223999999999999</v>
      </c>
      <c r="F41" s="20" t="n">
        <v>99</v>
      </c>
      <c r="G41" s="20" t="n">
        <v>28</v>
      </c>
      <c r="H41" s="18" t="n">
        <v>3.54</v>
      </c>
      <c r="I41" s="25">
        <f>F41-G41</f>
        <v/>
      </c>
    </row>
    <row r="42">
      <c r="A42" s="16" t="inlineStr">
        <is>
          <t>2024-11-01</t>
        </is>
      </c>
      <c r="B42" s="19" t="n">
        <v>0.6168</v>
      </c>
      <c r="C42" s="19" t="n">
        <v>0.6948000000000001</v>
      </c>
      <c r="D42" s="19" t="n">
        <v>0.7199</v>
      </c>
      <c r="E42" s="19" t="n">
        <v>0.7199</v>
      </c>
      <c r="F42" s="20" t="n">
        <v>107</v>
      </c>
      <c r="G42" s="20" t="n">
        <v>13</v>
      </c>
      <c r="H42" s="18" t="n">
        <v>8.23</v>
      </c>
      <c r="I42" s="25">
        <f>F42-G42</f>
        <v/>
      </c>
    </row>
    <row r="43">
      <c r="A43" s="16" t="inlineStr">
        <is>
          <t>2024-11-04</t>
        </is>
      </c>
      <c r="B43" s="19" t="n">
        <v>0.6109</v>
      </c>
      <c r="C43" s="19" t="n">
        <v>0.6892</v>
      </c>
      <c r="D43" s="19" t="n">
        <v>0.7173</v>
      </c>
      <c r="E43" s="19" t="n">
        <v>0.7173</v>
      </c>
      <c r="F43" s="20" t="n">
        <v>105</v>
      </c>
      <c r="G43" s="20" t="n">
        <v>13</v>
      </c>
      <c r="H43" s="18" t="n">
        <v>8.08</v>
      </c>
      <c r="I43" s="25">
        <f>F43-G43</f>
        <v/>
      </c>
    </row>
    <row r="44">
      <c r="A44" s="16" t="inlineStr">
        <is>
          <t>2024-11-05</t>
        </is>
      </c>
      <c r="B44" s="19" t="n">
        <v>0.6138</v>
      </c>
      <c r="C44" s="19" t="n">
        <v>0.6834</v>
      </c>
      <c r="D44" s="19" t="n">
        <v>0.7149</v>
      </c>
      <c r="E44" s="19" t="n">
        <v>0.7149</v>
      </c>
      <c r="F44" s="20" t="n">
        <v>119</v>
      </c>
      <c r="G44" s="20" t="n">
        <v>11</v>
      </c>
      <c r="H44" s="18" t="n">
        <v>10.82</v>
      </c>
      <c r="I44" s="25">
        <f>F44-G44</f>
        <v/>
      </c>
    </row>
    <row r="45">
      <c r="A45" s="16" t="inlineStr">
        <is>
          <t>2024-11-06</t>
        </is>
      </c>
      <c r="B45" s="19" t="n">
        <v>0.6404000000000001</v>
      </c>
      <c r="C45" s="19" t="n">
        <v>0.6783</v>
      </c>
      <c r="D45" s="19" t="n">
        <v>0.7131999999999999</v>
      </c>
      <c r="E45" s="19" t="n">
        <v>0.7131999999999999</v>
      </c>
      <c r="F45" s="20" t="n">
        <v>145</v>
      </c>
      <c r="G45" s="20" t="n">
        <v>12</v>
      </c>
      <c r="H45" s="18" t="n">
        <v>12.08</v>
      </c>
      <c r="I45" s="25">
        <f>F45-G45</f>
        <v/>
      </c>
    </row>
    <row r="46">
      <c r="A46" s="16" t="inlineStr">
        <is>
          <t>2024-11-07</t>
        </is>
      </c>
      <c r="B46" s="19" t="n">
        <v>0.6395000000000001</v>
      </c>
      <c r="C46" s="19" t="n">
        <v>0.6734</v>
      </c>
      <c r="D46" s="19" t="n">
        <v>0.7115</v>
      </c>
      <c r="E46" s="19" t="n">
        <v>0.7115</v>
      </c>
      <c r="F46" s="20" t="n">
        <v>145</v>
      </c>
      <c r="G46" s="20" t="n">
        <v>13</v>
      </c>
      <c r="H46" s="18" t="n">
        <v>11.15</v>
      </c>
      <c r="I46" s="25">
        <f>F46-G46</f>
        <v/>
      </c>
    </row>
    <row r="47">
      <c r="A47" s="16" t="inlineStr">
        <is>
          <t>2024-11-08</t>
        </is>
      </c>
      <c r="B47" s="19" t="n">
        <v>0.6277</v>
      </c>
      <c r="C47" s="19" t="n">
        <v>0.6681</v>
      </c>
      <c r="D47" s="19" t="n">
        <v>0.7097</v>
      </c>
      <c r="E47" s="19" t="n">
        <v>0.7097</v>
      </c>
      <c r="F47" s="20" t="n">
        <v>129</v>
      </c>
      <c r="G47" s="20" t="n">
        <v>16</v>
      </c>
      <c r="H47" s="18" t="n">
        <v>8.06</v>
      </c>
      <c r="I47" s="25">
        <f>F47-G47</f>
        <v/>
      </c>
    </row>
    <row r="48">
      <c r="A48" s="16" t="inlineStr">
        <is>
          <t>2024-11-11</t>
        </is>
      </c>
      <c r="B48" s="19" t="n">
        <v>0.6135</v>
      </c>
      <c r="C48" s="19" t="n">
        <v>0.6626000000000001</v>
      </c>
      <c r="D48" s="19" t="n">
        <v>0.7077</v>
      </c>
      <c r="E48" s="19" t="n">
        <v>0.7077</v>
      </c>
      <c r="F48" s="20" t="n">
        <v>108</v>
      </c>
      <c r="G48" s="20" t="n">
        <v>31</v>
      </c>
      <c r="H48" s="18" t="n">
        <v>3.48</v>
      </c>
      <c r="I48" s="25">
        <f>F48-G48</f>
        <v/>
      </c>
    </row>
    <row r="49">
      <c r="A49" s="16" t="inlineStr">
        <is>
          <t>2024-11-12</t>
        </is>
      </c>
      <c r="B49" s="19" t="n">
        <v>0.5898</v>
      </c>
      <c r="C49" s="19" t="n">
        <v>0.6563</v>
      </c>
      <c r="D49" s="19" t="n">
        <v>0.7051999999999999</v>
      </c>
      <c r="E49" s="19" t="n">
        <v>0.7051999999999999</v>
      </c>
      <c r="F49" s="20" t="n">
        <v>99</v>
      </c>
      <c r="G49" s="20" t="n">
        <v>61</v>
      </c>
      <c r="H49" s="18" t="n">
        <v>1.62</v>
      </c>
      <c r="I49" s="25">
        <f>F49-G49</f>
        <v/>
      </c>
    </row>
    <row r="50">
      <c r="A50" s="16" t="inlineStr">
        <is>
          <t>2024-11-13</t>
        </is>
      </c>
      <c r="B50" s="19" t="n">
        <v>0.5431</v>
      </c>
      <c r="C50" s="19" t="n">
        <v>0.6486</v>
      </c>
      <c r="D50" s="19" t="n">
        <v>0.7019</v>
      </c>
      <c r="E50" s="19" t="n">
        <v>0.7019</v>
      </c>
      <c r="F50" s="20" t="n">
        <v>79</v>
      </c>
      <c r="G50" s="20" t="n">
        <v>113</v>
      </c>
      <c r="H50" s="18" t="n">
        <v>0.7</v>
      </c>
      <c r="I50" s="25">
        <f>F50-G50</f>
        <v/>
      </c>
    </row>
    <row r="51">
      <c r="A51" s="16" t="inlineStr">
        <is>
          <t>2024-11-14</t>
        </is>
      </c>
      <c r="B51" s="19" t="n">
        <v>0.5156000000000001</v>
      </c>
      <c r="C51" s="19" t="n">
        <v>0.6405</v>
      </c>
      <c r="D51" s="19" t="n">
        <v>0.6981999999999999</v>
      </c>
      <c r="E51" s="19" t="n">
        <v>0.6981999999999999</v>
      </c>
      <c r="F51" s="20" t="n">
        <v>77</v>
      </c>
      <c r="G51" s="20" t="n">
        <v>120</v>
      </c>
      <c r="H51" s="18" t="n">
        <v>0.64</v>
      </c>
      <c r="I51" s="25">
        <f>F51-G51</f>
        <v/>
      </c>
    </row>
    <row r="52">
      <c r="A52" s="16" t="inlineStr">
        <is>
          <t>2024-11-18</t>
        </is>
      </c>
      <c r="B52" s="19" t="n">
        <v>0.505</v>
      </c>
      <c r="C52" s="19" t="n">
        <v>0.6327</v>
      </c>
      <c r="D52" s="19" t="n">
        <v>0.6944</v>
      </c>
      <c r="E52" s="19" t="n">
        <v>0.6944</v>
      </c>
      <c r="F52" s="20" t="n">
        <v>77</v>
      </c>
      <c r="G52" s="20" t="n">
        <v>136</v>
      </c>
      <c r="H52" s="18" t="n">
        <v>0.57</v>
      </c>
      <c r="I52" s="25">
        <f>F52-G52</f>
        <v/>
      </c>
    </row>
    <row r="53">
      <c r="A53" s="16" t="inlineStr">
        <is>
          <t>2024-11-19</t>
        </is>
      </c>
      <c r="B53" s="19" t="n">
        <v>0.5003</v>
      </c>
      <c r="C53" s="19" t="n">
        <v>0.6263000000000001</v>
      </c>
      <c r="D53" s="19" t="n">
        <v>0.6907</v>
      </c>
      <c r="E53" s="19" t="n">
        <v>0.6907</v>
      </c>
      <c r="F53" s="20" t="n">
        <v>81</v>
      </c>
      <c r="G53" s="20" t="n">
        <v>124</v>
      </c>
      <c r="H53" s="18" t="n">
        <v>0.65</v>
      </c>
      <c r="I53" s="25">
        <f>F53-G53</f>
        <v/>
      </c>
    </row>
    <row r="54">
      <c r="A54" s="16" t="inlineStr">
        <is>
          <t>2024-11-21</t>
        </is>
      </c>
      <c r="B54" s="19" t="n">
        <v>0.4888</v>
      </c>
      <c r="C54" s="19" t="n">
        <v>0.6195000000000001</v>
      </c>
      <c r="D54" s="19" t="n">
        <v>0.6868000000000001</v>
      </c>
      <c r="E54" s="19" t="n">
        <v>0.6868000000000001</v>
      </c>
      <c r="F54" s="20" t="n">
        <v>94</v>
      </c>
      <c r="G54" s="20" t="n">
        <v>161</v>
      </c>
      <c r="H54" s="18" t="n">
        <v>0.58</v>
      </c>
      <c r="I54" s="25">
        <f>F54-G54</f>
        <v/>
      </c>
    </row>
    <row r="55">
      <c r="A55" s="16" t="inlineStr">
        <is>
          <t>2024-11-22</t>
        </is>
      </c>
      <c r="B55" s="19" t="n">
        <v>0.49</v>
      </c>
      <c r="C55" s="19" t="n">
        <v>0.6126</v>
      </c>
      <c r="D55" s="19" t="n">
        <v>0.6831999999999999</v>
      </c>
      <c r="E55" s="19" t="n">
        <v>0.6831999999999999</v>
      </c>
      <c r="F55" s="20" t="n">
        <v>96</v>
      </c>
      <c r="G55" s="20" t="n">
        <v>111</v>
      </c>
      <c r="H55" s="18" t="n">
        <v>0.86</v>
      </c>
      <c r="I55" s="25">
        <f>F55-G55</f>
        <v/>
      </c>
    </row>
    <row r="56">
      <c r="A56" s="16" t="inlineStr">
        <is>
          <t>2024-11-25</t>
        </is>
      </c>
      <c r="B56" s="19" t="n">
        <v>0.5133</v>
      </c>
      <c r="C56" s="19" t="n">
        <v>0.6061</v>
      </c>
      <c r="D56" s="19" t="n">
        <v>0.6801</v>
      </c>
      <c r="E56" s="19" t="n">
        <v>0.6801</v>
      </c>
      <c r="F56" s="20" t="n">
        <v>117</v>
      </c>
      <c r="G56" s="20" t="n">
        <v>81</v>
      </c>
      <c r="H56" s="18" t="n">
        <v>1.44</v>
      </c>
      <c r="I56" s="25">
        <f>F56-G56</f>
        <v/>
      </c>
    </row>
    <row r="57">
      <c r="A57" s="16" t="inlineStr">
        <is>
          <t>2024-11-26</t>
        </is>
      </c>
      <c r="B57" s="19" t="n">
        <v>0.5233</v>
      </c>
      <c r="C57" s="19" t="n">
        <v>0.5997</v>
      </c>
      <c r="D57" s="19" t="n">
        <v>0.6773</v>
      </c>
      <c r="E57" s="19" t="n">
        <v>0.6773</v>
      </c>
      <c r="F57" s="20" t="n">
        <v>126</v>
      </c>
      <c r="G57" s="20" t="n">
        <v>52</v>
      </c>
      <c r="H57" s="18" t="n">
        <v>2.42</v>
      </c>
      <c r="I57" s="25">
        <f>F57-G57</f>
        <v/>
      </c>
    </row>
    <row r="58">
      <c r="A58" s="16" t="inlineStr">
        <is>
          <t>2024-11-27</t>
        </is>
      </c>
      <c r="B58" s="19" t="n">
        <v>0.5474</v>
      </c>
      <c r="C58" s="19" t="n">
        <v>0.5941</v>
      </c>
      <c r="D58" s="19" t="n">
        <v>0.675</v>
      </c>
      <c r="E58" s="19" t="n">
        <v>0.675</v>
      </c>
      <c r="F58" s="20" t="n">
        <v>135</v>
      </c>
      <c r="G58" s="20" t="n">
        <v>32</v>
      </c>
      <c r="H58" s="18" t="n">
        <v>4.22</v>
      </c>
      <c r="I58" s="25">
        <f>F58-G58</f>
        <v/>
      </c>
    </row>
    <row r="59">
      <c r="A59" s="16" t="inlineStr">
        <is>
          <t>2024-11-28</t>
        </is>
      </c>
      <c r="B59" s="19" t="n">
        <v>0.5548</v>
      </c>
      <c r="C59" s="19" t="n">
        <v>0.5886</v>
      </c>
      <c r="D59" s="19" t="n">
        <v>0.6729999999999999</v>
      </c>
      <c r="E59" s="19" t="n">
        <v>0.6729999999999999</v>
      </c>
      <c r="F59" s="20" t="n">
        <v>122</v>
      </c>
      <c r="G59" s="20" t="n">
        <v>25</v>
      </c>
      <c r="H59" s="18" t="n">
        <v>4.88</v>
      </c>
      <c r="I59" s="25">
        <f>F59-G59</f>
        <v/>
      </c>
    </row>
    <row r="60">
      <c r="A60" s="16" t="inlineStr">
        <is>
          <t>2024-11-29</t>
        </is>
      </c>
      <c r="B60" s="19" t="n">
        <v>0.5683</v>
      </c>
      <c r="C60" s="19" t="n">
        <v>0.5835</v>
      </c>
      <c r="D60" s="19" t="n">
        <v>0.6712</v>
      </c>
      <c r="E60" s="19" t="n">
        <v>0.6712</v>
      </c>
      <c r="F60" s="20" t="n">
        <v>141</v>
      </c>
      <c r="G60" s="20" t="n">
        <v>19</v>
      </c>
      <c r="H60" s="18" t="n">
        <v>7.42</v>
      </c>
      <c r="I60" s="25">
        <f>F60-G60</f>
        <v/>
      </c>
    </row>
    <row r="61">
      <c r="A61" s="16" t="inlineStr">
        <is>
          <t>2024-12-02</t>
        </is>
      </c>
      <c r="B61" s="19" t="n">
        <v>0.5809000000000001</v>
      </c>
      <c r="C61" s="19" t="n">
        <v>0.5789</v>
      </c>
      <c r="D61" s="19" t="n">
        <v>0.6697</v>
      </c>
      <c r="E61" s="19" t="n">
        <v>0.6697</v>
      </c>
      <c r="F61" s="20" t="n">
        <v>165</v>
      </c>
      <c r="G61" s="20" t="n">
        <v>22</v>
      </c>
      <c r="H61" s="18" t="n">
        <v>7.5</v>
      </c>
      <c r="I61" s="25">
        <f>F61-G61</f>
        <v/>
      </c>
    </row>
    <row r="62">
      <c r="A62" s="16" t="inlineStr">
        <is>
          <t>2024-12-03</t>
        </is>
      </c>
      <c r="B62" s="19" t="n">
        <v>0.608</v>
      </c>
      <c r="C62" s="19" t="n">
        <v>0.5757</v>
      </c>
      <c r="D62" s="19" t="n">
        <v>0.6687000000000001</v>
      </c>
      <c r="E62" s="19" t="n">
        <v>0.6687000000000001</v>
      </c>
      <c r="F62" s="20" t="n">
        <v>160</v>
      </c>
      <c r="G62" s="20" t="n">
        <v>15</v>
      </c>
      <c r="H62" s="18" t="n">
        <v>10.67</v>
      </c>
      <c r="I62" s="25">
        <f>F62-G62</f>
        <v/>
      </c>
    </row>
    <row r="63">
      <c r="A63" s="16" t="inlineStr">
        <is>
          <t>2024-12-04</t>
        </is>
      </c>
      <c r="B63" s="19" t="n">
        <v>0.6194</v>
      </c>
      <c r="C63" s="19" t="n">
        <v>0.5736</v>
      </c>
      <c r="D63" s="19" t="n">
        <v>0.6679</v>
      </c>
      <c r="E63" s="19" t="n">
        <v>0.6679</v>
      </c>
      <c r="F63" s="20" t="n">
        <v>178</v>
      </c>
      <c r="G63" s="20" t="n">
        <v>11</v>
      </c>
      <c r="H63" s="18" t="n">
        <v>16.18</v>
      </c>
      <c r="I63" s="25">
        <f>F63-G63</f>
        <v/>
      </c>
    </row>
    <row r="64">
      <c r="A64" s="16" t="inlineStr">
        <is>
          <t>2024-12-05</t>
        </is>
      </c>
      <c r="B64" s="19" t="n">
        <v>0.6288</v>
      </c>
      <c r="C64" s="19" t="n">
        <v>0.5736</v>
      </c>
      <c r="D64" s="19" t="n">
        <v>0.6673</v>
      </c>
      <c r="E64" s="19" t="n">
        <v>0.6673</v>
      </c>
      <c r="F64" s="20" t="n">
        <v>181</v>
      </c>
      <c r="G64" s="20" t="n">
        <v>13</v>
      </c>
      <c r="H64" s="18" t="n">
        <v>13.92</v>
      </c>
      <c r="I64" s="25">
        <f>F64-G64</f>
        <v/>
      </c>
    </row>
    <row r="65">
      <c r="A65" s="16" t="inlineStr">
        <is>
          <t>2024-12-06</t>
        </is>
      </c>
      <c r="B65" s="19" t="n">
        <v>0.6404000000000001</v>
      </c>
      <c r="C65" s="19" t="n">
        <v>0.5744</v>
      </c>
      <c r="D65" s="19" t="n">
        <v>0.6668000000000001</v>
      </c>
      <c r="E65" s="19" t="n">
        <v>0.6668000000000001</v>
      </c>
      <c r="F65" s="20" t="n">
        <v>178</v>
      </c>
      <c r="G65" s="20" t="n">
        <v>12</v>
      </c>
      <c r="H65" s="18" t="n">
        <v>14.83</v>
      </c>
      <c r="I65" s="25">
        <f>F65-G65</f>
        <v/>
      </c>
    </row>
    <row r="66">
      <c r="A66" s="16" t="inlineStr">
        <is>
          <t>2024-12-09</t>
        </is>
      </c>
      <c r="B66" s="19" t="n">
        <v>0.6509999999999999</v>
      </c>
      <c r="C66" s="19" t="n">
        <v>0.5760000000000001</v>
      </c>
      <c r="D66" s="19" t="n">
        <v>0.6666</v>
      </c>
      <c r="E66" s="19" t="n">
        <v>0.6666</v>
      </c>
      <c r="F66" s="20" t="n">
        <v>205</v>
      </c>
      <c r="G66" s="20" t="n">
        <v>10</v>
      </c>
      <c r="H66" s="18" t="n">
        <v>20.5</v>
      </c>
      <c r="I66" s="25">
        <f>F66-G66</f>
        <v/>
      </c>
    </row>
    <row r="67">
      <c r="A67" s="16" t="inlineStr">
        <is>
          <t>2024-12-10</t>
        </is>
      </c>
      <c r="B67" s="19" t="n">
        <v>0.6579</v>
      </c>
      <c r="C67" s="19" t="n">
        <v>0.5792</v>
      </c>
      <c r="D67" s="19" t="n">
        <v>0.6665000000000001</v>
      </c>
      <c r="E67" s="19" t="n">
        <v>0.6665000000000001</v>
      </c>
      <c r="F67" s="20" t="n">
        <v>202</v>
      </c>
      <c r="G67" s="20" t="n">
        <v>10</v>
      </c>
      <c r="H67" s="18" t="n">
        <v>20.2</v>
      </c>
      <c r="I67" s="25">
        <f>F67-G67</f>
        <v/>
      </c>
    </row>
    <row r="68">
      <c r="A68" s="16" t="inlineStr">
        <is>
          <t>2024-12-11</t>
        </is>
      </c>
      <c r="B68" s="19" t="n">
        <v>0.6720999999999999</v>
      </c>
      <c r="C68" s="19" t="n">
        <v>0.5831000000000001</v>
      </c>
      <c r="D68" s="19" t="n">
        <v>0.6665000000000001</v>
      </c>
      <c r="E68" s="19" t="n">
        <v>0.6665000000000001</v>
      </c>
      <c r="F68" s="20" t="n">
        <v>215</v>
      </c>
      <c r="G68" s="20" t="n">
        <v>11</v>
      </c>
      <c r="H68" s="18" t="n">
        <v>19.55</v>
      </c>
      <c r="I68" s="25">
        <f>F68-G68</f>
        <v/>
      </c>
    </row>
    <row r="69">
      <c r="A69" s="16" t="inlineStr">
        <is>
          <t>2024-12-12</t>
        </is>
      </c>
      <c r="B69" s="19" t="n">
        <v>0.6612</v>
      </c>
      <c r="C69" s="19" t="n">
        <v>0.5863</v>
      </c>
      <c r="D69" s="19" t="n">
        <v>0.6665000000000001</v>
      </c>
      <c r="E69" s="19" t="n">
        <v>0.6665000000000001</v>
      </c>
      <c r="F69" s="20" t="n">
        <v>179</v>
      </c>
      <c r="G69" s="20" t="n">
        <v>14</v>
      </c>
      <c r="H69" s="18" t="n">
        <v>12.79</v>
      </c>
      <c r="I69" s="25">
        <f>F69-G69</f>
        <v/>
      </c>
    </row>
    <row r="70">
      <c r="A70" s="16" t="inlineStr">
        <is>
          <t>2024-12-13</t>
        </is>
      </c>
      <c r="B70" s="19" t="n">
        <v>0.6476999999999999</v>
      </c>
      <c r="C70" s="19" t="n">
        <v>0.5889</v>
      </c>
      <c r="D70" s="19" t="n">
        <v>0.6662</v>
      </c>
      <c r="E70" s="19" t="n">
        <v>0.6662</v>
      </c>
      <c r="F70" s="20" t="n">
        <v>162</v>
      </c>
      <c r="G70" s="20" t="n">
        <v>19</v>
      </c>
      <c r="H70" s="18" t="n">
        <v>8.529999999999999</v>
      </c>
      <c r="I70" s="25">
        <f>F70-G70</f>
        <v/>
      </c>
    </row>
    <row r="71">
      <c r="A71" s="16" t="inlineStr">
        <is>
          <t>2024-12-16</t>
        </is>
      </c>
      <c r="B71" s="19" t="n">
        <v>0.6512</v>
      </c>
      <c r="C71" s="19" t="n">
        <v>0.5907</v>
      </c>
      <c r="D71" s="19" t="n">
        <v>0.6659999999999999</v>
      </c>
      <c r="E71" s="19" t="n">
        <v>0.6659999999999999</v>
      </c>
      <c r="F71" s="20" t="n">
        <v>176</v>
      </c>
      <c r="G71" s="20" t="n">
        <v>21</v>
      </c>
      <c r="H71" s="18" t="n">
        <v>8.380000000000001</v>
      </c>
      <c r="I71" s="25">
        <f>F71-G71</f>
        <v/>
      </c>
    </row>
    <row r="72">
      <c r="A72" s="16" t="inlineStr">
        <is>
          <t>2024-12-17</t>
        </is>
      </c>
      <c r="B72" s="19" t="n">
        <v>0.6395000000000001</v>
      </c>
      <c r="C72" s="19" t="n">
        <v>0.5915</v>
      </c>
      <c r="D72" s="19" t="n">
        <v>0.6656</v>
      </c>
      <c r="E72" s="19" t="n">
        <v>0.6656</v>
      </c>
      <c r="F72" s="20" t="n">
        <v>176</v>
      </c>
      <c r="G72" s="20" t="n">
        <v>33</v>
      </c>
      <c r="H72" s="18" t="n">
        <v>5.33</v>
      </c>
      <c r="I72" s="25">
        <f>F72-G72</f>
        <v/>
      </c>
    </row>
    <row r="73">
      <c r="A73" s="16" t="inlineStr">
        <is>
          <t>2024-12-18</t>
        </is>
      </c>
      <c r="B73" s="19" t="n">
        <v>0.6219</v>
      </c>
      <c r="C73" s="19" t="n">
        <v>0.5918</v>
      </c>
      <c r="D73" s="19" t="n">
        <v>0.665</v>
      </c>
      <c r="E73" s="19" t="n">
        <v>0.665</v>
      </c>
      <c r="F73" s="20" t="n">
        <v>154</v>
      </c>
      <c r="G73" s="20" t="n">
        <v>38</v>
      </c>
      <c r="H73" s="18" t="n">
        <v>4.05</v>
      </c>
      <c r="I73" s="25">
        <f>F73-G73</f>
        <v/>
      </c>
    </row>
    <row r="74">
      <c r="A74" s="16" t="inlineStr">
        <is>
          <t>2024-12-19</t>
        </is>
      </c>
      <c r="B74" s="19" t="n">
        <v>0.6172</v>
      </c>
      <c r="C74" s="19" t="n">
        <v>0.5919</v>
      </c>
      <c r="D74" s="19" t="n">
        <v>0.6643000000000001</v>
      </c>
      <c r="E74" s="19" t="n">
        <v>0.6643000000000001</v>
      </c>
      <c r="F74" s="20" t="n">
        <v>140</v>
      </c>
      <c r="G74" s="20" t="n">
        <v>45</v>
      </c>
      <c r="H74" s="18" t="n">
        <v>3.11</v>
      </c>
      <c r="I74" s="25">
        <f>F74-G74</f>
        <v/>
      </c>
    </row>
    <row r="75">
      <c r="A75" s="16" t="inlineStr">
        <is>
          <t>2024-12-20</t>
        </is>
      </c>
      <c r="B75" s="19" t="n">
        <v>0.579</v>
      </c>
      <c r="C75" s="19" t="n">
        <v>0.5899</v>
      </c>
      <c r="D75" s="19" t="n">
        <v>0.6631999999999999</v>
      </c>
      <c r="E75" s="19" t="n">
        <v>0.6631999999999999</v>
      </c>
      <c r="F75" s="20" t="n">
        <v>108</v>
      </c>
      <c r="G75" s="20" t="n">
        <v>65</v>
      </c>
      <c r="H75" s="18" t="n">
        <v>1.66</v>
      </c>
      <c r="I75" s="25">
        <f>F75-G75</f>
        <v/>
      </c>
    </row>
    <row r="76">
      <c r="A76" s="16" t="inlineStr">
        <is>
          <t>2024-12-23</t>
        </is>
      </c>
      <c r="B76" s="19" t="n">
        <v>0.5590999999999999</v>
      </c>
      <c r="C76" s="19" t="n">
        <v>0.5871999999999999</v>
      </c>
      <c r="D76" s="19" t="n">
        <v>0.6618000000000001</v>
      </c>
      <c r="E76" s="19" t="n">
        <v>0.6618000000000001</v>
      </c>
      <c r="F76" s="20" t="n">
        <v>89</v>
      </c>
      <c r="G76" s="20" t="n">
        <v>72</v>
      </c>
      <c r="H76" s="18" t="n">
        <v>1.24</v>
      </c>
      <c r="I76" s="25">
        <f>F76-G76</f>
        <v/>
      </c>
    </row>
    <row r="77">
      <c r="A77" s="16" t="inlineStr">
        <is>
          <t>2024-12-24</t>
        </is>
      </c>
      <c r="B77" s="19" t="n">
        <v>0.5457</v>
      </c>
      <c r="C77" s="19" t="n">
        <v>0.5845</v>
      </c>
      <c r="D77" s="19" t="n">
        <v>0.6603</v>
      </c>
      <c r="E77" s="19" t="n">
        <v>0.6603</v>
      </c>
      <c r="F77" s="20" t="n">
        <v>90</v>
      </c>
      <c r="G77" s="20" t="n">
        <v>79</v>
      </c>
      <c r="H77" s="18" t="n">
        <v>1.14</v>
      </c>
      <c r="I77" s="25">
        <f>F77-G77</f>
        <v/>
      </c>
    </row>
    <row r="78">
      <c r="A78" s="16" t="inlineStr">
        <is>
          <t>2024-12-26</t>
        </is>
      </c>
      <c r="B78" s="19" t="n">
        <v>0.5407</v>
      </c>
      <c r="C78" s="19" t="n">
        <v>0.5821000000000001</v>
      </c>
      <c r="D78" s="19" t="n">
        <v>0.6587000000000001</v>
      </c>
      <c r="E78" s="19" t="n">
        <v>0.6587000000000001</v>
      </c>
      <c r="F78" s="20" t="n">
        <v>87</v>
      </c>
      <c r="G78" s="20" t="n">
        <v>78</v>
      </c>
      <c r="H78" s="18" t="n">
        <v>1.12</v>
      </c>
      <c r="I78" s="25">
        <f>F78-G78</f>
        <v/>
      </c>
    </row>
    <row r="79">
      <c r="A79" s="16" t="inlineStr">
        <is>
          <t>2024-12-27</t>
        </is>
      </c>
      <c r="B79" s="19" t="n">
        <v>0.5359</v>
      </c>
      <c r="C79" s="19" t="n">
        <v>0.5803</v>
      </c>
      <c r="D79" s="19" t="n">
        <v>0.6570999999999999</v>
      </c>
      <c r="E79" s="19" t="n">
        <v>0.6570999999999999</v>
      </c>
      <c r="F79" s="20" t="n">
        <v>94</v>
      </c>
      <c r="G79" s="20" t="n">
        <v>70</v>
      </c>
      <c r="H79" s="18" t="n">
        <v>1.34</v>
      </c>
      <c r="I79" s="25">
        <f>F79-G79</f>
        <v/>
      </c>
    </row>
    <row r="80">
      <c r="A80" s="16" t="inlineStr">
        <is>
          <t>2024-12-30</t>
        </is>
      </c>
      <c r="B80" s="19" t="n">
        <v>0.5318999999999999</v>
      </c>
      <c r="C80" s="19" t="n">
        <v>0.5799</v>
      </c>
      <c r="D80" s="19" t="n">
        <v>0.6556000000000001</v>
      </c>
      <c r="E80" s="19" t="n">
        <v>0.6556000000000001</v>
      </c>
      <c r="F80" s="20" t="n">
        <v>106</v>
      </c>
      <c r="G80" s="20" t="n">
        <v>89</v>
      </c>
      <c r="H80" s="18" t="n">
        <v>1.19</v>
      </c>
      <c r="I80" s="25">
        <f>F80-G80</f>
        <v/>
      </c>
    </row>
    <row r="81">
      <c r="A81" s="16" t="inlineStr">
        <is>
          <t>2024-12-31</t>
        </is>
      </c>
      <c r="B81" s="19" t="n">
        <v>0.5336</v>
      </c>
      <c r="C81" s="19" t="n">
        <v>0.5805</v>
      </c>
      <c r="D81" s="19" t="n">
        <v>0.654</v>
      </c>
      <c r="E81" s="19" t="n">
        <v>0.654</v>
      </c>
      <c r="F81" s="20" t="n">
        <v>98</v>
      </c>
      <c r="G81" s="20" t="n">
        <v>75</v>
      </c>
      <c r="H81" s="18" t="n">
        <v>1.31</v>
      </c>
      <c r="I81" s="25">
        <f>F81-G81</f>
        <v/>
      </c>
    </row>
    <row r="82">
      <c r="A82" s="16" t="inlineStr">
        <is>
          <t>2025-01-01</t>
        </is>
      </c>
      <c r="B82" s="19" t="n">
        <v>0.5456</v>
      </c>
      <c r="C82" s="19" t="n">
        <v>0.5818</v>
      </c>
      <c r="D82" s="19" t="n">
        <v>0.6526999999999999</v>
      </c>
      <c r="E82" s="19" t="n">
        <v>0.6526999999999999</v>
      </c>
      <c r="F82" s="20" t="n">
        <v>117</v>
      </c>
      <c r="G82" s="20" t="n">
        <v>51</v>
      </c>
      <c r="H82" s="18" t="n">
        <v>2.29</v>
      </c>
      <c r="I82" s="25">
        <f>F82-G82</f>
        <v/>
      </c>
    </row>
    <row r="83">
      <c r="A83" s="16" t="inlineStr">
        <is>
          <t>2025-01-02</t>
        </is>
      </c>
      <c r="B83" s="19" t="n">
        <v>0.5584</v>
      </c>
      <c r="C83" s="19" t="n">
        <v>0.5838</v>
      </c>
      <c r="D83" s="19" t="n">
        <v>0.6515000000000001</v>
      </c>
      <c r="E83" s="19" t="n">
        <v>0.6515000000000001</v>
      </c>
      <c r="F83" s="20" t="n">
        <v>120</v>
      </c>
      <c r="G83" s="20" t="n">
        <v>38</v>
      </c>
      <c r="H83" s="18" t="n">
        <v>3.16</v>
      </c>
      <c r="I83" s="25">
        <f>F83-G83</f>
        <v/>
      </c>
    </row>
    <row r="84">
      <c r="A84" s="16" t="inlineStr">
        <is>
          <t>2025-01-03</t>
        </is>
      </c>
      <c r="B84" s="19" t="n">
        <v>0.5663</v>
      </c>
      <c r="C84" s="19" t="n">
        <v>0.5864</v>
      </c>
      <c r="D84" s="19" t="n">
        <v>0.6505</v>
      </c>
      <c r="E84" s="19" t="n">
        <v>0.6505</v>
      </c>
      <c r="F84" s="20" t="n">
        <v>128</v>
      </c>
      <c r="G84" s="20" t="n">
        <v>24</v>
      </c>
      <c r="H84" s="18" t="n">
        <v>5.33</v>
      </c>
      <c r="I84" s="25">
        <f>F84-G84</f>
        <v/>
      </c>
    </row>
    <row r="85">
      <c r="A85" s="16" t="inlineStr">
        <is>
          <t>2025-01-06</t>
        </is>
      </c>
      <c r="B85" s="19" t="n">
        <v>0.5338000000000001</v>
      </c>
      <c r="C85" s="19" t="n">
        <v>0.5878</v>
      </c>
      <c r="D85" s="19" t="n">
        <v>0.6491</v>
      </c>
      <c r="E85" s="19" t="n">
        <v>0.6491</v>
      </c>
      <c r="F85" s="20" t="n">
        <v>83</v>
      </c>
      <c r="G85" s="20" t="n">
        <v>75</v>
      </c>
      <c r="H85" s="18" t="n">
        <v>1.11</v>
      </c>
      <c r="I85" s="25">
        <f>F85-G85</f>
        <v/>
      </c>
    </row>
    <row r="86">
      <c r="A86" s="16" t="inlineStr">
        <is>
          <t>2025-01-07</t>
        </is>
      </c>
      <c r="B86" s="19" t="n">
        <v>0.5289</v>
      </c>
      <c r="C86" s="19" t="n">
        <v>0.5882999999999999</v>
      </c>
      <c r="D86" s="19" t="n">
        <v>0.6476999999999999</v>
      </c>
      <c r="E86" s="19" t="n">
        <v>0.6476999999999999</v>
      </c>
      <c r="F86" s="20" t="n">
        <v>105</v>
      </c>
      <c r="G86" s="20" t="n">
        <v>71</v>
      </c>
      <c r="H86" s="18" t="n">
        <v>1.48</v>
      </c>
      <c r="I86" s="25">
        <f>F86-G86</f>
        <v/>
      </c>
    </row>
    <row r="87">
      <c r="A87" s="16" t="inlineStr">
        <is>
          <t>2025-01-08</t>
        </is>
      </c>
      <c r="B87" s="19" t="n">
        <v>0.5172</v>
      </c>
      <c r="C87" s="19" t="n">
        <v>0.5881000000000001</v>
      </c>
      <c r="D87" s="19" t="n">
        <v>0.6462</v>
      </c>
      <c r="E87" s="19" t="n">
        <v>0.6462</v>
      </c>
      <c r="F87" s="20" t="n">
        <v>88</v>
      </c>
      <c r="G87" s="20" t="n">
        <v>83</v>
      </c>
      <c r="H87" s="18" t="n">
        <v>1.06</v>
      </c>
      <c r="I87" s="25">
        <f>F87-G87</f>
        <v/>
      </c>
    </row>
    <row r="88">
      <c r="A88" s="16" t="inlineStr">
        <is>
          <t>2025-01-09</t>
        </is>
      </c>
      <c r="B88" s="19" t="n">
        <v>0.498</v>
      </c>
      <c r="C88" s="19" t="n">
        <v>0.5865</v>
      </c>
      <c r="D88" s="19" t="n">
        <v>0.6445000000000001</v>
      </c>
      <c r="E88" s="19" t="n">
        <v>0.6445000000000001</v>
      </c>
      <c r="F88" s="20" t="n">
        <v>81</v>
      </c>
      <c r="G88" s="20" t="n">
        <v>115</v>
      </c>
      <c r="H88" s="18" t="n">
        <v>0.7</v>
      </c>
      <c r="I88" s="25">
        <f>F88-G88</f>
        <v/>
      </c>
    </row>
    <row r="89">
      <c r="A89" s="16" t="inlineStr">
        <is>
          <t>2025-01-10</t>
        </is>
      </c>
      <c r="B89" s="19" t="n">
        <v>0.4639</v>
      </c>
      <c r="C89" s="19" t="n">
        <v>0.5835</v>
      </c>
      <c r="D89" s="19" t="n">
        <v>0.6424</v>
      </c>
      <c r="E89" s="19" t="n">
        <v>0.6424</v>
      </c>
      <c r="F89" s="20" t="n">
        <v>81</v>
      </c>
      <c r="G89" s="20" t="n">
        <v>156</v>
      </c>
      <c r="H89" s="18" t="n">
        <v>0.52</v>
      </c>
      <c r="I89" s="25">
        <f>F89-G89</f>
        <v/>
      </c>
    </row>
    <row r="90">
      <c r="A90" s="16" t="inlineStr">
        <is>
          <t>2025-01-13</t>
        </is>
      </c>
      <c r="B90" s="19" t="n">
        <v>0.415</v>
      </c>
      <c r="C90" s="19" t="n">
        <v>0.5783</v>
      </c>
      <c r="D90" s="19" t="n">
        <v>0.6399</v>
      </c>
      <c r="E90" s="19" t="n">
        <v>0.6399</v>
      </c>
      <c r="F90" s="20" t="n">
        <v>70</v>
      </c>
      <c r="G90" s="20" t="n">
        <v>254</v>
      </c>
      <c r="H90" s="18" t="n">
        <v>0.28</v>
      </c>
      <c r="I90" s="25">
        <f>F90-G90</f>
        <v/>
      </c>
    </row>
    <row r="91">
      <c r="A91" s="16" t="inlineStr">
        <is>
          <t>2025-01-14</t>
        </is>
      </c>
      <c r="B91" s="19" t="n">
        <v>0.3987</v>
      </c>
      <c r="C91" s="19" t="n">
        <v>0.5722999999999999</v>
      </c>
      <c r="D91" s="19" t="n">
        <v>0.6372</v>
      </c>
      <c r="E91" s="19" t="n">
        <v>0.6372</v>
      </c>
      <c r="F91" s="20" t="n">
        <v>70</v>
      </c>
      <c r="G91" s="20" t="n">
        <v>150</v>
      </c>
      <c r="H91" s="18" t="n">
        <v>0.47</v>
      </c>
      <c r="I91" s="25">
        <f>F91-G91</f>
        <v/>
      </c>
    </row>
    <row r="92">
      <c r="A92" s="16" t="inlineStr">
        <is>
          <t>2025-01-15</t>
        </is>
      </c>
      <c r="B92" s="19" t="n">
        <v>0.381</v>
      </c>
      <c r="C92" s="19" t="n">
        <v>0.5647</v>
      </c>
      <c r="D92" s="19" t="n">
        <v>0.6344</v>
      </c>
      <c r="E92" s="19" t="n">
        <v>0.6344</v>
      </c>
      <c r="F92" s="20" t="n">
        <v>71</v>
      </c>
      <c r="G92" s="20" t="n">
        <v>132</v>
      </c>
      <c r="H92" s="18" t="n">
        <v>0.54</v>
      </c>
      <c r="I92" s="25">
        <f>F92-G92</f>
        <v/>
      </c>
    </row>
    <row r="93">
      <c r="A93" s="16" t="inlineStr">
        <is>
          <t>2025-01-16</t>
        </is>
      </c>
      <c r="B93" s="19" t="n">
        <v>0.3944</v>
      </c>
      <c r="C93" s="19" t="n">
        <v>0.5572</v>
      </c>
      <c r="D93" s="19" t="n">
        <v>0.6318</v>
      </c>
      <c r="E93" s="19" t="n">
        <v>0.6318</v>
      </c>
      <c r="F93" s="20" t="n">
        <v>65</v>
      </c>
      <c r="G93" s="20" t="n">
        <v>69</v>
      </c>
      <c r="H93" s="18" t="n">
        <v>0.9399999999999999</v>
      </c>
      <c r="I93" s="25">
        <f>F93-G93</f>
        <v/>
      </c>
    </row>
    <row r="94">
      <c r="A94" s="16" t="inlineStr">
        <is>
          <t>2025-01-17</t>
        </is>
      </c>
      <c r="B94" s="19" t="n">
        <v>0.4</v>
      </c>
      <c r="C94" s="19" t="n">
        <v>0.5496</v>
      </c>
      <c r="D94" s="19" t="n">
        <v>0.6293</v>
      </c>
      <c r="E94" s="19" t="n">
        <v>0.6293</v>
      </c>
      <c r="F94" s="20" t="n">
        <v>74</v>
      </c>
      <c r="G94" s="20" t="n">
        <v>49</v>
      </c>
      <c r="H94" s="18" t="n">
        <v>1.51</v>
      </c>
      <c r="I94" s="25">
        <f>F94-G94</f>
        <v/>
      </c>
    </row>
    <row r="95">
      <c r="A95" s="16" t="inlineStr">
        <is>
          <t>2025-01-20</t>
        </is>
      </c>
      <c r="B95" s="19" t="n">
        <v>0.411</v>
      </c>
      <c r="C95" s="19" t="n">
        <v>0.5418999999999999</v>
      </c>
      <c r="D95" s="19" t="n">
        <v>0.627</v>
      </c>
      <c r="E95" s="19" t="n">
        <v>0.627</v>
      </c>
      <c r="F95" s="20" t="n">
        <v>83</v>
      </c>
      <c r="G95" s="20" t="n">
        <v>46</v>
      </c>
      <c r="H95" s="18" t="n">
        <v>1.8</v>
      </c>
      <c r="I95" s="25">
        <f>F95-G95</f>
        <v/>
      </c>
    </row>
    <row r="96">
      <c r="A96" s="16" t="inlineStr">
        <is>
          <t>2025-01-21</t>
        </is>
      </c>
      <c r="B96" s="19" t="n">
        <v>0.4012</v>
      </c>
      <c r="C96" s="19" t="n">
        <v>0.5336</v>
      </c>
      <c r="D96" s="19" t="n">
        <v>0.6246</v>
      </c>
      <c r="E96" s="19" t="n">
        <v>0.6246</v>
      </c>
      <c r="F96" s="20" t="n">
        <v>66</v>
      </c>
      <c r="G96" s="20" t="n">
        <v>57</v>
      </c>
      <c r="H96" s="18" t="n">
        <v>1.16</v>
      </c>
      <c r="I96" s="25">
        <f>F96-G96</f>
        <v/>
      </c>
    </row>
    <row r="97">
      <c r="A97" s="16" t="inlineStr">
        <is>
          <t>2025-01-22</t>
        </is>
      </c>
      <c r="B97" s="19" t="n">
        <v>0.3847</v>
      </c>
      <c r="C97" s="19" t="n">
        <v>0.5245000000000001</v>
      </c>
      <c r="D97" s="19" t="n">
        <v>0.6221</v>
      </c>
      <c r="E97" s="19" t="n">
        <v>0.6221</v>
      </c>
      <c r="F97" s="20" t="n">
        <v>63</v>
      </c>
      <c r="G97" s="20" t="n">
        <v>100</v>
      </c>
      <c r="H97" s="18" t="n">
        <v>0.63</v>
      </c>
      <c r="I97" s="25">
        <f>F97-G97</f>
        <v/>
      </c>
    </row>
    <row r="98">
      <c r="A98" s="16" t="inlineStr">
        <is>
          <t>2025-01-23</t>
        </is>
      </c>
      <c r="B98" s="19" t="n">
        <v>0.3827</v>
      </c>
      <c r="C98" s="19" t="n">
        <v>0.5147999999999999</v>
      </c>
      <c r="D98" s="19" t="n">
        <v>0.6196</v>
      </c>
      <c r="E98" s="19" t="n">
        <v>0.6196</v>
      </c>
      <c r="F98" s="20" t="n">
        <v>67</v>
      </c>
      <c r="G98" s="20" t="n">
        <v>116</v>
      </c>
      <c r="H98" s="18" t="n">
        <v>0.58</v>
      </c>
      <c r="I98" s="25">
        <f>F98-G98</f>
        <v/>
      </c>
    </row>
    <row r="99">
      <c r="A99" s="16" t="inlineStr">
        <is>
          <t>2025-01-24</t>
        </is>
      </c>
      <c r="B99" s="19" t="n">
        <v>0.3656</v>
      </c>
      <c r="C99" s="19" t="n">
        <v>0.505</v>
      </c>
      <c r="D99" s="19" t="n">
        <v>0.617</v>
      </c>
      <c r="E99" s="19" t="n">
        <v>0.617</v>
      </c>
      <c r="F99" s="20" t="n">
        <v>61</v>
      </c>
      <c r="G99" s="20" t="n">
        <v>165</v>
      </c>
      <c r="H99" s="18" t="n">
        <v>0.37</v>
      </c>
      <c r="I99" s="25">
        <f>F99-G99</f>
        <v/>
      </c>
    </row>
    <row r="100">
      <c r="A100" s="16" t="inlineStr">
        <is>
          <t>2025-01-27</t>
        </is>
      </c>
      <c r="B100" s="19" t="n">
        <v>0.3233</v>
      </c>
      <c r="C100" s="19" t="n">
        <v>0.4942</v>
      </c>
      <c r="D100" s="19" t="n">
        <v>0.6141</v>
      </c>
      <c r="E100" s="19" t="n">
        <v>0.6141</v>
      </c>
      <c r="F100" s="20" t="n">
        <v>54</v>
      </c>
      <c r="G100" s="20" t="n">
        <v>266</v>
      </c>
      <c r="H100" s="18" t="n">
        <v>0.2</v>
      </c>
      <c r="I100" s="25">
        <f>F100-G100</f>
        <v/>
      </c>
    </row>
    <row r="101">
      <c r="A101" s="16" t="inlineStr">
        <is>
          <t>2025-01-28</t>
        </is>
      </c>
      <c r="B101" s="19" t="n">
        <v>0.2941</v>
      </c>
      <c r="C101" s="19" t="n">
        <v>0.4823</v>
      </c>
      <c r="D101" s="19" t="n">
        <v>0.6109</v>
      </c>
      <c r="E101" s="19" t="n">
        <v>0.6109</v>
      </c>
      <c r="F101" s="20" t="n">
        <v>53</v>
      </c>
      <c r="G101" s="20" t="n">
        <v>303</v>
      </c>
      <c r="H101" s="18" t="n">
        <v>0.17</v>
      </c>
      <c r="I101" s="25">
        <f>F101-G101</f>
        <v/>
      </c>
    </row>
    <row r="102">
      <c r="A102" s="16" t="inlineStr">
        <is>
          <t>2025-01-29</t>
        </is>
      </c>
      <c r="B102" s="19" t="n">
        <v>0.3039</v>
      </c>
      <c r="C102" s="19" t="n">
        <v>0.4711</v>
      </c>
      <c r="D102" s="19" t="n">
        <v>0.606</v>
      </c>
      <c r="E102" s="19" t="n">
        <v>0.6078</v>
      </c>
      <c r="F102" s="20" t="n">
        <v>50</v>
      </c>
      <c r="G102" s="20" t="n">
        <v>183</v>
      </c>
      <c r="H102" s="18" t="n">
        <v>0.27</v>
      </c>
      <c r="I102" s="25">
        <f>F102-G102</f>
        <v/>
      </c>
    </row>
    <row r="103">
      <c r="A103" s="16" t="inlineStr">
        <is>
          <t>2025-01-30</t>
        </is>
      </c>
      <c r="B103" s="19" t="n">
        <v>0.299</v>
      </c>
      <c r="C103" s="19" t="n">
        <v>0.4603</v>
      </c>
      <c r="D103" s="19" t="n">
        <v>0.601</v>
      </c>
      <c r="E103" s="19" t="n">
        <v>0.6048</v>
      </c>
      <c r="F103" s="20" t="n">
        <v>47</v>
      </c>
      <c r="G103" s="20" t="n">
        <v>131</v>
      </c>
      <c r="H103" s="18" t="n">
        <v>0.36</v>
      </c>
      <c r="I103" s="25">
        <f>F103-G103</f>
        <v/>
      </c>
    </row>
    <row r="104">
      <c r="A104" s="16" t="inlineStr">
        <is>
          <t>2025-01-31</t>
        </is>
      </c>
      <c r="B104" s="19" t="n">
        <v>0.3175</v>
      </c>
      <c r="C104" s="19" t="n">
        <v>0.4503</v>
      </c>
      <c r="D104" s="19" t="n">
        <v>0.5965</v>
      </c>
      <c r="E104" s="19" t="n">
        <v>0.602</v>
      </c>
      <c r="F104" s="20" t="n">
        <v>58</v>
      </c>
      <c r="G104" s="20" t="n">
        <v>85</v>
      </c>
      <c r="H104" s="18" t="n">
        <v>0.68</v>
      </c>
      <c r="I104" s="25">
        <f>F104-G104</f>
        <v/>
      </c>
    </row>
    <row r="105">
      <c r="A105" s="16" t="inlineStr">
        <is>
          <t>2025-02-01</t>
        </is>
      </c>
      <c r="B105" s="19" t="n">
        <v>0.3326</v>
      </c>
      <c r="C105" s="19" t="n">
        <v>0.4421</v>
      </c>
      <c r="D105" s="19" t="n">
        <v>0.5920000000000001</v>
      </c>
      <c r="E105" s="19" t="n">
        <v>0.5993999999999999</v>
      </c>
      <c r="F105" s="20" t="n">
        <v>64</v>
      </c>
      <c r="G105" s="20" t="n">
        <v>51</v>
      </c>
      <c r="H105" s="18" t="n">
        <v>1.25</v>
      </c>
      <c r="I105" s="25">
        <f>F105-G105</f>
        <v/>
      </c>
    </row>
    <row r="106">
      <c r="A106" s="16" t="inlineStr">
        <is>
          <t>2025-02-03</t>
        </is>
      </c>
      <c r="B106" s="19" t="n">
        <v>0.3244</v>
      </c>
      <c r="C106" s="19" t="n">
        <v>0.4343</v>
      </c>
      <c r="D106" s="19" t="n">
        <v>0.5874</v>
      </c>
      <c r="E106" s="19" t="n">
        <v>0.5968</v>
      </c>
      <c r="F106" s="20" t="n">
        <v>64</v>
      </c>
      <c r="G106" s="20" t="n">
        <v>87</v>
      </c>
      <c r="H106" s="18" t="n">
        <v>0.74</v>
      </c>
      <c r="I106" s="25">
        <f>F106-G106</f>
        <v/>
      </c>
    </row>
    <row r="107">
      <c r="A107" s="16" t="inlineStr">
        <is>
          <t>2025-02-04</t>
        </is>
      </c>
      <c r="B107" s="19" t="n">
        <v>0.332</v>
      </c>
      <c r="C107" s="19" t="n">
        <v>0.4272</v>
      </c>
      <c r="D107" s="19" t="n">
        <v>0.5829</v>
      </c>
      <c r="E107" s="19" t="n">
        <v>0.5943000000000001</v>
      </c>
      <c r="F107" s="20" t="n">
        <v>74</v>
      </c>
      <c r="G107" s="20" t="n">
        <v>69</v>
      </c>
      <c r="H107" s="18" t="n">
        <v>1.07</v>
      </c>
      <c r="I107" s="25">
        <f>F107-G107</f>
        <v/>
      </c>
    </row>
    <row r="108">
      <c r="A108" s="16" t="inlineStr">
        <is>
          <t>2025-02-05</t>
        </is>
      </c>
      <c r="B108" s="19" t="n">
        <v>0.3366</v>
      </c>
      <c r="C108" s="19" t="n">
        <v>0.4204</v>
      </c>
      <c r="D108" s="19" t="n">
        <v>0.5783</v>
      </c>
      <c r="E108" s="19" t="n">
        <v>0.5919</v>
      </c>
      <c r="F108" s="20" t="n">
        <v>66</v>
      </c>
      <c r="G108" s="20" t="n">
        <v>63</v>
      </c>
      <c r="H108" s="18" t="n">
        <v>1.05</v>
      </c>
      <c r="I108" s="25">
        <f>F108-G108</f>
        <v/>
      </c>
    </row>
    <row r="109">
      <c r="A109" s="16" t="inlineStr">
        <is>
          <t>2025-02-06</t>
        </is>
      </c>
      <c r="B109" s="19" t="n">
        <v>0.3451</v>
      </c>
      <c r="C109" s="19" t="n">
        <v>0.414</v>
      </c>
      <c r="D109" s="19" t="n">
        <v>0.5737</v>
      </c>
      <c r="E109" s="19" t="n">
        <v>0.5896</v>
      </c>
      <c r="F109" s="20" t="n">
        <v>69</v>
      </c>
      <c r="G109" s="20" t="n">
        <v>53</v>
      </c>
      <c r="H109" s="18" t="n">
        <v>1.3</v>
      </c>
      <c r="I109" s="25">
        <f>F109-G109</f>
        <v/>
      </c>
    </row>
    <row r="110">
      <c r="A110" s="16" t="inlineStr">
        <is>
          <t>2025-02-07</t>
        </is>
      </c>
      <c r="B110" s="19" t="n">
        <v>0.3532</v>
      </c>
      <c r="C110" s="19" t="n">
        <v>0.4081</v>
      </c>
      <c r="D110" s="19" t="n">
        <v>0.5693</v>
      </c>
      <c r="E110" s="19" t="n">
        <v>0.5874</v>
      </c>
      <c r="F110" s="20" t="n">
        <v>66</v>
      </c>
      <c r="G110" s="20" t="n">
        <v>76</v>
      </c>
      <c r="H110" s="18" t="n">
        <v>0.87</v>
      </c>
      <c r="I110" s="25">
        <f>F110-G110</f>
        <v/>
      </c>
    </row>
    <row r="111">
      <c r="A111" s="16" t="inlineStr">
        <is>
          <t>2025-02-10</t>
        </is>
      </c>
      <c r="B111" s="19" t="n">
        <v>0.3254</v>
      </c>
      <c r="C111" s="19" t="n">
        <v>0.4011</v>
      </c>
      <c r="D111" s="19" t="n">
        <v>0.5646</v>
      </c>
      <c r="E111" s="19" t="n">
        <v>0.5851</v>
      </c>
      <c r="F111" s="20" t="n">
        <v>55</v>
      </c>
      <c r="G111" s="20" t="n">
        <v>143</v>
      </c>
      <c r="H111" s="18" t="n">
        <v>0.38</v>
      </c>
      <c r="I111" s="25">
        <f>F111-G111</f>
        <v/>
      </c>
    </row>
    <row r="112">
      <c r="A112" s="16" t="inlineStr">
        <is>
          <t>2025-02-11</t>
        </is>
      </c>
      <c r="B112" s="19" t="n">
        <v>0.286</v>
      </c>
      <c r="C112" s="19" t="n">
        <v>0.3925</v>
      </c>
      <c r="D112" s="19" t="n">
        <v>0.5597</v>
      </c>
      <c r="E112" s="19" t="n">
        <v>0.5824</v>
      </c>
      <c r="F112" s="20" t="n">
        <v>48</v>
      </c>
      <c r="G112" s="20" t="n">
        <v>278</v>
      </c>
      <c r="H112" s="18" t="n">
        <v>0.17</v>
      </c>
      <c r="I112" s="25">
        <f>F112-G112</f>
        <v/>
      </c>
    </row>
    <row r="113">
      <c r="A113" s="16" t="inlineStr">
        <is>
          <t>2025-02-12</t>
        </is>
      </c>
      <c r="B113" s="19" t="n">
        <v>0.2689</v>
      </c>
      <c r="C113" s="19" t="n">
        <v>0.3828</v>
      </c>
      <c r="D113" s="19" t="n">
        <v>0.5546</v>
      </c>
      <c r="E113" s="19" t="n">
        <v>0.5796</v>
      </c>
      <c r="F113" s="20" t="n">
        <v>46</v>
      </c>
      <c r="G113" s="20" t="n">
        <v>350</v>
      </c>
      <c r="H113" s="18" t="n">
        <v>0.13</v>
      </c>
      <c r="I113" s="25">
        <f>F113-G113</f>
        <v/>
      </c>
    </row>
    <row r="114">
      <c r="A114" s="16" t="inlineStr">
        <is>
          <t>2025-02-13</t>
        </is>
      </c>
      <c r="B114" s="19" t="n">
        <v>0.2458</v>
      </c>
      <c r="C114" s="19" t="n">
        <v>0.3721</v>
      </c>
      <c r="D114" s="19" t="n">
        <v>0.5492</v>
      </c>
      <c r="E114" s="19" t="n">
        <v>0.5766</v>
      </c>
      <c r="F114" s="20" t="n">
        <v>48</v>
      </c>
      <c r="G114" s="20" t="n">
        <v>356</v>
      </c>
      <c r="H114" s="18" t="n">
        <v>0.13</v>
      </c>
      <c r="I114" s="25">
        <f>F114-G114</f>
        <v/>
      </c>
    </row>
    <row r="115">
      <c r="A115" s="16" t="inlineStr">
        <is>
          <t>2025-02-14</t>
        </is>
      </c>
      <c r="B115" s="19" t="n">
        <v>0.2295</v>
      </c>
      <c r="C115" s="19" t="n">
        <v>0.362</v>
      </c>
      <c r="D115" s="19" t="n">
        <v>0.5436</v>
      </c>
      <c r="E115" s="19" t="n">
        <v>0.5736</v>
      </c>
      <c r="F115" s="20" t="n">
        <v>43</v>
      </c>
      <c r="G115" s="20" t="n">
        <v>442</v>
      </c>
      <c r="H115" s="18" t="n">
        <v>0.1</v>
      </c>
      <c r="I115" s="25">
        <f>F115-G115</f>
        <v/>
      </c>
    </row>
    <row r="116">
      <c r="A116" s="16" t="inlineStr">
        <is>
          <t>2025-02-17</t>
        </is>
      </c>
      <c r="B116" s="19" t="n">
        <v>0.211</v>
      </c>
      <c r="C116" s="19" t="n">
        <v>0.3514</v>
      </c>
      <c r="D116" s="19" t="n">
        <v>0.5378000000000001</v>
      </c>
      <c r="E116" s="19" t="n">
        <v>0.5704</v>
      </c>
      <c r="F116" s="20" t="n">
        <v>42</v>
      </c>
      <c r="G116" s="20" t="n">
        <v>463</v>
      </c>
      <c r="H116" s="18" t="n">
        <v>0.09</v>
      </c>
      <c r="I116" s="25">
        <f>F116-G116</f>
        <v/>
      </c>
    </row>
    <row r="117">
      <c r="A117" s="16" t="inlineStr">
        <is>
          <t>2025-02-18</t>
        </is>
      </c>
      <c r="B117" s="19" t="n">
        <v>0.1913</v>
      </c>
      <c r="C117" s="19" t="n">
        <v>0.3405</v>
      </c>
      <c r="D117" s="19" t="n">
        <v>0.5318999999999999</v>
      </c>
      <c r="E117" s="19" t="n">
        <v>0.5671</v>
      </c>
      <c r="F117" s="20" t="n">
        <v>45</v>
      </c>
      <c r="G117" s="20" t="n">
        <v>542</v>
      </c>
      <c r="H117" s="18" t="n">
        <v>0.08</v>
      </c>
      <c r="I117" s="25">
        <f>F117-G117</f>
        <v/>
      </c>
    </row>
    <row r="118">
      <c r="A118" s="16" t="inlineStr">
        <is>
          <t>2025-02-19</t>
        </is>
      </c>
      <c r="B118" s="19" t="n">
        <v>0.1936</v>
      </c>
      <c r="C118" s="19" t="n">
        <v>0.3304</v>
      </c>
      <c r="D118" s="19" t="n">
        <v>0.526</v>
      </c>
      <c r="E118" s="19" t="n">
        <v>0.5639999999999999</v>
      </c>
      <c r="F118" s="20" t="n">
        <v>48</v>
      </c>
      <c r="G118" s="20" t="n">
        <v>329</v>
      </c>
      <c r="H118" s="18" t="n">
        <v>0.15</v>
      </c>
      <c r="I118" s="25">
        <f>F118-G118</f>
        <v/>
      </c>
    </row>
    <row r="119">
      <c r="A119" s="16" t="inlineStr">
        <is>
          <t>2025-02-20</t>
        </is>
      </c>
      <c r="B119" s="19" t="n">
        <v>0.2</v>
      </c>
      <c r="C119" s="19" t="n">
        <v>0.3215999999999999</v>
      </c>
      <c r="D119" s="19" t="n">
        <v>0.5202</v>
      </c>
      <c r="E119" s="19" t="n">
        <v>0.5609000000000001</v>
      </c>
      <c r="F119" s="20" t="n">
        <v>51</v>
      </c>
      <c r="G119" s="20" t="n">
        <v>205</v>
      </c>
      <c r="H119" s="18" t="n">
        <v>0.25</v>
      </c>
      <c r="I119" s="25">
        <f>F119-G119</f>
        <v/>
      </c>
    </row>
    <row r="120">
      <c r="A120" s="16" t="inlineStr">
        <is>
          <t>2025-02-21</t>
        </is>
      </c>
      <c r="B120" s="19" t="n">
        <v>0.2052</v>
      </c>
      <c r="C120" s="19" t="n">
        <v>0.3146</v>
      </c>
      <c r="D120" s="19" t="n">
        <v>0.5145000000000001</v>
      </c>
      <c r="E120" s="19" t="n">
        <v>0.5579</v>
      </c>
      <c r="F120" s="20" t="n">
        <v>53</v>
      </c>
      <c r="G120" s="20" t="n">
        <v>140</v>
      </c>
      <c r="H120" s="18" t="n">
        <v>0.38</v>
      </c>
      <c r="I120" s="25">
        <f>F120-G120</f>
        <v/>
      </c>
    </row>
    <row r="121">
      <c r="A121" s="16" t="inlineStr">
        <is>
          <t>2025-02-24</t>
        </is>
      </c>
      <c r="B121" s="19" t="n">
        <v>0.1988</v>
      </c>
      <c r="C121" s="19" t="n">
        <v>0.3079</v>
      </c>
      <c r="D121" s="19" t="n">
        <v>0.5089</v>
      </c>
      <c r="E121" s="19" t="n">
        <v>0.5549000000000001</v>
      </c>
      <c r="F121" s="20" t="n">
        <v>48</v>
      </c>
      <c r="G121" s="20" t="n">
        <v>187</v>
      </c>
      <c r="H121" s="18" t="n">
        <v>0.26</v>
      </c>
      <c r="I121" s="25">
        <f>F121-G121</f>
        <v/>
      </c>
    </row>
    <row r="122">
      <c r="A122" s="16" t="inlineStr">
        <is>
          <t>2025-02-25</t>
        </is>
      </c>
      <c r="B122" s="19" t="n">
        <v>0.1912</v>
      </c>
      <c r="C122" s="19" t="n">
        <v>0.3016</v>
      </c>
      <c r="D122" s="19" t="n">
        <v>0.5034000000000001</v>
      </c>
      <c r="E122" s="19" t="n">
        <v>0.5518999999999999</v>
      </c>
      <c r="F122" s="20" t="n">
        <v>54</v>
      </c>
      <c r="G122" s="20" t="n">
        <v>259</v>
      </c>
      <c r="H122" s="18" t="n">
        <v>0.21</v>
      </c>
      <c r="I122" s="25">
        <f>F122-G122</f>
        <v/>
      </c>
    </row>
    <row r="123">
      <c r="A123" s="16" t="inlineStr">
        <is>
          <t>2025-02-27</t>
        </is>
      </c>
      <c r="B123" s="19" t="n">
        <v>0.1791</v>
      </c>
      <c r="C123" s="19" t="n">
        <v>0.2944</v>
      </c>
      <c r="D123" s="19" t="n">
        <v>0.4983</v>
      </c>
      <c r="E123" s="19" t="n">
        <v>0.5488000000000001</v>
      </c>
      <c r="F123" s="20" t="n">
        <v>53</v>
      </c>
      <c r="G123" s="20" t="n">
        <v>394</v>
      </c>
      <c r="H123" s="18" t="n">
        <v>0.13</v>
      </c>
      <c r="I123" s="25">
        <f>F123-G123</f>
        <v/>
      </c>
    </row>
    <row r="124">
      <c r="A124" s="16" t="inlineStr">
        <is>
          <t>2025-02-28</t>
        </is>
      </c>
      <c r="B124" s="19" t="n">
        <v>0.1592</v>
      </c>
      <c r="C124" s="19" t="n">
        <v>0.2864</v>
      </c>
      <c r="D124" s="19" t="n">
        <v>0.493</v>
      </c>
      <c r="E124" s="19" t="n">
        <v>0.5457</v>
      </c>
      <c r="F124" s="20" t="n">
        <v>43</v>
      </c>
      <c r="G124" s="20" t="n">
        <v>502</v>
      </c>
      <c r="H124" s="18" t="n">
        <v>0.09</v>
      </c>
      <c r="I124" s="25">
        <f>F124-G124</f>
        <v/>
      </c>
    </row>
    <row r="125">
      <c r="A125" s="16" t="inlineStr">
        <is>
          <t>2025-03-03</t>
        </is>
      </c>
      <c r="B125" s="19" t="n">
        <v>0.1517</v>
      </c>
      <c r="C125" s="19" t="n">
        <v>0.2778</v>
      </c>
      <c r="D125" s="19" t="n">
        <v>0.4875</v>
      </c>
      <c r="E125" s="19" t="n">
        <v>0.5425</v>
      </c>
      <c r="F125" s="20" t="n">
        <v>38</v>
      </c>
      <c r="G125" s="20" t="n">
        <v>536</v>
      </c>
      <c r="H125" s="18" t="n">
        <v>0.07000000000000001</v>
      </c>
      <c r="I125" s="25">
        <f>F125-G125</f>
        <v/>
      </c>
    </row>
    <row r="126">
      <c r="A126" s="16" t="inlineStr">
        <is>
          <t>2025-03-04</t>
        </is>
      </c>
      <c r="B126" s="19" t="n">
        <v>0.1465</v>
      </c>
      <c r="C126" s="19" t="n">
        <v>0.2693</v>
      </c>
      <c r="D126" s="19" t="n">
        <v>0.4819</v>
      </c>
      <c r="E126" s="19" t="n">
        <v>0.5393</v>
      </c>
      <c r="F126" s="20" t="n">
        <v>38</v>
      </c>
      <c r="G126" s="20" t="n">
        <v>446</v>
      </c>
      <c r="H126" s="18" t="n">
        <v>0.09</v>
      </c>
      <c r="I126" s="25">
        <f>F126-G126</f>
        <v/>
      </c>
    </row>
    <row r="127">
      <c r="A127" s="16" t="inlineStr">
        <is>
          <t>2025-03-05</t>
        </is>
      </c>
      <c r="B127" s="19" t="n">
        <v>0.1563</v>
      </c>
      <c r="C127" s="19" t="n">
        <v>0.2617</v>
      </c>
      <c r="D127" s="19" t="n">
        <v>0.4763</v>
      </c>
      <c r="E127" s="19" t="n">
        <v>0.5363</v>
      </c>
      <c r="F127" s="20" t="n">
        <v>43</v>
      </c>
      <c r="G127" s="20" t="n">
        <v>256</v>
      </c>
      <c r="H127" s="18" t="n">
        <v>0.17</v>
      </c>
      <c r="I127" s="25">
        <f>F127-G127</f>
        <v/>
      </c>
    </row>
    <row r="128">
      <c r="A128" s="16" t="inlineStr">
        <is>
          <t>2025-03-06</t>
        </is>
      </c>
      <c r="B128" s="19" t="n">
        <v>0.1701</v>
      </c>
      <c r="C128" s="19" t="n">
        <v>0.2546</v>
      </c>
      <c r="D128" s="19" t="n">
        <v>0.4709</v>
      </c>
      <c r="E128" s="19" t="n">
        <v>0.5334</v>
      </c>
      <c r="F128" s="20" t="n">
        <v>45</v>
      </c>
      <c r="G128" s="20" t="n">
        <v>104</v>
      </c>
      <c r="H128" s="18" t="n">
        <v>0.43</v>
      </c>
      <c r="I128" s="25">
        <f>F128-G128</f>
        <v/>
      </c>
    </row>
    <row r="129">
      <c r="A129" s="16" t="inlineStr">
        <is>
          <t>2025-03-07</t>
        </is>
      </c>
      <c r="B129" s="19" t="n">
        <v>0.1821</v>
      </c>
      <c r="C129" s="19" t="n">
        <v>0.2485</v>
      </c>
      <c r="D129" s="19" t="n">
        <v>0.4655</v>
      </c>
      <c r="E129" s="19" t="n">
        <v>0.5306000000000001</v>
      </c>
      <c r="F129" s="20" t="n">
        <v>47</v>
      </c>
      <c r="G129" s="20" t="n">
        <v>27</v>
      </c>
      <c r="H129" s="18" t="n">
        <v>1.74</v>
      </c>
      <c r="I129" s="25">
        <f>F129-G129</f>
        <v/>
      </c>
    </row>
    <row r="130">
      <c r="A130" s="16" t="inlineStr">
        <is>
          <t>2025-03-10</t>
        </is>
      </c>
      <c r="B130" s="19" t="n">
        <v>0.1751</v>
      </c>
      <c r="C130" s="19" t="n">
        <v>0.2435</v>
      </c>
      <c r="D130" s="19" t="n">
        <v>0.46</v>
      </c>
      <c r="E130" s="19" t="n">
        <v>0.5279</v>
      </c>
      <c r="F130" s="20" t="n">
        <v>49</v>
      </c>
      <c r="G130" s="20" t="n">
        <v>71</v>
      </c>
      <c r="H130" s="18" t="n">
        <v>0.6899999999999999</v>
      </c>
      <c r="I130" s="25">
        <f>F130-G130</f>
        <v/>
      </c>
    </row>
    <row r="131">
      <c r="A131" s="16" t="inlineStr">
        <is>
          <t>2025-03-11</t>
        </is>
      </c>
      <c r="B131" s="19" t="n">
        <v>0.1705</v>
      </c>
      <c r="C131" s="19" t="n">
        <v>0.2394</v>
      </c>
      <c r="D131" s="19" t="n">
        <v>0.4546</v>
      </c>
      <c r="E131" s="19" t="n">
        <v>0.5251</v>
      </c>
      <c r="F131" s="20" t="n">
        <v>48</v>
      </c>
      <c r="G131" s="20" t="n">
        <v>125</v>
      </c>
      <c r="H131" s="18" t="n">
        <v>0.38</v>
      </c>
      <c r="I131" s="25">
        <f>F131-G131</f>
        <v/>
      </c>
    </row>
    <row r="132">
      <c r="A132" s="16" t="inlineStr">
        <is>
          <t>2025-03-12</t>
        </is>
      </c>
      <c r="B132" s="19" t="n">
        <v>0.167</v>
      </c>
      <c r="C132" s="19" t="n">
        <v>0.2348</v>
      </c>
      <c r="D132" s="19" t="n">
        <v>0.4492</v>
      </c>
      <c r="E132" s="19" t="n">
        <v>0.5224</v>
      </c>
      <c r="F132" s="20" t="n">
        <v>51</v>
      </c>
      <c r="G132" s="20" t="n">
        <v>209</v>
      </c>
      <c r="H132" s="18" t="n">
        <v>0.24</v>
      </c>
      <c r="I132" s="25">
        <f>F132-G132</f>
        <v/>
      </c>
    </row>
    <row r="133">
      <c r="A133" s="16" t="inlineStr">
        <is>
          <t>2025-03-13</t>
        </is>
      </c>
      <c r="B133" s="19" t="n">
        <v>0.1583</v>
      </c>
      <c r="C133" s="19" t="n">
        <v>0.2301</v>
      </c>
      <c r="D133" s="19" t="n">
        <v>0.4439</v>
      </c>
      <c r="E133" s="19" t="n">
        <v>0.5196999999999999</v>
      </c>
      <c r="F133" s="20" t="n">
        <v>49</v>
      </c>
      <c r="G133" s="20" t="n">
        <v>281</v>
      </c>
      <c r="H133" s="18" t="n">
        <v>0.17</v>
      </c>
      <c r="I133" s="25">
        <f>F133-G133</f>
        <v/>
      </c>
    </row>
    <row r="134">
      <c r="A134" s="16" t="inlineStr">
        <is>
          <t>2025-03-17</t>
        </is>
      </c>
      <c r="B134" s="19" t="n">
        <v>0.1554</v>
      </c>
      <c r="C134" s="19" t="n">
        <v>0.2247</v>
      </c>
      <c r="D134" s="19" t="n">
        <v>0.4392</v>
      </c>
      <c r="E134" s="19" t="n">
        <v>0.5169</v>
      </c>
      <c r="F134" s="20" t="n">
        <v>50</v>
      </c>
      <c r="G134" s="20" t="n">
        <v>366</v>
      </c>
      <c r="H134" s="18" t="n">
        <v>0.14</v>
      </c>
      <c r="I134" s="25">
        <f>F134-G134</f>
        <v/>
      </c>
    </row>
    <row r="135">
      <c r="A135" s="16" t="inlineStr">
        <is>
          <t>2025-03-18</t>
        </is>
      </c>
      <c r="B135" s="19" t="n">
        <v>0.1548</v>
      </c>
      <c r="C135" s="19" t="n">
        <v>0.2188</v>
      </c>
      <c r="D135" s="19" t="n">
        <v>0.4346</v>
      </c>
      <c r="E135" s="19" t="n">
        <v>0.5142</v>
      </c>
      <c r="F135" s="20" t="n">
        <v>50</v>
      </c>
      <c r="G135" s="20" t="n">
        <v>377</v>
      </c>
      <c r="H135" s="18" t="n">
        <v>0.13</v>
      </c>
      <c r="I135" s="25">
        <f>F135-G135</f>
        <v/>
      </c>
    </row>
    <row r="136">
      <c r="A136" s="16" t="inlineStr">
        <is>
          <t>2025-03-19</t>
        </is>
      </c>
      <c r="B136" s="19" t="n">
        <v>0.1749</v>
      </c>
      <c r="C136" s="19" t="n">
        <v>0.2138</v>
      </c>
      <c r="D136" s="19" t="n">
        <v>0.4303</v>
      </c>
      <c r="E136" s="19" t="n">
        <v>0.5117</v>
      </c>
      <c r="F136" s="20" t="n">
        <v>66</v>
      </c>
      <c r="G136" s="20" t="n">
        <v>209</v>
      </c>
      <c r="H136" s="18" t="n">
        <v>0.32</v>
      </c>
      <c r="I136" s="25">
        <f>F136-G136</f>
        <v/>
      </c>
    </row>
    <row r="137">
      <c r="A137" s="16" t="inlineStr">
        <is>
          <t>2025-03-20</t>
        </is>
      </c>
      <c r="B137" s="19" t="n">
        <v>0.1921</v>
      </c>
      <c r="C137" s="19" t="n">
        <v>0.2092</v>
      </c>
      <c r="D137" s="19" t="n">
        <v>0.4266</v>
      </c>
      <c r="E137" s="19" t="n">
        <v>0.5093</v>
      </c>
      <c r="F137" s="20" t="n">
        <v>72</v>
      </c>
      <c r="G137" s="20" t="n">
        <v>80</v>
      </c>
      <c r="H137" s="18" t="n">
        <v>0.9</v>
      </c>
      <c r="I137" s="25">
        <f>F137-G137</f>
        <v/>
      </c>
    </row>
    <row r="138">
      <c r="A138" s="16" t="inlineStr">
        <is>
          <t>2025-03-21</t>
        </is>
      </c>
      <c r="B138" s="19" t="n">
        <v>0.2116</v>
      </c>
      <c r="C138" s="19" t="n">
        <v>0.205</v>
      </c>
      <c r="D138" s="19" t="n">
        <v>0.4232</v>
      </c>
      <c r="E138" s="19" t="n">
        <v>0.5072</v>
      </c>
      <c r="F138" s="20" t="n">
        <v>80</v>
      </c>
      <c r="G138" s="20" t="n">
        <v>28</v>
      </c>
      <c r="H138" s="18" t="n">
        <v>2.86</v>
      </c>
      <c r="I138" s="25">
        <f>F138-G138</f>
        <v/>
      </c>
    </row>
    <row r="139">
      <c r="A139" s="16" t="inlineStr">
        <is>
          <t>2025-03-24</t>
        </is>
      </c>
      <c r="B139" s="19" t="n">
        <v>0.2277</v>
      </c>
      <c r="C139" s="19" t="n">
        <v>0.2011</v>
      </c>
      <c r="D139" s="19" t="n">
        <v>0.4198</v>
      </c>
      <c r="E139" s="19" t="n">
        <v>0.5051</v>
      </c>
      <c r="F139" s="20" t="n">
        <v>70</v>
      </c>
      <c r="G139" s="20" t="n">
        <v>23</v>
      </c>
      <c r="H139" s="18" t="n">
        <v>3.04</v>
      </c>
      <c r="I139" s="25">
        <f>F139-G139</f>
        <v/>
      </c>
    </row>
    <row r="140">
      <c r="A140" s="16" t="inlineStr">
        <is>
          <t>2025-03-25</t>
        </is>
      </c>
      <c r="B140" s="19" t="n">
        <v>0.2236</v>
      </c>
      <c r="C140" s="19" t="n">
        <v>0.1968</v>
      </c>
      <c r="D140" s="19" t="n">
        <v>0.4163</v>
      </c>
      <c r="E140" s="19" t="n">
        <v>0.5031</v>
      </c>
      <c r="F140" s="20" t="n">
        <v>67</v>
      </c>
      <c r="G140" s="20" t="n">
        <v>27</v>
      </c>
      <c r="H140" s="18" t="n">
        <v>2.48</v>
      </c>
      <c r="I140" s="25">
        <f>F140-G140</f>
        <v/>
      </c>
    </row>
    <row r="141">
      <c r="A141" s="16" t="inlineStr">
        <is>
          <t>2025-03-26</t>
        </is>
      </c>
      <c r="B141" s="19" t="n">
        <v>0.2147</v>
      </c>
      <c r="C141" s="19" t="n">
        <v>0.1931</v>
      </c>
      <c r="D141" s="19" t="n">
        <v>0.4125</v>
      </c>
      <c r="E141" s="19" t="n">
        <v>0.5011</v>
      </c>
      <c r="F141" s="20" t="n">
        <v>61</v>
      </c>
      <c r="G141" s="20" t="n">
        <v>68</v>
      </c>
      <c r="H141" s="18" t="n">
        <v>0.9</v>
      </c>
      <c r="I141" s="25">
        <f>F141-G141</f>
        <v/>
      </c>
    </row>
    <row r="142">
      <c r="A142" s="16" t="inlineStr">
        <is>
          <t>2025-03-27</t>
        </is>
      </c>
      <c r="B142" s="19" t="n">
        <v>0.21</v>
      </c>
      <c r="C142" s="19" t="n">
        <v>0.1905</v>
      </c>
      <c r="D142" s="19" t="n">
        <v>0.4084</v>
      </c>
      <c r="E142" s="19" t="n">
        <v>0.499</v>
      </c>
      <c r="F142" s="20" t="n">
        <v>61</v>
      </c>
      <c r="G142" s="20" t="n">
        <v>106</v>
      </c>
      <c r="H142" s="18" t="n">
        <v>0.58</v>
      </c>
      <c r="I142" s="25">
        <f>F142-G142</f>
        <v/>
      </c>
    </row>
    <row r="143">
      <c r="A143" s="16" t="inlineStr">
        <is>
          <t>2025-03-28</t>
        </is>
      </c>
      <c r="B143" s="19" t="n">
        <v>0.2151</v>
      </c>
      <c r="C143" s="19" t="n">
        <v>0.1887</v>
      </c>
      <c r="D143" s="19" t="n">
        <v>0.4045</v>
      </c>
      <c r="E143" s="19" t="n">
        <v>0.4970000000000001</v>
      </c>
      <c r="F143" s="20" t="n">
        <v>60</v>
      </c>
      <c r="G143" s="20" t="n">
        <v>161</v>
      </c>
      <c r="H143" s="18" t="n">
        <v>0.37</v>
      </c>
      <c r="I143" s="25">
        <f>F143-G143</f>
        <v/>
      </c>
    </row>
    <row r="144">
      <c r="A144" s="16" t="inlineStr">
        <is>
          <t>2025-04-01</t>
        </is>
      </c>
      <c r="B144" s="19" t="n">
        <v>0.2065</v>
      </c>
      <c r="C144" s="19" t="n">
        <v>0.1874</v>
      </c>
      <c r="D144" s="19" t="n">
        <v>0.4004</v>
      </c>
      <c r="E144" s="19" t="n">
        <v>0.495</v>
      </c>
      <c r="F144" s="20" t="n">
        <v>51</v>
      </c>
      <c r="G144" s="20" t="n">
        <v>147</v>
      </c>
      <c r="H144" s="18" t="n">
        <v>0.35</v>
      </c>
      <c r="I144" s="25">
        <f>F144-G144</f>
        <v/>
      </c>
    </row>
    <row r="145">
      <c r="A145" s="16" t="inlineStr">
        <is>
          <t>2025-04-02</t>
        </is>
      </c>
      <c r="B145" s="19" t="n">
        <v>0.2144</v>
      </c>
      <c r="C145" s="19" t="n">
        <v>0.1869</v>
      </c>
      <c r="D145" s="19" t="n">
        <v>0.3962</v>
      </c>
      <c r="E145" s="19" t="n">
        <v>0.493</v>
      </c>
      <c r="F145" s="20" t="n">
        <v>57</v>
      </c>
      <c r="G145" s="20" t="n">
        <v>69</v>
      </c>
      <c r="H145" s="18" t="n">
        <v>0.83</v>
      </c>
      <c r="I145" s="25">
        <f>F145-G145</f>
        <v/>
      </c>
    </row>
    <row r="146">
      <c r="A146" s="16" t="inlineStr">
        <is>
          <t>2025-04-03</t>
        </is>
      </c>
      <c r="B146" s="19" t="n">
        <v>0.2281</v>
      </c>
      <c r="C146" s="19" t="n">
        <v>0.1875</v>
      </c>
      <c r="D146" s="19" t="n">
        <v>0.392</v>
      </c>
      <c r="E146" s="19" t="n">
        <v>0.4912</v>
      </c>
      <c r="F146" s="20" t="n">
        <v>56</v>
      </c>
      <c r="G146" s="20" t="n">
        <v>31</v>
      </c>
      <c r="H146" s="18" t="n">
        <v>1.81</v>
      </c>
      <c r="I146" s="25">
        <f>F146-G146</f>
        <v/>
      </c>
    </row>
    <row r="147">
      <c r="A147" s="16" t="inlineStr">
        <is>
          <t>2025-04-04</t>
        </is>
      </c>
      <c r="B147" s="19" t="n">
        <v>0.216</v>
      </c>
      <c r="C147" s="19" t="n">
        <v>0.1883</v>
      </c>
      <c r="D147" s="19" t="n">
        <v>0.3879</v>
      </c>
      <c r="E147" s="19" t="n">
        <v>0.4893</v>
      </c>
      <c r="F147" s="20" t="n">
        <v>55</v>
      </c>
      <c r="G147" s="20" t="n">
        <v>77</v>
      </c>
      <c r="H147" s="18" t="n">
        <v>0.71</v>
      </c>
      <c r="I147" s="25">
        <f>F147-G147</f>
        <v/>
      </c>
    </row>
    <row r="148">
      <c r="A148" s="16" t="inlineStr">
        <is>
          <t>2025-04-07</t>
        </is>
      </c>
      <c r="B148" s="19" t="n">
        <v>0.1822</v>
      </c>
      <c r="C148" s="19" t="n">
        <v>0.1879</v>
      </c>
      <c r="D148" s="19" t="n">
        <v>0.3836</v>
      </c>
      <c r="E148" s="19" t="n">
        <v>0.4872</v>
      </c>
      <c r="F148" s="20" t="n">
        <v>49</v>
      </c>
      <c r="G148" s="20" t="n">
        <v>217</v>
      </c>
      <c r="H148" s="18" t="n">
        <v>0.23</v>
      </c>
      <c r="I148" s="25">
        <f>F148-G148</f>
        <v/>
      </c>
    </row>
    <row r="149">
      <c r="A149" s="16" t="inlineStr">
        <is>
          <t>2025-04-08</t>
        </is>
      </c>
      <c r="B149" s="19" t="n">
        <v>0.1828</v>
      </c>
      <c r="C149" s="19" t="n">
        <v>0.1874</v>
      </c>
      <c r="D149" s="19" t="n">
        <v>0.3795</v>
      </c>
      <c r="E149" s="19" t="n">
        <v>0.4852</v>
      </c>
      <c r="F149" s="20" t="n">
        <v>46</v>
      </c>
      <c r="G149" s="20" t="n">
        <v>121</v>
      </c>
      <c r="H149" s="18" t="n">
        <v>0.38</v>
      </c>
      <c r="I149" s="25">
        <f>F149-G149</f>
        <v/>
      </c>
    </row>
    <row r="150">
      <c r="A150" s="16" t="inlineStr">
        <is>
          <t>2025-04-09</t>
        </is>
      </c>
      <c r="B150" s="19" t="n">
        <v>0.1719</v>
      </c>
      <c r="C150" s="19" t="n">
        <v>0.1863</v>
      </c>
      <c r="D150" s="19" t="n">
        <v>0.3758</v>
      </c>
      <c r="E150" s="19" t="n">
        <v>0.4831</v>
      </c>
      <c r="F150" s="20" t="n">
        <v>41</v>
      </c>
      <c r="G150" s="20" t="n">
        <v>169</v>
      </c>
      <c r="H150" s="18" t="n">
        <v>0.24</v>
      </c>
      <c r="I150" s="25">
        <f>F150-G150</f>
        <v/>
      </c>
    </row>
    <row r="151">
      <c r="A151" s="16" t="inlineStr">
        <is>
          <t>2025-04-11</t>
        </is>
      </c>
      <c r="B151" s="19" t="n">
        <v>0.1903</v>
      </c>
      <c r="C151" s="19" t="n">
        <v>0.186</v>
      </c>
      <c r="D151" s="19" t="n">
        <v>0.3726</v>
      </c>
      <c r="E151" s="19" t="n">
        <v>0.4811</v>
      </c>
      <c r="F151" s="20" t="n">
        <v>48</v>
      </c>
      <c r="G151" s="20" t="n">
        <v>71</v>
      </c>
      <c r="H151" s="18" t="n">
        <v>0.68</v>
      </c>
      <c r="I151" s="25">
        <f>F151-G151</f>
        <v/>
      </c>
    </row>
    <row r="152">
      <c r="A152" s="16" t="inlineStr">
        <is>
          <t>2025-04-15</t>
        </is>
      </c>
      <c r="B152" s="19" t="n">
        <v>0.2165</v>
      </c>
      <c r="C152" s="19" t="n">
        <v>0.1868</v>
      </c>
      <c r="D152" s="19" t="n">
        <v>0.3697</v>
      </c>
      <c r="E152" s="19" t="n">
        <v>0.4794</v>
      </c>
      <c r="F152" s="20" t="n">
        <v>59</v>
      </c>
      <c r="G152" s="20" t="n">
        <v>51</v>
      </c>
      <c r="H152" s="18" t="n">
        <v>1.16</v>
      </c>
      <c r="I152" s="25">
        <f>F152-G152</f>
        <v/>
      </c>
    </row>
    <row r="153">
      <c r="A153" s="16" t="inlineStr">
        <is>
          <t>2025-04-16</t>
        </is>
      </c>
      <c r="B153" s="19" t="n">
        <v>0.2368</v>
      </c>
      <c r="C153" s="19" t="n">
        <v>0.1887</v>
      </c>
      <c r="D153" s="19" t="n">
        <v>0.3671</v>
      </c>
      <c r="E153" s="19" t="n">
        <v>0.4778</v>
      </c>
      <c r="F153" s="20" t="n">
        <v>60</v>
      </c>
      <c r="G153" s="20" t="n">
        <v>11</v>
      </c>
      <c r="H153" s="18" t="n">
        <v>5.45</v>
      </c>
      <c r="I153" s="25">
        <f>F153-G153</f>
        <v/>
      </c>
    </row>
    <row r="154">
      <c r="A154" s="16" t="inlineStr">
        <is>
          <t>2025-04-17</t>
        </is>
      </c>
      <c r="B154" s="19" t="n">
        <v>0.2523</v>
      </c>
      <c r="C154" s="19" t="n">
        <v>0.1918</v>
      </c>
      <c r="D154" s="19" t="n">
        <v>0.3647</v>
      </c>
      <c r="E154" s="19" t="n">
        <v>0.4763</v>
      </c>
      <c r="F154" s="20" t="n">
        <v>75</v>
      </c>
      <c r="G154" s="20" t="n">
        <v>7</v>
      </c>
      <c r="H154" s="18" t="n">
        <v>10.71</v>
      </c>
      <c r="I154" s="25">
        <f>F154-G154</f>
        <v/>
      </c>
    </row>
    <row r="155">
      <c r="A155" s="16" t="inlineStr">
        <is>
          <t>2025-04-21</t>
        </is>
      </c>
      <c r="B155" s="19" t="n">
        <v>0.2722</v>
      </c>
      <c r="C155" s="19" t="n">
        <v>0.1959</v>
      </c>
      <c r="D155" s="19" t="n">
        <v>0.3625</v>
      </c>
      <c r="E155" s="19" t="n">
        <v>0.475</v>
      </c>
      <c r="F155" s="20" t="n">
        <v>78</v>
      </c>
      <c r="G155" s="20" t="n">
        <v>8</v>
      </c>
      <c r="H155" s="18" t="n">
        <v>9.75</v>
      </c>
      <c r="I155" s="25">
        <f>F155-G155</f>
        <v/>
      </c>
    </row>
    <row r="156">
      <c r="A156" s="16" t="inlineStr">
        <is>
          <t>2025-04-22</t>
        </is>
      </c>
      <c r="B156" s="19" t="n">
        <v>0.2802</v>
      </c>
      <c r="C156" s="19" t="n">
        <v>0.2003</v>
      </c>
      <c r="D156" s="19" t="n">
        <v>0.3602</v>
      </c>
      <c r="E156" s="19" t="n">
        <v>0.4737</v>
      </c>
      <c r="F156" s="20" t="n">
        <v>77</v>
      </c>
      <c r="G156" s="20" t="n">
        <v>7</v>
      </c>
      <c r="H156" s="18" t="n">
        <v>11</v>
      </c>
      <c r="I156" s="25">
        <f>F156-G156</f>
        <v/>
      </c>
    </row>
    <row r="157">
      <c r="A157" s="16" t="inlineStr">
        <is>
          <t>2025-04-23</t>
        </is>
      </c>
      <c r="B157" s="19" t="n">
        <v>0.2974</v>
      </c>
      <c r="C157" s="19" t="n">
        <v>0.205</v>
      </c>
      <c r="D157" s="19" t="n">
        <v>0.3579</v>
      </c>
      <c r="E157" s="19" t="n">
        <v>0.4726</v>
      </c>
      <c r="F157" s="20" t="n">
        <v>73</v>
      </c>
      <c r="G157" s="20" t="n">
        <v>5</v>
      </c>
      <c r="H157" s="18" t="n">
        <v>14.6</v>
      </c>
      <c r="I157" s="25">
        <f>F157-G157</f>
        <v/>
      </c>
    </row>
    <row r="158">
      <c r="A158" s="16" t="inlineStr">
        <is>
          <t>2025-04-24</t>
        </is>
      </c>
      <c r="B158" s="19" t="n">
        <v>0.3033</v>
      </c>
      <c r="C158" s="19" t="n">
        <v>0.2095</v>
      </c>
      <c r="D158" s="19" t="n">
        <v>0.3555</v>
      </c>
      <c r="E158" s="19" t="n">
        <v>0.4715</v>
      </c>
      <c r="F158" s="20" t="n">
        <v>75</v>
      </c>
      <c r="G158" s="20" t="n">
        <v>8</v>
      </c>
      <c r="H158" s="18" t="n">
        <v>9.380000000000001</v>
      </c>
      <c r="I158" s="25">
        <f>F158-G158</f>
        <v/>
      </c>
    </row>
    <row r="159">
      <c r="A159" s="16" t="inlineStr">
        <is>
          <t>2025-04-25</t>
        </is>
      </c>
      <c r="B159" s="19" t="n">
        <v>0.2811</v>
      </c>
      <c r="C159" s="19" t="n">
        <v>0.2128</v>
      </c>
      <c r="D159" s="19" t="n">
        <v>0.3527</v>
      </c>
      <c r="E159" s="19" t="n">
        <v>0.4703</v>
      </c>
      <c r="F159" s="20" t="n">
        <v>61</v>
      </c>
      <c r="G159" s="20" t="n">
        <v>11</v>
      </c>
      <c r="H159" s="18" t="n">
        <v>5.55</v>
      </c>
      <c r="I159" s="25">
        <f>F159-G159</f>
        <v/>
      </c>
    </row>
    <row r="160">
      <c r="A160" s="16" t="inlineStr">
        <is>
          <t>2025-04-28</t>
        </is>
      </c>
      <c r="B160" s="19" t="n">
        <v>0.2788</v>
      </c>
      <c r="C160" s="19" t="n">
        <v>0.2162</v>
      </c>
      <c r="D160" s="19" t="n">
        <v>0.3497999999999999</v>
      </c>
      <c r="E160" s="19" t="n">
        <v>0.4691</v>
      </c>
      <c r="F160" s="20" t="n">
        <v>70</v>
      </c>
      <c r="G160" s="20" t="n">
        <v>18</v>
      </c>
      <c r="H160" s="18" t="n">
        <v>3.89</v>
      </c>
      <c r="I160" s="25">
        <f>F160-G160</f>
        <v/>
      </c>
    </row>
    <row r="161">
      <c r="A161" s="16" t="inlineStr">
        <is>
          <t>2025-04-29</t>
        </is>
      </c>
      <c r="B161" s="19" t="n">
        <v>0.264</v>
      </c>
      <c r="C161" s="19" t="n">
        <v>0.2193</v>
      </c>
      <c r="D161" s="19" t="n">
        <v>0.3467</v>
      </c>
      <c r="E161" s="19" t="n">
        <v>0.4678</v>
      </c>
      <c r="F161" s="20" t="n">
        <v>59</v>
      </c>
      <c r="G161" s="20" t="n">
        <v>19</v>
      </c>
      <c r="H161" s="18" t="n">
        <v>3.11</v>
      </c>
      <c r="I161" s="25">
        <f>F161-G161</f>
        <v/>
      </c>
    </row>
    <row r="162">
      <c r="A162" s="16" t="inlineStr">
        <is>
          <t>2025-04-30</t>
        </is>
      </c>
      <c r="B162" s="19" t="n">
        <v>0.2526</v>
      </c>
      <c r="C162" s="19" t="n">
        <v>0.2222</v>
      </c>
      <c r="D162" s="19" t="n">
        <v>0.3431</v>
      </c>
      <c r="E162" s="19" t="n">
        <v>0.4665</v>
      </c>
      <c r="F162" s="20" t="n">
        <v>50</v>
      </c>
      <c r="G162" s="20" t="n">
        <v>23</v>
      </c>
      <c r="H162" s="18" t="n">
        <v>2.17</v>
      </c>
      <c r="I162" s="25">
        <f>F162-G162</f>
        <v/>
      </c>
    </row>
    <row r="163">
      <c r="A163" s="16" t="inlineStr">
        <is>
          <t>2025-05-02</t>
        </is>
      </c>
      <c r="B163" s="19" t="n">
        <v>0.2365</v>
      </c>
      <c r="C163" s="19" t="n">
        <v>0.2248</v>
      </c>
      <c r="D163" s="19" t="n">
        <v>0.3393</v>
      </c>
      <c r="E163" s="19" t="n">
        <v>0.465</v>
      </c>
      <c r="F163" s="20" t="n">
        <v>53</v>
      </c>
      <c r="G163" s="20" t="n">
        <v>33</v>
      </c>
      <c r="H163" s="18" t="n">
        <v>1.61</v>
      </c>
      <c r="I163" s="25">
        <f>F163-G163</f>
        <v/>
      </c>
    </row>
    <row r="164">
      <c r="A164" s="16" t="inlineStr">
        <is>
          <t>2025-05-05</t>
        </is>
      </c>
      <c r="B164" s="19" t="n">
        <v>0.242</v>
      </c>
      <c r="C164" s="19" t="n">
        <v>0.2277</v>
      </c>
      <c r="D164" s="19" t="n">
        <v>0.3354</v>
      </c>
      <c r="E164" s="19" t="n">
        <v>0.4637</v>
      </c>
      <c r="F164" s="20" t="n">
        <v>60</v>
      </c>
      <c r="G164" s="20" t="n">
        <v>21</v>
      </c>
      <c r="H164" s="18" t="n">
        <v>2.86</v>
      </c>
      <c r="I164" s="25">
        <f>F164-G164</f>
        <v/>
      </c>
    </row>
    <row r="165">
      <c r="A165" s="16" t="inlineStr">
        <is>
          <t>2025-05-06</t>
        </is>
      </c>
      <c r="B165" s="19" t="n">
        <v>0.2315</v>
      </c>
      <c r="C165" s="19" t="n">
        <v>0.2302</v>
      </c>
      <c r="D165" s="19" t="n">
        <v>0.3313</v>
      </c>
      <c r="E165" s="19" t="n">
        <v>0.4623</v>
      </c>
      <c r="F165" s="20" t="n">
        <v>57</v>
      </c>
      <c r="G165" s="20" t="n">
        <v>44</v>
      </c>
      <c r="H165" s="18" t="n">
        <v>1.3</v>
      </c>
      <c r="I165" s="25">
        <f>F165-G165</f>
        <v/>
      </c>
    </row>
    <row r="166">
      <c r="A166" s="16" t="inlineStr">
        <is>
          <t>2025-05-07</t>
        </is>
      </c>
      <c r="B166" s="19" t="n">
        <v>0.2291</v>
      </c>
      <c r="C166" s="19" t="n">
        <v>0.232</v>
      </c>
      <c r="D166" s="19" t="n">
        <v>0.3271</v>
      </c>
      <c r="E166" s="19" t="n">
        <v>0.4608</v>
      </c>
      <c r="F166" s="20" t="n">
        <v>56</v>
      </c>
      <c r="G166" s="20" t="n">
        <v>53</v>
      </c>
      <c r="H166" s="18" t="n">
        <v>1.06</v>
      </c>
      <c r="I166" s="25">
        <f>F166-G166</f>
        <v/>
      </c>
    </row>
    <row r="167">
      <c r="A167" s="16" t="inlineStr">
        <is>
          <t>2025-05-08</t>
        </is>
      </c>
      <c r="B167" s="19" t="n">
        <v>0.2189</v>
      </c>
      <c r="C167" s="19" t="n">
        <v>0.2329</v>
      </c>
      <c r="D167" s="19" t="n">
        <v>0.3227</v>
      </c>
      <c r="E167" s="19" t="n">
        <v>0.4594</v>
      </c>
      <c r="F167" s="20" t="n">
        <v>51</v>
      </c>
      <c r="G167" s="20" t="n">
        <v>67</v>
      </c>
      <c r="H167" s="18" t="n">
        <v>0.76</v>
      </c>
      <c r="I167" s="25">
        <f>F167-G167</f>
        <v/>
      </c>
    </row>
    <row r="168">
      <c r="A168" s="16" t="inlineStr">
        <is>
          <t>2025-05-09</t>
        </is>
      </c>
      <c r="B168" s="19" t="n">
        <v>0.216</v>
      </c>
      <c r="C168" s="19" t="n">
        <v>0.2331</v>
      </c>
      <c r="D168" s="19" t="n">
        <v>0.3182</v>
      </c>
      <c r="E168" s="19" t="n">
        <v>0.4579</v>
      </c>
      <c r="F168" s="20" t="n">
        <v>43</v>
      </c>
      <c r="G168" s="20" t="n">
        <v>87</v>
      </c>
      <c r="H168" s="18" t="n">
        <v>0.49</v>
      </c>
      <c r="I168" s="25">
        <f>F168-G168</f>
        <v/>
      </c>
    </row>
    <row r="169">
      <c r="A169" s="16" t="inlineStr">
        <is>
          <t>2025-05-12</t>
        </is>
      </c>
      <c r="B169" s="19" t="n">
        <v>0.2473</v>
      </c>
      <c r="C169" s="19" t="n">
        <v>0.2337</v>
      </c>
      <c r="D169" s="19" t="n">
        <v>0.314</v>
      </c>
      <c r="E169" s="19" t="n">
        <v>0.4567</v>
      </c>
      <c r="F169" s="20" t="n">
        <v>57</v>
      </c>
      <c r="G169" s="20" t="n">
        <v>46</v>
      </c>
      <c r="H169" s="18" t="n">
        <v>1.24</v>
      </c>
      <c r="I169" s="25">
        <f>F169-G169</f>
        <v/>
      </c>
    </row>
    <row r="170">
      <c r="A170" s="16" t="inlineStr">
        <is>
          <t>2025-05-13</t>
        </is>
      </c>
      <c r="B170" s="19" t="n">
        <v>0.2678</v>
      </c>
      <c r="C170" s="19" t="n">
        <v>0.2352</v>
      </c>
      <c r="D170" s="19" t="n">
        <v>0.3102</v>
      </c>
      <c r="E170" s="19" t="n">
        <v>0.4556</v>
      </c>
      <c r="F170" s="20" t="n">
        <v>68</v>
      </c>
      <c r="G170" s="20" t="n">
        <v>26</v>
      </c>
      <c r="H170" s="18" t="n">
        <v>2.62</v>
      </c>
      <c r="I170" s="25">
        <f>F170-G170</f>
        <v/>
      </c>
    </row>
    <row r="171">
      <c r="A171" s="16" t="inlineStr">
        <is>
          <t>2025-05-14</t>
        </is>
      </c>
      <c r="B171" s="19" t="n">
        <v>0.3028</v>
      </c>
      <c r="C171" s="19" t="n">
        <v>0.2381</v>
      </c>
      <c r="D171" s="19" t="n">
        <v>0.3067</v>
      </c>
      <c r="E171" s="19" t="n">
        <v>0.4547</v>
      </c>
      <c r="F171" s="20" t="n">
        <v>85</v>
      </c>
      <c r="G171" s="20" t="n">
        <v>10</v>
      </c>
      <c r="H171" s="18" t="n">
        <v>8.5</v>
      </c>
      <c r="I171" s="25">
        <f>F171-G171</f>
        <v/>
      </c>
    </row>
    <row r="172">
      <c r="A172" s="16" t="inlineStr">
        <is>
          <t>2025-05-15</t>
        </is>
      </c>
      <c r="B172" s="19" t="n">
        <v>0.3244</v>
      </c>
      <c r="C172" s="19" t="n">
        <v>0.242</v>
      </c>
      <c r="D172" s="19" t="n">
        <v>0.3036</v>
      </c>
      <c r="E172" s="19" t="n">
        <v>0.4539</v>
      </c>
      <c r="F172" s="20" t="n">
        <v>87</v>
      </c>
      <c r="G172" s="20" t="n">
        <v>8</v>
      </c>
      <c r="H172" s="18" t="n">
        <v>10.88</v>
      </c>
      <c r="I172" s="25">
        <f>F172-G172</f>
        <v/>
      </c>
    </row>
    <row r="173">
      <c r="A173" s="16" t="inlineStr">
        <is>
          <t>2025-05-16</t>
        </is>
      </c>
      <c r="B173" s="19" t="n">
        <v>0.3458</v>
      </c>
      <c r="C173" s="19" t="n">
        <v>0.2463</v>
      </c>
      <c r="D173" s="19" t="n">
        <v>0.3008</v>
      </c>
      <c r="E173" s="19" t="n">
        <v>0.4533</v>
      </c>
      <c r="F173" s="20" t="n">
        <v>85</v>
      </c>
      <c r="G173" s="20" t="n">
        <v>10</v>
      </c>
      <c r="H173" s="18" t="n">
        <v>8.5</v>
      </c>
      <c r="I173" s="25">
        <f>F173-G173</f>
        <v/>
      </c>
    </row>
    <row r="174">
      <c r="A174" s="16" t="inlineStr">
        <is>
          <t>2025-05-19</t>
        </is>
      </c>
      <c r="B174" s="19" t="n">
        <v>0.368</v>
      </c>
      <c r="C174" s="19" t="n">
        <v>0.2517</v>
      </c>
      <c r="D174" s="19" t="n">
        <v>0.2983</v>
      </c>
      <c r="E174" s="19" t="n">
        <v>0.4528</v>
      </c>
      <c r="F174" s="20" t="n">
        <v>92</v>
      </c>
      <c r="G174" s="20" t="n">
        <v>10</v>
      </c>
      <c r="H174" s="18" t="n">
        <v>9.199999999999999</v>
      </c>
      <c r="I174" s="25">
        <f>F174-G174</f>
        <v/>
      </c>
    </row>
    <row r="175">
      <c r="A175" s="16" t="inlineStr">
        <is>
          <t>2025-05-20</t>
        </is>
      </c>
      <c r="B175" s="19" t="n">
        <v>0.3634000000000001</v>
      </c>
      <c r="C175" s="19" t="n">
        <v>0.2567</v>
      </c>
      <c r="D175" s="19" t="n">
        <v>0.2962</v>
      </c>
      <c r="E175" s="19" t="n">
        <v>0.4523</v>
      </c>
      <c r="F175" s="20" t="n">
        <v>82</v>
      </c>
      <c r="G175" s="20" t="n">
        <v>12</v>
      </c>
      <c r="H175" s="18" t="n">
        <v>6.83</v>
      </c>
      <c r="I175" s="25">
        <f>F175-G175</f>
        <v/>
      </c>
    </row>
    <row r="176">
      <c r="A176" s="16" t="inlineStr">
        <is>
          <t>2025-05-21</t>
        </is>
      </c>
      <c r="B176" s="19" t="n">
        <v>0.3695000000000001</v>
      </c>
      <c r="C176" s="19" t="n">
        <v>0.2614</v>
      </c>
      <c r="D176" s="19" t="n">
        <v>0.2943</v>
      </c>
      <c r="E176" s="19" t="n">
        <v>0.4518</v>
      </c>
      <c r="F176" s="20" t="n">
        <v>89</v>
      </c>
      <c r="G176" s="20" t="n">
        <v>9</v>
      </c>
      <c r="H176" s="18" t="n">
        <v>9.890000000000001</v>
      </c>
      <c r="I176" s="25">
        <f>F176-G176</f>
        <v/>
      </c>
    </row>
    <row r="177">
      <c r="A177" s="16" t="inlineStr">
        <is>
          <t>2025-05-22</t>
        </is>
      </c>
      <c r="B177" s="19" t="n">
        <v>0.3715</v>
      </c>
      <c r="C177" s="19" t="n">
        <v>0.2666</v>
      </c>
      <c r="D177" s="19" t="n">
        <v>0.2925</v>
      </c>
      <c r="E177" s="19" t="n">
        <v>0.4513</v>
      </c>
      <c r="F177" s="20" t="n">
        <v>96</v>
      </c>
      <c r="G177" s="20" t="n">
        <v>14</v>
      </c>
      <c r="H177" s="18" t="n">
        <v>6.86</v>
      </c>
      <c r="I177" s="25">
        <f>F177-G177</f>
        <v/>
      </c>
    </row>
    <row r="178">
      <c r="A178" s="16" t="inlineStr">
        <is>
          <t>2025-05-23</t>
        </is>
      </c>
      <c r="B178" s="19" t="n">
        <v>0.384</v>
      </c>
      <c r="C178" s="19" t="n">
        <v>0.2733</v>
      </c>
      <c r="D178" s="19" t="n">
        <v>0.291</v>
      </c>
      <c r="E178" s="19" t="n">
        <v>0.451</v>
      </c>
      <c r="F178" s="20" t="n">
        <v>91</v>
      </c>
      <c r="G178" s="20" t="n">
        <v>12</v>
      </c>
      <c r="H178" s="18" t="n">
        <v>7.58</v>
      </c>
      <c r="I178" s="25">
        <f>F178-G178</f>
        <v/>
      </c>
    </row>
    <row r="179">
      <c r="A179" s="16" t="inlineStr">
        <is>
          <t>2025-05-26</t>
        </is>
      </c>
      <c r="B179" s="19" t="n">
        <v>0.4027000000000001</v>
      </c>
      <c r="C179" s="19" t="n">
        <v>0.2806</v>
      </c>
      <c r="D179" s="19" t="n">
        <v>0.2896</v>
      </c>
      <c r="E179" s="19" t="n">
        <v>0.4507</v>
      </c>
      <c r="F179" s="20" t="n">
        <v>96</v>
      </c>
      <c r="G179" s="20" t="n">
        <v>13</v>
      </c>
      <c r="H179" s="18" t="n">
        <v>7.38</v>
      </c>
      <c r="I179" s="25">
        <f>F179-G179</f>
        <v/>
      </c>
    </row>
    <row r="180">
      <c r="A180" s="16" t="inlineStr">
        <is>
          <t>2025-05-27</t>
        </is>
      </c>
      <c r="B180" s="19" t="n">
        <v>0.4095</v>
      </c>
      <c r="C180" s="19" t="n">
        <v>0.2885</v>
      </c>
      <c r="D180" s="19" t="n">
        <v>0.2884</v>
      </c>
      <c r="E180" s="19" t="n">
        <v>0.4505</v>
      </c>
      <c r="F180" s="20" t="n">
        <v>101</v>
      </c>
      <c r="G180" s="20" t="n">
        <v>10</v>
      </c>
      <c r="H180" s="18" t="n">
        <v>10.1</v>
      </c>
      <c r="I180" s="25">
        <f>F180-G180</f>
        <v/>
      </c>
    </row>
    <row r="181">
      <c r="A181" s="16" t="inlineStr">
        <is>
          <t>2025-05-28</t>
        </is>
      </c>
      <c r="B181" s="19" t="n">
        <v>0.4129</v>
      </c>
      <c r="C181" s="19" t="n">
        <v>0.296</v>
      </c>
      <c r="D181" s="19" t="n">
        <v>0.2872</v>
      </c>
      <c r="E181" s="19" t="n">
        <v>0.4502</v>
      </c>
      <c r="F181" s="20" t="n">
        <v>99</v>
      </c>
      <c r="G181" s="20" t="n">
        <v>11</v>
      </c>
      <c r="H181" s="18" t="n">
        <v>9</v>
      </c>
      <c r="I181" s="25">
        <f>F181-G181</f>
        <v/>
      </c>
    </row>
    <row r="182">
      <c r="A182" s="16" t="inlineStr">
        <is>
          <t>2025-05-29</t>
        </is>
      </c>
      <c r="B182" s="19" t="n">
        <v>0.4169</v>
      </c>
      <c r="C182" s="19" t="n">
        <v>0.3026</v>
      </c>
      <c r="D182" s="19" t="n">
        <v>0.2859</v>
      </c>
      <c r="E182" s="19" t="n">
        <v>0.4501</v>
      </c>
      <c r="F182" s="20" t="n">
        <v>99</v>
      </c>
      <c r="G182" s="20" t="n">
        <v>11</v>
      </c>
      <c r="H182" s="18" t="n">
        <v>9</v>
      </c>
      <c r="I182" s="25">
        <f>F182-G182</f>
        <v/>
      </c>
    </row>
    <row r="183">
      <c r="A183" s="16" t="inlineStr">
        <is>
          <t>2025-05-30</t>
        </is>
      </c>
      <c r="B183" s="19" t="n">
        <v>0.4128</v>
      </c>
      <c r="C183" s="19" t="n">
        <v>0.3085</v>
      </c>
      <c r="D183" s="19" t="n">
        <v>0.2845</v>
      </c>
      <c r="E183" s="19" t="n">
        <v>0.4499</v>
      </c>
      <c r="F183" s="20" t="n">
        <v>108</v>
      </c>
      <c r="G183" s="20" t="n">
        <v>18</v>
      </c>
      <c r="H183" s="18" t="n">
        <v>6</v>
      </c>
      <c r="I183" s="25">
        <f>F183-G183</f>
        <v/>
      </c>
    </row>
    <row r="184">
      <c r="A184" s="16" t="inlineStr">
        <is>
          <t>2025-06-02</t>
        </is>
      </c>
      <c r="B184" s="19" t="n">
        <v>0.4182</v>
      </c>
      <c r="C184" s="19" t="n">
        <v>0.314</v>
      </c>
      <c r="D184" s="19" t="n">
        <v>0.283</v>
      </c>
      <c r="E184" s="19" t="n">
        <v>0.4497</v>
      </c>
      <c r="F184" s="20" t="n">
        <v>102</v>
      </c>
      <c r="G184" s="20" t="n">
        <v>16</v>
      </c>
      <c r="H184" s="18" t="n">
        <v>6.38</v>
      </c>
      <c r="I184" s="25">
        <f>F184-G184</f>
        <v/>
      </c>
    </row>
    <row r="185">
      <c r="A185" s="16" t="inlineStr">
        <is>
          <t>2025-06-03</t>
        </is>
      </c>
      <c r="B185" s="19" t="n">
        <v>0.4166</v>
      </c>
      <c r="C185" s="19" t="n">
        <v>0.3189</v>
      </c>
      <c r="D185" s="19" t="n">
        <v>0.2818</v>
      </c>
      <c r="E185" s="19" t="n">
        <v>0.4495</v>
      </c>
      <c r="F185" s="20" t="n">
        <v>83</v>
      </c>
      <c r="G185" s="20" t="n">
        <v>16</v>
      </c>
      <c r="H185" s="18" t="n">
        <v>5.19</v>
      </c>
      <c r="I185" s="25">
        <f>F185-G185</f>
        <v/>
      </c>
    </row>
    <row r="186">
      <c r="A186" s="16" t="inlineStr">
        <is>
          <t>2025-06-04</t>
        </is>
      </c>
      <c r="B186" s="19" t="n">
        <v>0.4288</v>
      </c>
      <c r="C186" s="19" t="n">
        <v>0.3238</v>
      </c>
      <c r="D186" s="19" t="n">
        <v>0.2808</v>
      </c>
      <c r="E186" s="19" t="n">
        <v>0.4494</v>
      </c>
      <c r="F186" s="20" t="n">
        <v>97</v>
      </c>
      <c r="G186" s="20" t="n">
        <v>17</v>
      </c>
      <c r="H186" s="18" t="n">
        <v>5.71</v>
      </c>
      <c r="I186" s="25">
        <f>F186-G186</f>
        <v/>
      </c>
    </row>
    <row r="187">
      <c r="A187" s="16" t="inlineStr">
        <is>
          <t>2025-06-05</t>
        </is>
      </c>
      <c r="B187" s="19" t="n">
        <v>0.4401</v>
      </c>
      <c r="C187" s="19" t="n">
        <v>0.3286</v>
      </c>
      <c r="D187" s="19" t="n">
        <v>0.2801</v>
      </c>
      <c r="E187" s="19" t="n">
        <v>0.4493</v>
      </c>
      <c r="F187" s="20" t="n">
        <v>108</v>
      </c>
      <c r="G187" s="20" t="n">
        <v>15</v>
      </c>
      <c r="H187" s="18" t="n">
        <v>7.2</v>
      </c>
      <c r="I187" s="25">
        <f>F187-G187</f>
        <v/>
      </c>
    </row>
    <row r="188">
      <c r="A188" s="16" t="inlineStr">
        <is>
          <t>2025-06-06</t>
        </is>
      </c>
      <c r="B188" s="19" t="n">
        <v>0.4514</v>
      </c>
      <c r="C188" s="19" t="n">
        <v>0.3335</v>
      </c>
      <c r="D188" s="19" t="n">
        <v>0.2796</v>
      </c>
      <c r="E188" s="19" t="n">
        <v>0.4494</v>
      </c>
      <c r="F188" s="20" t="n">
        <v>104</v>
      </c>
      <c r="G188" s="20" t="n">
        <v>15</v>
      </c>
      <c r="H188" s="18" t="n">
        <v>6.93</v>
      </c>
      <c r="I188" s="25">
        <f>F188-G188</f>
        <v/>
      </c>
    </row>
    <row r="189">
      <c r="A189" s="16" t="inlineStr">
        <is>
          <t>2025-06-09</t>
        </is>
      </c>
      <c r="B189" s="19" t="n">
        <v>0.4794</v>
      </c>
      <c r="C189" s="19" t="n">
        <v>0.3401</v>
      </c>
      <c r="D189" s="19" t="n">
        <v>0.2797</v>
      </c>
      <c r="E189" s="19" t="n">
        <v>0.4495</v>
      </c>
      <c r="F189" s="20" t="n">
        <v>125</v>
      </c>
      <c r="G189" s="20" t="n">
        <v>11</v>
      </c>
      <c r="H189" s="18" t="n">
        <v>11.36</v>
      </c>
      <c r="I189" s="25">
        <f>F189-G189</f>
        <v/>
      </c>
    </row>
    <row r="190">
      <c r="A190" s="16" t="inlineStr">
        <is>
          <t>2025-06-10</t>
        </is>
      </c>
      <c r="B190" s="19" t="n">
        <v>0.5006</v>
      </c>
      <c r="C190" s="19" t="n">
        <v>0.3475</v>
      </c>
      <c r="D190" s="19" t="n">
        <v>0.2806</v>
      </c>
      <c r="E190" s="19" t="n">
        <v>0.4498</v>
      </c>
      <c r="F190" s="20" t="n">
        <v>135</v>
      </c>
      <c r="G190" s="20" t="n">
        <v>11</v>
      </c>
      <c r="H190" s="18" t="n">
        <v>12.27</v>
      </c>
      <c r="I190" s="25">
        <f>F190-G190</f>
        <v/>
      </c>
    </row>
    <row r="191">
      <c r="A191" s="16" t="inlineStr">
        <is>
          <t>2025-06-11</t>
        </is>
      </c>
      <c r="B191" s="19" t="n">
        <v>0.5075999999999999</v>
      </c>
      <c r="C191" s="19" t="n">
        <v>0.3556</v>
      </c>
      <c r="D191" s="19" t="n">
        <v>0.2817</v>
      </c>
      <c r="E191" s="19" t="n">
        <v>0.4501</v>
      </c>
      <c r="F191" s="20" t="n">
        <v>116</v>
      </c>
      <c r="G191" s="20" t="n">
        <v>10</v>
      </c>
      <c r="H191" s="18" t="n">
        <v>11.6</v>
      </c>
      <c r="I191" s="25">
        <f>F191-G191</f>
        <v/>
      </c>
    </row>
    <row r="192">
      <c r="A192" s="16" t="inlineStr">
        <is>
          <t>2025-06-12</t>
        </is>
      </c>
      <c r="B192" s="19" t="n">
        <v>0.4901</v>
      </c>
      <c r="C192" s="19" t="n">
        <v>0.3635</v>
      </c>
      <c r="D192" s="19" t="n">
        <v>0.2828</v>
      </c>
      <c r="E192" s="19" t="n">
        <v>0.4503</v>
      </c>
      <c r="F192" s="20" t="n">
        <v>105</v>
      </c>
      <c r="G192" s="20" t="n">
        <v>12</v>
      </c>
      <c r="H192" s="18" t="n">
        <v>8.75</v>
      </c>
      <c r="I192" s="25">
        <f>F192-G192</f>
        <v/>
      </c>
    </row>
    <row r="193">
      <c r="A193" s="16" t="inlineStr">
        <is>
          <t>2025-06-13</t>
        </is>
      </c>
      <c r="B193" s="19" t="n">
        <v>0.4817</v>
      </c>
      <c r="C193" s="19" t="n">
        <v>0.3717</v>
      </c>
      <c r="D193" s="19" t="n">
        <v>0.2836</v>
      </c>
      <c r="E193" s="19" t="n">
        <v>0.4505</v>
      </c>
      <c r="F193" s="20" t="n">
        <v>97</v>
      </c>
      <c r="G193" s="20" t="n">
        <v>14</v>
      </c>
      <c r="H193" s="18" t="n">
        <v>6.93</v>
      </c>
      <c r="I193" s="25">
        <f>F193-G193</f>
        <v/>
      </c>
    </row>
    <row r="194">
      <c r="A194" s="16" t="inlineStr">
        <is>
          <t>2025-06-16</t>
        </is>
      </c>
      <c r="B194" s="19" t="n">
        <v>0.4811</v>
      </c>
      <c r="C194" s="19" t="n">
        <v>0.3797</v>
      </c>
      <c r="D194" s="19" t="n">
        <v>0.2845</v>
      </c>
      <c r="E194" s="19" t="n">
        <v>0.4506</v>
      </c>
      <c r="F194" s="20" t="n">
        <v>102</v>
      </c>
      <c r="G194" s="20" t="n">
        <v>12</v>
      </c>
      <c r="H194" s="18" t="n">
        <v>8.5</v>
      </c>
      <c r="I194" s="25">
        <f>F194-G194</f>
        <v/>
      </c>
    </row>
    <row r="195">
      <c r="A195" s="16" t="inlineStr">
        <is>
          <t>2025-06-17</t>
        </is>
      </c>
      <c r="B195" s="19" t="n">
        <v>0.4738</v>
      </c>
      <c r="C195" s="19" t="n">
        <v>0.3878</v>
      </c>
      <c r="D195" s="19" t="n">
        <v>0.2851</v>
      </c>
      <c r="E195" s="19" t="n">
        <v>0.4507</v>
      </c>
      <c r="F195" s="20" t="n">
        <v>90</v>
      </c>
      <c r="G195" s="20" t="n">
        <v>13</v>
      </c>
      <c r="H195" s="18" t="n">
        <v>6.92</v>
      </c>
      <c r="I195" s="25">
        <f>F195-G195</f>
        <v/>
      </c>
    </row>
    <row r="196">
      <c r="A196" s="16" t="inlineStr">
        <is>
          <t>2025-06-18</t>
        </is>
      </c>
      <c r="B196" s="19" t="n">
        <v>0.4603</v>
      </c>
      <c r="C196" s="19" t="n">
        <v>0.3955</v>
      </c>
      <c r="D196" s="19" t="n">
        <v>0.2857</v>
      </c>
      <c r="E196" s="19" t="n">
        <v>0.4508</v>
      </c>
      <c r="F196" s="20" t="n">
        <v>87</v>
      </c>
      <c r="G196" s="20" t="n">
        <v>19</v>
      </c>
      <c r="H196" s="18" t="n">
        <v>4.58</v>
      </c>
      <c r="I196" s="25">
        <f>F196-G196</f>
        <v/>
      </c>
    </row>
    <row r="197">
      <c r="A197" s="16" t="inlineStr">
        <is>
          <t>2025-06-19</t>
        </is>
      </c>
      <c r="B197" s="19" t="n">
        <v>0.4333</v>
      </c>
      <c r="C197" s="19" t="n">
        <v>0.4026</v>
      </c>
      <c r="D197" s="19" t="n">
        <v>0.2862</v>
      </c>
      <c r="E197" s="19" t="n">
        <v>0.4507</v>
      </c>
      <c r="F197" s="20" t="n">
        <v>68</v>
      </c>
      <c r="G197" s="20" t="n">
        <v>26</v>
      </c>
      <c r="H197" s="18" t="n">
        <v>2.62</v>
      </c>
      <c r="I197" s="25">
        <f>F197-G197</f>
        <v/>
      </c>
    </row>
    <row r="198">
      <c r="A198" s="16" t="inlineStr">
        <is>
          <t>2025-06-20</t>
        </is>
      </c>
      <c r="B198" s="19" t="n">
        <v>0.4277</v>
      </c>
      <c r="C198" s="19" t="n">
        <v>0.4097</v>
      </c>
      <c r="D198" s="19" t="n">
        <v>0.2866</v>
      </c>
      <c r="E198" s="19" t="n">
        <v>0.4506</v>
      </c>
      <c r="F198" s="20" t="n">
        <v>81</v>
      </c>
      <c r="G198" s="20" t="n">
        <v>27</v>
      </c>
      <c r="H198" s="18" t="n">
        <v>3</v>
      </c>
      <c r="I198" s="25">
        <f>F198-G198</f>
        <v/>
      </c>
    </row>
    <row r="199">
      <c r="A199" s="16" t="inlineStr">
        <is>
          <t>2025-06-23</t>
        </is>
      </c>
      <c r="B199" s="19" t="n">
        <v>0.4218</v>
      </c>
      <c r="C199" s="19" t="n">
        <v>0.4155</v>
      </c>
      <c r="D199" s="19" t="n">
        <v>0.2872</v>
      </c>
      <c r="E199" s="19" t="n">
        <v>0.4504</v>
      </c>
      <c r="F199" s="20" t="n">
        <v>74</v>
      </c>
      <c r="G199" s="20" t="n">
        <v>31</v>
      </c>
      <c r="H199" s="18" t="n">
        <v>2.39</v>
      </c>
      <c r="I199" s="25">
        <f>F199-G199</f>
        <v/>
      </c>
    </row>
    <row r="200">
      <c r="A200" s="16" t="inlineStr">
        <is>
          <t>2025-06-24</t>
        </is>
      </c>
      <c r="B200" s="19" t="n">
        <v>0.448</v>
      </c>
      <c r="C200" s="19" t="n">
        <v>0.4215</v>
      </c>
      <c r="D200" s="19" t="n">
        <v>0.2884</v>
      </c>
      <c r="E200" s="19" t="n">
        <v>0.4504</v>
      </c>
      <c r="F200" s="20" t="n">
        <v>88</v>
      </c>
      <c r="G200" s="20" t="n">
        <v>23</v>
      </c>
      <c r="H200" s="18" t="n">
        <v>3.83</v>
      </c>
      <c r="I200" s="25">
        <f>F200-G200</f>
        <v/>
      </c>
    </row>
    <row r="201">
      <c r="A201" s="16" t="inlineStr">
        <is>
          <t>2025-06-25</t>
        </is>
      </c>
      <c r="B201" s="19" t="n">
        <v>0.4758</v>
      </c>
      <c r="C201" s="19" t="n">
        <v>0.4273</v>
      </c>
      <c r="D201" s="19" t="n">
        <v>0.2902</v>
      </c>
      <c r="E201" s="19" t="n">
        <v>0.4506</v>
      </c>
      <c r="F201" s="20" t="n">
        <v>103</v>
      </c>
      <c r="G201" s="20" t="n">
        <v>19</v>
      </c>
      <c r="H201" s="18" t="n">
        <v>5.42</v>
      </c>
      <c r="I201" s="25">
        <f>F201-G201</f>
        <v/>
      </c>
    </row>
    <row r="202">
      <c r="A202" s="16" t="inlineStr">
        <is>
          <t>2025-06-26</t>
        </is>
      </c>
      <c r="B202" s="19" t="n">
        <v>0.4868</v>
      </c>
      <c r="C202" s="19" t="n">
        <v>0.4327</v>
      </c>
      <c r="D202" s="19" t="n">
        <v>0.2921</v>
      </c>
      <c r="E202" s="19" t="n">
        <v>0.449</v>
      </c>
      <c r="F202" s="20" t="n">
        <v>113</v>
      </c>
      <c r="G202" s="20" t="n">
        <v>17</v>
      </c>
      <c r="H202" s="18" t="n">
        <v>6.65</v>
      </c>
      <c r="I202" s="25">
        <f>F202-G202</f>
        <v/>
      </c>
    </row>
    <row r="203">
      <c r="A203" s="16" t="inlineStr">
        <is>
          <t>2025-06-27</t>
        </is>
      </c>
      <c r="B203" s="19" t="n">
        <v>0.5014</v>
      </c>
      <c r="C203" s="19" t="n">
        <v>0.4379</v>
      </c>
      <c r="D203" s="19" t="n">
        <v>0.2941</v>
      </c>
      <c r="E203" s="19" t="n">
        <v>0.4476</v>
      </c>
      <c r="F203" s="20" t="n">
        <v>126</v>
      </c>
      <c r="G203" s="20" t="n">
        <v>15</v>
      </c>
      <c r="H203" s="18" t="n">
        <v>8.4</v>
      </c>
      <c r="I203" s="25">
        <f>F203-G203</f>
        <v/>
      </c>
    </row>
    <row r="204">
      <c r="A204" s="16" t="inlineStr">
        <is>
          <t>2025-06-30</t>
        </is>
      </c>
      <c r="B204" s="19" t="n">
        <v>0.5168</v>
      </c>
      <c r="C204" s="19" t="n">
        <v>0.4428</v>
      </c>
      <c r="D204" s="19" t="n">
        <v>0.2961</v>
      </c>
      <c r="E204" s="19" t="n">
        <v>0.4463</v>
      </c>
      <c r="F204" s="20" t="n">
        <v>138</v>
      </c>
      <c r="G204" s="20" t="n">
        <v>16</v>
      </c>
      <c r="H204" s="18" t="n">
        <v>8.630000000000001</v>
      </c>
      <c r="I204" s="25">
        <f>F204-G204</f>
        <v/>
      </c>
    </row>
    <row r="205">
      <c r="A205" s="16" t="inlineStr">
        <is>
          <t>2025-07-01</t>
        </is>
      </c>
      <c r="B205" s="19" t="n">
        <v>0.5257999999999999</v>
      </c>
      <c r="C205" s="19" t="n">
        <v>0.4482</v>
      </c>
      <c r="D205" s="19" t="n">
        <v>0.298</v>
      </c>
      <c r="E205" s="19" t="n">
        <v>0.445</v>
      </c>
      <c r="F205" s="20" t="n">
        <v>133</v>
      </c>
      <c r="G205" s="20" t="n">
        <v>14</v>
      </c>
      <c r="H205" s="18" t="n">
        <v>9.5</v>
      </c>
      <c r="I205" s="25">
        <f>F205-G205</f>
        <v/>
      </c>
    </row>
    <row r="206">
      <c r="A206" s="16" t="inlineStr">
        <is>
          <t>2025-07-02</t>
        </is>
      </c>
      <c r="B206" s="19" t="n">
        <v>0.5278</v>
      </c>
      <c r="C206" s="19" t="n">
        <v>0.4535</v>
      </c>
      <c r="D206" s="19" t="n">
        <v>0.3001</v>
      </c>
      <c r="E206" s="19" t="n">
        <v>0.4437</v>
      </c>
      <c r="F206" s="20" t="n">
        <v>137</v>
      </c>
      <c r="G206" s="20" t="n">
        <v>17</v>
      </c>
      <c r="H206" s="18" t="n">
        <v>8.06</v>
      </c>
      <c r="I206" s="25">
        <f>F206-G206</f>
        <v/>
      </c>
    </row>
    <row r="207">
      <c r="A207" s="16" t="inlineStr">
        <is>
          <t>2025-07-03</t>
        </is>
      </c>
      <c r="B207" s="19" t="n">
        <v>0.5362</v>
      </c>
      <c r="C207" s="19" t="n">
        <v>0.459</v>
      </c>
      <c r="D207" s="19" t="n">
        <v>0.3021</v>
      </c>
      <c r="E207" s="19" t="n">
        <v>0.4425</v>
      </c>
      <c r="F207" s="20" t="n">
        <v>131</v>
      </c>
      <c r="G207" s="20" t="n">
        <v>19</v>
      </c>
      <c r="H207" s="18" t="n">
        <v>6.89</v>
      </c>
      <c r="I207" s="25">
        <f>F207-G207</f>
        <v/>
      </c>
    </row>
    <row r="208">
      <c r="A208" s="16" t="inlineStr">
        <is>
          <t>2025-07-04</t>
        </is>
      </c>
      <c r="B208" s="19" t="n">
        <v>0.5437</v>
      </c>
      <c r="C208" s="19" t="n">
        <v>0.4643</v>
      </c>
      <c r="D208" s="19" t="n">
        <v>0.3042</v>
      </c>
      <c r="E208" s="19" t="n">
        <v>0.4412</v>
      </c>
      <c r="F208" s="20" t="n">
        <v>126</v>
      </c>
      <c r="G208" s="20" t="n">
        <v>17</v>
      </c>
      <c r="H208" s="18" t="n">
        <v>7.41</v>
      </c>
      <c r="I208" s="25">
        <f>F208-G208</f>
        <v/>
      </c>
    </row>
    <row r="209">
      <c r="A209" s="16" t="inlineStr">
        <is>
          <t>2025-07-07</t>
        </is>
      </c>
      <c r="B209" s="19" t="n">
        <v>0.5464</v>
      </c>
      <c r="C209" s="19" t="n">
        <v>0.4691</v>
      </c>
      <c r="D209" s="19" t="n">
        <v>0.3062</v>
      </c>
      <c r="E209" s="19" t="n">
        <v>0.44</v>
      </c>
      <c r="F209" s="20" t="n">
        <v>112</v>
      </c>
      <c r="G209" s="20" t="n">
        <v>17</v>
      </c>
      <c r="H209" s="18" t="n">
        <v>6.59</v>
      </c>
      <c r="I209" s="25">
        <f>F209-G209</f>
        <v/>
      </c>
    </row>
    <row r="210">
      <c r="A210" s="16" t="inlineStr">
        <is>
          <t>2025-07-08</t>
        </is>
      </c>
      <c r="B210" s="19" t="n">
        <v>0.5436</v>
      </c>
      <c r="C210" s="19" t="n">
        <v>0.4736</v>
      </c>
      <c r="D210" s="19" t="n">
        <v>0.3081</v>
      </c>
      <c r="E210" s="19" t="n">
        <v>0.4387</v>
      </c>
      <c r="F210" s="20" t="n">
        <v>112</v>
      </c>
      <c r="G210" s="20" t="n">
        <v>18</v>
      </c>
      <c r="H210" s="18" t="n">
        <v>6.22</v>
      </c>
      <c r="I210" s="25">
        <f>F210-G210</f>
        <v/>
      </c>
    </row>
    <row r="211">
      <c r="A211" s="16" t="inlineStr">
        <is>
          <t>2025-07-09</t>
        </is>
      </c>
      <c r="B211" s="19" t="n">
        <v>0.552</v>
      </c>
      <c r="C211" s="19" t="n">
        <v>0.4782</v>
      </c>
      <c r="D211" s="19" t="n">
        <v>0.3104</v>
      </c>
      <c r="E211" s="19" t="n">
        <v>0.4375</v>
      </c>
      <c r="F211" s="20" t="n">
        <v>115</v>
      </c>
      <c r="G211" s="20" t="n">
        <v>17</v>
      </c>
      <c r="H211" s="18" t="n">
        <v>6.76</v>
      </c>
      <c r="I211" s="25">
        <f>F211-G211</f>
        <v/>
      </c>
    </row>
    <row r="212">
      <c r="A212" s="16" t="inlineStr">
        <is>
          <t>2025-07-10</t>
        </is>
      </c>
      <c r="B212" s="19" t="n">
        <v>0.5509000000000001</v>
      </c>
      <c r="C212" s="19" t="n">
        <v>0.4827</v>
      </c>
      <c r="D212" s="19" t="n">
        <v>0.313</v>
      </c>
      <c r="E212" s="19" t="n">
        <v>0.4364</v>
      </c>
      <c r="F212" s="20" t="n">
        <v>113</v>
      </c>
      <c r="G212" s="20" t="n">
        <v>15</v>
      </c>
      <c r="H212" s="18" t="n">
        <v>7.53</v>
      </c>
      <c r="I212" s="25">
        <f>F212-G212</f>
        <v/>
      </c>
    </row>
    <row r="213">
      <c r="A213" s="16" t="inlineStr">
        <is>
          <t>2025-07-11</t>
        </is>
      </c>
      <c r="B213" s="19" t="n">
        <v>0.5487</v>
      </c>
      <c r="C213" s="19" t="n">
        <v>0.4872</v>
      </c>
      <c r="D213" s="19" t="n">
        <v>0.3158</v>
      </c>
      <c r="E213" s="19" t="n">
        <v>0.4352</v>
      </c>
      <c r="F213" s="20" t="n">
        <v>113</v>
      </c>
      <c r="G213" s="20" t="n">
        <v>19</v>
      </c>
      <c r="H213" s="18" t="n">
        <v>5.95</v>
      </c>
      <c r="I213" s="25">
        <f>F213-G213</f>
        <v/>
      </c>
    </row>
    <row r="214">
      <c r="A214" s="16" t="inlineStr">
        <is>
          <t>2025-07-14</t>
        </is>
      </c>
      <c r="B214" s="19" t="n">
        <v>0.5503</v>
      </c>
      <c r="C214" s="19" t="n">
        <v>0.4916</v>
      </c>
      <c r="D214" s="19" t="n">
        <v>0.3188</v>
      </c>
      <c r="E214" s="19" t="n">
        <v>0.434</v>
      </c>
      <c r="F214" s="20" t="n">
        <v>121</v>
      </c>
      <c r="G214" s="20" t="n">
        <v>18</v>
      </c>
      <c r="H214" s="18" t="n">
        <v>6.72</v>
      </c>
      <c r="I214" s="25">
        <f>F214-G214</f>
        <v/>
      </c>
    </row>
    <row r="215">
      <c r="A215" s="16" t="inlineStr">
        <is>
          <t>2025-07-15</t>
        </is>
      </c>
      <c r="B215" s="19" t="n">
        <v>0.5656</v>
      </c>
      <c r="C215" s="19" t="n">
        <v>0.4966</v>
      </c>
      <c r="D215" s="19" t="n">
        <v>0.3222</v>
      </c>
      <c r="E215" s="19" t="n">
        <v>0.4329</v>
      </c>
      <c r="F215" s="20" t="n">
        <v>136</v>
      </c>
      <c r="G215" s="20" t="n">
        <v>16</v>
      </c>
      <c r="H215" s="18" t="n">
        <v>8.5</v>
      </c>
      <c r="I215" s="25">
        <f>F215-G215</f>
        <v/>
      </c>
    </row>
    <row r="216">
      <c r="A216" s="16" t="inlineStr">
        <is>
          <t>2025-07-16</t>
        </is>
      </c>
      <c r="B216" s="19" t="n">
        <v>0.5835</v>
      </c>
      <c r="C216" s="19" t="n">
        <v>0.5017</v>
      </c>
      <c r="D216" s="19" t="n">
        <v>0.3259</v>
      </c>
      <c r="E216" s="19" t="n">
        <v>0.4319</v>
      </c>
      <c r="F216" s="20" t="n">
        <v>140</v>
      </c>
      <c r="G216" s="20" t="n">
        <v>15</v>
      </c>
      <c r="H216" s="18" t="n">
        <v>9.33</v>
      </c>
      <c r="I216" s="25">
        <f>F216-G216</f>
        <v/>
      </c>
    </row>
    <row r="217">
      <c r="A217" s="16" t="inlineStr">
        <is>
          <t>2025-07-17</t>
        </is>
      </c>
      <c r="B217" s="19" t="n">
        <v>0.6013000000000001</v>
      </c>
      <c r="C217" s="19" t="n">
        <v>0.5071</v>
      </c>
      <c r="D217" s="19" t="n">
        <v>0.33</v>
      </c>
      <c r="E217" s="19" t="n">
        <v>0.4309000000000001</v>
      </c>
      <c r="F217" s="20" t="n">
        <v>158</v>
      </c>
      <c r="G217" s="20" t="n">
        <v>13</v>
      </c>
      <c r="H217" s="18" t="n">
        <v>12.15</v>
      </c>
      <c r="I217" s="25">
        <f>F217-G217</f>
        <v/>
      </c>
    </row>
    <row r="218">
      <c r="A218" s="16" t="inlineStr">
        <is>
          <t>2025-07-18</t>
        </is>
      </c>
      <c r="B218" s="19" t="n">
        <v>0.6025</v>
      </c>
      <c r="C218" s="19" t="n">
        <v>0.5122</v>
      </c>
      <c r="D218" s="19" t="n">
        <v>0.3341</v>
      </c>
      <c r="E218" s="19" t="n">
        <v>0.4301</v>
      </c>
      <c r="F218" s="20" t="n">
        <v>135</v>
      </c>
      <c r="G218" s="20" t="n">
        <v>9</v>
      </c>
      <c r="H218" s="18" t="n">
        <v>15</v>
      </c>
      <c r="I218" s="25">
        <f>F218-G218</f>
        <v/>
      </c>
    </row>
    <row r="219">
      <c r="A219" s="16" t="inlineStr">
        <is>
          <t>2025-07-21</t>
        </is>
      </c>
      <c r="B219" s="19" t="n">
        <v>0.5974</v>
      </c>
      <c r="C219" s="19" t="n">
        <v>0.5161</v>
      </c>
      <c r="D219" s="19" t="n">
        <v>0.3381</v>
      </c>
      <c r="E219" s="19" t="n">
        <v>0.4292</v>
      </c>
      <c r="F219" s="20" t="n">
        <v>141</v>
      </c>
      <c r="G219" s="20" t="n">
        <v>12</v>
      </c>
      <c r="H219" s="18" t="n">
        <v>11.75</v>
      </c>
      <c r="I219" s="25">
        <f>F219-G219</f>
        <v/>
      </c>
    </row>
    <row r="220">
      <c r="A220" s="16" t="inlineStr">
        <is>
          <t>2025-07-22</t>
        </is>
      </c>
      <c r="B220" s="19" t="n">
        <v>0.5922999999999999</v>
      </c>
      <c r="C220" s="19" t="n">
        <v>0.5191</v>
      </c>
      <c r="D220" s="19" t="n">
        <v>0.342</v>
      </c>
      <c r="E220" s="19" t="n">
        <v>0.4282</v>
      </c>
      <c r="F220" s="20" t="n">
        <v>136</v>
      </c>
      <c r="G220" s="20" t="n">
        <v>15</v>
      </c>
      <c r="H220" s="18" t="n">
        <v>9.07</v>
      </c>
      <c r="I220" s="25">
        <f>F220-G220</f>
        <v/>
      </c>
    </row>
    <row r="221">
      <c r="A221" s="16" t="inlineStr">
        <is>
          <t>2025-07-23</t>
        </is>
      </c>
      <c r="B221" s="19" t="n">
        <v>0.5917</v>
      </c>
      <c r="C221" s="19" t="n">
        <v>0.522</v>
      </c>
      <c r="D221" s="19" t="n">
        <v>0.3459</v>
      </c>
      <c r="E221" s="19" t="n">
        <v>0.4274</v>
      </c>
      <c r="F221" s="20" t="n">
        <v>140</v>
      </c>
      <c r="G221" s="20" t="n">
        <v>21</v>
      </c>
      <c r="H221" s="18" t="n">
        <v>6.67</v>
      </c>
      <c r="I221" s="25">
        <f>F221-G221</f>
        <v/>
      </c>
    </row>
    <row r="222">
      <c r="A222" s="16" t="inlineStr">
        <is>
          <t>2025-07-24</t>
        </is>
      </c>
      <c r="B222" s="19" t="n">
        <v>0.594</v>
      </c>
      <c r="C222" s="19" t="n">
        <v>0.5254</v>
      </c>
      <c r="D222" s="19" t="n">
        <v>0.3499</v>
      </c>
      <c r="E222" s="19" t="n">
        <v>0.4267</v>
      </c>
      <c r="F222" s="20" t="n">
        <v>116</v>
      </c>
      <c r="G222" s="20" t="n">
        <v>23</v>
      </c>
      <c r="H222" s="18" t="n">
        <v>5.04</v>
      </c>
      <c r="I222" s="25">
        <f>F222-G222</f>
        <v/>
      </c>
    </row>
    <row r="223">
      <c r="A223" s="16" t="inlineStr">
        <is>
          <t>2025-07-25</t>
        </is>
      </c>
      <c r="B223" s="19" t="n">
        <v>0.5679999999999999</v>
      </c>
      <c r="C223" s="19" t="n">
        <v>0.5283</v>
      </c>
      <c r="D223" s="19" t="n">
        <v>0.3538</v>
      </c>
      <c r="E223" s="19" t="n">
        <v>0.4261</v>
      </c>
      <c r="F223" s="20" t="n">
        <v>99</v>
      </c>
      <c r="G223" s="20" t="n">
        <v>29</v>
      </c>
      <c r="H223" s="18" t="n">
        <v>3.41</v>
      </c>
      <c r="I223" s="25">
        <f>F223-G223</f>
        <v/>
      </c>
    </row>
    <row r="224">
      <c r="A224" s="16" t="inlineStr">
        <is>
          <t>2025-07-28</t>
        </is>
      </c>
      <c r="B224" s="19" t="n">
        <v>0.5312</v>
      </c>
      <c r="C224" s="19" t="n">
        <v>0.53</v>
      </c>
      <c r="D224" s="19" t="n">
        <v>0.3575</v>
      </c>
      <c r="E224" s="19" t="n">
        <v>0.4253</v>
      </c>
      <c r="F224" s="20" t="n">
        <v>85</v>
      </c>
      <c r="G224" s="20" t="n">
        <v>34</v>
      </c>
      <c r="H224" s="18" t="n">
        <v>2.5</v>
      </c>
      <c r="I224" s="25">
        <f>F224-G224</f>
        <v/>
      </c>
    </row>
    <row r="225">
      <c r="A225" s="16" t="inlineStr">
        <is>
          <t>2025-07-29</t>
        </is>
      </c>
      <c r="B225" s="19" t="n">
        <v>0.5346</v>
      </c>
      <c r="C225" s="19" t="n">
        <v>0.532</v>
      </c>
      <c r="D225" s="19" t="n">
        <v>0.3614</v>
      </c>
      <c r="E225" s="19" t="n">
        <v>0.4244</v>
      </c>
      <c r="F225" s="20" t="n">
        <v>94</v>
      </c>
      <c r="G225" s="20" t="n">
        <v>36</v>
      </c>
      <c r="H225" s="18" t="n">
        <v>2.61</v>
      </c>
      <c r="I225" s="25">
        <f>F225-G225</f>
        <v/>
      </c>
    </row>
    <row r="226">
      <c r="A226" s="16" t="inlineStr">
        <is>
          <t>2025-07-30</t>
        </is>
      </c>
      <c r="B226" s="19" t="n">
        <v>0.5292</v>
      </c>
      <c r="C226" s="19" t="n">
        <v>0.5343</v>
      </c>
      <c r="D226" s="19" t="n">
        <v>0.3652</v>
      </c>
      <c r="E226" s="19" t="n">
        <v>0.4235</v>
      </c>
      <c r="F226" s="20" t="n">
        <v>109</v>
      </c>
      <c r="G226" s="20" t="n">
        <v>32</v>
      </c>
      <c r="H226" s="18" t="n">
        <v>3.41</v>
      </c>
      <c r="I226" s="25">
        <f>F226-G226</f>
        <v/>
      </c>
    </row>
    <row r="227">
      <c r="A227" s="16" t="inlineStr">
        <is>
          <t>2025-07-31</t>
        </is>
      </c>
      <c r="B227" s="19" t="n">
        <v>0.5253</v>
      </c>
      <c r="C227" s="19" t="n">
        <v>0.5373</v>
      </c>
      <c r="D227" s="19" t="n">
        <v>0.3689</v>
      </c>
      <c r="E227" s="19" t="n">
        <v>0.4226</v>
      </c>
      <c r="F227" s="20" t="n">
        <v>116</v>
      </c>
      <c r="G227" s="20" t="n">
        <v>41</v>
      </c>
      <c r="H227" s="18" t="n">
        <v>2.83</v>
      </c>
      <c r="I227" s="25">
        <f>F227-G227</f>
        <v/>
      </c>
    </row>
    <row r="228">
      <c r="A228" s="16" t="inlineStr">
        <is>
          <t>2025-08-01</t>
        </is>
      </c>
      <c r="B228" s="19" t="n">
        <v>0.5039</v>
      </c>
      <c r="C228" s="19" t="n">
        <v>0.5399</v>
      </c>
      <c r="D228" s="19" t="n">
        <v>0.3722</v>
      </c>
      <c r="E228" s="19" t="n">
        <v>0.4215</v>
      </c>
      <c r="F228" s="20" t="n">
        <v>89</v>
      </c>
      <c r="G228" s="20" t="n">
        <v>55</v>
      </c>
      <c r="H228" s="18" t="n">
        <v>1.62</v>
      </c>
      <c r="I228" s="25">
        <f>F228-G228</f>
        <v/>
      </c>
    </row>
    <row r="229">
      <c r="A229" s="16" t="inlineStr">
        <is>
          <t>2025-08-04</t>
        </is>
      </c>
      <c r="B229" s="19" t="n">
        <v>0.5095000000000001</v>
      </c>
      <c r="C229" s="19" t="n">
        <v>0.5428000000000001</v>
      </c>
      <c r="D229" s="19" t="n">
        <v>0.3754999999999999</v>
      </c>
      <c r="E229" s="19" t="n">
        <v>0.4205</v>
      </c>
      <c r="F229" s="20" t="n">
        <v>95</v>
      </c>
      <c r="G229" s="20" t="n">
        <v>51</v>
      </c>
      <c r="H229" s="18" t="n">
        <v>1.86</v>
      </c>
      <c r="I229" s="25">
        <f>F229-G229</f>
        <v/>
      </c>
    </row>
    <row r="230">
      <c r="A230" s="16" t="inlineStr">
        <is>
          <t>2025-08-05</t>
        </is>
      </c>
      <c r="B230" s="19" t="n">
        <v>0.5089</v>
      </c>
      <c r="C230" s="19" t="n">
        <v>0.5448</v>
      </c>
      <c r="D230" s="19" t="n">
        <v>0.3788</v>
      </c>
      <c r="E230" s="19" t="n">
        <v>0.4194</v>
      </c>
      <c r="F230" s="20" t="n">
        <v>90</v>
      </c>
      <c r="G230" s="20" t="n">
        <v>54</v>
      </c>
      <c r="H230" s="18" t="n">
        <v>1.67</v>
      </c>
      <c r="I230" s="25">
        <f>F230-G230</f>
        <v/>
      </c>
    </row>
    <row r="231">
      <c r="A231" s="16" t="inlineStr">
        <is>
          <t>2025-08-06</t>
        </is>
      </c>
      <c r="B231" s="19" t="n">
        <v>0.4981</v>
      </c>
      <c r="C231" s="19" t="n">
        <v>0.5456</v>
      </c>
      <c r="D231" s="19" t="n">
        <v>0.3821</v>
      </c>
      <c r="E231" s="19" t="n">
        <v>0.4183</v>
      </c>
      <c r="F231" s="20" t="n">
        <v>80</v>
      </c>
      <c r="G231" s="20" t="n">
        <v>73</v>
      </c>
      <c r="H231" s="18" t="n">
        <v>1.1</v>
      </c>
      <c r="I231" s="25">
        <f>F231-G231</f>
        <v/>
      </c>
    </row>
    <row r="232">
      <c r="A232" s="16" t="inlineStr">
        <is>
          <t>2025-08-07</t>
        </is>
      </c>
      <c r="B232" s="19" t="n">
        <v>0.4842</v>
      </c>
      <c r="C232" s="19" t="n">
        <v>0.5455</v>
      </c>
      <c r="D232" s="19" t="n">
        <v>0.3853</v>
      </c>
      <c r="E232" s="19" t="n">
        <v>0.4172</v>
      </c>
      <c r="F232" s="20" t="n">
        <v>74</v>
      </c>
      <c r="G232" s="20" t="n">
        <v>80</v>
      </c>
      <c r="H232" s="18" t="n">
        <v>0.93</v>
      </c>
      <c r="I232" s="25">
        <f>F232-G232</f>
        <v/>
      </c>
    </row>
    <row r="233">
      <c r="A233" s="16" t="inlineStr">
        <is>
          <t>2025-08-08</t>
        </is>
      </c>
      <c r="B233" s="19" t="n">
        <v>0.4667</v>
      </c>
      <c r="C233" s="19" t="n">
        <v>0.5443</v>
      </c>
      <c r="D233" s="19" t="n">
        <v>0.3884</v>
      </c>
      <c r="E233" s="19" t="n">
        <v>0.4161</v>
      </c>
      <c r="F233" s="20" t="n">
        <v>63</v>
      </c>
      <c r="G233" s="20" t="n">
        <v>90</v>
      </c>
      <c r="H233" s="18" t="n">
        <v>0.7</v>
      </c>
      <c r="I233" s="25">
        <f>F233-G233</f>
        <v/>
      </c>
    </row>
    <row r="234">
      <c r="A234" s="16" t="inlineStr">
        <is>
          <t>2025-08-11</t>
        </is>
      </c>
      <c r="B234" s="19" t="n">
        <v>0.4583</v>
      </c>
      <c r="C234" s="19" t="n">
        <v>0.5424</v>
      </c>
      <c r="D234" s="19" t="n">
        <v>0.3914</v>
      </c>
      <c r="E234" s="19" t="n">
        <v>0.4153</v>
      </c>
      <c r="F234" s="20" t="n">
        <v>66</v>
      </c>
      <c r="G234" s="20" t="n">
        <v>89</v>
      </c>
      <c r="H234" s="18" t="n">
        <v>0.74</v>
      </c>
      <c r="I234" s="25">
        <f>F234-G234</f>
        <v/>
      </c>
    </row>
    <row r="235">
      <c r="A235" s="16" t="inlineStr">
        <is>
          <t>2025-08-12</t>
        </is>
      </c>
      <c r="B235" s="19" t="n">
        <v>0.46</v>
      </c>
      <c r="C235" s="19" t="n">
        <v>0.5402</v>
      </c>
      <c r="D235" s="19" t="n">
        <v>0.3944</v>
      </c>
      <c r="E235" s="19" t="n">
        <v>0.4145</v>
      </c>
      <c r="F235" s="20" t="n">
        <v>78</v>
      </c>
      <c r="G235" s="20" t="n">
        <v>83</v>
      </c>
      <c r="H235" s="18" t="n">
        <v>0.9399999999999999</v>
      </c>
      <c r="I235" s="25">
        <f>F235-G235</f>
        <v/>
      </c>
    </row>
    <row r="236">
      <c r="A236" s="16" t="inlineStr">
        <is>
          <t>2025-08-13</t>
        </is>
      </c>
      <c r="B236" s="19" t="n">
        <v>0.4744</v>
      </c>
      <c r="C236" s="19" t="n">
        <v>0.5384</v>
      </c>
      <c r="D236" s="19" t="n">
        <v>0.3974</v>
      </c>
      <c r="E236" s="19" t="n">
        <v>0.4139</v>
      </c>
      <c r="F236" s="20" t="n">
        <v>93</v>
      </c>
      <c r="G236" s="20" t="n">
        <v>70</v>
      </c>
      <c r="H236" s="18" t="n">
        <v>1.33</v>
      </c>
      <c r="I236" s="25">
        <f>F236-G236</f>
        <v/>
      </c>
    </row>
    <row r="237">
      <c r="A237" s="16" t="inlineStr">
        <is>
          <t>2025-08-14</t>
        </is>
      </c>
      <c r="B237" s="19" t="n">
        <v>0.4681</v>
      </c>
      <c r="C237" s="19" t="n">
        <v>0.5361</v>
      </c>
      <c r="D237" s="19" t="n">
        <v>0.4002000000000001</v>
      </c>
      <c r="E237" s="19" t="n">
        <v>0.4134</v>
      </c>
      <c r="F237" s="20" t="n">
        <v>80</v>
      </c>
      <c r="G237" s="20" t="n">
        <v>82</v>
      </c>
      <c r="H237" s="18" t="n">
        <v>0.98</v>
      </c>
      <c r="I237" s="25">
        <f>F237-G237</f>
        <v/>
      </c>
    </row>
    <row r="238">
      <c r="A238" s="16" t="inlineStr">
        <is>
          <t>2025-08-18</t>
        </is>
      </c>
      <c r="B238" s="19" t="n">
        <v>0.4786</v>
      </c>
      <c r="C238" s="19" t="n">
        <v>0.534</v>
      </c>
      <c r="D238" s="19" t="n">
        <v>0.4029</v>
      </c>
      <c r="E238" s="19" t="n">
        <v>0.413</v>
      </c>
      <c r="F238" s="20" t="n">
        <v>107</v>
      </c>
      <c r="G238" s="20" t="n">
        <v>57</v>
      </c>
      <c r="H238" s="18" t="n">
        <v>1.88</v>
      </c>
      <c r="I238" s="25">
        <f>F238-G238</f>
        <v/>
      </c>
    </row>
    <row r="239">
      <c r="A239" s="16" t="inlineStr">
        <is>
          <t>2025-08-19</t>
        </is>
      </c>
      <c r="B239" s="19" t="n">
        <v>0.4986</v>
      </c>
      <c r="C239" s="19" t="n">
        <v>0.5324</v>
      </c>
      <c r="D239" s="19" t="n">
        <v>0.4056</v>
      </c>
      <c r="E239" s="19" t="n">
        <v>0.4127</v>
      </c>
      <c r="F239" s="20" t="n">
        <v>123</v>
      </c>
      <c r="G239" s="20" t="n">
        <v>32</v>
      </c>
      <c r="H239" s="18" t="n">
        <v>3.84</v>
      </c>
      <c r="I239" s="25">
        <f>F239-G239</f>
        <v/>
      </c>
    </row>
    <row r="240">
      <c r="A240" s="16" t="inlineStr">
        <is>
          <t>2025-08-20</t>
        </is>
      </c>
      <c r="B240" s="19" t="n">
        <v>0.5061</v>
      </c>
      <c r="C240" s="19" t="n">
        <v>0.5311</v>
      </c>
      <c r="D240" s="19" t="n">
        <v>0.4084</v>
      </c>
      <c r="E240" s="19" t="n">
        <v>0.4124</v>
      </c>
      <c r="F240" s="20" t="n">
        <v>133</v>
      </c>
      <c r="G240" s="20" t="n">
        <v>20</v>
      </c>
      <c r="H240" s="18" t="n">
        <v>6.65</v>
      </c>
      <c r="I240" s="25">
        <f>F240-G240</f>
        <v/>
      </c>
    </row>
    <row r="241">
      <c r="A241" s="16" t="inlineStr">
        <is>
          <t>2025-08-21</t>
        </is>
      </c>
      <c r="B241" s="19" t="n">
        <v>0.5135999999999999</v>
      </c>
      <c r="C241" s="19" t="n">
        <v>0.5297999999999999</v>
      </c>
      <c r="D241" s="19" t="n">
        <v>0.4114</v>
      </c>
      <c r="E241" s="19" t="n">
        <v>0.4119</v>
      </c>
      <c r="F241" s="20" t="n">
        <v>128</v>
      </c>
      <c r="G241" s="20" t="n">
        <v>19</v>
      </c>
      <c r="H241" s="18" t="n">
        <v>6.74</v>
      </c>
      <c r="I241" s="25">
        <f>F241-G241</f>
        <v/>
      </c>
    </row>
    <row r="242">
      <c r="A242" s="16" t="inlineStr">
        <is>
          <t>2025-08-22</t>
        </is>
      </c>
      <c r="B242" s="19" t="n">
        <v>0.5122</v>
      </c>
      <c r="C242" s="19" t="n">
        <v>0.5286</v>
      </c>
      <c r="D242" s="19" t="n">
        <v>0.4144</v>
      </c>
      <c r="E242" s="19" t="n">
        <v>0.4114</v>
      </c>
      <c r="F242" s="20" t="n">
        <v>129</v>
      </c>
      <c r="G242" s="20" t="n">
        <v>31</v>
      </c>
      <c r="H242" s="18" t="n">
        <v>4.16</v>
      </c>
      <c r="I242" s="25">
        <f>F242-G242</f>
        <v/>
      </c>
    </row>
    <row r="243">
      <c r="A243" s="16" t="inlineStr">
        <is>
          <t>2025-08-25</t>
        </is>
      </c>
      <c r="B243" s="19" t="n">
        <v>0.5127</v>
      </c>
      <c r="C243" s="19" t="n">
        <v>0.5274</v>
      </c>
      <c r="D243" s="19" t="n">
        <v>0.4174</v>
      </c>
      <c r="E243" s="19" t="n">
        <v>0.4109</v>
      </c>
      <c r="F243" s="20" t="n">
        <v>129</v>
      </c>
      <c r="G243" s="20" t="n">
        <v>29</v>
      </c>
      <c r="H243" s="18" t="n">
        <v>4.45</v>
      </c>
      <c r="I243" s="25">
        <f>F243-G243</f>
        <v/>
      </c>
    </row>
    <row r="244">
      <c r="A244" s="16" t="inlineStr">
        <is>
          <t>2025-08-26</t>
        </is>
      </c>
      <c r="B244" s="19" t="n">
        <v>0.4989</v>
      </c>
      <c r="C244" s="19" t="n">
        <v>0.5256000000000001</v>
      </c>
      <c r="D244" s="19" t="n">
        <v>0.4203</v>
      </c>
      <c r="E244" s="19" t="n">
        <v>0.4104</v>
      </c>
      <c r="F244" s="20" t="n">
        <v>93</v>
      </c>
      <c r="G244" s="20" t="n">
        <v>48</v>
      </c>
      <c r="H244" s="18" t="n">
        <v>1.94</v>
      </c>
      <c r="I244" s="25">
        <f>F244-G244</f>
        <v/>
      </c>
    </row>
    <row r="245">
      <c r="A245" s="16" t="inlineStr">
        <is>
          <t>2025-08-28</t>
        </is>
      </c>
      <c r="B245" s="19" t="n">
        <v>0.4734</v>
      </c>
      <c r="C245" s="19" t="n">
        <v>0.5226</v>
      </c>
      <c r="D245" s="19" t="n">
        <v>0.4229</v>
      </c>
      <c r="E245" s="19" t="n">
        <v>0.4095</v>
      </c>
      <c r="F245" s="20" t="n">
        <v>80</v>
      </c>
      <c r="G245" s="20" t="n">
        <v>64</v>
      </c>
      <c r="H245" s="18" t="n">
        <v>1.25</v>
      </c>
      <c r="I245" s="25">
        <f>F245-G245</f>
        <v/>
      </c>
    </row>
    <row r="246">
      <c r="A246" s="16" t="inlineStr">
        <is>
          <t>2025-08-29</t>
        </is>
      </c>
      <c r="B246" s="19" t="n">
        <v>0.4537</v>
      </c>
      <c r="C246" s="19" t="n">
        <v>0.5183</v>
      </c>
      <c r="D246" s="19" t="n">
        <v>0.4252</v>
      </c>
      <c r="E246" s="19" t="n">
        <v>0.4086</v>
      </c>
      <c r="F246" s="20" t="n">
        <v>79</v>
      </c>
      <c r="G246" s="20" t="n">
        <v>74</v>
      </c>
      <c r="H246" s="18" t="n">
        <v>1.07</v>
      </c>
      <c r="I246" s="25">
        <f>F246-G246</f>
        <v/>
      </c>
    </row>
    <row r="247">
      <c r="A247" s="16" t="inlineStr">
        <is>
          <t>2025-09-01</t>
        </is>
      </c>
      <c r="B247" s="19" t="n">
        <v>0.4715</v>
      </c>
      <c r="C247" s="19" t="n">
        <v>0.5139</v>
      </c>
      <c r="D247" s="19" t="n">
        <v>0.4277</v>
      </c>
      <c r="E247" s="19" t="n">
        <v>0.4078</v>
      </c>
      <c r="F247" s="20" t="n">
        <v>97</v>
      </c>
      <c r="G247" s="20" t="n">
        <v>51</v>
      </c>
      <c r="H247" s="18" t="n">
        <v>1.9</v>
      </c>
      <c r="I247" s="25">
        <f>F247-G247</f>
        <v/>
      </c>
    </row>
    <row r="248">
      <c r="A248" s="16" t="inlineStr">
        <is>
          <t>2025-09-02</t>
        </is>
      </c>
      <c r="B248" s="19" t="n">
        <v>0.4939</v>
      </c>
      <c r="C248" s="19" t="n">
        <v>0.5103</v>
      </c>
      <c r="D248" s="19" t="n">
        <v>0.4308</v>
      </c>
      <c r="E248" s="19" t="n">
        <v>0.4072</v>
      </c>
      <c r="F248" s="20" t="n">
        <v>97</v>
      </c>
      <c r="G248" s="20" t="n">
        <v>32</v>
      </c>
      <c r="H248" s="18" t="n">
        <v>3.03</v>
      </c>
      <c r="I248" s="25">
        <f>F248-G248</f>
        <v/>
      </c>
    </row>
    <row r="249">
      <c r="A249" s="16" t="inlineStr">
        <is>
          <t>2025-09-03</t>
        </is>
      </c>
      <c r="B249" s="19" t="n">
        <v>0.5171</v>
      </c>
      <c r="C249" s="19" t="n">
        <v>0.5075999999999999</v>
      </c>
      <c r="D249" s="19" t="n">
        <v>0.4342</v>
      </c>
      <c r="E249" s="19" t="n">
        <v>0.4069</v>
      </c>
      <c r="F249" s="20" t="n">
        <v>114</v>
      </c>
      <c r="G249" s="20" t="n">
        <v>26</v>
      </c>
      <c r="H249" s="18" t="n">
        <v>4.38</v>
      </c>
      <c r="I249" s="25">
        <f>F249-G249</f>
        <v/>
      </c>
    </row>
    <row r="250">
      <c r="A250" s="16" t="inlineStr">
        <is>
          <t>2025-09-04</t>
        </is>
      </c>
      <c r="B250" s="19" t="n">
        <v>0.5133</v>
      </c>
      <c r="C250" s="19" t="n">
        <v>0.505</v>
      </c>
      <c r="D250" s="19" t="n">
        <v>0.4376</v>
      </c>
      <c r="E250" s="19" t="n">
        <v>0.4067</v>
      </c>
      <c r="F250" s="20" t="n">
        <v>102</v>
      </c>
      <c r="G250" s="20" t="n">
        <v>26</v>
      </c>
      <c r="H250" s="18" t="n">
        <v>3.92</v>
      </c>
      <c r="I250" s="25">
        <f>F250-G250</f>
        <v/>
      </c>
    </row>
    <row r="251">
      <c r="A251" s="16" t="inlineStr">
        <is>
          <t>2025-09-05</t>
        </is>
      </c>
      <c r="B251" s="19" t="n">
        <v>0.5152</v>
      </c>
      <c r="C251" s="19" t="n">
        <v>0.5024000000000001</v>
      </c>
      <c r="D251" s="19" t="n">
        <v>0.4408</v>
      </c>
      <c r="E251" s="19" t="n">
        <v>0.4067</v>
      </c>
      <c r="F251" s="20" t="n">
        <v>113</v>
      </c>
      <c r="G251" s="20" t="n">
        <v>24</v>
      </c>
      <c r="H251" s="18" t="n">
        <v>4.71</v>
      </c>
      <c r="I251" s="25">
        <f>F251-G251</f>
        <v/>
      </c>
    </row>
    <row r="252">
      <c r="A252" s="16" t="inlineStr">
        <is>
          <t>2025-09-08</t>
        </is>
      </c>
      <c r="B252" s="19" t="n">
        <v>0.5235</v>
      </c>
      <c r="C252" s="19" t="n">
        <v>0.5001</v>
      </c>
      <c r="D252" s="19" t="n">
        <v>0.4439</v>
      </c>
      <c r="E252" s="19" t="n">
        <v>0.4068</v>
      </c>
      <c r="F252" s="20" t="n">
        <v>125</v>
      </c>
      <c r="G252" s="20" t="n">
        <v>23</v>
      </c>
      <c r="H252" s="18" t="n">
        <v>5.43</v>
      </c>
      <c r="I252" s="25">
        <f>F252-G252</f>
        <v/>
      </c>
    </row>
    <row r="253">
      <c r="A253" s="16" t="inlineStr">
        <is>
          <t>2025-09-09</t>
        </is>
      </c>
      <c r="B253" s="19" t="n">
        <v>0.5246</v>
      </c>
      <c r="C253" s="19" t="n">
        <v>0.4986</v>
      </c>
      <c r="D253" s="19" t="n">
        <v>0.4468</v>
      </c>
      <c r="E253" s="19" t="n">
        <v>0.4069</v>
      </c>
      <c r="F253" s="20" t="n">
        <v>112</v>
      </c>
      <c r="G253" s="20" t="n">
        <v>27</v>
      </c>
      <c r="H253" s="18" t="n">
        <v>4.15</v>
      </c>
      <c r="I253" s="25">
        <f>F253-G253</f>
        <v/>
      </c>
    </row>
    <row r="254">
      <c r="A254" s="16" t="inlineStr">
        <is>
          <t>2025-09-10</t>
        </is>
      </c>
      <c r="B254" s="19" t="n">
        <v>0.5326</v>
      </c>
      <c r="C254" s="19" t="n">
        <v>0.4987</v>
      </c>
      <c r="D254" s="19" t="n">
        <v>0.4496</v>
      </c>
      <c r="E254" s="19" t="n">
        <v>0.4071</v>
      </c>
      <c r="F254" s="20" t="n">
        <v>101</v>
      </c>
      <c r="G254" s="20" t="n">
        <v>24</v>
      </c>
      <c r="H254" s="18" t="n">
        <v>4.21</v>
      </c>
      <c r="I254" s="25">
        <f>F254-G254</f>
        <v/>
      </c>
    </row>
    <row r="255">
      <c r="A255" s="16" t="inlineStr">
        <is>
          <t>2025-09-11</t>
        </is>
      </c>
      <c r="B255" s="19" t="n">
        <v>0.545</v>
      </c>
      <c r="C255" s="19" t="n">
        <v>0.499</v>
      </c>
      <c r="D255" s="19" t="n">
        <v>0.4523</v>
      </c>
      <c r="E255" s="19" t="n">
        <v>0.4074</v>
      </c>
      <c r="F255" s="20" t="n">
        <v>89</v>
      </c>
      <c r="G255" s="20" t="n">
        <v>26</v>
      </c>
      <c r="H255" s="18" t="n">
        <v>3.42</v>
      </c>
      <c r="I255" s="25">
        <f>F255-G255</f>
        <v/>
      </c>
    </row>
    <row r="256">
      <c r="A256" s="16" t="inlineStr">
        <is>
          <t>2025-09-12</t>
        </is>
      </c>
      <c r="B256" s="19" t="n">
        <v>0.5594</v>
      </c>
      <c r="C256" s="19" t="n">
        <v>0.5</v>
      </c>
      <c r="D256" s="19" t="n">
        <v>0.4551</v>
      </c>
      <c r="E256" s="19" t="n">
        <v>0.4076</v>
      </c>
      <c r="F256" s="20" t="n">
        <v>91</v>
      </c>
      <c r="G256" s="20" t="n">
        <v>26</v>
      </c>
      <c r="H256" s="18" t="n">
        <v>3.5</v>
      </c>
      <c r="I256" s="25">
        <f>F256-G256</f>
        <v/>
      </c>
    </row>
    <row r="257">
      <c r="A257" s="16" t="inlineStr">
        <is>
          <t>2025-09-15</t>
        </is>
      </c>
      <c r="B257" s="19" t="n">
        <v>0.569</v>
      </c>
      <c r="C257" s="19" t="n">
        <v>0.5014999999999999</v>
      </c>
      <c r="D257" s="19" t="n">
        <v>0.4578</v>
      </c>
      <c r="E257" s="19" t="n">
        <v>0.4079</v>
      </c>
      <c r="F257" s="20" t="n">
        <v>113</v>
      </c>
      <c r="G257" s="20" t="n">
        <v>21</v>
      </c>
      <c r="H257" s="18" t="n">
        <v>5.38</v>
      </c>
      <c r="I257" s="25">
        <f>F257-G257</f>
        <v/>
      </c>
    </row>
    <row r="258">
      <c r="A258" s="16" t="inlineStr">
        <is>
          <t>2025-09-16</t>
        </is>
      </c>
      <c r="B258" s="19" t="n">
        <v>0.5817</v>
      </c>
      <c r="C258" s="19" t="n">
        <v>0.5041</v>
      </c>
      <c r="D258" s="19" t="n">
        <v>0.4606</v>
      </c>
      <c r="E258" s="19" t="n">
        <v>0.408</v>
      </c>
      <c r="F258" s="20" t="n">
        <v>115</v>
      </c>
      <c r="G258" s="20" t="n">
        <v>18</v>
      </c>
      <c r="H258" s="18" t="n">
        <v>6.39</v>
      </c>
      <c r="I258" s="25">
        <f>F258-G258</f>
        <v/>
      </c>
    </row>
    <row r="259">
      <c r="A259" s="16" t="inlineStr">
        <is>
          <t>2025-09-17</t>
        </is>
      </c>
      <c r="B259" s="19" t="n">
        <v>0.5974</v>
      </c>
      <c r="C259" s="19" t="n">
        <v>0.507</v>
      </c>
      <c r="D259" s="19" t="n">
        <v>0.4638</v>
      </c>
      <c r="E259" s="19" t="n">
        <v>0.4083</v>
      </c>
      <c r="F259" s="20" t="n">
        <v>117</v>
      </c>
      <c r="G259" s="20" t="n">
        <v>16</v>
      </c>
      <c r="H259" s="18" t="n">
        <v>7.31</v>
      </c>
      <c r="I259" s="25">
        <f>F259-G259</f>
        <v/>
      </c>
    </row>
    <row r="260">
      <c r="A260" s="16" t="inlineStr">
        <is>
          <t>2025-09-18</t>
        </is>
      </c>
      <c r="B260" s="19" t="n">
        <v>0.6022999999999999</v>
      </c>
      <c r="C260" s="19" t="n">
        <v>0.5101</v>
      </c>
      <c r="D260" s="19" t="n">
        <v>0.467</v>
      </c>
      <c r="E260" s="19" t="n">
        <v>0.4084</v>
      </c>
      <c r="F260" s="20" t="n">
        <v>124</v>
      </c>
      <c r="G260" s="20" t="n">
        <v>19</v>
      </c>
      <c r="H260" s="18" t="n">
        <v>6.53</v>
      </c>
      <c r="I260" s="25">
        <f>F260-G260</f>
        <v/>
      </c>
    </row>
    <row r="261">
      <c r="A261" s="16" t="inlineStr">
        <is>
          <t>2025-09-19</t>
        </is>
      </c>
      <c r="B261" s="19" t="n">
        <v>0.6067</v>
      </c>
      <c r="C261" s="19" t="n">
        <v>0.5138</v>
      </c>
      <c r="D261" s="19" t="n">
        <v>0.4704</v>
      </c>
      <c r="E261" s="19" t="n">
        <v>0.4086</v>
      </c>
      <c r="F261" s="20" t="n">
        <v>125</v>
      </c>
      <c r="G261" s="20" t="n">
        <v>21</v>
      </c>
      <c r="H261" s="18" t="n">
        <v>5.95</v>
      </c>
      <c r="I261" s="25">
        <f>F261-G261</f>
        <v/>
      </c>
    </row>
    <row r="262">
      <c r="A262" s="16" t="inlineStr">
        <is>
          <t>2025-09-22</t>
        </is>
      </c>
      <c r="B262" s="19" t="n">
        <v>0.5979</v>
      </c>
      <c r="C262" s="19" t="n">
        <v>0.5175</v>
      </c>
      <c r="D262" s="19" t="n">
        <v>0.4739</v>
      </c>
      <c r="E262" s="19" t="n">
        <v>0.4085</v>
      </c>
      <c r="F262" s="20" t="n">
        <v>109</v>
      </c>
      <c r="G262" s="20" t="n">
        <v>26</v>
      </c>
      <c r="H262" s="18" t="n">
        <v>4.19</v>
      </c>
      <c r="I262" s="25">
        <f>F262-G262</f>
        <v/>
      </c>
    </row>
    <row r="263">
      <c r="A263" s="16" t="inlineStr">
        <is>
          <t>2025-09-23</t>
        </is>
      </c>
      <c r="B263" s="19" t="n">
        <v>0.5891</v>
      </c>
      <c r="C263" s="19" t="n">
        <v>0.5216</v>
      </c>
      <c r="D263" s="19" t="n">
        <v>0.4774</v>
      </c>
      <c r="E263" s="19" t="n">
        <v>0.4084</v>
      </c>
      <c r="F263" s="20" t="n">
        <v>121</v>
      </c>
      <c r="G263" s="20" t="n">
        <v>31</v>
      </c>
      <c r="H263" s="18" t="n">
        <v>3.9</v>
      </c>
      <c r="I263" s="25">
        <f>F263-G263</f>
        <v/>
      </c>
    </row>
    <row r="264">
      <c r="A264" s="16" t="inlineStr">
        <is>
          <t>2025-09-24</t>
        </is>
      </c>
      <c r="B264" s="19" t="n">
        <v>0.5739</v>
      </c>
      <c r="C264" s="19" t="n">
        <v>0.5255</v>
      </c>
      <c r="D264" s="19" t="n">
        <v>0.4807</v>
      </c>
      <c r="E264" s="19" t="n">
        <v>0.4081</v>
      </c>
      <c r="F264" s="20" t="n">
        <v>109</v>
      </c>
      <c r="G264" s="20" t="n">
        <v>47</v>
      </c>
      <c r="H264" s="18" t="n">
        <v>2.32</v>
      </c>
      <c r="I264" s="25">
        <f>F264-G264</f>
        <v/>
      </c>
    </row>
    <row r="265">
      <c r="A265" s="16" t="inlineStr">
        <is>
          <t>2025-09-25</t>
        </is>
      </c>
      <c r="B265" s="19" t="n">
        <v>0.5576</v>
      </c>
      <c r="C265" s="19" t="n">
        <v>0.5286999999999999</v>
      </c>
      <c r="D265" s="19" t="n">
        <v>0.484</v>
      </c>
      <c r="E265" s="19" t="n">
        <v>0.4077</v>
      </c>
      <c r="F265" s="20" t="n">
        <v>89</v>
      </c>
      <c r="G265" s="20" t="n">
        <v>56</v>
      </c>
      <c r="H265" s="18" t="n">
        <v>1.59</v>
      </c>
      <c r="I265" s="25">
        <f>F265-G265</f>
        <v/>
      </c>
    </row>
    <row r="266">
      <c r="A266" s="16" t="inlineStr">
        <is>
          <t>2025-09-26</t>
        </is>
      </c>
      <c r="B266" s="19" t="n">
        <v>0.5242</v>
      </c>
      <c r="C266" s="19" t="n">
        <v>0.5304</v>
      </c>
      <c r="D266" s="19" t="n">
        <v>0.4869</v>
      </c>
      <c r="E266" s="19" t="n">
        <v>0.407</v>
      </c>
      <c r="F266" s="20" t="n">
        <v>65</v>
      </c>
      <c r="G266" s="20" t="n">
        <v>82</v>
      </c>
      <c r="H266" s="18" t="n">
        <v>0.79</v>
      </c>
      <c r="I266" s="25">
        <f>F266-G266</f>
        <v/>
      </c>
    </row>
    <row r="267">
      <c r="A267" s="16" t="inlineStr">
        <is>
          <t>2025-09-29</t>
        </is>
      </c>
      <c r="B267" s="19" t="n">
        <v>0.5074000000000001</v>
      </c>
      <c r="C267" s="19" t="n">
        <v>0.5317000000000001</v>
      </c>
      <c r="D267" s="19" t="n">
        <v>0.4898</v>
      </c>
      <c r="E267" s="19" t="n">
        <v>0.4063000000000001</v>
      </c>
      <c r="F267" s="20" t="n">
        <v>82</v>
      </c>
      <c r="G267" s="20" t="n">
        <v>87</v>
      </c>
      <c r="H267" s="18" t="n">
        <v>0.9399999999999999</v>
      </c>
      <c r="I267" s="25">
        <f>F267-G267</f>
        <v/>
      </c>
    </row>
    <row r="268">
      <c r="A268" s="16" t="inlineStr">
        <is>
          <t>2025-09-30</t>
        </is>
      </c>
      <c r="B268" s="19" t="n">
        <v>0.4893</v>
      </c>
      <c r="C268" s="19" t="n">
        <v>0.5321</v>
      </c>
      <c r="D268" s="19" t="n">
        <v>0.4926</v>
      </c>
      <c r="E268" s="19" t="n">
        <v>0.4054</v>
      </c>
      <c r="F268" s="20" t="n">
        <v>85</v>
      </c>
      <c r="G268" s="20" t="n">
        <v>103</v>
      </c>
      <c r="H268" s="18" t="n">
        <v>0.83</v>
      </c>
      <c r="I268" s="25">
        <f>F268-G268</f>
        <v/>
      </c>
    </row>
    <row r="269">
      <c r="A269" s="16" t="inlineStr">
        <is>
          <t>2025-10-01</t>
        </is>
      </c>
      <c r="B269" s="19" t="n">
        <v>0.5168</v>
      </c>
      <c r="C269" s="19" t="n">
        <v>0.5327000000000001</v>
      </c>
      <c r="D269" s="19" t="n">
        <v>0.4952</v>
      </c>
      <c r="E269" s="19" t="n">
        <v>0.4046</v>
      </c>
      <c r="F269" s="20" t="n">
        <v>81</v>
      </c>
      <c r="G269" s="20" t="n">
        <v>71</v>
      </c>
      <c r="H269" s="18" t="n">
        <v>1.14</v>
      </c>
      <c r="I269" s="25">
        <f>F269-G269</f>
        <v/>
      </c>
    </row>
    <row r="270">
      <c r="A270" s="16" t="inlineStr">
        <is>
          <t>2025-10-03</t>
        </is>
      </c>
      <c r="B270" s="19" t="n">
        <v>0.5338000000000001</v>
      </c>
      <c r="C270" s="19" t="n">
        <v>0.5336</v>
      </c>
      <c r="D270" s="19" t="n">
        <v>0.4979</v>
      </c>
      <c r="E270" s="19" t="n">
        <v>0.4041</v>
      </c>
      <c r="F270" s="20" t="n">
        <v>100</v>
      </c>
      <c r="G270" s="20" t="n">
        <v>48</v>
      </c>
      <c r="H270" s="18" t="n">
        <v>2.08</v>
      </c>
      <c r="I270" s="25">
        <f>F270-G270</f>
        <v/>
      </c>
    </row>
    <row r="271">
      <c r="A271" s="16" t="inlineStr">
        <is>
          <t>2025-10-06</t>
        </is>
      </c>
      <c r="B271" s="19" t="n">
        <v>0.5437</v>
      </c>
      <c r="C271" s="19" t="n">
        <v>0.5346</v>
      </c>
      <c r="D271" s="19" t="n">
        <v>0.5003</v>
      </c>
      <c r="E271" s="19" t="n">
        <v>0.4035</v>
      </c>
      <c r="F271" s="20" t="n">
        <v>96</v>
      </c>
      <c r="G271" s="20" t="n">
        <v>56</v>
      </c>
      <c r="H271" s="18" t="n">
        <v>1.71</v>
      </c>
      <c r="I271" s="25">
        <f>F271-G271</f>
        <v/>
      </c>
    </row>
    <row r="272">
      <c r="A272" s="16" t="inlineStr">
        <is>
          <t>2025-10-07</t>
        </is>
      </c>
      <c r="B272" s="19" t="n">
        <v>0.5554</v>
      </c>
      <c r="C272" s="19" t="n">
        <v>0.536</v>
      </c>
      <c r="D272" s="19" t="n">
        <v>0.5025999999999999</v>
      </c>
      <c r="E272" s="19" t="n">
        <v>0.4031</v>
      </c>
      <c r="F272" s="20" t="n">
        <v>97</v>
      </c>
      <c r="G272" s="20" t="n">
        <v>60</v>
      </c>
      <c r="H272" s="18" t="n">
        <v>1.62</v>
      </c>
      <c r="I272" s="25">
        <f>F272-G272</f>
        <v/>
      </c>
    </row>
    <row r="273">
      <c r="A273" s="16" t="inlineStr">
        <is>
          <t>2025-10-08</t>
        </is>
      </c>
      <c r="B273" s="19" t="n">
        <v>0.5483</v>
      </c>
      <c r="C273" s="19" t="n">
        <v>0.5372</v>
      </c>
      <c r="D273" s="19" t="n">
        <v>0.5047</v>
      </c>
      <c r="E273" s="19" t="n">
        <v>0.4027000000000001</v>
      </c>
      <c r="F273" s="20" t="n">
        <v>98</v>
      </c>
      <c r="G273" s="20" t="n">
        <v>76</v>
      </c>
      <c r="H273" s="18" t="n">
        <v>1.29</v>
      </c>
      <c r="I273" s="25">
        <f>F273-G273</f>
        <v/>
      </c>
    </row>
    <row r="274">
      <c r="A274" s="16" t="inlineStr">
        <is>
          <t>2025-10-09</t>
        </is>
      </c>
      <c r="B274" s="19" t="n">
        <v>0.5479999999999999</v>
      </c>
      <c r="C274" s="19" t="n">
        <v>0.5389</v>
      </c>
      <c r="D274" s="19" t="n">
        <v>0.5065</v>
      </c>
      <c r="E274" s="19" t="n">
        <v>0.4024</v>
      </c>
      <c r="F274" s="20" t="n">
        <v>106</v>
      </c>
      <c r="G274" s="20" t="n">
        <v>77</v>
      </c>
      <c r="H274" s="18" t="n">
        <v>1.38</v>
      </c>
      <c r="I274" s="25">
        <f>F274-G274</f>
        <v/>
      </c>
    </row>
    <row r="275">
      <c r="A275" s="16" t="inlineStr">
        <is>
          <t>2025-10-10</t>
        </is>
      </c>
      <c r="B275" s="19" t="n">
        <v>0.5532</v>
      </c>
      <c r="C275" s="19" t="n">
        <v>0.5415</v>
      </c>
      <c r="D275" s="19" t="n">
        <v>0.5084000000000001</v>
      </c>
      <c r="E275" s="19" t="n">
        <v>0.4023</v>
      </c>
      <c r="F275" s="20" t="n">
        <v>92</v>
      </c>
      <c r="G275" s="20" t="n">
        <v>61</v>
      </c>
      <c r="H275" s="18" t="n">
        <v>1.51</v>
      </c>
      <c r="I275" s="25">
        <f>F275-G275</f>
        <v/>
      </c>
    </row>
    <row r="276">
      <c r="A276" s="16" t="inlineStr">
        <is>
          <t>2025-10-13</t>
        </is>
      </c>
      <c r="B276" s="19" t="n">
        <v>0.5468</v>
      </c>
      <c r="C276" s="19" t="n">
        <v>0.5446</v>
      </c>
      <c r="D276" s="19" t="n">
        <v>0.5101</v>
      </c>
      <c r="E276" s="19" t="n">
        <v>0.4022</v>
      </c>
      <c r="F276" s="20" t="n">
        <v>89</v>
      </c>
      <c r="G276" s="20" t="n">
        <v>63</v>
      </c>
      <c r="H276" s="18" t="n">
        <v>1.41</v>
      </c>
      <c r="I276" s="25">
        <f>F276-G276</f>
        <v/>
      </c>
    </row>
    <row r="277">
      <c r="A277" s="16" t="inlineStr">
        <is>
          <t>2025-10-14</t>
        </is>
      </c>
      <c r="B277" s="19" t="n">
        <v>0.5282</v>
      </c>
      <c r="C277" s="19" t="n">
        <v>0.5465</v>
      </c>
      <c r="D277" s="19" t="n">
        <v>0.5117</v>
      </c>
      <c r="E277" s="19" t="n">
        <v>0.4021</v>
      </c>
      <c r="F277" s="20" t="n">
        <v>74</v>
      </c>
      <c r="G277" s="20" t="n">
        <v>91</v>
      </c>
      <c r="H277" s="18" t="n">
        <v>0.8100000000000001</v>
      </c>
      <c r="I277" s="25">
        <f>F277-G277</f>
        <v/>
      </c>
    </row>
    <row r="278">
      <c r="A278" s="16" t="inlineStr">
        <is>
          <t>2025-10-15</t>
        </is>
      </c>
      <c r="B278" s="19" t="n">
        <v>0.5257000000000001</v>
      </c>
      <c r="C278" s="19" t="n">
        <v>0.5476</v>
      </c>
      <c r="D278" s="19" t="n">
        <v>0.5131</v>
      </c>
      <c r="E278" s="19" t="n">
        <v>0.402</v>
      </c>
      <c r="F278" s="20" t="n">
        <v>93</v>
      </c>
      <c r="G278" s="20" t="n">
        <v>97</v>
      </c>
      <c r="H278" s="18" t="n">
        <v>0.96</v>
      </c>
      <c r="I278" s="25">
        <f>F278-G278</f>
        <v/>
      </c>
    </row>
    <row r="279">
      <c r="A279" s="16" t="inlineStr">
        <is>
          <t>2025-10-16</t>
        </is>
      </c>
      <c r="B279" s="19" t="n">
        <v>0.5322</v>
      </c>
      <c r="C279" s="19" t="n">
        <v>0.5481</v>
      </c>
      <c r="D279" s="19" t="n">
        <v>0.5144</v>
      </c>
      <c r="E279" s="19" t="n">
        <v>0.402</v>
      </c>
      <c r="F279" s="20" t="n">
        <v>104</v>
      </c>
      <c r="G279" s="20" t="n">
        <v>78</v>
      </c>
      <c r="H279" s="18" t="n">
        <v>1.33</v>
      </c>
      <c r="I279" s="25">
        <f>F279-G279</f>
        <v/>
      </c>
    </row>
    <row r="280">
      <c r="A280" s="16" t="inlineStr">
        <is>
          <t>2025-10-17</t>
        </is>
      </c>
      <c r="B280" s="19" t="n">
        <v>0.5318999999999999</v>
      </c>
      <c r="C280" s="19" t="n">
        <v>0.5487</v>
      </c>
      <c r="D280" s="19" t="n">
        <v>0.5156000000000001</v>
      </c>
      <c r="E280" s="19" t="n">
        <v>0.402</v>
      </c>
      <c r="F280" s="20" t="n">
        <v>86</v>
      </c>
      <c r="G280" s="20" t="n">
        <v>80</v>
      </c>
      <c r="H280" s="18" t="n">
        <v>1.08</v>
      </c>
      <c r="I280" s="25">
        <f>F280-G280</f>
        <v/>
      </c>
    </row>
    <row r="281">
      <c r="A281" s="16" t="inlineStr">
        <is>
          <t>2025-10-20</t>
        </is>
      </c>
      <c r="B281" s="19" t="n">
        <v>0.5379</v>
      </c>
      <c r="C281" s="19" t="n">
        <v>0.5494</v>
      </c>
      <c r="D281" s="19" t="n">
        <v>0.5169</v>
      </c>
      <c r="E281" s="19" t="n">
        <v>0.402</v>
      </c>
      <c r="F281" s="20" t="n">
        <v>116</v>
      </c>
      <c r="G281" s="20" t="n">
        <v>85</v>
      </c>
      <c r="H281" s="18" t="n">
        <v>1.36</v>
      </c>
      <c r="I281" s="25">
        <f>F281-G281</f>
        <v/>
      </c>
    </row>
    <row r="282">
      <c r="A282" s="16" t="inlineStr">
        <is>
          <t>2025-10-21</t>
        </is>
      </c>
      <c r="B282" s="19" t="n">
        <v>0.5466</v>
      </c>
      <c r="C282" s="19" t="n">
        <v>0.5502</v>
      </c>
      <c r="D282" s="19" t="n">
        <v>0.5182</v>
      </c>
      <c r="E282" s="19" t="n">
        <v>0.4021</v>
      </c>
      <c r="F282" s="20" t="n">
        <v>134</v>
      </c>
      <c r="G282" s="20" t="n">
        <v>47</v>
      </c>
      <c r="H282" s="18" t="n">
        <v>2.85</v>
      </c>
      <c r="I282" s="25">
        <f>F282-G282</f>
        <v/>
      </c>
    </row>
    <row r="283">
      <c r="A283" s="16" t="inlineStr">
        <is>
          <t>2025-10-23</t>
        </is>
      </c>
      <c r="B283" s="19" t="n">
        <v>0.5559000000000001</v>
      </c>
      <c r="C283" s="19" t="n">
        <v>0.5513</v>
      </c>
      <c r="D283" s="19" t="n">
        <v>0.5196000000000001</v>
      </c>
      <c r="E283" s="19" t="n">
        <v>0.402</v>
      </c>
      <c r="F283" s="20" t="n">
        <v>107</v>
      </c>
      <c r="G283" s="20" t="n">
        <v>49</v>
      </c>
      <c r="H283" s="18" t="n">
        <v>2.18</v>
      </c>
      <c r="I283" s="25">
        <f>F283-G283</f>
        <v/>
      </c>
    </row>
    <row r="284">
      <c r="A284" s="16" t="inlineStr">
        <is>
          <t>2025-10-24</t>
        </is>
      </c>
      <c r="B284" s="19" t="n">
        <v>0.5553</v>
      </c>
      <c r="C284" s="19" t="n">
        <v>0.552</v>
      </c>
      <c r="D284" s="19" t="n">
        <v>0.521</v>
      </c>
      <c r="E284" s="19" t="n">
        <v>0.402</v>
      </c>
      <c r="F284" s="20" t="n">
        <v>100</v>
      </c>
      <c r="G284" s="20" t="n">
        <v>49</v>
      </c>
      <c r="H284" s="18" t="n">
        <v>2.04</v>
      </c>
      <c r="I284" s="25">
        <f>F284-G284</f>
        <v/>
      </c>
    </row>
    <row r="285">
      <c r="A285" s="16" t="inlineStr">
        <is>
          <t>2025-10-27</t>
        </is>
      </c>
      <c r="B285" s="19" t="n">
        <v>0.5619</v>
      </c>
      <c r="C285" s="19" t="n">
        <v>0.5526</v>
      </c>
      <c r="D285" s="19" t="n">
        <v>0.5224</v>
      </c>
      <c r="E285" s="19" t="n">
        <v>0.4021</v>
      </c>
      <c r="F285" s="20" t="n">
        <v>124</v>
      </c>
      <c r="G285" s="20" t="n">
        <v>52</v>
      </c>
      <c r="H285" s="18" t="n">
        <v>2.38</v>
      </c>
      <c r="I285" s="25">
        <f>F285-G285</f>
        <v/>
      </c>
    </row>
    <row r="286">
      <c r="A286" s="16" t="inlineStr">
        <is>
          <t>2025-10-28</t>
        </is>
      </c>
      <c r="B286" s="19" t="n">
        <v>0.5637</v>
      </c>
      <c r="C286" s="19" t="n">
        <v>0.5527000000000001</v>
      </c>
      <c r="D286" s="19" t="n">
        <v>0.5238</v>
      </c>
      <c r="E286" s="19" t="n">
        <v>0.4023</v>
      </c>
      <c r="F286" s="20" t="n">
        <v>132</v>
      </c>
      <c r="G286" s="20" t="n">
        <v>65</v>
      </c>
      <c r="H286" s="18" t="n">
        <v>2.03</v>
      </c>
      <c r="I286" s="25">
        <f>F286-G286</f>
        <v/>
      </c>
    </row>
    <row r="287">
      <c r="A287" s="16" t="inlineStr">
        <is>
          <t>2025-10-29</t>
        </is>
      </c>
      <c r="B287" s="19" t="n">
        <v>0.5763</v>
      </c>
      <c r="C287" s="19" t="n">
        <v>0.5529999999999999</v>
      </c>
      <c r="D287" s="19" t="n">
        <v>0.5251</v>
      </c>
      <c r="E287" s="19" t="n">
        <v>0.4026</v>
      </c>
      <c r="F287" s="20" t="n">
        <v>126</v>
      </c>
      <c r="G287" s="20" t="n">
        <v>61</v>
      </c>
      <c r="H287" s="18" t="n">
        <v>2.07</v>
      </c>
      <c r="I287" s="25">
        <f>F287-G287</f>
        <v/>
      </c>
    </row>
    <row r="288">
      <c r="A288" s="16" t="inlineStr">
        <is>
          <t>2025-10-30</t>
        </is>
      </c>
      <c r="B288" s="19" t="n">
        <v>0.5784</v>
      </c>
      <c r="C288" s="19" t="n">
        <v>0.5528999999999999</v>
      </c>
      <c r="D288" s="19" t="n">
        <v>0.5264</v>
      </c>
      <c r="E288" s="19" t="n">
        <v>0.403</v>
      </c>
      <c r="F288" s="20" t="n">
        <v>126</v>
      </c>
      <c r="G288" s="20" t="n">
        <v>54</v>
      </c>
      <c r="H288" s="18" t="n">
        <v>2.33</v>
      </c>
      <c r="I288" s="25">
        <f>F288-G288</f>
        <v/>
      </c>
    </row>
    <row r="289">
      <c r="A289" s="16" t="inlineStr">
        <is>
          <t>2025-10-31</t>
        </is>
      </c>
      <c r="B289" s="19" t="n">
        <v>0.5752</v>
      </c>
      <c r="C289" s="19" t="n">
        <v>0.5521</v>
      </c>
      <c r="D289" s="19" t="n">
        <v>0.5274</v>
      </c>
      <c r="E289" s="19" t="n">
        <v>0.4036</v>
      </c>
      <c r="F289" s="20" t="n">
        <v>114</v>
      </c>
      <c r="G289" s="20" t="n">
        <v>70</v>
      </c>
      <c r="H289" s="18" t="n">
        <v>1.63</v>
      </c>
      <c r="I289" s="25">
        <f>F289-G289</f>
        <v/>
      </c>
    </row>
    <row r="290">
      <c r="A290" s="16" t="inlineStr">
        <is>
          <t>2025-11-03</t>
        </is>
      </c>
      <c r="B290" s="19" t="n">
        <v>0.5816</v>
      </c>
      <c r="C290" s="19" t="n">
        <v>0.5514</v>
      </c>
      <c r="D290" s="19" t="n">
        <v>0.5282</v>
      </c>
      <c r="E290" s="19" t="n">
        <v>0.4044</v>
      </c>
      <c r="F290" s="20" t="n">
        <v>130</v>
      </c>
      <c r="G290" s="20" t="n">
        <v>69</v>
      </c>
      <c r="H290" s="18" t="n">
        <v>1.88</v>
      </c>
      <c r="I290" s="25">
        <f>F290-G290</f>
        <v/>
      </c>
    </row>
    <row r="291">
      <c r="A291" s="16" t="inlineStr">
        <is>
          <t>2025-11-04</t>
        </is>
      </c>
      <c r="B291" s="19" t="n">
        <v>0.5699000000000001</v>
      </c>
      <c r="C291" s="19" t="n">
        <v>0.5502</v>
      </c>
      <c r="D291" s="19" t="n">
        <v>0.5288</v>
      </c>
      <c r="E291" s="19" t="n">
        <v>0.4052</v>
      </c>
      <c r="F291" s="20" t="n">
        <v>122</v>
      </c>
      <c r="G291" s="20" t="n">
        <v>69</v>
      </c>
      <c r="H291" s="18" t="n">
        <v>1.77</v>
      </c>
      <c r="I291" s="25">
        <f>F291-G291</f>
        <v/>
      </c>
    </row>
    <row r="292">
      <c r="A292" s="16" t="inlineStr">
        <is>
          <t>2025-11-06</t>
        </is>
      </c>
      <c r="B292" s="19" t="n">
        <v>0.5364</v>
      </c>
      <c r="C292" s="19" t="n">
        <v>0.5481</v>
      </c>
      <c r="D292" s="19" t="n">
        <v>0.5293</v>
      </c>
      <c r="E292" s="19" t="n">
        <v>0.406</v>
      </c>
      <c r="F292" s="20" t="n">
        <v>100</v>
      </c>
      <c r="G292" s="20" t="n">
        <v>108</v>
      </c>
      <c r="H292" s="18" t="n">
        <v>0.93</v>
      </c>
      <c r="I292" s="25">
        <f>F292-G292</f>
        <v/>
      </c>
    </row>
    <row r="293">
      <c r="A293" s="16" t="inlineStr">
        <is>
          <t>2025-11-07</t>
        </is>
      </c>
      <c r="B293" s="19" t="n">
        <v>0.5271</v>
      </c>
      <c r="C293" s="19" t="n">
        <v>0.5461</v>
      </c>
      <c r="D293" s="19" t="n">
        <v>0.5296999999999999</v>
      </c>
      <c r="E293" s="19" t="n">
        <v>0.4067</v>
      </c>
      <c r="F293" s="20" t="n">
        <v>114</v>
      </c>
      <c r="G293" s="20" t="n">
        <v>124</v>
      </c>
      <c r="H293" s="18" t="n">
        <v>0.92</v>
      </c>
      <c r="I293" s="25">
        <f>F293-G293</f>
        <v/>
      </c>
    </row>
    <row r="294">
      <c r="A294" s="16" t="inlineStr">
        <is>
          <t>2025-11-10</t>
        </is>
      </c>
      <c r="B294" s="19" t="n">
        <v>0.5182</v>
      </c>
      <c r="C294" s="19" t="n">
        <v>0.5442</v>
      </c>
      <c r="D294" s="19" t="n">
        <v>0.5301</v>
      </c>
      <c r="E294" s="19" t="n">
        <v>0.4073</v>
      </c>
      <c r="F294" s="20" t="n">
        <v>116</v>
      </c>
      <c r="G294" s="20" t="n">
        <v>144</v>
      </c>
      <c r="H294" s="18" t="n">
        <v>0.8100000000000001</v>
      </c>
      <c r="I294" s="25">
        <f>F294-G294</f>
        <v/>
      </c>
    </row>
    <row r="295">
      <c r="A295" s="16" t="inlineStr">
        <is>
          <t>2025-11-11</t>
        </is>
      </c>
      <c r="B295" s="19" t="n">
        <v>0.5035000000000001</v>
      </c>
      <c r="C295" s="19" t="n">
        <v>0.5424</v>
      </c>
      <c r="D295" s="19" t="n">
        <v>0.5304</v>
      </c>
      <c r="E295" s="19" t="n">
        <v>0.4077</v>
      </c>
      <c r="F295" s="20" t="n">
        <v>118</v>
      </c>
      <c r="G295" s="20" t="n">
        <v>120</v>
      </c>
      <c r="H295" s="18" t="n">
        <v>0.98</v>
      </c>
      <c r="I295" s="25">
        <f>F295-G295</f>
        <v/>
      </c>
    </row>
    <row r="296">
      <c r="A296" s="16" t="inlineStr">
        <is>
          <t>2025-11-12</t>
        </is>
      </c>
      <c r="B296" s="19" t="n">
        <v>0.5175999999999999</v>
      </c>
      <c r="C296" s="19" t="n">
        <v>0.5422</v>
      </c>
      <c r="D296" s="19" t="n">
        <v>0.531</v>
      </c>
      <c r="E296" s="19" t="n">
        <v>0.4083</v>
      </c>
      <c r="F296" s="20" t="n">
        <v>119</v>
      </c>
      <c r="G296" s="20" t="n">
        <v>104</v>
      </c>
      <c r="H296" s="18" t="n">
        <v>1.14</v>
      </c>
      <c r="I296" s="25">
        <f>F296-G296</f>
        <v/>
      </c>
    </row>
    <row r="297">
      <c r="A297" s="16" t="inlineStr">
        <is>
          <t>2025-11-13</t>
        </is>
      </c>
      <c r="B297" s="19" t="n">
        <v>0.5206000000000001</v>
      </c>
      <c r="C297" s="19" t="n">
        <v>0.5426</v>
      </c>
      <c r="D297" s="19" t="n">
        <v>0.5318000000000001</v>
      </c>
      <c r="E297" s="19" t="n">
        <v>0.409</v>
      </c>
      <c r="F297" s="20" t="n">
        <v>125</v>
      </c>
      <c r="G297" s="20" t="n">
        <v>106</v>
      </c>
      <c r="H297" s="18" t="n">
        <v>1.18</v>
      </c>
      <c r="I297" s="25">
        <f>F297-G297</f>
        <v/>
      </c>
    </row>
    <row r="298">
      <c r="A298" s="16" t="inlineStr">
        <is>
          <t>2025-11-14</t>
        </is>
      </c>
      <c r="B298" s="19" t="n">
        <v>0.5138</v>
      </c>
      <c r="C298" s="19" t="n">
        <v>0.5435</v>
      </c>
      <c r="D298" s="19" t="n">
        <v>0.5327000000000001</v>
      </c>
      <c r="E298" s="19" t="n">
        <v>0.4097</v>
      </c>
      <c r="F298" s="20" t="n">
        <v>115</v>
      </c>
      <c r="G298" s="20" t="n">
        <v>103</v>
      </c>
      <c r="H298" s="18" t="n">
        <v>1.12</v>
      </c>
      <c r="I298" s="25">
        <f>F298-G298</f>
        <v/>
      </c>
    </row>
    <row r="299">
      <c r="A299" s="16" t="inlineStr">
        <is>
          <t>2025-11-17</t>
        </is>
      </c>
      <c r="B299" s="19" t="n">
        <v>0.5257000000000001</v>
      </c>
      <c r="C299" s="19" t="n">
        <v>0.5438000000000001</v>
      </c>
      <c r="D299" s="19" t="n">
        <v>0.5337</v>
      </c>
      <c r="E299" s="19" t="n">
        <v>0.4105</v>
      </c>
      <c r="F299" s="20" t="n">
        <v>141</v>
      </c>
      <c r="G299" s="20" t="n">
        <v>115</v>
      </c>
      <c r="H299" s="18" t="n">
        <v>1.23</v>
      </c>
      <c r="I299" s="25">
        <f>F299-G299</f>
        <v/>
      </c>
    </row>
    <row r="300">
      <c r="A300" s="16" t="inlineStr">
        <is>
          <t>2025-11-18</t>
        </is>
      </c>
      <c r="B300" s="19" t="n">
        <v>0.5236</v>
      </c>
      <c r="C300" s="19" t="n">
        <v>0.5434</v>
      </c>
      <c r="D300" s="19" t="n">
        <v>0.5345</v>
      </c>
      <c r="E300" s="19" t="n">
        <v>0.4115</v>
      </c>
      <c r="F300" s="20" t="n">
        <v>131</v>
      </c>
      <c r="G300" s="20" t="n">
        <v>133</v>
      </c>
      <c r="H300" s="18" t="n">
        <v>0.98</v>
      </c>
      <c r="I300" s="25">
        <f>F300-G300</f>
        <v/>
      </c>
    </row>
    <row r="301">
      <c r="A301" s="16" t="inlineStr">
        <is>
          <t>2025-11-19</t>
        </is>
      </c>
      <c r="B301" s="19" t="n">
        <v>0.5092</v>
      </c>
      <c r="C301" s="19" t="n">
        <v>0.5423</v>
      </c>
      <c r="D301" s="19" t="n">
        <v>0.5347999999999999</v>
      </c>
      <c r="E301" s="19" t="n">
        <v>0.4125</v>
      </c>
      <c r="F301" s="20" t="n">
        <v>117</v>
      </c>
      <c r="G301" s="20" t="n">
        <v>148</v>
      </c>
      <c r="H301" s="18" t="n">
        <v>0.79</v>
      </c>
      <c r="I301" s="25">
        <f>F301-G301</f>
        <v/>
      </c>
    </row>
    <row r="302">
      <c r="A302" s="16" t="inlineStr">
        <is>
          <t>2025-11-20</t>
        </is>
      </c>
      <c r="B302" s="19" t="n">
        <v>0.5024000000000001</v>
      </c>
      <c r="C302" s="19" t="n">
        <v>0.5405</v>
      </c>
      <c r="D302" s="19" t="n">
        <v>0.535</v>
      </c>
      <c r="E302" s="19" t="n">
        <v>0.4135</v>
      </c>
      <c r="F302" s="20" t="n">
        <v>105</v>
      </c>
      <c r="G302" s="20" t="n">
        <v>148</v>
      </c>
      <c r="H302" s="18" t="n">
        <v>0.71</v>
      </c>
      <c r="I302" s="25">
        <f>F302-G302</f>
        <v/>
      </c>
    </row>
    <row r="303">
      <c r="A303" s="16" t="inlineStr">
        <is>
          <t>2025-11-21</t>
        </is>
      </c>
      <c r="B303" s="19" t="n">
        <v>0.4764</v>
      </c>
      <c r="C303" s="19" t="n">
        <v>0.5381</v>
      </c>
      <c r="D303" s="19" t="n">
        <v>0.5347</v>
      </c>
      <c r="E303" s="19" t="n">
        <v>0.4144</v>
      </c>
      <c r="F303" s="20" t="n">
        <v>89</v>
      </c>
      <c r="G303" s="20" t="n">
        <v>168</v>
      </c>
      <c r="H303" s="18" t="n">
        <v>0.53</v>
      </c>
      <c r="I303" s="25">
        <f>F303-G303</f>
        <v/>
      </c>
    </row>
    <row r="304">
      <c r="A304" s="16" t="inlineStr">
        <is>
          <t>2025-11-24</t>
        </is>
      </c>
      <c r="B304" s="19" t="n">
        <v>0.4543</v>
      </c>
      <c r="C304" s="19" t="n">
        <v>0.535</v>
      </c>
      <c r="D304" s="19" t="n">
        <v>0.5341</v>
      </c>
      <c r="E304" s="19" t="n">
        <v>0.4151</v>
      </c>
      <c r="F304" s="20" t="n">
        <v>81</v>
      </c>
      <c r="G304" s="20" t="n">
        <v>214</v>
      </c>
      <c r="H304" s="18" t="n">
        <v>0.38</v>
      </c>
      <c r="I304" s="25">
        <f>F304-G304</f>
        <v/>
      </c>
    </row>
    <row r="305">
      <c r="A305" s="16" t="inlineStr">
        <is>
          <t>2025-11-25</t>
        </is>
      </c>
      <c r="B305" s="19" t="n">
        <v>0.4448</v>
      </c>
      <c r="C305" s="19" t="n">
        <v>0.5314</v>
      </c>
      <c r="D305" s="19" t="n">
        <v>0.5333</v>
      </c>
      <c r="E305" s="19" t="n">
        <v>0.4157</v>
      </c>
      <c r="F305" s="20" t="n">
        <v>64</v>
      </c>
      <c r="G305" s="20" t="n">
        <v>192</v>
      </c>
      <c r="H305" s="18" t="n">
        <v>0.33</v>
      </c>
      <c r="I305" s="25">
        <f>F305-G305</f>
        <v/>
      </c>
    </row>
    <row r="306">
      <c r="A306" s="16" t="inlineStr">
        <is>
          <t>2025-11-26</t>
        </is>
      </c>
      <c r="B306" s="19" t="n">
        <v>0.4545</v>
      </c>
      <c r="C306" s="19" t="n">
        <v>0.5283</v>
      </c>
      <c r="D306" s="19" t="n">
        <v>0.5326</v>
      </c>
      <c r="E306" s="19" t="n">
        <v>0.4163</v>
      </c>
      <c r="F306" s="20" t="n">
        <v>92</v>
      </c>
      <c r="G306" s="20" t="n">
        <v>127</v>
      </c>
      <c r="H306" s="18" t="n">
        <v>0.72</v>
      </c>
      <c r="I306" s="25">
        <f>F306-G306</f>
        <v/>
      </c>
    </row>
    <row r="307">
      <c r="A307" s="16" t="inlineStr">
        <is>
          <t>2025-11-27</t>
        </is>
      </c>
      <c r="B307" s="19" t="n">
        <v>0.4565</v>
      </c>
      <c r="C307" s="19" t="n">
        <v>0.5259</v>
      </c>
      <c r="D307" s="19" t="n">
        <v>0.5318000000000001</v>
      </c>
      <c r="E307" s="19" t="n">
        <v>0.4169</v>
      </c>
      <c r="F307" s="20" t="n">
        <v>88</v>
      </c>
      <c r="G307" s="20" t="n">
        <v>127</v>
      </c>
      <c r="H307" s="18" t="n">
        <v>0.6899999999999999</v>
      </c>
      <c r="I307" s="25">
        <f>F307-G307</f>
        <v/>
      </c>
    </row>
    <row r="308">
      <c r="A308" s="16" t="inlineStr">
        <is>
          <t>2025-11-28</t>
        </is>
      </c>
      <c r="B308" s="19" t="n">
        <v>0.4603</v>
      </c>
      <c r="C308" s="19" t="n">
        <v>0.5236999999999999</v>
      </c>
      <c r="D308" s="19" t="n">
        <v>0.5309</v>
      </c>
      <c r="E308" s="19" t="n">
        <v>0.4175</v>
      </c>
      <c r="F308" s="20" t="n">
        <v>85</v>
      </c>
      <c r="G308" s="20" t="n">
        <v>128</v>
      </c>
      <c r="H308" s="18" t="n">
        <v>0.66</v>
      </c>
      <c r="I308" s="25">
        <f>F308-G308</f>
        <v/>
      </c>
    </row>
    <row r="309">
      <c r="A309" s="16" t="inlineStr">
        <is>
          <t>2025-12-01</t>
        </is>
      </c>
      <c r="B309" s="19" t="n">
        <v>0.4603</v>
      </c>
      <c r="C309" s="19" t="n">
        <v>0.5213</v>
      </c>
      <c r="D309" s="19" t="n">
        <v>0.5301</v>
      </c>
      <c r="E309" s="19" t="n">
        <v>0.4181</v>
      </c>
      <c r="F309" s="20" t="n">
        <v>105</v>
      </c>
      <c r="G309" s="20" t="n">
        <v>134</v>
      </c>
      <c r="H309" s="18" t="n">
        <v>0.78</v>
      </c>
      <c r="I309" s="25">
        <f>F309-G309</f>
        <v/>
      </c>
    </row>
    <row r="310">
      <c r="A310" s="16" t="inlineStr">
        <is>
          <t>2025-12-02</t>
        </is>
      </c>
      <c r="B310" s="19" t="n">
        <v>0.4582</v>
      </c>
      <c r="C310" s="19" t="n">
        <v>0.5189</v>
      </c>
      <c r="D310" s="19" t="n">
        <v>0.5292</v>
      </c>
      <c r="E310" s="19" t="n">
        <v>0.4186</v>
      </c>
      <c r="F310" s="20" t="n">
        <v>86</v>
      </c>
      <c r="G310" s="20" t="n">
        <v>146</v>
      </c>
      <c r="H310" s="18" t="n">
        <v>0.59</v>
      </c>
      <c r="I310" s="25">
        <f>F310-G310</f>
        <v/>
      </c>
    </row>
    <row r="311">
      <c r="A311" s="16" t="inlineStr">
        <is>
          <t>2025-12-03</t>
        </is>
      </c>
      <c r="B311" s="19" t="n">
        <v>0.4474</v>
      </c>
      <c r="C311" s="19" t="n">
        <v>0.5159</v>
      </c>
      <c r="D311" s="19" t="n">
        <v>0.5282</v>
      </c>
      <c r="E311" s="19" t="n">
        <v>0.4193</v>
      </c>
      <c r="F311" s="20" t="n">
        <v>66</v>
      </c>
      <c r="G311" s="20" t="n">
        <v>190</v>
      </c>
      <c r="H311" s="18" t="n">
        <v>0.35</v>
      </c>
      <c r="I311" s="25">
        <f>F311-G311</f>
        <v/>
      </c>
    </row>
    <row r="312">
      <c r="A312" s="16" t="inlineStr">
        <is>
          <t>2025-12-04</t>
        </is>
      </c>
      <c r="B312" s="19" t="n">
        <v>0.4344</v>
      </c>
      <c r="C312" s="19" t="n">
        <v>0.5121</v>
      </c>
      <c r="D312" s="19" t="n">
        <v>0.527</v>
      </c>
      <c r="E312" s="19" t="n">
        <v>0.42</v>
      </c>
      <c r="F312" s="20" t="n">
        <v>67</v>
      </c>
      <c r="G312" s="20" t="n">
        <v>202</v>
      </c>
      <c r="H312" s="18" t="n">
        <v>0.33</v>
      </c>
      <c r="I312" s="25">
        <f>F312-G312</f>
        <v/>
      </c>
    </row>
    <row r="313">
      <c r="A313" s="16" t="inlineStr">
        <is>
          <t>2025-12-05</t>
        </is>
      </c>
      <c r="B313" s="19" t="n">
        <v>0.4231</v>
      </c>
      <c r="C313" s="19" t="n">
        <v>0.5077</v>
      </c>
      <c r="D313" s="19" t="n">
        <v>0.5257000000000001</v>
      </c>
      <c r="E313" s="19" t="n">
        <v>0.4208</v>
      </c>
      <c r="F313" s="20" t="n">
        <v>76</v>
      </c>
      <c r="G313" s="20" t="n">
        <v>229</v>
      </c>
      <c r="H313" s="18" t="n">
        <v>0.33</v>
      </c>
      <c r="I313" s="25">
        <f>F313-G313</f>
        <v/>
      </c>
    </row>
    <row r="314">
      <c r="A314" s="16" t="inlineStr">
        <is>
          <t>2025-12-08</t>
        </is>
      </c>
      <c r="B314" s="19" t="n">
        <v>0.3956</v>
      </c>
      <c r="C314" s="19" t="n">
        <v>0.5024000000000001</v>
      </c>
      <c r="D314" s="19" t="n">
        <v>0.5242</v>
      </c>
      <c r="E314" s="19" t="n">
        <v>0.4215</v>
      </c>
      <c r="F314" s="20" t="n">
        <v>53</v>
      </c>
      <c r="G314" s="20" t="n">
        <v>283</v>
      </c>
      <c r="H314" s="18" t="n">
        <v>0.19</v>
      </c>
      <c r="I314" s="25">
        <f>F314-G314</f>
        <v/>
      </c>
    </row>
    <row r="315">
      <c r="A315" s="16" t="inlineStr">
        <is>
          <t>2025-12-09</t>
        </is>
      </c>
      <c r="B315" s="19" t="n">
        <v>0.39</v>
      </c>
      <c r="C315" s="19" t="n">
        <v>0.4966</v>
      </c>
      <c r="D315" s="19" t="n">
        <v>0.5224</v>
      </c>
      <c r="E315" s="19" t="n">
        <v>0.4223</v>
      </c>
      <c r="F315" s="20" t="n">
        <v>48</v>
      </c>
      <c r="G315" s="20" t="n">
        <v>223</v>
      </c>
      <c r="H315" s="18" t="n">
        <v>0.22</v>
      </c>
      <c r="I315" s="25">
        <f>F315-G315</f>
        <v/>
      </c>
    </row>
    <row r="316">
      <c r="A316" s="16" t="inlineStr">
        <is>
          <t>2025-12-10</t>
        </is>
      </c>
      <c r="B316" s="19" t="n">
        <v>0.3811</v>
      </c>
      <c r="C316" s="19" t="n">
        <v>0.4905</v>
      </c>
      <c r="D316" s="19" t="n">
        <v>0.5204</v>
      </c>
      <c r="E316" s="19" t="n">
        <v>0.4232</v>
      </c>
      <c r="F316" s="20" t="n">
        <v>51</v>
      </c>
      <c r="G316" s="20" t="n">
        <v>202</v>
      </c>
      <c r="H316" s="18" t="n">
        <v>0.25</v>
      </c>
      <c r="I316" s="25">
        <f>F316-G316</f>
        <v/>
      </c>
    </row>
    <row r="317">
      <c r="A317" s="16" t="inlineStr">
        <is>
          <t>2025-12-11</t>
        </is>
      </c>
      <c r="B317" s="19" t="n">
        <v>0.3898</v>
      </c>
      <c r="C317" s="19" t="n">
        <v>0.4843</v>
      </c>
      <c r="D317" s="19" t="n">
        <v>0.5183</v>
      </c>
      <c r="E317" s="19" t="n">
        <v>0.4242</v>
      </c>
      <c r="F317" s="20" t="n">
        <v>55</v>
      </c>
      <c r="G317" s="20" t="n">
        <v>165</v>
      </c>
      <c r="H317" s="18" t="n">
        <v>0.33</v>
      </c>
      <c r="I317" s="25">
        <f>F317-G317</f>
        <v/>
      </c>
    </row>
    <row r="318">
      <c r="A318" s="16" t="inlineStr">
        <is>
          <t>2025-12-12</t>
        </is>
      </c>
      <c r="B318" s="19" t="n">
        <v>0.3917</v>
      </c>
      <c r="C318" s="19" t="n">
        <v>0.4781</v>
      </c>
      <c r="D318" s="19" t="n">
        <v>0.5162</v>
      </c>
      <c r="E318" s="19" t="n">
        <v>0.4252</v>
      </c>
      <c r="F318" s="20" t="n">
        <v>76</v>
      </c>
      <c r="G318" s="20" t="n">
        <v>127</v>
      </c>
      <c r="H318" s="18" t="n">
        <v>0.6</v>
      </c>
      <c r="I318" s="25">
        <f>F318-G318</f>
        <v/>
      </c>
    </row>
    <row r="319">
      <c r="A319" s="16" t="inlineStr">
        <is>
          <t>2025-12-15</t>
        </is>
      </c>
      <c r="B319" s="19" t="n">
        <v>0.4052</v>
      </c>
      <c r="C319" s="19" t="n">
        <v>0.4724</v>
      </c>
      <c r="D319" s="19" t="n">
        <v>0.5143</v>
      </c>
      <c r="E319" s="19" t="n">
        <v>0.4262</v>
      </c>
      <c r="F319" s="20" t="n">
        <v>79</v>
      </c>
      <c r="G319" s="20" t="n">
        <v>111</v>
      </c>
      <c r="H319" s="18" t="n">
        <v>0.71</v>
      </c>
      <c r="I319" s="25">
        <f>F319-G319</f>
        <v/>
      </c>
    </row>
    <row r="320">
      <c r="A320" s="16" t="inlineStr">
        <is>
          <t>2025-12-16</t>
        </is>
      </c>
      <c r="B320" s="19" t="n">
        <v>0.3972</v>
      </c>
      <c r="C320" s="19" t="n">
        <v>0.4663</v>
      </c>
      <c r="D320" s="19" t="n">
        <v>0.5123</v>
      </c>
      <c r="E320" s="19" t="n">
        <v>0.4271</v>
      </c>
      <c r="F320" s="20" t="n">
        <v>71</v>
      </c>
      <c r="G320" s="20" t="n">
        <v>127</v>
      </c>
      <c r="H320" s="18" t="n">
        <v>0.5600000000000001</v>
      </c>
      <c r="I320" s="25">
        <f>F320-G320</f>
        <v/>
      </c>
    </row>
    <row r="321">
      <c r="A321" s="16" t="inlineStr">
        <is>
          <t>2025-12-17</t>
        </is>
      </c>
      <c r="B321" s="19" t="n">
        <v>0.3943</v>
      </c>
      <c r="C321" s="19" t="n">
        <v>0.4604</v>
      </c>
      <c r="D321" s="19" t="n">
        <v>0.5103</v>
      </c>
      <c r="E321" s="19" t="n">
        <v>0.4281</v>
      </c>
      <c r="F321" s="20" t="n">
        <v>60</v>
      </c>
      <c r="G321" s="20" t="n">
        <v>182</v>
      </c>
      <c r="H321" s="18" t="n">
        <v>0.33</v>
      </c>
      <c r="I321" s="25">
        <f>F321-G321</f>
        <v/>
      </c>
    </row>
    <row r="322">
      <c r="A322" s="16" t="inlineStr">
        <is>
          <t>2025-12-18</t>
        </is>
      </c>
      <c r="B322" s="19" t="n">
        <v>0.3873</v>
      </c>
      <c r="C322" s="19" t="n">
        <v>0.4555</v>
      </c>
      <c r="D322" s="19" t="n">
        <v>0.5083</v>
      </c>
      <c r="E322" s="19" t="n">
        <v>0.4291</v>
      </c>
      <c r="F322" s="20" t="n">
        <v>63</v>
      </c>
      <c r="G322" s="20" t="n">
        <v>204</v>
      </c>
      <c r="H322" s="18" t="n">
        <v>0.31</v>
      </c>
      <c r="I322" s="25">
        <f>F322-G322</f>
        <v/>
      </c>
    </row>
    <row r="323">
      <c r="A323" s="16" t="inlineStr">
        <is>
          <t>2025-12-19</t>
        </is>
      </c>
      <c r="B323" s="19" t="n">
        <v>0.3878</v>
      </c>
      <c r="C323" s="19" t="n">
        <v>0.4508</v>
      </c>
      <c r="D323" s="19" t="n">
        <v>0.5065</v>
      </c>
      <c r="E323" s="19" t="n">
        <v>0.4301</v>
      </c>
      <c r="F323" s="20" t="n">
        <v>82</v>
      </c>
      <c r="G323" s="20" t="n">
        <v>148</v>
      </c>
      <c r="H323" s="18" t="n">
        <v>0.55</v>
      </c>
      <c r="I323" s="25">
        <f>F323-G323</f>
        <v/>
      </c>
    </row>
    <row r="324">
      <c r="A324" s="16" t="inlineStr">
        <is>
          <t>2025-12-22</t>
        </is>
      </c>
      <c r="B324" s="19" t="n">
        <v>0.4067</v>
      </c>
      <c r="C324" s="19" t="n">
        <v>0.4471</v>
      </c>
      <c r="D324" s="19" t="n">
        <v>0.5052</v>
      </c>
      <c r="E324" s="19" t="n">
        <v>0.4314</v>
      </c>
      <c r="F324" s="20" t="n">
        <v>97</v>
      </c>
      <c r="G324" s="20" t="n">
        <v>104</v>
      </c>
      <c r="H324" s="18" t="n">
        <v>0.93</v>
      </c>
      <c r="I324" s="25">
        <f>F324-G324</f>
        <v/>
      </c>
    </row>
    <row r="325">
      <c r="A325" s="16" t="inlineStr">
        <is>
          <t>2025-12-23</t>
        </is>
      </c>
      <c r="B325" s="19" t="n">
        <v>0.412</v>
      </c>
      <c r="C325" s="19" t="n">
        <v>0.4440999999999999</v>
      </c>
      <c r="D325" s="19" t="n">
        <v>0.504</v>
      </c>
      <c r="E325" s="19" t="n">
        <v>0.4327</v>
      </c>
      <c r="F325" s="20" t="n">
        <v>92</v>
      </c>
      <c r="G325" s="20" t="n">
        <v>67</v>
      </c>
      <c r="H325" s="18" t="n">
        <v>1.37</v>
      </c>
      <c r="I325" s="25">
        <f>F325-G325</f>
        <v/>
      </c>
    </row>
    <row r="326">
      <c r="A326" s="16" t="inlineStr">
        <is>
          <t>2025-12-24</t>
        </is>
      </c>
      <c r="B326" s="19" t="n">
        <v>0.4134</v>
      </c>
      <c r="C326" s="19" t="n">
        <v>0.4406</v>
      </c>
      <c r="D326" s="19" t="n">
        <v>0.5028</v>
      </c>
      <c r="E326" s="19" t="n">
        <v>0.434</v>
      </c>
      <c r="F326" s="20" t="n">
        <v>84</v>
      </c>
      <c r="G326" s="20" t="n">
        <v>69</v>
      </c>
      <c r="H326" s="18" t="n">
        <v>1.22</v>
      </c>
      <c r="I326" s="25">
        <f>F326-G326</f>
        <v/>
      </c>
    </row>
    <row r="327">
      <c r="A327" s="16" t="inlineStr">
        <is>
          <t>2025-12-26</t>
        </is>
      </c>
      <c r="B327" s="19" t="n">
        <v>0.4145</v>
      </c>
      <c r="C327" s="19" t="n">
        <v>0.4371</v>
      </c>
      <c r="D327" s="19" t="n">
        <v>0.5017</v>
      </c>
      <c r="E327" s="19" t="n">
        <v>0.4353</v>
      </c>
      <c r="F327" s="20" t="n">
        <v>77</v>
      </c>
      <c r="G327" s="20" t="n">
        <v>89</v>
      </c>
      <c r="H327" s="18" t="n">
        <v>0.87</v>
      </c>
      <c r="I327" s="25">
        <f>F327-G327</f>
        <v/>
      </c>
    </row>
    <row r="328">
      <c r="A328" s="16" t="inlineStr">
        <is>
          <t>2025-12-29</t>
        </is>
      </c>
      <c r="B328" s="19" t="n">
        <v>0.4054</v>
      </c>
      <c r="C328" s="19" t="n">
        <v>0.4334</v>
      </c>
      <c r="D328" s="19" t="n">
        <v>0.5008</v>
      </c>
      <c r="E328" s="19" t="n">
        <v>0.4365</v>
      </c>
      <c r="F328" s="20" t="n">
        <v>79</v>
      </c>
      <c r="G328" s="20" t="n">
        <v>121</v>
      </c>
      <c r="H328" s="18" t="n">
        <v>0.65</v>
      </c>
      <c r="I328" s="25">
        <f>F328-G328</f>
        <v/>
      </c>
    </row>
    <row r="329">
      <c r="A329" s="16" t="inlineStr">
        <is>
          <t>2025-12-30</t>
        </is>
      </c>
      <c r="B329" s="19" t="n">
        <v>0.3909</v>
      </c>
      <c r="C329" s="19" t="n">
        <v>0.4289</v>
      </c>
      <c r="D329" s="19" t="n">
        <v>0.4996</v>
      </c>
      <c r="E329" s="19" t="n">
        <v>0.4375</v>
      </c>
      <c r="F329" s="20" t="n">
        <v>85</v>
      </c>
      <c r="G329" s="20" t="n">
        <v>149</v>
      </c>
      <c r="H329" s="18" t="n">
        <v>0.57</v>
      </c>
      <c r="I329" s="25">
        <f>F329-G329</f>
        <v/>
      </c>
    </row>
    <row r="330">
      <c r="A330" s="16" t="inlineStr">
        <is>
          <t>2025-12-31</t>
        </is>
      </c>
      <c r="B330" s="19" t="n">
        <v>0.3941</v>
      </c>
      <c r="C330" s="19" t="n">
        <v>0.4246</v>
      </c>
      <c r="D330" s="19" t="n">
        <v>0.4984</v>
      </c>
      <c r="E330" s="19" t="n">
        <v>0.4386</v>
      </c>
      <c r="F330" s="20" t="n">
        <v>112</v>
      </c>
      <c r="G330" s="20" t="n">
        <v>106</v>
      </c>
      <c r="H330" s="18" t="n">
        <v>1.06</v>
      </c>
      <c r="I330" s="25">
        <f>F330-G330</f>
        <v/>
      </c>
    </row>
    <row r="331">
      <c r="A331" s="16" t="inlineStr">
        <is>
          <t>2026-01-01</t>
        </is>
      </c>
      <c r="B331" s="19" t="n">
        <v>0.4022</v>
      </c>
      <c r="C331" s="19" t="n">
        <v>0.4211</v>
      </c>
      <c r="D331" s="19" t="n">
        <v>0.4975</v>
      </c>
      <c r="E331" s="19" t="n">
        <v>0.4398</v>
      </c>
      <c r="F331" s="20" t="n">
        <v>123</v>
      </c>
      <c r="G331" s="20" t="n">
        <v>91</v>
      </c>
      <c r="H331" s="18" t="n">
        <v>1.35</v>
      </c>
      <c r="I331" s="25">
        <f>F331-G331</f>
        <v/>
      </c>
    </row>
    <row r="332">
      <c r="A332" s="16" t="inlineStr">
        <is>
          <t>2026-01-02</t>
        </is>
      </c>
      <c r="B332" s="19" t="n">
        <v>0.4204</v>
      </c>
      <c r="C332" s="19" t="n">
        <v>0.4183</v>
      </c>
      <c r="D332" s="19" t="n">
        <v>0.4968</v>
      </c>
      <c r="E332" s="19" t="n">
        <v>0.441</v>
      </c>
      <c r="F332" s="20" t="n">
        <v>148</v>
      </c>
      <c r="G332" s="20" t="n">
        <v>62</v>
      </c>
      <c r="H332" s="18" t="n">
        <v>2.39</v>
      </c>
      <c r="I332" s="25">
        <f>F332-G332</f>
        <v/>
      </c>
    </row>
    <row r="333">
      <c r="A333" s="16" t="inlineStr">
        <is>
          <t>2026-01-05</t>
        </is>
      </c>
      <c r="B333" s="19" t="n">
        <v>0.4151</v>
      </c>
      <c r="C333" s="19" t="n">
        <v>0.4163</v>
      </c>
      <c r="D333" s="19" t="n">
        <v>0.4963</v>
      </c>
      <c r="E333" s="19" t="n">
        <v>0.4423</v>
      </c>
      <c r="F333" s="20" t="n">
        <v>143</v>
      </c>
      <c r="G333" s="20" t="n">
        <v>76</v>
      </c>
      <c r="H333" s="18" t="n">
        <v>1.88</v>
      </c>
      <c r="I333" s="25">
        <f>F333-G333</f>
        <v/>
      </c>
    </row>
    <row r="334">
      <c r="A334" s="16" t="inlineStr">
        <is>
          <t>2026-01-06</t>
        </is>
      </c>
      <c r="B334" s="19" t="n">
        <v>0.414</v>
      </c>
      <c r="C334" s="19" t="n">
        <v>0.4149</v>
      </c>
      <c r="D334" s="19" t="n">
        <v>0.4959</v>
      </c>
      <c r="E334" s="19" t="n">
        <v>0.4436</v>
      </c>
      <c r="F334" s="20" t="n">
        <v>139</v>
      </c>
      <c r="G334" s="20" t="n">
        <v>90</v>
      </c>
      <c r="H334" s="18" t="n">
        <v>1.54</v>
      </c>
      <c r="I334" s="25">
        <f>F334-G334</f>
        <v/>
      </c>
    </row>
    <row r="335">
      <c r="A335" s="16" t="inlineStr">
        <is>
          <t>2026-01-07</t>
        </is>
      </c>
      <c r="B335" s="19" t="n">
        <v>0.414</v>
      </c>
      <c r="C335" s="19" t="n">
        <v>0.4139</v>
      </c>
      <c r="D335" s="19" t="n">
        <v>0.4954</v>
      </c>
      <c r="E335" s="19" t="n">
        <v>0.4449</v>
      </c>
      <c r="F335" s="20" t="n">
        <v>127</v>
      </c>
      <c r="G335" s="20" t="n">
        <v>101</v>
      </c>
      <c r="H335" s="18" t="n">
        <v>1.26</v>
      </c>
      <c r="I335" s="25">
        <f>F335-G335</f>
        <v/>
      </c>
    </row>
    <row r="336">
      <c r="A336" s="16" t="inlineStr">
        <is>
          <t>2026-01-08</t>
        </is>
      </c>
      <c r="B336" s="19" t="n">
        <v>0.3815</v>
      </c>
      <c r="C336" s="19" t="n">
        <v>0.4115</v>
      </c>
      <c r="D336" s="19" t="n">
        <v>0.4945000000000001</v>
      </c>
      <c r="E336" s="19" t="n">
        <v>0.446</v>
      </c>
      <c r="F336" s="20" t="n">
        <v>74</v>
      </c>
      <c r="G336" s="20" t="n">
        <v>138</v>
      </c>
      <c r="H336" s="18" t="n">
        <v>0.54</v>
      </c>
      <c r="I336" s="25">
        <f>F336-G336</f>
        <v/>
      </c>
    </row>
    <row r="337">
      <c r="A337" s="16" t="inlineStr">
        <is>
          <t>2026-01-09</t>
        </is>
      </c>
      <c r="B337" s="19" t="n">
        <v>0.3557</v>
      </c>
      <c r="C337" s="19" t="n">
        <v>0.4081</v>
      </c>
      <c r="D337" s="19" t="n">
        <v>0.4934000000000001</v>
      </c>
      <c r="E337" s="19" t="n">
        <v>0.4468</v>
      </c>
      <c r="F337" s="20" t="n">
        <v>58</v>
      </c>
      <c r="G337" s="20" t="n">
        <v>243</v>
      </c>
      <c r="H337" s="18" t="n">
        <v>0.24</v>
      </c>
      <c r="I337" s="25">
        <f>F337-G337</f>
        <v/>
      </c>
    </row>
    <row r="338">
      <c r="A338" s="16" t="inlineStr">
        <is>
          <t>2026-01-12</t>
        </is>
      </c>
      <c r="B338" s="19" t="n">
        <v>0.3315</v>
      </c>
      <c r="C338" s="19" t="n">
        <v>0.4038</v>
      </c>
      <c r="D338" s="19" t="n">
        <v>0.4919</v>
      </c>
      <c r="E338" s="19" t="n">
        <v>0.4474</v>
      </c>
      <c r="F338" s="20" t="n">
        <v>47</v>
      </c>
      <c r="G338" s="20" t="n">
        <v>299</v>
      </c>
      <c r="H338" s="18" t="n">
        <v>0.16</v>
      </c>
      <c r="I338" s="25">
        <f>F338-G338</f>
        <v/>
      </c>
    </row>
    <row r="339">
      <c r="A339" s="16" t="inlineStr">
        <is>
          <t>2026-01-13</t>
        </is>
      </c>
      <c r="B339" s="19" t="n">
        <v>0.3228</v>
      </c>
      <c r="C339" s="19" t="n">
        <v>0.3992</v>
      </c>
      <c r="D339" s="19" t="n">
        <v>0.4901</v>
      </c>
      <c r="E339" s="19" t="n">
        <v>0.4478</v>
      </c>
      <c r="F339" s="20" t="n">
        <v>55</v>
      </c>
      <c r="G339" s="20" t="n">
        <v>288</v>
      </c>
      <c r="H339" s="18" t="n">
        <v>0.19</v>
      </c>
      <c r="I339" s="25">
        <f>F339-G339</f>
        <v/>
      </c>
    </row>
    <row r="340">
      <c r="A340" s="16" t="inlineStr">
        <is>
          <t>2026-01-14</t>
        </is>
      </c>
      <c r="B340" s="19" t="n">
        <v>0.3258</v>
      </c>
      <c r="C340" s="19" t="n">
        <v>0.3948</v>
      </c>
      <c r="D340" s="19" t="n">
        <v>0.4883</v>
      </c>
      <c r="E340" s="19" t="n">
        <v>0.4484</v>
      </c>
      <c r="F340" s="20" t="n">
        <v>66</v>
      </c>
      <c r="G340" s="20" t="n">
        <v>282</v>
      </c>
      <c r="H340" s="18" t="n">
        <v>0.23</v>
      </c>
      <c r="I340" s="25">
        <f>F340-G340</f>
        <v/>
      </c>
    </row>
    <row r="341">
      <c r="A341" s="16" t="inlineStr">
        <is>
          <t>2026-01-15</t>
        </is>
      </c>
      <c r="B341" s="19" t="n">
        <v>0.3264</v>
      </c>
      <c r="C341" s="19" t="n">
        <v>0.3908</v>
      </c>
      <c r="D341" s="19" t="n">
        <v>0.4864</v>
      </c>
      <c r="E341" s="19" t="n">
        <v>0.4489</v>
      </c>
      <c r="F341" s="20" t="n">
        <v>67</v>
      </c>
      <c r="G341" s="20" t="n">
        <v>280</v>
      </c>
      <c r="H341" s="18" t="n">
        <v>0.24</v>
      </c>
      <c r="I341" s="25">
        <f>F341-G341</f>
        <v/>
      </c>
    </row>
    <row r="342">
      <c r="A342" s="16" t="inlineStr">
        <is>
          <t>2026-01-16</t>
        </is>
      </c>
      <c r="B342" s="19" t="n">
        <v>0.3194</v>
      </c>
      <c r="C342" s="19" t="n">
        <v>0.387</v>
      </c>
      <c r="D342" s="19" t="n">
        <v>0.4845</v>
      </c>
      <c r="E342" s="19" t="n">
        <v>0.4495</v>
      </c>
      <c r="F342" s="20" t="n">
        <v>66</v>
      </c>
      <c r="G342" s="20" t="n">
        <v>282</v>
      </c>
      <c r="H342" s="18" t="n">
        <v>0.23</v>
      </c>
      <c r="I342" s="25">
        <f>F342-G342</f>
        <v/>
      </c>
    </row>
    <row r="343">
      <c r="A343" s="16" t="inlineStr">
        <is>
          <t>2026-01-19</t>
        </is>
      </c>
      <c r="B343" s="19" t="n">
        <v>0.3038</v>
      </c>
      <c r="C343" s="19" t="n">
        <v>0.383</v>
      </c>
      <c r="D343" s="19" t="n">
        <v>0.4824</v>
      </c>
      <c r="E343" s="19" t="n">
        <v>0.4499</v>
      </c>
      <c r="F343" s="20" t="n">
        <v>60</v>
      </c>
      <c r="G343" s="20" t="n">
        <v>344</v>
      </c>
      <c r="H343" s="18" t="n">
        <v>0.17</v>
      </c>
      <c r="I343" s="25">
        <f>F343-G343</f>
        <v/>
      </c>
    </row>
    <row r="344">
      <c r="A344" s="16" t="inlineStr">
        <is>
          <t>2026-01-20</t>
        </is>
      </c>
      <c r="B344" s="19" t="n">
        <v>0.2716</v>
      </c>
      <c r="C344" s="19" t="n">
        <v>0.3788</v>
      </c>
      <c r="D344" s="19" t="n">
        <v>0.4802</v>
      </c>
      <c r="E344" s="19" t="n">
        <v>0.4502</v>
      </c>
      <c r="F344" s="20" t="n">
        <v>35</v>
      </c>
      <c r="G344" s="20" t="n">
        <v>462</v>
      </c>
      <c r="H344" s="18" t="n">
        <v>0.08</v>
      </c>
      <c r="I344" s="25">
        <f>F344-G344</f>
        <v/>
      </c>
    </row>
    <row r="345">
      <c r="A345" s="16" t="inlineStr">
        <is>
          <t>2026-01-21</t>
        </is>
      </c>
      <c r="B345" s="19" t="n">
        <v>0.2469</v>
      </c>
      <c r="C345" s="19" t="n">
        <v>0.3741</v>
      </c>
      <c r="D345" s="19" t="n">
        <v>0.4779</v>
      </c>
      <c r="E345" s="19" t="n">
        <v>0.4504</v>
      </c>
      <c r="F345" s="20" t="n">
        <v>36</v>
      </c>
      <c r="G345" s="20" t="n">
        <v>521</v>
      </c>
      <c r="H345" s="18" t="n">
        <v>0.07000000000000001</v>
      </c>
      <c r="I345" s="25">
        <f>F345-G345</f>
        <v/>
      </c>
    </row>
    <row r="346">
      <c r="A346" s="16" t="inlineStr">
        <is>
          <t>2026-01-22</t>
        </is>
      </c>
      <c r="B346" s="19" t="n">
        <v>0.2566</v>
      </c>
      <c r="C346" s="19" t="n">
        <v>0.3699</v>
      </c>
      <c r="D346" s="19" t="n">
        <v>0.4759</v>
      </c>
      <c r="E346" s="19" t="n">
        <v>0.4505</v>
      </c>
      <c r="F346" s="20" t="n">
        <v>47</v>
      </c>
      <c r="G346" s="20" t="n">
        <v>310</v>
      </c>
      <c r="H346" s="18" t="n">
        <v>0.15</v>
      </c>
      <c r="I346" s="25">
        <f>F346-G346</f>
        <v/>
      </c>
    </row>
    <row r="347">
      <c r="A347" s="16" t="inlineStr">
        <is>
          <t>2026-01-23</t>
        </is>
      </c>
      <c r="B347" s="19" t="n">
        <v>0.2453</v>
      </c>
      <c r="C347" s="19" t="n">
        <v>0.3651</v>
      </c>
      <c r="D347" s="19" t="n">
        <v>0.4737</v>
      </c>
      <c r="E347" s="19" t="n">
        <v>0.4507</v>
      </c>
      <c r="F347" s="20" t="n">
        <v>42</v>
      </c>
      <c r="G347" s="20" t="n">
        <v>375</v>
      </c>
      <c r="H347" s="18" t="n">
        <v>0.11</v>
      </c>
      <c r="I347" s="25">
        <f>F347-G347</f>
        <v/>
      </c>
    </row>
    <row r="348">
      <c r="A348" s="16" t="inlineStr">
        <is>
          <t>2026-01-27</t>
        </is>
      </c>
      <c r="B348" s="19" t="n">
        <v>0.2346</v>
      </c>
      <c r="C348" s="19" t="n">
        <v>0.3599</v>
      </c>
      <c r="D348" s="19" t="n">
        <v>0.4711</v>
      </c>
      <c r="E348" s="19" t="n">
        <v>0.4509</v>
      </c>
      <c r="F348" s="20" t="n">
        <v>44</v>
      </c>
      <c r="G348" s="20" t="n">
        <v>429</v>
      </c>
      <c r="H348" s="18" t="n">
        <v>0.1</v>
      </c>
      <c r="I348" s="25">
        <f>F348-G348</f>
        <v/>
      </c>
    </row>
    <row r="349">
      <c r="A349" s="16" t="inlineStr">
        <is>
          <t>2026-01-28</t>
        </is>
      </c>
      <c r="B349" s="19" t="n">
        <v>0.2473</v>
      </c>
      <c r="C349" s="19" t="n">
        <v>0.3546</v>
      </c>
      <c r="D349" s="19" t="n">
        <v>0.4684</v>
      </c>
      <c r="E349" s="19" t="n">
        <v>0.4513</v>
      </c>
      <c r="F349" s="20" t="n">
        <v>68</v>
      </c>
      <c r="G349" s="20" t="n">
        <v>228</v>
      </c>
      <c r="H349" s="18" t="n">
        <v>0.3</v>
      </c>
      <c r="I349" s="25">
        <f>F349-G349</f>
        <v/>
      </c>
    </row>
    <row r="350">
      <c r="A350" s="16" t="inlineStr">
        <is>
          <t>2026-01-29</t>
        </is>
      </c>
      <c r="B350" s="19" t="n">
        <v>0.2564</v>
      </c>
      <c r="C350" s="19" t="n">
        <v>0.3499</v>
      </c>
      <c r="D350" s="19" t="n">
        <v>0.4658</v>
      </c>
      <c r="E350" s="19" t="n">
        <v>0.4517</v>
      </c>
      <c r="F350" s="20" t="n">
        <v>72</v>
      </c>
      <c r="G350" s="20" t="n">
        <v>194</v>
      </c>
      <c r="H350" s="18" t="n">
        <v>0.37</v>
      </c>
      <c r="I350" s="25">
        <f>F350-G350</f>
        <v/>
      </c>
    </row>
    <row r="351">
      <c r="A351" s="16" t="inlineStr">
        <is>
          <t>2026-01-30</t>
        </is>
      </c>
      <c r="B351" s="19" t="n">
        <v>0.2661</v>
      </c>
      <c r="C351" s="19" t="n">
        <v>0.3456</v>
      </c>
      <c r="D351" s="19" t="n">
        <v>0.4633</v>
      </c>
      <c r="E351" s="19" t="n">
        <v>0.4521</v>
      </c>
      <c r="F351" s="20" t="n">
        <v>58</v>
      </c>
      <c r="G351" s="20" t="n">
        <v>159</v>
      </c>
      <c r="H351" s="18" t="n">
        <v>0.36</v>
      </c>
      <c r="I351" s="25">
        <f>F351-G351</f>
        <v/>
      </c>
    </row>
    <row r="352">
      <c r="A352" s="16" t="inlineStr">
        <is>
          <t>2026-02-02</t>
        </is>
      </c>
      <c r="B352" s="19" t="n">
        <v>0.2559</v>
      </c>
      <c r="C352" s="19" t="n">
        <v>0.3413</v>
      </c>
      <c r="D352" s="19" t="n">
        <v>0.4606</v>
      </c>
      <c r="E352" s="19" t="n">
        <v>0.4523</v>
      </c>
      <c r="F352" s="20" t="n">
        <v>39</v>
      </c>
      <c r="G352" s="20" t="n">
        <v>202</v>
      </c>
      <c r="H352" s="18" t="n">
        <v>0.19</v>
      </c>
      <c r="I352" s="25">
        <f>F352-G352</f>
        <v/>
      </c>
    </row>
    <row r="353">
      <c r="A353" s="16" t="inlineStr">
        <is>
          <t>2026-02-03</t>
        </is>
      </c>
      <c r="B353" s="19" t="n">
        <v>0.287</v>
      </c>
      <c r="C353" s="19" t="n">
        <v>0.3379</v>
      </c>
      <c r="D353" s="19" t="n">
        <v>0.4583</v>
      </c>
      <c r="E353" s="19" t="n">
        <v>0.4525</v>
      </c>
      <c r="F353" s="20" t="n">
        <v>58</v>
      </c>
      <c r="G353" s="20" t="n">
        <v>117</v>
      </c>
      <c r="H353" s="18" t="n">
        <v>0.5</v>
      </c>
      <c r="I353" s="25">
        <f>F353-G353</f>
        <v/>
      </c>
    </row>
    <row r="354">
      <c r="A354" s="16" t="inlineStr">
        <is>
          <t>2026-02-04</t>
        </is>
      </c>
      <c r="B354" s="19" t="n">
        <v>0.3067</v>
      </c>
      <c r="C354" s="19" t="n">
        <v>0.3346</v>
      </c>
      <c r="D354" s="19" t="n">
        <v>0.456</v>
      </c>
      <c r="E354" s="19" t="n">
        <v>0.4528</v>
      </c>
      <c r="F354" s="20" t="n">
        <v>79</v>
      </c>
      <c r="G354" s="20" t="n">
        <v>47</v>
      </c>
      <c r="H354" s="18" t="n">
        <v>1.68</v>
      </c>
      <c r="I354" s="25">
        <f>F354-G354</f>
        <v/>
      </c>
    </row>
    <row r="355">
      <c r="A355" s="16" t="inlineStr">
        <is>
          <t>2026-02-05</t>
        </is>
      </c>
      <c r="B355" s="19" t="n">
        <v>0.3044</v>
      </c>
      <c r="C355" s="19" t="n">
        <v>0.331</v>
      </c>
      <c r="D355" s="19" t="n">
        <v>0.4536</v>
      </c>
      <c r="E355" s="19" t="n">
        <v>0.453</v>
      </c>
      <c r="F355" s="20" t="n">
        <v>71</v>
      </c>
      <c r="G355" s="20" t="n">
        <v>54</v>
      </c>
      <c r="H355" s="18" t="n">
        <v>1.31</v>
      </c>
      <c r="I355" s="25">
        <f>F355-G355</f>
        <v/>
      </c>
    </row>
    <row r="356">
      <c r="A356" s="16" t="inlineStr">
        <is>
          <t>2026-02-06</t>
        </is>
      </c>
      <c r="B356" s="19" t="n">
        <v>0.3028</v>
      </c>
      <c r="C356" s="19" t="n">
        <v>0.3273</v>
      </c>
      <c r="D356" s="19" t="n">
        <v>0.451</v>
      </c>
      <c r="E356" s="19" t="n">
        <v>0.4531</v>
      </c>
      <c r="F356" s="20" t="n">
        <v>58</v>
      </c>
      <c r="G356" s="20" t="n">
        <v>86</v>
      </c>
      <c r="H356" s="18" t="n">
        <v>0.67</v>
      </c>
      <c r="I356" s="25">
        <f>F356-G356</f>
        <v/>
      </c>
    </row>
    <row r="357">
      <c r="A357" s="16" t="inlineStr">
        <is>
          <t>2026-02-09</t>
        </is>
      </c>
      <c r="B357" s="19" t="n">
        <v>0.3289</v>
      </c>
      <c r="C357" s="19" t="n">
        <v>0.3244</v>
      </c>
      <c r="D357" s="19" t="n">
        <v>0.4486</v>
      </c>
      <c r="E357" s="19" t="n">
        <v>0.4532</v>
      </c>
      <c r="F357" s="20" t="n">
        <v>96</v>
      </c>
      <c r="G357" s="20" t="n">
        <v>52</v>
      </c>
      <c r="H357" s="18" t="n">
        <v>1.85</v>
      </c>
      <c r="I357" s="25">
        <f>F357-G357</f>
        <v/>
      </c>
    </row>
    <row r="358">
      <c r="A358" s="16" t="inlineStr">
        <is>
          <t>2026-02-10</t>
        </is>
      </c>
      <c r="B358" s="19" t="n">
        <v>0.3449</v>
      </c>
      <c r="C358" s="19" t="n">
        <v>0.3224</v>
      </c>
      <c r="D358" s="19" t="n">
        <v>0.4463</v>
      </c>
      <c r="E358" s="19" t="n">
        <v>0.4534</v>
      </c>
      <c r="F358" s="20" t="n">
        <v>104</v>
      </c>
      <c r="G358" s="20" t="n">
        <v>36</v>
      </c>
      <c r="H358" s="18" t="n">
        <v>2.89</v>
      </c>
      <c r="I358" s="25">
        <f>F358-G358</f>
        <v/>
      </c>
    </row>
    <row r="359">
      <c r="A359" s="16" t="inlineStr">
        <is>
          <t>2026-02-11</t>
        </is>
      </c>
      <c r="B359" s="19" t="n">
        <v>0.3503</v>
      </c>
      <c r="C359" s="19" t="n">
        <v>0.3211</v>
      </c>
      <c r="D359" s="19" t="n">
        <v>0.4438</v>
      </c>
      <c r="E359" s="19" t="n">
        <v>0.4538</v>
      </c>
      <c r="F359" s="20" t="n">
        <v>116</v>
      </c>
      <c r="G359" s="20" t="n">
        <v>43</v>
      </c>
      <c r="H359" s="18" t="n">
        <v>2.7</v>
      </c>
      <c r="I359" s="25">
        <f>F359-G359</f>
        <v/>
      </c>
    </row>
    <row r="360">
      <c r="A360" s="16" t="inlineStr">
        <is>
          <t>2026-02-12</t>
        </is>
      </c>
      <c r="B360" s="19" t="n">
        <v>0.3455</v>
      </c>
      <c r="C360" s="19" t="n">
        <v>0.3195</v>
      </c>
      <c r="D360" s="19" t="n">
        <v>0.4412</v>
      </c>
      <c r="E360" s="19" t="n">
        <v>0.4540999999999999</v>
      </c>
      <c r="F360" s="20" t="n">
        <v>105</v>
      </c>
      <c r="G360" s="20" t="n">
        <v>75</v>
      </c>
      <c r="H360" s="18" t="n">
        <v>1.4</v>
      </c>
      <c r="I360" s="25">
        <f>F360-G360</f>
        <v/>
      </c>
    </row>
    <row r="361">
      <c r="A361" s="16" t="inlineStr">
        <is>
          <t>2026-02-13</t>
        </is>
      </c>
      <c r="B361" s="19" t="n">
        <v>0.3262</v>
      </c>
      <c r="C361" s="19" t="n">
        <v>0.3169</v>
      </c>
      <c r="D361" s="19" t="n">
        <v>0.4384</v>
      </c>
      <c r="E361" s="19" t="n">
        <v>0.4544</v>
      </c>
      <c r="F361" s="20" t="n">
        <v>68</v>
      </c>
      <c r="G361" s="20" t="n">
        <v>106</v>
      </c>
      <c r="H361" s="18" t="n">
        <v>0.64</v>
      </c>
      <c r="I361" s="25">
        <f>F361-G361</f>
        <v/>
      </c>
    </row>
    <row r="362">
      <c r="A362" s="16" t="inlineStr">
        <is>
          <t>2026-02-16</t>
        </is>
      </c>
      <c r="B362" s="19" t="n">
        <v>0.3112</v>
      </c>
      <c r="C362" s="19" t="n">
        <v>0.3133</v>
      </c>
      <c r="D362" s="19" t="n">
        <v>0.4355</v>
      </c>
      <c r="E362" s="19" t="n">
        <v>0.4547</v>
      </c>
      <c r="F362" s="20" t="n">
        <v>75</v>
      </c>
      <c r="G362" s="20" t="n">
        <v>148</v>
      </c>
      <c r="H362" s="18" t="n">
        <v>0.51</v>
      </c>
      <c r="I362" s="25">
        <f>F362-G362</f>
        <v/>
      </c>
    </row>
    <row r="363">
      <c r="A363" s="16" t="inlineStr">
        <is>
          <t>2026-02-17</t>
        </is>
      </c>
      <c r="B363" s="19" t="n">
        <v>0.3155</v>
      </c>
      <c r="C363" s="19" t="n">
        <v>0.31</v>
      </c>
      <c r="D363" s="19" t="n">
        <v>0.4328</v>
      </c>
      <c r="E363" s="19" t="n">
        <v>0.4551</v>
      </c>
      <c r="F363" s="20" t="n">
        <v>96</v>
      </c>
      <c r="G363" s="20" t="n">
        <v>100</v>
      </c>
      <c r="H363" s="18" t="n">
        <v>0.96</v>
      </c>
      <c r="I363" s="25">
        <f>F363-G363</f>
        <v/>
      </c>
    </row>
    <row r="364">
      <c r="A364" s="16" t="inlineStr">
        <is>
          <t>2026-02-18</t>
        </is>
      </c>
      <c r="B364" s="19" t="n">
        <v>0.3196</v>
      </c>
      <c r="C364" s="19" t="n">
        <v>0.3068</v>
      </c>
      <c r="D364" s="19" t="n">
        <v>0.4303</v>
      </c>
      <c r="E364" s="19" t="n">
        <v>0.4555</v>
      </c>
      <c r="F364" s="20" t="n">
        <v>106</v>
      </c>
      <c r="G364" s="20" t="n">
        <v>99</v>
      </c>
      <c r="H364" s="18" t="n">
        <v>1.07</v>
      </c>
      <c r="I364" s="25">
        <f>F364-G364</f>
        <v/>
      </c>
    </row>
    <row r="365">
      <c r="A365" s="16" t="inlineStr">
        <is>
          <t>2026-02-19</t>
        </is>
      </c>
      <c r="B365" s="19" t="n">
        <v>0.3078</v>
      </c>
      <c r="C365" s="19" t="n">
        <v>0.3033</v>
      </c>
      <c r="D365" s="19" t="n">
        <v>0.4278</v>
      </c>
      <c r="E365" s="19" t="n">
        <v>0.4559</v>
      </c>
      <c r="F365" s="20" t="n">
        <v>65</v>
      </c>
      <c r="G365" s="20" t="n">
        <v>134</v>
      </c>
      <c r="H365" s="18" t="n">
        <v>0.49</v>
      </c>
      <c r="I365" s="25">
        <f>F365-G365</f>
        <v/>
      </c>
    </row>
    <row r="366">
      <c r="A366" s="16" t="inlineStr">
        <is>
          <t>2026-02-20</t>
        </is>
      </c>
      <c r="B366" s="19" t="n">
        <v>0.2971</v>
      </c>
      <c r="C366" s="19" t="n">
        <v>0.3005</v>
      </c>
      <c r="D366" s="19" t="n">
        <v>0.4255</v>
      </c>
      <c r="E366" s="19" t="n">
        <v>0.4562</v>
      </c>
      <c r="F366" s="20" t="n">
        <v>73</v>
      </c>
      <c r="G366" s="20" t="n">
        <v>171</v>
      </c>
      <c r="H366" s="18" t="n">
        <v>0.43</v>
      </c>
      <c r="I366" s="25">
        <f>F366-G366</f>
        <v/>
      </c>
    </row>
    <row r="367">
      <c r="A367" s="16" t="inlineStr">
        <is>
          <t>2026-02-23</t>
        </is>
      </c>
      <c r="B367" s="19" t="n">
        <v>0.3003</v>
      </c>
      <c r="C367" s="19" t="n">
        <v>0.2986</v>
      </c>
      <c r="D367" s="19" t="n">
        <v>0.4234000000000001</v>
      </c>
      <c r="E367" s="19" t="n">
        <v>0.4566</v>
      </c>
      <c r="F367" s="20" t="n">
        <v>91</v>
      </c>
      <c r="G367" s="20" t="n">
        <v>188</v>
      </c>
      <c r="H367" s="18" t="n">
        <v>0.48</v>
      </c>
      <c r="I367" s="25">
        <f>F367-G367</f>
        <v/>
      </c>
    </row>
    <row r="368">
      <c r="A368" s="16" t="inlineStr">
        <is>
          <t>2026-02-24</t>
        </is>
      </c>
      <c r="B368" s="19" t="n">
        <v>0.2875</v>
      </c>
      <c r="C368" s="19" t="n">
        <v>0.2972</v>
      </c>
      <c r="D368" s="19" t="n">
        <v>0.4214</v>
      </c>
      <c r="E368" s="19" t="n">
        <v>0.457</v>
      </c>
      <c r="F368" s="20" t="n">
        <v>85</v>
      </c>
      <c r="G368" s="20" t="n">
        <v>229</v>
      </c>
      <c r="H368" s="18" t="n">
        <v>0.37</v>
      </c>
      <c r="I368" s="25">
        <f>F368-G368</f>
        <v/>
      </c>
    </row>
    <row r="369">
      <c r="A369" s="16" t="inlineStr">
        <is>
          <t>2026-02-25</t>
        </is>
      </c>
      <c r="B369" s="19" t="n">
        <v>0.2869</v>
      </c>
      <c r="C369" s="19" t="n">
        <v>0.296</v>
      </c>
      <c r="D369" s="19" t="n">
        <v>0.4191</v>
      </c>
      <c r="E369" s="19" t="n">
        <v>0.4572</v>
      </c>
      <c r="F369" s="20" t="n">
        <v>92</v>
      </c>
      <c r="G369" s="20" t="n">
        <v>243</v>
      </c>
      <c r="H369" s="18" t="n">
        <v>0.38</v>
      </c>
      <c r="I369" s="25">
        <f>F369-G369</f>
        <v/>
      </c>
    </row>
    <row r="370">
      <c r="A370" s="16" t="inlineStr">
        <is>
          <t>2026-02-26</t>
        </is>
      </c>
      <c r="B370" s="19" t="n">
        <v>0.3009</v>
      </c>
      <c r="C370" s="19" t="n">
        <v>0.2951</v>
      </c>
      <c r="D370" s="19" t="n">
        <v>0.4168</v>
      </c>
      <c r="E370" s="19" t="n">
        <v>0.4573</v>
      </c>
      <c r="F370" s="20" t="n">
        <v>99</v>
      </c>
      <c r="G370" s="20" t="n">
        <v>226</v>
      </c>
      <c r="H370" s="18" t="n">
        <v>0.44</v>
      </c>
      <c r="I370" s="25">
        <f>F370-G370</f>
        <v/>
      </c>
    </row>
    <row r="371">
      <c r="A371" s="16" t="inlineStr">
        <is>
          <t>2026-02-27</t>
        </is>
      </c>
      <c r="B371" s="19" t="n">
        <v>0.2827</v>
      </c>
      <c r="C371" s="19" t="n">
        <v>0.2937</v>
      </c>
      <c r="D371" s="19" t="n">
        <v>0.4142</v>
      </c>
      <c r="E371" s="19" t="n">
        <v>0.4572</v>
      </c>
      <c r="F371" s="20" t="n">
        <v>82</v>
      </c>
      <c r="G371" s="20" t="n">
        <v>223</v>
      </c>
      <c r="H371" s="18" t="n">
        <v>0.37</v>
      </c>
      <c r="I371" s="25">
        <f>F371-G371</f>
        <v/>
      </c>
    </row>
    <row r="372">
      <c r="A372" s="16" t="inlineStr">
        <is>
          <t>2026-03-02</t>
        </is>
      </c>
      <c r="B372" s="19" t="n">
        <v>0.2564</v>
      </c>
      <c r="C372" s="19" t="n">
        <v>0.2916</v>
      </c>
      <c r="D372" s="19" t="n">
        <v>0.4112</v>
      </c>
      <c r="E372" s="19" t="n">
        <v>0.4569</v>
      </c>
      <c r="F372" s="20" t="n">
        <v>42</v>
      </c>
      <c r="G372" s="20" t="n">
        <v>337</v>
      </c>
      <c r="H372" s="18" t="n">
        <v>0.12</v>
      </c>
      <c r="I372" s="25">
        <f>F372-G372</f>
        <v/>
      </c>
    </row>
    <row r="373">
      <c r="A373" s="16" t="inlineStr">
        <is>
          <t>2026-03-04</t>
        </is>
      </c>
      <c r="B373" s="19" t="n">
        <v>0.2286</v>
      </c>
      <c r="C373" s="19" t="n">
        <v>0.2891</v>
      </c>
      <c r="D373" s="19" t="n">
        <v>0.408</v>
      </c>
      <c r="E373" s="19" t="n">
        <v>0.4563</v>
      </c>
      <c r="F373" s="20" t="n">
        <v>32</v>
      </c>
      <c r="G373" s="20" t="n">
        <v>443</v>
      </c>
      <c r="H373" s="18" t="n">
        <v>0.07000000000000001</v>
      </c>
      <c r="I373" s="25">
        <f>F373-G373</f>
        <v/>
      </c>
    </row>
    <row r="374">
      <c r="A374" s="16" t="inlineStr">
        <is>
          <t>2026-03-05</t>
        </is>
      </c>
      <c r="B374" s="19" t="n">
        <v>0.2275</v>
      </c>
      <c r="C374" s="19" t="n">
        <v>0.2876</v>
      </c>
      <c r="D374" s="19" t="n">
        <v>0.4048</v>
      </c>
      <c r="E374" s="19" t="n">
        <v>0.4556</v>
      </c>
      <c r="F374" s="20" t="n">
        <v>48</v>
      </c>
      <c r="G374" s="20" t="n">
        <v>374</v>
      </c>
      <c r="H374" s="18" t="n">
        <v>0.13</v>
      </c>
      <c r="I374" s="25">
        <f>F374-G374</f>
        <v/>
      </c>
    </row>
    <row r="375">
      <c r="A375" s="16" t="inlineStr">
        <is>
          <t>2026-03-06</t>
        </is>
      </c>
      <c r="B375" s="19" t="n">
        <v>0.2329</v>
      </c>
      <c r="C375" s="19" t="n">
        <v>0.2871</v>
      </c>
      <c r="D375" s="19" t="n">
        <v>0.4016</v>
      </c>
      <c r="E375" s="19" t="n">
        <v>0.455</v>
      </c>
      <c r="F375" s="20" t="n">
        <v>54</v>
      </c>
      <c r="G375" s="20" t="n">
        <v>337</v>
      </c>
      <c r="H375" s="18" t="n">
        <v>0.16</v>
      </c>
      <c r="I375" s="25">
        <f>F375-G375</f>
        <v/>
      </c>
    </row>
    <row r="376">
      <c r="A376" s="16" t="inlineStr">
        <is>
          <t>2026-03-09</t>
        </is>
      </c>
      <c r="B376" s="19" t="n">
        <v>0.2131</v>
      </c>
      <c r="C376" s="19" t="n">
        <v>0.2857</v>
      </c>
      <c r="D376" s="19" t="n">
        <v>0.3982</v>
      </c>
      <c r="E376" s="19" t="n">
        <v>0.4542</v>
      </c>
      <c r="F376" s="20" t="n">
        <v>35</v>
      </c>
      <c r="G376" s="20" t="n">
        <v>472</v>
      </c>
      <c r="H376" s="18" t="n">
        <v>0.07000000000000001</v>
      </c>
      <c r="I376" s="25">
        <f>F376-G376</f>
        <v/>
      </c>
    </row>
    <row r="377">
      <c r="A377" s="16" t="inlineStr">
        <is>
          <t>2026-03-10</t>
        </is>
      </c>
      <c r="B377" s="19" t="n">
        <v>0.2157</v>
      </c>
      <c r="C377" s="19" t="n">
        <v>0.2847</v>
      </c>
      <c r="D377" s="19" t="n">
        <v>0.3951</v>
      </c>
      <c r="E377" s="19" t="n">
        <v>0.4534</v>
      </c>
      <c r="F377" s="20" t="n">
        <v>45</v>
      </c>
      <c r="G377" s="20" t="n">
        <v>297</v>
      </c>
      <c r="H377" s="18" t="n">
        <v>0.15</v>
      </c>
      <c r="I377" s="25">
        <f>F377-G377</f>
        <v/>
      </c>
    </row>
    <row r="378">
      <c r="A378" s="16" t="inlineStr">
        <is>
          <t>2026-03-11</t>
        </is>
      </c>
      <c r="B378" s="19" t="n">
        <v>0.2232</v>
      </c>
      <c r="C378" s="19" t="n">
        <v>0.2843</v>
      </c>
      <c r="D378" s="19" t="n">
        <v>0.3921</v>
      </c>
      <c r="E378" s="19" t="n">
        <v>0.4526</v>
      </c>
      <c r="F378" s="20" t="n">
        <v>54</v>
      </c>
      <c r="G378" s="20" t="n">
        <v>212</v>
      </c>
      <c r="H378" s="18" t="n">
        <v>0.25</v>
      </c>
      <c r="I378" s="25">
        <f>F378-G378</f>
        <v/>
      </c>
    </row>
    <row r="379">
      <c r="A379" s="16" t="inlineStr">
        <is>
          <t>2026-03-12</t>
        </is>
      </c>
      <c r="B379" s="19" t="n">
        <v>0.22</v>
      </c>
      <c r="C379" s="19" t="n">
        <v>0.2834</v>
      </c>
      <c r="D379" s="19" t="n">
        <v>0.389</v>
      </c>
      <c r="E379" s="19" t="n">
        <v>0.4517</v>
      </c>
      <c r="F379" s="20" t="n">
        <v>54</v>
      </c>
      <c r="G379" s="20" t="n">
        <v>254</v>
      </c>
      <c r="H379" s="18" t="n">
        <v>0.21</v>
      </c>
      <c r="I379" s="25">
        <f>F379-G379</f>
        <v/>
      </c>
    </row>
    <row r="380">
      <c r="A380" s="16" t="inlineStr">
        <is>
          <t>2026-03-13</t>
        </is>
      </c>
      <c r="B380" s="19" t="n">
        <v>0.1985</v>
      </c>
      <c r="C380" s="19" t="n">
        <v>0.2815</v>
      </c>
      <c r="D380" s="19" t="n">
        <v>0.3856</v>
      </c>
      <c r="E380" s="19" t="n">
        <v>0.4506</v>
      </c>
      <c r="F380" s="20" t="n">
        <v>32</v>
      </c>
      <c r="G380" s="20" t="n">
        <v>432</v>
      </c>
      <c r="H380" s="18" t="n">
        <v>0.07000000000000001</v>
      </c>
      <c r="I380" s="25">
        <f>F380-G380</f>
        <v/>
      </c>
    </row>
    <row r="381">
      <c r="A381" s="16" t="inlineStr">
        <is>
          <t>2026-03-16</t>
        </is>
      </c>
      <c r="B381" s="19" t="n">
        <v>0.1876</v>
      </c>
      <c r="C381" s="19" t="n">
        <v>0.2789</v>
      </c>
      <c r="D381" s="19" t="n">
        <v>0.3821</v>
      </c>
      <c r="E381" s="19" t="n">
        <v>0.4495</v>
      </c>
      <c r="F381" s="20" t="n">
        <v>23</v>
      </c>
      <c r="G381" s="20" t="n">
        <v>542</v>
      </c>
      <c r="H381" s="18" t="n">
        <v>0.04</v>
      </c>
      <c r="I381" s="25">
        <f>F381-G381</f>
        <v/>
      </c>
    </row>
    <row r="382">
      <c r="A382" s="16" t="inlineStr">
        <is>
          <t>2026-03-17</t>
        </is>
      </c>
      <c r="B382" s="19" t="n">
        <v>0.1962</v>
      </c>
      <c r="C382" s="19" t="n">
        <v>0.2769</v>
      </c>
      <c r="D382" s="19" t="n">
        <v>0.3786</v>
      </c>
      <c r="E382" s="19" t="n">
        <v>0.4484</v>
      </c>
      <c r="F382" s="20" t="n">
        <v>29</v>
      </c>
      <c r="G382" s="20" t="n">
        <v>458</v>
      </c>
      <c r="H382" s="18" t="n">
        <v>0.06</v>
      </c>
      <c r="I382" s="25">
        <f>F382-G382</f>
        <v/>
      </c>
    </row>
    <row r="383">
      <c r="A383" s="16" t="inlineStr">
        <is>
          <t>2026-03-18</t>
        </is>
      </c>
      <c r="B383" s="19" t="n">
        <v>0.2098</v>
      </c>
      <c r="C383" s="19" t="n">
        <v>0.2743</v>
      </c>
      <c r="D383" s="19" t="n">
        <v>0.3752</v>
      </c>
      <c r="E383" s="19" t="n">
        <v>0.4474</v>
      </c>
      <c r="F383" s="20" t="n">
        <v>31</v>
      </c>
      <c r="G383" s="20" t="n">
        <v>181</v>
      </c>
      <c r="H383" s="18" t="n">
        <v>0.17</v>
      </c>
      <c r="I383" s="25">
        <f>F383-G383</f>
        <v/>
      </c>
    </row>
    <row r="384">
      <c r="A384" s="16" t="inlineStr">
        <is>
          <t>2026-03-19</t>
        </is>
      </c>
      <c r="B384" s="19" t="n">
        <v>0.1974</v>
      </c>
      <c r="C384" s="19" t="n">
        <v>0.2706</v>
      </c>
      <c r="D384" s="19" t="n">
        <v>0.3716</v>
      </c>
      <c r="E384" s="19" t="n">
        <v>0.4463</v>
      </c>
      <c r="F384" s="20" t="n">
        <v>32</v>
      </c>
      <c r="G384" s="20" t="n">
        <v>311</v>
      </c>
      <c r="H384" s="18" t="n">
        <v>0.1</v>
      </c>
      <c r="I384" s="25">
        <f>F384-G384</f>
        <v/>
      </c>
    </row>
    <row r="385">
      <c r="A385" s="16" t="inlineStr">
        <is>
          <t>2026-03-20</t>
        </is>
      </c>
      <c r="B385" s="19" t="n">
        <v>0.1972</v>
      </c>
      <c r="C385" s="19" t="n">
        <v>0.2671</v>
      </c>
      <c r="D385" s="19" t="n">
        <v>0.3679</v>
      </c>
      <c r="E385" s="19" t="n">
        <v>0.4452</v>
      </c>
      <c r="F385" s="20" t="n">
        <v>34</v>
      </c>
      <c r="G385" s="20" t="n">
        <v>334</v>
      </c>
      <c r="H385" s="18" t="n">
        <v>0.1</v>
      </c>
      <c r="I385" s="25">
        <f>F385-G385</f>
        <v/>
      </c>
    </row>
    <row r="386">
      <c r="A386" s="16" t="inlineStr">
        <is>
          <t>2026-03-23</t>
        </is>
      </c>
      <c r="B386" s="19" t="n">
        <v>0.1706</v>
      </c>
      <c r="C386" s="19" t="n">
        <v>0.2627</v>
      </c>
      <c r="D386" s="19" t="n">
        <v>0.364</v>
      </c>
      <c r="E386" s="19" t="n">
        <v>0.4439</v>
      </c>
      <c r="F386" s="20" t="n">
        <v>31</v>
      </c>
      <c r="G386" s="20" t="n">
        <v>604</v>
      </c>
      <c r="H386" s="18" t="n">
        <v>0.05</v>
      </c>
      <c r="I386" s="25">
        <f>F386-G386</f>
        <v/>
      </c>
    </row>
    <row r="387">
      <c r="A387" s="16" t="inlineStr">
        <is>
          <t>2026-03-24</t>
        </is>
      </c>
      <c r="B387" s="19" t="n">
        <v>0.1727</v>
      </c>
      <c r="C387" s="19" t="n">
        <v>0.2575</v>
      </c>
      <c r="D387" s="19" t="n">
        <v>0.36</v>
      </c>
      <c r="E387" s="19" t="n">
        <v>0.4426</v>
      </c>
      <c r="F387" s="20" t="n">
        <v>29</v>
      </c>
      <c r="G387" s="20" t="n">
        <v>401</v>
      </c>
      <c r="H387" s="18" t="n">
        <v>0.07000000000000001</v>
      </c>
      <c r="I387" s="25">
        <f>F387-G387</f>
        <v/>
      </c>
    </row>
    <row r="388">
      <c r="A388" s="16" t="inlineStr">
        <is>
          <t>2026-03-25</t>
        </is>
      </c>
      <c r="B388" s="19" t="n">
        <v>0.1951</v>
      </c>
      <c r="C388" s="19" t="n">
        <v>0.2525</v>
      </c>
      <c r="D388" s="19" t="n">
        <v>0.3561</v>
      </c>
      <c r="E388" s="19" t="n">
        <v>0.4413</v>
      </c>
      <c r="F388" s="20" t="n">
        <v>41</v>
      </c>
      <c r="G388" s="20" t="n">
        <v>184</v>
      </c>
      <c r="H388" s="18" t="n">
        <v>0.22</v>
      </c>
      <c r="I388" s="25">
        <f>F388-G388</f>
        <v/>
      </c>
    </row>
    <row r="389">
      <c r="A389" s="16" t="inlineStr">
        <is>
          <t>2026-03-27</t>
        </is>
      </c>
      <c r="B389" s="19" t="n">
        <v>0.1839</v>
      </c>
      <c r="C389" s="19" t="n">
        <v>0.2469</v>
      </c>
      <c r="D389" s="19" t="n">
        <v>0.3522</v>
      </c>
      <c r="E389" s="19" t="n">
        <v>0.4398</v>
      </c>
      <c r="F389" s="20" t="n">
        <v>41</v>
      </c>
      <c r="G389" s="20" t="n">
        <v>394</v>
      </c>
      <c r="H389" s="18" t="n">
        <v>0.1</v>
      </c>
      <c r="I389" s="25">
        <f>F389-G389</f>
        <v/>
      </c>
    </row>
    <row r="390">
      <c r="A390" s="16" t="inlineStr">
        <is>
          <t>2026-03-30</t>
        </is>
      </c>
      <c r="B390" s="19" t="n">
        <v>0.1663</v>
      </c>
      <c r="C390" s="19" t="n">
        <v>0.2409</v>
      </c>
      <c r="D390" s="19" t="n">
        <v>0.3481</v>
      </c>
      <c r="E390" s="19" t="n">
        <v>0.4381</v>
      </c>
      <c r="F390" s="20" t="n">
        <v>28</v>
      </c>
      <c r="G390" s="20" t="n">
        <v>744</v>
      </c>
      <c r="H390" s="18" t="n">
        <v>0.04</v>
      </c>
      <c r="I390" s="25">
        <f>F390-G390</f>
        <v/>
      </c>
    </row>
    <row r="391">
      <c r="A391" s="16" t="inlineStr">
        <is>
          <t>2026-04-01</t>
        </is>
      </c>
      <c r="B391" s="19" t="n">
        <v>0.181</v>
      </c>
      <c r="C391" s="19" t="n">
        <v>0.2361</v>
      </c>
      <c r="D391" s="19" t="n">
        <v>0.3442</v>
      </c>
      <c r="E391" s="19" t="n">
        <v>0.4365</v>
      </c>
      <c r="F391" s="20" t="n">
        <v>33</v>
      </c>
      <c r="G391" s="20" t="n">
        <v>328</v>
      </c>
      <c r="H391" s="18" t="n">
        <v>0.1</v>
      </c>
      <c r="I391" s="25">
        <f>F391-G391</f>
        <v/>
      </c>
    </row>
    <row r="392">
      <c r="A392" s="16" t="inlineStr">
        <is>
          <t>2026-04-02</t>
        </is>
      </c>
      <c r="B392" s="19" t="n">
        <v>0.1853</v>
      </c>
      <c r="C392" s="19" t="n">
        <v>0.2319</v>
      </c>
      <c r="D392" s="19" t="n">
        <v>0.3407</v>
      </c>
      <c r="E392" s="19" t="n">
        <v>0.435</v>
      </c>
      <c r="F392" s="20" t="n">
        <v>34</v>
      </c>
      <c r="G392" s="20" t="n">
        <v>44</v>
      </c>
      <c r="H392" s="18" t="n">
        <v>0.77</v>
      </c>
      <c r="I392" s="25">
        <f>F392-G392</f>
        <v/>
      </c>
    </row>
    <row r="393">
      <c r="A393" s="16" t="inlineStr">
        <is>
          <t>2026-04-06</t>
        </is>
      </c>
      <c r="B393" s="19" t="n">
        <v>0.1938</v>
      </c>
      <c r="C393" s="19" t="n">
        <v>0.2279</v>
      </c>
      <c r="D393" s="19" t="n">
        <v>0.3373</v>
      </c>
      <c r="E393" s="19" t="n">
        <v>0.4335</v>
      </c>
      <c r="F393" s="20" t="n">
        <v>45</v>
      </c>
      <c r="G393" s="20" t="n">
        <v>29</v>
      </c>
      <c r="H393" s="18" t="n">
        <v>1.55</v>
      </c>
      <c r="I393" s="25">
        <f>F393-G393</f>
        <v/>
      </c>
    </row>
    <row r="394">
      <c r="A394" s="16" t="inlineStr">
        <is>
          <t>2026-04-07</t>
        </is>
      </c>
      <c r="B394" s="19" t="n">
        <v>0.2077</v>
      </c>
      <c r="C394" s="19" t="n">
        <v>0.2241</v>
      </c>
      <c r="D394" s="19" t="n">
        <v>0.3342</v>
      </c>
      <c r="E394" s="19" t="n">
        <v>0.4322</v>
      </c>
      <c r="F394" s="20" t="n">
        <v>47</v>
      </c>
      <c r="G394" s="20" t="n">
        <v>34</v>
      </c>
      <c r="H394" s="18" t="n">
        <v>1.38</v>
      </c>
      <c r="I394" s="25">
        <f>F394-G394</f>
        <v/>
      </c>
    </row>
    <row r="395">
      <c r="A395" s="16" t="inlineStr">
        <is>
          <t>2026-04-08</t>
        </is>
      </c>
      <c r="B395" s="19" t="n">
        <v>0.2465</v>
      </c>
      <c r="C395" s="19" t="n">
        <v>0.2221</v>
      </c>
      <c r="D395" s="19" t="n">
        <v>0.3317</v>
      </c>
      <c r="E395" s="19" t="n">
        <v>0.431</v>
      </c>
      <c r="F395" s="20" t="n">
        <v>69</v>
      </c>
      <c r="G395" s="20" t="n">
        <v>8</v>
      </c>
      <c r="H395" s="18" t="n">
        <v>8.630000000000001</v>
      </c>
      <c r="I395" s="25">
        <f>F395-G395</f>
        <v/>
      </c>
    </row>
    <row r="396">
      <c r="A396" s="16" t="inlineStr">
        <is>
          <t>2026-04-09</t>
        </is>
      </c>
      <c r="B396" s="19" t="n">
        <v>0.2624</v>
      </c>
      <c r="C396" s="19" t="n">
        <v>0.2209</v>
      </c>
      <c r="D396" s="19" t="n">
        <v>0.3290999999999999</v>
      </c>
      <c r="E396" s="19" t="n">
        <v>0.43</v>
      </c>
      <c r="F396" s="20" t="n">
        <v>76</v>
      </c>
      <c r="G396" s="20" t="n">
        <v>5</v>
      </c>
      <c r="H396" s="18" t="n">
        <v>15.2</v>
      </c>
      <c r="I396" s="25">
        <f>F396-G396</f>
        <v/>
      </c>
    </row>
    <row r="397">
      <c r="A397" s="16" t="inlineStr">
        <is>
          <t>2026-04-10</t>
        </is>
      </c>
      <c r="B397" s="19" t="n">
        <v>0.2814</v>
      </c>
      <c r="C397" s="19" t="n">
        <v>0.2203</v>
      </c>
      <c r="D397" s="19" t="n">
        <v>0.3267</v>
      </c>
      <c r="E397" s="19" t="n">
        <v>0.4293</v>
      </c>
      <c r="F397" s="20" t="n">
        <v>97</v>
      </c>
      <c r="G397" s="20" t="n">
        <v>3</v>
      </c>
      <c r="H397" s="18" t="n">
        <v>32.33</v>
      </c>
      <c r="I397" s="25">
        <f>F397-G397</f>
        <v/>
      </c>
    </row>
    <row r="398">
      <c r="A398" s="16" t="inlineStr">
        <is>
          <t>2026-04-13</t>
        </is>
      </c>
      <c r="B398" s="19" t="n">
        <v>0.2894</v>
      </c>
      <c r="C398" s="19" t="n">
        <v>0.2204</v>
      </c>
      <c r="D398" s="19" t="n">
        <v>0.3245</v>
      </c>
      <c r="E398" s="19" t="n">
        <v>0.4286</v>
      </c>
      <c r="F398" s="20" t="n">
        <v>101</v>
      </c>
      <c r="G398" s="20" t="n">
        <v>4</v>
      </c>
      <c r="H398" s="18" t="n">
        <v>25.25</v>
      </c>
      <c r="I398" s="25">
        <f>F398-G398</f>
        <v/>
      </c>
    </row>
    <row r="399">
      <c r="A399" s="16" t="inlineStr">
        <is>
          <t>2026-04-15</t>
        </is>
      </c>
      <c r="B399" s="19" t="n">
        <v>0.3153</v>
      </c>
      <c r="C399" s="19" t="n">
        <v>0.2213</v>
      </c>
      <c r="D399" s="19" t="n">
        <v>0.3224</v>
      </c>
      <c r="E399" s="19" t="n">
        <v>0.4281</v>
      </c>
      <c r="F399" s="20" t="n">
        <v>128</v>
      </c>
      <c r="G399" s="20" t="n">
        <v>4</v>
      </c>
      <c r="H399" s="18" t="n">
        <v>32</v>
      </c>
      <c r="I399" s="25">
        <f>F399-G399</f>
        <v/>
      </c>
    </row>
    <row r="400">
      <c r="A400" s="16" t="inlineStr">
        <is>
          <t>2026-04-16</t>
        </is>
      </c>
      <c r="B400" s="19" t="n">
        <v>0.3427</v>
      </c>
      <c r="C400" s="19" t="n">
        <v>0.2227</v>
      </c>
      <c r="D400" s="19" t="n">
        <v>0.3206</v>
      </c>
      <c r="E400" s="19" t="n">
        <v>0.4275</v>
      </c>
      <c r="F400" s="20" t="n">
        <v>131</v>
      </c>
      <c r="G400" s="20" t="n">
        <v>1</v>
      </c>
      <c r="H400" s="18" t="n">
        <v>131</v>
      </c>
      <c r="I400" s="25">
        <f>F400-G400</f>
        <v/>
      </c>
    </row>
    <row r="401">
      <c r="A401" s="16" t="inlineStr">
        <is>
          <t>2026-04-17</t>
        </is>
      </c>
      <c r="B401" s="19" t="n">
        <v>0.3661</v>
      </c>
      <c r="C401" s="19" t="n">
        <v>0.2255</v>
      </c>
      <c r="D401" s="19" t="n">
        <v>0.3191</v>
      </c>
      <c r="E401" s="19" t="n">
        <v>0.427</v>
      </c>
      <c r="F401" s="20" t="n">
        <v>138</v>
      </c>
      <c r="G401" s="20" t="n">
        <v>0</v>
      </c>
      <c r="H401" s="18" t="n"/>
      <c r="I401" s="25">
        <f>F401-G401</f>
        <v/>
      </c>
    </row>
    <row r="402">
      <c r="A402" s="16" t="inlineStr">
        <is>
          <t>2026-04-20</t>
        </is>
      </c>
      <c r="B402" s="19" t="n">
        <v>0.373</v>
      </c>
      <c r="C402" s="19" t="n">
        <v>0.2294</v>
      </c>
      <c r="D402" s="19" t="n">
        <v>0.3178</v>
      </c>
      <c r="E402" s="19" t="n">
        <v>0.4264</v>
      </c>
      <c r="F402" s="20" t="n">
        <v>130</v>
      </c>
      <c r="G402" s="20" t="n">
        <v>6</v>
      </c>
      <c r="H402" s="18" t="n">
        <v>21.67</v>
      </c>
      <c r="I402" s="25">
        <f>F402-G402</f>
        <v/>
      </c>
    </row>
    <row r="403">
      <c r="A403" s="16" t="inlineStr">
        <is>
          <t>2026-04-21</t>
        </is>
      </c>
      <c r="B403" s="19" t="n">
        <v>0.3815</v>
      </c>
      <c r="C403" s="19" t="n">
        <v>0.2345</v>
      </c>
      <c r="D403" s="19" t="n">
        <v>0.3169</v>
      </c>
      <c r="E403" s="19" t="n">
        <v>0.4258</v>
      </c>
      <c r="F403" s="20" t="n">
        <v>127</v>
      </c>
      <c r="G403" s="20" t="n">
        <v>6</v>
      </c>
      <c r="H403" s="18" t="n">
        <v>21.17</v>
      </c>
      <c r="I403" s="25">
        <f>F403-G403</f>
        <v/>
      </c>
    </row>
    <row r="404">
      <c r="A404" s="16" t="inlineStr">
        <is>
          <t>2026-04-22</t>
        </is>
      </c>
      <c r="B404" s="19" t="n">
        <v>0.3887</v>
      </c>
      <c r="C404" s="19" t="n">
        <v>0.2398</v>
      </c>
      <c r="D404" s="19" t="n">
        <v>0.3162</v>
      </c>
      <c r="E404" s="19" t="n">
        <v>0.4252</v>
      </c>
      <c r="F404" s="20" t="n">
        <v>144</v>
      </c>
      <c r="G404" s="20" t="n">
        <v>4</v>
      </c>
      <c r="H404" s="18" t="n">
        <v>36</v>
      </c>
      <c r="I404" s="25">
        <f>F404-G404</f>
        <v/>
      </c>
    </row>
    <row r="405">
      <c r="A405" s="16" t="inlineStr">
        <is>
          <t>2026-04-23</t>
        </is>
      </c>
      <c r="B405" s="19" t="n">
        <v>0.3911</v>
      </c>
      <c r="C405" s="19" t="n">
        <v>0.2451</v>
      </c>
      <c r="D405" s="19" t="n">
        <v>0.3157</v>
      </c>
      <c r="E405" s="19" t="n">
        <v>0.4245</v>
      </c>
      <c r="F405" s="20" t="n">
        <v>121</v>
      </c>
      <c r="G405" s="20" t="n">
        <v>5</v>
      </c>
      <c r="H405" s="18" t="n">
        <v>24.2</v>
      </c>
      <c r="I405" s="25">
        <f>F405-G405</f>
        <v/>
      </c>
    </row>
    <row r="406">
      <c r="A406" s="16" t="inlineStr">
        <is>
          <t>2026-04-24</t>
        </is>
      </c>
      <c r="B406" s="19" t="n">
        <v>0.3824</v>
      </c>
      <c r="C406" s="19" t="n">
        <v>0.2508</v>
      </c>
      <c r="D406" s="19" t="n">
        <v>0.315</v>
      </c>
      <c r="E406" s="19" t="n">
        <v>0.4238</v>
      </c>
      <c r="F406" s="20" t="n">
        <v>99</v>
      </c>
      <c r="G406" s="20" t="n">
        <v>7</v>
      </c>
      <c r="H406" s="18" t="n">
        <v>14.14</v>
      </c>
      <c r="I406" s="25">
        <f>F406-G406</f>
        <v/>
      </c>
    </row>
    <row r="407">
      <c r="A407" s="16" t="inlineStr">
        <is>
          <t>2026-04-27</t>
        </is>
      </c>
      <c r="B407" s="19" t="n">
        <v>0.397</v>
      </c>
      <c r="C407" s="19" t="n">
        <v>0.2568</v>
      </c>
      <c r="D407" s="19" t="n">
        <v>0.3144</v>
      </c>
      <c r="E407" s="19" t="n">
        <v>0.4231</v>
      </c>
      <c r="F407" s="20" t="n">
        <v>138</v>
      </c>
      <c r="G407" s="20" t="n">
        <v>2</v>
      </c>
      <c r="H407" s="18" t="n">
        <v>69</v>
      </c>
      <c r="I407" s="25">
        <f>F407-G407</f>
        <v/>
      </c>
    </row>
    <row r="408">
      <c r="A408" s="16" t="inlineStr">
        <is>
          <t>2026-04-28</t>
        </is>
      </c>
      <c r="B408" s="19" t="n">
        <v>0.4129</v>
      </c>
      <c r="C408" s="19" t="n">
        <v>0.2631</v>
      </c>
      <c r="D408" s="19" t="n">
        <v>0.3139</v>
      </c>
      <c r="E408" s="19" t="n">
        <v>0.4224</v>
      </c>
      <c r="F408" s="20" t="n">
        <v>144</v>
      </c>
      <c r="G408" s="20" t="n">
        <v>4</v>
      </c>
      <c r="H408" s="18" t="n">
        <v>36</v>
      </c>
      <c r="I408" s="25">
        <f>F408-G408</f>
        <v/>
      </c>
    </row>
    <row r="409">
      <c r="A409" s="16" t="inlineStr">
        <is>
          <t>2026-04-29</t>
        </is>
      </c>
      <c r="B409" s="19" t="n">
        <v>0.4122</v>
      </c>
      <c r="C409" s="19" t="n">
        <v>0.2695</v>
      </c>
      <c r="D409" s="19" t="n">
        <v>0.3134</v>
      </c>
      <c r="E409" s="19" t="n">
        <v>0.4217</v>
      </c>
      <c r="F409" s="20" t="n">
        <v>138</v>
      </c>
      <c r="G409" s="20" t="n">
        <v>4</v>
      </c>
      <c r="H409" s="18" t="n">
        <v>34.5</v>
      </c>
      <c r="I409" s="25">
        <f>F409-G409</f>
        <v/>
      </c>
    </row>
    <row r="410">
      <c r="A410" s="16" t="inlineStr">
        <is>
          <t>2026-04-30</t>
        </is>
      </c>
      <c r="B410" s="19" t="n">
        <v>0.4093</v>
      </c>
      <c r="C410" s="19" t="n">
        <v>0.2766</v>
      </c>
      <c r="D410" s="19" t="n">
        <v>0.3129</v>
      </c>
      <c r="E410" s="19" t="n">
        <v>0.4211</v>
      </c>
      <c r="F410" s="20" t="n">
        <v>132</v>
      </c>
      <c r="G410" s="20" t="n">
        <v>8</v>
      </c>
      <c r="H410" s="18" t="n">
        <v>16.5</v>
      </c>
      <c r="I410" s="25">
        <f>F410-G410</f>
        <v/>
      </c>
    </row>
    <row r="411">
      <c r="A411" s="16" t="inlineStr">
        <is>
          <t>2026-05-01</t>
        </is>
      </c>
      <c r="B411" s="19" t="n">
        <v>0.4075</v>
      </c>
      <c r="C411" s="19" t="n">
        <v>0.2839</v>
      </c>
      <c r="D411" s="19" t="n">
        <v>0.3125</v>
      </c>
      <c r="E411" s="19" t="n">
        <v>0.4204</v>
      </c>
      <c r="F411" s="20" t="n">
        <v>139</v>
      </c>
      <c r="G411" s="20" t="n">
        <v>8</v>
      </c>
      <c r="H411" s="18" t="n">
        <v>17.38</v>
      </c>
      <c r="I411" s="25">
        <f>F411-G411</f>
        <v/>
      </c>
    </row>
    <row r="412">
      <c r="A412" s="16" t="inlineStr">
        <is>
          <t>2026-05-04</t>
        </is>
      </c>
      <c r="B412" s="19" t="n">
        <v>0.4323</v>
      </c>
      <c r="C412" s="19" t="n">
        <v>0.2918</v>
      </c>
      <c r="D412" s="19" t="n">
        <v>0.3125</v>
      </c>
      <c r="E412" s="19" t="n">
        <v>0.4198</v>
      </c>
      <c r="F412" s="20" t="n">
        <v>180</v>
      </c>
      <c r="G412" s="20" t="n">
        <v>8</v>
      </c>
      <c r="H412" s="18" t="n">
        <v>22.5</v>
      </c>
      <c r="I412" s="25">
        <f>F412-G412</f>
        <v/>
      </c>
    </row>
    <row r="413">
      <c r="A413" s="16" t="inlineStr">
        <is>
          <t>2026-05-05</t>
        </is>
      </c>
      <c r="B413" s="19" t="n">
        <v>0.4429999999999999</v>
      </c>
      <c r="C413" s="19" t="n">
        <v>0.2995</v>
      </c>
      <c r="D413" s="19" t="n">
        <v>0.3127</v>
      </c>
      <c r="E413" s="19" t="n">
        <v>0.4192</v>
      </c>
      <c r="F413" s="20" t="n">
        <v>165</v>
      </c>
      <c r="G413" s="20" t="n">
        <v>8</v>
      </c>
      <c r="H413" s="18" t="n">
        <v>20.63</v>
      </c>
      <c r="I413" s="25">
        <f>F413-G413</f>
        <v/>
      </c>
    </row>
    <row r="414">
      <c r="A414" s="16" t="inlineStr">
        <is>
          <t>2026-05-06</t>
        </is>
      </c>
      <c r="B414" s="19" t="n">
        <v>0.4863</v>
      </c>
      <c r="C414" s="19" t="n">
        <v>0.3092</v>
      </c>
      <c r="D414" s="19" t="n">
        <v>0.3136</v>
      </c>
      <c r="E414" s="19" t="n">
        <v>0.4189</v>
      </c>
      <c r="F414" s="20" t="n">
        <v>166</v>
      </c>
      <c r="G414" s="20" t="n">
        <v>4</v>
      </c>
      <c r="H414" s="18" t="n">
        <v>41.5</v>
      </c>
      <c r="I414" s="25">
        <f>F414-G414</f>
        <v/>
      </c>
    </row>
    <row r="415">
      <c r="A415" s="16" t="inlineStr">
        <is>
          <t>2026-05-07</t>
        </is>
      </c>
      <c r="B415" s="19" t="n">
        <v>0.5185</v>
      </c>
      <c r="C415" s="19" t="n">
        <v>0.3199</v>
      </c>
      <c r="D415" s="19" t="n">
        <v>0.3149</v>
      </c>
      <c r="E415" s="19" t="n">
        <v>0.4187</v>
      </c>
      <c r="F415" s="20" t="n">
        <v>209</v>
      </c>
      <c r="G415" s="20" t="n">
        <v>4</v>
      </c>
      <c r="H415" s="18" t="n">
        <v>52.25</v>
      </c>
      <c r="I415" s="25">
        <f>F415-G415</f>
        <v/>
      </c>
    </row>
    <row r="416">
      <c r="A416" s="16" t="inlineStr">
        <is>
          <t>2026-05-08</t>
        </is>
      </c>
      <c r="B416" s="19" t="n">
        <v>0.518</v>
      </c>
      <c r="C416" s="19" t="n">
        <v>0.3314</v>
      </c>
      <c r="D416" s="19" t="n">
        <v>0.3163</v>
      </c>
      <c r="E416" s="19" t="n">
        <v>0.4183</v>
      </c>
      <c r="F416" s="20" t="n">
        <v>182</v>
      </c>
      <c r="G416" s="20" t="n">
        <v>2</v>
      </c>
      <c r="H416" s="18" t="n">
        <v>91</v>
      </c>
      <c r="I416" s="25">
        <f>F416-G416</f>
        <v/>
      </c>
    </row>
    <row r="417">
      <c r="A417" s="16" t="inlineStr">
        <is>
          <t>2026-05-11</t>
        </is>
      </c>
      <c r="B417" s="19" t="n">
        <v>0.4813</v>
      </c>
      <c r="C417" s="19" t="n">
        <v>0.3417</v>
      </c>
      <c r="D417" s="19" t="n">
        <v>0.3172</v>
      </c>
      <c r="E417" s="19" t="n">
        <v>0.4177</v>
      </c>
      <c r="F417" s="20" t="n">
        <v>135</v>
      </c>
      <c r="G417" s="20" t="n">
        <v>7</v>
      </c>
      <c r="H417" s="18" t="n">
        <v>19.29</v>
      </c>
      <c r="I417" s="25">
        <f>F417-G417</f>
        <v/>
      </c>
    </row>
    <row r="418">
      <c r="A418" s="16" t="inlineStr">
        <is>
          <t>2026-05-12</t>
        </is>
      </c>
      <c r="B418" s="19" t="n">
        <v>0.4061</v>
      </c>
      <c r="C418" s="19" t="n">
        <v>0.3488</v>
      </c>
      <c r="D418" s="19" t="n">
        <v>0.3173</v>
      </c>
      <c r="E418" s="19" t="n">
        <v>0.4168</v>
      </c>
      <c r="F418" s="20" t="n">
        <v>62</v>
      </c>
      <c r="G418" s="20" t="n">
        <v>25</v>
      </c>
      <c r="H418" s="18" t="n">
        <v>2.48</v>
      </c>
      <c r="I418" s="25">
        <f>F418-G418</f>
        <v/>
      </c>
    </row>
    <row r="419">
      <c r="A419" s="16" t="inlineStr">
        <is>
          <t>2026-05-13</t>
        </is>
      </c>
      <c r="B419" s="19" t="n">
        <v>0.4219</v>
      </c>
      <c r="C419" s="19" t="n">
        <v>0.3567</v>
      </c>
      <c r="D419" s="19" t="n">
        <v>0.3175</v>
      </c>
      <c r="E419" s="19" t="n">
        <v>0.4159</v>
      </c>
      <c r="F419" s="20" t="n">
        <v>89</v>
      </c>
      <c r="G419" s="20" t="n">
        <v>29</v>
      </c>
      <c r="H419" s="18" t="n">
        <v>3.07</v>
      </c>
      <c r="I419" s="25">
        <f>F419-G419</f>
        <v/>
      </c>
    </row>
    <row r="420">
      <c r="A420" s="16" t="inlineStr">
        <is>
          <t>2026-05-14</t>
        </is>
      </c>
      <c r="B420" s="19" t="n">
        <v>0.4256</v>
      </c>
      <c r="C420" s="19" t="n">
        <v>0.3653</v>
      </c>
      <c r="D420" s="19" t="n">
        <v>0.3178</v>
      </c>
      <c r="E420" s="19" t="n">
        <v>0.4151</v>
      </c>
      <c r="F420" s="20" t="n">
        <v>96</v>
      </c>
      <c r="G420" s="20" t="n">
        <v>27</v>
      </c>
      <c r="H420" s="18" t="n">
        <v>3.56</v>
      </c>
      <c r="I420" s="25">
        <f>F420-G420</f>
        <v/>
      </c>
    </row>
    <row r="421">
      <c r="A421" s="16" t="inlineStr">
        <is>
          <t>2026-05-15</t>
        </is>
      </c>
      <c r="B421" s="19" t="n">
        <v>0.4231</v>
      </c>
      <c r="C421" s="19" t="n">
        <v>0.3734</v>
      </c>
      <c r="D421" s="19" t="n">
        <v>0.3181</v>
      </c>
      <c r="E421" s="19" t="n">
        <v>0.4142</v>
      </c>
      <c r="F421" s="20" t="n">
        <v>88</v>
      </c>
      <c r="G421" s="20" t="n">
        <v>29</v>
      </c>
      <c r="H421" s="18" t="n">
        <v>3.03</v>
      </c>
      <c r="I421" s="25">
        <f>F421-G421</f>
        <v/>
      </c>
    </row>
    <row r="422">
      <c r="A422" s="16" t="inlineStr">
        <is>
          <t>2026-05-18</t>
        </is>
      </c>
      <c r="B422" s="19" t="n">
        <v>0.3862</v>
      </c>
      <c r="C422" s="19" t="n">
        <v>0.3801</v>
      </c>
      <c r="D422" s="19" t="n">
        <v>0.3181</v>
      </c>
      <c r="E422" s="19" t="n">
        <v>0.4132</v>
      </c>
      <c r="F422" s="20" t="n">
        <v>68</v>
      </c>
      <c r="G422" s="20" t="n">
        <v>42</v>
      </c>
      <c r="H422" s="18" t="n">
        <v>1.62</v>
      </c>
      <c r="I422" s="25">
        <f>F422-G422</f>
        <v/>
      </c>
    </row>
    <row r="423">
      <c r="A423" s="16" t="inlineStr">
        <is>
          <t>2026-05-19</t>
        </is>
      </c>
      <c r="B423" s="19" t="n">
        <v>0.4125</v>
      </c>
      <c r="C423" s="19" t="n">
        <v>0.3874</v>
      </c>
      <c r="D423" s="19" t="n">
        <v>0.3183</v>
      </c>
      <c r="E423" s="19" t="n">
        <v>0.4124</v>
      </c>
      <c r="F423" s="20" t="n">
        <v>85</v>
      </c>
      <c r="G423" s="20" t="n">
        <v>24</v>
      </c>
      <c r="H423" s="18" t="n">
        <v>3.54</v>
      </c>
      <c r="I423" s="25">
        <f>F423-G423</f>
        <v/>
      </c>
    </row>
    <row r="424">
      <c r="A424" s="16" t="inlineStr">
        <is>
          <t>2026-05-20</t>
        </is>
      </c>
      <c r="B424" s="19" t="n">
        <v>0.4115</v>
      </c>
      <c r="C424" s="19" t="n">
        <v>0.3942</v>
      </c>
      <c r="D424" s="19" t="n">
        <v>0.3184</v>
      </c>
      <c r="E424" s="19" t="n">
        <v>0.4118</v>
      </c>
      <c r="F424" s="20" t="n">
        <v>97</v>
      </c>
      <c r="G424" s="20" t="n">
        <v>26</v>
      </c>
      <c r="H424" s="18" t="n">
        <v>3.73</v>
      </c>
      <c r="I424" s="25">
        <f>F424-G424</f>
        <v/>
      </c>
    </row>
    <row r="425">
      <c r="A425" s="16" t="inlineStr">
        <is>
          <t>2026-05-21</t>
        </is>
      </c>
      <c r="B425" s="19" t="n">
        <v>0.4305</v>
      </c>
      <c r="C425" s="19" t="n">
        <v>0.4003</v>
      </c>
      <c r="D425" s="19" t="n">
        <v>0.3185</v>
      </c>
      <c r="E425" s="19" t="n">
        <v>0.4113</v>
      </c>
      <c r="F425" s="20" t="n">
        <v>127</v>
      </c>
      <c r="G425" s="20" t="n">
        <v>27</v>
      </c>
      <c r="H425" s="18" t="n">
        <v>4.7</v>
      </c>
      <c r="I425" s="25">
        <f>F425-G425</f>
        <v/>
      </c>
    </row>
    <row r="426">
      <c r="A426" s="16" t="inlineStr">
        <is>
          <t>2026-05-22</t>
        </is>
      </c>
      <c r="B426" s="19" t="n">
        <v>0.4353</v>
      </c>
      <c r="C426" s="19" t="n">
        <v>0.4061</v>
      </c>
      <c r="D426" s="19" t="n">
        <v>0.3188</v>
      </c>
      <c r="E426" s="19" t="n">
        <v>0.4108</v>
      </c>
      <c r="F426" s="20" t="n">
        <v>112</v>
      </c>
      <c r="G426" s="20" t="n">
        <v>27</v>
      </c>
      <c r="H426" s="18" t="n">
        <v>4.15</v>
      </c>
      <c r="I426" s="25">
        <f>F426-G426</f>
        <v/>
      </c>
    </row>
    <row r="427">
      <c r="A427" s="16" t="inlineStr">
        <is>
          <t>2026-05-25</t>
        </is>
      </c>
      <c r="B427" s="19" t="n">
        <v>0.4621</v>
      </c>
      <c r="C427" s="19" t="n">
        <v>0.4121</v>
      </c>
      <c r="D427" s="19" t="n">
        <v>0.3192</v>
      </c>
      <c r="E427" s="19" t="n">
        <v>0.4105</v>
      </c>
      <c r="F427" s="20" t="n">
        <v>147</v>
      </c>
      <c r="G427" s="20" t="n">
        <v>14</v>
      </c>
      <c r="H427" s="18" t="n">
        <v>10.5</v>
      </c>
      <c r="I427" s="25">
        <f>F427-G427</f>
        <v/>
      </c>
    </row>
    <row r="428">
      <c r="A428" s="16" t="inlineStr">
        <is>
          <t>2026-05-26</t>
        </is>
      </c>
      <c r="B428" s="19" t="n">
        <v>0.4693</v>
      </c>
      <c r="C428" s="19" t="n">
        <v>0.4181</v>
      </c>
      <c r="D428" s="19" t="n">
        <v>0.3199</v>
      </c>
      <c r="E428" s="19" t="n">
        <v>0.4103</v>
      </c>
      <c r="F428" s="20" t="n">
        <v>143</v>
      </c>
      <c r="G428" s="20" t="n">
        <v>17</v>
      </c>
      <c r="H428" s="18" t="n">
        <v>8.41</v>
      </c>
      <c r="I428" s="25">
        <f>F428-G428</f>
        <v/>
      </c>
    </row>
    <row r="429">
      <c r="A429" s="16" t="inlineStr">
        <is>
          <t>2026-05-27</t>
        </is>
      </c>
      <c r="B429" s="19" t="n">
        <v>0.4769</v>
      </c>
      <c r="C429" s="19" t="n">
        <v>0.4235</v>
      </c>
      <c r="D429" s="19" t="n">
        <v>0.3207</v>
      </c>
      <c r="E429" s="19" t="n">
        <v>0.4102</v>
      </c>
      <c r="F429" s="20" t="n">
        <v>167</v>
      </c>
      <c r="G429" s="20" t="n">
        <v>19</v>
      </c>
      <c r="H429" s="18" t="n">
        <v>8.789999999999999</v>
      </c>
      <c r="I429" s="25">
        <f>F429-G429</f>
        <v/>
      </c>
    </row>
    <row r="430">
      <c r="A430" s="16" t="inlineStr">
        <is>
          <t>2026-05-28</t>
        </is>
      </c>
      <c r="B430" s="19" t="n">
        <v>0.4767</v>
      </c>
      <c r="C430" s="19" t="n">
        <v>0.428</v>
      </c>
      <c r="D430" s="19" t="n">
        <v>0.3215999999999999</v>
      </c>
      <c r="E430" s="19" t="n">
        <v>0.41</v>
      </c>
      <c r="F430" s="20" t="n">
        <v>165</v>
      </c>
      <c r="G430" s="20" t="n">
        <v>19</v>
      </c>
      <c r="H430" s="18" t="n">
        <v>8.68</v>
      </c>
      <c r="I430" s="25">
        <f>F430-G430</f>
        <v/>
      </c>
    </row>
    <row r="431">
      <c r="A431" s="16" t="inlineStr">
        <is>
          <t>2026-05-29</t>
        </is>
      </c>
      <c r="B431" s="19" t="n">
        <v>0.4557</v>
      </c>
      <c r="C431" s="19" t="n">
        <v>0.4309000000000001</v>
      </c>
      <c r="D431" s="19" t="n">
        <v>0.3221</v>
      </c>
      <c r="E431" s="19" t="n">
        <v>0.4097999999999999</v>
      </c>
      <c r="F431" s="20" t="n">
        <v>126</v>
      </c>
      <c r="G431" s="20" t="n">
        <v>36</v>
      </c>
      <c r="H431" s="18" t="n">
        <v>3.5</v>
      </c>
      <c r="I431" s="25">
        <f>F431-G431</f>
        <v/>
      </c>
    </row>
    <row r="432">
      <c r="A432" s="16" t="inlineStr">
        <is>
          <t>2026-06-01</t>
        </is>
      </c>
      <c r="B432" s="19" t="n">
        <v>0.4346</v>
      </c>
      <c r="C432" s="19" t="n">
        <v>0.433</v>
      </c>
      <c r="D432" s="19" t="n">
        <v>0.3222</v>
      </c>
      <c r="E432" s="19" t="n">
        <v>0.4095</v>
      </c>
      <c r="F432" s="20" t="n">
        <v>108</v>
      </c>
      <c r="G432" s="20" t="n">
        <v>46</v>
      </c>
      <c r="H432" s="18" t="n">
        <v>2.35</v>
      </c>
      <c r="I432" s="25">
        <f>F432-G432</f>
        <v/>
      </c>
    </row>
    <row r="433">
      <c r="A433" s="16" t="inlineStr">
        <is>
          <t>2026-06-02</t>
        </is>
      </c>
      <c r="B433" s="19" t="n">
        <v>0.4503</v>
      </c>
      <c r="C433" s="19" t="n">
        <v>0.4353</v>
      </c>
      <c r="D433" s="19" t="n">
        <v>0.3226</v>
      </c>
      <c r="E433" s="19" t="n">
        <v>0.4095</v>
      </c>
      <c r="F433" s="20" t="n">
        <v>132</v>
      </c>
      <c r="G433" s="20" t="n">
        <v>32</v>
      </c>
      <c r="H433" s="18" t="n">
        <v>4.13</v>
      </c>
      <c r="I433" s="25">
        <f>F433-G433</f>
        <v/>
      </c>
    </row>
    <row r="434">
      <c r="A434" s="16" t="inlineStr">
        <is>
          <t>2026-06-03</t>
        </is>
      </c>
      <c r="B434" s="19" t="n">
        <v>0.4524</v>
      </c>
      <c r="C434" s="19" t="n">
        <v>0.4374</v>
      </c>
      <c r="D434" s="19" t="n">
        <v>0.323</v>
      </c>
      <c r="E434" s="19" t="n">
        <v>0.4094</v>
      </c>
      <c r="F434" s="20" t="n">
        <v>133</v>
      </c>
      <c r="G434" s="20" t="n">
        <v>46</v>
      </c>
      <c r="H434" s="18" t="n">
        <v>2.89</v>
      </c>
      <c r="I434" s="25">
        <f>F434-G434</f>
        <v/>
      </c>
    </row>
    <row r="435">
      <c r="A435" s="16" t="inlineStr">
        <is>
          <t>2026-06-04</t>
        </is>
      </c>
      <c r="B435" s="19" t="n">
        <v>0.4691</v>
      </c>
      <c r="C435" s="19" t="n">
        <v>0.44</v>
      </c>
      <c r="D435" s="19" t="n">
        <v>0.3235</v>
      </c>
      <c r="E435" s="19" t="n">
        <v>0.4095</v>
      </c>
      <c r="F435" s="20" t="n">
        <v>149</v>
      </c>
      <c r="G435" s="20" t="n">
        <v>42</v>
      </c>
      <c r="H435" s="18" t="n">
        <v>3.55</v>
      </c>
      <c r="I435" s="25">
        <f>F435-G435</f>
        <v/>
      </c>
    </row>
    <row r="436">
      <c r="A436" s="16" t="inlineStr">
        <is>
          <t>2026-06-05</t>
        </is>
      </c>
      <c r="B436" s="19" t="n">
        <v>0.4691</v>
      </c>
      <c r="C436" s="19" t="n">
        <v>0.4429</v>
      </c>
      <c r="D436" s="19" t="n">
        <v>0.3244</v>
      </c>
      <c r="E436" s="19" t="n">
        <v>0.4094</v>
      </c>
      <c r="F436" s="20" t="n">
        <v>125</v>
      </c>
      <c r="G436" s="20" t="n">
        <v>33</v>
      </c>
      <c r="H436" s="18" t="n">
        <v>3.79</v>
      </c>
      <c r="I436" s="25">
        <f>F436-G436</f>
        <v/>
      </c>
    </row>
    <row r="437">
      <c r="A437" s="16" t="inlineStr">
        <is>
          <t>2026-06-08</t>
        </is>
      </c>
      <c r="B437" s="19" t="n">
        <v>0.431</v>
      </c>
      <c r="C437" s="19" t="n">
        <v>0.444</v>
      </c>
      <c r="D437" s="19" t="n">
        <v>0.3252</v>
      </c>
      <c r="E437" s="19" t="n">
        <v>0.4093</v>
      </c>
      <c r="F437" s="20" t="n">
        <v>78</v>
      </c>
      <c r="G437" s="20" t="n">
        <v>66</v>
      </c>
      <c r="H437" s="18" t="n">
        <v>1.18</v>
      </c>
      <c r="I437" s="25">
        <f>F437-G437</f>
        <v/>
      </c>
    </row>
    <row r="438">
      <c r="A438" s="16" t="inlineStr">
        <is>
          <t>2026-06-09</t>
        </is>
      </c>
      <c r="B438" s="19" t="n">
        <v>0.4576</v>
      </c>
      <c r="C438" s="19" t="n">
        <v>0.4455</v>
      </c>
      <c r="D438" s="19" t="n">
        <v>0.3264</v>
      </c>
      <c r="E438" s="19" t="n">
        <v>0.4091</v>
      </c>
      <c r="F438" s="20" t="n">
        <v>119</v>
      </c>
      <c r="G438" s="20" t="n">
        <v>37</v>
      </c>
      <c r="H438" s="18" t="n">
        <v>3.22</v>
      </c>
      <c r="I438" s="25">
        <f>F438-G438</f>
        <v/>
      </c>
    </row>
    <row r="439">
      <c r="A439" s="16" t="inlineStr">
        <is>
          <t>2026-06-10</t>
        </is>
      </c>
      <c r="B439" s="19" t="n">
        <v>0.4451</v>
      </c>
      <c r="C439" s="19" t="n">
        <v>0.4465999999999999</v>
      </c>
      <c r="D439" s="19" t="n">
        <v>0.3276</v>
      </c>
      <c r="E439" s="19" t="n">
        <v>0.4089</v>
      </c>
      <c r="F439" s="20" t="n">
        <v>70</v>
      </c>
      <c r="G439" s="20" t="n">
        <v>45</v>
      </c>
      <c r="H439" s="18" t="n">
        <v>1.56</v>
      </c>
      <c r="I439" s="25">
        <f>F439-G439</f>
        <v/>
      </c>
    </row>
    <row r="440">
      <c r="A440" s="16" t="inlineStr">
        <is>
          <t>2026-06-11</t>
        </is>
      </c>
      <c r="B440" s="19" t="n">
        <v>0.4167</v>
      </c>
      <c r="C440" s="19" t="n">
        <v>0.4469</v>
      </c>
      <c r="D440" s="19" t="n">
        <v>0.3286</v>
      </c>
      <c r="E440" s="19" t="n">
        <v>0.4084</v>
      </c>
      <c r="F440" s="20" t="n">
        <v>54</v>
      </c>
      <c r="G440" s="20" t="n">
        <v>71</v>
      </c>
      <c r="H440" s="18" t="n">
        <v>0.76</v>
      </c>
      <c r="I440" s="25">
        <f>F440-G440</f>
        <v/>
      </c>
    </row>
    <row r="441">
      <c r="A441" s="16" t="inlineStr">
        <is>
          <t>2026-06-12</t>
        </is>
      </c>
      <c r="B441" s="19" t="n">
        <v>0.4731</v>
      </c>
      <c r="C441" s="19" t="n">
        <v>0.4490999999999999</v>
      </c>
      <c r="D441" s="19" t="n">
        <v>0.33</v>
      </c>
      <c r="E441" s="19" t="n">
        <v>0.4082</v>
      </c>
      <c r="F441" s="20" t="n">
        <v>108</v>
      </c>
      <c r="G441" s="20" t="n">
        <v>15</v>
      </c>
      <c r="H441" s="18" t="n">
        <v>7.2</v>
      </c>
      <c r="I441" s="25">
        <f>F441-G441</f>
        <v/>
      </c>
    </row>
    <row r="442">
      <c r="A442" s="16" t="inlineStr">
        <is>
          <t>2026-06-15</t>
        </is>
      </c>
      <c r="B442" s="19" t="n">
        <v>0.5039</v>
      </c>
      <c r="C442" s="19" t="n">
        <v>0.4514</v>
      </c>
      <c r="D442" s="19" t="n">
        <v>0.3319</v>
      </c>
      <c r="E442" s="19" t="n">
        <v>0.4082</v>
      </c>
      <c r="F442" s="20" t="n">
        <v>135</v>
      </c>
      <c r="G442" s="20" t="n">
        <v>6</v>
      </c>
      <c r="H442" s="18" t="n">
        <v>22.5</v>
      </c>
      <c r="I442" s="25">
        <f>F442-G442</f>
        <v/>
      </c>
    </row>
    <row r="443">
      <c r="A443" s="16" t="inlineStr">
        <is>
          <t>2026-06-16</t>
        </is>
      </c>
      <c r="B443" s="19" t="n">
        <v>0.5109</v>
      </c>
      <c r="C443" s="19" t="n">
        <v>0.4537</v>
      </c>
      <c r="D443" s="19" t="n">
        <v>0.3339</v>
      </c>
      <c r="E443" s="19" t="n">
        <v>0.4082</v>
      </c>
      <c r="F443" s="20" t="n">
        <v>132</v>
      </c>
      <c r="G443" s="20" t="n">
        <v>6</v>
      </c>
      <c r="H443" s="18" t="n">
        <v>22</v>
      </c>
      <c r="I443" s="25">
        <f>F443-G443</f>
        <v/>
      </c>
    </row>
    <row r="444">
      <c r="A444" s="16" t="inlineStr">
        <is>
          <t>2026-06-17</t>
        </is>
      </c>
      <c r="B444" s="19" t="n">
        <v>0.5201</v>
      </c>
      <c r="C444" s="19" t="n">
        <v>0.4548</v>
      </c>
      <c r="D444" s="19" t="n">
        <v>0.3364</v>
      </c>
      <c r="E444" s="19" t="n">
        <v>0.4083</v>
      </c>
      <c r="F444" s="20" t="n">
        <v>158</v>
      </c>
      <c r="G444" s="20" t="n">
        <v>9</v>
      </c>
      <c r="H444" s="18" t="n">
        <v>17.56</v>
      </c>
      <c r="I444" s="25">
        <f>F444-G444</f>
        <v/>
      </c>
    </row>
    <row r="445">
      <c r="A445" s="16" t="inlineStr">
        <is>
          <t>2026-06-18</t>
        </is>
      </c>
      <c r="B445" s="19" t="n">
        <v>0.5328000000000001</v>
      </c>
      <c r="C445" s="19" t="n">
        <v>0.4553</v>
      </c>
      <c r="D445" s="19" t="n">
        <v>0.3393</v>
      </c>
      <c r="E445" s="19" t="n">
        <v>0.4086</v>
      </c>
      <c r="F445" s="20" t="n">
        <v>156</v>
      </c>
      <c r="G445" s="20" t="n">
        <v>5</v>
      </c>
      <c r="H445" s="18" t="n">
        <v>31.2</v>
      </c>
      <c r="I445" s="25">
        <f>F445-G445</f>
        <v/>
      </c>
    </row>
    <row r="446">
      <c r="A446" s="16" t="inlineStr">
        <is>
          <t>2026-06-19</t>
        </is>
      </c>
      <c r="B446" s="19" t="n">
        <v>0.5390999999999999</v>
      </c>
      <c r="C446" s="19" t="n">
        <v>0.456</v>
      </c>
      <c r="D446" s="19" t="n">
        <v>0.3421</v>
      </c>
      <c r="E446" s="19" t="n">
        <v>0.409</v>
      </c>
      <c r="F446" s="20" t="n">
        <v>200</v>
      </c>
      <c r="G446" s="20" t="n">
        <v>7</v>
      </c>
      <c r="H446" s="18" t="n">
        <v>28.57</v>
      </c>
      <c r="I446" s="25">
        <f>F446-G446</f>
        <v/>
      </c>
    </row>
    <row r="447">
      <c r="A447" s="16" t="inlineStr">
        <is>
          <t>2026-06-22</t>
        </is>
      </c>
      <c r="B447" s="19" t="n">
        <v>0.5672</v>
      </c>
      <c r="C447" s="19" t="n">
        <v>0.4589</v>
      </c>
      <c r="D447" s="19" t="n">
        <v>0.3453</v>
      </c>
      <c r="E447" s="19" t="n">
        <v>0.4095</v>
      </c>
      <c r="F447" s="20" t="n">
        <v>213</v>
      </c>
      <c r="G447" s="20" t="n">
        <v>9</v>
      </c>
      <c r="H447" s="18" t="n">
        <v>23.67</v>
      </c>
      <c r="I447" s="25">
        <f>F447-G447</f>
        <v/>
      </c>
    </row>
    <row r="448">
      <c r="A448" s="16" t="inlineStr">
        <is>
          <t>2026-06-23</t>
        </is>
      </c>
      <c r="B448" s="19" t="n">
        <v>0.544</v>
      </c>
      <c r="C448" s="19" t="n">
        <v>0.4635</v>
      </c>
      <c r="D448" s="19" t="n">
        <v>0.3484</v>
      </c>
      <c r="E448" s="19" t="n">
        <v>0.4097</v>
      </c>
      <c r="F448" s="20" t="n">
        <v>139</v>
      </c>
      <c r="G448" s="20" t="n">
        <v>17</v>
      </c>
      <c r="H448" s="18" t="n">
        <v>8.18</v>
      </c>
      <c r="I448" s="25">
        <f>F448-G448</f>
        <v/>
      </c>
    </row>
    <row r="449">
      <c r="A449" s="16" t="inlineStr">
        <is>
          <t>2026-06-24</t>
        </is>
      </c>
      <c r="B449" s="19" t="n">
        <v>0.5525</v>
      </c>
      <c r="C449" s="19" t="n">
        <v>0.4678</v>
      </c>
      <c r="D449" s="19" t="n">
        <v>0.3515</v>
      </c>
      <c r="E449" s="19" t="n">
        <v>0.4099</v>
      </c>
      <c r="F449" s="20" t="n">
        <v>154</v>
      </c>
      <c r="G449" s="20" t="n">
        <v>16</v>
      </c>
      <c r="H449" s="18" t="n">
        <v>9.630000000000001</v>
      </c>
      <c r="I449" s="25">
        <f>F449-G449</f>
        <v/>
      </c>
    </row>
    <row r="450">
      <c r="A450" s="16" t="inlineStr">
        <is>
          <t>2026-06-25</t>
        </is>
      </c>
      <c r="B450" s="19" t="n">
        <v>0.5453</v>
      </c>
      <c r="C450" s="19" t="n">
        <v>0.4718</v>
      </c>
      <c r="D450" s="19" t="n">
        <v>0.3544</v>
      </c>
      <c r="E450" s="19" t="n">
        <v>0.4101</v>
      </c>
      <c r="F450" s="20" t="n">
        <v>124</v>
      </c>
      <c r="G450" s="20" t="n">
        <v>24</v>
      </c>
      <c r="H450" s="18" t="n">
        <v>5.17</v>
      </c>
      <c r="I450" s="25">
        <f>F450-G450</f>
        <v/>
      </c>
    </row>
    <row r="451">
      <c r="A451" s="16" t="inlineStr">
        <is>
          <t>2026-06-26</t>
        </is>
      </c>
      <c r="B451" s="19" t="n">
        <v>0.545</v>
      </c>
      <c r="C451" s="19" t="n">
        <v>0.4759</v>
      </c>
      <c r="D451" s="19" t="n">
        <v>0.3571</v>
      </c>
      <c r="E451" s="19" t="n">
        <v>0.4102</v>
      </c>
      <c r="F451" s="20" t="n">
        <v>124</v>
      </c>
      <c r="G451" s="20" t="n">
        <v>24</v>
      </c>
      <c r="H451" s="18" t="n">
        <v>5.17</v>
      </c>
      <c r="I451" s="25">
        <f>F451-G451</f>
        <v/>
      </c>
    </row>
    <row r="452">
      <c r="A452" s="16" t="inlineStr">
        <is>
          <t>2026-06-29</t>
        </is>
      </c>
      <c r="B452" s="19" t="n">
        <v>0.5333</v>
      </c>
      <c r="C452" s="19" t="n">
        <v>0.4808</v>
      </c>
      <c r="D452" s="19" t="n">
        <v>0.3599</v>
      </c>
      <c r="E452" s="19" t="n">
        <v>0.4103</v>
      </c>
      <c r="F452" s="20" t="n">
        <v>153</v>
      </c>
      <c r="G452" s="20" t="n">
        <v>33</v>
      </c>
      <c r="H452" s="18" t="n">
        <v>4.64</v>
      </c>
      <c r="I452" s="25">
        <f>F452-G452</f>
        <v/>
      </c>
    </row>
    <row r="453">
      <c r="A453" s="16" t="inlineStr">
        <is>
          <t>2026-06-30</t>
        </is>
      </c>
      <c r="B453" s="19" t="n">
        <v>0.5452</v>
      </c>
      <c r="C453" s="19" t="n">
        <v>0.4852</v>
      </c>
      <c r="D453" s="19" t="n">
        <v>0.3625</v>
      </c>
      <c r="E453" s="19" t="n">
        <v>0.4104</v>
      </c>
      <c r="F453" s="20" t="n">
        <v>171</v>
      </c>
      <c r="G453" s="20" t="n">
        <v>28</v>
      </c>
      <c r="H453" s="18" t="n">
        <v>6.11</v>
      </c>
      <c r="I453" s="25">
        <f>F453-G453</f>
        <v/>
      </c>
    </row>
    <row r="454">
      <c r="A454" s="16" t="inlineStr">
        <is>
          <t>2026-07-01</t>
        </is>
      </c>
      <c r="B454" s="19" t="n">
        <v>0.5553</v>
      </c>
      <c r="C454" s="19" t="n">
        <v>0.49</v>
      </c>
      <c r="D454" s="19" t="n">
        <v>0.365</v>
      </c>
      <c r="E454" s="19" t="n">
        <v>0.4105</v>
      </c>
      <c r="F454" s="20" t="n">
        <v>149</v>
      </c>
      <c r="G454" s="20" t="n">
        <v>29</v>
      </c>
      <c r="H454" s="18" t="n">
        <v>5.14</v>
      </c>
      <c r="I454" s="25">
        <f>F454-G454</f>
        <v/>
      </c>
    </row>
    <row r="455">
      <c r="A455" s="16" t="inlineStr">
        <is>
          <t>2026-07-02</t>
        </is>
      </c>
      <c r="B455" s="19" t="n">
        <v>0.5794</v>
      </c>
      <c r="C455" s="19" t="n">
        <v>0.495</v>
      </c>
      <c r="D455" s="19" t="n">
        <v>0.3677</v>
      </c>
      <c r="E455" s="19" t="n">
        <v>0.4107</v>
      </c>
      <c r="F455" s="20" t="n">
        <v>179</v>
      </c>
      <c r="G455" s="20" t="n">
        <v>13</v>
      </c>
      <c r="H455" s="18" t="n">
        <v>13.77</v>
      </c>
      <c r="I455" s="25">
        <f>F455-G455</f>
        <v/>
      </c>
    </row>
    <row r="456">
      <c r="A456" s="16" t="inlineStr">
        <is>
          <t>2026-07-03</t>
        </is>
      </c>
      <c r="B456" s="19" t="n">
        <v>0.5843</v>
      </c>
      <c r="C456" s="19" t="n">
        <v>0.4999</v>
      </c>
      <c r="D456" s="19" t="n">
        <v>0.3706</v>
      </c>
      <c r="E456" s="19" t="n">
        <v>0.4108</v>
      </c>
      <c r="F456" s="20" t="n">
        <v>184</v>
      </c>
      <c r="G456" s="20" t="n">
        <v>14</v>
      </c>
      <c r="H456" s="18" t="n">
        <v>13.14</v>
      </c>
      <c r="I456" s="25">
        <f>F456-G456</f>
        <v/>
      </c>
    </row>
    <row r="457">
      <c r="A457" s="16" t="inlineStr">
        <is>
          <t>2026-07-06</t>
        </is>
      </c>
      <c r="B457" s="19" t="n">
        <v>0.5869</v>
      </c>
      <c r="C457" s="19" t="n">
        <v>0.5041</v>
      </c>
      <c r="D457" s="19" t="n">
        <v>0.3731</v>
      </c>
      <c r="E457" s="19" t="n">
        <v>0.4109</v>
      </c>
      <c r="F457" s="20" t="n">
        <v>171</v>
      </c>
      <c r="G457" s="20" t="n">
        <v>18</v>
      </c>
      <c r="H457" s="18" t="n">
        <v>9.5</v>
      </c>
      <c r="I457" s="25">
        <f>F457-G457</f>
        <v/>
      </c>
    </row>
    <row r="458">
      <c r="A458" s="16" t="inlineStr">
        <is>
          <t>2026-07-07</t>
        </is>
      </c>
      <c r="B458" s="19" t="n">
        <v>0.5705</v>
      </c>
      <c r="C458" s="19" t="n">
        <v>0.5075</v>
      </c>
      <c r="D458" s="19" t="n">
        <v>0.3754</v>
      </c>
      <c r="E458" s="19" t="n">
        <v>0.4108</v>
      </c>
      <c r="F458" s="20" t="n">
        <v>129</v>
      </c>
      <c r="G458" s="20" t="n">
        <v>20</v>
      </c>
      <c r="H458" s="18" t="n">
        <v>6.45</v>
      </c>
      <c r="I458" s="25">
        <f>F458-G458</f>
        <v/>
      </c>
    </row>
    <row r="459">
      <c r="A459" s="16" t="inlineStr">
        <is>
          <t>2026-07-08</t>
        </is>
      </c>
      <c r="B459" s="19" t="n">
        <v>0.5288</v>
      </c>
      <c r="C459" s="19" t="n">
        <v>0.5092</v>
      </c>
      <c r="D459" s="19" t="n">
        <v>0.3772</v>
      </c>
      <c r="E459" s="19" t="n">
        <v>0.4105</v>
      </c>
      <c r="F459" s="20" t="n">
        <v>72</v>
      </c>
      <c r="G459" s="20" t="n">
        <v>40</v>
      </c>
      <c r="H459" s="18" t="n">
        <v>1.8</v>
      </c>
      <c r="I459" s="25">
        <f>F459-G459</f>
        <v/>
      </c>
    </row>
    <row r="460">
      <c r="A460" s="16" t="inlineStr">
        <is>
          <t>2026-07-09</t>
        </is>
      </c>
      <c r="B460" s="19" t="n">
        <v>0.5511</v>
      </c>
      <c r="C460" s="19" t="n">
        <v>0.5117</v>
      </c>
      <c r="D460" s="19" t="n">
        <v>0.3792</v>
      </c>
      <c r="E460" s="19" t="n">
        <v>0.4102</v>
      </c>
      <c r="F460" s="20" t="n">
        <v>145</v>
      </c>
      <c r="G460" s="20" t="n">
        <v>29</v>
      </c>
      <c r="H460" s="18" t="n">
        <v>5</v>
      </c>
      <c r="I460" s="25">
        <f>F460-G460</f>
        <v/>
      </c>
    </row>
    <row r="461">
      <c r="A461" s="16" t="inlineStr">
        <is>
          <t>2026-07-10</t>
        </is>
      </c>
      <c r="B461" s="19" t="n">
        <v>0.5777</v>
      </c>
      <c r="C461" s="19" t="n">
        <v>0.5157</v>
      </c>
      <c r="D461" s="19" t="n">
        <v>0.3817</v>
      </c>
      <c r="E461" s="19" t="n">
        <v>0.4101</v>
      </c>
      <c r="F461" s="20" t="n">
        <v>177</v>
      </c>
      <c r="G461" s="20" t="n">
        <v>15</v>
      </c>
      <c r="H461" s="18" t="n">
        <v>11.8</v>
      </c>
      <c r="I461" s="25">
        <f>F461-G461</f>
        <v/>
      </c>
    </row>
    <row r="462">
      <c r="A462" s="16" t="inlineStr">
        <is>
          <t>2026-07-13</t>
        </is>
      </c>
      <c r="B462" s="19" t="n">
        <v>0.5945</v>
      </c>
      <c r="C462" s="19" t="n">
        <v>0.5211</v>
      </c>
      <c r="D462" s="19" t="n">
        <v>0.3846</v>
      </c>
      <c r="E462" s="19" t="n">
        <v>0.4101</v>
      </c>
      <c r="F462" s="20" t="n">
        <v>180</v>
      </c>
      <c r="G462" s="20" t="n">
        <v>16</v>
      </c>
      <c r="H462" s="18" t="n">
        <v>11.25</v>
      </c>
      <c r="I462" s="25">
        <f>F462-G462</f>
        <v/>
      </c>
    </row>
    <row r="463">
      <c r="A463" s="16" t="inlineStr">
        <is>
          <t>2026-07-14</t>
        </is>
      </c>
      <c r="B463" s="19" t="n">
        <v>0.5807</v>
      </c>
      <c r="C463" s="19" t="n">
        <v>0.5254</v>
      </c>
      <c r="D463" s="19" t="n">
        <v>0.3872</v>
      </c>
      <c r="E463" s="19" t="n">
        <v>0.41</v>
      </c>
      <c r="F463" s="20" t="n">
        <v>114</v>
      </c>
      <c r="G463" s="20" t="n">
        <v>26</v>
      </c>
      <c r="H463" s="18" t="n">
        <v>4.38</v>
      </c>
      <c r="I463" s="25">
        <f>F463-G463</f>
        <v/>
      </c>
    </row>
    <row r="464">
      <c r="A464" s="16" t="inlineStr">
        <is>
          <t>2026-07-15</t>
        </is>
      </c>
      <c r="B464" s="19" t="n">
        <v>0.589</v>
      </c>
      <c r="C464" s="19" t="n">
        <v>0.53</v>
      </c>
      <c r="D464" s="19" t="n">
        <v>0.3899</v>
      </c>
      <c r="E464" s="19" t="n">
        <v>0.4101</v>
      </c>
      <c r="F464" s="20" t="n">
        <v>128</v>
      </c>
      <c r="G464" s="20" t="n">
        <v>28</v>
      </c>
      <c r="H464" s="18" t="n">
        <v>4.57</v>
      </c>
      <c r="I464" s="25">
        <f>F464-G464</f>
        <v/>
      </c>
    </row>
    <row r="465">
      <c r="A465" s="16" t="inlineStr">
        <is>
          <t>2026-07-16</t>
        </is>
      </c>
      <c r="B465" s="19" t="n">
        <v>0.5814</v>
      </c>
      <c r="C465" s="19" t="n">
        <v>0.5337</v>
      </c>
      <c r="D465" s="19" t="n">
        <v>0.3927</v>
      </c>
      <c r="E465" s="19" t="n">
        <v>0.4102</v>
      </c>
      <c r="F465" s="20" t="n">
        <v>147</v>
      </c>
      <c r="G465" s="20" t="n">
        <v>28</v>
      </c>
      <c r="H465" s="18" t="n">
        <v>5.25</v>
      </c>
      <c r="I465" s="25">
        <f>F465-G465</f>
        <v/>
      </c>
    </row>
    <row r="466">
      <c r="A466" s="16" t="inlineStr">
        <is>
          <t>2026-07-17</t>
        </is>
      </c>
      <c r="B466" s="19" t="n">
        <v>0.5760999999999999</v>
      </c>
      <c r="C466" s="19" t="n">
        <v>0.5373</v>
      </c>
      <c r="D466" s="19" t="n">
        <v>0.3955</v>
      </c>
      <c r="E466" s="19" t="n">
        <v>0.4105</v>
      </c>
      <c r="F466" s="20" t="n">
        <v>84</v>
      </c>
      <c r="G466" s="20" t="n">
        <v>32</v>
      </c>
      <c r="H466" s="18" t="n">
        <v>2.63</v>
      </c>
      <c r="I466" s="25">
        <f>F466-G466</f>
        <v/>
      </c>
    </row>
    <row r="467">
      <c r="A467" s="16" t="inlineStr">
        <is>
          <t>2026-07-20</t>
        </is>
      </c>
      <c r="B467" s="19" t="n">
        <v>0.5810999999999999</v>
      </c>
      <c r="C467" s="19" t="n">
        <v>0.5423</v>
      </c>
      <c r="D467" s="19" t="n">
        <v>0.3983</v>
      </c>
      <c r="E467" s="19" t="n">
        <v>0.4108</v>
      </c>
      <c r="F467" s="20" t="n">
        <v>132</v>
      </c>
      <c r="G467" s="20" t="n">
        <v>33</v>
      </c>
      <c r="H467" s="18" t="n">
        <v>4</v>
      </c>
      <c r="I467" s="25">
        <f>F467-G467</f>
        <v/>
      </c>
    </row>
    <row r="468">
      <c r="A468" s="16" t="inlineStr">
        <is>
          <t>2026-07-21</t>
        </is>
      </c>
      <c r="B468" s="19" t="n">
        <v>0.5859000000000001</v>
      </c>
      <c r="C468" s="19" t="n">
        <v>0.5466</v>
      </c>
      <c r="D468" s="19" t="n">
        <v>0.4012</v>
      </c>
      <c r="E468" s="19" t="n">
        <v>0.4113</v>
      </c>
      <c r="F468" s="20" t="n">
        <v>151</v>
      </c>
      <c r="G468" s="20" t="n">
        <v>28</v>
      </c>
      <c r="H468" s="18" t="n">
        <v>5.39</v>
      </c>
      <c r="I468" s="25">
        <f>F468-G468</f>
        <v/>
      </c>
    </row>
    <row r="469">
      <c r="A469" s="16" t="inlineStr">
        <is>
          <t>2026-07-22</t>
        </is>
      </c>
      <c r="B469" s="19" t="n">
        <v>0.5594</v>
      </c>
      <c r="C469" s="19" t="n">
        <v>0.5504</v>
      </c>
      <c r="D469" s="19" t="n">
        <v>0.404</v>
      </c>
      <c r="E469" s="19" t="n">
        <v>0.4115</v>
      </c>
      <c r="F469" s="20" t="n">
        <v>110</v>
      </c>
      <c r="G469" s="20" t="n">
        <v>47</v>
      </c>
      <c r="H469" s="18" t="n">
        <v>2.34</v>
      </c>
      <c r="I469" s="25">
        <f>F469-G469</f>
        <v/>
      </c>
    </row>
    <row r="470">
      <c r="A470" s="16" t="inlineStr">
        <is>
          <t>2026-07-23</t>
        </is>
      </c>
      <c r="B470" s="19" t="n">
        <v>0.552</v>
      </c>
      <c r="C470" s="19" t="n">
        <v>0.5549000000000001</v>
      </c>
      <c r="D470" s="19" t="n">
        <v>0.4065</v>
      </c>
      <c r="E470" s="19" t="n">
        <v>0.4116</v>
      </c>
      <c r="F470" s="20" t="n">
        <v>96</v>
      </c>
      <c r="G470" s="20" t="n">
        <v>53</v>
      </c>
      <c r="H470" s="18" t="n">
        <v>1.81</v>
      </c>
      <c r="I470" s="25">
        <f>F470-G470</f>
        <v/>
      </c>
    </row>
    <row r="471">
      <c r="A471" s="16" t="inlineStr">
        <is>
          <t>2026-07-24</t>
        </is>
      </c>
      <c r="B471" s="19" t="n">
        <v>0.5523</v>
      </c>
      <c r="C471" s="19" t="n">
        <v>0.5575</v>
      </c>
      <c r="D471" s="19" t="n">
        <v>0.4092</v>
      </c>
      <c r="E471" s="19" t="n">
        <v>0.4117</v>
      </c>
      <c r="F471" s="20" t="n">
        <v>97</v>
      </c>
      <c r="G471" s="20" t="n">
        <v>39</v>
      </c>
      <c r="H471" s="18" t="n">
        <v>2.49</v>
      </c>
      <c r="I471" s="25">
        <f>F471-G471</f>
        <v/>
      </c>
    </row>
    <row r="472">
      <c r="A472" s="16" t="inlineStr">
        <is>
          <t>2026-07-27</t>
        </is>
      </c>
      <c r="B472" s="19" t="n">
        <v>0.5639999999999999</v>
      </c>
      <c r="C472" s="19" t="n">
        <v>0.5595</v>
      </c>
      <c r="D472" s="19" t="n">
        <v>0.4122999999999999</v>
      </c>
      <c r="E472" s="19" t="n">
        <v>0.4117</v>
      </c>
      <c r="F472" s="20" t="n">
        <v>133</v>
      </c>
      <c r="G472" s="20" t="n">
        <v>31</v>
      </c>
      <c r="H472" s="18" t="n">
        <v>4.29</v>
      </c>
      <c r="I472" s="25">
        <f>F472-G472</f>
        <v/>
      </c>
    </row>
    <row r="473">
      <c r="A473" s="16" t="inlineStr">
        <is>
          <t>2026-07-28</t>
        </is>
      </c>
      <c r="B473" s="19" t="n">
        <v>0.5545</v>
      </c>
      <c r="C473" s="19" t="n">
        <v>0.5610000000000001</v>
      </c>
      <c r="D473" s="19" t="n">
        <v>0.4155</v>
      </c>
      <c r="E473" s="19" t="n">
        <v>0.4117</v>
      </c>
      <c r="F473" s="20" t="n">
        <v>89</v>
      </c>
      <c r="G473" s="20" t="n">
        <v>48</v>
      </c>
      <c r="H473" s="18" t="n">
        <v>1.85</v>
      </c>
      <c r="I473" s="25">
        <f>F473-G473</f>
        <v/>
      </c>
    </row>
    <row r="474">
      <c r="A474" s="16" t="inlineStr">
        <is>
          <t>2026-07-29</t>
        </is>
      </c>
      <c r="B474" s="19" t="n">
        <v>0.5740999999999999</v>
      </c>
      <c r="C474" s="19" t="n">
        <v>0.5628</v>
      </c>
      <c r="D474" s="19" t="n">
        <v>0.419</v>
      </c>
      <c r="E474" s="19" t="n">
        <v>0.4119</v>
      </c>
      <c r="F474" s="20" t="n">
        <v>113</v>
      </c>
      <c r="G474" s="20" t="n">
        <v>29</v>
      </c>
      <c r="H474" s="18" t="n">
        <v>3.9</v>
      </c>
      <c r="I474" s="25">
        <f>F474-G474</f>
        <v/>
      </c>
    </row>
    <row r="475">
      <c r="A475" s="16" t="inlineStr">
        <is>
          <t>2026-07-30</t>
        </is>
      </c>
      <c r="B475" s="19" t="n">
        <v>0.5646</v>
      </c>
      <c r="C475" s="19" t="n">
        <v>0.5638000000000001</v>
      </c>
      <c r="D475" s="19" t="n">
        <v>0.4223</v>
      </c>
      <c r="E475" s="19" t="n">
        <v>0.4119</v>
      </c>
      <c r="F475" s="20" t="n">
        <v>103</v>
      </c>
      <c r="G475" s="20" t="n">
        <v>40</v>
      </c>
      <c r="H475" s="18" t="n">
        <v>2.58</v>
      </c>
      <c r="I475" s="25">
        <f>F475-G475</f>
        <v/>
      </c>
    </row>
    <row r="476">
      <c r="A476" s="16" t="inlineStr">
        <is>
          <t>2026-07-31</t>
        </is>
      </c>
      <c r="B476" s="19" t="n">
        <v>0.5778</v>
      </c>
      <c r="C476" s="19" t="n">
        <v>0.5650999999999999</v>
      </c>
      <c r="D476" s="19" t="n">
        <v>0.4259000000000001</v>
      </c>
      <c r="E476" s="19" t="n">
        <v>0.4121</v>
      </c>
      <c r="F476" s="20" t="n">
        <v>122</v>
      </c>
      <c r="G476" s="20" t="n">
        <v>25</v>
      </c>
      <c r="H476" s="18" t="n">
        <v>4.88</v>
      </c>
      <c r="I476" s="25">
        <f>F476-G476</f>
        <v/>
      </c>
    </row>
    <row r="477">
      <c r="A477" s="16" t="inlineStr">
        <is>
          <t>2026-08-03</t>
        </is>
      </c>
      <c r="B477" s="19" t="n">
        <v>0.6049</v>
      </c>
      <c r="C477" s="19" t="n">
        <v>0.5664</v>
      </c>
      <c r="D477" s="19" t="n">
        <v>0.4298</v>
      </c>
      <c r="E477" s="19" t="n">
        <v>0.4125</v>
      </c>
      <c r="F477" s="20" t="n">
        <v>173</v>
      </c>
      <c r="G477" s="20" t="n">
        <v>11</v>
      </c>
      <c r="H477" s="18" t="n">
        <v>15.73</v>
      </c>
      <c r="I477" s="25">
        <f>F477-G477</f>
        <v/>
      </c>
    </row>
    <row r="478">
      <c r="A478" s="16" t="inlineStr">
        <is>
          <t>2026-08-04</t>
        </is>
      </c>
      <c r="B478" s="19" t="n">
        <v>0.6041</v>
      </c>
      <c r="C478" s="19" t="n">
        <v>0.5684</v>
      </c>
      <c r="D478" s="19" t="n">
        <v>0.4336</v>
      </c>
      <c r="E478" s="19" t="n">
        <v>0.4129</v>
      </c>
      <c r="F478" s="20" t="n">
        <v>166</v>
      </c>
      <c r="G478" s="20" t="n">
        <v>18</v>
      </c>
      <c r="H478" s="18" t="n">
        <v>9.220000000000001</v>
      </c>
      <c r="I478" s="25">
        <f>F478-G478</f>
        <v/>
      </c>
    </row>
    <row r="479">
      <c r="A479" s="16" t="inlineStr">
        <is>
          <t>2026-08-05</t>
        </is>
      </c>
      <c r="B479" s="19" t="n">
        <v>0.6075</v>
      </c>
      <c r="C479" s="19" t="n">
        <v>0.5702</v>
      </c>
      <c r="D479" s="19" t="n">
        <v>0.4375</v>
      </c>
      <c r="E479" s="19" t="n">
        <v>0.4132</v>
      </c>
      <c r="F479" s="20" t="n">
        <v>195</v>
      </c>
      <c r="G479" s="20" t="n">
        <v>25</v>
      </c>
      <c r="H479" s="18" t="n">
        <v>7.8</v>
      </c>
      <c r="I479" s="25">
        <f>F479-G479</f>
        <v/>
      </c>
    </row>
    <row r="480">
      <c r="A480" s="16" t="inlineStr">
        <is>
          <t>2026-08-06</t>
        </is>
      </c>
      <c r="B480" s="19" t="n">
        <v>0.6143999999999999</v>
      </c>
      <c r="C480" s="19" t="n">
        <v>0.5725</v>
      </c>
      <c r="D480" s="19" t="n">
        <v>0.4417</v>
      </c>
      <c r="E480" s="19" t="n">
        <v>0.4137</v>
      </c>
      <c r="F480" s="20" t="n">
        <v>172</v>
      </c>
      <c r="G480" s="20" t="n">
        <v>20</v>
      </c>
      <c r="H480" s="18" t="n">
        <v>8.6</v>
      </c>
      <c r="I480" s="25">
        <f>F480-G480</f>
        <v/>
      </c>
    </row>
    <row r="481">
      <c r="A481" s="16" t="inlineStr">
        <is>
          <t>2026-08-07</t>
        </is>
      </c>
      <c r="B481" s="19" t="n">
        <v>0.6151</v>
      </c>
      <c r="C481" s="19" t="n">
        <v>0.5749</v>
      </c>
      <c r="D481" s="19" t="n">
        <v>0.446</v>
      </c>
      <c r="E481" s="19" t="n">
        <v>0.414</v>
      </c>
      <c r="F481" s="20" t="n">
        <v>167</v>
      </c>
      <c r="G481" s="20" t="n">
        <v>29</v>
      </c>
      <c r="H481" s="18" t="n">
        <v>5.76</v>
      </c>
      <c r="I481" s="25">
        <f>F481-G481</f>
        <v/>
      </c>
    </row>
    <row r="482">
      <c r="A482" s="16" t="inlineStr">
        <is>
          <t>2026-08-10</t>
        </is>
      </c>
      <c r="B482" s="19" t="n">
        <v>0.6141</v>
      </c>
      <c r="C482" s="19" t="n">
        <v>0.5776</v>
      </c>
      <c r="D482" s="19" t="n">
        <v>0.4501</v>
      </c>
      <c r="E482" s="19" t="n">
        <v>0.4144</v>
      </c>
      <c r="F482" s="20" t="n">
        <v>189</v>
      </c>
      <c r="G482" s="20" t="n">
        <v>39</v>
      </c>
      <c r="H482" s="18" t="n">
        <v>4.85</v>
      </c>
      <c r="I482" s="25">
        <f>F482-G482</f>
        <v/>
      </c>
    </row>
    <row r="483">
      <c r="A483" s="16" t="inlineStr">
        <is>
          <t>2026-08-11</t>
        </is>
      </c>
      <c r="B483" s="19" t="n">
        <v>0.6053999999999999</v>
      </c>
      <c r="C483" s="19" t="n">
        <v>0.5796</v>
      </c>
      <c r="D483" s="19" t="n">
        <v>0.4540999999999999</v>
      </c>
      <c r="E483" s="19" t="n">
        <v>0.4146</v>
      </c>
      <c r="F483" s="20" t="n">
        <v>158</v>
      </c>
      <c r="G483" s="20" t="n">
        <v>42</v>
      </c>
      <c r="H483" s="18" t="n">
        <v>3.76</v>
      </c>
      <c r="I483" s="25">
        <f>F483-G483</f>
        <v/>
      </c>
    </row>
    <row r="484">
      <c r="A484" s="16" t="inlineStr">
        <is>
          <t>2026-08-12</t>
        </is>
      </c>
      <c r="B484" s="19" t="n">
        <v>0.598</v>
      </c>
      <c r="C484" s="19" t="n">
        <v>0.581</v>
      </c>
      <c r="D484" s="19" t="n">
        <v>0.4581</v>
      </c>
      <c r="E484" s="19" t="n">
        <v>0.4147999999999999</v>
      </c>
      <c r="F484" s="20" t="n">
        <v>165</v>
      </c>
      <c r="G484" s="20" t="n">
        <v>45</v>
      </c>
      <c r="H484" s="18" t="n">
        <v>3.67</v>
      </c>
      <c r="I484" s="25">
        <f>F484-G484</f>
        <v/>
      </c>
    </row>
    <row r="485">
      <c r="A485" s="16" t="inlineStr">
        <is>
          <t>2026-08-13</t>
        </is>
      </c>
      <c r="B485" s="19" t="n">
        <v>0.6</v>
      </c>
      <c r="C485" s="19" t="n">
        <v>0.5817</v>
      </c>
      <c r="D485" s="19" t="n">
        <v>0.4621</v>
      </c>
      <c r="E485" s="19" t="n">
        <v>0.415</v>
      </c>
      <c r="F485" s="20" t="n">
        <v>158</v>
      </c>
      <c r="G485" s="20" t="n">
        <v>44</v>
      </c>
      <c r="H485" s="18" t="n">
        <v>3.59</v>
      </c>
      <c r="I485" s="25">
        <f>F485-G485</f>
        <v/>
      </c>
    </row>
    <row r="486">
      <c r="A486" s="16" t="inlineStr">
        <is>
          <t>2026-08-14</t>
        </is>
      </c>
      <c r="B486" s="19" t="n">
        <v>0.5913</v>
      </c>
      <c r="C486" s="19" t="n">
        <v>0.5819</v>
      </c>
      <c r="D486" s="19" t="n">
        <v>0.4663</v>
      </c>
      <c r="E486" s="19" t="n">
        <v>0.4152</v>
      </c>
      <c r="F486" s="20" t="n">
        <v>147</v>
      </c>
      <c r="G486" s="20" t="n">
        <v>50</v>
      </c>
      <c r="H486" s="18" t="n">
        <v>2.94</v>
      </c>
      <c r="I486" s="25">
        <f>F486-G486</f>
        <v/>
      </c>
    </row>
    <row r="487">
      <c r="A487" s="16" t="inlineStr">
        <is>
          <t>2026-08-17</t>
        </is>
      </c>
      <c r="B487" s="19" t="n">
        <v>0.5985</v>
      </c>
      <c r="C487" s="19" t="n">
        <v>0.5822999999999999</v>
      </c>
      <c r="D487" s="19" t="n">
        <v>0.4706</v>
      </c>
      <c r="E487" s="19" t="n">
        <v>0.4153</v>
      </c>
      <c r="F487" s="20" t="n">
        <v>161</v>
      </c>
      <c r="G487" s="20" t="n">
        <v>53</v>
      </c>
      <c r="H487" s="18" t="n">
        <v>3.04</v>
      </c>
      <c r="I487" s="25">
        <f>F487-G487</f>
        <v/>
      </c>
    </row>
    <row r="488">
      <c r="A488" s="16" t="inlineStr">
        <is>
          <t>2026-08-18</t>
        </is>
      </c>
      <c r="B488" s="19" t="n">
        <v>0.5913</v>
      </c>
      <c r="C488" s="19" t="n">
        <v>0.583</v>
      </c>
      <c r="D488" s="19" t="n">
        <v>0.4745</v>
      </c>
      <c r="E488" s="19" t="n">
        <v>0.4153</v>
      </c>
      <c r="F488" s="20" t="n">
        <v>178</v>
      </c>
      <c r="G488" s="20" t="n">
        <v>55</v>
      </c>
      <c r="H488" s="18" t="n">
        <v>3.24</v>
      </c>
      <c r="I488" s="25">
        <f>F488-G488</f>
        <v/>
      </c>
    </row>
    <row r="489">
      <c r="A489" s="16" t="inlineStr">
        <is>
          <t>2026-08-19</t>
        </is>
      </c>
      <c r="B489" s="19" t="n">
        <v>0.5858</v>
      </c>
      <c r="C489" s="19" t="n">
        <v>0.5849</v>
      </c>
      <c r="D489" s="19" t="n">
        <v>0.4786</v>
      </c>
      <c r="E489" s="19" t="n">
        <v>0.4154</v>
      </c>
      <c r="F489" s="20" t="n">
        <v>149</v>
      </c>
      <c r="G489" s="20" t="n">
        <v>60</v>
      </c>
      <c r="H489" s="18" t="n">
        <v>2.48</v>
      </c>
      <c r="I489" s="25">
        <f>F489-G489</f>
        <v/>
      </c>
    </row>
    <row r="490">
      <c r="A490" s="16" t="inlineStr">
        <is>
          <t>2026-08-20</t>
        </is>
      </c>
      <c r="B490" s="19" t="n">
        <v>0.6</v>
      </c>
      <c r="C490" s="19" t="n">
        <v>0.5865</v>
      </c>
      <c r="D490" s="19" t="n">
        <v>0.4829</v>
      </c>
      <c r="E490" s="19" t="n">
        <v>0.4155</v>
      </c>
      <c r="F490" s="20" t="n">
        <v>176</v>
      </c>
      <c r="G490" s="20" t="n">
        <v>43</v>
      </c>
      <c r="H490" s="18" t="n">
        <v>4.09</v>
      </c>
      <c r="I490" s="25">
        <f>F490-G490</f>
        <v/>
      </c>
    </row>
    <row r="491">
      <c r="A491" s="16" t="inlineStr">
        <is>
          <t>2026-08-21</t>
        </is>
      </c>
      <c r="B491" s="19" t="n">
        <v>0.6058</v>
      </c>
      <c r="C491" s="19" t="n">
        <v>0.5875</v>
      </c>
      <c r="D491" s="19" t="n">
        <v>0.4872</v>
      </c>
      <c r="E491" s="19" t="n">
        <v>0.4157</v>
      </c>
      <c r="F491" s="20" t="n">
        <v>163</v>
      </c>
      <c r="G491" s="20" t="n">
        <v>38</v>
      </c>
      <c r="H491" s="18" t="n">
        <v>4.29</v>
      </c>
      <c r="I491" s="25">
        <f>F491-G491</f>
        <v/>
      </c>
    </row>
    <row r="492">
      <c r="A492" s="16" t="inlineStr">
        <is>
          <t>2026-08-24</t>
        </is>
      </c>
      <c r="B492" s="19" t="n">
        <v>0.6062</v>
      </c>
      <c r="C492" s="19" t="n">
        <v>0.5878</v>
      </c>
      <c r="D492" s="19" t="n">
        <v>0.4914</v>
      </c>
      <c r="E492" s="19" t="n">
        <v>0.416</v>
      </c>
      <c r="F492" s="20" t="n">
        <v>155</v>
      </c>
      <c r="G492" s="20" t="n">
        <v>45</v>
      </c>
      <c r="H492" s="18" t="n">
        <v>3.44</v>
      </c>
      <c r="I492" s="25">
        <f>F492-G492</f>
        <v/>
      </c>
    </row>
    <row r="493">
      <c r="A493" s="16" t="inlineStr">
        <is>
          <t>2026-08-25</t>
        </is>
      </c>
      <c r="B493" s="19" t="n">
        <v>0.6104999999999999</v>
      </c>
      <c r="C493" s="19" t="n">
        <v>0.5888</v>
      </c>
      <c r="D493" s="19" t="n">
        <v>0.4955</v>
      </c>
      <c r="E493" s="19" t="n">
        <v>0.4164</v>
      </c>
      <c r="F493" s="20" t="n">
        <v>123</v>
      </c>
      <c r="G493" s="20" t="n">
        <v>42</v>
      </c>
      <c r="H493" s="18" t="n">
        <v>2.93</v>
      </c>
      <c r="I493" s="25">
        <f>F493-G493</f>
        <v/>
      </c>
    </row>
    <row r="494">
      <c r="A494" s="16" t="inlineStr">
        <is>
          <t>2026-08-26</t>
        </is>
      </c>
      <c r="B494" s="19" t="n">
        <v>0.612</v>
      </c>
      <c r="C494" s="19" t="n">
        <v>0.5896</v>
      </c>
      <c r="D494" s="19" t="n">
        <v>0.4996</v>
      </c>
      <c r="E494" s="19" t="n">
        <v>0.4169</v>
      </c>
      <c r="F494" s="20" t="n">
        <v>153</v>
      </c>
      <c r="G494" s="20" t="n">
        <v>44</v>
      </c>
      <c r="H494" s="18" t="n">
        <v>3.48</v>
      </c>
      <c r="I494" s="25">
        <f>F494-G494</f>
        <v/>
      </c>
    </row>
    <row r="495">
      <c r="A495" s="16" t="inlineStr">
        <is>
          <t>2026-08-27</t>
        </is>
      </c>
      <c r="B495" s="19" t="n">
        <v>0.6078</v>
      </c>
      <c r="C495" s="19" t="n">
        <v>0.5905</v>
      </c>
      <c r="D495" s="19" t="n">
        <v>0.5032</v>
      </c>
      <c r="E495" s="19" t="n">
        <v>0.4174</v>
      </c>
      <c r="F495" s="20" t="n">
        <v>141</v>
      </c>
      <c r="G495" s="20" t="n">
        <v>56</v>
      </c>
      <c r="H495" s="18" t="n">
        <v>2.52</v>
      </c>
      <c r="I495" s="25">
        <f>F495-G495</f>
        <v/>
      </c>
    </row>
    <row r="496">
      <c r="A496" s="16" t="inlineStr">
        <is>
          <t>2026-08-28</t>
        </is>
      </c>
      <c r="B496" s="19" t="n">
        <v>0.6136</v>
      </c>
      <c r="C496" s="19" t="n">
        <v>0.5917</v>
      </c>
      <c r="D496" s="19" t="n">
        <v>0.5067</v>
      </c>
      <c r="E496" s="19" t="n">
        <v>0.4179</v>
      </c>
      <c r="F496" s="20" t="n">
        <v>167</v>
      </c>
      <c r="G496" s="20" t="n">
        <v>55</v>
      </c>
      <c r="H496" s="18" t="n">
        <v>3.04</v>
      </c>
      <c r="I496" s="25">
        <f>F496-G496</f>
        <v/>
      </c>
    </row>
    <row r="497">
      <c r="A497" s="16" t="inlineStr">
        <is>
          <t>2026-08-31</t>
        </is>
      </c>
      <c r="B497" s="19" t="n">
        <v>0.6001</v>
      </c>
      <c r="C497" s="19" t="n">
        <v>0.5924</v>
      </c>
      <c r="D497" s="19" t="n">
        <v>0.5099</v>
      </c>
      <c r="E497" s="19" t="n">
        <v>0.4183</v>
      </c>
      <c r="F497" s="20" t="n">
        <v>180</v>
      </c>
      <c r="G497" s="20" t="n">
        <v>79</v>
      </c>
      <c r="H497" s="18" t="n">
        <v>2.28</v>
      </c>
      <c r="I497" s="25">
        <f>F497-G497</f>
        <v/>
      </c>
    </row>
    <row r="498">
      <c r="A498" s="16" t="inlineStr">
        <is>
          <t>2026-09-01</t>
        </is>
      </c>
      <c r="B498" s="19" t="n">
        <v>0.591</v>
      </c>
      <c r="C498" s="19" t="n">
        <v>0.5925</v>
      </c>
      <c r="D498" s="19" t="n">
        <v>0.5129</v>
      </c>
      <c r="E498" s="19" t="n">
        <v>0.4187</v>
      </c>
      <c r="F498" s="20" t="n">
        <v>134</v>
      </c>
      <c r="G498" s="20" t="n">
        <v>68</v>
      </c>
      <c r="H498" s="18" t="n">
        <v>1.97</v>
      </c>
      <c r="I498" s="25">
        <f>F498-G498</f>
        <v/>
      </c>
    </row>
    <row r="499">
      <c r="A499" s="16" t="inlineStr">
        <is>
          <t>2026-09-02</t>
        </is>
      </c>
      <c r="B499" s="19" t="n">
        <v>0.5805</v>
      </c>
      <c r="C499" s="19" t="n">
        <v>0.5931999999999999</v>
      </c>
      <c r="D499" s="19" t="n">
        <v>0.5155</v>
      </c>
      <c r="E499" s="19" t="n">
        <v>0.419</v>
      </c>
      <c r="F499" s="20" t="n">
        <v>115</v>
      </c>
      <c r="G499" s="20" t="n">
        <v>80</v>
      </c>
      <c r="H499" s="18" t="n">
        <v>1.44</v>
      </c>
      <c r="I499" s="25">
        <f>F499-G499</f>
        <v/>
      </c>
    </row>
    <row r="500">
      <c r="A500" s="16" t="inlineStr">
        <is>
          <t>2026-09-03</t>
        </is>
      </c>
      <c r="B500" s="19" t="n">
        <v>0.5959</v>
      </c>
      <c r="C500" s="19" t="n">
        <v>0.5947</v>
      </c>
      <c r="D500" s="19" t="n">
        <v>0.5181</v>
      </c>
      <c r="E500" s="19" t="n">
        <v>0.4193</v>
      </c>
      <c r="F500" s="20" t="n">
        <v>164</v>
      </c>
      <c r="G500" s="20" t="n">
        <v>56</v>
      </c>
      <c r="H500" s="18" t="n">
        <v>2.93</v>
      </c>
      <c r="I500" s="25">
        <f>F500-G500</f>
        <v/>
      </c>
    </row>
    <row r="501">
      <c r="A501" s="16" t="inlineStr">
        <is>
          <t>2026-09-04</t>
        </is>
      </c>
      <c r="B501" s="19" t="n">
        <v>0.6061</v>
      </c>
      <c r="C501" s="19" t="n">
        <v>0.5965</v>
      </c>
      <c r="D501" s="19" t="n">
        <v>0.5205</v>
      </c>
      <c r="E501" s="19" t="n">
        <v>0.4198</v>
      </c>
      <c r="F501" s="20" t="n">
        <v>164</v>
      </c>
      <c r="G501" s="20" t="n">
        <v>48</v>
      </c>
      <c r="H501" s="18" t="n">
        <v>3.42</v>
      </c>
      <c r="I501" s="25">
        <f>F501-G501</f>
        <v/>
      </c>
    </row>
    <row r="503" ht="30" customHeight="1">
      <c r="A503" s="24" t="inlineStr">
        <is>
          <t>Whole-universe breadth over the last 500 trading days. The 30/100/200d columns smooth the breadth line itself; they are not different thresholds. A blank High/Low Ratio means there were no new lows at all that day (an undefined ratio, not zero). New high/low = within 1% of the 252-day extreme.</t>
        </is>
      </c>
    </row>
  </sheetData>
  <autoFilter ref="A1:I501"/>
  <mergeCells count="1">
    <mergeCell ref="A503:H503"/>
  </mergeCells>
  <pageMargins left="0.75" right="0.75" top="1" bottom="1" header="0.5" footer="0.5"/>
</worksheet>
</file>

<file path=xl/worksheets/sheet8.xml><?xml version="1.0" encoding="utf-8"?>
<worksheet xmlns="http://schemas.openxmlformats.org/spreadsheetml/2006/main">
  <sheetPr>
    <tabColor rgb="006B7280"/>
    <outlinePr summaryBelow="1" summaryRight="1"/>
    <pageSetUpPr/>
  </sheetPr>
  <dimension ref="A1:I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36" customWidth="1" min="3" max="3"/>
    <col width="28" customWidth="1" min="4" max="4"/>
    <col width="22" customWidth="1" min="5" max="5"/>
    <col width="13" customWidth="1" min="6" max="6"/>
    <col width="12" customWidth="1" min="7" max="7"/>
    <col width="11" customWidth="1" min="8" max="8"/>
    <col width="9" customWidth="1" min="9" max="9"/>
  </cols>
  <sheetData>
    <row r="1" ht="30" customHeight="1">
      <c r="A1" s="15" t="inlineStr">
        <is>
          <t>ISIN</t>
        </is>
      </c>
      <c r="B1" s="15" t="inlineStr">
        <is>
          <t>Symbol</t>
        </is>
      </c>
      <c r="C1" s="15" t="inlineStr">
        <is>
          <t>Company</t>
        </is>
      </c>
      <c r="D1" s="15" t="inlineStr">
        <is>
          <t>Industry</t>
        </is>
      </c>
      <c r="E1" s="15" t="inlineStr">
        <is>
          <t>Sector Group</t>
        </is>
      </c>
      <c r="F1" s="15" t="inlineStr">
        <is>
          <t>MCap (Rs Cr)</t>
        </is>
      </c>
      <c r="G1" s="15" t="inlineStr">
        <is>
          <t>NSE Code</t>
        </is>
      </c>
      <c r="H1" s="15" t="inlineStr">
        <is>
          <t>BSE Code</t>
        </is>
      </c>
      <c r="I1" s="15" t="inlineStr">
        <is>
          <t>Priced</t>
        </is>
      </c>
    </row>
    <row r="2">
      <c r="A2" s="16" t="inlineStr">
        <is>
          <t>INE002A01018</t>
        </is>
      </c>
      <c r="B2" s="16" t="inlineStr">
        <is>
          <t>RELIANCE</t>
        </is>
      </c>
      <c r="C2" s="16" t="inlineStr">
        <is>
          <t>Reliance Industries Ltd.</t>
        </is>
      </c>
      <c r="D2" s="16" t="inlineStr">
        <is>
          <t>Refineries/Petro-Products</t>
        </is>
      </c>
      <c r="E2" s="16" t="inlineStr">
        <is>
          <t>Oil &amp; Gas</t>
        </is>
      </c>
      <c r="F2" s="17" t="n">
        <v>1789001.62</v>
      </c>
      <c r="G2" s="16" t="inlineStr">
        <is>
          <t>RELIANCE</t>
        </is>
      </c>
      <c r="H2" s="16" t="inlineStr">
        <is>
          <t>500325</t>
        </is>
      </c>
      <c r="I2" s="27">
        <f>IFERROR(IF(INDEX(Stocks!$G$2:$G$2139,MATCH(A2,Stocks!$E$2:$E$2139,0))="","No","Yes"),"No")</f>
        <v/>
      </c>
    </row>
    <row r="3">
      <c r="A3" s="16" t="inlineStr">
        <is>
          <t>INE397D01024</t>
        </is>
      </c>
      <c r="B3" s="16" t="inlineStr">
        <is>
          <t>BHARTIARTL</t>
        </is>
      </c>
      <c r="C3" s="16" t="inlineStr">
        <is>
          <t>Bharti Airtel Ltd.</t>
        </is>
      </c>
      <c r="D3" s="16" t="inlineStr">
        <is>
          <t>Telecom Services</t>
        </is>
      </c>
      <c r="E3" s="16" t="inlineStr">
        <is>
          <t>Telecom Services</t>
        </is>
      </c>
      <c r="F3" s="17" t="n">
        <v>1121215.04</v>
      </c>
      <c r="G3" s="16" t="inlineStr">
        <is>
          <t>BHARTIARTL</t>
        </is>
      </c>
      <c r="H3" s="16" t="inlineStr">
        <is>
          <t>532454</t>
        </is>
      </c>
      <c r="I3" s="27">
        <f>IFERROR(IF(INDEX(Stocks!$G$2:$G$2139,MATCH(A3,Stocks!$E$2:$E$2139,0))="","No","Yes"),"No")</f>
        <v/>
      </c>
    </row>
    <row r="4">
      <c r="A4" s="16" t="inlineStr">
        <is>
          <t>INE040A01034</t>
        </is>
      </c>
      <c r="B4" s="16" t="inlineStr">
        <is>
          <t>HDFCBANK</t>
        </is>
      </c>
      <c r="C4" s="16" t="inlineStr">
        <is>
          <t>HDFC Bank Ltd.</t>
        </is>
      </c>
      <c r="D4" s="16" t="inlineStr">
        <is>
          <t>Banks</t>
        </is>
      </c>
      <c r="E4" s="16" t="inlineStr">
        <is>
          <t>Banking and Finance</t>
        </is>
      </c>
      <c r="F4" s="17" t="n">
        <v>1097643.69</v>
      </c>
      <c r="G4" s="16" t="inlineStr">
        <is>
          <t>HDFCBANK</t>
        </is>
      </c>
      <c r="H4" s="16" t="inlineStr">
        <is>
          <t>500180</t>
        </is>
      </c>
      <c r="I4" s="27">
        <f>IFERROR(IF(INDEX(Stocks!$G$2:$G$2139,MATCH(A4,Stocks!$E$2:$E$2139,0))="","No","Yes"),"No")</f>
        <v/>
      </c>
    </row>
    <row r="5">
      <c r="A5" s="16" t="inlineStr">
        <is>
          <t>INE090A01021</t>
        </is>
      </c>
      <c r="B5" s="16" t="inlineStr">
        <is>
          <t>ICICIBANK</t>
        </is>
      </c>
      <c r="C5" s="16" t="inlineStr">
        <is>
          <t>ICICI Bank Ltd.</t>
        </is>
      </c>
      <c r="D5" s="16" t="inlineStr">
        <is>
          <t>Banks</t>
        </is>
      </c>
      <c r="E5" s="16" t="inlineStr">
        <is>
          <t>Banking and Finance</t>
        </is>
      </c>
      <c r="F5" s="17" t="n">
        <v>1021462.56</v>
      </c>
      <c r="G5" s="16" t="inlineStr">
        <is>
          <t>ICICIBANK</t>
        </is>
      </c>
      <c r="H5" s="16" t="inlineStr">
        <is>
          <t>532174</t>
        </is>
      </c>
      <c r="I5" s="27">
        <f>IFERROR(IF(INDEX(Stocks!$G$2:$G$2139,MATCH(A5,Stocks!$E$2:$E$2139,0))="","No","Yes"),"No")</f>
        <v/>
      </c>
    </row>
    <row r="6">
      <c r="A6" s="16" t="inlineStr">
        <is>
          <t>INE062A01020</t>
        </is>
      </c>
      <c r="B6" s="16" t="inlineStr">
        <is>
          <t>SBIN</t>
        </is>
      </c>
      <c r="C6" s="16" t="inlineStr">
        <is>
          <t>State Bank of India</t>
        </is>
      </c>
      <c r="D6" s="16" t="inlineStr">
        <is>
          <t>Banks</t>
        </is>
      </c>
      <c r="E6" s="16" t="inlineStr">
        <is>
          <t>Banking and Finance</t>
        </is>
      </c>
      <c r="F6" s="17" t="n">
        <v>937923.05</v>
      </c>
      <c r="G6" s="16" t="inlineStr">
        <is>
          <t>SBIN</t>
        </is>
      </c>
      <c r="H6" s="16" t="inlineStr">
        <is>
          <t>500112</t>
        </is>
      </c>
      <c r="I6" s="27">
        <f>IFERROR(IF(INDEX(Stocks!$G$2:$G$2139,MATCH(A6,Stocks!$E$2:$E$2139,0))="","No","Yes"),"No")</f>
        <v/>
      </c>
    </row>
    <row r="7">
      <c r="A7" s="16" t="inlineStr">
        <is>
          <t>INE467B01029</t>
        </is>
      </c>
      <c r="B7" s="16" t="inlineStr">
        <is>
          <t>TCS</t>
        </is>
      </c>
      <c r="C7" s="16" t="inlineStr">
        <is>
          <t>Tata Consultancy Services Ltd.</t>
        </is>
      </c>
      <c r="D7" s="16" t="inlineStr">
        <is>
          <t>IT Consulting &amp; Software</t>
        </is>
      </c>
      <c r="E7" s="16" t="inlineStr">
        <is>
          <t>Software &amp; Services</t>
        </is>
      </c>
      <c r="F7" s="17" t="n">
        <v>833607.36</v>
      </c>
      <c r="G7" s="16" t="inlineStr">
        <is>
          <t>TCS</t>
        </is>
      </c>
      <c r="H7" s="16" t="inlineStr">
        <is>
          <t>532540</t>
        </is>
      </c>
      <c r="I7" s="27">
        <f>IFERROR(IF(INDEX(Stocks!$G$2:$G$2139,MATCH(A7,Stocks!$E$2:$E$2139,0))="","No","Yes"),"No")</f>
        <v/>
      </c>
    </row>
    <row r="8">
      <c r="A8" s="16" t="inlineStr">
        <is>
          <t>INE296A01032</t>
        </is>
      </c>
      <c r="B8" s="16" t="inlineStr">
        <is>
          <t>BAJFINANCE</t>
        </is>
      </c>
      <c r="C8" s="16" t="inlineStr">
        <is>
          <t>Bajaj Finance Ltd.</t>
        </is>
      </c>
      <c r="D8" s="16" t="inlineStr">
        <is>
          <t>Finance (including NBFCs)</t>
        </is>
      </c>
      <c r="E8" s="16" t="inlineStr">
        <is>
          <t>Banking and Finance</t>
        </is>
      </c>
      <c r="F8" s="17" t="n">
        <v>660262.45</v>
      </c>
      <c r="G8" s="16" t="inlineStr">
        <is>
          <t>BAJFINANCE</t>
        </is>
      </c>
      <c r="H8" s="16" t="inlineStr">
        <is>
          <t>500034</t>
        </is>
      </c>
      <c r="I8" s="27">
        <f>IFERROR(IF(INDEX(Stocks!$G$2:$G$2139,MATCH(A8,Stocks!$E$2:$E$2139,0))="","No","Yes"),"No")</f>
        <v/>
      </c>
    </row>
    <row r="9">
      <c r="A9" s="16" t="inlineStr">
        <is>
          <t>INE018A01030</t>
        </is>
      </c>
      <c r="B9" s="16" t="inlineStr">
        <is>
          <t>LT</t>
        </is>
      </c>
      <c r="C9" s="16" t="inlineStr">
        <is>
          <t>Larsen &amp; Toubro Ltd.</t>
        </is>
      </c>
      <c r="D9" s="16" t="inlineStr">
        <is>
          <t>Construction &amp; Engineering</t>
        </is>
      </c>
      <c r="E9" s="16" t="inlineStr">
        <is>
          <t>Cement and Construction</t>
        </is>
      </c>
      <c r="F9" s="17" t="n">
        <v>557714.1</v>
      </c>
      <c r="G9" s="16" t="inlineStr">
        <is>
          <t>LT</t>
        </is>
      </c>
      <c r="H9" s="16" t="inlineStr">
        <is>
          <t>500510</t>
        </is>
      </c>
      <c r="I9" s="27">
        <f>IFERROR(IF(INDEX(Stocks!$G$2:$G$2139,MATCH(A9,Stocks!$E$2:$E$2139,0))="","No","Yes"),"No")</f>
        <v/>
      </c>
    </row>
    <row r="10">
      <c r="A10" s="16" t="inlineStr">
        <is>
          <t>INE0J1Y01017</t>
        </is>
      </c>
      <c r="B10" s="16" t="inlineStr">
        <is>
          <t>LICI</t>
        </is>
      </c>
      <c r="C10" s="16" t="inlineStr">
        <is>
          <t>Life Insurance Corporation of India</t>
        </is>
      </c>
      <c r="D10" s="16" t="inlineStr">
        <is>
          <t>Life Insurance</t>
        </is>
      </c>
      <c r="E10" s="16" t="inlineStr">
        <is>
          <t>Banking and Finance</t>
        </is>
      </c>
      <c r="F10" s="17" t="n">
        <v>525417.5600000001</v>
      </c>
      <c r="G10" s="16" t="inlineStr">
        <is>
          <t>LICI</t>
        </is>
      </c>
      <c r="H10" s="16" t="inlineStr">
        <is>
          <t>543526</t>
        </is>
      </c>
      <c r="I10" s="27">
        <f>IFERROR(IF(INDEX(Stocks!$G$2:$G$2139,MATCH(A10,Stocks!$E$2:$E$2139,0))="","No","Yes"),"No")</f>
        <v/>
      </c>
    </row>
    <row r="11">
      <c r="A11" s="16" t="inlineStr">
        <is>
          <t>INE030A01027</t>
        </is>
      </c>
      <c r="B11" s="16" t="inlineStr">
        <is>
          <t>HINDUNILVR</t>
        </is>
      </c>
      <c r="C11" s="16" t="inlineStr">
        <is>
          <t>Hindustan Unilever Ltd.</t>
        </is>
      </c>
      <c r="D11" s="16" t="inlineStr">
        <is>
          <t>Personal Products</t>
        </is>
      </c>
      <c r="E11" s="16" t="inlineStr">
        <is>
          <t>FMCG</t>
        </is>
      </c>
      <c r="F11" s="17" t="n">
        <v>463668.35</v>
      </c>
      <c r="G11" s="16" t="inlineStr">
        <is>
          <t>HINDUNILVR</t>
        </is>
      </c>
      <c r="H11" s="16" t="inlineStr">
        <is>
          <t>500696</t>
        </is>
      </c>
      <c r="I11" s="27">
        <f>IFERROR(IF(INDEX(Stocks!$G$2:$G$2139,MATCH(A11,Stocks!$E$2:$E$2139,0))="","No","Yes"),"No")</f>
        <v/>
      </c>
    </row>
    <row r="12">
      <c r="A12" s="16" t="inlineStr">
        <is>
          <t>INE009A01021</t>
        </is>
      </c>
      <c r="B12" s="16" t="inlineStr">
        <is>
          <t>INFY</t>
        </is>
      </c>
      <c r="C12" s="16" t="inlineStr">
        <is>
          <t>Infosys Ltd.</t>
        </is>
      </c>
      <c r="D12" s="16" t="inlineStr">
        <is>
          <t>IT Consulting &amp; Software</t>
        </is>
      </c>
      <c r="E12" s="16" t="inlineStr">
        <is>
          <t>Software &amp; Services</t>
        </is>
      </c>
      <c r="F12" s="17" t="n">
        <v>458580.27</v>
      </c>
      <c r="G12" s="16" t="inlineStr">
        <is>
          <t>INFY</t>
        </is>
      </c>
      <c r="H12" s="16" t="inlineStr">
        <is>
          <t>500209</t>
        </is>
      </c>
      <c r="I12" s="27">
        <f>IFERROR(IF(INDEX(Stocks!$G$2:$G$2139,MATCH(A12,Stocks!$E$2:$E$2139,0))="","No","Yes"),"No")</f>
        <v/>
      </c>
    </row>
    <row r="13">
      <c r="A13" s="16" t="inlineStr">
        <is>
          <t>INE044A01036</t>
        </is>
      </c>
      <c r="B13" s="16" t="inlineStr">
        <is>
          <t>SUNPHARMA</t>
        </is>
      </c>
      <c r="C13" s="16" t="inlineStr">
        <is>
          <t>Sun Pharmaceutical Industries Ltd.</t>
        </is>
      </c>
      <c r="D13" s="16" t="inlineStr">
        <is>
          <t>Pharmaceuticals</t>
        </is>
      </c>
      <c r="E13" s="16" t="inlineStr">
        <is>
          <t>Pharmaceuticals &amp; Biotechnology</t>
        </is>
      </c>
      <c r="F13" s="17" t="n">
        <v>455633.72</v>
      </c>
      <c r="G13" s="16" t="inlineStr">
        <is>
          <t>SUNPHARMA</t>
        </is>
      </c>
      <c r="H13" s="16" t="inlineStr">
        <is>
          <t>524715</t>
        </is>
      </c>
      <c r="I13" s="27">
        <f>IFERROR(IF(INDEX(Stocks!$G$2:$G$2139,MATCH(A13,Stocks!$E$2:$E$2139,0))="","No","Yes"),"No")</f>
        <v/>
      </c>
    </row>
    <row r="14">
      <c r="A14" s="16" t="inlineStr">
        <is>
          <t>INE280A01028</t>
        </is>
      </c>
      <c r="B14" s="16" t="inlineStr">
        <is>
          <t>TITAN</t>
        </is>
      </c>
      <c r="C14" s="16" t="inlineStr">
        <is>
          <t>Titan Company Ltd.</t>
        </is>
      </c>
      <c r="D14" s="16" t="inlineStr">
        <is>
          <t>Gems &amp; Jewellery</t>
        </is>
      </c>
      <c r="E14" s="16" t="inlineStr">
        <is>
          <t>Textiles Apparels &amp; Accessories</t>
        </is>
      </c>
      <c r="F14" s="17" t="n">
        <v>445668.67</v>
      </c>
      <c r="G14" s="16" t="inlineStr">
        <is>
          <t>TITAN</t>
        </is>
      </c>
      <c r="H14" s="16" t="inlineStr">
        <is>
          <t>500114</t>
        </is>
      </c>
      <c r="I14" s="27">
        <f>IFERROR(IF(INDEX(Stocks!$G$2:$G$2139,MATCH(A14,Stocks!$E$2:$E$2139,0))="","No","Yes"),"No")</f>
        <v/>
      </c>
    </row>
    <row r="15">
      <c r="A15" s="16" t="inlineStr">
        <is>
          <t>INE237A01036</t>
        </is>
      </c>
      <c r="B15" s="16" t="inlineStr">
        <is>
          <t>KOTAKBANK</t>
        </is>
      </c>
      <c r="C15" s="16" t="inlineStr">
        <is>
          <t>Kotak Mahindra Bank Ltd.</t>
        </is>
      </c>
      <c r="D15" s="16" t="inlineStr">
        <is>
          <t>Banks</t>
        </is>
      </c>
      <c r="E15" s="16" t="inlineStr">
        <is>
          <t>Banking and Finance</t>
        </is>
      </c>
      <c r="F15" s="17" t="n">
        <v>422278</v>
      </c>
      <c r="G15" s="16" t="inlineStr">
        <is>
          <t>KOTAKBANK</t>
        </is>
      </c>
      <c r="H15" s="16" t="inlineStr">
        <is>
          <t>500247</t>
        </is>
      </c>
      <c r="I15" s="27">
        <f>IFERROR(IF(INDEX(Stocks!$G$2:$G$2139,MATCH(A15,Stocks!$E$2:$E$2139,0))="","No","Yes"),"No")</f>
        <v/>
      </c>
    </row>
    <row r="16">
      <c r="A16" s="16" t="inlineStr">
        <is>
          <t>INE814H01029</t>
        </is>
      </c>
      <c r="B16" s="16" t="inlineStr">
        <is>
          <t>ADANIPOWER</t>
        </is>
      </c>
      <c r="C16" s="16" t="inlineStr">
        <is>
          <t>Adani Power Ltd.</t>
        </is>
      </c>
      <c r="D16" s="16" t="inlineStr">
        <is>
          <t>Power - Electric Utilities</t>
        </is>
      </c>
      <c r="E16" s="16" t="inlineStr">
        <is>
          <t>Utilities</t>
        </is>
      </c>
      <c r="F16" s="17" t="n">
        <v>399578.87</v>
      </c>
      <c r="G16" s="16" t="inlineStr">
        <is>
          <t>ADANIPOWER</t>
        </is>
      </c>
      <c r="H16" s="16" t="inlineStr">
        <is>
          <t>533096</t>
        </is>
      </c>
      <c r="I16" s="27">
        <f>IFERROR(IF(INDEX(Stocks!$G$2:$G$2139,MATCH(A16,Stocks!$E$2:$E$2139,0))="","No","Yes"),"No")</f>
        <v/>
      </c>
    </row>
    <row r="17">
      <c r="A17" s="16" t="inlineStr">
        <is>
          <t>INE585B01010</t>
        </is>
      </c>
      <c r="B17" s="16" t="inlineStr">
        <is>
          <t>MARUTI</t>
        </is>
      </c>
      <c r="C17" s="16" t="inlineStr">
        <is>
          <t>Maruti Suzuki India Ltd.</t>
        </is>
      </c>
      <c r="D17" s="16" t="inlineStr">
        <is>
          <t>Cars &amp; Utility Vehicles</t>
        </is>
      </c>
      <c r="E17" s="16" t="inlineStr">
        <is>
          <t>Automobiles &amp; Auto Components</t>
        </is>
      </c>
      <c r="F17" s="17" t="n">
        <v>399102.66</v>
      </c>
      <c r="G17" s="16" t="inlineStr">
        <is>
          <t>MARUTI</t>
        </is>
      </c>
      <c r="H17" s="16" t="inlineStr">
        <is>
          <t>532500</t>
        </is>
      </c>
      <c r="I17" s="27">
        <f>IFERROR(IF(INDEX(Stocks!$G$2:$G$2139,MATCH(A17,Stocks!$E$2:$E$2139,0))="","No","Yes"),"No")</f>
        <v/>
      </c>
    </row>
    <row r="18">
      <c r="A18" s="16" t="inlineStr">
        <is>
          <t>INE423A01024</t>
        </is>
      </c>
      <c r="B18" s="16" t="inlineStr">
        <is>
          <t>ADANIENT</t>
        </is>
      </c>
      <c r="C18" s="16" t="inlineStr">
        <is>
          <t>Adani Enterprises Ltd.</t>
        </is>
      </c>
      <c r="D18" s="16" t="inlineStr">
        <is>
          <t>Commodity Trading  &amp; Distribution</t>
        </is>
      </c>
      <c r="E18" s="16" t="inlineStr">
        <is>
          <t>Commercial Services &amp; Supplies</t>
        </is>
      </c>
      <c r="F18" s="17" t="n">
        <v>397632.24</v>
      </c>
      <c r="G18" s="16" t="inlineStr">
        <is>
          <t>ADANIENT</t>
        </is>
      </c>
      <c r="H18" s="16" t="inlineStr">
        <is>
          <t>512599</t>
        </is>
      </c>
      <c r="I18" s="27">
        <f>IFERROR(IF(INDEX(Stocks!$G$2:$G$2139,MATCH(A18,Stocks!$E$2:$E$2139,0))="","No","Yes"),"No")</f>
        <v/>
      </c>
    </row>
    <row r="19">
      <c r="A19" s="16" t="inlineStr">
        <is>
          <t>INE238A01034</t>
        </is>
      </c>
      <c r="B19" s="16" t="inlineStr">
        <is>
          <t>AXISBANK</t>
        </is>
      </c>
      <c r="C19" s="16" t="inlineStr">
        <is>
          <t>Axis Bank Ltd.</t>
        </is>
      </c>
      <c r="D19" s="16" t="inlineStr">
        <is>
          <t>Banks</t>
        </is>
      </c>
      <c r="E19" s="16" t="inlineStr">
        <is>
          <t>Banking and Finance</t>
        </is>
      </c>
      <c r="F19" s="17" t="n">
        <v>396316.11</v>
      </c>
      <c r="G19" s="16" t="inlineStr">
        <is>
          <t>AXISBANK</t>
        </is>
      </c>
      <c r="H19" s="16" t="inlineStr">
        <is>
          <t>532215</t>
        </is>
      </c>
      <c r="I19" s="27">
        <f>IFERROR(IF(INDEX(Stocks!$G$2:$G$2139,MATCH(A19,Stocks!$E$2:$E$2139,0))="","No","Yes"),"No")</f>
        <v/>
      </c>
    </row>
    <row r="20">
      <c r="A20" s="16" t="inlineStr">
        <is>
          <t>INE101A01026</t>
        </is>
      </c>
      <c r="B20" s="16" t="inlineStr">
        <is>
          <t>M&amp;M</t>
        </is>
      </c>
      <c r="C20" s="16" t="inlineStr">
        <is>
          <t>Mahindra &amp; Mahindra Ltd.</t>
        </is>
      </c>
      <c r="D20" s="16" t="inlineStr">
        <is>
          <t>Cars &amp; Utility Vehicles</t>
        </is>
      </c>
      <c r="E20" s="16" t="inlineStr">
        <is>
          <t>Automobiles &amp; Auto Components</t>
        </is>
      </c>
      <c r="F20" s="17" t="n">
        <v>394198.63</v>
      </c>
      <c r="G20" s="16" t="inlineStr">
        <is>
          <t>M&amp;M</t>
        </is>
      </c>
      <c r="H20" s="16" t="inlineStr">
        <is>
          <t>500520</t>
        </is>
      </c>
      <c r="I20" s="27">
        <f>IFERROR(IF(INDEX(Stocks!$G$2:$G$2139,MATCH(A20,Stocks!$E$2:$E$2139,0))="","No","Yes"),"No")</f>
        <v/>
      </c>
    </row>
    <row r="21">
      <c r="A21" s="16" t="inlineStr">
        <is>
          <t>INE742F01042</t>
        </is>
      </c>
      <c r="B21" s="16" t="inlineStr">
        <is>
          <t>ADANIPORTS</t>
        </is>
      </c>
      <c r="C21" s="16" t="inlineStr">
        <is>
          <t>Adani Ports &amp; Special Economic Zone Ltd.</t>
        </is>
      </c>
      <c r="D21" s="16" t="inlineStr">
        <is>
          <t>Marine Port &amp; Services</t>
        </is>
      </c>
      <c r="E21" s="16" t="inlineStr">
        <is>
          <t>Transportation</t>
        </is>
      </c>
      <c r="F21" s="17" t="n">
        <v>368800.51</v>
      </c>
      <c r="G21" s="16" t="inlineStr">
        <is>
          <t>ADANIPORTS</t>
        </is>
      </c>
      <c r="H21" s="16" t="inlineStr">
        <is>
          <t>532921</t>
        </is>
      </c>
      <c r="I21" s="27">
        <f>IFERROR(IF(INDEX(Stocks!$G$2:$G$2139,MATCH(A21,Stocks!$E$2:$E$2139,0))="","No","Yes"),"No")</f>
        <v/>
      </c>
    </row>
    <row r="22">
      <c r="A22" s="16" t="inlineStr">
        <is>
          <t>INE860A01027</t>
        </is>
      </c>
      <c r="B22" s="16" t="inlineStr">
        <is>
          <t>HCLTECH</t>
        </is>
      </c>
      <c r="C22" s="16" t="inlineStr">
        <is>
          <t>HCL Technologies Ltd.</t>
        </is>
      </c>
      <c r="D22" s="16" t="inlineStr">
        <is>
          <t>IT Consulting &amp; Software</t>
        </is>
      </c>
      <c r="E22" s="16" t="inlineStr">
        <is>
          <t>Software &amp; Services</t>
        </is>
      </c>
      <c r="F22" s="17" t="n">
        <v>350985.44</v>
      </c>
      <c r="G22" s="16" t="inlineStr">
        <is>
          <t>HCLTECH</t>
        </is>
      </c>
      <c r="H22" s="16" t="inlineStr">
        <is>
          <t>532281</t>
        </is>
      </c>
      <c r="I22" s="27">
        <f>IFERROR(IF(INDEX(Stocks!$G$2:$G$2139,MATCH(A22,Stocks!$E$2:$E$2139,0))="","No","Yes"),"No")</f>
        <v/>
      </c>
    </row>
    <row r="23">
      <c r="A23" s="16" t="inlineStr">
        <is>
          <t>INE481G01011</t>
        </is>
      </c>
      <c r="B23" s="16" t="inlineStr">
        <is>
          <t>ULTRACEMCO</t>
        </is>
      </c>
      <c r="C23" s="16" t="inlineStr">
        <is>
          <t>UltraTech Cement Ltd.</t>
        </is>
      </c>
      <c r="D23" s="16" t="inlineStr">
        <is>
          <t>Cement &amp; Cement Products</t>
        </is>
      </c>
      <c r="E23" s="16" t="inlineStr">
        <is>
          <t>Cement and Construction</t>
        </is>
      </c>
      <c r="F23" s="17" t="n">
        <v>336170.03</v>
      </c>
      <c r="G23" s="16" t="inlineStr">
        <is>
          <t>ULTRACEMCO</t>
        </is>
      </c>
      <c r="H23" s="16" t="inlineStr">
        <is>
          <t>532538</t>
        </is>
      </c>
      <c r="I23" s="27">
        <f>IFERROR(IF(INDEX(Stocks!$G$2:$G$2139,MATCH(A23,Stocks!$E$2:$E$2139,0))="","No","Yes"),"No")</f>
        <v/>
      </c>
    </row>
    <row r="24">
      <c r="A24" s="16" t="inlineStr">
        <is>
          <t>INE917I01010</t>
        </is>
      </c>
      <c r="B24" s="16" t="inlineStr">
        <is>
          <t>BAJAJ-AUTO</t>
        </is>
      </c>
      <c r="C24" s="16" t="inlineStr">
        <is>
          <t>Bajaj Auto Ltd.</t>
        </is>
      </c>
      <c r="D24" s="16" t="inlineStr">
        <is>
          <t>2/3 Wheelers</t>
        </is>
      </c>
      <c r="E24" s="16" t="inlineStr">
        <is>
          <t>Automobiles &amp; Auto Components</t>
        </is>
      </c>
      <c r="F24" s="17" t="n">
        <v>333133.43</v>
      </c>
      <c r="G24" s="16" t="inlineStr">
        <is>
          <t>BAJAJ-AUTO</t>
        </is>
      </c>
      <c r="H24" s="16" t="inlineStr">
        <is>
          <t>532977</t>
        </is>
      </c>
      <c r="I24" s="27">
        <f>IFERROR(IF(INDEX(Stocks!$G$2:$G$2139,MATCH(A24,Stocks!$E$2:$E$2139,0))="","No","Yes"),"No")</f>
        <v/>
      </c>
    </row>
    <row r="25">
      <c r="A25" s="16" t="inlineStr">
        <is>
          <t>INE154A01025</t>
        </is>
      </c>
      <c r="B25" s="16" t="inlineStr">
        <is>
          <t>ITC</t>
        </is>
      </c>
      <c r="C25" s="16" t="inlineStr">
        <is>
          <t>ITC Ltd.</t>
        </is>
      </c>
      <c r="D25" s="16" t="inlineStr">
        <is>
          <t>Cigarettes-Tobacco Products</t>
        </is>
      </c>
      <c r="E25" s="16" t="inlineStr">
        <is>
          <t>Food, Beverages &amp; Tobacco</t>
        </is>
      </c>
      <c r="F25" s="17" t="n">
        <v>330911.54</v>
      </c>
      <c r="G25" s="16" t="inlineStr">
        <is>
          <t>ITC</t>
        </is>
      </c>
      <c r="H25" s="16" t="inlineStr">
        <is>
          <t>500875</t>
        </is>
      </c>
      <c r="I25" s="27">
        <f>IFERROR(IF(INDEX(Stocks!$G$2:$G$2139,MATCH(A25,Stocks!$E$2:$E$2139,0))="","No","Yes"),"No")</f>
        <v/>
      </c>
    </row>
    <row r="26">
      <c r="A26" s="16" t="inlineStr">
        <is>
          <t>INE066F01020</t>
        </is>
      </c>
      <c r="B26" s="16" t="inlineStr">
        <is>
          <t>HAL</t>
        </is>
      </c>
      <c r="C26" s="16" t="inlineStr">
        <is>
          <t>Hindustan Aeronautics Ltd.</t>
        </is>
      </c>
      <c r="D26" s="16" t="inlineStr">
        <is>
          <t>Aerospace &amp; Defence</t>
        </is>
      </c>
      <c r="E26" s="16" t="inlineStr">
        <is>
          <t>General Industrials</t>
        </is>
      </c>
      <c r="F26" s="17" t="n">
        <v>324757.14</v>
      </c>
      <c r="G26" s="16" t="inlineStr">
        <is>
          <t>HAL</t>
        </is>
      </c>
      <c r="H26" s="16" t="inlineStr">
        <is>
          <t>541154</t>
        </is>
      </c>
      <c r="I26" s="27">
        <f>IFERROR(IF(INDEX(Stocks!$G$2:$G$2139,MATCH(A26,Stocks!$E$2:$E$2139,0))="","No","Yes"),"No")</f>
        <v/>
      </c>
    </row>
    <row r="27">
      <c r="A27" s="16" t="inlineStr">
        <is>
          <t>INE019A01038</t>
        </is>
      </c>
      <c r="B27" s="16" t="inlineStr">
        <is>
          <t>JSWSTEEL</t>
        </is>
      </c>
      <c r="C27" s="16" t="inlineStr">
        <is>
          <t>JSW Steel Ltd.</t>
        </is>
      </c>
      <c r="D27" s="16" t="inlineStr">
        <is>
          <t>Iron &amp; Steel/Interm.Products</t>
        </is>
      </c>
      <c r="E27" s="16" t="inlineStr">
        <is>
          <t>Metals &amp; Mining</t>
        </is>
      </c>
      <c r="F27" s="17" t="n">
        <v>324022.66</v>
      </c>
      <c r="G27" s="16" t="inlineStr">
        <is>
          <t>JSWSTEEL</t>
        </is>
      </c>
      <c r="H27" s="16" t="inlineStr">
        <is>
          <t>500228</t>
        </is>
      </c>
      <c r="I27" s="27">
        <f>IFERROR(IF(INDEX(Stocks!$G$2:$G$2139,MATCH(A27,Stocks!$E$2:$E$2139,0))="","No","Yes"),"No")</f>
        <v/>
      </c>
    </row>
    <row r="28">
      <c r="A28" s="16" t="inlineStr">
        <is>
          <t>INE733E01010</t>
        </is>
      </c>
      <c r="B28" s="16" t="inlineStr">
        <is>
          <t>NTPC</t>
        </is>
      </c>
      <c r="C28" s="16" t="inlineStr">
        <is>
          <t>NTPC Ltd.</t>
        </is>
      </c>
      <c r="D28" s="16" t="inlineStr">
        <is>
          <t>Power - Electric Utilities</t>
        </is>
      </c>
      <c r="E28" s="16" t="inlineStr">
        <is>
          <t>Utilities</t>
        </is>
      </c>
      <c r="F28" s="17" t="n">
        <v>322414.15</v>
      </c>
      <c r="G28" s="16" t="inlineStr">
        <is>
          <t>NTPC</t>
        </is>
      </c>
      <c r="H28" s="16" t="inlineStr">
        <is>
          <t>532555</t>
        </is>
      </c>
      <c r="I28" s="27">
        <f>IFERROR(IF(INDEX(Stocks!$G$2:$G$2139,MATCH(A28,Stocks!$E$2:$E$2139,0))="","No","Yes"),"No")</f>
        <v/>
      </c>
    </row>
    <row r="29">
      <c r="A29" s="16" t="inlineStr">
        <is>
          <t>INE918I01026</t>
        </is>
      </c>
      <c r="B29" s="16" t="inlineStr">
        <is>
          <t>BAJAJFINSV</t>
        </is>
      </c>
      <c r="C29" s="16" t="inlineStr">
        <is>
          <t>Bajaj Finserv Ltd.</t>
        </is>
      </c>
      <c r="D29" s="16" t="inlineStr">
        <is>
          <t>Holding Companies</t>
        </is>
      </c>
      <c r="E29" s="16" t="inlineStr">
        <is>
          <t>Diversified</t>
        </is>
      </c>
      <c r="F29" s="17" t="n">
        <v>315308.35</v>
      </c>
      <c r="G29" s="16" t="inlineStr">
        <is>
          <t>BAJAJFINSV</t>
        </is>
      </c>
      <c r="H29" s="16" t="inlineStr">
        <is>
          <t>532978</t>
        </is>
      </c>
      <c r="I29" s="27">
        <f>IFERROR(IF(INDEX(Stocks!$G$2:$G$2139,MATCH(A29,Stocks!$E$2:$E$2139,0))="","No","Yes"),"No")</f>
        <v/>
      </c>
    </row>
    <row r="30">
      <c r="A30" s="16" t="inlineStr">
        <is>
          <t>INE758T01015</t>
        </is>
      </c>
      <c r="B30" s="16" t="inlineStr">
        <is>
          <t>ETERNAL</t>
        </is>
      </c>
      <c r="C30" s="16" t="inlineStr">
        <is>
          <t>Eternal Ltd.</t>
        </is>
      </c>
      <c r="D30" s="16" t="inlineStr">
        <is>
          <t>Internet &amp; Catalogue Retail</t>
        </is>
      </c>
      <c r="E30" s="16" t="inlineStr">
        <is>
          <t>Retailing</t>
        </is>
      </c>
      <c r="F30" s="17" t="n">
        <v>311465.07</v>
      </c>
      <c r="G30" s="16" t="inlineStr">
        <is>
          <t>ETERNAL</t>
        </is>
      </c>
      <c r="H30" s="16" t="inlineStr">
        <is>
          <t>543320</t>
        </is>
      </c>
      <c r="I30" s="27">
        <f>IFERROR(IF(INDEX(Stocks!$G$2:$G$2139,MATCH(A30,Stocks!$E$2:$E$2139,0))="","No","Yes"),"No")</f>
        <v/>
      </c>
    </row>
    <row r="31">
      <c r="A31" s="16" t="inlineStr">
        <is>
          <t>INE263A01024</t>
        </is>
      </c>
      <c r="B31" s="16" t="inlineStr">
        <is>
          <t>BEL</t>
        </is>
      </c>
      <c r="C31" s="16" t="inlineStr">
        <is>
          <t>Bharat Electronics Ltd.</t>
        </is>
      </c>
      <c r="D31" s="16" t="inlineStr">
        <is>
          <t>Aerospace &amp; Defence</t>
        </is>
      </c>
      <c r="E31" s="16" t="inlineStr">
        <is>
          <t>General Industrials</t>
        </is>
      </c>
      <c r="F31" s="17" t="n">
        <v>296301.88</v>
      </c>
      <c r="G31" s="16" t="inlineStr">
        <is>
          <t>BEL</t>
        </is>
      </c>
      <c r="H31" s="16" t="inlineStr">
        <is>
          <t>500049</t>
        </is>
      </c>
      <c r="I31" s="27">
        <f>IFERROR(IF(INDEX(Stocks!$G$2:$G$2139,MATCH(A31,Stocks!$E$2:$E$2139,0))="","No","Yes"),"No")</f>
        <v/>
      </c>
    </row>
    <row r="32">
      <c r="A32" s="16" t="inlineStr">
        <is>
          <t>INE213A01029</t>
        </is>
      </c>
      <c r="B32" s="16" t="inlineStr">
        <is>
          <t>ONGC</t>
        </is>
      </c>
      <c r="C32" s="16" t="inlineStr">
        <is>
          <t>Oil And Natural Gas Corporation Ltd.</t>
        </is>
      </c>
      <c r="D32" s="16" t="inlineStr">
        <is>
          <t>Exploration &amp; Production</t>
        </is>
      </c>
      <c r="E32" s="16" t="inlineStr">
        <is>
          <t>Oil &amp; Gas</t>
        </is>
      </c>
      <c r="F32" s="17" t="n">
        <v>295196.25</v>
      </c>
      <c r="G32" s="16" t="inlineStr">
        <is>
          <t>ONGC</t>
        </is>
      </c>
      <c r="H32" s="16" t="inlineStr">
        <is>
          <t>500312</t>
        </is>
      </c>
      <c r="I32" s="27">
        <f>IFERROR(IF(INDEX(Stocks!$G$2:$G$2139,MATCH(A32,Stocks!$E$2:$E$2139,0))="","No","Yes"),"No")</f>
        <v/>
      </c>
    </row>
    <row r="33">
      <c r="A33" s="16" t="inlineStr">
        <is>
          <t>INE239A01024</t>
        </is>
      </c>
      <c r="B33" s="16" t="inlineStr">
        <is>
          <t>NESTLEIND</t>
        </is>
      </c>
      <c r="C33" s="16" t="inlineStr">
        <is>
          <t>Nestle India Ltd.</t>
        </is>
      </c>
      <c r="D33" s="16" t="inlineStr">
        <is>
          <t>Packaged Foods</t>
        </is>
      </c>
      <c r="E33" s="16" t="inlineStr">
        <is>
          <t>FMCG</t>
        </is>
      </c>
      <c r="F33" s="17" t="n">
        <v>271988.73</v>
      </c>
      <c r="G33" s="16" t="inlineStr">
        <is>
          <t>NESTLEIND</t>
        </is>
      </c>
      <c r="H33" s="16" t="inlineStr">
        <is>
          <t>500790</t>
        </is>
      </c>
      <c r="I33" s="27">
        <f>IFERROR(IF(INDEX(Stocks!$G$2:$G$2139,MATCH(A33,Stocks!$E$2:$E$2139,0))="","No","Yes"),"No")</f>
        <v/>
      </c>
    </row>
    <row r="34">
      <c r="A34" s="16" t="inlineStr">
        <is>
          <t>INE522F01014</t>
        </is>
      </c>
      <c r="B34" s="16" t="inlineStr">
        <is>
          <t>COALINDIA</t>
        </is>
      </c>
      <c r="C34" s="16" t="inlineStr">
        <is>
          <t>Coal India Ltd.</t>
        </is>
      </c>
      <c r="D34" s="16" t="inlineStr">
        <is>
          <t>Coal &amp; Mining</t>
        </is>
      </c>
      <c r="E34" s="16" t="inlineStr">
        <is>
          <t>Metals &amp; Mining</t>
        </is>
      </c>
      <c r="F34" s="17" t="n">
        <v>255968.92</v>
      </c>
      <c r="G34" s="16" t="inlineStr">
        <is>
          <t>COALINDIA</t>
        </is>
      </c>
      <c r="H34" s="16" t="inlineStr">
        <is>
          <t>533278</t>
        </is>
      </c>
      <c r="I34" s="27">
        <f>IFERROR(IF(INDEX(Stocks!$G$2:$G$2139,MATCH(A34,Stocks!$E$2:$E$2139,0))="","No","Yes"),"No")</f>
        <v/>
      </c>
    </row>
    <row r="35">
      <c r="A35" s="16" t="inlineStr">
        <is>
          <t>INE267A01025</t>
        </is>
      </c>
      <c r="B35" s="16" t="inlineStr">
        <is>
          <t>HINDZINC</t>
        </is>
      </c>
      <c r="C35" s="16" t="inlineStr">
        <is>
          <t>Hindustan Zinc Ltd.</t>
        </is>
      </c>
      <c r="D35" s="16" t="inlineStr">
        <is>
          <t>Other Non-Ferrous Metals</t>
        </is>
      </c>
      <c r="E35" s="16" t="inlineStr">
        <is>
          <t>Metals &amp; Mining</t>
        </is>
      </c>
      <c r="F35" s="17" t="n">
        <v>253941.67</v>
      </c>
      <c r="G35" s="16" t="inlineStr">
        <is>
          <t>HINDZINC</t>
        </is>
      </c>
      <c r="H35" s="16" t="inlineStr">
        <is>
          <t>500188</t>
        </is>
      </c>
      <c r="I35" s="27">
        <f>IFERROR(IF(INDEX(Stocks!$G$2:$G$2139,MATCH(A35,Stocks!$E$2:$E$2139,0))="","No","Yes"),"No")</f>
        <v/>
      </c>
    </row>
    <row r="36">
      <c r="A36" s="16" t="inlineStr">
        <is>
          <t>INE752E01010</t>
        </is>
      </c>
      <c r="B36" s="16" t="inlineStr">
        <is>
          <t>POWERGRID</t>
        </is>
      </c>
      <c r="C36" s="16" t="inlineStr">
        <is>
          <t>Power Grid Corporation of India Ltd.</t>
        </is>
      </c>
      <c r="D36" s="16" t="inlineStr">
        <is>
          <t>Power - Electric Utilities</t>
        </is>
      </c>
      <c r="E36" s="16" t="inlineStr">
        <is>
          <t>Utilities</t>
        </is>
      </c>
      <c r="F36" s="17" t="n">
        <v>247396.06</v>
      </c>
      <c r="G36" s="16" t="inlineStr">
        <is>
          <t>POWERGRID</t>
        </is>
      </c>
      <c r="H36" s="16" t="inlineStr">
        <is>
          <t>532898</t>
        </is>
      </c>
      <c r="I36" s="27">
        <f>IFERROR(IF(INDEX(Stocks!$G$2:$G$2139,MATCH(A36,Stocks!$E$2:$E$2139,0))="","No","Yes"),"No")</f>
        <v/>
      </c>
    </row>
    <row r="37">
      <c r="A37" s="16" t="inlineStr">
        <is>
          <t>INE192R01011</t>
        </is>
      </c>
      <c r="B37" s="16" t="inlineStr">
        <is>
          <t>DMART</t>
        </is>
      </c>
      <c r="C37" s="16" t="inlineStr">
        <is>
          <t>Avenue Supermarts Ltd.</t>
        </is>
      </c>
      <c r="D37" s="16" t="inlineStr">
        <is>
          <t>Department Stores</t>
        </is>
      </c>
      <c r="E37" s="16" t="inlineStr">
        <is>
          <t>Retailing</t>
        </is>
      </c>
      <c r="F37" s="17" t="n">
        <v>245896.74</v>
      </c>
      <c r="G37" s="16" t="inlineStr">
        <is>
          <t>DMART</t>
        </is>
      </c>
      <c r="H37" s="16" t="inlineStr">
        <is>
          <t>540376</t>
        </is>
      </c>
      <c r="I37" s="27">
        <f>IFERROR(IF(INDEX(Stocks!$G$2:$G$2139,MATCH(A37,Stocks!$E$2:$E$2139,0))="","No","Yes"),"No")</f>
        <v/>
      </c>
    </row>
    <row r="38">
      <c r="A38" s="16" t="inlineStr">
        <is>
          <t>INE721A01047</t>
        </is>
      </c>
      <c r="B38" s="16" t="inlineStr">
        <is>
          <t>SHRIRAMFIN</t>
        </is>
      </c>
      <c r="C38" s="16" t="inlineStr">
        <is>
          <t>Shriram Finance Ltd.</t>
        </is>
      </c>
      <c r="D38" s="16" t="inlineStr">
        <is>
          <t>Finance (including NBFCs)</t>
        </is>
      </c>
      <c r="E38" s="16" t="inlineStr">
        <is>
          <t>Banking and Finance</t>
        </is>
      </c>
      <c r="F38" s="17" t="n">
        <v>244945.58</v>
      </c>
      <c r="G38" s="16" t="inlineStr">
        <is>
          <t>SHRIRAMFIN</t>
        </is>
      </c>
      <c r="H38" s="16" t="inlineStr">
        <is>
          <t>511218</t>
        </is>
      </c>
      <c r="I38" s="27">
        <f>IFERROR(IF(INDEX(Stocks!$G$2:$G$2139,MATCH(A38,Stocks!$E$2:$E$2139,0))="","No","Yes"),"No")</f>
        <v/>
      </c>
    </row>
    <row r="39">
      <c r="A39" s="16" t="inlineStr">
        <is>
          <t>INE021A01026</t>
        </is>
      </c>
      <c r="B39" s="16" t="inlineStr">
        <is>
          <t>ASIANPAINT</t>
        </is>
      </c>
      <c r="C39" s="16" t="inlineStr">
        <is>
          <t>Asian Paints Ltd.</t>
        </is>
      </c>
      <c r="D39" s="16" t="inlineStr">
        <is>
          <t>Paints</t>
        </is>
      </c>
      <c r="E39" s="16" t="inlineStr">
        <is>
          <t>Consumer Durables</t>
        </is>
      </c>
      <c r="F39" s="17" t="n">
        <v>242418.06</v>
      </c>
      <c r="G39" s="16" t="inlineStr">
        <is>
          <t>ASIANPAINT</t>
        </is>
      </c>
      <c r="H39" s="16" t="inlineStr">
        <is>
          <t>500820</t>
        </is>
      </c>
      <c r="I39" s="27">
        <f>IFERROR(IF(INDEX(Stocks!$G$2:$G$2139,MATCH(A39,Stocks!$E$2:$E$2139,0))="","No","Yes"),"No")</f>
        <v/>
      </c>
    </row>
    <row r="40">
      <c r="A40" s="16" t="inlineStr">
        <is>
          <t>INE361B01024</t>
        </is>
      </c>
      <c r="B40" s="16" t="inlineStr">
        <is>
          <t>DIVISLAB</t>
        </is>
      </c>
      <c r="C40" s="16" t="inlineStr">
        <is>
          <t>Divi's Laboratories Ltd.</t>
        </is>
      </c>
      <c r="D40" s="16" t="inlineStr">
        <is>
          <t>Pharmaceuticals</t>
        </is>
      </c>
      <c r="E40" s="16" t="inlineStr">
        <is>
          <t>Pharmaceuticals &amp; Biotechnology</t>
        </is>
      </c>
      <c r="F40" s="17" t="n">
        <v>241576.43</v>
      </c>
      <c r="G40" s="16" t="inlineStr">
        <is>
          <t>DIVISLAB</t>
        </is>
      </c>
      <c r="H40" s="16" t="inlineStr">
        <is>
          <t>532488</t>
        </is>
      </c>
      <c r="I40" s="27">
        <f>IFERROR(IF(INDEX(Stocks!$G$2:$G$2139,MATCH(A40,Stocks!$E$2:$E$2139,0))="","No","Yes"),"No")</f>
        <v/>
      </c>
    </row>
    <row r="41">
      <c r="A41" s="16" t="inlineStr">
        <is>
          <t>INE081A01020</t>
        </is>
      </c>
      <c r="B41" s="16" t="inlineStr">
        <is>
          <t>TATASTEEL</t>
        </is>
      </c>
      <c r="C41" s="16" t="inlineStr">
        <is>
          <t>Tata Steel Ltd.</t>
        </is>
      </c>
      <c r="D41" s="16" t="inlineStr">
        <is>
          <t>Iron &amp; Steel/Interm.Products</t>
        </is>
      </c>
      <c r="E41" s="16" t="inlineStr">
        <is>
          <t>Metals &amp; Mining</t>
        </is>
      </c>
      <c r="F41" s="17" t="n">
        <v>235676.59</v>
      </c>
      <c r="G41" s="16" t="inlineStr">
        <is>
          <t>TATASTEEL</t>
        </is>
      </c>
      <c r="H41" s="16" t="inlineStr">
        <is>
          <t>500470</t>
        </is>
      </c>
      <c r="I41" s="27">
        <f>IFERROR(IF(INDEX(Stocks!$G$2:$G$2139,MATCH(A41,Stocks!$E$2:$E$2139,0))="","No","Yes"),"No")</f>
        <v/>
      </c>
    </row>
    <row r="42">
      <c r="A42" s="16" t="inlineStr">
        <is>
          <t>INE038A01020</t>
        </is>
      </c>
      <c r="B42" s="16" t="inlineStr">
        <is>
          <t>HINDALCO</t>
        </is>
      </c>
      <c r="C42" s="16" t="inlineStr">
        <is>
          <t>Hindalco Industries Ltd.</t>
        </is>
      </c>
      <c r="D42" s="16" t="inlineStr">
        <is>
          <t>Aluminium and Aluminium Products</t>
        </is>
      </c>
      <c r="E42" s="16" t="inlineStr">
        <is>
          <t>Metals &amp; Mining</t>
        </is>
      </c>
      <c r="F42" s="17" t="n">
        <v>227194.6</v>
      </c>
      <c r="G42" s="16" t="inlineStr">
        <is>
          <t>HINDALCO</t>
        </is>
      </c>
      <c r="H42" s="16" t="inlineStr">
        <is>
          <t>500440</t>
        </is>
      </c>
      <c r="I42" s="27">
        <f>IFERROR(IF(INDEX(Stocks!$G$2:$G$2139,MATCH(A42,Stocks!$E$2:$E$2139,0))="","No","Yes"),"No")</f>
        <v/>
      </c>
    </row>
    <row r="43">
      <c r="A43" s="16" t="inlineStr">
        <is>
          <t>INE047A01021</t>
        </is>
      </c>
      <c r="B43" s="16" t="inlineStr">
        <is>
          <t>GRASIM</t>
        </is>
      </c>
      <c r="C43" s="16" t="inlineStr">
        <is>
          <t>Grasim Industries Ltd.</t>
        </is>
      </c>
      <c r="D43" s="16" t="inlineStr">
        <is>
          <t>Cement &amp; Cement Products</t>
        </is>
      </c>
      <c r="E43" s="16" t="inlineStr">
        <is>
          <t>Cement and Construction</t>
        </is>
      </c>
      <c r="F43" s="17" t="n">
        <v>226069.14</v>
      </c>
      <c r="G43" s="16" t="inlineStr">
        <is>
          <t>GRASIM</t>
        </is>
      </c>
      <c r="H43" s="16" t="inlineStr">
        <is>
          <t>500300</t>
        </is>
      </c>
      <c r="I43" s="27">
        <f>IFERROR(IF(INDEX(Stocks!$G$2:$G$2139,MATCH(A43,Stocks!$E$2:$E$2139,0))="","No","Yes"),"No")</f>
        <v/>
      </c>
    </row>
    <row r="44">
      <c r="A44" s="16" t="inlineStr">
        <is>
          <t>INE364U01010</t>
        </is>
      </c>
      <c r="B44" s="16" t="inlineStr">
        <is>
          <t>ADANIGREEN</t>
        </is>
      </c>
      <c r="C44" s="16" t="inlineStr">
        <is>
          <t>Adani Green Energy Ltd.</t>
        </is>
      </c>
      <c r="D44" s="16" t="inlineStr">
        <is>
          <t>Green &amp; Renewable Energy</t>
        </is>
      </c>
      <c r="E44" s="16" t="inlineStr">
        <is>
          <t>Utilities</t>
        </is>
      </c>
      <c r="F44" s="17" t="n">
        <v>214347.04</v>
      </c>
      <c r="G44" s="16" t="inlineStr">
        <is>
          <t>ADANIGREEN</t>
        </is>
      </c>
      <c r="H44" s="16" t="inlineStr">
        <is>
          <t>541450</t>
        </is>
      </c>
      <c r="I44" s="27">
        <f>IFERROR(IF(INDEX(Stocks!$G$2:$G$2139,MATCH(A44,Stocks!$E$2:$E$2139,0))="","No","Yes"),"No")</f>
        <v/>
      </c>
    </row>
    <row r="45">
      <c r="A45" s="16" t="inlineStr">
        <is>
          <t>INE066A01021</t>
        </is>
      </c>
      <c r="B45" s="16" t="inlineStr">
        <is>
          <t>EICHERMOT</t>
        </is>
      </c>
      <c r="C45" s="16" t="inlineStr">
        <is>
          <t>Eicher Motors Ltd.</t>
        </is>
      </c>
      <c r="D45" s="16" t="inlineStr">
        <is>
          <t>2/3 Wheelers</t>
        </is>
      </c>
      <c r="E45" s="16" t="inlineStr">
        <is>
          <t>Automobiles &amp; Auto Components</t>
        </is>
      </c>
      <c r="F45" s="17" t="n">
        <v>209470.12</v>
      </c>
      <c r="G45" s="16" t="inlineStr">
        <is>
          <t>EICHERMOT</t>
        </is>
      </c>
      <c r="H45" s="16" t="inlineStr">
        <is>
          <t>505200</t>
        </is>
      </c>
      <c r="I45" s="27">
        <f>IFERROR(IF(INDEX(Stocks!$G$2:$G$2139,MATCH(A45,Stocks!$E$2:$E$2139,0))="","No","Yes"),"No")</f>
        <v/>
      </c>
    </row>
    <row r="46">
      <c r="A46" s="16" t="inlineStr">
        <is>
          <t>INE494B01023</t>
        </is>
      </c>
      <c r="B46" s="16" t="inlineStr">
        <is>
          <t>TVSMOTOR</t>
        </is>
      </c>
      <c r="C46" s="16" t="inlineStr">
        <is>
          <t>TVS Motor Company Ltd.</t>
        </is>
      </c>
      <c r="D46" s="16" t="inlineStr">
        <is>
          <t>2/3 Wheelers</t>
        </is>
      </c>
      <c r="E46" s="16" t="inlineStr">
        <is>
          <t>Automobiles &amp; Auto Components</t>
        </is>
      </c>
      <c r="F46" s="17" t="n">
        <v>196358.25</v>
      </c>
      <c r="G46" s="16" t="inlineStr">
        <is>
          <t>TVSMOTOR</t>
        </is>
      </c>
      <c r="H46" s="16" t="inlineStr">
        <is>
          <t>532343</t>
        </is>
      </c>
      <c r="I46" s="27">
        <f>IFERROR(IF(INDEX(Stocks!$G$2:$G$2139,MATCH(A46,Stocks!$E$2:$E$2139,0))="","No","Yes"),"No")</f>
        <v/>
      </c>
    </row>
    <row r="47">
      <c r="A47" s="16" t="inlineStr">
        <is>
          <t>INE242A01010</t>
        </is>
      </c>
      <c r="B47" s="16" t="inlineStr">
        <is>
          <t>IOC</t>
        </is>
      </c>
      <c r="C47" s="16" t="inlineStr">
        <is>
          <t>Indian Oil Corporation Ltd.</t>
        </is>
      </c>
      <c r="D47" s="16" t="inlineStr">
        <is>
          <t>Oil Marketing &amp; Distribution</t>
        </is>
      </c>
      <c r="E47" s="16" t="inlineStr">
        <is>
          <t>Oil &amp; Gas</t>
        </is>
      </c>
      <c r="F47" s="17" t="n">
        <v>194308.24</v>
      </c>
      <c r="G47" s="16" t="inlineStr">
        <is>
          <t>IOC</t>
        </is>
      </c>
      <c r="H47" s="16" t="inlineStr">
        <is>
          <t>530965</t>
        </is>
      </c>
      <c r="I47" s="27">
        <f>IFERROR(IF(INDEX(Stocks!$G$2:$G$2139,MATCH(A47,Stocks!$E$2:$E$2139,0))="","No","Yes"),"No")</f>
        <v/>
      </c>
    </row>
    <row r="48">
      <c r="A48" s="16" t="inlineStr">
        <is>
          <t>INE343H01029</t>
        </is>
      </c>
      <c r="B48" s="16" t="inlineStr">
        <is>
          <t>SOLARINDS</t>
        </is>
      </c>
      <c r="C48" s="16" t="inlineStr">
        <is>
          <t>Solar Industries India Ltd.</t>
        </is>
      </c>
      <c r="D48" s="16" t="inlineStr">
        <is>
          <t>Other Industrial Products</t>
        </is>
      </c>
      <c r="E48" s="16" t="inlineStr">
        <is>
          <t>General Industrials</t>
        </is>
      </c>
      <c r="F48" s="17" t="n">
        <v>194056.02</v>
      </c>
      <c r="G48" s="16" t="inlineStr">
        <is>
          <t>SOLARINDS</t>
        </is>
      </c>
      <c r="H48" s="16" t="inlineStr">
        <is>
          <t>532725</t>
        </is>
      </c>
      <c r="I48" s="27">
        <f>IFERROR(IF(INDEX(Stocks!$G$2:$G$2139,MATCH(A48,Stocks!$E$2:$E$2139,0))="","No","Yes"),"No")</f>
        <v/>
      </c>
    </row>
    <row r="49">
      <c r="A49" s="16" t="inlineStr">
        <is>
          <t>INE646L01027</t>
        </is>
      </c>
      <c r="B49" s="16" t="inlineStr">
        <is>
          <t>INDIGO</t>
        </is>
      </c>
      <c r="C49" s="16" t="inlineStr">
        <is>
          <t>InterGlobe Aviation Ltd.</t>
        </is>
      </c>
      <c r="D49" s="16" t="inlineStr">
        <is>
          <t>Airlines</t>
        </is>
      </c>
      <c r="E49" s="16" t="inlineStr">
        <is>
          <t>Transportation</t>
        </is>
      </c>
      <c r="F49" s="17" t="n">
        <v>192443.97</v>
      </c>
      <c r="G49" s="16" t="inlineStr">
        <is>
          <t>INDIGO</t>
        </is>
      </c>
      <c r="H49" s="16" t="inlineStr">
        <is>
          <t>539448</t>
        </is>
      </c>
      <c r="I49" s="27">
        <f>IFERROR(IF(INDEX(Stocks!$G$2:$G$2139,MATCH(A49,Stocks!$E$2:$E$2139,0))="","No","Yes"),"No")</f>
        <v/>
      </c>
    </row>
    <row r="50">
      <c r="A50" s="16" t="inlineStr">
        <is>
          <t>INE685A01028</t>
        </is>
      </c>
      <c r="B50" s="16" t="inlineStr">
        <is>
          <t>TORNTPHARM</t>
        </is>
      </c>
      <c r="C50" s="16" t="inlineStr">
        <is>
          <t>Torrent Pharmaceuticals Ltd.</t>
        </is>
      </c>
      <c r="D50" s="16" t="inlineStr">
        <is>
          <t>Pharmaceuticals</t>
        </is>
      </c>
      <c r="E50" s="16" t="inlineStr">
        <is>
          <t>Pharmaceuticals &amp; Biotechnology</t>
        </is>
      </c>
      <c r="F50" s="17" t="n">
        <v>184744.69</v>
      </c>
      <c r="G50" s="16" t="inlineStr">
        <is>
          <t>TORNTPHARM</t>
        </is>
      </c>
      <c r="H50" s="16" t="inlineStr">
        <is>
          <t>500420</t>
        </is>
      </c>
      <c r="I50" s="27">
        <f>IFERROR(IF(INDEX(Stocks!$G$2:$G$2139,MATCH(A50,Stocks!$E$2:$E$2139,0))="","No","Yes"),"No")</f>
        <v/>
      </c>
    </row>
    <row r="51">
      <c r="A51" s="16" t="inlineStr">
        <is>
          <t>INE0V6F01027</t>
        </is>
      </c>
      <c r="B51" s="16" t="inlineStr">
        <is>
          <t>HYUNDAI</t>
        </is>
      </c>
      <c r="C51" s="16" t="inlineStr">
        <is>
          <t>Hyundai Motor India Ltd.</t>
        </is>
      </c>
      <c r="D51" s="16" t="inlineStr">
        <is>
          <t>Cars &amp; Utility Vehicles</t>
        </is>
      </c>
      <c r="E51" s="16" t="inlineStr">
        <is>
          <t>Automobiles &amp; Auto Components</t>
        </is>
      </c>
      <c r="F51" s="17" t="n">
        <v>179165.31</v>
      </c>
      <c r="G51" s="16" t="inlineStr">
        <is>
          <t>HYUNDAI</t>
        </is>
      </c>
      <c r="H51" s="16" t="inlineStr">
        <is>
          <t>544274</t>
        </is>
      </c>
      <c r="I51" s="27">
        <f>IFERROR(IF(INDEX(Stocks!$G$2:$G$2139,MATCH(A51,Stocks!$E$2:$E$2139,0))="","No","Yes"),"No")</f>
        <v/>
      </c>
    </row>
    <row r="52">
      <c r="A52" s="16" t="inlineStr">
        <is>
          <t>INE123W01016</t>
        </is>
      </c>
      <c r="B52" s="16" t="inlineStr">
        <is>
          <t>SBILIFE</t>
        </is>
      </c>
      <c r="C52" s="16" t="inlineStr">
        <is>
          <t>SBI Life Insurance Company Ltd.</t>
        </is>
      </c>
      <c r="D52" s="16" t="inlineStr">
        <is>
          <t>Life Insurance</t>
        </is>
      </c>
      <c r="E52" s="16" t="inlineStr">
        <is>
          <t>Banking and Finance</t>
        </is>
      </c>
      <c r="F52" s="17" t="n">
        <v>178094.55</v>
      </c>
      <c r="G52" s="16" t="inlineStr">
        <is>
          <t>SBILIFE</t>
        </is>
      </c>
      <c r="H52" s="16" t="inlineStr">
        <is>
          <t>540719</t>
        </is>
      </c>
      <c r="I52" s="27">
        <f>IFERROR(IF(INDEX(Stocks!$G$2:$G$2139,MATCH(A52,Stocks!$E$2:$E$2139,0))="","No","Yes"),"No")</f>
        <v/>
      </c>
    </row>
    <row r="53">
      <c r="A53" s="16" t="inlineStr">
        <is>
          <t>INE075A01022</t>
        </is>
      </c>
      <c r="B53" s="16" t="inlineStr">
        <is>
          <t>WIPRO</t>
        </is>
      </c>
      <c r="C53" s="16" t="inlineStr">
        <is>
          <t>Wipro Ltd.</t>
        </is>
      </c>
      <c r="D53" s="16" t="inlineStr">
        <is>
          <t>IT Consulting &amp; Software</t>
        </is>
      </c>
      <c r="E53" s="16" t="inlineStr">
        <is>
          <t>Software &amp; Services</t>
        </is>
      </c>
      <c r="F53" s="17" t="n">
        <v>174718.4</v>
      </c>
      <c r="G53" s="16" t="inlineStr">
        <is>
          <t>WIPRO</t>
        </is>
      </c>
      <c r="H53" s="16" t="inlineStr">
        <is>
          <t>507685</t>
        </is>
      </c>
      <c r="I53" s="27">
        <f>IFERROR(IF(INDEX(Stocks!$G$2:$G$2139,MATCH(A53,Stocks!$E$2:$E$2139,0))="","No","Yes"),"No")</f>
        <v/>
      </c>
    </row>
    <row r="54">
      <c r="A54" s="16" t="inlineStr">
        <is>
          <t>INE931S01010</t>
        </is>
      </c>
      <c r="B54" s="16" t="inlineStr">
        <is>
          <t>ADANIENSOL</t>
        </is>
      </c>
      <c r="C54" s="16" t="inlineStr">
        <is>
          <t>Adani Energy Solutions Ltd.</t>
        </is>
      </c>
      <c r="D54" s="16" t="inlineStr">
        <is>
          <t>Power - Electric Utilities</t>
        </is>
      </c>
      <c r="E54" s="16" t="inlineStr">
        <is>
          <t>Utilities</t>
        </is>
      </c>
      <c r="F54" s="17" t="n">
        <v>172387.67</v>
      </c>
      <c r="G54" s="16" t="inlineStr">
        <is>
          <t>ADANIENSOL</t>
        </is>
      </c>
      <c r="H54" s="16" t="inlineStr">
        <is>
          <t>539254</t>
        </is>
      </c>
      <c r="I54" s="27">
        <f>IFERROR(IF(INDEX(Stocks!$G$2:$G$2139,MATCH(A54,Stocks!$E$2:$E$2139,0))="","No","Yes"),"No")</f>
        <v/>
      </c>
    </row>
    <row r="55">
      <c r="A55" s="16" t="inlineStr">
        <is>
          <t>INE1CDF01017</t>
        </is>
      </c>
      <c r="B55" s="16" t="inlineStr">
        <is>
          <t>VAML</t>
        </is>
      </c>
      <c r="C55" s="16" t="inlineStr">
        <is>
          <t>Vedanta Aluminium Metal Ltd.</t>
        </is>
      </c>
      <c r="D55" s="16" t="inlineStr">
        <is>
          <t>Aluminium and Aluminium Products</t>
        </is>
      </c>
      <c r="E55" s="16" t="inlineStr">
        <is>
          <t>Metals &amp; Mining</t>
        </is>
      </c>
      <c r="F55" s="17" t="n">
        <v>171177.24</v>
      </c>
      <c r="G55" s="16" t="inlineStr">
        <is>
          <t>VAML</t>
        </is>
      </c>
      <c r="H55" s="16" t="inlineStr">
        <is>
          <t>544780</t>
        </is>
      </c>
      <c r="I55" s="27">
        <f>IFERROR(IF(INDEX(Stocks!$G$2:$G$2139,MATCH(A55,Stocks!$E$2:$E$2139,0))="","No","Yes"),"No")</f>
        <v/>
      </c>
    </row>
    <row r="56">
      <c r="A56" s="16" t="inlineStr">
        <is>
          <t>INE775A01035</t>
        </is>
      </c>
      <c r="B56" s="16" t="inlineStr">
        <is>
          <t>MOTHERSON</t>
        </is>
      </c>
      <c r="C56" s="16" t="inlineStr">
        <is>
          <t>Samvardhana Motherson International Ltd.</t>
        </is>
      </c>
      <c r="D56" s="16" t="inlineStr">
        <is>
          <t>Auto Parts &amp; Equipment</t>
        </is>
      </c>
      <c r="E56" s="16" t="inlineStr">
        <is>
          <t>Automobiles &amp; Auto Components</t>
        </is>
      </c>
      <c r="F56" s="17" t="n">
        <v>169609.89</v>
      </c>
      <c r="G56" s="16" t="inlineStr">
        <is>
          <t>MOTHERSON</t>
        </is>
      </c>
      <c r="H56" s="16" t="inlineStr">
        <is>
          <t>517334</t>
        </is>
      </c>
      <c r="I56" s="27">
        <f>IFERROR(IF(INDEX(Stocks!$G$2:$G$2139,MATCH(A56,Stocks!$E$2:$E$2139,0))="","No","Yes"),"No")</f>
        <v/>
      </c>
    </row>
    <row r="57">
      <c r="A57" s="16" t="inlineStr">
        <is>
          <t>INE271C01023</t>
        </is>
      </c>
      <c r="B57" s="16" t="inlineStr">
        <is>
          <t>DLF</t>
        </is>
      </c>
      <c r="C57" s="16" t="inlineStr">
        <is>
          <t>DLF Ltd.</t>
        </is>
      </c>
      <c r="D57" s="16" t="inlineStr">
        <is>
          <t>Realty</t>
        </is>
      </c>
      <c r="E57" s="16" t="inlineStr">
        <is>
          <t>Realty</t>
        </is>
      </c>
      <c r="F57" s="17" t="n">
        <v>168791.5</v>
      </c>
      <c r="G57" s="16" t="inlineStr">
        <is>
          <t>DLF</t>
        </is>
      </c>
      <c r="H57" s="16" t="inlineStr">
        <is>
          <t>532868</t>
        </is>
      </c>
      <c r="I57" s="27">
        <f>IFERROR(IF(INDEX(Stocks!$G$2:$G$2139,MATCH(A57,Stocks!$E$2:$E$2139,0))="","No","Yes"),"No")</f>
        <v/>
      </c>
    </row>
    <row r="58">
      <c r="A58" s="16" t="inlineStr">
        <is>
          <t>INE1TAE01010</t>
        </is>
      </c>
      <c r="B58" s="16" t="inlineStr">
        <is>
          <t>TMCV</t>
        </is>
      </c>
      <c r="C58" s="16" t="inlineStr">
        <is>
          <t>Tata Motors Ltd.</t>
        </is>
      </c>
      <c r="D58" s="16" t="inlineStr">
        <is>
          <t>Commercial Vehicles</t>
        </is>
      </c>
      <c r="E58" s="16" t="inlineStr">
        <is>
          <t>Automobiles &amp; Auto Components</t>
        </is>
      </c>
      <c r="F58" s="17" t="n">
        <v>168741.33</v>
      </c>
      <c r="G58" s="16" t="inlineStr">
        <is>
          <t>TMCV</t>
        </is>
      </c>
      <c r="H58" s="16" t="inlineStr">
        <is>
          <t>544569</t>
        </is>
      </c>
      <c r="I58" s="27">
        <f>IFERROR(IF(INDEX(Stocks!$G$2:$G$2139,MATCH(A58,Stocks!$E$2:$E$2139,0))="","No","Yes"),"No")</f>
        <v/>
      </c>
    </row>
    <row r="59">
      <c r="A59" s="16" t="inlineStr">
        <is>
          <t>INE318A01026</t>
        </is>
      </c>
      <c r="B59" s="16" t="inlineStr">
        <is>
          <t>PIDILITIND</t>
        </is>
      </c>
      <c r="C59" s="16" t="inlineStr">
        <is>
          <t>Pidilite Industries Ltd.</t>
        </is>
      </c>
      <c r="D59" s="16" t="inlineStr">
        <is>
          <t>Specialty Chemicals</t>
        </is>
      </c>
      <c r="E59" s="16" t="inlineStr">
        <is>
          <t>Chemicals &amp; Petrochemicals</t>
        </is>
      </c>
      <c r="F59" s="17" t="n">
        <v>165863.5</v>
      </c>
      <c r="G59" s="16" t="inlineStr">
        <is>
          <t>PIDILITIND</t>
        </is>
      </c>
      <c r="H59" s="16" t="inlineStr">
        <is>
          <t>500331</t>
        </is>
      </c>
      <c r="I59" s="27">
        <f>IFERROR(IF(INDEX(Stocks!$G$2:$G$2139,MATCH(A59,Stocks!$E$2:$E$2139,0))="","No","Yes"),"No")</f>
        <v/>
      </c>
    </row>
    <row r="60">
      <c r="A60" s="16" t="inlineStr">
        <is>
          <t>INE669E01016</t>
        </is>
      </c>
      <c r="B60" s="16" t="inlineStr">
        <is>
          <t>IDEA</t>
        </is>
      </c>
      <c r="C60" s="16" t="inlineStr">
        <is>
          <t>Vodafone Idea Ltd.</t>
        </is>
      </c>
      <c r="D60" s="16" t="inlineStr">
        <is>
          <t>Telecom Services</t>
        </is>
      </c>
      <c r="E60" s="16" t="inlineStr">
        <is>
          <t>Telecom Services</t>
        </is>
      </c>
      <c r="F60" s="17" t="n">
        <v>162731.24</v>
      </c>
      <c r="G60" s="16" t="inlineStr">
        <is>
          <t>IDEA</t>
        </is>
      </c>
      <c r="H60" s="16" t="inlineStr">
        <is>
          <t>532822</t>
        </is>
      </c>
      <c r="I60" s="27">
        <f>IFERROR(IF(INDEX(Stocks!$G$2:$G$2139,MATCH(A60,Stocks!$E$2:$E$2139,0))="","No","Yes"),"No")</f>
        <v/>
      </c>
    </row>
    <row r="61">
      <c r="A61" s="16" t="inlineStr">
        <is>
          <t>INE976I01016</t>
        </is>
      </c>
      <c r="B61" s="16" t="inlineStr">
        <is>
          <t>TATACAP</t>
        </is>
      </c>
      <c r="C61" s="16" t="inlineStr">
        <is>
          <t>Tata Capital Ltd.</t>
        </is>
      </c>
      <c r="D61" s="16" t="inlineStr">
        <is>
          <t>Finance (including NBFCs)</t>
        </is>
      </c>
      <c r="E61" s="16" t="inlineStr">
        <is>
          <t>Banking and Finance</t>
        </is>
      </c>
      <c r="F61" s="17" t="n">
        <v>159203.81</v>
      </c>
      <c r="G61" s="16" t="inlineStr">
        <is>
          <t>TATACAP</t>
        </is>
      </c>
      <c r="H61" s="16" t="inlineStr">
        <is>
          <t>544574</t>
        </is>
      </c>
      <c r="I61" s="27">
        <f>IFERROR(IF(INDEX(Stocks!$G$2:$G$2139,MATCH(A61,Stocks!$E$2:$E$2139,0))="","No","Yes"),"No")</f>
        <v/>
      </c>
    </row>
    <row r="62">
      <c r="A62" s="16" t="inlineStr">
        <is>
          <t>INE758E01017</t>
        </is>
      </c>
      <c r="B62" s="16" t="inlineStr">
        <is>
          <t>JIOFIN</t>
        </is>
      </c>
      <c r="C62" s="16" t="inlineStr">
        <is>
          <t>Jio Financial Services Ltd.</t>
        </is>
      </c>
      <c r="D62" s="16" t="inlineStr">
        <is>
          <t>Finance (including NBFCs)</t>
        </is>
      </c>
      <c r="E62" s="16" t="inlineStr">
        <is>
          <t>Banking and Finance</t>
        </is>
      </c>
      <c r="F62" s="17" t="n">
        <v>158145.24</v>
      </c>
      <c r="G62" s="16" t="inlineStr">
        <is>
          <t>JIOFIN</t>
        </is>
      </c>
      <c r="H62" s="16" t="inlineStr">
        <is>
          <t>543940</t>
        </is>
      </c>
      <c r="I62" s="27">
        <f>IFERROR(IF(INDEX(Stocks!$G$2:$G$2139,MATCH(A62,Stocks!$E$2:$E$2139,0))="","No","Yes"),"No")</f>
        <v/>
      </c>
    </row>
    <row r="63">
      <c r="A63" s="16" t="inlineStr">
        <is>
          <t>INE117A01022</t>
        </is>
      </c>
      <c r="B63" s="16" t="inlineStr">
        <is>
          <t>ABB</t>
        </is>
      </c>
      <c r="C63" s="16" t="inlineStr">
        <is>
          <t>ABB India Ltd.</t>
        </is>
      </c>
      <c r="D63" s="16" t="inlineStr">
        <is>
          <t>Heavy Electrical Equipment</t>
        </is>
      </c>
      <c r="E63" s="16" t="inlineStr">
        <is>
          <t>General Industrials</t>
        </is>
      </c>
      <c r="F63" s="17" t="n">
        <v>157024.12</v>
      </c>
      <c r="G63" s="16" t="inlineStr">
        <is>
          <t>ABB</t>
        </is>
      </c>
      <c r="H63" s="16" t="inlineStr">
        <is>
          <t>500002</t>
        </is>
      </c>
      <c r="I63" s="27">
        <f>IFERROR(IF(INDEX(Stocks!$G$2:$G$2139,MATCH(A63,Stocks!$E$2:$E$2139,0))="","No","Yes"),"No")</f>
        <v/>
      </c>
    </row>
    <row r="64">
      <c r="A64" s="16" t="inlineStr">
        <is>
          <t>INE669C01036</t>
        </is>
      </c>
      <c r="B64" s="16" t="inlineStr">
        <is>
          <t>TECHM</t>
        </is>
      </c>
      <c r="C64" s="16" t="inlineStr">
        <is>
          <t>Tech Mahindra Ltd.</t>
        </is>
      </c>
      <c r="D64" s="16" t="inlineStr">
        <is>
          <t>IT Consulting &amp; Software</t>
        </is>
      </c>
      <c r="E64" s="16" t="inlineStr">
        <is>
          <t>Software &amp; Services</t>
        </is>
      </c>
      <c r="F64" s="17" t="n">
        <v>156517.57</v>
      </c>
      <c r="G64" s="16" t="inlineStr">
        <is>
          <t>TECHM</t>
        </is>
      </c>
      <c r="H64" s="16" t="inlineStr">
        <is>
          <t>532755</t>
        </is>
      </c>
      <c r="I64" s="27">
        <f>IFERROR(IF(INDEX(Stocks!$G$2:$G$2139,MATCH(A64,Stocks!$E$2:$E$2139,0))="","No","Yes"),"No")</f>
        <v/>
      </c>
    </row>
    <row r="65">
      <c r="A65" s="16" t="inlineStr">
        <is>
          <t>INE121A01024</t>
        </is>
      </c>
      <c r="B65" s="16" t="inlineStr">
        <is>
          <t>CHOLAFIN</t>
        </is>
      </c>
      <c r="C65" s="16" t="inlineStr">
        <is>
          <t>Cholamandalam Investment &amp; Finance Company Ltd.</t>
        </is>
      </c>
      <c r="D65" s="16" t="inlineStr">
        <is>
          <t>Finance (including NBFCs)</t>
        </is>
      </c>
      <c r="E65" s="16" t="inlineStr">
        <is>
          <t>Banking and Finance</t>
        </is>
      </c>
      <c r="F65" s="17" t="n">
        <v>154997.71</v>
      </c>
      <c r="G65" s="16" t="inlineStr">
        <is>
          <t>CHOLAFIN</t>
        </is>
      </c>
      <c r="H65" s="16" t="inlineStr">
        <is>
          <t>511243</t>
        </is>
      </c>
      <c r="I65" s="27">
        <f>IFERROR(IF(INDEX(Stocks!$G$2:$G$2139,MATCH(A65,Stocks!$E$2:$E$2139,0))="","No","Yes"),"No")</f>
        <v/>
      </c>
    </row>
    <row r="66">
      <c r="A66" s="16" t="inlineStr">
        <is>
          <t>INE849A01020</t>
        </is>
      </c>
      <c r="B66" s="16" t="inlineStr">
        <is>
          <t>TRENT</t>
        </is>
      </c>
      <c r="C66" s="16" t="inlineStr">
        <is>
          <t>Trent Ltd.</t>
        </is>
      </c>
      <c r="D66" s="16" t="inlineStr">
        <is>
          <t>Department Stores</t>
        </is>
      </c>
      <c r="E66" s="16" t="inlineStr">
        <is>
          <t>Retailing</t>
        </is>
      </c>
      <c r="F66" s="17" t="n">
        <v>152131.18</v>
      </c>
      <c r="G66" s="16" t="inlineStr">
        <is>
          <t>TRENT</t>
        </is>
      </c>
      <c r="H66" s="16" t="inlineStr">
        <is>
          <t>500251</t>
        </is>
      </c>
      <c r="I66" s="27">
        <f>IFERROR(IF(INDEX(Stocks!$G$2:$G$2139,MATCH(A66,Stocks!$E$2:$E$2139,0))="","No","Yes"),"No")</f>
        <v/>
      </c>
    </row>
    <row r="67">
      <c r="A67" s="16" t="inlineStr">
        <is>
          <t>INE257A01026</t>
        </is>
      </c>
      <c r="B67" s="16" t="inlineStr">
        <is>
          <t>BHEL</t>
        </is>
      </c>
      <c r="C67" s="16" t="inlineStr">
        <is>
          <t>Bharat Heavy Electricals Ltd.</t>
        </is>
      </c>
      <c r="D67" s="16" t="inlineStr">
        <is>
          <t>Heavy Electrical Equipment</t>
        </is>
      </c>
      <c r="E67" s="16" t="inlineStr">
        <is>
          <t>General Industrials</t>
        </is>
      </c>
      <c r="F67" s="17" t="n">
        <v>150111.75</v>
      </c>
      <c r="G67" s="16" t="inlineStr">
        <is>
          <t>BHEL</t>
        </is>
      </c>
      <c r="H67" s="16" t="inlineStr">
        <is>
          <t>500103</t>
        </is>
      </c>
      <c r="I67" s="27">
        <f>IFERROR(IF(INDEX(Stocks!$G$2:$G$2139,MATCH(A67,Stocks!$E$2:$E$2139,0))="","No","Yes"),"No")</f>
        <v/>
      </c>
    </row>
    <row r="68">
      <c r="A68" s="16" t="inlineStr">
        <is>
          <t>INE346A01027</t>
        </is>
      </c>
      <c r="B68" s="16" t="inlineStr">
        <is>
          <t>ICICIAMC</t>
        </is>
      </c>
      <c r="C68" s="16" t="inlineStr">
        <is>
          <t>ICICI Prudential Asset Management Company Ltd.</t>
        </is>
      </c>
      <c r="D68" s="16" t="inlineStr">
        <is>
          <t>Asset Management Cos.</t>
        </is>
      </c>
      <c r="E68" s="16" t="inlineStr">
        <is>
          <t>Banking and Finance</t>
        </is>
      </c>
      <c r="F68" s="17" t="n">
        <v>146839.26</v>
      </c>
      <c r="G68" s="16" t="inlineStr">
        <is>
          <t>ICICIAMC</t>
        </is>
      </c>
      <c r="H68" s="16" t="inlineStr">
        <is>
          <t>544658</t>
        </is>
      </c>
      <c r="I68" s="27">
        <f>IFERROR(IF(INDEX(Stocks!$G$2:$G$2139,MATCH(A68,Stocks!$E$2:$E$2139,0))="","No","Yes"),"No")</f>
        <v/>
      </c>
    </row>
    <row r="69">
      <c r="A69" s="16" t="inlineStr">
        <is>
          <t>INE692A01016</t>
        </is>
      </c>
      <c r="B69" s="16" t="inlineStr">
        <is>
          <t>UNIONBANK</t>
        </is>
      </c>
      <c r="C69" s="16" t="inlineStr">
        <is>
          <t>Union Bank of India</t>
        </is>
      </c>
      <c r="D69" s="16" t="inlineStr">
        <is>
          <t>Banks</t>
        </is>
      </c>
      <c r="E69" s="16" t="inlineStr">
        <is>
          <t>Banking and Finance</t>
        </is>
      </c>
      <c r="F69" s="17" t="n">
        <v>142916.36</v>
      </c>
      <c r="G69" s="16" t="inlineStr">
        <is>
          <t>UNIONBANK</t>
        </is>
      </c>
      <c r="H69" s="16" t="inlineStr">
        <is>
          <t>532477</t>
        </is>
      </c>
      <c r="I69" s="27">
        <f>IFERROR(IF(INDEX(Stocks!$G$2:$G$2139,MATCH(A69,Stocks!$E$2:$E$2139,0))="","No","Yes"),"No")</f>
        <v/>
      </c>
    </row>
    <row r="70">
      <c r="A70" s="16" t="inlineStr">
        <is>
          <t>INE003A01024</t>
        </is>
      </c>
      <c r="B70" s="16" t="inlineStr">
        <is>
          <t>SIEMENS</t>
        </is>
      </c>
      <c r="C70" s="16" t="inlineStr">
        <is>
          <t>Siemens Ltd.</t>
        </is>
      </c>
      <c r="D70" s="16" t="inlineStr">
        <is>
          <t>Heavy Electrical Equipment</t>
        </is>
      </c>
      <c r="E70" s="16" t="inlineStr">
        <is>
          <t>General Industrials</t>
        </is>
      </c>
      <c r="F70" s="17" t="n">
        <v>141629.12</v>
      </c>
      <c r="G70" s="16" t="inlineStr">
        <is>
          <t>SIEMENS</t>
        </is>
      </c>
      <c r="H70" s="16" t="inlineStr">
        <is>
          <t>500550</t>
        </is>
      </c>
      <c r="I70" s="27">
        <f>IFERROR(IF(INDEX(Stocks!$G$2:$G$2139,MATCH(A70,Stocks!$E$2:$E$2139,0))="","No","Yes"),"No")</f>
        <v/>
      </c>
    </row>
    <row r="71">
      <c r="A71" s="16" t="inlineStr">
        <is>
          <t>INE07Y701011</t>
        </is>
      </c>
      <c r="B71" s="16" t="inlineStr">
        <is>
          <t>POWERINDIA</t>
        </is>
      </c>
      <c r="C71" s="16" t="inlineStr">
        <is>
          <t>Hitachi Energy India Ltd.</t>
        </is>
      </c>
      <c r="D71" s="16" t="inlineStr">
        <is>
          <t>Heavy Electrical Equipment</t>
        </is>
      </c>
      <c r="E71" s="16" t="inlineStr">
        <is>
          <t>General Industrials</t>
        </is>
      </c>
      <c r="F71" s="17" t="n">
        <v>141071.65</v>
      </c>
      <c r="G71" s="16" t="inlineStr">
        <is>
          <t>POWERINDIA</t>
        </is>
      </c>
      <c r="H71" s="16" t="inlineStr">
        <is>
          <t>543187</t>
        </is>
      </c>
      <c r="I71" s="27">
        <f>IFERROR(IF(INDEX(Stocks!$G$2:$G$2139,MATCH(A71,Stocks!$E$2:$E$2139,0))="","No","Yes"),"No")</f>
        <v/>
      </c>
    </row>
    <row r="72">
      <c r="A72" s="16" t="inlineStr">
        <is>
          <t>INE067A01029</t>
        </is>
      </c>
      <c r="B72" s="16" t="inlineStr">
        <is>
          <t>CGPOWER</t>
        </is>
      </c>
      <c r="C72" s="16" t="inlineStr">
        <is>
          <t>CG Power and Industrial Solutions Ltd.</t>
        </is>
      </c>
      <c r="D72" s="16" t="inlineStr">
        <is>
          <t>Heavy Electrical Equipment</t>
        </is>
      </c>
      <c r="E72" s="16" t="inlineStr">
        <is>
          <t>General Industrials</t>
        </is>
      </c>
      <c r="F72" s="17" t="n">
        <v>140372.6</v>
      </c>
      <c r="G72" s="16" t="inlineStr">
        <is>
          <t>CGPOWER</t>
        </is>
      </c>
      <c r="H72" s="16" t="inlineStr">
        <is>
          <t>500093</t>
        </is>
      </c>
      <c r="I72" s="27">
        <f>IFERROR(IF(INDEX(Stocks!$G$2:$G$2139,MATCH(A72,Stocks!$E$2:$E$2139,0))="","No","Yes"),"No")</f>
        <v/>
      </c>
    </row>
    <row r="73">
      <c r="A73" s="16" t="inlineStr">
        <is>
          <t>INE298A01020</t>
        </is>
      </c>
      <c r="B73" s="16" t="inlineStr">
        <is>
          <t>CUMMINSIND</t>
        </is>
      </c>
      <c r="C73" s="16" t="inlineStr">
        <is>
          <t>Cummins India Ltd.</t>
        </is>
      </c>
      <c r="D73" s="16" t="inlineStr">
        <is>
          <t>Industrial Machinery</t>
        </is>
      </c>
      <c r="E73" s="16" t="inlineStr">
        <is>
          <t>General Industrials</t>
        </is>
      </c>
      <c r="F73" s="17" t="n">
        <v>139570.2</v>
      </c>
      <c r="G73" s="16" t="inlineStr">
        <is>
          <t>CUMMINSIND</t>
        </is>
      </c>
      <c r="H73" s="16" t="inlineStr">
        <is>
          <t>500480</t>
        </is>
      </c>
      <c r="I73" s="27">
        <f>IFERROR(IF(INDEX(Stocks!$G$2:$G$2139,MATCH(A73,Stocks!$E$2:$E$2139,0))="","No","Yes"),"No")</f>
        <v/>
      </c>
    </row>
    <row r="74">
      <c r="A74" s="16" t="inlineStr">
        <is>
          <t>INE118H01025</t>
        </is>
      </c>
      <c r="B74" s="16" t="inlineStr">
        <is>
          <t>BSE</t>
        </is>
      </c>
      <c r="C74" s="16" t="inlineStr">
        <is>
          <t>BSE Ltd.</t>
        </is>
      </c>
      <c r="D74" s="16" t="inlineStr">
        <is>
          <t>Capital Markets</t>
        </is>
      </c>
      <c r="E74" s="16" t="inlineStr">
        <is>
          <t>Banking and Finance</t>
        </is>
      </c>
      <c r="F74" s="17" t="n">
        <v>138481.9</v>
      </c>
      <c r="G74" s="16" t="inlineStr">
        <is>
          <t>BSE</t>
        </is>
      </c>
      <c r="H74" s="16" t="inlineStr"/>
      <c r="I74" s="27">
        <f>IFERROR(IF(INDEX(Stocks!$G$2:$G$2139,MATCH(A74,Stocks!$E$2:$E$2139,0))="","No","Yes"),"No")</f>
        <v/>
      </c>
    </row>
    <row r="75">
      <c r="A75" s="16" t="inlineStr">
        <is>
          <t>INE323A01026</t>
        </is>
      </c>
      <c r="B75" s="16" t="inlineStr">
        <is>
          <t>BOSCHLTD</t>
        </is>
      </c>
      <c r="C75" s="16" t="inlineStr">
        <is>
          <t>Bosch Ltd.</t>
        </is>
      </c>
      <c r="D75" s="16" t="inlineStr">
        <is>
          <t>Auto Parts &amp; Equipment</t>
        </is>
      </c>
      <c r="E75" s="16" t="inlineStr">
        <is>
          <t>Automobiles &amp; Auto Components</t>
        </is>
      </c>
      <c r="F75" s="17" t="n">
        <v>138100.74</v>
      </c>
      <c r="G75" s="16" t="inlineStr">
        <is>
          <t>BOSCHLTD</t>
        </is>
      </c>
      <c r="H75" s="16" t="inlineStr">
        <is>
          <t>500530</t>
        </is>
      </c>
      <c r="I75" s="27">
        <f>IFERROR(IF(INDEX(Stocks!$G$2:$G$2139,MATCH(A75,Stocks!$E$2:$E$2139,0))="","No","Yes"),"No")</f>
        <v/>
      </c>
    </row>
    <row r="76">
      <c r="A76" s="16" t="inlineStr">
        <is>
          <t>INE200M01039</t>
        </is>
      </c>
      <c r="B76" s="16" t="inlineStr">
        <is>
          <t>VBL</t>
        </is>
      </c>
      <c r="C76" s="16" t="inlineStr">
        <is>
          <t>Varun Beverages Ltd.</t>
        </is>
      </c>
      <c r="D76" s="16" t="inlineStr">
        <is>
          <t>Other Food &amp; Beverages</t>
        </is>
      </c>
      <c r="E76" s="16" t="inlineStr">
        <is>
          <t>Food, Beverages &amp; Tobacco</t>
        </is>
      </c>
      <c r="F76" s="17" t="n">
        <v>137869.27</v>
      </c>
      <c r="G76" s="16" t="inlineStr">
        <is>
          <t>VBL</t>
        </is>
      </c>
      <c r="H76" s="16" t="inlineStr">
        <is>
          <t>540180</t>
        </is>
      </c>
      <c r="I76" s="27">
        <f>IFERROR(IF(INDEX(Stocks!$G$2:$G$2139,MATCH(A76,Stocks!$E$2:$E$2139,0))="","No","Yes"),"No")</f>
        <v/>
      </c>
    </row>
    <row r="77">
      <c r="A77" s="16" t="inlineStr">
        <is>
          <t>INE029A01011</t>
        </is>
      </c>
      <c r="B77" s="16" t="inlineStr">
        <is>
          <t>BPCL</t>
        </is>
      </c>
      <c r="C77" s="16" t="inlineStr">
        <is>
          <t>Bharat Petroleum Corporation Ltd.</t>
        </is>
      </c>
      <c r="D77" s="16" t="inlineStr">
        <is>
          <t>Refineries/Petro-Products</t>
        </is>
      </c>
      <c r="E77" s="16" t="inlineStr">
        <is>
          <t>Oil &amp; Gas</t>
        </is>
      </c>
      <c r="F77" s="17" t="n">
        <v>136966.62</v>
      </c>
      <c r="G77" s="16" t="inlineStr">
        <is>
          <t>BPCL</t>
        </is>
      </c>
      <c r="H77" s="16" t="inlineStr">
        <is>
          <t>500547</t>
        </is>
      </c>
      <c r="I77" s="27">
        <f>IFERROR(IF(INDEX(Stocks!$G$2:$G$2139,MATCH(A77,Stocks!$E$2:$E$2139,0))="","No","Yes"),"No")</f>
        <v/>
      </c>
    </row>
    <row r="78">
      <c r="A78" s="16" t="inlineStr">
        <is>
          <t>INE214T01019</t>
        </is>
      </c>
      <c r="B78" s="16" t="inlineStr">
        <is>
          <t>LTM</t>
        </is>
      </c>
      <c r="C78" s="16" t="inlineStr">
        <is>
          <t>LTM Ltd.</t>
        </is>
      </c>
      <c r="D78" s="16" t="inlineStr">
        <is>
          <t>IT Consulting &amp; Software</t>
        </is>
      </c>
      <c r="E78" s="16" t="inlineStr">
        <is>
          <t>Software &amp; Services</t>
        </is>
      </c>
      <c r="F78" s="17" t="n">
        <v>135081.34</v>
      </c>
      <c r="G78" s="16" t="inlineStr">
        <is>
          <t>LTM</t>
        </is>
      </c>
      <c r="H78" s="16" t="inlineStr">
        <is>
          <t>540005</t>
        </is>
      </c>
      <c r="I78" s="27">
        <f>IFERROR(IF(INDEX(Stocks!$G$2:$G$2139,MATCH(A78,Stocks!$E$2:$E$2139,0))="","No","Yes"),"No")</f>
        <v/>
      </c>
    </row>
    <row r="79">
      <c r="A79" s="16" t="inlineStr">
        <is>
          <t>INE160A01022</t>
        </is>
      </c>
      <c r="B79" s="16" t="inlineStr">
        <is>
          <t>PNB</t>
        </is>
      </c>
      <c r="C79" s="16" t="inlineStr">
        <is>
          <t>Punjab National Bank</t>
        </is>
      </c>
      <c r="D79" s="16" t="inlineStr">
        <is>
          <t>Banks</t>
        </is>
      </c>
      <c r="E79" s="16" t="inlineStr">
        <is>
          <t>Banking and Finance</t>
        </is>
      </c>
      <c r="F79" s="17" t="n">
        <v>134467.44</v>
      </c>
      <c r="G79" s="16" t="inlineStr">
        <is>
          <t>PNB</t>
        </is>
      </c>
      <c r="H79" s="16" t="inlineStr">
        <is>
          <t>532461</t>
        </is>
      </c>
      <c r="I79" s="27">
        <f>IFERROR(IF(INDEX(Stocks!$G$2:$G$2139,MATCH(A79,Stocks!$E$2:$E$2139,0))="","No","Yes"),"No")</f>
        <v/>
      </c>
    </row>
    <row r="80">
      <c r="A80" s="16" t="inlineStr">
        <is>
          <t>INE455K01017</t>
        </is>
      </c>
      <c r="B80" s="16" t="inlineStr">
        <is>
          <t>POLYCAB</t>
        </is>
      </c>
      <c r="C80" s="16" t="inlineStr">
        <is>
          <t>Polycab India Ltd.</t>
        </is>
      </c>
      <c r="D80" s="16" t="inlineStr">
        <is>
          <t>Wires &amp; Cables</t>
        </is>
      </c>
      <c r="E80" s="16" t="inlineStr">
        <is>
          <t>Consumer Durables</t>
        </is>
      </c>
      <c r="F80" s="17" t="n">
        <v>125074.03</v>
      </c>
      <c r="G80" s="16" t="inlineStr">
        <is>
          <t>POLYCAB</t>
        </is>
      </c>
      <c r="H80" s="16" t="inlineStr">
        <is>
          <t>542652</t>
        </is>
      </c>
      <c r="I80" s="27">
        <f>IFERROR(IF(INDEX(Stocks!$G$2:$G$2139,MATCH(A80,Stocks!$E$2:$E$2139,0))="","No","Yes"),"No")</f>
        <v/>
      </c>
    </row>
    <row r="81">
      <c r="A81" s="16" t="inlineStr">
        <is>
          <t>INE437A01024</t>
        </is>
      </c>
      <c r="B81" s="16" t="inlineStr">
        <is>
          <t>APOLLOHOSP</t>
        </is>
      </c>
      <c r="C81" s="16" t="inlineStr">
        <is>
          <t>Apollo Hospitals Enterprise Ltd.</t>
        </is>
      </c>
      <c r="D81" s="16" t="inlineStr">
        <is>
          <t>Healthcare Facilities</t>
        </is>
      </c>
      <c r="E81" s="16" t="inlineStr">
        <is>
          <t>Healthcare</t>
        </is>
      </c>
      <c r="F81" s="17" t="n">
        <v>124373.77</v>
      </c>
      <c r="G81" s="16" t="inlineStr">
        <is>
          <t>APOLLOHOSP</t>
        </is>
      </c>
      <c r="H81" s="16" t="inlineStr">
        <is>
          <t>508869</t>
        </is>
      </c>
      <c r="I81" s="27">
        <f>IFERROR(IF(INDEX(Stocks!$G$2:$G$2139,MATCH(A81,Stocks!$E$2:$E$2139,0))="","No","Yes"),"No")</f>
        <v/>
      </c>
    </row>
    <row r="82">
      <c r="A82" s="16" t="inlineStr">
        <is>
          <t>INE118A01012</t>
        </is>
      </c>
      <c r="B82" s="16" t="inlineStr">
        <is>
          <t>BAJAJHLDNG</t>
        </is>
      </c>
      <c r="C82" s="16" t="inlineStr">
        <is>
          <t>Bajaj Holdings &amp; Investment Ltd.</t>
        </is>
      </c>
      <c r="D82" s="16" t="inlineStr">
        <is>
          <t>Holding Companies</t>
        </is>
      </c>
      <c r="E82" s="16" t="inlineStr">
        <is>
          <t>Diversified</t>
        </is>
      </c>
      <c r="F82" s="17" t="n">
        <v>124225.8</v>
      </c>
      <c r="G82" s="16" t="inlineStr">
        <is>
          <t>BAJAJHLDNG</t>
        </is>
      </c>
      <c r="H82" s="16" t="inlineStr">
        <is>
          <t>500490</t>
        </is>
      </c>
      <c r="I82" s="27">
        <f>IFERROR(IF(INDEX(Stocks!$G$2:$G$2139,MATCH(A82,Stocks!$E$2:$E$2139,0))="","No","Yes"),"No")</f>
        <v/>
      </c>
    </row>
    <row r="83">
      <c r="A83" s="16" t="inlineStr">
        <is>
          <t>INE028A01039</t>
        </is>
      </c>
      <c r="B83" s="16" t="inlineStr">
        <is>
          <t>BANKBARODA</t>
        </is>
      </c>
      <c r="C83" s="16" t="inlineStr">
        <is>
          <t>Bank of Baroda</t>
        </is>
      </c>
      <c r="D83" s="16" t="inlineStr">
        <is>
          <t>Banks</t>
        </is>
      </c>
      <c r="E83" s="16" t="inlineStr">
        <is>
          <t>Banking and Finance</t>
        </is>
      </c>
      <c r="F83" s="17" t="n">
        <v>123595.56</v>
      </c>
      <c r="G83" s="16" t="inlineStr">
        <is>
          <t>BANKBARODA</t>
        </is>
      </c>
      <c r="H83" s="16" t="inlineStr">
        <is>
          <t>532134</t>
        </is>
      </c>
      <c r="I83" s="27">
        <f>IFERROR(IF(INDEX(Stocks!$G$2:$G$2139,MATCH(A83,Stocks!$E$2:$E$2139,0))="","No","Yes"),"No")</f>
        <v/>
      </c>
    </row>
    <row r="84">
      <c r="A84" s="16" t="inlineStr">
        <is>
          <t>INE216A01030</t>
        </is>
      </c>
      <c r="B84" s="16" t="inlineStr">
        <is>
          <t>BRITANNIA</t>
        </is>
      </c>
      <c r="C84" s="16" t="inlineStr">
        <is>
          <t>Britannia Industries Ltd.</t>
        </is>
      </c>
      <c r="D84" s="16" t="inlineStr">
        <is>
          <t>Packaged Foods</t>
        </is>
      </c>
      <c r="E84" s="16" t="inlineStr">
        <is>
          <t>FMCG</t>
        </is>
      </c>
      <c r="F84" s="17" t="n">
        <v>122878.96</v>
      </c>
      <c r="G84" s="16" t="inlineStr">
        <is>
          <t>BRITANNIA</t>
        </is>
      </c>
      <c r="H84" s="16" t="inlineStr">
        <is>
          <t>500825</t>
        </is>
      </c>
      <c r="I84" s="27">
        <f>IFERROR(IF(INDEX(Stocks!$G$2:$G$2139,MATCH(A84,Stocks!$E$2:$E$2139,0))="","No","Yes"),"No")</f>
        <v/>
      </c>
    </row>
    <row r="85">
      <c r="A85" s="16" t="inlineStr">
        <is>
          <t>INE670K01029</t>
        </is>
      </c>
      <c r="B85" s="16" t="inlineStr">
        <is>
          <t>LODHA</t>
        </is>
      </c>
      <c r="C85" s="16" t="inlineStr">
        <is>
          <t>Lodha Developers Ltd.</t>
        </is>
      </c>
      <c r="D85" s="16" t="inlineStr">
        <is>
          <t>Realty</t>
        </is>
      </c>
      <c r="E85" s="16" t="inlineStr">
        <is>
          <t>Realty</t>
        </is>
      </c>
      <c r="F85" s="17" t="n">
        <v>122105.08</v>
      </c>
      <c r="G85" s="16" t="inlineStr">
        <is>
          <t>LODHA</t>
        </is>
      </c>
      <c r="H85" s="16" t="inlineStr">
        <is>
          <t>543287</t>
        </is>
      </c>
      <c r="I85" s="27">
        <f>IFERROR(IF(INDEX(Stocks!$G$2:$G$2139,MATCH(A85,Stocks!$E$2:$E$2139,0))="","No","Yes"),"No")</f>
        <v/>
      </c>
    </row>
    <row r="86">
      <c r="A86" s="16" t="inlineStr">
        <is>
          <t>INE0HOQ01053</t>
        </is>
      </c>
      <c r="B86" s="16" t="inlineStr">
        <is>
          <t>GROWW</t>
        </is>
      </c>
      <c r="C86" s="16" t="inlineStr">
        <is>
          <t>Billionbrains Garage Ventures Ltd.</t>
        </is>
      </c>
      <c r="D86" s="16" t="inlineStr">
        <is>
          <t>Capital Markets</t>
        </is>
      </c>
      <c r="E86" s="16" t="inlineStr">
        <is>
          <t>Banking and Finance</t>
        </is>
      </c>
      <c r="F86" s="17" t="n">
        <v>121726.69</v>
      </c>
      <c r="G86" s="16" t="inlineStr">
        <is>
          <t>GROWW</t>
        </is>
      </c>
      <c r="H86" s="16" t="inlineStr">
        <is>
          <t>544603</t>
        </is>
      </c>
      <c r="I86" s="27">
        <f>IFERROR(IF(INDEX(Stocks!$G$2:$G$2139,MATCH(A86,Stocks!$E$2:$E$2139,0))="","No","Yes"),"No")</f>
        <v/>
      </c>
    </row>
    <row r="87">
      <c r="A87" s="16" t="inlineStr">
        <is>
          <t>INE956O01016</t>
        </is>
      </c>
      <c r="B87" s="16" t="inlineStr">
        <is>
          <t>LENSKART</t>
        </is>
      </c>
      <c r="C87" s="16" t="inlineStr">
        <is>
          <t>Lenskart Solutions Ltd.</t>
        </is>
      </c>
      <c r="D87" s="16" t="inlineStr">
        <is>
          <t>Other Apparels &amp; Accessories</t>
        </is>
      </c>
      <c r="E87" s="16" t="inlineStr">
        <is>
          <t>Textiles Apparels &amp; Accessories</t>
        </is>
      </c>
      <c r="F87" s="17" t="n">
        <v>119084.97</v>
      </c>
      <c r="G87" s="16" t="inlineStr">
        <is>
          <t>LENSKART</t>
        </is>
      </c>
      <c r="H87" s="16" t="inlineStr">
        <is>
          <t>544600</t>
        </is>
      </c>
      <c r="I87" s="27">
        <f>IFERROR(IF(INDEX(Stocks!$G$2:$G$2139,MATCH(A87,Stocks!$E$2:$E$2139,0))="","No","Yes"),"No")</f>
        <v/>
      </c>
    </row>
    <row r="88">
      <c r="A88" s="16" t="inlineStr">
        <is>
          <t>INE749A01030</t>
        </is>
      </c>
      <c r="B88" s="16" t="inlineStr">
        <is>
          <t>JINDALSTEL</t>
        </is>
      </c>
      <c r="C88" s="16" t="inlineStr">
        <is>
          <t>Jindal Steel Ltd.</t>
        </is>
      </c>
      <c r="D88" s="16" t="inlineStr">
        <is>
          <t>Iron &amp; Steel/Interm.Products</t>
        </is>
      </c>
      <c r="E88" s="16" t="inlineStr">
        <is>
          <t>Metals &amp; Mining</t>
        </is>
      </c>
      <c r="F88" s="17" t="n">
        <v>118840.26</v>
      </c>
      <c r="G88" s="16" t="inlineStr">
        <is>
          <t>JINDALSTEL</t>
        </is>
      </c>
      <c r="H88" s="16" t="inlineStr">
        <is>
          <t>532286</t>
        </is>
      </c>
      <c r="I88" s="27">
        <f>IFERROR(IF(INDEX(Stocks!$G$2:$G$2139,MATCH(A88,Stocks!$E$2:$E$2139,0))="","No","Yes"),"No")</f>
        <v/>
      </c>
    </row>
    <row r="89">
      <c r="A89" s="16" t="inlineStr">
        <is>
          <t>INE795G01014</t>
        </is>
      </c>
      <c r="B89" s="16" t="inlineStr">
        <is>
          <t>HDFCLIFE</t>
        </is>
      </c>
      <c r="C89" s="16" t="inlineStr">
        <is>
          <t>HDFC Life Insurance Company Ltd.</t>
        </is>
      </c>
      <c r="D89" s="16" t="inlineStr">
        <is>
          <t>Life Insurance</t>
        </is>
      </c>
      <c r="E89" s="16" t="inlineStr">
        <is>
          <t>Banking and Finance</t>
        </is>
      </c>
      <c r="F89" s="17" t="n">
        <v>118710.26</v>
      </c>
      <c r="G89" s="16" t="inlineStr">
        <is>
          <t>HDFCLIFE</t>
        </is>
      </c>
      <c r="H89" s="16" t="inlineStr">
        <is>
          <t>540777</t>
        </is>
      </c>
      <c r="I89" s="27">
        <f>IFERROR(IF(INDEX(Stocks!$G$2:$G$2139,MATCH(A89,Stocks!$E$2:$E$2139,0))="","No","Yes"),"No")</f>
        <v/>
      </c>
    </row>
    <row r="90">
      <c r="A90" s="16" t="inlineStr">
        <is>
          <t>INE562A01011</t>
        </is>
      </c>
      <c r="B90" s="16" t="inlineStr">
        <is>
          <t>INDIANB</t>
        </is>
      </c>
      <c r="C90" s="16" t="inlineStr">
        <is>
          <t>Indian Bank</t>
        </is>
      </c>
      <c r="D90" s="16" t="inlineStr">
        <is>
          <t>Banks</t>
        </is>
      </c>
      <c r="E90" s="16" t="inlineStr">
        <is>
          <t>Banking and Finance</t>
        </is>
      </c>
      <c r="F90" s="17" t="n">
        <v>118492.42</v>
      </c>
      <c r="G90" s="16" t="inlineStr">
        <is>
          <t>INDIANB</t>
        </is>
      </c>
      <c r="H90" s="16" t="inlineStr">
        <is>
          <t>532814</t>
        </is>
      </c>
      <c r="I90" s="27">
        <f>IFERROR(IF(INDEX(Stocks!$G$2:$G$2139,MATCH(A90,Stocks!$E$2:$E$2139,0))="","No","Yes"),"No")</f>
        <v/>
      </c>
    </row>
    <row r="91">
      <c r="A91" s="16" t="inlineStr">
        <is>
          <t>INE245A01021</t>
        </is>
      </c>
      <c r="B91" s="16" t="inlineStr">
        <is>
          <t>TATAPOWER</t>
        </is>
      </c>
      <c r="C91" s="16" t="inlineStr">
        <is>
          <t>Tata Power Company Ltd.</t>
        </is>
      </c>
      <c r="D91" s="16" t="inlineStr">
        <is>
          <t>Power - Electric Utilities</t>
        </is>
      </c>
      <c r="E91" s="16" t="inlineStr">
        <is>
          <t>Utilities</t>
        </is>
      </c>
      <c r="F91" s="17" t="n">
        <v>117588.49</v>
      </c>
      <c r="G91" s="16" t="inlineStr">
        <is>
          <t>TATAPOWER</t>
        </is>
      </c>
      <c r="H91" s="16" t="inlineStr">
        <is>
          <t>500400</t>
        </is>
      </c>
      <c r="I91" s="27">
        <f>IFERROR(IF(INDEX(Stocks!$G$2:$G$2139,MATCH(A91,Stocks!$E$2:$E$2139,0))="","No","Yes"),"No")</f>
        <v/>
      </c>
    </row>
    <row r="92">
      <c r="A92" s="16" t="inlineStr">
        <is>
          <t>INE134E01011</t>
        </is>
      </c>
      <c r="B92" s="16" t="inlineStr">
        <is>
          <t>PFC</t>
        </is>
      </c>
      <c r="C92" s="16" t="inlineStr">
        <is>
          <t>Power Finance Corporation Ltd.</t>
        </is>
      </c>
      <c r="D92" s="16" t="inlineStr">
        <is>
          <t>Financial Institutions</t>
        </is>
      </c>
      <c r="E92" s="16" t="inlineStr">
        <is>
          <t>Banking and Finance</t>
        </is>
      </c>
      <c r="F92" s="17" t="n">
        <v>117351.62</v>
      </c>
      <c r="G92" s="16" t="inlineStr">
        <is>
          <t>PFC</t>
        </is>
      </c>
      <c r="H92" s="16" t="inlineStr">
        <is>
          <t>532810</t>
        </is>
      </c>
      <c r="I92" s="27">
        <f>IFERROR(IF(INDEX(Stocks!$G$2:$G$2139,MATCH(A92,Stocks!$E$2:$E$2139,0))="","No","Yes"),"No")</f>
        <v/>
      </c>
    </row>
    <row r="93">
      <c r="A93" s="16" t="inlineStr">
        <is>
          <t>INE414G01012</t>
        </is>
      </c>
      <c r="B93" s="16" t="inlineStr">
        <is>
          <t>MUTHOOTFIN</t>
        </is>
      </c>
      <c r="C93" s="16" t="inlineStr">
        <is>
          <t>Muthoot Finance Ltd.</t>
        </is>
      </c>
      <c r="D93" s="16" t="inlineStr">
        <is>
          <t>Finance (including NBFCs)</t>
        </is>
      </c>
      <c r="E93" s="16" t="inlineStr">
        <is>
          <t>Banking and Finance</t>
        </is>
      </c>
      <c r="F93" s="17" t="n">
        <v>116979.89</v>
      </c>
      <c r="G93" s="16" t="inlineStr">
        <is>
          <t>MUTHOOTFIN</t>
        </is>
      </c>
      <c r="H93" s="16" t="inlineStr">
        <is>
          <t>533398</t>
        </is>
      </c>
      <c r="I93" s="27">
        <f>IFERROR(IF(INDEX(Stocks!$G$2:$G$2139,MATCH(A93,Stocks!$E$2:$E$2139,0))="","No","Yes"),"No")</f>
        <v/>
      </c>
    </row>
    <row r="94">
      <c r="A94" s="16" t="inlineStr">
        <is>
          <t>INE155A01022</t>
        </is>
      </c>
      <c r="B94" s="16" t="inlineStr">
        <is>
          <t>TMPV</t>
        </is>
      </c>
      <c r="C94" s="16" t="inlineStr">
        <is>
          <t>Tata Motors Passenger Vehicles Ltd.</t>
        </is>
      </c>
      <c r="D94" s="16" t="inlineStr">
        <is>
          <t>Cars &amp; Utility Vehicles</t>
        </is>
      </c>
      <c r="E94" s="16" t="inlineStr">
        <is>
          <t>Automobiles &amp; Auto Components</t>
        </is>
      </c>
      <c r="F94" s="17" t="n">
        <v>114722.07</v>
      </c>
      <c r="G94" s="16" t="inlineStr">
        <is>
          <t>TMPV</t>
        </is>
      </c>
      <c r="H94" s="16" t="inlineStr">
        <is>
          <t>500570</t>
        </is>
      </c>
      <c r="I94" s="27">
        <f>IFERROR(IF(INDEX(Stocks!$G$2:$G$2139,MATCH(A94,Stocks!$E$2:$E$2139,0))="","No","Yes"),"No")</f>
        <v/>
      </c>
    </row>
    <row r="95">
      <c r="A95" s="16" t="inlineStr">
        <is>
          <t>INE640G01020</t>
        </is>
      </c>
      <c r="B95" s="16" t="inlineStr">
        <is>
          <t>SBIFUNDS</t>
        </is>
      </c>
      <c r="C95" s="16" t="inlineStr">
        <is>
          <t>SBI Funds Management Ltd.</t>
        </is>
      </c>
      <c r="D95" s="16" t="inlineStr">
        <is>
          <t>Asset Management Cos.</t>
        </is>
      </c>
      <c r="E95" s="16" t="inlineStr">
        <is>
          <t>Banking and Finance</t>
        </is>
      </c>
      <c r="F95" s="17" t="n">
        <v>114490.08</v>
      </c>
      <c r="G95" s="16" t="inlineStr">
        <is>
          <t>SBIFUNDS</t>
        </is>
      </c>
      <c r="H95" s="16" t="inlineStr">
        <is>
          <t>544829</t>
        </is>
      </c>
      <c r="I95" s="27">
        <f>IFERROR(IF(INDEX(Stocks!$G$2:$G$2139,MATCH(A95,Stocks!$E$2:$E$2139,0))="","No","Yes"),"No")</f>
        <v/>
      </c>
    </row>
    <row r="96">
      <c r="A96" s="16" t="inlineStr">
        <is>
          <t>INE129A01019</t>
        </is>
      </c>
      <c r="B96" s="16" t="inlineStr">
        <is>
          <t>GAIL</t>
        </is>
      </c>
      <c r="C96" s="16" t="inlineStr">
        <is>
          <t>GAIL (India) Ltd.</t>
        </is>
      </c>
      <c r="D96" s="16" t="inlineStr">
        <is>
          <t>Utilities:Non-Electrical</t>
        </is>
      </c>
      <c r="E96" s="16" t="inlineStr">
        <is>
          <t>Utilities</t>
        </is>
      </c>
      <c r="F96" s="17" t="n">
        <v>114012.23</v>
      </c>
      <c r="G96" s="16" t="inlineStr">
        <is>
          <t>GAIL</t>
        </is>
      </c>
      <c r="H96" s="16" t="inlineStr">
        <is>
          <t>532155</t>
        </is>
      </c>
      <c r="I96" s="27">
        <f>IFERROR(IF(INDEX(Stocks!$G$2:$G$2139,MATCH(A96,Stocks!$E$2:$E$2139,0))="","No","Yes"),"No")</f>
        <v/>
      </c>
    </row>
    <row r="97">
      <c r="A97" s="16" t="inlineStr">
        <is>
          <t>INE476A01022</t>
        </is>
      </c>
      <c r="B97" s="16" t="inlineStr">
        <is>
          <t>CANBK</t>
        </is>
      </c>
      <c r="C97" s="16" t="inlineStr">
        <is>
          <t>Canara Bank</t>
        </is>
      </c>
      <c r="D97" s="16" t="inlineStr">
        <is>
          <t>Banks</t>
        </is>
      </c>
      <c r="E97" s="16" t="inlineStr">
        <is>
          <t>Banking and Finance</t>
        </is>
      </c>
      <c r="F97" s="17" t="n">
        <v>113836.67</v>
      </c>
      <c r="G97" s="16" t="inlineStr">
        <is>
          <t>CANBK</t>
        </is>
      </c>
      <c r="H97" s="16" t="inlineStr">
        <is>
          <t>532483</t>
        </is>
      </c>
      <c r="I97" s="27">
        <f>IFERROR(IF(INDEX(Stocks!$G$2:$G$2139,MATCH(A97,Stocks!$E$2:$E$2139,0))="","No","Yes"),"No")</f>
        <v/>
      </c>
    </row>
    <row r="98">
      <c r="A98" s="16" t="inlineStr">
        <is>
          <t>INE010B01027</t>
        </is>
      </c>
      <c r="B98" s="16" t="inlineStr">
        <is>
          <t>ZYDUSLIFE</t>
        </is>
      </c>
      <c r="C98" s="16" t="inlineStr">
        <is>
          <t>Zydus Lifesciences Ltd.</t>
        </is>
      </c>
      <c r="D98" s="16" t="inlineStr">
        <is>
          <t>Pharmaceuticals</t>
        </is>
      </c>
      <c r="E98" s="16" t="inlineStr">
        <is>
          <t>Pharmaceuticals &amp; Biotechnology</t>
        </is>
      </c>
      <c r="F98" s="17" t="n">
        <v>112698.21</v>
      </c>
      <c r="G98" s="16" t="inlineStr">
        <is>
          <t>ZYDUSLIFE</t>
        </is>
      </c>
      <c r="H98" s="16" t="inlineStr">
        <is>
          <t>532321</t>
        </is>
      </c>
      <c r="I98" s="27">
        <f>IFERROR(IF(INDEX(Stocks!$G$2:$G$2139,MATCH(A98,Stocks!$E$2:$E$2139,0))="","No","Yes"),"No")</f>
        <v/>
      </c>
    </row>
    <row r="99">
      <c r="A99" s="16" t="inlineStr">
        <is>
          <t>INE059A01026</t>
        </is>
      </c>
      <c r="B99" s="16" t="inlineStr">
        <is>
          <t>CIPLA</t>
        </is>
      </c>
      <c r="C99" s="16" t="inlineStr">
        <is>
          <t>Cipla Ltd.</t>
        </is>
      </c>
      <c r="D99" s="16" t="inlineStr">
        <is>
          <t>Pharmaceuticals</t>
        </is>
      </c>
      <c r="E99" s="16" t="inlineStr">
        <is>
          <t>Pharmaceuticals &amp; Biotechnology</t>
        </is>
      </c>
      <c r="F99" s="17" t="n">
        <v>111888.39</v>
      </c>
      <c r="G99" s="16" t="inlineStr">
        <is>
          <t>CIPLA</t>
        </is>
      </c>
      <c r="H99" s="16" t="inlineStr">
        <is>
          <t>500087</t>
        </is>
      </c>
      <c r="I99" s="27">
        <f>IFERROR(IF(INDEX(Stocks!$G$2:$G$2139,MATCH(A99,Stocks!$E$2:$E$2139,0))="","No","Yes"),"No")</f>
        <v/>
      </c>
    </row>
    <row r="100">
      <c r="A100" s="16" t="inlineStr">
        <is>
          <t>INE324D01010</t>
        </is>
      </c>
      <c r="B100" s="16" t="inlineStr">
        <is>
          <t>LGEINDIA</t>
        </is>
      </c>
      <c r="C100" s="16" t="inlineStr">
        <is>
          <t>LG Electronics India Ltd.</t>
        </is>
      </c>
      <c r="D100" s="16" t="inlineStr">
        <is>
          <t>Consumer Electronics</t>
        </is>
      </c>
      <c r="E100" s="16" t="inlineStr">
        <is>
          <t>Consumer Durables</t>
        </is>
      </c>
      <c r="F100" s="17" t="n">
        <v>111366.19</v>
      </c>
      <c r="G100" s="16" t="inlineStr">
        <is>
          <t>LGEINDIA</t>
        </is>
      </c>
      <c r="H100" s="16" t="inlineStr">
        <is>
          <t>544576</t>
        </is>
      </c>
      <c r="I100" s="27">
        <f>IFERROR(IF(INDEX(Stocks!$G$2:$G$2139,MATCH(A100,Stocks!$E$2:$E$2139,0))="","No","Yes"),"No")</f>
        <v/>
      </c>
    </row>
    <row r="101">
      <c r="A101" s="16" t="inlineStr">
        <is>
          <t>INE1NPP01017</t>
        </is>
      </c>
      <c r="B101" s="16" t="inlineStr">
        <is>
          <t>ENRIN</t>
        </is>
      </c>
      <c r="C101" s="16" t="inlineStr">
        <is>
          <t>Siemens Energy India Ltd.</t>
        </is>
      </c>
      <c r="D101" s="16" t="inlineStr">
        <is>
          <t>Green &amp; Renewable Energy</t>
        </is>
      </c>
      <c r="E101" s="16" t="inlineStr">
        <is>
          <t>Utilities</t>
        </is>
      </c>
      <c r="F101" s="17" t="n">
        <v>110956.46</v>
      </c>
      <c r="G101" s="16" t="inlineStr">
        <is>
          <t>ENRIN</t>
        </is>
      </c>
      <c r="H101" s="16" t="inlineStr">
        <is>
          <t>544390</t>
        </is>
      </c>
      <c r="I101" s="27">
        <f>IFERROR(IF(INDEX(Stocks!$G$2:$G$2139,MATCH(A101,Stocks!$E$2:$E$2139,0))="","No","Yes"),"No")</f>
        <v/>
      </c>
    </row>
    <row r="102">
      <c r="A102" s="16" t="inlineStr">
        <is>
          <t>INE674K01013</t>
        </is>
      </c>
      <c r="B102" s="16" t="inlineStr">
        <is>
          <t>ABCAPITAL</t>
        </is>
      </c>
      <c r="C102" s="16" t="inlineStr">
        <is>
          <t>Aditya Birla Capital Ltd.</t>
        </is>
      </c>
      <c r="D102" s="16" t="inlineStr">
        <is>
          <t>Holding Companies</t>
        </is>
      </c>
      <c r="E102" s="16" t="inlineStr">
        <is>
          <t>Diversified</t>
        </is>
      </c>
      <c r="F102" s="17" t="n">
        <v>110841.86</v>
      </c>
      <c r="G102" s="16" t="inlineStr">
        <is>
          <t>ABCAPITAL</t>
        </is>
      </c>
      <c r="H102" s="16" t="inlineStr">
        <is>
          <t>540691</t>
        </is>
      </c>
      <c r="I102" s="27">
        <f>IFERROR(IF(INDEX(Stocks!$G$2:$G$2139,MATCH(A102,Stocks!$E$2:$E$2139,0))="","No","Yes"),"No")</f>
        <v/>
      </c>
    </row>
    <row r="103">
      <c r="A103" s="16" t="inlineStr">
        <is>
          <t>INE200A01026</t>
        </is>
      </c>
      <c r="B103" s="16" t="inlineStr">
        <is>
          <t>GVT&amp;D</t>
        </is>
      </c>
      <c r="C103" s="16" t="inlineStr">
        <is>
          <t>GE Vernova T&amp;D India Ltd.</t>
        </is>
      </c>
      <c r="D103" s="16" t="inlineStr">
        <is>
          <t>Industrial Machinery</t>
        </is>
      </c>
      <c r="E103" s="16" t="inlineStr">
        <is>
          <t>General Industrials</t>
        </is>
      </c>
      <c r="F103" s="17" t="n">
        <v>110261.3</v>
      </c>
      <c r="G103" s="16" t="inlineStr">
        <is>
          <t>GVT&amp;D</t>
        </is>
      </c>
      <c r="H103" s="16" t="inlineStr">
        <is>
          <t>522275</t>
        </is>
      </c>
      <c r="I103" s="27">
        <f>IFERROR(IF(INDEX(Stocks!$G$2:$G$2139,MATCH(A103,Stocks!$E$2:$E$2139,0))="","No","Yes"),"No")</f>
        <v/>
      </c>
    </row>
    <row r="104">
      <c r="A104" s="16" t="inlineStr">
        <is>
          <t>INE053F01010</t>
        </is>
      </c>
      <c r="B104" s="16" t="inlineStr">
        <is>
          <t>IRFC</t>
        </is>
      </c>
      <c r="C104" s="16" t="inlineStr">
        <is>
          <t>Indian Railway Finance Corporation Ltd.</t>
        </is>
      </c>
      <c r="D104" s="16" t="inlineStr">
        <is>
          <t>Financial Institutions</t>
        </is>
      </c>
      <c r="E104" s="16" t="inlineStr">
        <is>
          <t>Banking and Finance</t>
        </is>
      </c>
      <c r="F104" s="17" t="n">
        <v>108991.34</v>
      </c>
      <c r="G104" s="16" t="inlineStr">
        <is>
          <t>IRFC</t>
        </is>
      </c>
      <c r="H104" s="16" t="inlineStr">
        <is>
          <t>543257</t>
        </is>
      </c>
      <c r="I104" s="27">
        <f>IFERROR(IF(INDEX(Stocks!$G$2:$G$2139,MATCH(A104,Stocks!$E$2:$E$2139,0))="","No","Yes"),"No")</f>
        <v/>
      </c>
    </row>
    <row r="105">
      <c r="A105" s="16" t="inlineStr">
        <is>
          <t>INE854D01024</t>
        </is>
      </c>
      <c r="B105" s="16" t="inlineStr">
        <is>
          <t>UNITDSPR</t>
        </is>
      </c>
      <c r="C105" s="16" t="inlineStr">
        <is>
          <t>United Spirits Ltd.</t>
        </is>
      </c>
      <c r="D105" s="16" t="inlineStr">
        <is>
          <t>Breweries &amp; Distilleries</t>
        </is>
      </c>
      <c r="E105" s="16" t="inlineStr">
        <is>
          <t>Food, Beverages &amp; Tobacco</t>
        </is>
      </c>
      <c r="F105" s="17" t="n">
        <v>107044.23</v>
      </c>
      <c r="G105" s="16" t="inlineStr">
        <is>
          <t>UNITDSPR</t>
        </is>
      </c>
      <c r="H105" s="16" t="inlineStr">
        <is>
          <t>532432</t>
        </is>
      </c>
      <c r="I105" s="27">
        <f>IFERROR(IF(INDEX(Stocks!$G$2:$G$2139,MATCH(A105,Stocks!$E$2:$E$2139,0))="","No","Yes"),"No")</f>
        <v/>
      </c>
    </row>
    <row r="106">
      <c r="A106" s="16" t="inlineStr">
        <is>
          <t>INE982J01020</t>
        </is>
      </c>
      <c r="B106" s="16" t="inlineStr">
        <is>
          <t>PAYTM</t>
        </is>
      </c>
      <c r="C106" s="16" t="inlineStr">
        <is>
          <t>One97 Communications Ltd.</t>
        </is>
      </c>
      <c r="D106" s="16" t="inlineStr">
        <is>
          <t>Internet Software &amp; Services</t>
        </is>
      </c>
      <c r="E106" s="16" t="inlineStr">
        <is>
          <t>Software &amp; Services</t>
        </is>
      </c>
      <c r="F106" s="17" t="n">
        <v>106474.81</v>
      </c>
      <c r="G106" s="16" t="inlineStr">
        <is>
          <t>PAYTM</t>
        </is>
      </c>
      <c r="H106" s="16" t="inlineStr">
        <is>
          <t>543396</t>
        </is>
      </c>
      <c r="I106" s="27">
        <f>IFERROR(IF(INDEX(Stocks!$G$2:$G$2139,MATCH(A106,Stocks!$E$2:$E$2139,0))="","No","Yes"),"No")</f>
        <v/>
      </c>
    </row>
    <row r="107">
      <c r="A107" s="16" t="inlineStr">
        <is>
          <t>INE205A01025</t>
        </is>
      </c>
      <c r="B107" s="16" t="inlineStr">
        <is>
          <t>VEDL</t>
        </is>
      </c>
      <c r="C107" s="16" t="inlineStr">
        <is>
          <t>Vedanta Ltd.</t>
        </is>
      </c>
      <c r="D107" s="16" t="inlineStr">
        <is>
          <t>Aluminium and Aluminium Products</t>
        </is>
      </c>
      <c r="E107" s="16" t="inlineStr">
        <is>
          <t>Metals &amp; Mining</t>
        </is>
      </c>
      <c r="F107" s="17" t="n">
        <v>106401.66</v>
      </c>
      <c r="G107" s="16" t="inlineStr">
        <is>
          <t>VEDL</t>
        </is>
      </c>
      <c r="H107" s="16" t="inlineStr">
        <is>
          <t>500295</t>
        </is>
      </c>
      <c r="I107" s="27">
        <f>IFERROR(IF(INDEX(Stocks!$G$2:$G$2139,MATCH(A107,Stocks!$E$2:$E$2139,0))="","No","Yes"),"No")</f>
        <v/>
      </c>
    </row>
    <row r="108">
      <c r="A108" s="16" t="inlineStr">
        <is>
          <t>INE158A01026</t>
        </is>
      </c>
      <c r="B108" s="16" t="inlineStr">
        <is>
          <t>HEROMOTOCO</t>
        </is>
      </c>
      <c r="C108" s="16" t="inlineStr">
        <is>
          <t>Hero MotoCorp Ltd.</t>
        </is>
      </c>
      <c r="D108" s="16" t="inlineStr">
        <is>
          <t>2/3 Wheelers</t>
        </is>
      </c>
      <c r="E108" s="16" t="inlineStr">
        <is>
          <t>Automobiles &amp; Auto Components</t>
        </is>
      </c>
      <c r="F108" s="17" t="n">
        <v>106074.84</v>
      </c>
      <c r="G108" s="16" t="inlineStr">
        <is>
          <t>HEROMOTOCO</t>
        </is>
      </c>
      <c r="H108" s="16" t="inlineStr">
        <is>
          <t>500182</t>
        </is>
      </c>
      <c r="I108" s="27">
        <f>IFERROR(IF(INDEX(Stocks!$G$2:$G$2139,MATCH(A108,Stocks!$E$2:$E$2139,0))="","No","Yes"),"No")</f>
        <v/>
      </c>
    </row>
    <row r="109">
      <c r="A109" s="16" t="inlineStr">
        <is>
          <t>INE196A01026</t>
        </is>
      </c>
      <c r="B109" s="16" t="inlineStr">
        <is>
          <t>MARICO</t>
        </is>
      </c>
      <c r="C109" s="16" t="inlineStr">
        <is>
          <t>Marico Ltd.</t>
        </is>
      </c>
      <c r="D109" s="16" t="inlineStr">
        <is>
          <t>Personal Products</t>
        </is>
      </c>
      <c r="E109" s="16" t="inlineStr">
        <is>
          <t>FMCG</t>
        </is>
      </c>
      <c r="F109" s="17" t="n">
        <v>105838.08</v>
      </c>
      <c r="G109" s="16" t="inlineStr">
        <is>
          <t>MARICO</t>
        </is>
      </c>
      <c r="H109" s="16" t="inlineStr">
        <is>
          <t>531642</t>
        </is>
      </c>
      <c r="I109" s="27">
        <f>IFERROR(IF(INDEX(Stocks!$G$2:$G$2139,MATCH(A109,Stocks!$E$2:$E$2139,0))="","No","Yes"),"No")</f>
        <v/>
      </c>
    </row>
    <row r="110">
      <c r="A110" s="16" t="inlineStr">
        <is>
          <t>INE127D01025</t>
        </is>
      </c>
      <c r="B110" s="16" t="inlineStr">
        <is>
          <t>HDFCAMC</t>
        </is>
      </c>
      <c r="C110" s="16" t="inlineStr">
        <is>
          <t>HDFC Asset Management Company Ltd.</t>
        </is>
      </c>
      <c r="D110" s="16" t="inlineStr">
        <is>
          <t>Asset Management Cos.</t>
        </is>
      </c>
      <c r="E110" s="16" t="inlineStr">
        <is>
          <t>Banking and Finance</t>
        </is>
      </c>
      <c r="F110" s="17" t="n">
        <v>105414.49</v>
      </c>
      <c r="G110" s="16" t="inlineStr">
        <is>
          <t>HDFCAMC</t>
        </is>
      </c>
      <c r="H110" s="16" t="inlineStr">
        <is>
          <t>541729</t>
        </is>
      </c>
      <c r="I110" s="27">
        <f>IFERROR(IF(INDEX(Stocks!$G$2:$G$2139,MATCH(A110,Stocks!$E$2:$E$2139,0))="","No","Yes"),"No")</f>
        <v/>
      </c>
    </row>
    <row r="111">
      <c r="A111" s="16" t="inlineStr">
        <is>
          <t>INE881D01027</t>
        </is>
      </c>
      <c r="B111" s="16" t="inlineStr">
        <is>
          <t>OFSS</t>
        </is>
      </c>
      <c r="C111" s="16" t="inlineStr">
        <is>
          <t>Oracle Financial Services Software Ltd.</t>
        </is>
      </c>
      <c r="D111" s="16" t="inlineStr">
        <is>
          <t>IT Consulting &amp; Software</t>
        </is>
      </c>
      <c r="E111" s="16" t="inlineStr">
        <is>
          <t>Software &amp; Services</t>
        </is>
      </c>
      <c r="F111" s="17" t="n">
        <v>105004.8</v>
      </c>
      <c r="G111" s="16" t="inlineStr">
        <is>
          <t>OFSS</t>
        </is>
      </c>
      <c r="H111" s="16" t="inlineStr">
        <is>
          <t>532466</t>
        </is>
      </c>
      <c r="I111" s="27">
        <f>IFERROR(IF(INDEX(Stocks!$G$2:$G$2139,MATCH(A111,Stocks!$E$2:$E$2139,0))="","No","Yes"),"No")</f>
        <v/>
      </c>
    </row>
    <row r="112">
      <c r="A112" s="16" t="inlineStr">
        <is>
          <t>INE776C01039</t>
        </is>
      </c>
      <c r="B112" s="16" t="inlineStr">
        <is>
          <t>GMRAIRPORT</t>
        </is>
      </c>
      <c r="C112" s="16" t="inlineStr">
        <is>
          <t>GMR Airports Ltd.</t>
        </is>
      </c>
      <c r="D112" s="16" t="inlineStr">
        <is>
          <t>Construction &amp; Engineering</t>
        </is>
      </c>
      <c r="E112" s="16" t="inlineStr">
        <is>
          <t>Cement and Construction</t>
        </is>
      </c>
      <c r="F112" s="17" t="n">
        <v>102897.22</v>
      </c>
      <c r="G112" s="16" t="inlineStr">
        <is>
          <t>GMRAIRPORT</t>
        </is>
      </c>
      <c r="H112" s="16" t="inlineStr">
        <is>
          <t>532754</t>
        </is>
      </c>
      <c r="I112" s="27">
        <f>IFERROR(IF(INDEX(Stocks!$G$2:$G$2139,MATCH(A112,Stocks!$E$2:$E$2139,0))="","No","Yes"),"No")</f>
        <v/>
      </c>
    </row>
    <row r="113">
      <c r="A113" s="16" t="inlineStr">
        <is>
          <t>INE281B01032</t>
        </is>
      </c>
      <c r="B113" s="16" t="inlineStr">
        <is>
          <t>LLOYDSME</t>
        </is>
      </c>
      <c r="C113" s="16" t="inlineStr">
        <is>
          <t>Lloyds Metals &amp; Energy Ltd.</t>
        </is>
      </c>
      <c r="D113" s="16" t="inlineStr">
        <is>
          <t>Coal &amp; Mining</t>
        </is>
      </c>
      <c r="E113" s="16" t="inlineStr">
        <is>
          <t>Metals &amp; Mining</t>
        </is>
      </c>
      <c r="F113" s="17" t="n">
        <v>102617.95</v>
      </c>
      <c r="G113" s="16" t="inlineStr">
        <is>
          <t>LLOYDSME</t>
        </is>
      </c>
      <c r="H113" s="16" t="inlineStr">
        <is>
          <t>512455</t>
        </is>
      </c>
      <c r="I113" s="27">
        <f>IFERROR(IF(INDEX(Stocks!$G$2:$G$2139,MATCH(A113,Stocks!$E$2:$E$2139,0))="","No","Yes"),"No")</f>
        <v/>
      </c>
    </row>
    <row r="114">
      <c r="A114" s="16" t="inlineStr">
        <is>
          <t>INE053A01029</t>
        </is>
      </c>
      <c r="B114" s="16" t="inlineStr">
        <is>
          <t>INDHOTEL</t>
        </is>
      </c>
      <c r="C114" s="16" t="inlineStr">
        <is>
          <t>Indian Hotels Company Ltd.</t>
        </is>
      </c>
      <c r="D114" s="16" t="inlineStr">
        <is>
          <t>Hotels</t>
        </is>
      </c>
      <c r="E114" s="16" t="inlineStr">
        <is>
          <t>Hotels Restaurants &amp; Tourism</t>
        </is>
      </c>
      <c r="F114" s="17" t="n">
        <v>102487.12</v>
      </c>
      <c r="G114" s="16" t="inlineStr">
        <is>
          <t>INDHOTEL</t>
        </is>
      </c>
      <c r="H114" s="16" t="inlineStr">
        <is>
          <t>500850</t>
        </is>
      </c>
      <c r="I114" s="27">
        <f>IFERROR(IF(INDEX(Stocks!$G$2:$G$2139,MATCH(A114,Stocks!$E$2:$E$2139,0))="","No","Yes"),"No")</f>
        <v/>
      </c>
    </row>
    <row r="115">
      <c r="A115" s="16" t="inlineStr">
        <is>
          <t>INE079A01024</t>
        </is>
      </c>
      <c r="B115" s="16" t="inlineStr">
        <is>
          <t>AMBUJACEM</t>
        </is>
      </c>
      <c r="C115" s="16" t="inlineStr">
        <is>
          <t>Ambuja Cements Ltd.</t>
        </is>
      </c>
      <c r="D115" s="16" t="inlineStr">
        <is>
          <t>Cement &amp; Cement Products</t>
        </is>
      </c>
      <c r="E115" s="16" t="inlineStr">
        <is>
          <t>Cement and Construction</t>
        </is>
      </c>
      <c r="F115" s="17" t="n">
        <v>100108.85</v>
      </c>
      <c r="G115" s="16" t="inlineStr">
        <is>
          <t>AMBUJACEM</t>
        </is>
      </c>
      <c r="H115" s="16" t="inlineStr">
        <is>
          <t>500425</t>
        </is>
      </c>
      <c r="I115" s="27">
        <f>IFERROR(IF(INDEX(Stocks!$G$2:$G$2139,MATCH(A115,Stocks!$E$2:$E$2139,0))="","No","Yes"),"No")</f>
        <v/>
      </c>
    </row>
    <row r="116">
      <c r="A116" s="16" t="inlineStr">
        <is>
          <t>INE192A01025</t>
        </is>
      </c>
      <c r="B116" s="16" t="inlineStr">
        <is>
          <t>TATACONSUM</t>
        </is>
      </c>
      <c r="C116" s="16" t="inlineStr">
        <is>
          <t>Tata Consumer Products Ltd.</t>
        </is>
      </c>
      <c r="D116" s="16" t="inlineStr">
        <is>
          <t>Tea &amp; Coffee</t>
        </is>
      </c>
      <c r="E116" s="16" t="inlineStr">
        <is>
          <t>Food, Beverages &amp; Tobacco</t>
        </is>
      </c>
      <c r="F116" s="17" t="n">
        <v>99958.69</v>
      </c>
      <c r="G116" s="16" t="inlineStr">
        <is>
          <t>TATACONSUM</t>
        </is>
      </c>
      <c r="H116" s="16" t="inlineStr">
        <is>
          <t>500800</t>
        </is>
      </c>
      <c r="I116" s="27">
        <f>IFERROR(IF(INDEX(Stocks!$G$2:$G$2139,MATCH(A116,Stocks!$E$2:$E$2139,0))="","No","Yes"),"No")</f>
        <v/>
      </c>
    </row>
    <row r="117">
      <c r="A117" s="16" t="inlineStr">
        <is>
          <t>INE249Z01020</t>
        </is>
      </c>
      <c r="B117" s="16" t="inlineStr">
        <is>
          <t>MAZDOCK</t>
        </is>
      </c>
      <c r="C117" s="16" t="inlineStr">
        <is>
          <t>Mazagon Dock Shipbuilders Ltd.</t>
        </is>
      </c>
      <c r="D117" s="16" t="inlineStr">
        <is>
          <t>Aerospace &amp; Defence</t>
        </is>
      </c>
      <c r="E117" s="16" t="inlineStr">
        <is>
          <t>General Industrials</t>
        </is>
      </c>
      <c r="F117" s="17" t="n">
        <v>99836.55</v>
      </c>
      <c r="G117" s="16" t="inlineStr">
        <is>
          <t>MAZDOCK</t>
        </is>
      </c>
      <c r="H117" s="16" t="inlineStr">
        <is>
          <t>543237</t>
        </is>
      </c>
      <c r="I117" s="27">
        <f>IFERROR(IF(INDEX(Stocks!$G$2:$G$2139,MATCH(A117,Stocks!$E$2:$E$2139,0))="","No","Yes"),"No")</f>
        <v/>
      </c>
    </row>
    <row r="118">
      <c r="A118" s="16" t="inlineStr">
        <is>
          <t>INE947Q01028</t>
        </is>
      </c>
      <c r="B118" s="16" t="inlineStr">
        <is>
          <t>LAURUSLABS</t>
        </is>
      </c>
      <c r="C118" s="16" t="inlineStr">
        <is>
          <t>Laurus Labs Ltd.</t>
        </is>
      </c>
      <c r="D118" s="16" t="inlineStr">
        <is>
          <t>Pharmaceuticals</t>
        </is>
      </c>
      <c r="E118" s="16" t="inlineStr">
        <is>
          <t>Pharmaceuticals &amp; Biotechnology</t>
        </is>
      </c>
      <c r="F118" s="17" t="n">
        <v>99417.44</v>
      </c>
      <c r="G118" s="16" t="inlineStr">
        <is>
          <t>LAURUSLABS</t>
        </is>
      </c>
      <c r="H118" s="16" t="inlineStr">
        <is>
          <t>540222</t>
        </is>
      </c>
      <c r="I118" s="27">
        <f>IFERROR(IF(INDEX(Stocks!$G$2:$G$2139,MATCH(A118,Stocks!$E$2:$E$2139,0))="","No","Yes"),"No")</f>
        <v/>
      </c>
    </row>
    <row r="119">
      <c r="A119" s="16" t="inlineStr">
        <is>
          <t>INE121J01017</t>
        </is>
      </c>
      <c r="B119" s="16" t="inlineStr">
        <is>
          <t>INDUSTOWER</t>
        </is>
      </c>
      <c r="C119" s="16" t="inlineStr">
        <is>
          <t>Indus Towers Ltd.</t>
        </is>
      </c>
      <c r="D119" s="16" t="inlineStr">
        <is>
          <t>Other Telecom Services</t>
        </is>
      </c>
      <c r="E119" s="16" t="inlineStr">
        <is>
          <t>Telecom Services</t>
        </is>
      </c>
      <c r="F119" s="17" t="n">
        <v>99405.97</v>
      </c>
      <c r="G119" s="16" t="inlineStr">
        <is>
          <t>INDUSTOWER</t>
        </is>
      </c>
      <c r="H119" s="16" t="inlineStr">
        <is>
          <t>534816</t>
        </is>
      </c>
      <c r="I119" s="27">
        <f>IFERROR(IF(INDEX(Stocks!$G$2:$G$2139,MATCH(A119,Stocks!$E$2:$E$2139,0))="","No","Yes"),"No")</f>
        <v/>
      </c>
    </row>
    <row r="120">
      <c r="A120" s="16" t="inlineStr">
        <is>
          <t>INE208A01029</t>
        </is>
      </c>
      <c r="B120" s="16" t="inlineStr">
        <is>
          <t>ASHOKLEY</t>
        </is>
      </c>
      <c r="C120" s="16" t="inlineStr">
        <is>
          <t>Ashok Leyland Ltd.</t>
        </is>
      </c>
      <c r="D120" s="16" t="inlineStr">
        <is>
          <t>Commercial Vehicles</t>
        </is>
      </c>
      <c r="E120" s="16" t="inlineStr">
        <is>
          <t>Automobiles &amp; Auto Components</t>
        </is>
      </c>
      <c r="F120" s="17" t="n">
        <v>99268.14</v>
      </c>
      <c r="G120" s="16" t="inlineStr">
        <is>
          <t>ASHOKLEY</t>
        </is>
      </c>
      <c r="H120" s="16" t="inlineStr">
        <is>
          <t>500477</t>
        </is>
      </c>
      <c r="I120" s="27">
        <f>IFERROR(IF(INDEX(Stocks!$G$2:$G$2139,MATCH(A120,Stocks!$E$2:$E$2139,0))="","No","Yes"),"No")</f>
        <v/>
      </c>
    </row>
    <row r="121">
      <c r="A121" s="16" t="inlineStr">
        <is>
          <t>INE121E01018</t>
        </is>
      </c>
      <c r="B121" s="16" t="inlineStr">
        <is>
          <t>JSWENERGY</t>
        </is>
      </c>
      <c r="C121" s="16" t="inlineStr">
        <is>
          <t>JSW Energy Ltd.</t>
        </is>
      </c>
      <c r="D121" s="16" t="inlineStr">
        <is>
          <t>Power - Electric Utilities</t>
        </is>
      </c>
      <c r="E121" s="16" t="inlineStr">
        <is>
          <t>Utilities</t>
        </is>
      </c>
      <c r="F121" s="17" t="n">
        <v>98980.56</v>
      </c>
      <c r="G121" s="16" t="inlineStr">
        <is>
          <t>JSWENERGY</t>
        </is>
      </c>
      <c r="H121" s="16" t="inlineStr">
        <is>
          <t>533148</t>
        </is>
      </c>
      <c r="I121" s="27">
        <f>IFERROR(IF(INDEX(Stocks!$G$2:$G$2139,MATCH(A121,Stocks!$E$2:$E$2139,0))="","No","Yes"),"No")</f>
        <v/>
      </c>
    </row>
    <row r="122">
      <c r="A122" s="16" t="inlineStr">
        <is>
          <t>INE008A01015</t>
        </is>
      </c>
      <c r="B122" s="16" t="inlineStr">
        <is>
          <t>IDBI</t>
        </is>
      </c>
      <c r="C122" s="16" t="inlineStr">
        <is>
          <t>IDBI Bank Ltd.</t>
        </is>
      </c>
      <c r="D122" s="16" t="inlineStr">
        <is>
          <t>Banks</t>
        </is>
      </c>
      <c r="E122" s="16" t="inlineStr">
        <is>
          <t>Banking and Finance</t>
        </is>
      </c>
      <c r="F122" s="17" t="n">
        <v>97449.02</v>
      </c>
      <c r="G122" s="16" t="inlineStr">
        <is>
          <t>IDBI</t>
        </is>
      </c>
      <c r="H122" s="16" t="inlineStr">
        <is>
          <t>500116</t>
        </is>
      </c>
      <c r="I122" s="27">
        <f>IFERROR(IF(INDEX(Stocks!$G$2:$G$2139,MATCH(A122,Stocks!$E$2:$E$2139,0))="","No","Yes"),"No")</f>
        <v/>
      </c>
    </row>
    <row r="123">
      <c r="A123" s="16" t="inlineStr">
        <is>
          <t>INE0VDM01015</t>
        </is>
      </c>
      <c r="B123" s="16" t="inlineStr">
        <is>
          <t>MEESHO</t>
        </is>
      </c>
      <c r="C123" s="16" t="inlineStr">
        <is>
          <t>Meesho Ltd.</t>
        </is>
      </c>
      <c r="D123" s="16" t="inlineStr">
        <is>
          <t>Internet &amp; Catalogue Retail</t>
        </is>
      </c>
      <c r="E123" s="16" t="inlineStr">
        <is>
          <t>Retailing</t>
        </is>
      </c>
      <c r="F123" s="17" t="n">
        <v>96659.75</v>
      </c>
      <c r="G123" s="16" t="inlineStr">
        <is>
          <t>MEESHO</t>
        </is>
      </c>
      <c r="H123" s="16" t="inlineStr">
        <is>
          <t>544632</t>
        </is>
      </c>
      <c r="I123" s="27">
        <f>IFERROR(IF(INDEX(Stocks!$G$2:$G$2139,MATCH(A123,Stocks!$E$2:$E$2139,0))="","No","Yes"),"No")</f>
        <v/>
      </c>
    </row>
    <row r="124">
      <c r="A124" s="16" t="inlineStr">
        <is>
          <t>INE326A01037</t>
        </is>
      </c>
      <c r="B124" s="16" t="inlineStr">
        <is>
          <t>LUPIN</t>
        </is>
      </c>
      <c r="C124" s="16" t="inlineStr">
        <is>
          <t>Lupin Ltd.</t>
        </is>
      </c>
      <c r="D124" s="16" t="inlineStr">
        <is>
          <t>Pharmaceuticals</t>
        </is>
      </c>
      <c r="E124" s="16" t="inlineStr">
        <is>
          <t>Pharmaceuticals &amp; Biotechnology</t>
        </is>
      </c>
      <c r="F124" s="17" t="n">
        <v>96483.10000000001</v>
      </c>
      <c r="G124" s="16" t="inlineStr">
        <is>
          <t>LUPIN</t>
        </is>
      </c>
      <c r="H124" s="16" t="inlineStr">
        <is>
          <t>500257</t>
        </is>
      </c>
      <c r="I124" s="27">
        <f>IFERROR(IF(INDEX(Stocks!$G$2:$G$2139,MATCH(A124,Stocks!$E$2:$E$2139,0))="","No","Yes"),"No")</f>
        <v/>
      </c>
    </row>
    <row r="125">
      <c r="A125" s="16" t="inlineStr">
        <is>
          <t>INE634S01028</t>
        </is>
      </c>
      <c r="B125" s="16" t="inlineStr">
        <is>
          <t>MANKIND</t>
        </is>
      </c>
      <c r="C125" s="16" t="inlineStr">
        <is>
          <t>Mankind Pharma Ltd.</t>
        </is>
      </c>
      <c r="D125" s="16" t="inlineStr">
        <is>
          <t>Pharmaceuticals</t>
        </is>
      </c>
      <c r="E125" s="16" t="inlineStr">
        <is>
          <t>Pharmaceuticals &amp; Biotechnology</t>
        </is>
      </c>
      <c r="F125" s="17" t="n">
        <v>96152.77</v>
      </c>
      <c r="G125" s="16" t="inlineStr">
        <is>
          <t>MANKIND</t>
        </is>
      </c>
      <c r="H125" s="16" t="inlineStr">
        <is>
          <t>543904</t>
        </is>
      </c>
      <c r="I125" s="27">
        <f>IFERROR(IF(INDEX(Stocks!$G$2:$G$2139,MATCH(A125,Stocks!$E$2:$E$2139,0))="","No","Yes"),"No")</f>
        <v/>
      </c>
    </row>
    <row r="126">
      <c r="A126" s="16" t="inlineStr">
        <is>
          <t>INE089A01031</t>
        </is>
      </c>
      <c r="B126" s="16" t="inlineStr">
        <is>
          <t>DRREDDY</t>
        </is>
      </c>
      <c r="C126" s="16" t="inlineStr">
        <is>
          <t>Dr. Reddy's Laboratories Ltd.</t>
        </is>
      </c>
      <c r="D126" s="16" t="inlineStr">
        <is>
          <t>Pharmaceuticals</t>
        </is>
      </c>
      <c r="E126" s="16" t="inlineStr">
        <is>
          <t>Pharmaceuticals &amp; Biotechnology</t>
        </is>
      </c>
      <c r="F126" s="17" t="n">
        <v>96071.17999999999</v>
      </c>
      <c r="G126" s="16" t="inlineStr">
        <is>
          <t>DRREDDY</t>
        </is>
      </c>
      <c r="H126" s="16" t="inlineStr">
        <is>
          <t>500124</t>
        </is>
      </c>
      <c r="I126" s="27">
        <f>IFERROR(IF(INDEX(Stocks!$G$2:$G$2139,MATCH(A126,Stocks!$E$2:$E$2139,0))="","No","Yes"),"No")</f>
        <v/>
      </c>
    </row>
    <row r="127">
      <c r="A127" s="16" t="inlineStr">
        <is>
          <t>INE406A01037</t>
        </is>
      </c>
      <c r="B127" s="16" t="inlineStr">
        <is>
          <t>AUROPHARMA</t>
        </is>
      </c>
      <c r="C127" s="16" t="inlineStr">
        <is>
          <t>Aurobindo Pharma Ltd.</t>
        </is>
      </c>
      <c r="D127" s="16" t="inlineStr">
        <is>
          <t>Pharmaceuticals</t>
        </is>
      </c>
      <c r="E127" s="16" t="inlineStr">
        <is>
          <t>Pharmaceuticals &amp; Biotechnology</t>
        </is>
      </c>
      <c r="F127" s="17" t="n">
        <v>96012.31</v>
      </c>
      <c r="G127" s="16" t="inlineStr">
        <is>
          <t>AUROPHARMA</t>
        </is>
      </c>
      <c r="H127" s="16" t="inlineStr">
        <is>
          <t>524804</t>
        </is>
      </c>
      <c r="I127" s="27">
        <f>IFERROR(IF(INDEX(Stocks!$G$2:$G$2139,MATCH(A127,Stocks!$E$2:$E$2139,0))="","No","Yes"),"No")</f>
        <v/>
      </c>
    </row>
    <row r="128">
      <c r="A128" s="16" t="inlineStr">
        <is>
          <t>INE027H01010</t>
        </is>
      </c>
      <c r="B128" s="16" t="inlineStr">
        <is>
          <t>MAXHEALTH</t>
        </is>
      </c>
      <c r="C128" s="16" t="inlineStr">
        <is>
          <t>Max Healthcare Institute Ltd.</t>
        </is>
      </c>
      <c r="D128" s="16" t="inlineStr">
        <is>
          <t>Healthcare Facilities</t>
        </is>
      </c>
      <c r="E128" s="16" t="inlineStr">
        <is>
          <t>Healthcare</t>
        </is>
      </c>
      <c r="F128" s="17" t="n">
        <v>95848.27</v>
      </c>
      <c r="G128" s="16" t="inlineStr">
        <is>
          <t>MAXHEALTH</t>
        </is>
      </c>
      <c r="H128" s="16" t="inlineStr">
        <is>
          <t>543220</t>
        </is>
      </c>
      <c r="I128" s="27">
        <f>IFERROR(IF(INDEX(Stocks!$G$2:$G$2139,MATCH(A128,Stocks!$E$2:$E$2139,0))="","No","Yes"),"No")</f>
        <v/>
      </c>
    </row>
    <row r="129">
      <c r="A129" s="16" t="inlineStr">
        <is>
          <t>INE459N01021</t>
        </is>
      </c>
      <c r="B129" s="16" t="inlineStr">
        <is>
          <t>MANIPALHOS</t>
        </is>
      </c>
      <c r="C129" s="16" t="inlineStr">
        <is>
          <t>Manipal Health Enterprises Ltd.</t>
        </is>
      </c>
      <c r="D129" s="16" t="inlineStr">
        <is>
          <t>Healthcare Facilities</t>
        </is>
      </c>
      <c r="E129" s="16" t="inlineStr">
        <is>
          <t>Healthcare</t>
        </is>
      </c>
      <c r="F129" s="17" t="n">
        <v>95391.14999999999</v>
      </c>
      <c r="G129" s="16" t="inlineStr">
        <is>
          <t>MANIPALHOS</t>
        </is>
      </c>
      <c r="H129" s="16" t="inlineStr">
        <is>
          <t>544847</t>
        </is>
      </c>
      <c r="I129" s="27">
        <f>IFERROR(IF(INDEX(Stocks!$G$2:$G$2139,MATCH(A129,Stocks!$E$2:$E$2139,0))="","No","Yes"),"No")</f>
        <v/>
      </c>
    </row>
    <row r="130">
      <c r="A130" s="16" t="inlineStr">
        <is>
          <t>INE388Y01029</t>
        </is>
      </c>
      <c r="B130" s="16" t="inlineStr">
        <is>
          <t>NYKAA</t>
        </is>
      </c>
      <c r="C130" s="16" t="inlineStr">
        <is>
          <t>FSN E-Commerce Ventures Ltd.</t>
        </is>
      </c>
      <c r="D130" s="16" t="inlineStr">
        <is>
          <t>Internet &amp; Catalogue Retail</t>
        </is>
      </c>
      <c r="E130" s="16" t="inlineStr">
        <is>
          <t>Retailing</t>
        </is>
      </c>
      <c r="F130" s="17" t="n">
        <v>95231.78999999999</v>
      </c>
      <c r="G130" s="16" t="inlineStr">
        <is>
          <t>NYKAA</t>
        </is>
      </c>
      <c r="H130" s="16" t="inlineStr">
        <is>
          <t>543384</t>
        </is>
      </c>
      <c r="I130" s="27">
        <f>IFERROR(IF(INDEX(Stocks!$G$2:$G$2139,MATCH(A130,Stocks!$E$2:$E$2139,0))="","No","Yes"),"No")</f>
        <v/>
      </c>
    </row>
    <row r="131">
      <c r="A131" s="16" t="inlineStr">
        <is>
          <t>INE465A01025</t>
        </is>
      </c>
      <c r="B131" s="16" t="inlineStr">
        <is>
          <t>BHARATFORG</t>
        </is>
      </c>
      <c r="C131" s="16" t="inlineStr">
        <is>
          <t>Bharat Forge Ltd.</t>
        </is>
      </c>
      <c r="D131" s="16" t="inlineStr">
        <is>
          <t>Castings &amp; Forgings</t>
        </is>
      </c>
      <c r="E131" s="16" t="inlineStr">
        <is>
          <t>General Industrials</t>
        </is>
      </c>
      <c r="F131" s="17" t="n">
        <v>93514.13</v>
      </c>
      <c r="G131" s="16" t="inlineStr">
        <is>
          <t>BHARATFORG</t>
        </is>
      </c>
      <c r="H131" s="16" t="inlineStr">
        <is>
          <t>500493</t>
        </is>
      </c>
      <c r="I131" s="27">
        <f>IFERROR(IF(INDEX(Stocks!$G$2:$G$2139,MATCH(A131,Stocks!$E$2:$E$2139,0))="","No","Yes"),"No")</f>
        <v/>
      </c>
    </row>
    <row r="132">
      <c r="A132" s="16" t="inlineStr">
        <is>
          <t>INE102D01028</t>
        </is>
      </c>
      <c r="B132" s="16" t="inlineStr">
        <is>
          <t>GODREJCP</t>
        </is>
      </c>
      <c r="C132" s="16" t="inlineStr">
        <is>
          <t>Godrej Consumer Products Ltd.</t>
        </is>
      </c>
      <c r="D132" s="16" t="inlineStr">
        <is>
          <t>Personal Products</t>
        </is>
      </c>
      <c r="E132" s="16" t="inlineStr">
        <is>
          <t>FMCG</t>
        </is>
      </c>
      <c r="F132" s="17" t="n">
        <v>89846.17999999999</v>
      </c>
      <c r="G132" s="16" t="inlineStr">
        <is>
          <t>GODREJCP</t>
        </is>
      </c>
      <c r="H132" s="16" t="inlineStr">
        <is>
          <t>532424</t>
        </is>
      </c>
      <c r="I132" s="27">
        <f>IFERROR(IF(INDEX(Stocks!$G$2:$G$2139,MATCH(A132,Stocks!$E$2:$E$2139,0))="","No","Yes"),"No")</f>
        <v/>
      </c>
    </row>
    <row r="133">
      <c r="A133" s="16" t="inlineStr">
        <is>
          <t>INE262H01021</t>
        </is>
      </c>
      <c r="B133" s="16" t="inlineStr">
        <is>
          <t>PERSISTENT</t>
        </is>
      </c>
      <c r="C133" s="16" t="inlineStr">
        <is>
          <t>Persistent Systems Ltd.</t>
        </is>
      </c>
      <c r="D133" s="16" t="inlineStr">
        <is>
          <t>IT Consulting &amp; Software</t>
        </is>
      </c>
      <c r="E133" s="16" t="inlineStr">
        <is>
          <t>Software &amp; Services</t>
        </is>
      </c>
      <c r="F133" s="17" t="n">
        <v>88256.52</v>
      </c>
      <c r="G133" s="16" t="inlineStr">
        <is>
          <t>PERSISTENT</t>
        </is>
      </c>
      <c r="H133" s="16" t="inlineStr">
        <is>
          <t>533179</t>
        </is>
      </c>
      <c r="I133" s="27">
        <f>IFERROR(IF(INDEX(Stocks!$G$2:$G$2139,MATCH(A133,Stocks!$E$2:$E$2139,0))="","No","Yes"),"No")</f>
        <v/>
      </c>
    </row>
    <row r="134">
      <c r="A134" s="16" t="inlineStr">
        <is>
          <t>INE591G01025</t>
        </is>
      </c>
      <c r="B134" s="16" t="inlineStr">
        <is>
          <t>COFORGE</t>
        </is>
      </c>
      <c r="C134" s="16" t="inlineStr">
        <is>
          <t>Coforge Ltd.</t>
        </is>
      </c>
      <c r="D134" s="16" t="inlineStr">
        <is>
          <t>IT Consulting &amp; Software</t>
        </is>
      </c>
      <c r="E134" s="16" t="inlineStr">
        <is>
          <t>Software &amp; Services</t>
        </is>
      </c>
      <c r="F134" s="17" t="n">
        <v>87379.36</v>
      </c>
      <c r="G134" s="16" t="inlineStr">
        <is>
          <t>COFORGE</t>
        </is>
      </c>
      <c r="H134" s="16" t="inlineStr">
        <is>
          <t>532541</t>
        </is>
      </c>
      <c r="I134" s="27">
        <f>IFERROR(IF(INDEX(Stocks!$G$2:$G$2139,MATCH(A134,Stocks!$E$2:$E$2139,0))="","No","Yes"),"No")</f>
        <v/>
      </c>
    </row>
    <row r="135">
      <c r="A135" s="16" t="inlineStr">
        <is>
          <t>INE935N01020</t>
        </is>
      </c>
      <c r="B135" s="16" t="inlineStr">
        <is>
          <t>DIXON</t>
        </is>
      </c>
      <c r="C135" s="16" t="inlineStr">
        <is>
          <t>Dixon Technologies (India) Ltd.</t>
        </is>
      </c>
      <c r="D135" s="16" t="inlineStr">
        <is>
          <t>Consumer Electronics</t>
        </is>
      </c>
      <c r="E135" s="16" t="inlineStr">
        <is>
          <t>Consumer Durables</t>
        </is>
      </c>
      <c r="F135" s="17" t="n">
        <v>87106.92999999999</v>
      </c>
      <c r="G135" s="16" t="inlineStr">
        <is>
          <t>DIXON</t>
        </is>
      </c>
      <c r="H135" s="16" t="inlineStr">
        <is>
          <t>540699</t>
        </is>
      </c>
      <c r="I135" s="27">
        <f>IFERROR(IF(INDEX(Stocks!$G$2:$G$2139,MATCH(A135,Stocks!$E$2:$E$2139,0))="","No","Yes"),"No")</f>
        <v/>
      </c>
    </row>
    <row r="136">
      <c r="A136" s="16" t="inlineStr">
        <is>
          <t>INE070A01015</t>
        </is>
      </c>
      <c r="B136" s="16" t="inlineStr">
        <is>
          <t>SHREECEM</t>
        </is>
      </c>
      <c r="C136" s="16" t="inlineStr">
        <is>
          <t>Shree Cements Ltd.</t>
        </is>
      </c>
      <c r="D136" s="16" t="inlineStr">
        <is>
          <t>Cement &amp; Cement Products</t>
        </is>
      </c>
      <c r="E136" s="16" t="inlineStr">
        <is>
          <t>Cement and Construction</t>
        </is>
      </c>
      <c r="F136" s="17" t="n">
        <v>86070.50999999999</v>
      </c>
      <c r="G136" s="16" t="inlineStr">
        <is>
          <t>SHREECEM</t>
        </is>
      </c>
      <c r="H136" s="16" t="inlineStr">
        <is>
          <t>500387</t>
        </is>
      </c>
      <c r="I136" s="27">
        <f>IFERROR(IF(INDEX(Stocks!$G$2:$G$2139,MATCH(A136,Stocks!$E$2:$E$2139,0))="","No","Yes"),"No")</f>
        <v/>
      </c>
    </row>
    <row r="137">
      <c r="A137" s="16" t="inlineStr">
        <is>
          <t>INE663F01032</t>
        </is>
      </c>
      <c r="B137" s="16" t="inlineStr">
        <is>
          <t>NAUKRI</t>
        </is>
      </c>
      <c r="C137" s="16" t="inlineStr">
        <is>
          <t>Info Edge (India) Ltd.</t>
        </is>
      </c>
      <c r="D137" s="16" t="inlineStr">
        <is>
          <t>Internet &amp; Catalogue Retail</t>
        </is>
      </c>
      <c r="E137" s="16" t="inlineStr">
        <is>
          <t>Retailing</t>
        </is>
      </c>
      <c r="F137" s="17" t="n">
        <v>85578.55</v>
      </c>
      <c r="G137" s="16" t="inlineStr">
        <is>
          <t>NAUKRI</t>
        </is>
      </c>
      <c r="H137" s="16" t="inlineStr">
        <is>
          <t>532777</t>
        </is>
      </c>
      <c r="I137" s="27">
        <f>IFERROR(IF(INDEX(Stocks!$G$2:$G$2139,MATCH(A137,Stocks!$E$2:$E$2139,0))="","No","Yes"),"No")</f>
        <v/>
      </c>
    </row>
    <row r="138">
      <c r="A138" s="16" t="inlineStr">
        <is>
          <t>INE417T01026</t>
        </is>
      </c>
      <c r="B138" s="16" t="inlineStr">
        <is>
          <t>POLICYBZR</t>
        </is>
      </c>
      <c r="C138" s="16" t="inlineStr">
        <is>
          <t>PB Fintech Ltd.</t>
        </is>
      </c>
      <c r="D138" s="16" t="inlineStr">
        <is>
          <t>Internet Software &amp; Services</t>
        </is>
      </c>
      <c r="E138" s="16" t="inlineStr">
        <is>
          <t>Software &amp; Services</t>
        </is>
      </c>
      <c r="F138" s="17" t="n">
        <v>84950.78</v>
      </c>
      <c r="G138" s="16" t="inlineStr">
        <is>
          <t>POLICYBZR</t>
        </is>
      </c>
      <c r="H138" s="16" t="inlineStr">
        <is>
          <t>543390</t>
        </is>
      </c>
      <c r="I138" s="27">
        <f>IFERROR(IF(INDEX(Stocks!$G$2:$G$2139,MATCH(A138,Stocks!$E$2:$E$2139,0))="","No","Yes"),"No")</f>
        <v/>
      </c>
    </row>
    <row r="139">
      <c r="A139" s="16" t="inlineStr">
        <is>
          <t>INE171A01029</t>
        </is>
      </c>
      <c r="B139" s="16" t="inlineStr">
        <is>
          <t>FEDERALBNK</t>
        </is>
      </c>
      <c r="C139" s="16" t="inlineStr">
        <is>
          <t>Federal Bank Ltd.</t>
        </is>
      </c>
      <c r="D139" s="16" t="inlineStr">
        <is>
          <t>Banks</t>
        </is>
      </c>
      <c r="E139" s="16" t="inlineStr">
        <is>
          <t>Banking and Finance</t>
        </is>
      </c>
      <c r="F139" s="17" t="n">
        <v>84792</v>
      </c>
      <c r="G139" s="16" t="inlineStr">
        <is>
          <t>FEDERALBNK</t>
        </is>
      </c>
      <c r="H139" s="16" t="inlineStr">
        <is>
          <t>500469</t>
        </is>
      </c>
      <c r="I139" s="27">
        <f>IFERROR(IF(INDEX(Stocks!$G$2:$G$2139,MATCH(A139,Stocks!$E$2:$E$2139,0))="","No","Yes"),"No")</f>
        <v/>
      </c>
    </row>
    <row r="140">
      <c r="A140" s="16" t="inlineStr">
        <is>
          <t>INE020B01018</t>
        </is>
      </c>
      <c r="B140" s="16" t="inlineStr">
        <is>
          <t>RECLTD</t>
        </is>
      </c>
      <c r="C140" s="16" t="inlineStr">
        <is>
          <t>REC Ltd.</t>
        </is>
      </c>
      <c r="D140" s="16" t="inlineStr">
        <is>
          <t>Financial Institutions</t>
        </is>
      </c>
      <c r="E140" s="16" t="inlineStr">
        <is>
          <t>Banking and Finance</t>
        </is>
      </c>
      <c r="F140" s="17" t="n">
        <v>83920.85000000001</v>
      </c>
      <c r="G140" s="16" t="inlineStr">
        <is>
          <t>RECLTD</t>
        </is>
      </c>
      <c r="H140" s="16" t="inlineStr">
        <is>
          <t>532955</t>
        </is>
      </c>
      <c r="I140" s="27">
        <f>IFERROR(IF(INDEX(Stocks!$G$2:$G$2139,MATCH(A140,Stocks!$E$2:$E$2139,0))="","No","Yes"),"No")</f>
        <v/>
      </c>
    </row>
    <row r="141">
      <c r="A141" s="16" t="inlineStr">
        <is>
          <t>INE745G01043</t>
        </is>
      </c>
      <c r="B141" s="16" t="inlineStr">
        <is>
          <t>MCX</t>
        </is>
      </c>
      <c r="C141" s="16" t="inlineStr">
        <is>
          <t>Multi Commodity Exchange of India Ltd.</t>
        </is>
      </c>
      <c r="D141" s="16" t="inlineStr">
        <is>
          <t>Capital Markets</t>
        </is>
      </c>
      <c r="E141" s="16" t="inlineStr">
        <is>
          <t>Banking and Finance</t>
        </is>
      </c>
      <c r="F141" s="17" t="n">
        <v>83520.00999999999</v>
      </c>
      <c r="G141" s="16" t="inlineStr">
        <is>
          <t>MCX</t>
        </is>
      </c>
      <c r="H141" s="16" t="inlineStr">
        <is>
          <t>534091</t>
        </is>
      </c>
      <c r="I141" s="27">
        <f>IFERROR(IF(INDEX(Stocks!$G$2:$G$2139,MATCH(A141,Stocks!$E$2:$E$2139,0))="","No","Yes"),"No")</f>
        <v/>
      </c>
    </row>
    <row r="142">
      <c r="A142" s="16" t="inlineStr">
        <is>
          <t>INE114A01011</t>
        </is>
      </c>
      <c r="B142" s="16" t="inlineStr">
        <is>
          <t>SAIL</t>
        </is>
      </c>
      <c r="C142" s="16" t="inlineStr">
        <is>
          <t>Steel Authority of India (SAIL) Ltd.</t>
        </is>
      </c>
      <c r="D142" s="16" t="inlineStr">
        <is>
          <t>Iron &amp; Steel/Interm.Products</t>
        </is>
      </c>
      <c r="E142" s="16" t="inlineStr">
        <is>
          <t>Metals &amp; Mining</t>
        </is>
      </c>
      <c r="F142" s="17" t="n">
        <v>81288.74000000001</v>
      </c>
      <c r="G142" s="16" t="inlineStr">
        <is>
          <t>SAIL</t>
        </is>
      </c>
      <c r="H142" s="16" t="inlineStr">
        <is>
          <t>500113</t>
        </is>
      </c>
      <c r="I142" s="27">
        <f>IFERROR(IF(INDEX(Stocks!$G$2:$G$2139,MATCH(A142,Stocks!$E$2:$E$2139,0))="","No","Yes"),"No")</f>
        <v/>
      </c>
    </row>
    <row r="143">
      <c r="A143" s="16" t="inlineStr">
        <is>
          <t>INE949L01017</t>
        </is>
      </c>
      <c r="B143" s="16" t="inlineStr">
        <is>
          <t>AUBANK</t>
        </is>
      </c>
      <c r="C143" s="16" t="inlineStr">
        <is>
          <t>Au Small Finance Bank Ltd.</t>
        </is>
      </c>
      <c r="D143" s="16" t="inlineStr">
        <is>
          <t>Microfinance Institutions</t>
        </is>
      </c>
      <c r="E143" s="16" t="inlineStr">
        <is>
          <t>Banking and Finance</t>
        </is>
      </c>
      <c r="F143" s="17" t="n">
        <v>79936.57000000001</v>
      </c>
      <c r="G143" s="16" t="inlineStr">
        <is>
          <t>AUBANK</t>
        </is>
      </c>
      <c r="H143" s="16" t="inlineStr">
        <is>
          <t>540611</t>
        </is>
      </c>
      <c r="I143" s="27">
        <f>IFERROR(IF(INDEX(Stocks!$G$2:$G$2139,MATCH(A143,Stocks!$E$2:$E$2139,0))="","No","Yes"),"No")</f>
        <v/>
      </c>
    </row>
    <row r="144">
      <c r="A144" s="16" t="inlineStr">
        <is>
          <t>INE274J01014</t>
        </is>
      </c>
      <c r="B144" s="16" t="inlineStr">
        <is>
          <t>OIL</t>
        </is>
      </c>
      <c r="C144" s="16" t="inlineStr">
        <is>
          <t>Oil India Ltd.</t>
        </is>
      </c>
      <c r="D144" s="16" t="inlineStr">
        <is>
          <t>Exploration &amp; Production</t>
        </is>
      </c>
      <c r="E144" s="16" t="inlineStr">
        <is>
          <t>Oil &amp; Gas</t>
        </is>
      </c>
      <c r="F144" s="17" t="n">
        <v>79427.25999999999</v>
      </c>
      <c r="G144" s="16" t="inlineStr">
        <is>
          <t>OIL</t>
        </is>
      </c>
      <c r="H144" s="16" t="inlineStr">
        <is>
          <t>533106</t>
        </is>
      </c>
      <c r="I144" s="27">
        <f>IFERROR(IF(INDEX(Stocks!$G$2:$G$2139,MATCH(A144,Stocks!$E$2:$E$2139,0))="","No","Yes"),"No")</f>
        <v/>
      </c>
    </row>
    <row r="145">
      <c r="A145" s="16" t="inlineStr">
        <is>
          <t>INE498L01015</t>
        </is>
      </c>
      <c r="B145" s="16" t="inlineStr">
        <is>
          <t>LTF</t>
        </is>
      </c>
      <c r="C145" s="16" t="inlineStr">
        <is>
          <t>L&amp;T Finance Ltd.</t>
        </is>
      </c>
      <c r="D145" s="16" t="inlineStr">
        <is>
          <t>Finance (including NBFCs)</t>
        </is>
      </c>
      <c r="E145" s="16" t="inlineStr">
        <is>
          <t>Banking and Finance</t>
        </is>
      </c>
      <c r="F145" s="17" t="n">
        <v>78699.47</v>
      </c>
      <c r="G145" s="16" t="inlineStr">
        <is>
          <t>LTF</t>
        </is>
      </c>
      <c r="H145" s="16" t="inlineStr">
        <is>
          <t>533519</t>
        </is>
      </c>
      <c r="I145" s="27">
        <f>IFERROR(IF(INDEX(Stocks!$G$2:$G$2139,MATCH(A145,Stocks!$E$2:$E$2139,0))="","No","Yes"),"No")</f>
        <v/>
      </c>
    </row>
    <row r="146">
      <c r="A146" s="16" t="inlineStr">
        <is>
          <t>INE095A01012</t>
        </is>
      </c>
      <c r="B146" s="16" t="inlineStr">
        <is>
          <t>INDUSINDBK</t>
        </is>
      </c>
      <c r="C146" s="16" t="inlineStr">
        <is>
          <t>IndusInd Bank Ltd.</t>
        </is>
      </c>
      <c r="D146" s="16" t="inlineStr">
        <is>
          <t>Banks</t>
        </is>
      </c>
      <c r="E146" s="16" t="inlineStr">
        <is>
          <t>Banking and Finance</t>
        </is>
      </c>
      <c r="F146" s="17" t="n">
        <v>78576.33</v>
      </c>
      <c r="G146" s="16" t="inlineStr">
        <is>
          <t>INDUSINDBK</t>
        </is>
      </c>
      <c r="H146" s="16" t="inlineStr">
        <is>
          <t>532187</t>
        </is>
      </c>
      <c r="I146" s="27">
        <f>IFERROR(IF(INDEX(Stocks!$G$2:$G$2139,MATCH(A146,Stocks!$E$2:$E$2139,0))="","No","Yes"),"No")</f>
        <v/>
      </c>
    </row>
    <row r="147">
      <c r="A147" s="16" t="inlineStr">
        <is>
          <t>INE880J01026</t>
        </is>
      </c>
      <c r="B147" s="16" t="inlineStr">
        <is>
          <t>JSWINFRA</t>
        </is>
      </c>
      <c r="C147" s="16" t="inlineStr">
        <is>
          <t>JSW Infrastructure Ltd.</t>
        </is>
      </c>
      <c r="D147" s="16" t="inlineStr">
        <is>
          <t>Marine Port &amp; Services</t>
        </is>
      </c>
      <c r="E147" s="16" t="inlineStr">
        <is>
          <t>Transportation</t>
        </is>
      </c>
      <c r="F147" s="17" t="n">
        <v>77589.05</v>
      </c>
      <c r="G147" s="16" t="inlineStr">
        <is>
          <t>JSWINFRA</t>
        </is>
      </c>
      <c r="H147" s="16" t="inlineStr">
        <is>
          <t>543994</t>
        </is>
      </c>
      <c r="I147" s="27">
        <f>IFERROR(IF(INDEX(Stocks!$G$2:$G$2139,MATCH(A147,Stocks!$E$2:$E$2139,0))="","No","Yes"),"No")</f>
        <v/>
      </c>
    </row>
    <row r="148">
      <c r="A148" s="16" t="inlineStr">
        <is>
          <t>INE848E01016</t>
        </is>
      </c>
      <c r="B148" s="16" t="inlineStr">
        <is>
          <t>NHPC</t>
        </is>
      </c>
      <c r="C148" s="16" t="inlineStr">
        <is>
          <t>NHPC Ltd.</t>
        </is>
      </c>
      <c r="D148" s="16" t="inlineStr">
        <is>
          <t>Green &amp; Renewable Energy</t>
        </is>
      </c>
      <c r="E148" s="16" t="inlineStr">
        <is>
          <t>Utilities</t>
        </is>
      </c>
      <c r="F148" s="17" t="n">
        <v>76593.39</v>
      </c>
      <c r="G148" s="16" t="inlineStr">
        <is>
          <t>NHPC</t>
        </is>
      </c>
      <c r="H148" s="16" t="inlineStr">
        <is>
          <t>533098</t>
        </is>
      </c>
      <c r="I148" s="27">
        <f>IFERROR(IF(INDEX(Stocks!$G$2:$G$2139,MATCH(A148,Stocks!$E$2:$E$2139,0))="","No","Yes"),"No")</f>
        <v/>
      </c>
    </row>
    <row r="149">
      <c r="A149" s="16" t="inlineStr">
        <is>
          <t>INE00H001014</t>
        </is>
      </c>
      <c r="B149" s="16" t="inlineStr">
        <is>
          <t>SWIGGY</t>
        </is>
      </c>
      <c r="C149" s="16" t="inlineStr">
        <is>
          <t>Swiggy Ltd.</t>
        </is>
      </c>
      <c r="D149" s="16" t="inlineStr">
        <is>
          <t>Internet &amp; Catalogue Retail</t>
        </is>
      </c>
      <c r="E149" s="16" t="inlineStr">
        <is>
          <t>Retailing</t>
        </is>
      </c>
      <c r="F149" s="17" t="n">
        <v>76212.25999999999</v>
      </c>
      <c r="G149" s="16" t="inlineStr">
        <is>
          <t>SWIGGY</t>
        </is>
      </c>
      <c r="H149" s="16" t="inlineStr">
        <is>
          <t>544285</t>
        </is>
      </c>
      <c r="I149" s="27">
        <f>IFERROR(IF(INDEX(Stocks!$G$2:$G$2139,MATCH(A149,Stocks!$E$2:$E$2139,0))="","No","Yes"),"No")</f>
        <v/>
      </c>
    </row>
    <row r="150">
      <c r="A150" s="16" t="inlineStr">
        <is>
          <t>INE094A01015</t>
        </is>
      </c>
      <c r="B150" s="16" t="inlineStr">
        <is>
          <t>HINDPETRO</t>
        </is>
      </c>
      <c r="C150" s="16" t="inlineStr">
        <is>
          <t>Hindustan Petroleum Corporation Ltd.</t>
        </is>
      </c>
      <c r="D150" s="16" t="inlineStr">
        <is>
          <t>Refineries/Petro-Products</t>
        </is>
      </c>
      <c r="E150" s="16" t="inlineStr">
        <is>
          <t>Oil &amp; Gas</t>
        </is>
      </c>
      <c r="F150" s="17" t="n">
        <v>75856.87</v>
      </c>
      <c r="G150" s="16" t="inlineStr">
        <is>
          <t>HINDPETRO</t>
        </is>
      </c>
      <c r="H150" s="16" t="inlineStr">
        <is>
          <t>500104</t>
        </is>
      </c>
      <c r="I150" s="27">
        <f>IFERROR(IF(INDEX(Stocks!$G$2:$G$2139,MATCH(A150,Stocks!$E$2:$E$2139,0))="","No","Yes"),"No")</f>
        <v/>
      </c>
    </row>
    <row r="151">
      <c r="A151" s="16" t="inlineStr">
        <is>
          <t>INE377N01017</t>
        </is>
      </c>
      <c r="B151" s="16" t="inlineStr">
        <is>
          <t>WAAREEENER</t>
        </is>
      </c>
      <c r="C151" s="16" t="inlineStr">
        <is>
          <t>Waaree Energies Ltd.</t>
        </is>
      </c>
      <c r="D151" s="16" t="inlineStr">
        <is>
          <t>Other Electrical Equipment/Products</t>
        </is>
      </c>
      <c r="E151" s="16" t="inlineStr">
        <is>
          <t>Consumer Durables</t>
        </is>
      </c>
      <c r="F151" s="17" t="n">
        <v>75796.12</v>
      </c>
      <c r="G151" s="16" t="inlineStr">
        <is>
          <t>WAAREEENER</t>
        </is>
      </c>
      <c r="H151" s="16" t="inlineStr">
        <is>
          <t>544277</t>
        </is>
      </c>
      <c r="I151" s="27">
        <f>IFERROR(IF(INDEX(Stocks!$G$2:$G$2139,MATCH(A151,Stocks!$E$2:$E$2139,0))="","No","Yes"),"No")</f>
        <v/>
      </c>
    </row>
    <row r="152">
      <c r="A152" s="16" t="inlineStr">
        <is>
          <t>INE647A01010</t>
        </is>
      </c>
      <c r="B152" s="16" t="inlineStr">
        <is>
          <t>SRF</t>
        </is>
      </c>
      <c r="C152" s="16" t="inlineStr">
        <is>
          <t>SRF Ltd.</t>
        </is>
      </c>
      <c r="D152" s="16" t="inlineStr">
        <is>
          <t>Specialty Chemicals</t>
        </is>
      </c>
      <c r="E152" s="16" t="inlineStr">
        <is>
          <t>Chemicals &amp; Petrochemicals</t>
        </is>
      </c>
      <c r="F152" s="17" t="n">
        <v>75499.39999999999</v>
      </c>
      <c r="G152" s="16" t="inlineStr">
        <is>
          <t>SRF</t>
        </is>
      </c>
      <c r="H152" s="16" t="inlineStr">
        <is>
          <t>503806</t>
        </is>
      </c>
      <c r="I152" s="27">
        <f>IFERROR(IF(INDEX(Stocks!$G$2:$G$2139,MATCH(A152,Stocks!$E$2:$E$2139,0))="","No","Yes"),"No")</f>
        <v/>
      </c>
    </row>
    <row r="153">
      <c r="A153" s="16" t="inlineStr">
        <is>
          <t>INE765G01017</t>
        </is>
      </c>
      <c r="B153" s="16" t="inlineStr">
        <is>
          <t>ICICIGI</t>
        </is>
      </c>
      <c r="C153" s="16" t="inlineStr">
        <is>
          <t>ICICI Lombard General Insurance Company Ltd.</t>
        </is>
      </c>
      <c r="D153" s="16" t="inlineStr">
        <is>
          <t>General Insurance</t>
        </is>
      </c>
      <c r="E153" s="16" t="inlineStr">
        <is>
          <t>Banking and Finance</t>
        </is>
      </c>
      <c r="F153" s="17" t="n">
        <v>75440.02</v>
      </c>
      <c r="G153" s="16" t="inlineStr">
        <is>
          <t>ICICIGI</t>
        </is>
      </c>
      <c r="H153" s="16" t="inlineStr">
        <is>
          <t>540716</t>
        </is>
      </c>
      <c r="I153" s="27">
        <f>IFERROR(IF(INDEX(Stocks!$G$2:$G$2139,MATCH(A153,Stocks!$E$2:$E$2139,0))="","No","Yes"),"No")</f>
        <v/>
      </c>
    </row>
    <row r="154">
      <c r="A154" s="16" t="inlineStr">
        <is>
          <t>INE0ONG01011</t>
        </is>
      </c>
      <c r="B154" s="16" t="inlineStr">
        <is>
          <t>NTPCGREEN</t>
        </is>
      </c>
      <c r="C154" s="16" t="inlineStr">
        <is>
          <t>NTPC Green Energy Ltd.</t>
        </is>
      </c>
      <c r="D154" s="16" t="inlineStr">
        <is>
          <t>Green &amp; Renewable Energy</t>
        </is>
      </c>
      <c r="E154" s="16" t="inlineStr">
        <is>
          <t>Utilities</t>
        </is>
      </c>
      <c r="F154" s="17" t="n">
        <v>75297.67999999999</v>
      </c>
      <c r="G154" s="16" t="inlineStr">
        <is>
          <t>NTPCGREEN</t>
        </is>
      </c>
      <c r="H154" s="16" t="inlineStr">
        <is>
          <t>544289</t>
        </is>
      </c>
      <c r="I154" s="27">
        <f>IFERROR(IF(INDEX(Stocks!$G$2:$G$2139,MATCH(A154,Stocks!$E$2:$E$2139,0))="","No","Yes"),"No")</f>
        <v/>
      </c>
    </row>
    <row r="155">
      <c r="A155" s="16" t="inlineStr">
        <is>
          <t>INE343G01021</t>
        </is>
      </c>
      <c r="B155" s="16" t="inlineStr">
        <is>
          <t>BHARTIHEXA</t>
        </is>
      </c>
      <c r="C155" s="16" t="inlineStr">
        <is>
          <t>Bharti Hexacom Ltd.</t>
        </is>
      </c>
      <c r="D155" s="16" t="inlineStr">
        <is>
          <t>Other Telecom Services</t>
        </is>
      </c>
      <c r="E155" s="16" t="inlineStr">
        <is>
          <t>Telecom Services</t>
        </is>
      </c>
      <c r="F155" s="17" t="n">
        <v>74770</v>
      </c>
      <c r="G155" s="16" t="inlineStr">
        <is>
          <t>BHARTIHEXA</t>
        </is>
      </c>
      <c r="H155" s="16" t="inlineStr">
        <is>
          <t>544162</t>
        </is>
      </c>
      <c r="I155" s="27">
        <f>IFERROR(IF(INDEX(Stocks!$G$2:$G$2139,MATCH(A155,Stocks!$E$2:$E$2139,0))="","No","Yes"),"No")</f>
        <v/>
      </c>
    </row>
    <row r="156">
      <c r="A156" s="16" t="inlineStr">
        <is>
          <t>INE092T01019</t>
        </is>
      </c>
      <c r="B156" s="16" t="inlineStr">
        <is>
          <t>IDFCFIRSTB</t>
        </is>
      </c>
      <c r="C156" s="16" t="inlineStr">
        <is>
          <t>IDFC First Bank Ltd.</t>
        </is>
      </c>
      <c r="D156" s="16" t="inlineStr">
        <is>
          <t>Banks</t>
        </is>
      </c>
      <c r="E156" s="16" t="inlineStr">
        <is>
          <t>Banking and Finance</t>
        </is>
      </c>
      <c r="F156" s="17" t="n">
        <v>74758.84</v>
      </c>
      <c r="G156" s="16" t="inlineStr">
        <is>
          <t>IDFCFIRSTB</t>
        </is>
      </c>
      <c r="H156" s="16" t="inlineStr">
        <is>
          <t>539437</t>
        </is>
      </c>
      <c r="I156" s="27">
        <f>IFERROR(IF(INDEX(Stocks!$G$2:$G$2139,MATCH(A156,Stocks!$E$2:$E$2139,0))="","No","Yes"),"No")</f>
        <v/>
      </c>
    </row>
    <row r="157">
      <c r="A157" s="16" t="inlineStr">
        <is>
          <t>INE584A01023</t>
        </is>
      </c>
      <c r="B157" s="16" t="inlineStr">
        <is>
          <t>NMDC</t>
        </is>
      </c>
      <c r="C157" s="16" t="inlineStr">
        <is>
          <t>NMDC Ltd.</t>
        </is>
      </c>
      <c r="D157" s="16" t="inlineStr">
        <is>
          <t>Coal &amp; Mining</t>
        </is>
      </c>
      <c r="E157" s="16" t="inlineStr">
        <is>
          <t>Metals &amp; Mining</t>
        </is>
      </c>
      <c r="F157" s="17" t="n">
        <v>74466.7</v>
      </c>
      <c r="G157" s="16" t="inlineStr">
        <is>
          <t>NMDC</t>
        </is>
      </c>
      <c r="H157" s="16" t="inlineStr">
        <is>
          <t>526371</t>
        </is>
      </c>
      <c r="I157" s="27">
        <f>IFERROR(IF(INDEX(Stocks!$G$2:$G$2139,MATCH(A157,Stocks!$E$2:$E$2139,0))="","No","Yes"),"No")</f>
        <v/>
      </c>
    </row>
    <row r="158">
      <c r="A158" s="16" t="inlineStr">
        <is>
          <t>INE298J01013</t>
        </is>
      </c>
      <c r="B158" s="16" t="inlineStr">
        <is>
          <t>NAM-INDIA</t>
        </is>
      </c>
      <c r="C158" s="16" t="inlineStr">
        <is>
          <t>Nippon Life India Asset Management Ltd.</t>
        </is>
      </c>
      <c r="D158" s="16" t="inlineStr">
        <is>
          <t>Asset Management Cos.</t>
        </is>
      </c>
      <c r="E158" s="16" t="inlineStr">
        <is>
          <t>Banking and Finance</t>
        </is>
      </c>
      <c r="F158" s="17" t="n">
        <v>74208.27</v>
      </c>
      <c r="G158" s="16" t="inlineStr">
        <is>
          <t>NAM-INDIA</t>
        </is>
      </c>
      <c r="H158" s="16" t="inlineStr">
        <is>
          <t>540767</t>
        </is>
      </c>
      <c r="I158" s="27">
        <f>IFERROR(IF(INDEX(Stocks!$G$2:$G$2139,MATCH(A158,Stocks!$E$2:$E$2139,0))="","No","Yes"),"No")</f>
        <v/>
      </c>
    </row>
    <row r="159">
      <c r="A159" s="16" t="inlineStr">
        <is>
          <t>INE372A01015</t>
        </is>
      </c>
      <c r="B159" s="16" t="inlineStr">
        <is>
          <t>APARINDS</t>
        </is>
      </c>
      <c r="C159" s="16" t="inlineStr">
        <is>
          <t>Apar Industries Ltd.</t>
        </is>
      </c>
      <c r="D159" s="16" t="inlineStr">
        <is>
          <t>Other Electrical Equipment/Products</t>
        </is>
      </c>
      <c r="E159" s="16" t="inlineStr">
        <is>
          <t>Consumer Durables</t>
        </is>
      </c>
      <c r="F159" s="17" t="n">
        <v>72945.73</v>
      </c>
      <c r="G159" s="16" t="inlineStr">
        <is>
          <t>APARINDS</t>
        </is>
      </c>
      <c r="H159" s="16" t="inlineStr">
        <is>
          <t>532259</t>
        </is>
      </c>
      <c r="I159" s="27">
        <f>IFERROR(IF(INDEX(Stocks!$G$2:$G$2139,MATCH(A159,Stocks!$E$2:$E$2139,0))="","No","Yes"),"No")</f>
        <v/>
      </c>
    </row>
    <row r="160">
      <c r="A160" s="16" t="inlineStr">
        <is>
          <t>INE176B01034</t>
        </is>
      </c>
      <c r="B160" s="16" t="inlineStr">
        <is>
          <t>HAVELLS</t>
        </is>
      </c>
      <c r="C160" s="16" t="inlineStr">
        <is>
          <t>Havells India Ltd.</t>
        </is>
      </c>
      <c r="D160" s="16" t="inlineStr">
        <is>
          <t>Other Electrical Equipment/Products</t>
        </is>
      </c>
      <c r="E160" s="16" t="inlineStr">
        <is>
          <t>Consumer Durables</t>
        </is>
      </c>
      <c r="F160" s="17" t="n">
        <v>72349.07000000001</v>
      </c>
      <c r="G160" s="16" t="inlineStr">
        <is>
          <t>HAVELLS</t>
        </is>
      </c>
      <c r="H160" s="16" t="inlineStr">
        <is>
          <t>517354</t>
        </is>
      </c>
      <c r="I160" s="27">
        <f>IFERROR(IF(INDEX(Stocks!$G$2:$G$2139,MATCH(A160,Stocks!$E$2:$E$2139,0))="","No","Yes"),"No")</f>
        <v/>
      </c>
    </row>
    <row r="161">
      <c r="A161" s="16" t="inlineStr">
        <is>
          <t>INE405E01023</t>
        </is>
      </c>
      <c r="B161" s="16" t="inlineStr">
        <is>
          <t>UNOMINDA</t>
        </is>
      </c>
      <c r="C161" s="16" t="inlineStr">
        <is>
          <t>UNO Minda Ltd.</t>
        </is>
      </c>
      <c r="D161" s="16" t="inlineStr">
        <is>
          <t>Auto Parts &amp; Equipment</t>
        </is>
      </c>
      <c r="E161" s="16" t="inlineStr">
        <is>
          <t>Automobiles &amp; Auto Components</t>
        </is>
      </c>
      <c r="F161" s="17" t="n">
        <v>72166.08</v>
      </c>
      <c r="G161" s="16" t="inlineStr">
        <is>
          <t>UNOMINDA</t>
        </is>
      </c>
      <c r="H161" s="16" t="inlineStr">
        <is>
          <t>532539</t>
        </is>
      </c>
      <c r="I161" s="27">
        <f>IFERROR(IF(INDEX(Stocks!$G$2:$G$2139,MATCH(A161,Stocks!$E$2:$E$2139,0))="","No","Yes"),"No")</f>
        <v/>
      </c>
    </row>
    <row r="162">
      <c r="A162" s="16" t="inlineStr">
        <is>
          <t>INE726G01019</t>
        </is>
      </c>
      <c r="B162" s="16" t="inlineStr">
        <is>
          <t>ICICIPRULI</t>
        </is>
      </c>
      <c r="C162" s="16" t="inlineStr">
        <is>
          <t>ICICI Prudential Life Insurance Company Ltd.</t>
        </is>
      </c>
      <c r="D162" s="16" t="inlineStr">
        <is>
          <t>Life Insurance</t>
        </is>
      </c>
      <c r="E162" s="16" t="inlineStr">
        <is>
          <t>Banking and Finance</t>
        </is>
      </c>
      <c r="F162" s="17" t="n">
        <v>71759.03</v>
      </c>
      <c r="G162" s="16" t="inlineStr">
        <is>
          <t>ICICIPRULI</t>
        </is>
      </c>
      <c r="H162" s="16" t="inlineStr">
        <is>
          <t>540133</t>
        </is>
      </c>
      <c r="I162" s="27">
        <f>IFERROR(IF(INDEX(Stocks!$G$2:$G$2139,MATCH(A162,Stocks!$E$2:$E$2139,0))="","No","Yes"),"No")</f>
        <v/>
      </c>
    </row>
    <row r="163">
      <c r="A163" s="16" t="inlineStr">
        <is>
          <t>INE528G01035</t>
        </is>
      </c>
      <c r="B163" s="16" t="inlineStr">
        <is>
          <t>YESBANK</t>
        </is>
      </c>
      <c r="C163" s="16" t="inlineStr">
        <is>
          <t>YES Bank Ltd.</t>
        </is>
      </c>
      <c r="D163" s="16" t="inlineStr">
        <is>
          <t>Banks</t>
        </is>
      </c>
      <c r="E163" s="16" t="inlineStr">
        <is>
          <t>Banking and Finance</t>
        </is>
      </c>
      <c r="F163" s="17" t="n">
        <v>70623.67</v>
      </c>
      <c r="G163" s="16" t="inlineStr">
        <is>
          <t>YESBANK</t>
        </is>
      </c>
      <c r="H163" s="16" t="inlineStr">
        <is>
          <t>532648</t>
        </is>
      </c>
      <c r="I163" s="27">
        <f>IFERROR(IF(INDEX(Stocks!$G$2:$G$2139,MATCH(A163,Stocks!$E$2:$E$2139,0))="","No","Yes"),"No")</f>
        <v/>
      </c>
    </row>
    <row r="164">
      <c r="A164" s="16" t="inlineStr">
        <is>
          <t>INE211B01039</t>
        </is>
      </c>
      <c r="B164" s="16" t="inlineStr">
        <is>
          <t>PHOENIXLTD</t>
        </is>
      </c>
      <c r="C164" s="16" t="inlineStr">
        <is>
          <t>Phoenix Mills Ltd.</t>
        </is>
      </c>
      <c r="D164" s="16" t="inlineStr">
        <is>
          <t>Realty</t>
        </is>
      </c>
      <c r="E164" s="16" t="inlineStr">
        <is>
          <t>Realty</t>
        </is>
      </c>
      <c r="F164" s="17" t="n">
        <v>69461.05</v>
      </c>
      <c r="G164" s="16" t="inlineStr">
        <is>
          <t>PHOENIXLTD</t>
        </is>
      </c>
      <c r="H164" s="16" t="inlineStr">
        <is>
          <t>503100</t>
        </is>
      </c>
      <c r="I164" s="27">
        <f>IFERROR(IF(INDEX(Stocks!$G$2:$G$2139,MATCH(A164,Stocks!$E$2:$E$2139,0))="","No","Yes"),"No")</f>
        <v/>
      </c>
    </row>
    <row r="165">
      <c r="A165" s="16" t="inlineStr">
        <is>
          <t>INE377Y01014</t>
        </is>
      </c>
      <c r="B165" s="16" t="inlineStr">
        <is>
          <t>BAJAJHFL</t>
        </is>
      </c>
      <c r="C165" s="16" t="inlineStr">
        <is>
          <t>Bajaj Housing Finance Ltd.</t>
        </is>
      </c>
      <c r="D165" s="16" t="inlineStr">
        <is>
          <t>Housing Finance</t>
        </is>
      </c>
      <c r="E165" s="16" t="inlineStr">
        <is>
          <t>Banking and Finance</t>
        </is>
      </c>
      <c r="F165" s="17" t="n">
        <v>69225.03999999999</v>
      </c>
      <c r="G165" s="16" t="inlineStr">
        <is>
          <t>BAJAJHFL</t>
        </is>
      </c>
      <c r="H165" s="16" t="inlineStr">
        <is>
          <t>544252</t>
        </is>
      </c>
      <c r="I165" s="27">
        <f>IFERROR(IF(INDEX(Stocks!$G$2:$G$2139,MATCH(A165,Stocks!$E$2:$E$2139,0))="","No","Yes"),"No")</f>
        <v/>
      </c>
    </row>
    <row r="166">
      <c r="A166" s="16" t="inlineStr">
        <is>
          <t>INE935A01035</t>
        </is>
      </c>
      <c r="B166" s="16" t="inlineStr">
        <is>
          <t>GLENMARK</t>
        </is>
      </c>
      <c r="C166" s="16" t="inlineStr">
        <is>
          <t>Glenmark Pharmaceuticals Ltd.</t>
        </is>
      </c>
      <c r="D166" s="16" t="inlineStr">
        <is>
          <t>Pharmaceuticals</t>
        </is>
      </c>
      <c r="E166" s="16" t="inlineStr">
        <is>
          <t>Pharmaceuticals &amp; Biotechnology</t>
        </is>
      </c>
      <c r="F166" s="17" t="n">
        <v>68783.8</v>
      </c>
      <c r="G166" s="16" t="inlineStr">
        <is>
          <t>GLENMARK</t>
        </is>
      </c>
      <c r="H166" s="16" t="inlineStr">
        <is>
          <t>532296</t>
        </is>
      </c>
      <c r="I166" s="27">
        <f>IFERROR(IF(INDEX(Stocks!$G$2:$G$2139,MATCH(A166,Stocks!$E$2:$E$2139,0))="","No","Yes"),"No")</f>
        <v/>
      </c>
    </row>
    <row r="167">
      <c r="A167" s="16" t="inlineStr">
        <is>
          <t>INE139A01034</t>
        </is>
      </c>
      <c r="B167" s="16" t="inlineStr">
        <is>
          <t>NATIONALUM</t>
        </is>
      </c>
      <c r="C167" s="16" t="inlineStr">
        <is>
          <t>National Aluminium Company Ltd.</t>
        </is>
      </c>
      <c r="D167" s="16" t="inlineStr">
        <is>
          <t>Aluminium and Aluminium Products</t>
        </is>
      </c>
      <c r="E167" s="16" t="inlineStr">
        <is>
          <t>Metals &amp; Mining</t>
        </is>
      </c>
      <c r="F167" s="17" t="n">
        <v>68708.39999999999</v>
      </c>
      <c r="G167" s="16" t="inlineStr">
        <is>
          <t>NATIONALUM</t>
        </is>
      </c>
      <c r="H167" s="16" t="inlineStr">
        <is>
          <t>532234</t>
        </is>
      </c>
      <c r="I167" s="27">
        <f>IFERROR(IF(INDEX(Stocks!$G$2:$G$2139,MATCH(A167,Stocks!$E$2:$E$2139,0))="","No","Yes"),"No")</f>
        <v/>
      </c>
    </row>
    <row r="168">
      <c r="A168" s="16" t="inlineStr">
        <is>
          <t>INE914M01019</t>
        </is>
      </c>
      <c r="B168" s="16" t="inlineStr">
        <is>
          <t>ASTERDM</t>
        </is>
      </c>
      <c r="C168" s="16" t="inlineStr">
        <is>
          <t>Aster DM Quality Care Ltd.</t>
        </is>
      </c>
      <c r="D168" s="16" t="inlineStr">
        <is>
          <t>Healthcare Facilities</t>
        </is>
      </c>
      <c r="E168" s="16" t="inlineStr">
        <is>
          <t>Healthcare</t>
        </is>
      </c>
      <c r="F168" s="17" t="n">
        <v>68491.66</v>
      </c>
      <c r="G168" s="16" t="inlineStr">
        <is>
          <t>ASTERDM</t>
        </is>
      </c>
      <c r="H168" s="16" t="inlineStr">
        <is>
          <t>540975</t>
        </is>
      </c>
      <c r="I168" s="27">
        <f>IFERROR(IF(INDEX(Stocks!$G$2:$G$2139,MATCH(A168,Stocks!$E$2:$E$2139,0))="","No","Yes"),"No")</f>
        <v/>
      </c>
    </row>
    <row r="169">
      <c r="A169" s="16" t="inlineStr">
        <is>
          <t>INE811K01011</t>
        </is>
      </c>
      <c r="B169" s="16" t="inlineStr">
        <is>
          <t>PRESTIGE</t>
        </is>
      </c>
      <c r="C169" s="16" t="inlineStr">
        <is>
          <t>Prestige Estates Projects Ltd.</t>
        </is>
      </c>
      <c r="D169" s="16" t="inlineStr">
        <is>
          <t>Realty</t>
        </is>
      </c>
      <c r="E169" s="16" t="inlineStr">
        <is>
          <t>Realty</t>
        </is>
      </c>
      <c r="F169" s="17" t="n">
        <v>68356.88</v>
      </c>
      <c r="G169" s="16" t="inlineStr">
        <is>
          <t>PRESTIGE</t>
        </is>
      </c>
      <c r="H169" s="16" t="inlineStr">
        <is>
          <t>533274</t>
        </is>
      </c>
      <c r="I169" s="27">
        <f>IFERROR(IF(INDEX(Stocks!$G$2:$G$2139,MATCH(A169,Stocks!$E$2:$E$2139,0))="","No","Yes"),"No")</f>
        <v/>
      </c>
    </row>
    <row r="170">
      <c r="A170" s="16" t="inlineStr">
        <is>
          <t>INE191B01025</t>
        </is>
      </c>
      <c r="B170" s="16" t="inlineStr">
        <is>
          <t>WELCORP</t>
        </is>
      </c>
      <c r="C170" s="16" t="inlineStr">
        <is>
          <t>Welspun Corp Ltd.</t>
        </is>
      </c>
      <c r="D170" s="16" t="inlineStr">
        <is>
          <t>Iron &amp; Steel Products</t>
        </is>
      </c>
      <c r="E170" s="16" t="inlineStr">
        <is>
          <t>Metals &amp; Mining</t>
        </is>
      </c>
      <c r="F170" s="17" t="n">
        <v>68337.59</v>
      </c>
      <c r="G170" s="16" t="inlineStr">
        <is>
          <t>WELCORP</t>
        </is>
      </c>
      <c r="H170" s="16" t="inlineStr">
        <is>
          <t>532144</t>
        </is>
      </c>
      <c r="I170" s="27">
        <f>IFERROR(IF(INDEX(Stocks!$G$2:$G$2139,MATCH(A170,Stocks!$E$2:$E$2139,0))="","No","Yes"),"No")</f>
        <v/>
      </c>
    </row>
    <row r="171">
      <c r="A171" s="16" t="inlineStr">
        <is>
          <t>INE061F01013</t>
        </is>
      </c>
      <c r="B171" s="16" t="inlineStr">
        <is>
          <t>FORTIS</t>
        </is>
      </c>
      <c r="C171" s="16" t="inlineStr">
        <is>
          <t>Fortis Healthcare Ltd.</t>
        </is>
      </c>
      <c r="D171" s="16" t="inlineStr">
        <is>
          <t>Healthcare Facilities</t>
        </is>
      </c>
      <c r="E171" s="16" t="inlineStr">
        <is>
          <t>Healthcare</t>
        </is>
      </c>
      <c r="F171" s="17" t="n">
        <v>68323.71000000001</v>
      </c>
      <c r="G171" s="16" t="inlineStr">
        <is>
          <t>FORTIS</t>
        </is>
      </c>
      <c r="H171" s="16" t="inlineStr">
        <is>
          <t>532843</t>
        </is>
      </c>
      <c r="I171" s="27">
        <f>IFERROR(IF(INDEX(Stocks!$G$2:$G$2139,MATCH(A171,Stocks!$E$2:$E$2139,0))="","No","Yes"),"No")</f>
        <v/>
      </c>
    </row>
    <row r="172">
      <c r="A172" s="16" t="inlineStr">
        <is>
          <t>INE093I01010</t>
        </is>
      </c>
      <c r="B172" s="16" t="inlineStr">
        <is>
          <t>OBEROIRLTY</t>
        </is>
      </c>
      <c r="C172" s="16" t="inlineStr">
        <is>
          <t>Oberoi Realty Ltd.</t>
        </is>
      </c>
      <c r="D172" s="16" t="inlineStr">
        <is>
          <t>Realty</t>
        </is>
      </c>
      <c r="E172" s="16" t="inlineStr">
        <is>
          <t>Realty</t>
        </is>
      </c>
      <c r="F172" s="17" t="n">
        <v>68197.23</v>
      </c>
      <c r="G172" s="16" t="inlineStr">
        <is>
          <t>OBEROIRLTY</t>
        </is>
      </c>
      <c r="H172" s="16" t="inlineStr">
        <is>
          <t>533273</t>
        </is>
      </c>
      <c r="I172" s="27">
        <f>IFERROR(IF(INDEX(Stocks!$G$2:$G$2139,MATCH(A172,Stocks!$E$2:$E$2139,0))="","No","Yes"),"No")</f>
        <v/>
      </c>
    </row>
    <row r="173">
      <c r="A173" s="16" t="inlineStr">
        <is>
          <t>INE016A01026</t>
        </is>
      </c>
      <c r="B173" s="16" t="inlineStr">
        <is>
          <t>DABUR</t>
        </is>
      </c>
      <c r="C173" s="16" t="inlineStr">
        <is>
          <t>Dabur India Ltd.</t>
        </is>
      </c>
      <c r="D173" s="16" t="inlineStr">
        <is>
          <t>Personal Products</t>
        </is>
      </c>
      <c r="E173" s="16" t="inlineStr">
        <is>
          <t>FMCG</t>
        </is>
      </c>
      <c r="F173" s="17" t="n">
        <v>67570.02</v>
      </c>
      <c r="G173" s="16" t="inlineStr">
        <is>
          <t>DABUR</t>
        </is>
      </c>
      <c r="H173" s="16" t="inlineStr">
        <is>
          <t>500096</t>
        </is>
      </c>
      <c r="I173" s="27">
        <f>IFERROR(IF(INDEX(Stocks!$G$2:$G$2139,MATCH(A173,Stocks!$E$2:$E$2139,0))="","No","Yes"),"No")</f>
        <v/>
      </c>
    </row>
    <row r="174">
      <c r="A174" s="16" t="inlineStr">
        <is>
          <t>INE399L01023</t>
        </is>
      </c>
      <c r="B174" s="16" t="inlineStr">
        <is>
          <t>ATGL</t>
        </is>
      </c>
      <c r="C174" s="16" t="inlineStr">
        <is>
          <t>Adani Total Gas Ltd.</t>
        </is>
      </c>
      <c r="D174" s="16" t="inlineStr">
        <is>
          <t>Utilities:Non-Electrical</t>
        </is>
      </c>
      <c r="E174" s="16" t="inlineStr">
        <is>
          <t>Utilities</t>
        </is>
      </c>
      <c r="F174" s="17" t="n">
        <v>67346.87</v>
      </c>
      <c r="G174" s="16" t="inlineStr">
        <is>
          <t>ATGL</t>
        </is>
      </c>
      <c r="H174" s="16" t="inlineStr">
        <is>
          <t>542066</t>
        </is>
      </c>
      <c r="I174" s="27">
        <f>IFERROR(IF(INDEX(Stocks!$G$2:$G$2139,MATCH(A174,Stocks!$E$2:$E$2139,0))="","No","Yes"),"No")</f>
        <v/>
      </c>
    </row>
    <row r="175">
      <c r="A175" s="16" t="inlineStr">
        <is>
          <t>INE457A01014</t>
        </is>
      </c>
      <c r="B175" s="16" t="inlineStr">
        <is>
          <t>MAHABANK</t>
        </is>
      </c>
      <c r="C175" s="16" t="inlineStr">
        <is>
          <t>Bank of Maharashtra</t>
        </is>
      </c>
      <c r="D175" s="16" t="inlineStr">
        <is>
          <t>Banks</t>
        </is>
      </c>
      <c r="E175" s="16" t="inlineStr">
        <is>
          <t>Banking and Finance</t>
        </is>
      </c>
      <c r="F175" s="17" t="n">
        <v>66108.92</v>
      </c>
      <c r="G175" s="16" t="inlineStr">
        <is>
          <t>MAHABANK</t>
        </is>
      </c>
      <c r="H175" s="16" t="inlineStr">
        <is>
          <t>532525</t>
        </is>
      </c>
      <c r="I175" s="27">
        <f>IFERROR(IF(INDEX(Stocks!$G$2:$G$2139,MATCH(A175,Stocks!$E$2:$E$2139,0))="","No","Yes"),"No")</f>
        <v/>
      </c>
    </row>
    <row r="176">
      <c r="A176" s="16" t="inlineStr">
        <is>
          <t>INE084A01016</t>
        </is>
      </c>
      <c r="B176" s="16" t="inlineStr">
        <is>
          <t>BANKINDIA</t>
        </is>
      </c>
      <c r="C176" s="16" t="inlineStr">
        <is>
          <t>Bank of India</t>
        </is>
      </c>
      <c r="D176" s="16" t="inlineStr">
        <is>
          <t>Banks</t>
        </is>
      </c>
      <c r="E176" s="16" t="inlineStr">
        <is>
          <t>Banking and Finance</t>
        </is>
      </c>
      <c r="F176" s="17" t="n">
        <v>66013.67999999999</v>
      </c>
      <c r="G176" s="16" t="inlineStr">
        <is>
          <t>BANKINDIA</t>
        </is>
      </c>
      <c r="H176" s="16" t="inlineStr">
        <is>
          <t>532149</t>
        </is>
      </c>
      <c r="I176" s="27">
        <f>IFERROR(IF(INDEX(Stocks!$G$2:$G$2139,MATCH(A176,Stocks!$E$2:$E$2139,0))="","No","Yes"),"No")</f>
        <v/>
      </c>
    </row>
    <row r="177">
      <c r="A177" s="16" t="inlineStr">
        <is>
          <t>INE813H01021</t>
        </is>
      </c>
      <c r="B177" s="16" t="inlineStr">
        <is>
          <t>TORNTPOWER</t>
        </is>
      </c>
      <c r="C177" s="16" t="inlineStr">
        <is>
          <t>Torrent Power Ltd.</t>
        </is>
      </c>
      <c r="D177" s="16" t="inlineStr">
        <is>
          <t>Power - Electric Utilities</t>
        </is>
      </c>
      <c r="E177" s="16" t="inlineStr">
        <is>
          <t>Utilities</t>
        </is>
      </c>
      <c r="F177" s="17" t="n">
        <v>65462.1</v>
      </c>
      <c r="G177" s="16" t="inlineStr">
        <is>
          <t>TORNTPOWER</t>
        </is>
      </c>
      <c r="H177" s="16" t="inlineStr">
        <is>
          <t>532779</t>
        </is>
      </c>
      <c r="I177" s="27">
        <f>IFERROR(IF(INDEX(Stocks!$G$2:$G$2139,MATCH(A177,Stocks!$E$2:$E$2139,0))="","No","Yes"),"No")</f>
        <v/>
      </c>
    </row>
    <row r="178">
      <c r="A178" s="16" t="inlineStr">
        <is>
          <t>INE376G01013</t>
        </is>
      </c>
      <c r="B178" s="16" t="inlineStr">
        <is>
          <t>BIOCON</t>
        </is>
      </c>
      <c r="C178" s="16" t="inlineStr">
        <is>
          <t>Biocon Ltd.</t>
        </is>
      </c>
      <c r="D178" s="16" t="inlineStr">
        <is>
          <t>Biotechnology</t>
        </is>
      </c>
      <c r="E178" s="16" t="inlineStr">
        <is>
          <t>Pharmaceuticals &amp; Biotechnology</t>
        </is>
      </c>
      <c r="F178" s="17" t="n">
        <v>64764.04</v>
      </c>
      <c r="G178" s="16" t="inlineStr">
        <is>
          <t>BIOCON</t>
        </is>
      </c>
      <c r="H178" s="16" t="inlineStr">
        <is>
          <t>532523</t>
        </is>
      </c>
      <c r="I178" s="27">
        <f>IFERROR(IF(INDEX(Stocks!$G$2:$G$2139,MATCH(A178,Stocks!$E$2:$E$2139,0))="","No","Yes"),"No")</f>
        <v/>
      </c>
    </row>
    <row r="179">
      <c r="A179" s="16" t="inlineStr">
        <is>
          <t>INE565A01014</t>
        </is>
      </c>
      <c r="B179" s="16" t="inlineStr">
        <is>
          <t>IOB</t>
        </is>
      </c>
      <c r="C179" s="16" t="inlineStr">
        <is>
          <t>Indian Overseas Bank</t>
        </is>
      </c>
      <c r="D179" s="16" t="inlineStr">
        <is>
          <t>Banks</t>
        </is>
      </c>
      <c r="E179" s="16" t="inlineStr">
        <is>
          <t>Banking and Finance</t>
        </is>
      </c>
      <c r="F179" s="17" t="n">
        <v>64605.86</v>
      </c>
      <c r="G179" s="16" t="inlineStr">
        <is>
          <t>IOB</t>
        </is>
      </c>
      <c r="H179" s="16" t="inlineStr">
        <is>
          <t>532388</t>
        </is>
      </c>
      <c r="I179" s="27">
        <f>IFERROR(IF(INDEX(Stocks!$G$2:$G$2139,MATCH(A179,Stocks!$E$2:$E$2139,0))="","No","Yes"),"No")</f>
        <v/>
      </c>
    </row>
    <row r="180">
      <c r="A180" s="16" t="inlineStr">
        <is>
          <t>INE976G01028</t>
        </is>
      </c>
      <c r="B180" s="16" t="inlineStr">
        <is>
          <t>RBLBANK</t>
        </is>
      </c>
      <c r="C180" s="16" t="inlineStr">
        <is>
          <t>RBL Bank Ltd.</t>
        </is>
      </c>
      <c r="D180" s="16" t="inlineStr">
        <is>
          <t>Banks</t>
        </is>
      </c>
      <c r="E180" s="16" t="inlineStr">
        <is>
          <t>Banking and Finance</t>
        </is>
      </c>
      <c r="F180" s="17" t="n">
        <v>64263.17</v>
      </c>
      <c r="G180" s="16" t="inlineStr">
        <is>
          <t>RBLBANK</t>
        </is>
      </c>
      <c r="H180" s="16" t="inlineStr">
        <is>
          <t>540065</t>
        </is>
      </c>
      <c r="I180" s="27">
        <f>IFERROR(IF(INDEX(Stocks!$G$2:$G$2139,MATCH(A180,Stocks!$E$2:$E$2139,0))="","No","Yes"),"No")</f>
        <v/>
      </c>
    </row>
    <row r="181">
      <c r="A181" s="16" t="inlineStr">
        <is>
          <t>INE481Y01014</t>
        </is>
      </c>
      <c r="B181" s="16" t="inlineStr">
        <is>
          <t>GICRE</t>
        </is>
      </c>
      <c r="C181" s="16" t="inlineStr">
        <is>
          <t>General Insurance Corporation of India</t>
        </is>
      </c>
      <c r="D181" s="16" t="inlineStr">
        <is>
          <t>General Insurance</t>
        </is>
      </c>
      <c r="E181" s="16" t="inlineStr">
        <is>
          <t>Banking and Finance</t>
        </is>
      </c>
      <c r="F181" s="17" t="n">
        <v>62886.47</v>
      </c>
      <c r="G181" s="16" t="inlineStr">
        <is>
          <t>GICRE</t>
        </is>
      </c>
      <c r="H181" s="16" t="inlineStr">
        <is>
          <t>540755</t>
        </is>
      </c>
      <c r="I181" s="27">
        <f>IFERROR(IF(INDEX(Stocks!$G$2:$G$2139,MATCH(A181,Stocks!$E$2:$E$2139,0))="","No","Yes"),"No")</f>
        <v/>
      </c>
    </row>
    <row r="182">
      <c r="A182" s="16" t="inlineStr">
        <is>
          <t>INE0LEZ01016</t>
        </is>
      </c>
      <c r="B182" s="16" t="inlineStr">
        <is>
          <t>ATHERENERG</t>
        </is>
      </c>
      <c r="C182" s="16" t="inlineStr">
        <is>
          <t>Ather Energy Ltd.</t>
        </is>
      </c>
      <c r="D182" s="16" t="inlineStr">
        <is>
          <t>2/3 Wheelers</t>
        </is>
      </c>
      <c r="E182" s="16" t="inlineStr">
        <is>
          <t>Automobiles &amp; Auto Components</t>
        </is>
      </c>
      <c r="F182" s="17" t="n">
        <v>62822.04</v>
      </c>
      <c r="G182" s="16" t="inlineStr">
        <is>
          <t>ATHERENERG</t>
        </is>
      </c>
      <c r="H182" s="16" t="inlineStr">
        <is>
          <t>544397</t>
        </is>
      </c>
      <c r="I182" s="27">
        <f>IFERROR(IF(INDEX(Stocks!$G$2:$G$2139,MATCH(A182,Stocks!$E$2:$E$2139,0))="","No","Yes"),"No")</f>
        <v/>
      </c>
    </row>
    <row r="183">
      <c r="A183" s="16" t="inlineStr">
        <is>
          <t>INE018E01016</t>
        </is>
      </c>
      <c r="B183" s="16" t="inlineStr">
        <is>
          <t>SBICARD</t>
        </is>
      </c>
      <c r="C183" s="16" t="inlineStr">
        <is>
          <t>SBI Cards and Payment Services Ltd.</t>
        </is>
      </c>
      <c r="D183" s="16" t="inlineStr">
        <is>
          <t>Finance (including NBFCs)</t>
        </is>
      </c>
      <c r="E183" s="16" t="inlineStr">
        <is>
          <t>Banking and Finance</t>
        </is>
      </c>
      <c r="F183" s="17" t="n">
        <v>62641.91</v>
      </c>
      <c r="G183" s="16" t="inlineStr">
        <is>
          <t>SBICARD</t>
        </is>
      </c>
      <c r="H183" s="16" t="inlineStr">
        <is>
          <t>543066</t>
        </is>
      </c>
      <c r="I183" s="27">
        <f>IFERROR(IF(INDEX(Stocks!$G$2:$G$2139,MATCH(A183,Stocks!$E$2:$E$2139,0))="","No","Yes"),"No")</f>
        <v/>
      </c>
    </row>
    <row r="184">
      <c r="A184" s="16" t="inlineStr">
        <is>
          <t>INE702C01027</t>
        </is>
      </c>
      <c r="B184" s="16" t="inlineStr">
        <is>
          <t>APLAPOLLO</t>
        </is>
      </c>
      <c r="C184" s="16" t="inlineStr">
        <is>
          <t>APL Apollo Tubes Ltd.</t>
        </is>
      </c>
      <c r="D184" s="16" t="inlineStr">
        <is>
          <t>Iron &amp; Steel Products</t>
        </is>
      </c>
      <c r="E184" s="16" t="inlineStr">
        <is>
          <t>Metals &amp; Mining</t>
        </is>
      </c>
      <c r="F184" s="17" t="n">
        <v>62473.14</v>
      </c>
      <c r="G184" s="16" t="inlineStr">
        <is>
          <t>APLAPOLLO</t>
        </is>
      </c>
      <c r="H184" s="16" t="inlineStr">
        <is>
          <t>533758</t>
        </is>
      </c>
      <c r="I184" s="27">
        <f>IFERROR(IF(INDEX(Stocks!$G$2:$G$2139,MATCH(A184,Stocks!$E$2:$E$2139,0))="","No","Yes"),"No")</f>
        <v/>
      </c>
    </row>
    <row r="185">
      <c r="A185" s="16" t="inlineStr">
        <is>
          <t>INE338I01027</t>
        </is>
      </c>
      <c r="B185" s="16" t="inlineStr">
        <is>
          <t>MOTILALOFS</t>
        </is>
      </c>
      <c r="C185" s="16" t="inlineStr">
        <is>
          <t>Motilal Oswal Financial Services Ltd.</t>
        </is>
      </c>
      <c r="D185" s="16" t="inlineStr">
        <is>
          <t>Capital Markets</t>
        </is>
      </c>
      <c r="E185" s="16" t="inlineStr">
        <is>
          <t>Banking and Finance</t>
        </is>
      </c>
      <c r="F185" s="17" t="n">
        <v>62460.92</v>
      </c>
      <c r="G185" s="16" t="inlineStr">
        <is>
          <t>MOTILALOFS</t>
        </is>
      </c>
      <c r="H185" s="16" t="inlineStr">
        <is>
          <t>532892</t>
        </is>
      </c>
      <c r="I185" s="27">
        <f>IFERROR(IF(INDEX(Stocks!$G$2:$G$2139,MATCH(A185,Stocks!$E$2:$E$2139,0))="","No","Yes"),"No")</f>
        <v/>
      </c>
    </row>
    <row r="186">
      <c r="A186" s="16" t="inlineStr">
        <is>
          <t>INE040H01021</t>
        </is>
      </c>
      <c r="B186" s="16" t="inlineStr">
        <is>
          <t>SUZLON</t>
        </is>
      </c>
      <c r="C186" s="16" t="inlineStr">
        <is>
          <t>Suzlon Energy Ltd.</t>
        </is>
      </c>
      <c r="D186" s="16" t="inlineStr">
        <is>
          <t>Heavy Electrical Equipment</t>
        </is>
      </c>
      <c r="E186" s="16" t="inlineStr">
        <is>
          <t>General Industrials</t>
        </is>
      </c>
      <c r="F186" s="17" t="n">
        <v>62336.46</v>
      </c>
      <c r="G186" s="16" t="inlineStr">
        <is>
          <t>SUZLON</t>
        </is>
      </c>
      <c r="H186" s="16" t="inlineStr">
        <is>
          <t>532667</t>
        </is>
      </c>
      <c r="I186" s="27">
        <f>IFERROR(IF(INDEX(Stocks!$G$2:$G$2139,MATCH(A186,Stocks!$E$2:$E$2139,0))="","No","Yes"),"No")</f>
        <v/>
      </c>
    </row>
    <row r="187">
      <c r="A187" s="16" t="inlineStr">
        <is>
          <t>INE540L01014</t>
        </is>
      </c>
      <c r="B187" s="16" t="inlineStr">
        <is>
          <t>ALKEM</t>
        </is>
      </c>
      <c r="C187" s="16" t="inlineStr">
        <is>
          <t>Alkem Laboratories Ltd.</t>
        </is>
      </c>
      <c r="D187" s="16" t="inlineStr">
        <is>
          <t>Pharmaceuticals</t>
        </is>
      </c>
      <c r="E187" s="16" t="inlineStr">
        <is>
          <t>Pharmaceuticals &amp; Biotechnology</t>
        </is>
      </c>
      <c r="F187" s="17" t="n">
        <v>62054.24</v>
      </c>
      <c r="G187" s="16" t="inlineStr">
        <is>
          <t>ALKEM</t>
        </is>
      </c>
      <c r="H187" s="16" t="inlineStr">
        <is>
          <t>539523</t>
        </is>
      </c>
      <c r="I187" s="27">
        <f>IFERROR(IF(INDEX(Stocks!$G$2:$G$2139,MATCH(A187,Stocks!$E$2:$E$2139,0))="","No","Yes"),"No")</f>
        <v/>
      </c>
    </row>
    <row r="188">
      <c r="A188" s="16" t="inlineStr">
        <is>
          <t>INE303R01014</t>
        </is>
      </c>
      <c r="B188" s="16" t="inlineStr">
        <is>
          <t>KALYANKJIL</t>
        </is>
      </c>
      <c r="C188" s="16" t="inlineStr">
        <is>
          <t>Kalyan Jewellers India Ltd.</t>
        </is>
      </c>
      <c r="D188" s="16" t="inlineStr">
        <is>
          <t>Gems &amp; Jewellery</t>
        </is>
      </c>
      <c r="E188" s="16" t="inlineStr">
        <is>
          <t>Textiles Apparels &amp; Accessories</t>
        </is>
      </c>
      <c r="F188" s="17" t="n">
        <v>61841.13</v>
      </c>
      <c r="G188" s="16" t="inlineStr">
        <is>
          <t>KALYANKJIL</t>
        </is>
      </c>
      <c r="H188" s="16" t="inlineStr">
        <is>
          <t>543278</t>
        </is>
      </c>
      <c r="I188" s="27">
        <f>IFERROR(IF(INDEX(Stocks!$G$2:$G$2139,MATCH(A188,Stocks!$E$2:$E$2139,0))="","No","Yes"),"No")</f>
        <v/>
      </c>
    </row>
    <row r="189">
      <c r="A189" s="16" t="inlineStr">
        <is>
          <t>INE513A01022</t>
        </is>
      </c>
      <c r="B189" s="16" t="inlineStr">
        <is>
          <t>SCHAEFFLER</t>
        </is>
      </c>
      <c r="C189" s="16" t="inlineStr">
        <is>
          <t>Schaeffler India Ltd.</t>
        </is>
      </c>
      <c r="D189" s="16" t="inlineStr">
        <is>
          <t>Abrasives &amp; Bearings</t>
        </is>
      </c>
      <c r="E189" s="16" t="inlineStr">
        <is>
          <t>General Industrials</t>
        </is>
      </c>
      <c r="F189" s="17" t="n">
        <v>61840</v>
      </c>
      <c r="G189" s="16" t="inlineStr">
        <is>
          <t>SCHAEFFLER</t>
        </is>
      </c>
      <c r="H189" s="16" t="inlineStr">
        <is>
          <t>505790</t>
        </is>
      </c>
      <c r="I189" s="27">
        <f>IFERROR(IF(INDEX(Stocks!$G$2:$G$2139,MATCH(A189,Stocks!$E$2:$E$2139,0))="","No","Yes"),"No")</f>
        <v/>
      </c>
    </row>
    <row r="190">
      <c r="A190" s="16" t="inlineStr">
        <is>
          <t>INE220G01021</t>
        </is>
      </c>
      <c r="B190" s="16" t="inlineStr">
        <is>
          <t>JSL</t>
        </is>
      </c>
      <c r="C190" s="16" t="inlineStr">
        <is>
          <t>Jindal Stainless Ltd.</t>
        </is>
      </c>
      <c r="D190" s="16" t="inlineStr">
        <is>
          <t>Iron &amp; Steel/Interm.Products</t>
        </is>
      </c>
      <c r="E190" s="16" t="inlineStr">
        <is>
          <t>Metals &amp; Mining</t>
        </is>
      </c>
      <c r="F190" s="17" t="n">
        <v>60829.8</v>
      </c>
      <c r="G190" s="16" t="inlineStr">
        <is>
          <t>JSL</t>
        </is>
      </c>
      <c r="H190" s="16" t="inlineStr">
        <is>
          <t>532508</t>
        </is>
      </c>
      <c r="I190" s="27">
        <f>IFERROR(IF(INDEX(Stocks!$G$2:$G$2139,MATCH(A190,Stocks!$E$2:$E$2139,0))="","No","Yes"),"No")</f>
        <v/>
      </c>
    </row>
    <row r="191">
      <c r="A191" s="16" t="inlineStr">
        <is>
          <t>INE944F01028</t>
        </is>
      </c>
      <c r="B191" s="16" t="inlineStr">
        <is>
          <t>RADICO</t>
        </is>
      </c>
      <c r="C191" s="16" t="inlineStr">
        <is>
          <t>Radico Khaitan Ltd.</t>
        </is>
      </c>
      <c r="D191" s="16" t="inlineStr">
        <is>
          <t>Breweries &amp; Distilleries</t>
        </is>
      </c>
      <c r="E191" s="16" t="inlineStr">
        <is>
          <t>Food, Beverages &amp; Tobacco</t>
        </is>
      </c>
      <c r="F191" s="17" t="n">
        <v>60211.69</v>
      </c>
      <c r="G191" s="16" t="inlineStr">
        <is>
          <t>RADICO</t>
        </is>
      </c>
      <c r="H191" s="16" t="inlineStr">
        <is>
          <t>532497</t>
        </is>
      </c>
      <c r="I191" s="27">
        <f>IFERROR(IF(INDEX(Stocks!$G$2:$G$2139,MATCH(A191,Stocks!$E$2:$E$2139,0))="","No","Yes"),"No")</f>
        <v/>
      </c>
    </row>
    <row r="192">
      <c r="A192" s="16" t="inlineStr">
        <is>
          <t>INE484J01027</t>
        </is>
      </c>
      <c r="B192" s="16" t="inlineStr">
        <is>
          <t>GODREJPROP</t>
        </is>
      </c>
      <c r="C192" s="16" t="inlineStr">
        <is>
          <t>Godrej Properties Ltd.</t>
        </is>
      </c>
      <c r="D192" s="16" t="inlineStr">
        <is>
          <t>Realty</t>
        </is>
      </c>
      <c r="E192" s="16" t="inlineStr">
        <is>
          <t>Realty</t>
        </is>
      </c>
      <c r="F192" s="17" t="n">
        <v>59703.09</v>
      </c>
      <c r="G192" s="16" t="inlineStr">
        <is>
          <t>GODREJPROP</t>
        </is>
      </c>
      <c r="H192" s="16" t="inlineStr">
        <is>
          <t>533150</t>
        </is>
      </c>
      <c r="I192" s="27">
        <f>IFERROR(IF(INDEX(Stocks!$G$2:$G$2139,MATCH(A192,Stocks!$E$2:$E$2139,0))="","No","Yes"),"No")</f>
        <v/>
      </c>
    </row>
    <row r="193">
      <c r="A193" s="16" t="inlineStr">
        <is>
          <t>INE169A01031</t>
        </is>
      </c>
      <c r="B193" s="16" t="inlineStr">
        <is>
          <t>COROMANDEL</t>
        </is>
      </c>
      <c r="C193" s="16" t="inlineStr">
        <is>
          <t>Coromandel International Ltd.</t>
        </is>
      </c>
      <c r="D193" s="16" t="inlineStr">
        <is>
          <t>Fertilizers</t>
        </is>
      </c>
      <c r="E193" s="16" t="inlineStr">
        <is>
          <t>Fertilizers</t>
        </is>
      </c>
      <c r="F193" s="17" t="n">
        <v>57206.41</v>
      </c>
      <c r="G193" s="16" t="inlineStr">
        <is>
          <t>COROMANDEL</t>
        </is>
      </c>
      <c r="H193" s="16" t="inlineStr">
        <is>
          <t>506395</t>
        </is>
      </c>
      <c r="I193" s="27">
        <f>IFERROR(IF(INDEX(Stocks!$G$2:$G$2139,MATCH(A193,Stocks!$E$2:$E$2139,0))="","No","Yes"),"No")</f>
        <v/>
      </c>
    </row>
    <row r="194">
      <c r="A194" s="16" t="inlineStr">
        <is>
          <t>INE756I01012</t>
        </is>
      </c>
      <c r="B194" s="16" t="inlineStr">
        <is>
          <t>HDBFS</t>
        </is>
      </c>
      <c r="C194" s="16" t="inlineStr">
        <is>
          <t>HDB Financial Services Ltd.</t>
        </is>
      </c>
      <c r="D194" s="16" t="inlineStr">
        <is>
          <t>Finance (including NBFCs)</t>
        </is>
      </c>
      <c r="E194" s="16" t="inlineStr">
        <is>
          <t>Banking and Finance</t>
        </is>
      </c>
      <c r="F194" s="17" t="n">
        <v>56716.32</v>
      </c>
      <c r="G194" s="16" t="inlineStr">
        <is>
          <t>HDBFS</t>
        </is>
      </c>
      <c r="H194" s="16" t="inlineStr">
        <is>
          <t>544429</t>
        </is>
      </c>
      <c r="I194" s="27">
        <f>IFERROR(IF(INDEX(Stocks!$G$2:$G$2139,MATCH(A194,Stocks!$E$2:$E$2139,0))="","No","Yes"),"No")</f>
        <v/>
      </c>
    </row>
    <row r="195">
      <c r="A195" s="16" t="inlineStr">
        <is>
          <t>INE463A01038</t>
        </is>
      </c>
      <c r="B195" s="16" t="inlineStr">
        <is>
          <t>BERGEPAINT</t>
        </is>
      </c>
      <c r="C195" s="16" t="inlineStr">
        <is>
          <t>Berger Paints (India) Ltd.</t>
        </is>
      </c>
      <c r="D195" s="16" t="inlineStr">
        <is>
          <t>Paints</t>
        </is>
      </c>
      <c r="E195" s="16" t="inlineStr">
        <is>
          <t>Consumer Durables</t>
        </is>
      </c>
      <c r="F195" s="17" t="n">
        <v>56580.87</v>
      </c>
      <c r="G195" s="16" t="inlineStr">
        <is>
          <t>BERGEPAINT</t>
        </is>
      </c>
      <c r="H195" s="16" t="inlineStr">
        <is>
          <t>509480</t>
        </is>
      </c>
      <c r="I195" s="27">
        <f>IFERROR(IF(INDEX(Stocks!$G$2:$G$2139,MATCH(A195,Stocks!$E$2:$E$2139,0))="","No","Yes"),"No")</f>
        <v/>
      </c>
    </row>
    <row r="196">
      <c r="A196" s="16" t="inlineStr">
        <is>
          <t>INE358A01014</t>
        </is>
      </c>
      <c r="B196" s="16" t="inlineStr">
        <is>
          <t>ABBOTINDIA</t>
        </is>
      </c>
      <c r="C196" s="16" t="inlineStr">
        <is>
          <t>Abbott India Ltd.</t>
        </is>
      </c>
      <c r="D196" s="16" t="inlineStr">
        <is>
          <t>Pharmaceuticals</t>
        </is>
      </c>
      <c r="E196" s="16" t="inlineStr">
        <is>
          <t>Pharmaceuticals &amp; Biotechnology</t>
        </is>
      </c>
      <c r="F196" s="17" t="n">
        <v>55386.3</v>
      </c>
      <c r="G196" s="16" t="inlineStr">
        <is>
          <t>ABBOTINDIA</t>
        </is>
      </c>
      <c r="H196" s="16" t="inlineStr">
        <is>
          <t>500488</t>
        </is>
      </c>
      <c r="I196" s="27">
        <f>IFERROR(IF(INDEX(Stocks!$G$2:$G$2139,MATCH(A196,Stocks!$E$2:$E$2139,0))="","No","Yes"),"No")</f>
        <v/>
      </c>
    </row>
    <row r="197">
      <c r="A197" s="16" t="inlineStr">
        <is>
          <t>INE883A01011</t>
        </is>
      </c>
      <c r="B197" s="16" t="inlineStr">
        <is>
          <t>MRF</t>
        </is>
      </c>
      <c r="C197" s="16" t="inlineStr">
        <is>
          <t>MRF Ltd.</t>
        </is>
      </c>
      <c r="D197" s="16" t="inlineStr">
        <is>
          <t>Auto Tyres &amp; Rubber Products</t>
        </is>
      </c>
      <c r="E197" s="16" t="inlineStr">
        <is>
          <t>Automobiles &amp; Auto Components</t>
        </is>
      </c>
      <c r="F197" s="17" t="n">
        <v>55110.97</v>
      </c>
      <c r="G197" s="16" t="inlineStr">
        <is>
          <t>MRF</t>
        </is>
      </c>
      <c r="H197" s="16" t="inlineStr">
        <is>
          <t>500290</t>
        </is>
      </c>
      <c r="I197" s="27">
        <f>IFERROR(IF(INDEX(Stocks!$G$2:$G$2139,MATCH(A197,Stocks!$E$2:$E$2139,0))="","No","Yes"),"No")</f>
        <v/>
      </c>
    </row>
    <row r="198">
      <c r="A198" s="16" t="inlineStr">
        <is>
          <t>INE473A01011</t>
        </is>
      </c>
      <c r="B198" s="16" t="inlineStr">
        <is>
          <t>LINDEINDIA</t>
        </is>
      </c>
      <c r="C198" s="16" t="inlineStr">
        <is>
          <t>Linde India Ltd.</t>
        </is>
      </c>
      <c r="D198" s="16" t="inlineStr">
        <is>
          <t>Industrial Gases</t>
        </is>
      </c>
      <c r="E198" s="16" t="inlineStr">
        <is>
          <t>General Industrials</t>
        </is>
      </c>
      <c r="F198" s="17" t="n">
        <v>54121.35</v>
      </c>
      <c r="G198" s="16" t="inlineStr">
        <is>
          <t>LINDEINDIA</t>
        </is>
      </c>
      <c r="H198" s="16" t="inlineStr">
        <is>
          <t>523457</t>
        </is>
      </c>
      <c r="I198" s="27">
        <f>IFERROR(IF(INDEX(Stocks!$G$2:$G$2139,MATCH(A198,Stocks!$E$2:$E$2139,0))="","No","Yes"),"No")</f>
        <v/>
      </c>
    </row>
    <row r="199">
      <c r="A199" s="16" t="inlineStr">
        <is>
          <t>INE180A01020</t>
        </is>
      </c>
      <c r="B199" s="16" t="inlineStr">
        <is>
          <t>MFSL</t>
        </is>
      </c>
      <c r="C199" s="16" t="inlineStr">
        <is>
          <t>Max Financial Services Ltd.</t>
        </is>
      </c>
      <c r="D199" s="16" t="inlineStr">
        <is>
          <t>Life Insurance</t>
        </is>
      </c>
      <c r="E199" s="16" t="inlineStr">
        <is>
          <t>Banking and Finance</t>
        </is>
      </c>
      <c r="F199" s="17" t="n">
        <v>53437.58</v>
      </c>
      <c r="G199" s="16" t="inlineStr">
        <is>
          <t>MFSL</t>
        </is>
      </c>
      <c r="H199" s="16" t="inlineStr">
        <is>
          <t>500271</t>
        </is>
      </c>
      <c r="I199" s="27">
        <f>IFERROR(IF(INDEX(Stocks!$G$2:$G$2139,MATCH(A199,Stocks!$E$2:$E$2139,0))="","No","Yes"),"No")</f>
        <v/>
      </c>
    </row>
    <row r="200">
      <c r="A200" s="16" t="inlineStr">
        <is>
          <t>INE202B01038</t>
        </is>
      </c>
      <c r="B200" s="16" t="inlineStr">
        <is>
          <t>PIRAMALFIN</t>
        </is>
      </c>
      <c r="C200" s="16" t="inlineStr">
        <is>
          <t>Piramal Finance Ltd.</t>
        </is>
      </c>
      <c r="D200" s="16" t="inlineStr">
        <is>
          <t>Finance (including NBFCs)</t>
        </is>
      </c>
      <c r="E200" s="16" t="inlineStr">
        <is>
          <t>Banking and Finance</t>
        </is>
      </c>
      <c r="F200" s="17" t="n">
        <v>52650.24</v>
      </c>
      <c r="G200" s="16" t="inlineStr">
        <is>
          <t>PIRAMALFIN</t>
        </is>
      </c>
      <c r="H200" s="16" t="inlineStr">
        <is>
          <t>544597</t>
        </is>
      </c>
      <c r="I200" s="27">
        <f>IFERROR(IF(INDEX(Stocks!$G$2:$G$2139,MATCH(A200,Stocks!$E$2:$E$2139,0))="","No","Yes"),"No")</f>
        <v/>
      </c>
    </row>
    <row r="201">
      <c r="A201" s="16" t="inlineStr">
        <is>
          <t>INE0CZ201020</t>
        </is>
      </c>
      <c r="B201" s="16" t="inlineStr">
        <is>
          <t>ANTHEM</t>
        </is>
      </c>
      <c r="C201" s="16" t="inlineStr">
        <is>
          <t>Anthem Biosciences Ltd.</t>
        </is>
      </c>
      <c r="D201" s="16" t="inlineStr">
        <is>
          <t>Pharmaceuticals</t>
        </is>
      </c>
      <c r="E201" s="16" t="inlineStr">
        <is>
          <t>Pharmaceuticals &amp; Biotechnology</t>
        </is>
      </c>
      <c r="F201" s="17" t="n">
        <v>52605.24</v>
      </c>
      <c r="G201" s="16" t="inlineStr">
        <is>
          <t>ANTHEM</t>
        </is>
      </c>
      <c r="H201" s="16" t="inlineStr">
        <is>
          <t>544449</t>
        </is>
      </c>
      <c r="I201" s="27">
        <f>IFERROR(IF(INDEX(Stocks!$G$2:$G$2139,MATCH(A201,Stocks!$E$2:$E$2139,0))="","No","Yes"),"No")</f>
        <v/>
      </c>
    </row>
    <row r="202">
      <c r="A202" s="16" t="inlineStr">
        <is>
          <t>INE974X01010</t>
        </is>
      </c>
      <c r="B202" s="16" t="inlineStr">
        <is>
          <t>TIINDIA</t>
        </is>
      </c>
      <c r="C202" s="16" t="inlineStr">
        <is>
          <t>Tube Investments of India Ltd.</t>
        </is>
      </c>
      <c r="D202" s="16" t="inlineStr">
        <is>
          <t>Auto Parts &amp; Equipment</t>
        </is>
      </c>
      <c r="E202" s="16" t="inlineStr">
        <is>
          <t>Automobiles &amp; Auto Components</t>
        </is>
      </c>
      <c r="F202" s="17" t="n">
        <v>52225.81</v>
      </c>
      <c r="G202" s="16" t="inlineStr">
        <is>
          <t>TIINDIA</t>
        </is>
      </c>
      <c r="H202" s="16" t="inlineStr">
        <is>
          <t>540762</t>
        </is>
      </c>
      <c r="I202" s="27">
        <f>IFERROR(IF(INDEX(Stocks!$G$2:$G$2139,MATCH(A202,Stocks!$E$2:$E$2139,0))="","No","Yes"),"No")</f>
        <v/>
      </c>
    </row>
    <row r="203">
      <c r="A203" s="16" t="inlineStr">
        <is>
          <t>INE774D01024</t>
        </is>
      </c>
      <c r="B203" s="16" t="inlineStr">
        <is>
          <t>M&amp;MFIN</t>
        </is>
      </c>
      <c r="C203" s="16" t="inlineStr">
        <is>
          <t>Mahindra &amp; Mahindra Financial Services Ltd.</t>
        </is>
      </c>
      <c r="D203" s="16" t="inlineStr">
        <is>
          <t>Finance (including NBFCs)</t>
        </is>
      </c>
      <c r="E203" s="16" t="inlineStr">
        <is>
          <t>Banking and Finance</t>
        </is>
      </c>
      <c r="F203" s="17" t="n">
        <v>51936.27</v>
      </c>
      <c r="G203" s="16" t="inlineStr">
        <is>
          <t>M&amp;MFIN</t>
        </is>
      </c>
      <c r="H203" s="16" t="inlineStr">
        <is>
          <t>532720</t>
        </is>
      </c>
      <c r="I203" s="27">
        <f>IFERROR(IF(INDEX(Stocks!$G$2:$G$2139,MATCH(A203,Stocks!$E$2:$E$2139,0))="","No","Yes"),"No")</f>
        <v/>
      </c>
    </row>
    <row r="204">
      <c r="A204" s="16" t="inlineStr">
        <is>
          <t>INE188A01015</t>
        </is>
      </c>
      <c r="B204" s="16" t="inlineStr">
        <is>
          <t>FACT</t>
        </is>
      </c>
      <c r="C204" s="16" t="inlineStr">
        <is>
          <t>The Fertilisers and Chemicals Travancore Ltd.</t>
        </is>
      </c>
      <c r="D204" s="16" t="inlineStr">
        <is>
          <t>Fertilizers</t>
        </is>
      </c>
      <c r="E204" s="16" t="inlineStr">
        <is>
          <t>Fertilizers</t>
        </is>
      </c>
      <c r="F204" s="17" t="n">
        <v>51856.35</v>
      </c>
      <c r="G204" s="16" t="inlineStr">
        <is>
          <t>FACT</t>
        </is>
      </c>
      <c r="H204" s="16" t="inlineStr">
        <is>
          <t>590024</t>
        </is>
      </c>
      <c r="I204" s="27">
        <f>IFERROR(IF(INDEX(Stocks!$G$2:$G$2139,MATCH(A204,Stocks!$E$2:$E$2139,0))="","No","Yes"),"No")</f>
        <v/>
      </c>
    </row>
    <row r="205">
      <c r="A205" s="16" t="inlineStr">
        <is>
          <t>INE660A01013</t>
        </is>
      </c>
      <c r="B205" s="16" t="inlineStr">
        <is>
          <t>SUNDARMFIN</t>
        </is>
      </c>
      <c r="C205" s="16" t="inlineStr">
        <is>
          <t>Sundaram Finance Ltd.</t>
        </is>
      </c>
      <c r="D205" s="16" t="inlineStr">
        <is>
          <t>Finance (including NBFCs)</t>
        </is>
      </c>
      <c r="E205" s="16" t="inlineStr">
        <is>
          <t>Banking and Finance</t>
        </is>
      </c>
      <c r="F205" s="17" t="n">
        <v>51648.87</v>
      </c>
      <c r="G205" s="16" t="inlineStr">
        <is>
          <t>SUNDARMFIN</t>
        </is>
      </c>
      <c r="H205" s="16" t="inlineStr">
        <is>
          <t>590071</t>
        </is>
      </c>
      <c r="I205" s="27">
        <f>IFERROR(IF(INDEX(Stocks!$G$2:$G$2139,MATCH(A205,Stocks!$E$2:$E$2139,0))="","No","Yes"),"No")</f>
        <v/>
      </c>
    </row>
    <row r="206">
      <c r="A206" s="16" t="inlineStr">
        <is>
          <t>INE531E01026</t>
        </is>
      </c>
      <c r="B206" s="16" t="inlineStr">
        <is>
          <t>HINDCOPPER</t>
        </is>
      </c>
      <c r="C206" s="16" t="inlineStr">
        <is>
          <t>Hindustan Copper Ltd.</t>
        </is>
      </c>
      <c r="D206" s="16" t="inlineStr">
        <is>
          <t>Copper</t>
        </is>
      </c>
      <c r="E206" s="16" t="inlineStr">
        <is>
          <t>Metals &amp; Mining</t>
        </is>
      </c>
      <c r="F206" s="17" t="n">
        <v>50444.81</v>
      </c>
      <c r="G206" s="16" t="inlineStr">
        <is>
          <t>HINDCOPPER</t>
        </is>
      </c>
      <c r="H206" s="16" t="inlineStr">
        <is>
          <t>513599</t>
        </is>
      </c>
      <c r="I206" s="27">
        <f>IFERROR(IF(INDEX(Stocks!$G$2:$G$2139,MATCH(A206,Stocks!$E$2:$E$2139,0))="","No","Yes"),"No")</f>
        <v/>
      </c>
    </row>
    <row r="207">
      <c r="A207" s="16" t="inlineStr">
        <is>
          <t>INE159A01016</t>
        </is>
      </c>
      <c r="B207" s="16" t="inlineStr">
        <is>
          <t>GLAXO</t>
        </is>
      </c>
      <c r="C207" s="16" t="inlineStr">
        <is>
          <t>GlaxoSmithKline Pharmaceuticals Ltd.</t>
        </is>
      </c>
      <c r="D207" s="16" t="inlineStr">
        <is>
          <t>Pharmaceuticals</t>
        </is>
      </c>
      <c r="E207" s="16" t="inlineStr">
        <is>
          <t>Pharmaceuticals &amp; Biotechnology</t>
        </is>
      </c>
      <c r="F207" s="17" t="n">
        <v>50111.99</v>
      </c>
      <c r="G207" s="16" t="inlineStr">
        <is>
          <t>GLAXO</t>
        </is>
      </c>
      <c r="H207" s="16" t="inlineStr">
        <is>
          <t>500660</t>
        </is>
      </c>
      <c r="I207" s="27">
        <f>IFERROR(IF(INDEX(Stocks!$G$2:$G$2139,MATCH(A207,Stocks!$E$2:$E$2139,0))="","No","Yes"),"No")</f>
        <v/>
      </c>
    </row>
    <row r="208">
      <c r="A208" s="16" t="inlineStr">
        <is>
          <t>INE151A01013</t>
        </is>
      </c>
      <c r="B208" s="16" t="inlineStr">
        <is>
          <t>TATACOMM</t>
        </is>
      </c>
      <c r="C208" s="16" t="inlineStr">
        <is>
          <t>Tata Communications Ltd.</t>
        </is>
      </c>
      <c r="D208" s="16" t="inlineStr">
        <is>
          <t>Other Telecom Services</t>
        </is>
      </c>
      <c r="E208" s="16" t="inlineStr">
        <is>
          <t>Telecom Services</t>
        </is>
      </c>
      <c r="F208" s="17" t="n">
        <v>50063.88</v>
      </c>
      <c r="G208" s="16" t="inlineStr">
        <is>
          <t>TATACOMM</t>
        </is>
      </c>
      <c r="H208" s="16" t="inlineStr">
        <is>
          <t>500483</t>
        </is>
      </c>
      <c r="I208" s="27">
        <f>IFERROR(IF(INDEX(Stocks!$G$2:$G$2139,MATCH(A208,Stocks!$E$2:$E$2139,0))="","No","Yes"),"No")</f>
        <v/>
      </c>
    </row>
    <row r="209">
      <c r="A209" s="16" t="inlineStr">
        <is>
          <t>INE09N301011</t>
        </is>
      </c>
      <c r="B209" s="16" t="inlineStr">
        <is>
          <t>FLUOROCHEM</t>
        </is>
      </c>
      <c r="C209" s="16" t="inlineStr">
        <is>
          <t>Gujarat Fluorochemicals Ltd.</t>
        </is>
      </c>
      <c r="D209" s="16" t="inlineStr">
        <is>
          <t>Specialty Chemicals</t>
        </is>
      </c>
      <c r="E209" s="16" t="inlineStr">
        <is>
          <t>Chemicals &amp; Petrochemicals</t>
        </is>
      </c>
      <c r="F209" s="17" t="n">
        <v>50025.69</v>
      </c>
      <c r="G209" s="16" t="inlineStr">
        <is>
          <t>FLUOROCHEM</t>
        </is>
      </c>
      <c r="H209" s="16" t="inlineStr">
        <is>
          <t>542812</t>
        </is>
      </c>
      <c r="I209" s="27">
        <f>IFERROR(IF(INDEX(Stocks!$G$2:$G$2139,MATCH(A209,Stocks!$E$2:$E$2139,0))="","No","Yes"),"No")</f>
        <v/>
      </c>
    </row>
    <row r="210">
      <c r="A210" s="16" t="inlineStr">
        <is>
          <t>INE571A01038</t>
        </is>
      </c>
      <c r="B210" s="16" t="inlineStr">
        <is>
          <t>IPCALAB</t>
        </is>
      </c>
      <c r="C210" s="16" t="inlineStr">
        <is>
          <t>Ipca Laboratories Ltd.</t>
        </is>
      </c>
      <c r="D210" s="16" t="inlineStr">
        <is>
          <t>Pharmaceuticals</t>
        </is>
      </c>
      <c r="E210" s="16" t="inlineStr">
        <is>
          <t>Pharmaceuticals &amp; Biotechnology</t>
        </is>
      </c>
      <c r="F210" s="17" t="n">
        <v>49860.49</v>
      </c>
      <c r="G210" s="16" t="inlineStr">
        <is>
          <t>IPCALAB</t>
        </is>
      </c>
      <c r="H210" s="16" t="inlineStr">
        <is>
          <t>524494</t>
        </is>
      </c>
      <c r="I210" s="27">
        <f>IFERROR(IF(INDEX(Stocks!$G$2:$G$2139,MATCH(A210,Stocks!$E$2:$E$2139,0))="","No","Yes"),"No")</f>
        <v/>
      </c>
    </row>
    <row r="211">
      <c r="A211" s="16" t="inlineStr">
        <is>
          <t>INE259A01022</t>
        </is>
      </c>
      <c r="B211" s="16" t="inlineStr">
        <is>
          <t>COLPAL</t>
        </is>
      </c>
      <c r="C211" s="16" t="inlineStr">
        <is>
          <t>Colgate-Palmolive (India) Ltd.</t>
        </is>
      </c>
      <c r="D211" s="16" t="inlineStr">
        <is>
          <t>Personal Products</t>
        </is>
      </c>
      <c r="E211" s="16" t="inlineStr">
        <is>
          <t>FMCG</t>
        </is>
      </c>
      <c r="F211" s="17" t="n">
        <v>49751.61</v>
      </c>
      <c r="G211" s="16" t="inlineStr">
        <is>
          <t>COLPAL</t>
        </is>
      </c>
      <c r="H211" s="16" t="inlineStr">
        <is>
          <t>500830</t>
        </is>
      </c>
      <c r="I211" s="27">
        <f>IFERROR(IF(INDEX(Stocks!$G$2:$G$2139,MATCH(A211,Stocks!$E$2:$E$2139,0))="","No","Yes"),"No")</f>
        <v/>
      </c>
    </row>
    <row r="212">
      <c r="A212" s="16" t="inlineStr">
        <is>
          <t>INE01EA01019</t>
        </is>
      </c>
      <c r="B212" s="16" t="inlineStr">
        <is>
          <t>VMM</t>
        </is>
      </c>
      <c r="C212" s="16" t="inlineStr">
        <is>
          <t>Vishal Mega Mart Ltd.</t>
        </is>
      </c>
      <c r="D212" s="16" t="inlineStr">
        <is>
          <t>Department Stores</t>
        </is>
      </c>
      <c r="E212" s="16" t="inlineStr">
        <is>
          <t>Retailing</t>
        </is>
      </c>
      <c r="F212" s="17" t="n">
        <v>49724.56</v>
      </c>
      <c r="G212" s="16" t="inlineStr">
        <is>
          <t>VMM</t>
        </is>
      </c>
      <c r="H212" s="16" t="inlineStr">
        <is>
          <t>544307</t>
        </is>
      </c>
      <c r="I212" s="27">
        <f>IFERROR(IF(INDEX(Stocks!$G$2:$G$2139,MATCH(A212,Stocks!$E$2:$E$2139,0))="","No","Yes"),"No")</f>
        <v/>
      </c>
    </row>
    <row r="213">
      <c r="A213" s="16" t="inlineStr">
        <is>
          <t>INE073K01018</t>
        </is>
      </c>
      <c r="B213" s="16" t="inlineStr">
        <is>
          <t>SONACOMS</t>
        </is>
      </c>
      <c r="C213" s="16" t="inlineStr">
        <is>
          <t>Sona BLW Precision Forgings Ltd.</t>
        </is>
      </c>
      <c r="D213" s="16" t="inlineStr">
        <is>
          <t>Auto Parts &amp; Equipment</t>
        </is>
      </c>
      <c r="E213" s="16" t="inlineStr">
        <is>
          <t>Automobiles &amp; Auto Components</t>
        </is>
      </c>
      <c r="F213" s="17" t="n">
        <v>49243.73</v>
      </c>
      <c r="G213" s="16" t="inlineStr">
        <is>
          <t>SONACOMS</t>
        </is>
      </c>
      <c r="H213" s="16" t="inlineStr">
        <is>
          <t>543300</t>
        </is>
      </c>
      <c r="I213" s="27">
        <f>IFERROR(IF(INDEX(Stocks!$G$2:$G$2139,MATCH(A213,Stocks!$E$2:$E$2139,0))="","No","Yes"),"No")</f>
        <v/>
      </c>
    </row>
    <row r="214">
      <c r="A214" s="16" t="inlineStr">
        <is>
          <t>INE628A01036</t>
        </is>
      </c>
      <c r="B214" s="16" t="inlineStr">
        <is>
          <t>UPL</t>
        </is>
      </c>
      <c r="C214" s="16" t="inlineStr">
        <is>
          <t>UPL Ltd.</t>
        </is>
      </c>
      <c r="D214" s="16" t="inlineStr">
        <is>
          <t>Agrochemicals</t>
        </is>
      </c>
      <c r="E214" s="16" t="inlineStr">
        <is>
          <t>Chemicals &amp; Petrochemicals</t>
        </is>
      </c>
      <c r="F214" s="17" t="n">
        <v>49143.32</v>
      </c>
      <c r="G214" s="16" t="inlineStr">
        <is>
          <t>UPL</t>
        </is>
      </c>
      <c r="H214" s="16" t="inlineStr">
        <is>
          <t>512070</t>
        </is>
      </c>
      <c r="I214" s="27">
        <f>IFERROR(IF(INDEX(Stocks!$G$2:$G$2139,MATCH(A214,Stocks!$E$2:$E$2139,0))="","No","Yes"),"No")</f>
        <v/>
      </c>
    </row>
    <row r="215">
      <c r="A215" s="16" t="inlineStr">
        <is>
          <t>INE068V01023</t>
        </is>
      </c>
      <c r="B215" s="16" t="inlineStr">
        <is>
          <t>GLAND</t>
        </is>
      </c>
      <c r="C215" s="16" t="inlineStr">
        <is>
          <t>Gland Pharma Ltd.</t>
        </is>
      </c>
      <c r="D215" s="16" t="inlineStr">
        <is>
          <t>Pharmaceuticals</t>
        </is>
      </c>
      <c r="E215" s="16" t="inlineStr">
        <is>
          <t>Pharmaceuticals &amp; Biotechnology</t>
        </is>
      </c>
      <c r="F215" s="17" t="n">
        <v>48374.84</v>
      </c>
      <c r="G215" s="16" t="inlineStr">
        <is>
          <t>GLAND</t>
        </is>
      </c>
      <c r="H215" s="16" t="inlineStr">
        <is>
          <t>543245</t>
        </is>
      </c>
      <c r="I215" s="27">
        <f>IFERROR(IF(INDEX(Stocks!$G$2:$G$2139,MATCH(A215,Stocks!$E$2:$E$2139,0))="","No","Yes"),"No")</f>
        <v/>
      </c>
    </row>
    <row r="216">
      <c r="A216" s="16" t="inlineStr">
        <is>
          <t>INE084101034</t>
        </is>
      </c>
      <c r="B216" s="16" t="inlineStr">
        <is>
          <t>INDOMIM</t>
        </is>
      </c>
      <c r="C216" s="16" t="inlineStr">
        <is>
          <t>Indo-MIM Ltd.</t>
        </is>
      </c>
      <c r="D216" s="16" t="inlineStr">
        <is>
          <t>Castings &amp; Forgings</t>
        </is>
      </c>
      <c r="E216" s="16" t="inlineStr">
        <is>
          <t>General Industrials</t>
        </is>
      </c>
      <c r="F216" s="17" t="n">
        <v>48038.82</v>
      </c>
      <c r="G216" s="16" t="inlineStr">
        <is>
          <t>INDOMIM</t>
        </is>
      </c>
      <c r="H216" s="16" t="inlineStr">
        <is>
          <t>544837</t>
        </is>
      </c>
      <c r="I216" s="27">
        <f>IFERROR(IF(INDEX(Stocks!$G$2:$G$2139,MATCH(A216,Stocks!$E$2:$E$2139,0))="","No","Yes"),"No")</f>
        <v/>
      </c>
    </row>
    <row r="217">
      <c r="A217" s="16" t="inlineStr">
        <is>
          <t>INE878B01027</t>
        </is>
      </c>
      <c r="B217" s="16" t="inlineStr">
        <is>
          <t>KEI</t>
        </is>
      </c>
      <c r="C217" s="16" t="inlineStr">
        <is>
          <t>KEI Industries Ltd.</t>
        </is>
      </c>
      <c r="D217" s="16" t="inlineStr">
        <is>
          <t>Wires &amp; Cables</t>
        </is>
      </c>
      <c r="E217" s="16" t="inlineStr">
        <is>
          <t>Consumer Durables</t>
        </is>
      </c>
      <c r="F217" s="17" t="n">
        <v>46366.29</v>
      </c>
      <c r="G217" s="16" t="inlineStr">
        <is>
          <t>KEI</t>
        </is>
      </c>
      <c r="H217" s="16" t="inlineStr">
        <is>
          <t>517569</t>
        </is>
      </c>
      <c r="I217" s="27">
        <f>IFERROR(IF(INDEX(Stocks!$G$2:$G$2139,MATCH(A217,Stocks!$E$2:$E$2139,0))="","No","Yes"),"No")</f>
        <v/>
      </c>
    </row>
    <row r="218">
      <c r="A218" s="16" t="inlineStr">
        <is>
          <t>INE466L01038</t>
        </is>
      </c>
      <c r="B218" s="16" t="inlineStr">
        <is>
          <t>360ONE</t>
        </is>
      </c>
      <c r="C218" s="16" t="inlineStr">
        <is>
          <t>360 One Wam Ltd.</t>
        </is>
      </c>
      <c r="D218" s="16" t="inlineStr">
        <is>
          <t>Capital Markets</t>
        </is>
      </c>
      <c r="E218" s="16" t="inlineStr">
        <is>
          <t>Banking and Finance</t>
        </is>
      </c>
      <c r="F218" s="17" t="n">
        <v>46340.08</v>
      </c>
      <c r="G218" s="16" t="inlineStr">
        <is>
          <t>360ONE</t>
        </is>
      </c>
      <c r="H218" s="16" t="inlineStr">
        <is>
          <t>542772</t>
        </is>
      </c>
      <c r="I218" s="27">
        <f>IFERROR(IF(INDEX(Stocks!$G$2:$G$2139,MATCH(A218,Stocks!$E$2:$E$2139,0))="","No","Yes"),"No")</f>
        <v/>
      </c>
    </row>
    <row r="219">
      <c r="A219" s="16" t="inlineStr">
        <is>
          <t>INE356A01018</t>
        </is>
      </c>
      <c r="B219" s="16" t="inlineStr">
        <is>
          <t>MPHASIS</t>
        </is>
      </c>
      <c r="C219" s="16" t="inlineStr">
        <is>
          <t>Mphasis Ltd.</t>
        </is>
      </c>
      <c r="D219" s="16" t="inlineStr">
        <is>
          <t>IT Consulting &amp; Software</t>
        </is>
      </c>
      <c r="E219" s="16" t="inlineStr">
        <is>
          <t>Software &amp; Services</t>
        </is>
      </c>
      <c r="F219" s="17" t="n">
        <v>46036.6</v>
      </c>
      <c r="G219" s="16" t="inlineStr">
        <is>
          <t>MPHASIS</t>
        </is>
      </c>
      <c r="H219" s="16" t="inlineStr">
        <is>
          <t>526299</t>
        </is>
      </c>
      <c r="I219" s="27">
        <f>IFERROR(IF(INDEX(Stocks!$G$2:$G$2139,MATCH(A219,Stocks!$E$2:$E$2139,0))="","No","Yes"),"No")</f>
        <v/>
      </c>
    </row>
    <row r="220">
      <c r="A220" s="16" t="inlineStr">
        <is>
          <t>INE171Z01026</t>
        </is>
      </c>
      <c r="B220" s="16" t="inlineStr">
        <is>
          <t>BDL</t>
        </is>
      </c>
      <c r="C220" s="16" t="inlineStr">
        <is>
          <t>Bharat Dynamics Ltd.</t>
        </is>
      </c>
      <c r="D220" s="16" t="inlineStr">
        <is>
          <t>Aerospace &amp; Defence</t>
        </is>
      </c>
      <c r="E220" s="16" t="inlineStr">
        <is>
          <t>General Industrials</t>
        </is>
      </c>
      <c r="F220" s="17" t="n">
        <v>46003.59</v>
      </c>
      <c r="G220" s="16" t="inlineStr">
        <is>
          <t>BDL</t>
        </is>
      </c>
      <c r="H220" s="16" t="inlineStr">
        <is>
          <t>541143</t>
        </is>
      </c>
      <c r="I220" s="27">
        <f>IFERROR(IF(INDEX(Stocks!$G$2:$G$2139,MATCH(A220,Stocks!$E$2:$E$2139,0))="","No","Yes"),"No")</f>
        <v/>
      </c>
    </row>
    <row r="221">
      <c r="A221" s="16" t="inlineStr">
        <is>
          <t>INE0BS701011</t>
        </is>
      </c>
      <c r="B221" s="16" t="inlineStr">
        <is>
          <t>PREMIERENE</t>
        </is>
      </c>
      <c r="C221" s="16" t="inlineStr">
        <is>
          <t>Premier Energies Ltd.</t>
        </is>
      </c>
      <c r="D221" s="16" t="inlineStr">
        <is>
          <t>Other Electrical Equipment/Products</t>
        </is>
      </c>
      <c r="E221" s="16" t="inlineStr">
        <is>
          <t>Consumer Durables</t>
        </is>
      </c>
      <c r="F221" s="17" t="n">
        <v>45485.94</v>
      </c>
      <c r="G221" s="16" t="inlineStr">
        <is>
          <t>PREMIERENE</t>
        </is>
      </c>
      <c r="H221" s="16" t="inlineStr">
        <is>
          <t>544238</t>
        </is>
      </c>
      <c r="I221" s="27">
        <f>IFERROR(IF(INDEX(Stocks!$G$2:$G$2139,MATCH(A221,Stocks!$E$2:$E$2139,0))="","No","Yes"),"No")</f>
        <v/>
      </c>
    </row>
    <row r="222">
      <c r="A222" s="16" t="inlineStr">
        <is>
          <t>INE208C01025</t>
        </is>
      </c>
      <c r="B222" s="16" t="inlineStr">
        <is>
          <t>AEGISLOG</t>
        </is>
      </c>
      <c r="C222" s="16" t="inlineStr">
        <is>
          <t>Aegis Logistics Ltd.</t>
        </is>
      </c>
      <c r="D222" s="16" t="inlineStr">
        <is>
          <t>Oil Marketing &amp; Distribution</t>
        </is>
      </c>
      <c r="E222" s="16" t="inlineStr">
        <is>
          <t>Oil &amp; Gas</t>
        </is>
      </c>
      <c r="F222" s="17" t="n">
        <v>44584.02</v>
      </c>
      <c r="G222" s="16" t="inlineStr">
        <is>
          <t>AEGISLOG</t>
        </is>
      </c>
      <c r="H222" s="16" t="inlineStr">
        <is>
          <t>500003</t>
        </is>
      </c>
      <c r="I222" s="27">
        <f>IFERROR(IF(INDEX(Stocks!$G$2:$G$2139,MATCH(A222,Stocks!$E$2:$E$2139,0))="","No","Yes"),"No")</f>
        <v/>
      </c>
    </row>
    <row r="223">
      <c r="A223" s="16" t="inlineStr">
        <is>
          <t>INE415G01027</t>
        </is>
      </c>
      <c r="B223" s="16" t="inlineStr">
        <is>
          <t>RVNL</t>
        </is>
      </c>
      <c r="C223" s="16" t="inlineStr">
        <is>
          <t>Rail Vikas Nigam Ltd.</t>
        </is>
      </c>
      <c r="D223" s="16" t="inlineStr">
        <is>
          <t>Construction &amp; Engineering</t>
        </is>
      </c>
      <c r="E223" s="16" t="inlineStr">
        <is>
          <t>Cement and Construction</t>
        </is>
      </c>
      <c r="F223" s="17" t="n">
        <v>44304.59</v>
      </c>
      <c r="G223" s="16" t="inlineStr">
        <is>
          <t>RVNL</t>
        </is>
      </c>
      <c r="H223" s="16" t="inlineStr">
        <is>
          <t>542649</t>
        </is>
      </c>
      <c r="I223" s="27">
        <f>IFERROR(IF(INDEX(Stocks!$G$2:$G$2139,MATCH(A223,Stocks!$E$2:$E$2139,0))="","No","Yes"),"No")</f>
        <v/>
      </c>
    </row>
    <row r="224">
      <c r="A224" s="16" t="inlineStr">
        <is>
          <t>INE787D01026</t>
        </is>
      </c>
      <c r="B224" s="16" t="inlineStr">
        <is>
          <t>BALKRISIND</t>
        </is>
      </c>
      <c r="C224" s="16" t="inlineStr">
        <is>
          <t>Balkrishna Industries Ltd.</t>
        </is>
      </c>
      <c r="D224" s="16" t="inlineStr">
        <is>
          <t>Auto Tyres &amp; Rubber Products</t>
        </is>
      </c>
      <c r="E224" s="16" t="inlineStr">
        <is>
          <t>Automobiles &amp; Auto Components</t>
        </is>
      </c>
      <c r="F224" s="17" t="n">
        <v>44165.25</v>
      </c>
      <c r="G224" s="16" t="inlineStr">
        <is>
          <t>BALKRISIND</t>
        </is>
      </c>
      <c r="H224" s="16" t="inlineStr">
        <is>
          <t>502355</t>
        </is>
      </c>
      <c r="I224" s="27">
        <f>IFERROR(IF(INDEX(Stocks!$G$2:$G$2139,MATCH(A224,Stocks!$E$2:$E$2139,0))="","No","Yes"),"No")</f>
        <v/>
      </c>
    </row>
    <row r="225">
      <c r="A225" s="16" t="inlineStr">
        <is>
          <t>INE206F01022</t>
        </is>
      </c>
      <c r="B225" s="16" t="inlineStr">
        <is>
          <t>AIIL</t>
        </is>
      </c>
      <c r="C225" s="16" t="inlineStr">
        <is>
          <t>Authum Investment &amp; Infrastructure Ltd.</t>
        </is>
      </c>
      <c r="D225" s="16" t="inlineStr">
        <is>
          <t>Finance (including NBFCs)</t>
        </is>
      </c>
      <c r="E225" s="16" t="inlineStr">
        <is>
          <t>Banking and Finance</t>
        </is>
      </c>
      <c r="F225" s="17" t="n">
        <v>44151.23</v>
      </c>
      <c r="G225" s="16" t="inlineStr">
        <is>
          <t>AIIL</t>
        </is>
      </c>
      <c r="H225" s="16" t="inlineStr">
        <is>
          <t>539177</t>
        </is>
      </c>
      <c r="I225" s="27">
        <f>IFERROR(IF(INDEX(Stocks!$G$2:$G$2139,MATCH(A225,Stocks!$E$2:$E$2139,0))="","No","Yes"),"No")</f>
        <v/>
      </c>
    </row>
    <row r="226">
      <c r="A226" s="16" t="inlineStr">
        <is>
          <t>INE195A01028</t>
        </is>
      </c>
      <c r="B226" s="16" t="inlineStr">
        <is>
          <t>SUPREMEIND</t>
        </is>
      </c>
      <c r="C226" s="16" t="inlineStr">
        <is>
          <t>Supreme Industries Ltd.</t>
        </is>
      </c>
      <c r="D226" s="16" t="inlineStr">
        <is>
          <t>Plastic Products</t>
        </is>
      </c>
      <c r="E226" s="16" t="inlineStr">
        <is>
          <t>General Industrials</t>
        </is>
      </c>
      <c r="F226" s="17" t="n">
        <v>44141.85</v>
      </c>
      <c r="G226" s="16" t="inlineStr">
        <is>
          <t>SUPREMEIND</t>
        </is>
      </c>
      <c r="H226" s="16" t="inlineStr">
        <is>
          <t>509930</t>
        </is>
      </c>
      <c r="I226" s="27">
        <f>IFERROR(IF(INDEX(Stocks!$G$2:$G$2139,MATCH(A226,Stocks!$E$2:$E$2139,0))="","No","Yes"),"No")</f>
        <v/>
      </c>
    </row>
    <row r="227">
      <c r="A227" s="16" t="inlineStr">
        <is>
          <t>INE048G01026</t>
        </is>
      </c>
      <c r="B227" s="16" t="inlineStr">
        <is>
          <t>NAVINFLUOR</t>
        </is>
      </c>
      <c r="C227" s="16" t="inlineStr">
        <is>
          <t>Navin Fluorine International Ltd.</t>
        </is>
      </c>
      <c r="D227" s="16" t="inlineStr">
        <is>
          <t>Commodity Chemicals</t>
        </is>
      </c>
      <c r="E227" s="16" t="inlineStr">
        <is>
          <t>Chemicals &amp; Petrochemicals</t>
        </is>
      </c>
      <c r="F227" s="17" t="n">
        <v>43903.48</v>
      </c>
      <c r="G227" s="16" t="inlineStr">
        <is>
          <t>NAVINFLUOR</t>
        </is>
      </c>
      <c r="H227" s="16" t="inlineStr">
        <is>
          <t>532504</t>
        </is>
      </c>
      <c r="I227" s="27">
        <f>IFERROR(IF(INDEX(Stocks!$G$2:$G$2139,MATCH(A227,Stocks!$E$2:$E$2139,0))="","No","Yes"),"No")</f>
        <v/>
      </c>
    </row>
    <row r="228">
      <c r="A228" s="16" t="inlineStr">
        <is>
          <t>INE819V01029</t>
        </is>
      </c>
      <c r="B228" s="16" t="inlineStr">
        <is>
          <t>CPPLUS</t>
        </is>
      </c>
      <c r="C228" s="16" t="inlineStr">
        <is>
          <t>Aditya Infotech Ltd.</t>
        </is>
      </c>
      <c r="D228" s="16" t="inlineStr">
        <is>
          <t>IT Networking Equipment</t>
        </is>
      </c>
      <c r="E228" s="16" t="inlineStr">
        <is>
          <t>Hardware Technology &amp; Equipment</t>
        </is>
      </c>
      <c r="F228" s="17" t="n">
        <v>43825.57</v>
      </c>
      <c r="G228" s="16" t="inlineStr">
        <is>
          <t>CPPLUS</t>
        </is>
      </c>
      <c r="H228" s="16" t="inlineStr">
        <is>
          <t>544466</t>
        </is>
      </c>
      <c r="I228" s="27">
        <f>IFERROR(IF(INDEX(Stocks!$G$2:$G$2139,MATCH(A228,Stocks!$E$2:$E$2139,0))="","No","Yes"),"No")</f>
        <v/>
      </c>
    </row>
    <row r="229">
      <c r="A229" s="16" t="inlineStr">
        <is>
          <t>INE152A01029</t>
        </is>
      </c>
      <c r="B229" s="16" t="inlineStr">
        <is>
          <t>THERMAX</t>
        </is>
      </c>
      <c r="C229" s="16" t="inlineStr">
        <is>
          <t>Thermax Ltd.</t>
        </is>
      </c>
      <c r="D229" s="16" t="inlineStr">
        <is>
          <t>Heavy Electrical Equipment</t>
        </is>
      </c>
      <c r="E229" s="16" t="inlineStr">
        <is>
          <t>General Industrials</t>
        </is>
      </c>
      <c r="F229" s="17" t="n">
        <v>43344.3</v>
      </c>
      <c r="G229" s="16" t="inlineStr">
        <is>
          <t>THERMAX</t>
        </is>
      </c>
      <c r="H229" s="16" t="inlineStr">
        <is>
          <t>500411</t>
        </is>
      </c>
      <c r="I229" s="27">
        <f>IFERROR(IF(INDEX(Stocks!$G$2:$G$2139,MATCH(A229,Stocks!$E$2:$E$2139,0))="","No","Yes"),"No")</f>
        <v/>
      </c>
    </row>
    <row r="230">
      <c r="A230" s="16" t="inlineStr">
        <is>
          <t>INE031B01049</t>
        </is>
      </c>
      <c r="B230" s="16" t="inlineStr">
        <is>
          <t>AJANTPHARM</t>
        </is>
      </c>
      <c r="C230" s="16" t="inlineStr">
        <is>
          <t>Ajanta Pharma Ltd.</t>
        </is>
      </c>
      <c r="D230" s="16" t="inlineStr">
        <is>
          <t>Pharmaceuticals</t>
        </is>
      </c>
      <c r="E230" s="16" t="inlineStr">
        <is>
          <t>Pharmaceuticals &amp; Biotechnology</t>
        </is>
      </c>
      <c r="F230" s="17" t="n">
        <v>43295.79</v>
      </c>
      <c r="G230" s="16" t="inlineStr">
        <is>
          <t>AJANTPHARM</t>
        </is>
      </c>
      <c r="H230" s="16" t="inlineStr">
        <is>
          <t>532331</t>
        </is>
      </c>
      <c r="I230" s="27">
        <f>IFERROR(IF(INDEX(Stocks!$G$2:$G$2139,MATCH(A230,Stocks!$E$2:$E$2139,0))="","No","Yes"),"No")</f>
        <v/>
      </c>
    </row>
    <row r="231">
      <c r="A231" s="16" t="inlineStr">
        <is>
          <t>INE347G01014</t>
        </is>
      </c>
      <c r="B231" s="16" t="inlineStr">
        <is>
          <t>PETRONET</t>
        </is>
      </c>
      <c r="C231" s="16" t="inlineStr">
        <is>
          <t>Petronet LNG Ltd.</t>
        </is>
      </c>
      <c r="D231" s="16" t="inlineStr">
        <is>
          <t>Oil Marketing &amp; Distribution</t>
        </is>
      </c>
      <c r="E231" s="16" t="inlineStr">
        <is>
          <t>Oil &amp; Gas</t>
        </is>
      </c>
      <c r="F231" s="17" t="n">
        <v>43215</v>
      </c>
      <c r="G231" s="16" t="inlineStr">
        <is>
          <t>PETRONET</t>
        </is>
      </c>
      <c r="H231" s="16" t="inlineStr">
        <is>
          <t>532522</t>
        </is>
      </c>
      <c r="I231" s="27">
        <f>IFERROR(IF(INDEX(Stocks!$G$2:$G$2139,MATCH(A231,Stocks!$E$2:$E$2139,0))="","No","Yes"),"No")</f>
        <v/>
      </c>
    </row>
    <row r="232">
      <c r="A232" s="16" t="inlineStr">
        <is>
          <t>INE511C01022</t>
        </is>
      </c>
      <c r="B232" s="16" t="inlineStr">
        <is>
          <t>POONAWALLA</t>
        </is>
      </c>
      <c r="C232" s="16" t="inlineStr">
        <is>
          <t>Poonawalla Fincorp Ltd.</t>
        </is>
      </c>
      <c r="D232" s="16" t="inlineStr">
        <is>
          <t>Finance (including NBFCs)</t>
        </is>
      </c>
      <c r="E232" s="16" t="inlineStr">
        <is>
          <t>Banking and Finance</t>
        </is>
      </c>
      <c r="F232" s="17" t="n">
        <v>41250.57</v>
      </c>
      <c r="G232" s="16" t="inlineStr">
        <is>
          <t>POONAWALLA</t>
        </is>
      </c>
      <c r="H232" s="16" t="inlineStr">
        <is>
          <t>524000</t>
        </is>
      </c>
      <c r="I232" s="27">
        <f>IFERROR(IF(INDEX(Stocks!$G$2:$G$2139,MATCH(A232,Stocks!$E$2:$E$2139,0))="","No","Yes"),"No")</f>
        <v/>
      </c>
    </row>
    <row r="233">
      <c r="A233" s="16" t="inlineStr">
        <is>
          <t>INE930H01031</t>
        </is>
      </c>
      <c r="B233" s="16" t="inlineStr">
        <is>
          <t>KPRMILL</t>
        </is>
      </c>
      <c r="C233" s="16" t="inlineStr">
        <is>
          <t>KPR Mill Ltd.</t>
        </is>
      </c>
      <c r="D233" s="16" t="inlineStr">
        <is>
          <t>Textiles</t>
        </is>
      </c>
      <c r="E233" s="16" t="inlineStr">
        <is>
          <t>Textiles Apparels &amp; Accessories</t>
        </is>
      </c>
      <c r="F233" s="17" t="n">
        <v>40549.39</v>
      </c>
      <c r="G233" s="16" t="inlineStr">
        <is>
          <t>KPRMILL</t>
        </is>
      </c>
      <c r="H233" s="16" t="inlineStr">
        <is>
          <t>532889</t>
        </is>
      </c>
      <c r="I233" s="27">
        <f>IFERROR(IF(INDEX(Stocks!$G$2:$G$2139,MATCH(A233,Stocks!$E$2:$E$2139,0))="","No","Yes"),"No")</f>
        <v/>
      </c>
    </row>
    <row r="234">
      <c r="A234" s="16" t="inlineStr">
        <is>
          <t>INE761H01022</t>
        </is>
      </c>
      <c r="B234" s="16" t="inlineStr">
        <is>
          <t>PAGEIND</t>
        </is>
      </c>
      <c r="C234" s="16" t="inlineStr">
        <is>
          <t>Page Industries Ltd.</t>
        </is>
      </c>
      <c r="D234" s="16" t="inlineStr">
        <is>
          <t>Other Apparels &amp; Accessories</t>
        </is>
      </c>
      <c r="E234" s="16" t="inlineStr">
        <is>
          <t>Textiles Apparels &amp; Accessories</t>
        </is>
      </c>
      <c r="F234" s="17" t="n">
        <v>40488.66</v>
      </c>
      <c r="G234" s="16" t="inlineStr">
        <is>
          <t>PAGEIND</t>
        </is>
      </c>
      <c r="H234" s="16" t="inlineStr">
        <is>
          <t>532827</t>
        </is>
      </c>
      <c r="I234" s="27">
        <f>IFERROR(IF(INDEX(Stocks!$G$2:$G$2139,MATCH(A234,Stocks!$E$2:$E$2139,0))="","No","Yes"),"No")</f>
        <v/>
      </c>
    </row>
    <row r="235">
      <c r="A235" s="16" t="inlineStr">
        <is>
          <t>INE006I01046</t>
        </is>
      </c>
      <c r="B235" s="16" t="inlineStr">
        <is>
          <t>ASTRAL</t>
        </is>
      </c>
      <c r="C235" s="16" t="inlineStr">
        <is>
          <t>Astral Ltd.</t>
        </is>
      </c>
      <c r="D235" s="16" t="inlineStr">
        <is>
          <t>Plastic Products</t>
        </is>
      </c>
      <c r="E235" s="16" t="inlineStr">
        <is>
          <t>General Industrials</t>
        </is>
      </c>
      <c r="F235" s="17" t="n">
        <v>40106.79</v>
      </c>
      <c r="G235" s="16" t="inlineStr">
        <is>
          <t>ASTRAL</t>
        </is>
      </c>
      <c r="H235" s="16" t="inlineStr">
        <is>
          <t>532830</t>
        </is>
      </c>
      <c r="I235" s="27">
        <f>IFERROR(IF(INDEX(Stocks!$G$2:$G$2139,MATCH(A235,Stocks!$E$2:$E$2139,0))="","No","Yes"),"No")</f>
        <v/>
      </c>
    </row>
    <row r="236">
      <c r="A236" s="16" t="inlineStr">
        <is>
          <t>INE474Q01031</t>
        </is>
      </c>
      <c r="B236" s="16" t="inlineStr">
        <is>
          <t>MEDANTA</t>
        </is>
      </c>
      <c r="C236" s="16" t="inlineStr">
        <is>
          <t>Global Health Ltd.</t>
        </is>
      </c>
      <c r="D236" s="16" t="inlineStr">
        <is>
          <t>Healthcare Facilities</t>
        </is>
      </c>
      <c r="E236" s="16" t="inlineStr">
        <is>
          <t>Healthcare</t>
        </is>
      </c>
      <c r="F236" s="17" t="n">
        <v>39518.78</v>
      </c>
      <c r="G236" s="16" t="inlineStr">
        <is>
          <t>MEDANTA</t>
        </is>
      </c>
      <c r="H236" s="16" t="inlineStr">
        <is>
          <t>543654</t>
        </is>
      </c>
      <c r="I236" s="27">
        <f>IFERROR(IF(INDEX(Stocks!$G$2:$G$2139,MATCH(A236,Stocks!$E$2:$E$2139,0))="","No","Yes"),"No")</f>
        <v/>
      </c>
    </row>
    <row r="237">
      <c r="A237" s="16" t="inlineStr">
        <is>
          <t>INE212H01026</t>
        </is>
      </c>
      <c r="B237" s="16" t="inlineStr">
        <is>
          <t>AIAENG</t>
        </is>
      </c>
      <c r="C237" s="16" t="inlineStr">
        <is>
          <t>AIA Engineering Ltd.</t>
        </is>
      </c>
      <c r="D237" s="16" t="inlineStr">
        <is>
          <t>Castings &amp; Forgings</t>
        </is>
      </c>
      <c r="E237" s="16" t="inlineStr">
        <is>
          <t>General Industrials</t>
        </is>
      </c>
      <c r="F237" s="17" t="n">
        <v>39485.73</v>
      </c>
      <c r="G237" s="16" t="inlineStr">
        <is>
          <t>AIAENG</t>
        </is>
      </c>
      <c r="H237" s="16" t="inlineStr">
        <is>
          <t>532683</t>
        </is>
      </c>
      <c r="I237" s="27">
        <f>IFERROR(IF(INDEX(Stocks!$G$2:$G$2139,MATCH(A237,Stocks!$E$2:$E$2139,0))="","No","Yes"),"No")</f>
        <v/>
      </c>
    </row>
    <row r="238">
      <c r="A238" s="16" t="inlineStr">
        <is>
          <t>INE704P01025</t>
        </is>
      </c>
      <c r="B238" s="16" t="inlineStr">
        <is>
          <t>COCHINSHIP</t>
        </is>
      </c>
      <c r="C238" s="16" t="inlineStr">
        <is>
          <t>Cochin Shipyard Ltd.</t>
        </is>
      </c>
      <c r="D238" s="16" t="inlineStr">
        <is>
          <t>Marine Port &amp; Services</t>
        </is>
      </c>
      <c r="E238" s="16" t="inlineStr">
        <is>
          <t>Transportation</t>
        </is>
      </c>
      <c r="F238" s="17" t="n">
        <v>39438.44</v>
      </c>
      <c r="G238" s="16" t="inlineStr">
        <is>
          <t>COCHINSHIP</t>
        </is>
      </c>
      <c r="H238" s="16" t="inlineStr">
        <is>
          <t>540678</t>
        </is>
      </c>
      <c r="I238" s="27">
        <f>IFERROR(IF(INDEX(Stocks!$G$2:$G$2139,MATCH(A238,Stocks!$E$2:$E$2139,0))="","No","Yes"),"No")</f>
        <v/>
      </c>
    </row>
    <row r="239">
      <c r="A239" s="16" t="inlineStr">
        <is>
          <t>INE823G01014</t>
        </is>
      </c>
      <c r="B239" s="16" t="inlineStr">
        <is>
          <t>JKCEMENT</t>
        </is>
      </c>
      <c r="C239" s="16" t="inlineStr">
        <is>
          <t>JK Cement Ltd.</t>
        </is>
      </c>
      <c r="D239" s="16" t="inlineStr">
        <is>
          <t>Cement &amp; Cement Products</t>
        </is>
      </c>
      <c r="E239" s="16" t="inlineStr">
        <is>
          <t>Cement and Construction</t>
        </is>
      </c>
      <c r="F239" s="17" t="n">
        <v>39279.34</v>
      </c>
      <c r="G239" s="16" t="inlineStr">
        <is>
          <t>JKCEMENT</t>
        </is>
      </c>
      <c r="H239" s="16" t="inlineStr">
        <is>
          <t>532644</t>
        </is>
      </c>
      <c r="I239" s="27">
        <f>IFERROR(IF(INDEX(Stocks!$G$2:$G$2139,MATCH(A239,Stocks!$E$2:$E$2139,0))="","No","Yes"),"No")</f>
        <v/>
      </c>
    </row>
    <row r="240">
      <c r="A240" s="16" t="inlineStr">
        <is>
          <t>INE233A01035</t>
        </is>
      </c>
      <c r="B240" s="16" t="inlineStr">
        <is>
          <t>GODREJIND</t>
        </is>
      </c>
      <c r="C240" s="16" t="inlineStr">
        <is>
          <t>Godrej Industries Ltd.</t>
        </is>
      </c>
      <c r="D240" s="16" t="inlineStr">
        <is>
          <t>Diversified</t>
        </is>
      </c>
      <c r="E240" s="16" t="inlineStr">
        <is>
          <t>Diversified</t>
        </is>
      </c>
      <c r="F240" s="17" t="n">
        <v>39192.63</v>
      </c>
      <c r="G240" s="16" t="inlineStr">
        <is>
          <t>GODREJIND</t>
        </is>
      </c>
      <c r="H240" s="16" t="inlineStr">
        <is>
          <t>500164</t>
        </is>
      </c>
      <c r="I240" s="27">
        <f>IFERROR(IF(INDEX(Stocks!$G$2:$G$2139,MATCH(A240,Stocks!$E$2:$E$2139,0))="","No","Yes"),"No")</f>
        <v/>
      </c>
    </row>
    <row r="241">
      <c r="A241" s="16" t="inlineStr">
        <is>
          <t>INE913H01037</t>
        </is>
      </c>
      <c r="B241" s="16" t="inlineStr">
        <is>
          <t>ENDURANCE</t>
        </is>
      </c>
      <c r="C241" s="16" t="inlineStr">
        <is>
          <t>Endurance Technologies Ltd.</t>
        </is>
      </c>
      <c r="D241" s="16" t="inlineStr">
        <is>
          <t>Auto Parts &amp; Equipment</t>
        </is>
      </c>
      <c r="E241" s="16" t="inlineStr">
        <is>
          <t>Automobiles &amp; Auto Components</t>
        </is>
      </c>
      <c r="F241" s="17" t="n">
        <v>39143.64</v>
      </c>
      <c r="G241" s="16" t="inlineStr">
        <is>
          <t>ENDURANCE</t>
        </is>
      </c>
      <c r="H241" s="16" t="inlineStr">
        <is>
          <t>540153</t>
        </is>
      </c>
      <c r="I241" s="27">
        <f>IFERROR(IF(INDEX(Stocks!$G$2:$G$2139,MATCH(A241,Stocks!$E$2:$E$2139,0))="","No","Yes"),"No")</f>
        <v/>
      </c>
    </row>
    <row r="242">
      <c r="A242" s="16" t="inlineStr">
        <is>
          <t>INE226A01021</t>
        </is>
      </c>
      <c r="B242" s="16" t="inlineStr">
        <is>
          <t>VOLTAS</t>
        </is>
      </c>
      <c r="C242" s="16" t="inlineStr">
        <is>
          <t>Voltas Ltd.</t>
        </is>
      </c>
      <c r="D242" s="16" t="inlineStr">
        <is>
          <t>Consumer Electronics</t>
        </is>
      </c>
      <c r="E242" s="16" t="inlineStr">
        <is>
          <t>Consumer Durables</t>
        </is>
      </c>
      <c r="F242" s="17" t="n">
        <v>38713.51</v>
      </c>
      <c r="G242" s="16" t="inlineStr">
        <is>
          <t>VOLTAS</t>
        </is>
      </c>
      <c r="H242" s="16" t="inlineStr">
        <is>
          <t>500575</t>
        </is>
      </c>
      <c r="I242" s="27">
        <f>IFERROR(IF(INDEX(Stocks!$G$2:$G$2139,MATCH(A242,Stocks!$E$2:$E$2139,0))="","No","Yes"),"No")</f>
        <v/>
      </c>
    </row>
    <row r="243">
      <c r="A243" s="16" t="inlineStr">
        <is>
          <t>INE111A01025</t>
        </is>
      </c>
      <c r="B243" s="16" t="inlineStr">
        <is>
          <t>CONCOR</t>
        </is>
      </c>
      <c r="C243" s="16" t="inlineStr">
        <is>
          <t>Container Corporation of India Ltd.</t>
        </is>
      </c>
      <c r="D243" s="16" t="inlineStr">
        <is>
          <t>Warehousing &amp; Logistics</t>
        </is>
      </c>
      <c r="E243" s="16" t="inlineStr">
        <is>
          <t>Transportation</t>
        </is>
      </c>
      <c r="F243" s="17" t="n">
        <v>38690.19</v>
      </c>
      <c r="G243" s="16" t="inlineStr">
        <is>
          <t>CONCOR</t>
        </is>
      </c>
      <c r="H243" s="16" t="inlineStr">
        <is>
          <t>531344</t>
        </is>
      </c>
      <c r="I243" s="27">
        <f>IFERROR(IF(INDEX(Stocks!$G$2:$G$2139,MATCH(A243,Stocks!$E$2:$E$2139,0))="","No","Yes"),"No")</f>
        <v/>
      </c>
    </row>
    <row r="244">
      <c r="A244" s="16" t="inlineStr">
        <is>
          <t>INE089C01029</t>
        </is>
      </c>
      <c r="B244" s="16" t="inlineStr">
        <is>
          <t>STLTECH</t>
        </is>
      </c>
      <c r="C244" s="16" t="inlineStr">
        <is>
          <t>Sterlite Technologies Ltd.</t>
        </is>
      </c>
      <c r="D244" s="16" t="inlineStr">
        <is>
          <t>Telecom Cables</t>
        </is>
      </c>
      <c r="E244" s="16" t="inlineStr">
        <is>
          <t>Telecommunications Equipment</t>
        </is>
      </c>
      <c r="F244" s="17" t="n">
        <v>38486.81</v>
      </c>
      <c r="G244" s="16" t="inlineStr">
        <is>
          <t>STLTECH</t>
        </is>
      </c>
      <c r="H244" s="16" t="inlineStr">
        <is>
          <t>532374</t>
        </is>
      </c>
      <c r="I244" s="27">
        <f>IFERROR(IF(INDEX(Stocks!$G$2:$G$2139,MATCH(A244,Stocks!$E$2:$E$2139,0))="","No","Yes"),"No")</f>
        <v/>
      </c>
    </row>
    <row r="245">
      <c r="A245" s="16" t="inlineStr">
        <is>
          <t>INE335Y01020</t>
        </is>
      </c>
      <c r="B245" s="16" t="inlineStr">
        <is>
          <t>IRCTC</t>
        </is>
      </c>
      <c r="C245" s="16" t="inlineStr">
        <is>
          <t>Indian Railway Catering &amp; Tourism Corporation Ltd.</t>
        </is>
      </c>
      <c r="D245" s="16" t="inlineStr">
        <is>
          <t>Travel Support Services</t>
        </is>
      </c>
      <c r="E245" s="16" t="inlineStr">
        <is>
          <t>Diversified Consumer Services</t>
        </is>
      </c>
      <c r="F245" s="17" t="n">
        <v>38084</v>
      </c>
      <c r="G245" s="16" t="inlineStr">
        <is>
          <t>IRCTC</t>
        </is>
      </c>
      <c r="H245" s="16" t="inlineStr">
        <is>
          <t>542830</t>
        </is>
      </c>
      <c r="I245" s="27">
        <f>IFERROR(IF(INDEX(Stocks!$G$2:$G$2139,MATCH(A245,Stocks!$E$2:$E$2139,0))="","No","Yes"),"No")</f>
        <v/>
      </c>
    </row>
    <row r="246">
      <c r="A246" s="16" t="inlineStr">
        <is>
          <t>INE509F01029</t>
        </is>
      </c>
      <c r="B246" s="16" t="inlineStr">
        <is>
          <t>CUPID</t>
        </is>
      </c>
      <c r="C246" s="16" t="inlineStr">
        <is>
          <t>Cupid Ltd.</t>
        </is>
      </c>
      <c r="D246" s="16" t="inlineStr">
        <is>
          <t>Personal Products</t>
        </is>
      </c>
      <c r="E246" s="16" t="inlineStr">
        <is>
          <t>FMCG</t>
        </is>
      </c>
      <c r="F246" s="17" t="n">
        <v>38074.07</v>
      </c>
      <c r="G246" s="16" t="inlineStr">
        <is>
          <t>CUPID</t>
        </is>
      </c>
      <c r="H246" s="16" t="inlineStr">
        <is>
          <t>530843</t>
        </is>
      </c>
      <c r="I246" s="27">
        <f>IFERROR(IF(INDEX(Stocks!$G$2:$G$2139,MATCH(A246,Stocks!$E$2:$E$2139,0))="","No","Yes"),"No")</f>
        <v/>
      </c>
    </row>
    <row r="247">
      <c r="A247" s="16" t="inlineStr">
        <is>
          <t>INE410P01011</t>
        </is>
      </c>
      <c r="B247" s="16" t="inlineStr">
        <is>
          <t>NH</t>
        </is>
      </c>
      <c r="C247" s="16" t="inlineStr">
        <is>
          <t>Narayana Hrudayalaya Ltd.</t>
        </is>
      </c>
      <c r="D247" s="16" t="inlineStr">
        <is>
          <t>Healthcare Facilities</t>
        </is>
      </c>
      <c r="E247" s="16" t="inlineStr">
        <is>
          <t>Healthcare</t>
        </is>
      </c>
      <c r="F247" s="17" t="n">
        <v>37980.45</v>
      </c>
      <c r="G247" s="16" t="inlineStr">
        <is>
          <t>NH</t>
        </is>
      </c>
      <c r="H247" s="16" t="inlineStr">
        <is>
          <t>539551</t>
        </is>
      </c>
      <c r="I247" s="27">
        <f>IFERROR(IF(INDEX(Stocks!$G$2:$G$2139,MATCH(A247,Stocks!$E$2:$E$2139,0))="","No","Yes"),"No")</f>
        <v/>
      </c>
    </row>
    <row r="248">
      <c r="A248" s="16" t="inlineStr">
        <is>
          <t>INE470Y01017</t>
        </is>
      </c>
      <c r="B248" s="16" t="inlineStr">
        <is>
          <t>NIACL</t>
        </is>
      </c>
      <c r="C248" s="16" t="inlineStr">
        <is>
          <t>The New India Assurance Company Ltd.</t>
        </is>
      </c>
      <c r="D248" s="16" t="inlineStr">
        <is>
          <t>General Insurance</t>
        </is>
      </c>
      <c r="E248" s="16" t="inlineStr">
        <is>
          <t>Banking and Finance</t>
        </is>
      </c>
      <c r="F248" s="17" t="n">
        <v>37889.17</v>
      </c>
      <c r="G248" s="16" t="inlineStr">
        <is>
          <t>NIACL</t>
        </is>
      </c>
      <c r="H248" s="16" t="inlineStr">
        <is>
          <t>540769</t>
        </is>
      </c>
      <c r="I248" s="27">
        <f>IFERROR(IF(INDEX(Stocks!$G$2:$G$2139,MATCH(A248,Stocks!$E$2:$E$2139,0))="","No","Yes"),"No")</f>
        <v/>
      </c>
    </row>
    <row r="249">
      <c r="A249" s="16" t="inlineStr">
        <is>
          <t>INE589A01014</t>
        </is>
      </c>
      <c r="B249" s="16" t="inlineStr">
        <is>
          <t>NLCINDIA</t>
        </is>
      </c>
      <c r="C249" s="16" t="inlineStr">
        <is>
          <t>NLC India Ltd.</t>
        </is>
      </c>
      <c r="D249" s="16" t="inlineStr">
        <is>
          <t>Power - Electric Utilities</t>
        </is>
      </c>
      <c r="E249" s="16" t="inlineStr">
        <is>
          <t>Utilities</t>
        </is>
      </c>
      <c r="F249" s="17" t="n">
        <v>37862.11</v>
      </c>
      <c r="G249" s="16" t="inlineStr">
        <is>
          <t>NLCINDIA</t>
        </is>
      </c>
      <c r="H249" s="16" t="inlineStr">
        <is>
          <t>513683</t>
        </is>
      </c>
      <c r="I249" s="27">
        <f>IFERROR(IF(INDEX(Stocks!$G$2:$G$2139,MATCH(A249,Stocks!$E$2:$E$2139,0))="","No","Yes"),"No")</f>
        <v/>
      </c>
    </row>
    <row r="250">
      <c r="A250" s="16" t="inlineStr">
        <is>
          <t>INE603J01030</t>
        </is>
      </c>
      <c r="B250" s="16" t="inlineStr">
        <is>
          <t>PIIND</t>
        </is>
      </c>
      <c r="C250" s="16" t="inlineStr">
        <is>
          <t>PI Industries Ltd.</t>
        </is>
      </c>
      <c r="D250" s="16" t="inlineStr">
        <is>
          <t>Agrochemicals</t>
        </is>
      </c>
      <c r="E250" s="16" t="inlineStr">
        <is>
          <t>Chemicals &amp; Petrochemicals</t>
        </is>
      </c>
      <c r="F250" s="17" t="n">
        <v>37398.51</v>
      </c>
      <c r="G250" s="16" t="inlineStr">
        <is>
          <t>PIIND</t>
        </is>
      </c>
      <c r="H250" s="16" t="inlineStr">
        <is>
          <t>523642</t>
        </is>
      </c>
      <c r="I250" s="27">
        <f>IFERROR(IF(INDEX(Stocks!$G$2:$G$2139,MATCH(A250,Stocks!$E$2:$E$2139,0))="","No","Yes"),"No")</f>
        <v/>
      </c>
    </row>
    <row r="251">
      <c r="A251" s="16" t="inlineStr">
        <is>
          <t>INE619A01035</t>
        </is>
      </c>
      <c r="B251" s="16" t="inlineStr">
        <is>
          <t>PATANJALI</t>
        </is>
      </c>
      <c r="C251" s="16" t="inlineStr">
        <is>
          <t>Patanjali Foods Ltd.</t>
        </is>
      </c>
      <c r="D251" s="16" t="inlineStr">
        <is>
          <t>Edible Oils</t>
        </is>
      </c>
      <c r="E251" s="16" t="inlineStr">
        <is>
          <t>FMCG</t>
        </is>
      </c>
      <c r="F251" s="17" t="n">
        <v>37267.72</v>
      </c>
      <c r="G251" s="16" t="inlineStr">
        <is>
          <t>PATANJALI</t>
        </is>
      </c>
      <c r="H251" s="16" t="inlineStr">
        <is>
          <t>500368</t>
        </is>
      </c>
      <c r="I251" s="27">
        <f>IFERROR(IF(INDEX(Stocks!$G$2:$G$2139,MATCH(A251,Stocks!$E$2:$E$2139,0))="","No","Yes"),"No")</f>
        <v/>
      </c>
    </row>
    <row r="252">
      <c r="A252" s="16" t="inlineStr">
        <is>
          <t>INE010V01017</t>
        </is>
      </c>
      <c r="B252" s="16" t="inlineStr">
        <is>
          <t>LTTS</t>
        </is>
      </c>
      <c r="C252" s="16" t="inlineStr">
        <is>
          <t>L&amp;T Technology Services Ltd.</t>
        </is>
      </c>
      <c r="D252" s="16" t="inlineStr">
        <is>
          <t>IT Consulting &amp; Software</t>
        </is>
      </c>
      <c r="E252" s="16" t="inlineStr">
        <is>
          <t>Software &amp; Services</t>
        </is>
      </c>
      <c r="F252" s="17" t="n">
        <v>37056.05</v>
      </c>
      <c r="G252" s="16" t="inlineStr">
        <is>
          <t>LTTS</t>
        </is>
      </c>
      <c r="H252" s="16" t="inlineStr">
        <is>
          <t>540115</t>
        </is>
      </c>
      <c r="I252" s="27">
        <f>IFERROR(IF(INDEX(Stocks!$G$2:$G$2139,MATCH(A252,Stocks!$E$2:$E$2139,0))="","No","Yes"),"No")</f>
        <v/>
      </c>
    </row>
    <row r="253">
      <c r="A253" s="16" t="inlineStr">
        <is>
          <t>INE470A01017</t>
        </is>
      </c>
      <c r="B253" s="16" t="inlineStr">
        <is>
          <t>3MINDIA</t>
        </is>
      </c>
      <c r="C253" s="16" t="inlineStr">
        <is>
          <t>3M India Ltd.</t>
        </is>
      </c>
      <c r="D253" s="16" t="inlineStr">
        <is>
          <t>Industrial Machinery</t>
        </is>
      </c>
      <c r="E253" s="16" t="inlineStr">
        <is>
          <t>General Industrials</t>
        </is>
      </c>
      <c r="F253" s="17" t="n">
        <v>37000.22</v>
      </c>
      <c r="G253" s="16" t="inlineStr">
        <is>
          <t>3MINDIA</t>
        </is>
      </c>
      <c r="H253" s="16" t="inlineStr">
        <is>
          <t>523395</t>
        </is>
      </c>
      <c r="I253" s="27">
        <f>IFERROR(IF(INDEX(Stocks!$G$2:$G$2139,MATCH(A253,Stocks!$E$2:$E$2139,0))="","No","Yes"),"No")</f>
        <v/>
      </c>
    </row>
    <row r="254">
      <c r="A254" s="16" t="inlineStr">
        <is>
          <t>INE463V01026</t>
        </is>
      </c>
      <c r="B254" s="16" t="inlineStr">
        <is>
          <t>ANANDRATHI</t>
        </is>
      </c>
      <c r="C254" s="16" t="inlineStr">
        <is>
          <t>Anand Rathi Wealth Ltd.</t>
        </is>
      </c>
      <c r="D254" s="16" t="inlineStr">
        <is>
          <t>Capital Markets</t>
        </is>
      </c>
      <c r="E254" s="16" t="inlineStr">
        <is>
          <t>Banking and Finance</t>
        </is>
      </c>
      <c r="F254" s="17" t="n">
        <v>36793.09</v>
      </c>
      <c r="G254" s="16" t="inlineStr">
        <is>
          <t>ANANDRATHI</t>
        </is>
      </c>
      <c r="H254" s="16" t="inlineStr">
        <is>
          <t>543415</t>
        </is>
      </c>
      <c r="I254" s="27">
        <f>IFERROR(IF(INDEX(Stocks!$G$2:$G$2139,MATCH(A254,Stocks!$E$2:$E$2139,0))="","No","Yes"),"No")</f>
        <v/>
      </c>
    </row>
    <row r="255">
      <c r="A255" s="16" t="inlineStr">
        <is>
          <t>INE0LP301011</t>
        </is>
      </c>
      <c r="B255" s="16" t="inlineStr">
        <is>
          <t>PWL</t>
        </is>
      </c>
      <c r="C255" s="16" t="inlineStr">
        <is>
          <t>Physicswallah Ltd.</t>
        </is>
      </c>
      <c r="D255" s="16" t="inlineStr">
        <is>
          <t>Education</t>
        </is>
      </c>
      <c r="E255" s="16" t="inlineStr">
        <is>
          <t>Diversified Consumer Services</t>
        </is>
      </c>
      <c r="F255" s="17" t="n">
        <v>36673.01</v>
      </c>
      <c r="G255" s="16" t="inlineStr">
        <is>
          <t>PWL</t>
        </is>
      </c>
      <c r="H255" s="16" t="inlineStr">
        <is>
          <t>544609</t>
        </is>
      </c>
      <c r="I255" s="27">
        <f>IFERROR(IF(INDEX(Stocks!$G$2:$G$2139,MATCH(A255,Stocks!$E$2:$E$2139,0))="","No","Yes"),"No")</f>
        <v/>
      </c>
    </row>
    <row r="256">
      <c r="A256" s="16" t="inlineStr">
        <is>
          <t>INE168P01015</t>
        </is>
      </c>
      <c r="B256" s="16" t="inlineStr">
        <is>
          <t>EMCURE</t>
        </is>
      </c>
      <c r="C256" s="16" t="inlineStr">
        <is>
          <t>Emcure Pharmaceuticals Ltd.</t>
        </is>
      </c>
      <c r="D256" s="16" t="inlineStr">
        <is>
          <t>Pharmaceuticals</t>
        </is>
      </c>
      <c r="E256" s="16" t="inlineStr">
        <is>
          <t>Pharmaceuticals &amp; Biotechnology</t>
        </is>
      </c>
      <c r="F256" s="17" t="n">
        <v>36566.42</v>
      </c>
      <c r="G256" s="16" t="inlineStr">
        <is>
          <t>EMCURE</t>
        </is>
      </c>
      <c r="H256" s="16" t="inlineStr">
        <is>
          <t>544210</t>
        </is>
      </c>
      <c r="I256" s="27">
        <f>IFERROR(IF(INDEX(Stocks!$G$2:$G$2139,MATCH(A256,Stocks!$E$2:$E$2139,0))="","No","Yes"),"No")</f>
        <v/>
      </c>
    </row>
    <row r="257">
      <c r="A257" s="16" t="inlineStr">
        <is>
          <t>INE031A01017</t>
        </is>
      </c>
      <c r="B257" s="16" t="inlineStr">
        <is>
          <t>HUDCO</t>
        </is>
      </c>
      <c r="C257" s="16" t="inlineStr">
        <is>
          <t>Housing and Urban Development Corporation Ltd.</t>
        </is>
      </c>
      <c r="D257" s="16" t="inlineStr">
        <is>
          <t>Financial Institutions</t>
        </is>
      </c>
      <c r="E257" s="16" t="inlineStr">
        <is>
          <t>Banking and Finance</t>
        </is>
      </c>
      <c r="F257" s="17" t="n">
        <v>36138.3</v>
      </c>
      <c r="G257" s="16" t="inlineStr">
        <is>
          <t>HUDCO</t>
        </is>
      </c>
      <c r="H257" s="16" t="inlineStr">
        <is>
          <t>540530</t>
        </is>
      </c>
      <c r="I257" s="27">
        <f>IFERROR(IF(INDEX(Stocks!$G$2:$G$2139,MATCH(A257,Stocks!$E$2:$E$2139,0))="","No","Yes"),"No")</f>
        <v/>
      </c>
    </row>
    <row r="258">
      <c r="A258" s="16" t="inlineStr">
        <is>
          <t>INE302A01020</t>
        </is>
      </c>
      <c r="B258" s="16" t="inlineStr">
        <is>
          <t>EXIDEIND</t>
        </is>
      </c>
      <c r="C258" s="16" t="inlineStr">
        <is>
          <t>Exide Industries Ltd.</t>
        </is>
      </c>
      <c r="D258" s="16" t="inlineStr">
        <is>
          <t>Auto Parts &amp; Equipment</t>
        </is>
      </c>
      <c r="E258" s="16" t="inlineStr">
        <is>
          <t>Automobiles &amp; Auto Components</t>
        </is>
      </c>
      <c r="F258" s="17" t="n">
        <v>36069.75</v>
      </c>
      <c r="G258" s="16" t="inlineStr">
        <is>
          <t>EXIDEIND</t>
        </is>
      </c>
      <c r="H258" s="16" t="inlineStr">
        <is>
          <t>500086</t>
        </is>
      </c>
      <c r="I258" s="27">
        <f>IFERROR(IF(INDEX(Stocks!$G$2:$G$2139,MATCH(A258,Stocks!$E$2:$E$2139,0))="","No","Yes"),"No")</f>
        <v/>
      </c>
    </row>
    <row r="259">
      <c r="A259" s="16" t="inlineStr">
        <is>
          <t>INE596F01018</t>
        </is>
      </c>
      <c r="B259" s="16" t="inlineStr">
        <is>
          <t>PTCIL</t>
        </is>
      </c>
      <c r="C259" s="16" t="inlineStr">
        <is>
          <t>PTC Industries Ltd.</t>
        </is>
      </c>
      <c r="D259" s="16" t="inlineStr">
        <is>
          <t>Other Industrial Products</t>
        </is>
      </c>
      <c r="E259" s="16" t="inlineStr">
        <is>
          <t>General Industrials</t>
        </is>
      </c>
      <c r="F259" s="17" t="n">
        <v>35727.13</v>
      </c>
      <c r="G259" s="16" t="inlineStr">
        <is>
          <t>PTCIL</t>
        </is>
      </c>
      <c r="H259" s="16" t="inlineStr">
        <is>
          <t>539006</t>
        </is>
      </c>
      <c r="I259" s="27">
        <f>IFERROR(IF(INDEX(Stocks!$G$2:$G$2139,MATCH(A259,Stocks!$E$2:$E$2139,0))="","No","Yes"),"No")</f>
        <v/>
      </c>
    </row>
    <row r="260">
      <c r="A260" s="16" t="inlineStr">
        <is>
          <t>INE548A01028</t>
        </is>
      </c>
      <c r="B260" s="16" t="inlineStr">
        <is>
          <t>HFCL</t>
        </is>
      </c>
      <c r="C260" s="16" t="inlineStr">
        <is>
          <t>HFCL Ltd.</t>
        </is>
      </c>
      <c r="D260" s="16" t="inlineStr">
        <is>
          <t>Telecom Cables</t>
        </is>
      </c>
      <c r="E260" s="16" t="inlineStr">
        <is>
          <t>Telecommunications Equipment</t>
        </is>
      </c>
      <c r="F260" s="17" t="n">
        <v>35424.26</v>
      </c>
      <c r="G260" s="16" t="inlineStr">
        <is>
          <t>HFCL</t>
        </is>
      </c>
      <c r="H260" s="16" t="inlineStr">
        <is>
          <t>500183</t>
        </is>
      </c>
      <c r="I260" s="27">
        <f>IFERROR(IF(INDEX(Stocks!$G$2:$G$2139,MATCH(A260,Stocks!$E$2:$E$2139,0))="","No","Yes"),"No")</f>
        <v/>
      </c>
    </row>
    <row r="261">
      <c r="A261" s="16" t="inlineStr">
        <is>
          <t>INE007A01025</t>
        </is>
      </c>
      <c r="B261" s="16" t="inlineStr">
        <is>
          <t>CRISIL</t>
        </is>
      </c>
      <c r="C261" s="16" t="inlineStr">
        <is>
          <t>Crisil Ltd.</t>
        </is>
      </c>
      <c r="D261" s="16" t="inlineStr">
        <is>
          <t>Other Financial Services</t>
        </is>
      </c>
      <c r="E261" s="16" t="inlineStr">
        <is>
          <t>Banking and Finance</t>
        </is>
      </c>
      <c r="F261" s="17" t="n">
        <v>35117.03</v>
      </c>
      <c r="G261" s="16" t="inlineStr">
        <is>
          <t>CRISIL</t>
        </is>
      </c>
      <c r="H261" s="16" t="inlineStr">
        <is>
          <t>500092</t>
        </is>
      </c>
      <c r="I261" s="27">
        <f>IFERROR(IF(INDEX(Stocks!$G$2:$G$2139,MATCH(A261,Stocks!$E$2:$E$2139,0))="","No","Yes"),"No")</f>
        <v/>
      </c>
    </row>
    <row r="262">
      <c r="A262" s="16" t="inlineStr">
        <is>
          <t>INE148O01028</t>
        </is>
      </c>
      <c r="B262" s="16" t="inlineStr">
        <is>
          <t>DELHIVERY</t>
        </is>
      </c>
      <c r="C262" s="16" t="inlineStr">
        <is>
          <t>Delhivery Ltd.</t>
        </is>
      </c>
      <c r="D262" s="16" t="inlineStr">
        <is>
          <t>Warehousing &amp; Logistics</t>
        </is>
      </c>
      <c r="E262" s="16" t="inlineStr">
        <is>
          <t>Transportation</t>
        </is>
      </c>
      <c r="F262" s="17" t="n">
        <v>34304.35</v>
      </c>
      <c r="G262" s="16" t="inlineStr">
        <is>
          <t>DELHIVERY</t>
        </is>
      </c>
      <c r="H262" s="16" t="inlineStr">
        <is>
          <t>543529</t>
        </is>
      </c>
      <c r="I262" s="27">
        <f>IFERROR(IF(INDEX(Stocks!$G$2:$G$2139,MATCH(A262,Stocks!$E$2:$E$2139,0))="","No","Yes"),"No")</f>
        <v/>
      </c>
    </row>
    <row r="263">
      <c r="A263" s="16" t="inlineStr">
        <is>
          <t>INE049B01025</t>
        </is>
      </c>
      <c r="B263" s="16" t="inlineStr">
        <is>
          <t>WOCKPHARMA</t>
        </is>
      </c>
      <c r="C263" s="16" t="inlineStr">
        <is>
          <t>Wockhardt Ltd.</t>
        </is>
      </c>
      <c r="D263" s="16" t="inlineStr">
        <is>
          <t>Pharmaceuticals</t>
        </is>
      </c>
      <c r="E263" s="16" t="inlineStr">
        <is>
          <t>Pharmaceuticals &amp; Biotechnology</t>
        </is>
      </c>
      <c r="F263" s="17" t="n">
        <v>33939.75</v>
      </c>
      <c r="G263" s="16" t="inlineStr">
        <is>
          <t>WOCKPHARMA</t>
        </is>
      </c>
      <c r="H263" s="16" t="inlineStr">
        <is>
          <t>532300</t>
        </is>
      </c>
      <c r="I263" s="27">
        <f>IFERROR(IF(INDEX(Stocks!$G$2:$G$2139,MATCH(A263,Stocks!$E$2:$E$2139,0))="","No","Yes"),"No")</f>
        <v/>
      </c>
    </row>
    <row r="264">
      <c r="A264" s="16" t="inlineStr">
        <is>
          <t>INE019C01026</t>
        </is>
      </c>
      <c r="B264" s="16" t="inlineStr">
        <is>
          <t>HSCL</t>
        </is>
      </c>
      <c r="C264" s="16" t="inlineStr">
        <is>
          <t>Himadri Speciality Chemical Ltd.</t>
        </is>
      </c>
      <c r="D264" s="16" t="inlineStr">
        <is>
          <t>Specialty Chemicals</t>
        </is>
      </c>
      <c r="E264" s="16" t="inlineStr">
        <is>
          <t>Chemicals &amp; Petrochemicals</t>
        </is>
      </c>
      <c r="F264" s="17" t="n">
        <v>33859.45</v>
      </c>
      <c r="G264" s="16" t="inlineStr">
        <is>
          <t>HSCL</t>
        </is>
      </c>
      <c r="H264" s="16" t="inlineStr">
        <is>
          <t>500184</t>
        </is>
      </c>
      <c r="I264" s="27">
        <f>IFERROR(IF(INDEX(Stocks!$G$2:$G$2139,MATCH(A264,Stocks!$E$2:$E$2139,0))="","No","Yes"),"No")</f>
        <v/>
      </c>
    </row>
    <row r="265">
      <c r="A265" s="16" t="inlineStr">
        <is>
          <t>INE686F01025</t>
        </is>
      </c>
      <c r="B265" s="16" t="inlineStr">
        <is>
          <t>UBL</t>
        </is>
      </c>
      <c r="C265" s="16" t="inlineStr">
        <is>
          <t>United Breweries Ltd.</t>
        </is>
      </c>
      <c r="D265" s="16" t="inlineStr">
        <is>
          <t>Breweries &amp; Distilleries</t>
        </is>
      </c>
      <c r="E265" s="16" t="inlineStr">
        <is>
          <t>Food, Beverages &amp; Tobacco</t>
        </is>
      </c>
      <c r="F265" s="17" t="n">
        <v>33827.99</v>
      </c>
      <c r="G265" s="16" t="inlineStr">
        <is>
          <t>UBL</t>
        </is>
      </c>
      <c r="H265" s="16" t="inlineStr">
        <is>
          <t>532478</t>
        </is>
      </c>
      <c r="I265" s="27">
        <f>IFERROR(IF(INDEX(Stocks!$G$2:$G$2139,MATCH(A265,Stocks!$E$2:$E$2139,0))="","No","Yes"),"No")</f>
        <v/>
      </c>
    </row>
    <row r="266">
      <c r="A266" s="16" t="inlineStr">
        <is>
          <t>INE036D01028</t>
        </is>
      </c>
      <c r="B266" s="16" t="inlineStr">
        <is>
          <t>KARURVYSYA</t>
        </is>
      </c>
      <c r="C266" s="16" t="inlineStr">
        <is>
          <t>Karur Vysya Bank Ltd.</t>
        </is>
      </c>
      <c r="D266" s="16" t="inlineStr">
        <is>
          <t>Banks</t>
        </is>
      </c>
      <c r="E266" s="16" t="inlineStr">
        <is>
          <t>Banking and Finance</t>
        </is>
      </c>
      <c r="F266" s="17" t="n">
        <v>33723.01</v>
      </c>
      <c r="G266" s="16" t="inlineStr">
        <is>
          <t>KARURVYSYA</t>
        </is>
      </c>
      <c r="H266" s="16" t="inlineStr">
        <is>
          <t>590003</t>
        </is>
      </c>
      <c r="I266" s="27">
        <f>IFERROR(IF(INDEX(Stocks!$G$2:$G$2139,MATCH(A266,Stocks!$E$2:$E$2139,0))="","No","Yes"),"No")</f>
        <v/>
      </c>
    </row>
    <row r="267">
      <c r="A267" s="16" t="inlineStr">
        <is>
          <t>INE570L01029</t>
        </is>
      </c>
      <c r="B267" s="16" t="inlineStr">
        <is>
          <t>SAILIFE</t>
        </is>
      </c>
      <c r="C267" s="16" t="inlineStr">
        <is>
          <t>Sai Life Science Ltd.</t>
        </is>
      </c>
      <c r="D267" s="16" t="inlineStr">
        <is>
          <t>Pharmaceuticals</t>
        </is>
      </c>
      <c r="E267" s="16" t="inlineStr">
        <is>
          <t>Pharmaceuticals &amp; Biotechnology</t>
        </is>
      </c>
      <c r="F267" s="17" t="n">
        <v>33649.61</v>
      </c>
      <c r="G267" s="16" t="inlineStr">
        <is>
          <t>SAILIFE</t>
        </is>
      </c>
      <c r="H267" s="16" t="inlineStr">
        <is>
          <t>544306</t>
        </is>
      </c>
      <c r="I267" s="27">
        <f>IFERROR(IF(INDEX(Stocks!$G$2:$G$2139,MATCH(A267,Stocks!$E$2:$E$2139,0))="","No","Yes"),"No")</f>
        <v/>
      </c>
    </row>
    <row r="268">
      <c r="A268" s="16" t="inlineStr">
        <is>
          <t>INE379A01028</t>
        </is>
      </c>
      <c r="B268" s="16" t="inlineStr">
        <is>
          <t>ITCHOTELS</t>
        </is>
      </c>
      <c r="C268" s="16" t="inlineStr">
        <is>
          <t>ITC Hotels Ltd.</t>
        </is>
      </c>
      <c r="D268" s="16" t="inlineStr">
        <is>
          <t>Hotels</t>
        </is>
      </c>
      <c r="E268" s="16" t="inlineStr">
        <is>
          <t>Hotels Restaurants &amp; Tourism</t>
        </is>
      </c>
      <c r="F268" s="17" t="n">
        <v>33584.3</v>
      </c>
      <c r="G268" s="16" t="inlineStr">
        <is>
          <t>ITCHOTELS</t>
        </is>
      </c>
      <c r="H268" s="16" t="inlineStr">
        <is>
          <t>544325</t>
        </is>
      </c>
      <c r="I268" s="27">
        <f>IFERROR(IF(INDEX(Stocks!$G$2:$G$2139,MATCH(A268,Stocks!$E$2:$E$2139,0))="","No","Yes"),"No")</f>
        <v/>
      </c>
    </row>
    <row r="269">
      <c r="A269" s="16" t="inlineStr">
        <is>
          <t>INE531F01023</t>
        </is>
      </c>
      <c r="B269" s="16" t="inlineStr">
        <is>
          <t>NUVAMA</t>
        </is>
      </c>
      <c r="C269" s="16" t="inlineStr">
        <is>
          <t>Nuvama Wealth Management Ltd.</t>
        </is>
      </c>
      <c r="D269" s="16" t="inlineStr">
        <is>
          <t>Capital Markets</t>
        </is>
      </c>
      <c r="E269" s="16" t="inlineStr">
        <is>
          <t>Banking and Finance</t>
        </is>
      </c>
      <c r="F269" s="17" t="n">
        <v>33446.66</v>
      </c>
      <c r="G269" s="16" t="inlineStr">
        <is>
          <t>NUVAMA</t>
        </is>
      </c>
      <c r="H269" s="16" t="inlineStr">
        <is>
          <t>543988</t>
        </is>
      </c>
      <c r="I269" s="27">
        <f>IFERROR(IF(INDEX(Stocks!$G$2:$G$2139,MATCH(A269,Stocks!$E$2:$E$2139,0))="","No","Yes"),"No")</f>
        <v/>
      </c>
    </row>
    <row r="270">
      <c r="A270" s="16" t="inlineStr">
        <is>
          <t>INE042A01014</t>
        </is>
      </c>
      <c r="B270" s="16" t="inlineStr">
        <is>
          <t>ESCORTS</t>
        </is>
      </c>
      <c r="C270" s="16" t="inlineStr">
        <is>
          <t>Escorts Kubota Ltd.</t>
        </is>
      </c>
      <c r="D270" s="16" t="inlineStr">
        <is>
          <t>Commercial Vehicles</t>
        </is>
      </c>
      <c r="E270" s="16" t="inlineStr">
        <is>
          <t>Automobiles &amp; Auto Components</t>
        </is>
      </c>
      <c r="F270" s="17" t="n">
        <v>33214.28</v>
      </c>
      <c r="G270" s="16" t="inlineStr">
        <is>
          <t>ESCORTS</t>
        </is>
      </c>
      <c r="H270" s="16" t="inlineStr">
        <is>
          <t>500495</t>
        </is>
      </c>
      <c r="I270" s="27">
        <f>IFERROR(IF(INDEX(Stocks!$G$2:$G$2139,MATCH(A270,Stocks!$E$2:$E$2139,0))="","No","Yes"),"No")</f>
        <v/>
      </c>
    </row>
    <row r="271">
      <c r="A271" s="16" t="inlineStr">
        <is>
          <t>INE01NH01023</t>
        </is>
      </c>
      <c r="B271" s="16" t="inlineStr">
        <is>
          <t>DHOOTTRANS</t>
        </is>
      </c>
      <c r="C271" s="16" t="inlineStr">
        <is>
          <t>Dhoot Transmission Ltd.</t>
        </is>
      </c>
      <c r="D271" s="16" t="inlineStr">
        <is>
          <t>Auto Parts &amp; Equipment</t>
        </is>
      </c>
      <c r="E271" s="16" t="inlineStr">
        <is>
          <t>Automobiles &amp; Auto Components</t>
        </is>
      </c>
      <c r="F271" s="17" t="n">
        <v>33048.84</v>
      </c>
      <c r="G271" s="16" t="inlineStr">
        <is>
          <t>DHOOTTRANS</t>
        </is>
      </c>
      <c r="H271" s="16" t="inlineStr">
        <is>
          <t>544867</t>
        </is>
      </c>
      <c r="I271" s="27">
        <f>IFERROR(IF(INDEX(Stocks!$G$2:$G$2139,MATCH(A271,Stocks!$E$2:$E$2139,0))="","No","Yes"),"No")</f>
        <v/>
      </c>
    </row>
    <row r="272">
      <c r="A272" s="16" t="inlineStr">
        <is>
          <t>INE00R701025</t>
        </is>
      </c>
      <c r="B272" s="16" t="inlineStr">
        <is>
          <t>DALBHARAT</t>
        </is>
      </c>
      <c r="C272" s="16" t="inlineStr">
        <is>
          <t>Dalmia Bharat Ltd.</t>
        </is>
      </c>
      <c r="D272" s="16" t="inlineStr">
        <is>
          <t>Cement &amp; Cement Products</t>
        </is>
      </c>
      <c r="E272" s="16" t="inlineStr">
        <is>
          <t>Cement and Construction</t>
        </is>
      </c>
      <c r="F272" s="17" t="n">
        <v>32810.92</v>
      </c>
      <c r="G272" s="16" t="inlineStr">
        <is>
          <t>DALBHARAT</t>
        </is>
      </c>
      <c r="H272" s="16" t="inlineStr">
        <is>
          <t>542216</t>
        </is>
      </c>
      <c r="I272" s="27">
        <f>IFERROR(IF(INDEX(Stocks!$G$2:$G$2139,MATCH(A272,Stocks!$E$2:$E$2139,0))="","No","Yes"),"No")</f>
        <v/>
      </c>
    </row>
    <row r="273">
      <c r="A273" s="16" t="inlineStr">
        <is>
          <t>INE575P01011</t>
        </is>
      </c>
      <c r="B273" s="16" t="inlineStr">
        <is>
          <t>STARHEALTH</t>
        </is>
      </c>
      <c r="C273" s="16" t="inlineStr">
        <is>
          <t>Star Health and Allied Insurance Company Ltd.</t>
        </is>
      </c>
      <c r="D273" s="16" t="inlineStr">
        <is>
          <t>General Insurance</t>
        </is>
      </c>
      <c r="E273" s="16" t="inlineStr">
        <is>
          <t>Banking and Finance</t>
        </is>
      </c>
      <c r="F273" s="17" t="n">
        <v>32754.31</v>
      </c>
      <c r="G273" s="16" t="inlineStr">
        <is>
          <t>STARHEALTH</t>
        </is>
      </c>
      <c r="H273" s="16" t="inlineStr">
        <is>
          <t>543412</t>
        </is>
      </c>
      <c r="I273" s="27">
        <f>IFERROR(IF(INDEX(Stocks!$G$2:$G$2139,MATCH(A273,Stocks!$E$2:$E$2139,0))="","No","Yes"),"No")</f>
        <v/>
      </c>
    </row>
    <row r="274">
      <c r="A274" s="16" t="inlineStr">
        <is>
          <t>INE142M01025</t>
        </is>
      </c>
      <c r="B274" s="16" t="inlineStr">
        <is>
          <t>TATATECH</t>
        </is>
      </c>
      <c r="C274" s="16" t="inlineStr">
        <is>
          <t>Tata Technologies Ltd.</t>
        </is>
      </c>
      <c r="D274" s="16" t="inlineStr">
        <is>
          <t>IT Software Products</t>
        </is>
      </c>
      <c r="E274" s="16" t="inlineStr">
        <is>
          <t>Software &amp; Services</t>
        </is>
      </c>
      <c r="F274" s="17" t="n">
        <v>32484.14</v>
      </c>
      <c r="G274" s="16" t="inlineStr">
        <is>
          <t>TATATECH</t>
        </is>
      </c>
      <c r="H274" s="16" t="inlineStr">
        <is>
          <t>544028</t>
        </is>
      </c>
      <c r="I274" s="27">
        <f>IFERROR(IF(INDEX(Stocks!$G$2:$G$2139,MATCH(A274,Stocks!$E$2:$E$2139,0))="","No","Yes"),"No")</f>
        <v/>
      </c>
    </row>
    <row r="275">
      <c r="A275" s="16" t="inlineStr">
        <is>
          <t>INE093A01041</t>
        </is>
      </c>
      <c r="B275" s="16" t="inlineStr">
        <is>
          <t>HEXT</t>
        </is>
      </c>
      <c r="C275" s="16" t="inlineStr">
        <is>
          <t>Hexaware Technologies Ltd.</t>
        </is>
      </c>
      <c r="D275" s="16" t="inlineStr">
        <is>
          <t>IT Consulting &amp; Software</t>
        </is>
      </c>
      <c r="E275" s="16" t="inlineStr">
        <is>
          <t>Software &amp; Services</t>
        </is>
      </c>
      <c r="F275" s="17" t="n">
        <v>32192.11</v>
      </c>
      <c r="G275" s="16" t="inlineStr">
        <is>
          <t>HEXT</t>
        </is>
      </c>
      <c r="H275" s="16" t="inlineStr">
        <is>
          <t>544362</t>
        </is>
      </c>
      <c r="I275" s="27">
        <f>IFERROR(IF(INDEX(Stocks!$G$2:$G$2139,MATCH(A275,Stocks!$E$2:$E$2139,0))="","No","Yes"),"No")</f>
        <v/>
      </c>
    </row>
    <row r="276">
      <c r="A276" s="16" t="inlineStr">
        <is>
          <t>INE967H01025</t>
        </is>
      </c>
      <c r="B276" s="16" t="inlineStr">
        <is>
          <t>KIMS</t>
        </is>
      </c>
      <c r="C276" s="16" t="inlineStr">
        <is>
          <t>Krishna Institute of Medical Sciences Ltd.</t>
        </is>
      </c>
      <c r="D276" s="16" t="inlineStr">
        <is>
          <t>Healthcare Facilities</t>
        </is>
      </c>
      <c r="E276" s="16" t="inlineStr">
        <is>
          <t>Healthcare</t>
        </is>
      </c>
      <c r="F276" s="17" t="n">
        <v>32092.7</v>
      </c>
      <c r="G276" s="16" t="inlineStr">
        <is>
          <t>KIMS</t>
        </is>
      </c>
      <c r="H276" s="16" t="inlineStr">
        <is>
          <t>543308</t>
        </is>
      </c>
      <c r="I276" s="27">
        <f>IFERROR(IF(INDEX(Stocks!$G$2:$G$2139,MATCH(A276,Stocks!$E$2:$E$2139,0))="","No","Yes"),"No")</f>
        <v/>
      </c>
    </row>
    <row r="277">
      <c r="A277" s="16" t="inlineStr">
        <is>
          <t>INE672A01026</t>
        </is>
      </c>
      <c r="B277" s="16" t="inlineStr">
        <is>
          <t>TATAINVEST</t>
        </is>
      </c>
      <c r="C277" s="16" t="inlineStr">
        <is>
          <t>Tata Investment Corporation Ltd.</t>
        </is>
      </c>
      <c r="D277" s="16" t="inlineStr">
        <is>
          <t>Holding Companies</t>
        </is>
      </c>
      <c r="E277" s="16" t="inlineStr">
        <is>
          <t>Diversified</t>
        </is>
      </c>
      <c r="F277" s="17" t="n">
        <v>32062.24</v>
      </c>
      <c r="G277" s="16" t="inlineStr">
        <is>
          <t>TATAINVEST</t>
        </is>
      </c>
      <c r="H277" s="16" t="inlineStr">
        <is>
          <t>501301</t>
        </is>
      </c>
      <c r="I277" s="27">
        <f>IFERROR(IF(INDEX(Stocks!$G$2:$G$2139,MATCH(A277,Stocks!$E$2:$E$2139,0))="","No","Yes"),"No")</f>
        <v/>
      </c>
    </row>
    <row r="278">
      <c r="A278" s="16" t="inlineStr">
        <is>
          <t>INE146L01010</t>
        </is>
      </c>
      <c r="B278" s="16" t="inlineStr">
        <is>
          <t>KIRLOSENG</t>
        </is>
      </c>
      <c r="C278" s="16" t="inlineStr">
        <is>
          <t>Kirloskar Oil Engines Ltd.</t>
        </is>
      </c>
      <c r="D278" s="16" t="inlineStr">
        <is>
          <t>Industrial Machinery</t>
        </is>
      </c>
      <c r="E278" s="16" t="inlineStr">
        <is>
          <t>General Industrials</t>
        </is>
      </c>
      <c r="F278" s="17" t="n">
        <v>32042.03</v>
      </c>
      <c r="G278" s="16" t="inlineStr">
        <is>
          <t>KIRLOSENG</t>
        </is>
      </c>
      <c r="H278" s="16" t="inlineStr">
        <is>
          <t>533293</t>
        </is>
      </c>
      <c r="I278" s="27">
        <f>IFERROR(IF(INDEX(Stocks!$G$2:$G$2139,MATCH(A278,Stocks!$E$2:$E$2139,0))="","No","Yes"),"No")</f>
        <v/>
      </c>
    </row>
    <row r="279">
      <c r="A279" s="16" t="inlineStr">
        <is>
          <t>INE260B01028</t>
        </is>
      </c>
      <c r="B279" s="16" t="inlineStr">
        <is>
          <t>GODFRYPHLP</t>
        </is>
      </c>
      <c r="C279" s="16" t="inlineStr">
        <is>
          <t>Godfrey Phillips India Ltd.</t>
        </is>
      </c>
      <c r="D279" s="16" t="inlineStr">
        <is>
          <t>Cigarettes-Tobacco Products</t>
        </is>
      </c>
      <c r="E279" s="16" t="inlineStr">
        <is>
          <t>Food, Beverages &amp; Tobacco</t>
        </is>
      </c>
      <c r="F279" s="17" t="n">
        <v>31991.87</v>
      </c>
      <c r="G279" s="16" t="inlineStr">
        <is>
          <t>GODFRYPHLP</t>
        </is>
      </c>
      <c r="H279" s="16" t="inlineStr">
        <is>
          <t>500163</t>
        </is>
      </c>
      <c r="I279" s="27">
        <f>IFERROR(IF(INDEX(Stocks!$G$2:$G$2139,MATCH(A279,Stocks!$E$2:$E$2139,0))="","No","Yes"),"No")</f>
        <v/>
      </c>
    </row>
    <row r="280">
      <c r="A280" s="16" t="inlineStr">
        <is>
          <t>INE202E01016</t>
        </is>
      </c>
      <c r="B280" s="16" t="inlineStr">
        <is>
          <t>IREDA</t>
        </is>
      </c>
      <c r="C280" s="16" t="inlineStr">
        <is>
          <t>Indian Renewable Energy Development Agency Ltd.</t>
        </is>
      </c>
      <c r="D280" s="16" t="inlineStr">
        <is>
          <t>Financial Institutions</t>
        </is>
      </c>
      <c r="E280" s="16" t="inlineStr">
        <is>
          <t>Banking and Finance</t>
        </is>
      </c>
      <c r="F280" s="17" t="n">
        <v>31924.1</v>
      </c>
      <c r="G280" s="16" t="inlineStr">
        <is>
          <t>IREDA</t>
        </is>
      </c>
      <c r="H280" s="16" t="inlineStr">
        <is>
          <t>544026</t>
        </is>
      </c>
      <c r="I280" s="27">
        <f>IFERROR(IF(INDEX(Stocks!$G$2:$G$2139,MATCH(A280,Stocks!$E$2:$E$2139,0))="","No","Yes"),"No")</f>
        <v/>
      </c>
    </row>
    <row r="281">
      <c r="A281" s="16" t="inlineStr">
        <is>
          <t>INE797F01020</t>
        </is>
      </c>
      <c r="B281" s="16" t="inlineStr">
        <is>
          <t>JUBLFOOD</t>
        </is>
      </c>
      <c r="C281" s="16" t="inlineStr">
        <is>
          <t>Jubilant Foodworks Ltd.</t>
        </is>
      </c>
      <c r="D281" s="16" t="inlineStr">
        <is>
          <t>Restaurants</t>
        </is>
      </c>
      <c r="E281" s="16" t="inlineStr">
        <is>
          <t>Hotels Restaurants &amp; Tourism</t>
        </is>
      </c>
      <c r="F281" s="17" t="n">
        <v>31850.73</v>
      </c>
      <c r="G281" s="16" t="inlineStr">
        <is>
          <t>JUBLFOOD</t>
        </is>
      </c>
      <c r="H281" s="16" t="inlineStr">
        <is>
          <t>533155</t>
        </is>
      </c>
      <c r="I281" s="27">
        <f>IFERROR(IF(INDEX(Stocks!$G$2:$G$2139,MATCH(A281,Stocks!$E$2:$E$2139,0))="","No","Yes"),"No")</f>
        <v/>
      </c>
    </row>
    <row r="282">
      <c r="A282" s="16" t="inlineStr">
        <is>
          <t>INE671A01010</t>
        </is>
      </c>
      <c r="B282" s="16" t="inlineStr">
        <is>
          <t>HONAUT</t>
        </is>
      </c>
      <c r="C282" s="16" t="inlineStr">
        <is>
          <t>Honeywell Automation India Ltd.</t>
        </is>
      </c>
      <c r="D282" s="16" t="inlineStr">
        <is>
          <t>Other Electrical Equipment/Products</t>
        </is>
      </c>
      <c r="E282" s="16" t="inlineStr">
        <is>
          <t>Consumer Durables</t>
        </is>
      </c>
      <c r="F282" s="17" t="n">
        <v>31524.37</v>
      </c>
      <c r="G282" s="16" t="inlineStr">
        <is>
          <t>HONAUT</t>
        </is>
      </c>
      <c r="H282" s="16" t="inlineStr">
        <is>
          <t>517174</t>
        </is>
      </c>
      <c r="I282" s="27">
        <f>IFERROR(IF(INDEX(Stocks!$G$2:$G$2139,MATCH(A282,Stocks!$E$2:$E$2139,0))="","No","Yes"),"No")</f>
        <v/>
      </c>
    </row>
    <row r="283">
      <c r="A283" s="16" t="inlineStr">
        <is>
          <t>INE0INX01018</t>
        </is>
      </c>
      <c r="B283" s="16" t="inlineStr">
        <is>
          <t>AEGISVOPAK</t>
        </is>
      </c>
      <c r="C283" s="16" t="inlineStr">
        <is>
          <t>Aegis Vopak Terminals Ltd.</t>
        </is>
      </c>
      <c r="D283" s="16" t="inlineStr">
        <is>
          <t>Marine Port &amp; Services</t>
        </is>
      </c>
      <c r="E283" s="16" t="inlineStr">
        <is>
          <t>Transportation</t>
        </is>
      </c>
      <c r="F283" s="17" t="n">
        <v>31522.36</v>
      </c>
      <c r="G283" s="16" t="inlineStr">
        <is>
          <t>AEGISVOPAK</t>
        </is>
      </c>
      <c r="H283" s="16" t="inlineStr">
        <is>
          <t>544407</t>
        </is>
      </c>
      <c r="I283" s="27">
        <f>IFERROR(IF(INDEX(Stocks!$G$2:$G$2139,MATCH(A283,Stocks!$E$2:$E$2139,0))="","No","Yes"),"No")</f>
        <v/>
      </c>
    </row>
    <row r="284">
      <c r="A284" s="16" t="inlineStr">
        <is>
          <t>INE600L01024</t>
        </is>
      </c>
      <c r="B284" s="16" t="inlineStr">
        <is>
          <t>LALPATHLAB</t>
        </is>
      </c>
      <c r="C284" s="16" t="inlineStr">
        <is>
          <t>Dr. Lal Pathlabs Ltd.</t>
        </is>
      </c>
      <c r="D284" s="16" t="inlineStr">
        <is>
          <t>Healthcare Services</t>
        </is>
      </c>
      <c r="E284" s="16" t="inlineStr">
        <is>
          <t>Healthcare</t>
        </is>
      </c>
      <c r="F284" s="17" t="n">
        <v>31513.61</v>
      </c>
      <c r="G284" s="16" t="inlineStr">
        <is>
          <t>LALPATHLAB</t>
        </is>
      </c>
      <c r="H284" s="16" t="inlineStr">
        <is>
          <t>539524</t>
        </is>
      </c>
      <c r="I284" s="27">
        <f>IFERROR(IF(INDEX(Stocks!$G$2:$G$2139,MATCH(A284,Stocks!$E$2:$E$2139,0))="","No","Yes"),"No")</f>
        <v/>
      </c>
    </row>
    <row r="285">
      <c r="A285" s="16" t="inlineStr">
        <is>
          <t>INE691A01018</t>
        </is>
      </c>
      <c r="B285" s="16" t="inlineStr">
        <is>
          <t>UCOBANK</t>
        </is>
      </c>
      <c r="C285" s="16" t="inlineStr">
        <is>
          <t>UCO Bank</t>
        </is>
      </c>
      <c r="D285" s="16" t="inlineStr">
        <is>
          <t>Banks</t>
        </is>
      </c>
      <c r="E285" s="16" t="inlineStr">
        <is>
          <t>Banking and Finance</t>
        </is>
      </c>
      <c r="F285" s="17" t="n">
        <v>31073.03</v>
      </c>
      <c r="G285" s="16" t="inlineStr">
        <is>
          <t>UCOBANK</t>
        </is>
      </c>
      <c r="H285" s="16" t="inlineStr">
        <is>
          <t>532505</t>
        </is>
      </c>
      <c r="I285" s="27">
        <f>IFERROR(IF(INDEX(Stocks!$G$2:$G$2139,MATCH(A285,Stocks!$E$2:$E$2139,0))="","No","Yes"),"No")</f>
        <v/>
      </c>
    </row>
    <row r="286">
      <c r="A286" s="16" t="inlineStr">
        <is>
          <t>INE115A01026</t>
        </is>
      </c>
      <c r="B286" s="16" t="inlineStr">
        <is>
          <t>LICHSGFIN</t>
        </is>
      </c>
      <c r="C286" s="16" t="inlineStr">
        <is>
          <t>LIC Housing Finance Ltd.</t>
        </is>
      </c>
      <c r="D286" s="16" t="inlineStr">
        <is>
          <t>Housing Finance</t>
        </is>
      </c>
      <c r="E286" s="16" t="inlineStr">
        <is>
          <t>Banking and Finance</t>
        </is>
      </c>
      <c r="F286" s="17" t="n">
        <v>30916.29</v>
      </c>
      <c r="G286" s="16" t="inlineStr">
        <is>
          <t>LICHSGFIN</t>
        </is>
      </c>
      <c r="H286" s="16" t="inlineStr">
        <is>
          <t>500253</t>
        </is>
      </c>
      <c r="I286" s="27">
        <f>IFERROR(IF(INDEX(Stocks!$G$2:$G$2139,MATCH(A286,Stocks!$E$2:$E$2139,0))="","No","Yes"),"No")</f>
        <v/>
      </c>
    </row>
    <row r="287">
      <c r="A287" s="16" t="inlineStr">
        <is>
          <t>INE0NT901020</t>
        </is>
      </c>
      <c r="B287" s="16" t="inlineStr">
        <is>
          <t>NETWEB</t>
        </is>
      </c>
      <c r="C287" s="16" t="inlineStr">
        <is>
          <t>Netweb Technologies India Ltd.</t>
        </is>
      </c>
      <c r="D287" s="16" t="inlineStr">
        <is>
          <t>IT Consulting &amp; Software</t>
        </is>
      </c>
      <c r="E287" s="16" t="inlineStr">
        <is>
          <t>Software &amp; Services</t>
        </is>
      </c>
      <c r="F287" s="17" t="n">
        <v>30870.26</v>
      </c>
      <c r="G287" s="16" t="inlineStr">
        <is>
          <t>NETWEB</t>
        </is>
      </c>
      <c r="H287" s="16" t="inlineStr">
        <is>
          <t>543945</t>
        </is>
      </c>
      <c r="I287" s="27">
        <f>IFERROR(IF(INDEX(Stocks!$G$2:$G$2139,MATCH(A287,Stocks!$E$2:$E$2139,0))="","No","Yes"),"No")</f>
        <v/>
      </c>
    </row>
    <row r="288">
      <c r="A288" s="16" t="inlineStr">
        <is>
          <t>INE404A01024</t>
        </is>
      </c>
      <c r="B288" s="16" t="inlineStr">
        <is>
          <t>ABSLAMC</t>
        </is>
      </c>
      <c r="C288" s="16" t="inlineStr">
        <is>
          <t>Aditya Birla Sun Life AMC Ltd.</t>
        </is>
      </c>
      <c r="D288" s="16" t="inlineStr">
        <is>
          <t>Asset Management Cos.</t>
        </is>
      </c>
      <c r="E288" s="16" t="inlineStr">
        <is>
          <t>Banking and Finance</t>
        </is>
      </c>
      <c r="F288" s="17" t="n">
        <v>30728.48</v>
      </c>
      <c r="G288" s="16" t="inlineStr">
        <is>
          <t>ABSLAMC</t>
        </is>
      </c>
      <c r="H288" s="16" t="inlineStr">
        <is>
          <t>543374</t>
        </is>
      </c>
      <c r="I288" s="27">
        <f>IFERROR(IF(INDEX(Stocks!$G$2:$G$2139,MATCH(A288,Stocks!$E$2:$E$2139,0))="","No","Yes"),"No")</f>
        <v/>
      </c>
    </row>
    <row r="289">
      <c r="A289" s="16" t="inlineStr">
        <is>
          <t>INE103A01014</t>
        </is>
      </c>
      <c r="B289" s="16" t="inlineStr">
        <is>
          <t>MRPL</t>
        </is>
      </c>
      <c r="C289" s="16" t="inlineStr">
        <is>
          <t>Mangalore Refinery And Petrochemicals Ltd.</t>
        </is>
      </c>
      <c r="D289" s="16" t="inlineStr">
        <is>
          <t>Refineries/Petro-Products</t>
        </is>
      </c>
      <c r="E289" s="16" t="inlineStr">
        <is>
          <t>Oil &amp; Gas</t>
        </is>
      </c>
      <c r="F289" s="17" t="n">
        <v>30640.68</v>
      </c>
      <c r="G289" s="16" t="inlineStr">
        <is>
          <t>MRPL</t>
        </is>
      </c>
      <c r="H289" s="16" t="inlineStr">
        <is>
          <t>500109</t>
        </is>
      </c>
      <c r="I289" s="27">
        <f>IFERROR(IF(INDEX(Stocks!$G$2:$G$2139,MATCH(A289,Stocks!$E$2:$E$2139,0))="","No","Yes"),"No")</f>
        <v/>
      </c>
    </row>
    <row r="290">
      <c r="A290" s="16" t="inlineStr">
        <is>
          <t>INE472A01039</t>
        </is>
      </c>
      <c r="B290" s="16" t="inlineStr">
        <is>
          <t>BLUESTARCO</t>
        </is>
      </c>
      <c r="C290" s="16" t="inlineStr">
        <is>
          <t>Blue Star Ltd.</t>
        </is>
      </c>
      <c r="D290" s="16" t="inlineStr">
        <is>
          <t>Consumer Electronics</t>
        </is>
      </c>
      <c r="E290" s="16" t="inlineStr">
        <is>
          <t>Consumer Durables</t>
        </is>
      </c>
      <c r="F290" s="17" t="n">
        <v>30513.24</v>
      </c>
      <c r="G290" s="16" t="inlineStr">
        <is>
          <t>BLUESTARCO</t>
        </is>
      </c>
      <c r="H290" s="16" t="inlineStr">
        <is>
          <t>500067</t>
        </is>
      </c>
      <c r="I290" s="27">
        <f>IFERROR(IF(INDEX(Stocks!$G$2:$G$2139,MATCH(A290,Stocks!$E$2:$E$2139,0))="","No","Yes"),"No")</f>
        <v/>
      </c>
    </row>
    <row r="291">
      <c r="A291" s="16" t="inlineStr">
        <is>
          <t>INE572E01012</t>
        </is>
      </c>
      <c r="B291" s="16" t="inlineStr">
        <is>
          <t>PNBHOUSING</t>
        </is>
      </c>
      <c r="C291" s="16" t="inlineStr">
        <is>
          <t>PNB Housing Finance Ltd.</t>
        </is>
      </c>
      <c r="D291" s="16" t="inlineStr">
        <is>
          <t>Housing Finance</t>
        </is>
      </c>
      <c r="E291" s="16" t="inlineStr">
        <is>
          <t>Banking and Finance</t>
        </is>
      </c>
      <c r="F291" s="17" t="n">
        <v>30409.73</v>
      </c>
      <c r="G291" s="16" t="inlineStr">
        <is>
          <t>PNBHOUSING</t>
        </is>
      </c>
      <c r="H291" s="16" t="inlineStr">
        <is>
          <t>540173</t>
        </is>
      </c>
      <c r="I291" s="27">
        <f>IFERROR(IF(INDEX(Stocks!$G$2:$G$2139,MATCH(A291,Stocks!$E$2:$E$2139,0))="","No","Yes"),"No")</f>
        <v/>
      </c>
    </row>
    <row r="292">
      <c r="A292" s="16" t="inlineStr">
        <is>
          <t>INE115Q01022</t>
        </is>
      </c>
      <c r="B292" s="16" t="inlineStr">
        <is>
          <t>IKS</t>
        </is>
      </c>
      <c r="C292" s="16" t="inlineStr">
        <is>
          <t>Inventurus Knowledge Solutions Ltd.</t>
        </is>
      </c>
      <c r="D292" s="16" t="inlineStr">
        <is>
          <t>Healthcare Services</t>
        </is>
      </c>
      <c r="E292" s="16" t="inlineStr">
        <is>
          <t>Healthcare</t>
        </is>
      </c>
      <c r="F292" s="17" t="n">
        <v>30195.17</v>
      </c>
      <c r="G292" s="16" t="inlineStr">
        <is>
          <t>IKS</t>
        </is>
      </c>
      <c r="H292" s="16" t="inlineStr">
        <is>
          <t>544309</t>
        </is>
      </c>
      <c r="I292" s="27">
        <f>IFERROR(IF(INDEX(Stocks!$G$2:$G$2139,MATCH(A292,Stocks!$E$2:$E$2139,0))="","No","Yes"),"No")</f>
        <v/>
      </c>
    </row>
    <row r="293">
      <c r="A293" s="16" t="inlineStr">
        <is>
          <t>INE00LO01017</t>
        </is>
      </c>
      <c r="B293" s="16" t="inlineStr">
        <is>
          <t>CRAFTSMAN</t>
        </is>
      </c>
      <c r="C293" s="16" t="inlineStr">
        <is>
          <t>Craftsman Automation Ltd.</t>
        </is>
      </c>
      <c r="D293" s="16" t="inlineStr">
        <is>
          <t>Auto Parts &amp; Equipment</t>
        </is>
      </c>
      <c r="E293" s="16" t="inlineStr">
        <is>
          <t>Automobiles &amp; Auto Components</t>
        </is>
      </c>
      <c r="F293" s="17" t="n">
        <v>29810.79</v>
      </c>
      <c r="G293" s="16" t="inlineStr">
        <is>
          <t>CRAFTSMAN</t>
        </is>
      </c>
      <c r="H293" s="16" t="inlineStr">
        <is>
          <t>543276</t>
        </is>
      </c>
      <c r="I293" s="27">
        <f>IFERROR(IF(INDEX(Stocks!$G$2:$G$2139,MATCH(A293,Stocks!$E$2:$E$2139,0))="","No","Yes"),"No")</f>
        <v/>
      </c>
    </row>
    <row r="294">
      <c r="A294" s="16" t="inlineStr">
        <is>
          <t>INE810G01011</t>
        </is>
      </c>
      <c r="B294" s="16" t="inlineStr">
        <is>
          <t>SHYAMMETL</t>
        </is>
      </c>
      <c r="C294" s="16" t="inlineStr">
        <is>
          <t>Shyam Metalics and Energy Ltd.</t>
        </is>
      </c>
      <c r="D294" s="16" t="inlineStr">
        <is>
          <t>Iron &amp; Steel/Interm.Products</t>
        </is>
      </c>
      <c r="E294" s="16" t="inlineStr">
        <is>
          <t>Metals &amp; Mining</t>
        </is>
      </c>
      <c r="F294" s="17" t="n">
        <v>29735.92</v>
      </c>
      <c r="G294" s="16" t="inlineStr">
        <is>
          <t>SHYAMMETL</t>
        </is>
      </c>
      <c r="H294" s="16" t="inlineStr">
        <is>
          <t>543299</t>
        </is>
      </c>
      <c r="I294" s="27">
        <f>IFERROR(IF(INDEX(Stocks!$G$2:$G$2139,MATCH(A294,Stocks!$E$2:$E$2139,0))="","No","Yes"),"No")</f>
        <v/>
      </c>
    </row>
    <row r="295">
      <c r="A295" s="16" t="inlineStr">
        <is>
          <t>INE622W01025</t>
        </is>
      </c>
      <c r="B295" s="16" t="inlineStr">
        <is>
          <t>ACMESOLAR</t>
        </is>
      </c>
      <c r="C295" s="16" t="inlineStr">
        <is>
          <t>ACME Solar Holdings Ltd.</t>
        </is>
      </c>
      <c r="D295" s="16" t="inlineStr">
        <is>
          <t>Green &amp; Renewable Energy</t>
        </is>
      </c>
      <c r="E295" s="16" t="inlineStr">
        <is>
          <t>Utilities</t>
        </is>
      </c>
      <c r="F295" s="17" t="n">
        <v>29547.35</v>
      </c>
      <c r="G295" s="16" t="inlineStr">
        <is>
          <t>ACMESOLAR</t>
        </is>
      </c>
      <c r="H295" s="16" t="inlineStr">
        <is>
          <t>544283</t>
        </is>
      </c>
      <c r="I295" s="27">
        <f>IFERROR(IF(INDEX(Stocks!$G$2:$G$2139,MATCH(A295,Stocks!$E$2:$E$2139,0))="","No","Yes"),"No")</f>
        <v/>
      </c>
    </row>
    <row r="296">
      <c r="A296" s="16" t="inlineStr">
        <is>
          <t>INE839M01018</t>
        </is>
      </c>
      <c r="B296" s="16" t="inlineStr">
        <is>
          <t>SCHNEIDER</t>
        </is>
      </c>
      <c r="C296" s="16" t="inlineStr">
        <is>
          <t>Schneider Electric Infrastructure Ltd.</t>
        </is>
      </c>
      <c r="D296" s="16" t="inlineStr">
        <is>
          <t>Heavy Electrical Equipment</t>
        </is>
      </c>
      <c r="E296" s="16" t="inlineStr">
        <is>
          <t>General Industrials</t>
        </is>
      </c>
      <c r="F296" s="17" t="n">
        <v>29467.18</v>
      </c>
      <c r="G296" s="16" t="inlineStr">
        <is>
          <t>SCHNEIDER</t>
        </is>
      </c>
      <c r="H296" s="16" t="inlineStr">
        <is>
          <t>534139</t>
        </is>
      </c>
      <c r="I296" s="27">
        <f>IFERROR(IF(INDEX(Stocks!$G$2:$G$2139,MATCH(A296,Stocks!$E$2:$E$2139,0))="","No","Yes"),"No")</f>
        <v/>
      </c>
    </row>
    <row r="297">
      <c r="A297" s="16" t="inlineStr">
        <is>
          <t>INE506V01022</t>
        </is>
      </c>
      <c r="B297" s="16" t="inlineStr">
        <is>
          <t>RUBICON</t>
        </is>
      </c>
      <c r="C297" s="16" t="inlineStr">
        <is>
          <t>Rubicon Research Ltd.</t>
        </is>
      </c>
      <c r="D297" s="16" t="inlineStr">
        <is>
          <t>Pharmaceuticals</t>
        </is>
      </c>
      <c r="E297" s="16" t="inlineStr">
        <is>
          <t>Pharmaceuticals &amp; Biotechnology</t>
        </is>
      </c>
      <c r="F297" s="17" t="n">
        <v>29271.01</v>
      </c>
      <c r="G297" s="16" t="inlineStr">
        <is>
          <t>RUBICON</t>
        </is>
      </c>
      <c r="H297" s="16" t="inlineStr">
        <is>
          <t>544578</t>
        </is>
      </c>
      <c r="I297" s="27">
        <f>IFERROR(IF(INDEX(Stocks!$G$2:$G$2139,MATCH(A297,Stocks!$E$2:$E$2139,0))="","No","Yes"),"No")</f>
        <v/>
      </c>
    </row>
    <row r="298">
      <c r="A298" s="16" t="inlineStr">
        <is>
          <t>INE736A01011</t>
        </is>
      </c>
      <c r="B298" s="16" t="inlineStr">
        <is>
          <t>CDSL</t>
        </is>
      </c>
      <c r="C298" s="16" t="inlineStr">
        <is>
          <t>Central Depository Services (India) Ltd.</t>
        </is>
      </c>
      <c r="D298" s="16" t="inlineStr">
        <is>
          <t>Other Financial Services</t>
        </is>
      </c>
      <c r="E298" s="16" t="inlineStr">
        <is>
          <t>Banking and Finance</t>
        </is>
      </c>
      <c r="F298" s="17" t="n">
        <v>29147.14</v>
      </c>
      <c r="G298" s="16" t="inlineStr">
        <is>
          <t>CDSL</t>
        </is>
      </c>
      <c r="H298" s="16" t="inlineStr"/>
      <c r="I298" s="27">
        <f>IFERROR(IF(INDEX(Stocks!$G$2:$G$2139,MATCH(A298,Stocks!$E$2:$E$2139,0))="","No","Yes"),"No")</f>
        <v/>
      </c>
    </row>
    <row r="299">
      <c r="A299" s="16" t="inlineStr">
        <is>
          <t>INE794A01010</t>
        </is>
      </c>
      <c r="B299" s="16" t="inlineStr">
        <is>
          <t>NEULANDLAB</t>
        </is>
      </c>
      <c r="C299" s="16" t="inlineStr">
        <is>
          <t>Neuland Laboratories Ltd.</t>
        </is>
      </c>
      <c r="D299" s="16" t="inlineStr">
        <is>
          <t>Pharmaceuticals</t>
        </is>
      </c>
      <c r="E299" s="16" t="inlineStr">
        <is>
          <t>Pharmaceuticals &amp; Biotechnology</t>
        </is>
      </c>
      <c r="F299" s="17" t="n">
        <v>29072.55</v>
      </c>
      <c r="G299" s="16" t="inlineStr">
        <is>
          <t>NEULANDLAB</t>
        </is>
      </c>
      <c r="H299" s="16" t="inlineStr">
        <is>
          <t>524558</t>
        </is>
      </c>
      <c r="I299" s="27">
        <f>IFERROR(IF(INDEX(Stocks!$G$2:$G$2139,MATCH(A299,Stocks!$E$2:$E$2139,0))="","No","Yes"),"No")</f>
        <v/>
      </c>
    </row>
    <row r="300">
      <c r="A300" s="16" t="inlineStr">
        <is>
          <t>INE342J01019</t>
        </is>
      </c>
      <c r="B300" s="16" t="inlineStr">
        <is>
          <t>ZFCVINDIA</t>
        </is>
      </c>
      <c r="C300" s="16" t="inlineStr">
        <is>
          <t>ZF Commercial Vehicle Control Systems India Ltd.</t>
        </is>
      </c>
      <c r="D300" s="16" t="inlineStr">
        <is>
          <t>Auto Parts &amp; Equipment</t>
        </is>
      </c>
      <c r="E300" s="16" t="inlineStr">
        <is>
          <t>Automobiles &amp; Auto Components</t>
        </is>
      </c>
      <c r="F300" s="17" t="n">
        <v>29042.03</v>
      </c>
      <c r="G300" s="16" t="inlineStr">
        <is>
          <t>ZFCVINDIA</t>
        </is>
      </c>
      <c r="H300" s="16" t="inlineStr">
        <is>
          <t>533023</t>
        </is>
      </c>
      <c r="I300" s="27">
        <f>IFERROR(IF(INDEX(Stocks!$G$2:$G$2139,MATCH(A300,Stocks!$E$2:$E$2139,0))="","No","Yes"),"No")</f>
        <v/>
      </c>
    </row>
    <row r="301">
      <c r="A301" s="16" t="inlineStr">
        <is>
          <t>INE891D01026</t>
        </is>
      </c>
      <c r="B301" s="16" t="inlineStr">
        <is>
          <t>REDINGTON</t>
        </is>
      </c>
      <c r="C301" s="16" t="inlineStr">
        <is>
          <t>Redington Ltd.</t>
        </is>
      </c>
      <c r="D301" s="16" t="inlineStr">
        <is>
          <t>Commodity Trading  &amp; Distribution</t>
        </is>
      </c>
      <c r="E301" s="16" t="inlineStr">
        <is>
          <t>Commercial Services &amp; Supplies</t>
        </is>
      </c>
      <c r="F301" s="17" t="n">
        <v>29027.28</v>
      </c>
      <c r="G301" s="16" t="inlineStr">
        <is>
          <t>REDINGTON</t>
        </is>
      </c>
      <c r="H301" s="16" t="inlineStr">
        <is>
          <t>532805</t>
        </is>
      </c>
      <c r="I301" s="27">
        <f>IFERROR(IF(INDEX(Stocks!$G$2:$G$2139,MATCH(A301,Stocks!$E$2:$E$2139,0))="","No","Yes"),"No")</f>
        <v/>
      </c>
    </row>
    <row r="302">
      <c r="A302" s="16" t="inlineStr">
        <is>
          <t>INE382Z01011</t>
        </is>
      </c>
      <c r="B302" s="16" t="inlineStr">
        <is>
          <t>GRSE</t>
        </is>
      </c>
      <c r="C302" s="16" t="inlineStr">
        <is>
          <t>Garden Reach Shipbuilders &amp; Engineers Ltd.</t>
        </is>
      </c>
      <c r="D302" s="16" t="inlineStr">
        <is>
          <t>Aerospace &amp; Defence</t>
        </is>
      </c>
      <c r="E302" s="16" t="inlineStr">
        <is>
          <t>General Industrials</t>
        </is>
      </c>
      <c r="F302" s="17" t="n">
        <v>29018.31</v>
      </c>
      <c r="G302" s="16" t="inlineStr">
        <is>
          <t>GRSE</t>
        </is>
      </c>
      <c r="H302" s="16" t="inlineStr">
        <is>
          <t>542011</t>
        </is>
      </c>
      <c r="I302" s="27">
        <f>IFERROR(IF(INDEX(Stocks!$G$2:$G$2139,MATCH(A302,Stocks!$E$2:$E$2139,0))="","No","Yes"),"No")</f>
        <v/>
      </c>
    </row>
    <row r="303">
      <c r="A303" s="16" t="inlineStr">
        <is>
          <t>INE522D01027</t>
        </is>
      </c>
      <c r="B303" s="16" t="inlineStr">
        <is>
          <t>MANAPPURAM</t>
        </is>
      </c>
      <c r="C303" s="16" t="inlineStr">
        <is>
          <t>Manappuram Finance Ltd.</t>
        </is>
      </c>
      <c r="D303" s="16" t="inlineStr">
        <is>
          <t>Finance (including NBFCs)</t>
        </is>
      </c>
      <c r="E303" s="16" t="inlineStr">
        <is>
          <t>Banking and Finance</t>
        </is>
      </c>
      <c r="F303" s="17" t="n">
        <v>28753.39</v>
      </c>
      <c r="G303" s="16" t="inlineStr">
        <is>
          <t>MANAPPURAM</t>
        </is>
      </c>
      <c r="H303" s="16" t="inlineStr">
        <is>
          <t>531213</t>
        </is>
      </c>
      <c r="I303" s="27">
        <f>IFERROR(IF(INDEX(Stocks!$G$2:$G$2139,MATCH(A303,Stocks!$E$2:$E$2139,0))="","No","Yes"),"No")</f>
        <v/>
      </c>
    </row>
    <row r="304">
      <c r="A304" s="16" t="inlineStr">
        <is>
          <t>INE149A01033</t>
        </is>
      </c>
      <c r="B304" s="16" t="inlineStr">
        <is>
          <t>CHOLAHLDNG</t>
        </is>
      </c>
      <c r="C304" s="16" t="inlineStr">
        <is>
          <t>Cholamandalam Financial Holdings Ltd.</t>
        </is>
      </c>
      <c r="D304" s="16" t="inlineStr">
        <is>
          <t>Holding Companies</t>
        </is>
      </c>
      <c r="E304" s="16" t="inlineStr">
        <is>
          <t>Diversified</t>
        </is>
      </c>
      <c r="F304" s="17" t="n">
        <v>28649.21</v>
      </c>
      <c r="G304" s="16" t="inlineStr">
        <is>
          <t>CHOLAHLDNG</t>
        </is>
      </c>
      <c r="H304" s="16" t="inlineStr">
        <is>
          <t>504973</t>
        </is>
      </c>
      <c r="I304" s="27">
        <f>IFERROR(IF(INDEX(Stocks!$G$2:$G$2139,MATCH(A304,Stocks!$E$2:$E$2139,0))="","No","Yes"),"No")</f>
        <v/>
      </c>
    </row>
    <row r="305">
      <c r="A305" s="16" t="inlineStr">
        <is>
          <t>INE0DK501011</t>
        </is>
      </c>
      <c r="B305" s="16" t="inlineStr">
        <is>
          <t>PPLPHARMA</t>
        </is>
      </c>
      <c r="C305" s="16" t="inlineStr">
        <is>
          <t>Piramal Pharma Ltd.</t>
        </is>
      </c>
      <c r="D305" s="16" t="inlineStr">
        <is>
          <t>Pharmaceuticals</t>
        </is>
      </c>
      <c r="E305" s="16" t="inlineStr">
        <is>
          <t>Pharmaceuticals &amp; Biotechnology</t>
        </is>
      </c>
      <c r="F305" s="17" t="n">
        <v>28520.14</v>
      </c>
      <c r="G305" s="16" t="inlineStr">
        <is>
          <t>PPLPHARMA</t>
        </is>
      </c>
      <c r="H305" s="16" t="inlineStr">
        <is>
          <t>543635</t>
        </is>
      </c>
      <c r="I305" s="27">
        <f>IFERROR(IF(INDEX(Stocks!$G$2:$G$2139,MATCH(A305,Stocks!$E$2:$E$2139,0))="","No","Yes"),"No")</f>
        <v/>
      </c>
    </row>
    <row r="306">
      <c r="A306" s="16" t="inlineStr">
        <is>
          <t>INE483A01010</t>
        </is>
      </c>
      <c r="B306" s="16" t="inlineStr">
        <is>
          <t>CENTRALBK</t>
        </is>
      </c>
      <c r="C306" s="16" t="inlineStr">
        <is>
          <t>Central Bank of India</t>
        </is>
      </c>
      <c r="D306" s="16" t="inlineStr">
        <is>
          <t>Banks</t>
        </is>
      </c>
      <c r="E306" s="16" t="inlineStr">
        <is>
          <t>Banking and Finance</t>
        </is>
      </c>
      <c r="F306" s="17" t="n">
        <v>28131.76</v>
      </c>
      <c r="G306" s="16" t="inlineStr">
        <is>
          <t>CENTRALBK</t>
        </is>
      </c>
      <c r="H306" s="16" t="inlineStr">
        <is>
          <t>532885</t>
        </is>
      </c>
      <c r="I306" s="27">
        <f>IFERROR(IF(INDEX(Stocks!$G$2:$G$2139,MATCH(A306,Stocks!$E$2:$E$2139,0))="","No","Yes"),"No")</f>
        <v/>
      </c>
    </row>
    <row r="307">
      <c r="A307" s="16" t="inlineStr">
        <is>
          <t>INE0DYJ01015</t>
        </is>
      </c>
      <c r="B307" s="16" t="inlineStr">
        <is>
          <t>SYRMA</t>
        </is>
      </c>
      <c r="C307" s="16" t="inlineStr">
        <is>
          <t>Syrma SGS Technology Ltd.</t>
        </is>
      </c>
      <c r="D307" s="16" t="inlineStr">
        <is>
          <t>Other Electrical Equipment/Products</t>
        </is>
      </c>
      <c r="E307" s="16" t="inlineStr">
        <is>
          <t>Consumer Durables</t>
        </is>
      </c>
      <c r="F307" s="17" t="n">
        <v>28047.81</v>
      </c>
      <c r="G307" s="16" t="inlineStr">
        <is>
          <t>SYRMA</t>
        </is>
      </c>
      <c r="H307" s="16" t="inlineStr">
        <is>
          <t>543573</t>
        </is>
      </c>
      <c r="I307" s="27">
        <f>IFERROR(IF(INDEX(Stocks!$G$2:$G$2139,MATCH(A307,Stocks!$E$2:$E$2139,0))="","No","Yes"),"No")</f>
        <v/>
      </c>
    </row>
    <row r="308">
      <c r="A308" s="16" t="inlineStr">
        <is>
          <t>INE0CAZ01013</t>
        </is>
      </c>
      <c r="B308" s="16" t="inlineStr">
        <is>
          <t>URBANCO</t>
        </is>
      </c>
      <c r="C308" s="16" t="inlineStr">
        <is>
          <t>Urban Company Ltd.</t>
        </is>
      </c>
      <c r="D308" s="16" t="inlineStr">
        <is>
          <t>Special Consumer Services</t>
        </is>
      </c>
      <c r="E308" s="16" t="inlineStr">
        <is>
          <t>Diversified Consumer Services</t>
        </is>
      </c>
      <c r="F308" s="17" t="n">
        <v>27927.35</v>
      </c>
      <c r="G308" s="16" t="inlineStr">
        <is>
          <t>URBANCO</t>
        </is>
      </c>
      <c r="H308" s="16" t="inlineStr">
        <is>
          <t>544515</t>
        </is>
      </c>
      <c r="I308" s="27">
        <f>IFERROR(IF(INDEX(Stocks!$G$2:$G$2139,MATCH(A308,Stocks!$E$2:$E$2139,0))="","No","Yes"),"No")</f>
        <v/>
      </c>
    </row>
    <row r="309">
      <c r="A309" s="16" t="inlineStr">
        <is>
          <t>INE777K01022</t>
        </is>
      </c>
      <c r="B309" s="16" t="inlineStr">
        <is>
          <t>RRKABEL</t>
        </is>
      </c>
      <c r="C309" s="16" t="inlineStr">
        <is>
          <t>R R Kabel Ltd.</t>
        </is>
      </c>
      <c r="D309" s="16" t="inlineStr">
        <is>
          <t>Wires &amp; Cables</t>
        </is>
      </c>
      <c r="E309" s="16" t="inlineStr">
        <is>
          <t>Consumer Durables</t>
        </is>
      </c>
      <c r="F309" s="17" t="n">
        <v>27757.22</v>
      </c>
      <c r="G309" s="16" t="inlineStr">
        <is>
          <t>RRKABEL</t>
        </is>
      </c>
      <c r="H309" s="16" t="inlineStr">
        <is>
          <t>543981</t>
        </is>
      </c>
      <c r="I309" s="27">
        <f>IFERROR(IF(INDEX(Stocks!$G$2:$G$2139,MATCH(A309,Stocks!$E$2:$E$2139,0))="","No","Yes"),"No")</f>
        <v/>
      </c>
    </row>
    <row r="310">
      <c r="A310" s="16" t="inlineStr">
        <is>
          <t>INE530B01024</t>
        </is>
      </c>
      <c r="B310" s="16" t="inlineStr">
        <is>
          <t>IIFL</t>
        </is>
      </c>
      <c r="C310" s="16" t="inlineStr">
        <is>
          <t>IIFL Finance Ltd.</t>
        </is>
      </c>
      <c r="D310" s="16" t="inlineStr">
        <is>
          <t>Other Financial Services</t>
        </is>
      </c>
      <c r="E310" s="16" t="inlineStr">
        <is>
          <t>Banking and Finance</t>
        </is>
      </c>
      <c r="F310" s="17" t="n">
        <v>27698.68</v>
      </c>
      <c r="G310" s="16" t="inlineStr">
        <is>
          <t>IIFL</t>
        </is>
      </c>
      <c r="H310" s="16" t="inlineStr">
        <is>
          <t>532636</t>
        </is>
      </c>
      <c r="I310" s="27">
        <f>IFERROR(IF(INDEX(Stocks!$G$2:$G$2139,MATCH(A310,Stocks!$E$2:$E$2139,0))="","No","Yes"),"No")</f>
        <v/>
      </c>
    </row>
    <row r="311">
      <c r="A311" s="16" t="inlineStr">
        <is>
          <t>INE732I01021</t>
        </is>
      </c>
      <c r="B311" s="16" t="inlineStr">
        <is>
          <t>ANGELONE</t>
        </is>
      </c>
      <c r="C311" s="16" t="inlineStr">
        <is>
          <t>Angel One Ltd.</t>
        </is>
      </c>
      <c r="D311" s="16" t="inlineStr">
        <is>
          <t>Capital Markets</t>
        </is>
      </c>
      <c r="E311" s="16" t="inlineStr">
        <is>
          <t>Banking and Finance</t>
        </is>
      </c>
      <c r="F311" s="17" t="n">
        <v>27402.81</v>
      </c>
      <c r="G311" s="16" t="inlineStr">
        <is>
          <t>ANGELONE</t>
        </is>
      </c>
      <c r="H311" s="16" t="inlineStr">
        <is>
          <t>543235</t>
        </is>
      </c>
      <c r="I311" s="27">
        <f>IFERROR(IF(INDEX(Stocks!$G$2:$G$2139,MATCH(A311,Stocks!$E$2:$E$2139,0))="","No","Yes"),"No")</f>
        <v/>
      </c>
    </row>
    <row r="312">
      <c r="A312" s="16" t="inlineStr">
        <is>
          <t>INE039A01010</t>
        </is>
      </c>
      <c r="B312" s="16" t="inlineStr">
        <is>
          <t>IFCI</t>
        </is>
      </c>
      <c r="C312" s="16" t="inlineStr">
        <is>
          <t>IFCI Ltd.</t>
        </is>
      </c>
      <c r="D312" s="16" t="inlineStr">
        <is>
          <t>Financial Institutions</t>
        </is>
      </c>
      <c r="E312" s="16" t="inlineStr">
        <is>
          <t>Banking and Finance</t>
        </is>
      </c>
      <c r="F312" s="17" t="n">
        <v>27314.96</v>
      </c>
      <c r="G312" s="16" t="inlineStr">
        <is>
          <t>IFCI</t>
        </is>
      </c>
      <c r="H312" s="16" t="inlineStr">
        <is>
          <t>500106</t>
        </is>
      </c>
      <c r="I312" s="27">
        <f>IFERROR(IF(INDEX(Stocks!$G$2:$G$2139,MATCH(A312,Stocks!$E$2:$E$2139,0))="","No","Yes"),"No")</f>
        <v/>
      </c>
    </row>
    <row r="313">
      <c r="A313" s="16" t="inlineStr">
        <is>
          <t>INE438A01022</t>
        </is>
      </c>
      <c r="B313" s="16" t="inlineStr">
        <is>
          <t>APOLLOTYRE</t>
        </is>
      </c>
      <c r="C313" s="16" t="inlineStr">
        <is>
          <t>Apollo Tyres Ltd.</t>
        </is>
      </c>
      <c r="D313" s="16" t="inlineStr">
        <is>
          <t>Auto Tyres &amp; Rubber Products</t>
        </is>
      </c>
      <c r="E313" s="16" t="inlineStr">
        <is>
          <t>Automobiles &amp; Auto Components</t>
        </is>
      </c>
      <c r="F313" s="17" t="n">
        <v>27280.76</v>
      </c>
      <c r="G313" s="16" t="inlineStr">
        <is>
          <t>APOLLOTYRE</t>
        </is>
      </c>
      <c r="H313" s="16" t="inlineStr">
        <is>
          <t>500877</t>
        </is>
      </c>
      <c r="I313" s="27">
        <f>IFERROR(IF(INDEX(Stocks!$G$2:$G$2139,MATCH(A313,Stocks!$E$2:$E$2139,0))="","No","Yes"),"No")</f>
        <v/>
      </c>
    </row>
    <row r="314">
      <c r="A314" s="16" t="inlineStr">
        <is>
          <t>INE105A01035</t>
        </is>
      </c>
      <c r="B314" s="16" t="inlineStr">
        <is>
          <t>TVSHLTD</t>
        </is>
      </c>
      <c r="C314" s="16" t="inlineStr">
        <is>
          <t>TVS Holdings Ltd.</t>
        </is>
      </c>
      <c r="D314" s="16" t="inlineStr">
        <is>
          <t>Auto Parts &amp; Equipment</t>
        </is>
      </c>
      <c r="E314" s="16" t="inlineStr">
        <is>
          <t>Automobiles &amp; Auto Components</t>
        </is>
      </c>
      <c r="F314" s="17" t="n">
        <v>27058.41</v>
      </c>
      <c r="G314" s="16" t="inlineStr">
        <is>
          <t>TVSHLTD</t>
        </is>
      </c>
      <c r="H314" s="16" t="inlineStr">
        <is>
          <t>520056</t>
        </is>
      </c>
      <c r="I314" s="27">
        <f>IFERROR(IF(INDEX(Stocks!$G$2:$G$2139,MATCH(A314,Stocks!$E$2:$E$2139,0))="","No","Yes"),"No")</f>
        <v/>
      </c>
    </row>
    <row r="315">
      <c r="A315" s="16" t="inlineStr">
        <is>
          <t>INE180C01042</t>
        </is>
      </c>
      <c r="B315" s="16" t="inlineStr">
        <is>
          <t>CGCL</t>
        </is>
      </c>
      <c r="C315" s="16" t="inlineStr">
        <is>
          <t>Capri Global Capital Ltd.</t>
        </is>
      </c>
      <c r="D315" s="16" t="inlineStr">
        <is>
          <t>Finance (including NBFCs)</t>
        </is>
      </c>
      <c r="E315" s="16" t="inlineStr">
        <is>
          <t>Banking and Finance</t>
        </is>
      </c>
      <c r="F315" s="17" t="n">
        <v>26930.69</v>
      </c>
      <c r="G315" s="16" t="inlineStr">
        <is>
          <t>CGCL</t>
        </is>
      </c>
      <c r="H315" s="16" t="inlineStr">
        <is>
          <t>531595</t>
        </is>
      </c>
      <c r="I315" s="27">
        <f>IFERROR(IF(INDEX(Stocks!$G$2:$G$2139,MATCH(A315,Stocks!$E$2:$E$2139,0))="","No","Yes"),"No")</f>
        <v/>
      </c>
    </row>
    <row r="316">
      <c r="A316" s="16" t="inlineStr">
        <is>
          <t>INE545U01014</t>
        </is>
      </c>
      <c r="B316" s="16" t="inlineStr">
        <is>
          <t>BANDHANBNK</t>
        </is>
      </c>
      <c r="C316" s="16" t="inlineStr">
        <is>
          <t>Bandhan Bank Ltd.</t>
        </is>
      </c>
      <c r="D316" s="16" t="inlineStr">
        <is>
          <t>Banks</t>
        </is>
      </c>
      <c r="E316" s="16" t="inlineStr">
        <is>
          <t>Banking and Finance</t>
        </is>
      </c>
      <c r="F316" s="17" t="n">
        <v>26575.29</v>
      </c>
      <c r="G316" s="16" t="inlineStr">
        <is>
          <t>BANDHANBNK</t>
        </is>
      </c>
      <c r="H316" s="16" t="inlineStr">
        <is>
          <t>541153</t>
        </is>
      </c>
      <c r="I316" s="27">
        <f>IFERROR(IF(INDEX(Stocks!$G$2:$G$2139,MATCH(A316,Stocks!$E$2:$E$2139,0))="","No","Yes"),"No")</f>
        <v/>
      </c>
    </row>
    <row r="317">
      <c r="A317" s="16" t="inlineStr">
        <is>
          <t>INE371P01015</t>
        </is>
      </c>
      <c r="B317" s="16" t="inlineStr">
        <is>
          <t>AMBER</t>
        </is>
      </c>
      <c r="C317" s="16" t="inlineStr">
        <is>
          <t>Amber Enterprises India Ltd.</t>
        </is>
      </c>
      <c r="D317" s="16" t="inlineStr">
        <is>
          <t>Consumer Electronics</t>
        </is>
      </c>
      <c r="E317" s="16" t="inlineStr">
        <is>
          <t>Consumer Durables</t>
        </is>
      </c>
      <c r="F317" s="17" t="n">
        <v>26359.15</v>
      </c>
      <c r="G317" s="16" t="inlineStr">
        <is>
          <t>AMBER</t>
        </is>
      </c>
      <c r="H317" s="16" t="inlineStr">
        <is>
          <t>540902</t>
        </is>
      </c>
      <c r="I317" s="27">
        <f>IFERROR(IF(INDEX(Stocks!$G$2:$G$2139,MATCH(A317,Stocks!$E$2:$E$2139,0))="","No","Yes"),"No")</f>
        <v/>
      </c>
    </row>
    <row r="318">
      <c r="A318" s="16" t="inlineStr">
        <is>
          <t>INE248A01017</t>
        </is>
      </c>
      <c r="B318" s="16" t="inlineStr">
        <is>
          <t>ITI</t>
        </is>
      </c>
      <c r="C318" s="16" t="inlineStr">
        <is>
          <t>ITI Ltd.</t>
        </is>
      </c>
      <c r="D318" s="16" t="inlineStr">
        <is>
          <t>Telecom Equipment</t>
        </is>
      </c>
      <c r="E318" s="16" t="inlineStr">
        <is>
          <t>Telecommunications Equipment</t>
        </is>
      </c>
      <c r="F318" s="17" t="n">
        <v>26184.17</v>
      </c>
      <c r="G318" s="16" t="inlineStr">
        <is>
          <t>ITI</t>
        </is>
      </c>
      <c r="H318" s="16" t="inlineStr">
        <is>
          <t>523610</t>
        </is>
      </c>
      <c r="I318" s="27">
        <f>IFERROR(IF(INDEX(Stocks!$G$2:$G$2139,MATCH(A318,Stocks!$E$2:$E$2139,0))="","No","Yes"),"No")</f>
        <v/>
      </c>
    </row>
    <row r="319">
      <c r="A319" s="16" t="inlineStr">
        <is>
          <t>INE473B01035</t>
        </is>
      </c>
      <c r="B319" s="16" t="inlineStr">
        <is>
          <t>HATSUN</t>
        </is>
      </c>
      <c r="C319" s="16" t="inlineStr">
        <is>
          <t>Hatsun Agro Products Ltd.</t>
        </is>
      </c>
      <c r="D319" s="16" t="inlineStr">
        <is>
          <t>Packaged Foods</t>
        </is>
      </c>
      <c r="E319" s="16" t="inlineStr">
        <is>
          <t>FMCG</t>
        </is>
      </c>
      <c r="F319" s="17" t="n">
        <v>26034.88</v>
      </c>
      <c r="G319" s="16" t="inlineStr">
        <is>
          <t>HATSUN</t>
        </is>
      </c>
      <c r="H319" s="16" t="inlineStr">
        <is>
          <t>531531</t>
        </is>
      </c>
      <c r="I319" s="27">
        <f>IFERROR(IF(INDEX(Stocks!$G$2:$G$2139,MATCH(A319,Stocks!$E$2:$E$2139,0))="","No","Yes"),"No")</f>
        <v/>
      </c>
    </row>
    <row r="320">
      <c r="A320" s="16" t="inlineStr">
        <is>
          <t>INE00FF01025</t>
        </is>
      </c>
      <c r="B320" s="16" t="inlineStr">
        <is>
          <t>ACUTAAS</t>
        </is>
      </c>
      <c r="C320" s="16" t="inlineStr">
        <is>
          <t>Acutaas Chemicals Ltd.</t>
        </is>
      </c>
      <c r="D320" s="16" t="inlineStr">
        <is>
          <t>Pharmaceuticals</t>
        </is>
      </c>
      <c r="E320" s="16" t="inlineStr">
        <is>
          <t>Pharmaceuticals &amp; Biotechnology</t>
        </is>
      </c>
      <c r="F320" s="17" t="n">
        <v>25940.86</v>
      </c>
      <c r="G320" s="16" t="inlineStr">
        <is>
          <t>ACUTAAS</t>
        </is>
      </c>
      <c r="H320" s="16" t="inlineStr">
        <is>
          <t>543349</t>
        </is>
      </c>
      <c r="I320" s="27">
        <f>IFERROR(IF(INDEX(Stocks!$G$2:$G$2139,MATCH(A320,Stocks!$E$2:$E$2139,0))="","No","Yes"),"No")</f>
        <v/>
      </c>
    </row>
    <row r="321">
      <c r="A321" s="16" t="inlineStr">
        <is>
          <t>INE0IX101010</t>
        </is>
      </c>
      <c r="B321" s="16" t="inlineStr">
        <is>
          <t>DATAPATTNS</t>
        </is>
      </c>
      <c r="C321" s="16" t="inlineStr">
        <is>
          <t>Data Patterns (India) Ltd.</t>
        </is>
      </c>
      <c r="D321" s="16" t="inlineStr">
        <is>
          <t>Aerospace &amp; Defence</t>
        </is>
      </c>
      <c r="E321" s="16" t="inlineStr">
        <is>
          <t>General Industrials</t>
        </is>
      </c>
      <c r="F321" s="17" t="n">
        <v>25668.66</v>
      </c>
      <c r="G321" s="16" t="inlineStr">
        <is>
          <t>DATAPATTNS</t>
        </is>
      </c>
      <c r="H321" s="16" t="inlineStr">
        <is>
          <t>543428</t>
        </is>
      </c>
      <c r="I321" s="27">
        <f>IFERROR(IF(INDEX(Stocks!$G$2:$G$2139,MATCH(A321,Stocks!$E$2:$E$2139,0))="","No","Yes"),"No")</f>
        <v/>
      </c>
    </row>
    <row r="322">
      <c r="A322" s="16" t="inlineStr">
        <is>
          <t>INE002L01015</t>
        </is>
      </c>
      <c r="B322" s="16" t="inlineStr">
        <is>
          <t>SJVN</t>
        </is>
      </c>
      <c r="C322" s="16" t="inlineStr">
        <is>
          <t>SJVN Ltd.</t>
        </is>
      </c>
      <c r="D322" s="16" t="inlineStr">
        <is>
          <t>Green &amp; Renewable Energy</t>
        </is>
      </c>
      <c r="E322" s="16" t="inlineStr">
        <is>
          <t>Utilities</t>
        </is>
      </c>
      <c r="F322" s="17" t="n">
        <v>25634.05</v>
      </c>
      <c r="G322" s="16" t="inlineStr">
        <is>
          <t>SJVN</t>
        </is>
      </c>
      <c r="H322" s="16" t="inlineStr">
        <is>
          <t>533206</t>
        </is>
      </c>
      <c r="I322" s="27">
        <f>IFERROR(IF(INDEX(Stocks!$G$2:$G$2139,MATCH(A322,Stocks!$E$2:$E$2139,0))="","No","Yes"),"No")</f>
        <v/>
      </c>
    </row>
    <row r="323">
      <c r="A323" s="16" t="inlineStr">
        <is>
          <t>INE387A01021</t>
        </is>
      </c>
      <c r="B323" s="16" t="inlineStr">
        <is>
          <t>SUNDRMFAST</t>
        </is>
      </c>
      <c r="C323" s="16" t="inlineStr">
        <is>
          <t>Sundram Fasteners Ltd.</t>
        </is>
      </c>
      <c r="D323" s="16" t="inlineStr">
        <is>
          <t>Auto Parts &amp; Equipment</t>
        </is>
      </c>
      <c r="E323" s="16" t="inlineStr">
        <is>
          <t>Automobiles &amp; Auto Components</t>
        </is>
      </c>
      <c r="F323" s="17" t="n">
        <v>25473.87</v>
      </c>
      <c r="G323" s="16" t="inlineStr">
        <is>
          <t>SUNDRMFAST</t>
        </is>
      </c>
      <c r="H323" s="16" t="inlineStr">
        <is>
          <t>500403</t>
        </is>
      </c>
      <c r="I323" s="27">
        <f>IFERROR(IF(INDEX(Stocks!$G$2:$G$2139,MATCH(A323,Stocks!$E$2:$E$2139,0))="","No","Yes"),"No")</f>
        <v/>
      </c>
    </row>
    <row r="324">
      <c r="A324" s="16" t="inlineStr">
        <is>
          <t>INE317I01021</t>
        </is>
      </c>
      <c r="B324" s="16" t="inlineStr">
        <is>
          <t>METROBRAND</t>
        </is>
      </c>
      <c r="C324" s="16" t="inlineStr">
        <is>
          <t>Metro Brands Ltd.</t>
        </is>
      </c>
      <c r="D324" s="16" t="inlineStr">
        <is>
          <t>Footwear</t>
        </is>
      </c>
      <c r="E324" s="16" t="inlineStr">
        <is>
          <t>Retailing</t>
        </is>
      </c>
      <c r="F324" s="17" t="n">
        <v>25327.95</v>
      </c>
      <c r="G324" s="16" t="inlineStr">
        <is>
          <t>METROBRAND</t>
        </is>
      </c>
      <c r="H324" s="16" t="inlineStr">
        <is>
          <t>543426</t>
        </is>
      </c>
      <c r="I324" s="27">
        <f>IFERROR(IF(INDEX(Stocks!$G$2:$G$2139,MATCH(A324,Stocks!$E$2:$E$2139,0))="","No","Yes"),"No")</f>
        <v/>
      </c>
    </row>
    <row r="325">
      <c r="A325" s="16" t="inlineStr">
        <is>
          <t>INE179A01014</t>
        </is>
      </c>
      <c r="B325" s="16" t="inlineStr">
        <is>
          <t>PGHH</t>
        </is>
      </c>
      <c r="C325" s="16" t="inlineStr">
        <is>
          <t>Procter &amp; Gamble Hygiene &amp; Healthcare Ltd.</t>
        </is>
      </c>
      <c r="D325" s="16" t="inlineStr">
        <is>
          <t>Personal Products</t>
        </is>
      </c>
      <c r="E325" s="16" t="inlineStr">
        <is>
          <t>FMCG</t>
        </is>
      </c>
      <c r="F325" s="17" t="n">
        <v>24889.24</v>
      </c>
      <c r="G325" s="16" t="inlineStr">
        <is>
          <t>PGHH</t>
        </is>
      </c>
      <c r="H325" s="16" t="inlineStr">
        <is>
          <t>500459</t>
        </is>
      </c>
      <c r="I325" s="27">
        <f>IFERROR(IF(INDEX(Stocks!$G$2:$G$2139,MATCH(A325,Stocks!$E$2:$E$2139,0))="","No","Yes"),"No")</f>
        <v/>
      </c>
    </row>
    <row r="326">
      <c r="A326" s="16" t="inlineStr">
        <is>
          <t>INE844O01030</t>
        </is>
      </c>
      <c r="B326" s="16" t="inlineStr">
        <is>
          <t>GUJENERGY</t>
        </is>
      </c>
      <c r="C326" s="16" t="inlineStr">
        <is>
          <t>Gujarat Energy Ltd.</t>
        </is>
      </c>
      <c r="D326" s="16" t="inlineStr">
        <is>
          <t>Utilities:Non-Electrical</t>
        </is>
      </c>
      <c r="E326" s="16" t="inlineStr">
        <is>
          <t>Utilities</t>
        </is>
      </c>
      <c r="F326" s="17" t="n">
        <v>24730.83</v>
      </c>
      <c r="G326" s="16" t="inlineStr">
        <is>
          <t>GUJENERGY</t>
        </is>
      </c>
      <c r="H326" s="16" t="inlineStr">
        <is>
          <t>539336</t>
        </is>
      </c>
      <c r="I326" s="27">
        <f>IFERROR(IF(INDEX(Stocks!$G$2:$G$2139,MATCH(A326,Stocks!$E$2:$E$2139,0))="","No","Yes"),"No")</f>
        <v/>
      </c>
    </row>
    <row r="327">
      <c r="A327" s="16" t="inlineStr">
        <is>
          <t>INE258G01013</t>
        </is>
      </c>
      <c r="B327" s="16" t="inlineStr">
        <is>
          <t>SUMICHEM</t>
        </is>
      </c>
      <c r="C327" s="16" t="inlineStr">
        <is>
          <t>Sumitomo Chemical India Ltd.</t>
        </is>
      </c>
      <c r="D327" s="16" t="inlineStr">
        <is>
          <t>Agrochemicals</t>
        </is>
      </c>
      <c r="E327" s="16" t="inlineStr">
        <is>
          <t>Chemicals &amp; Petrochemicals</t>
        </is>
      </c>
      <c r="F327" s="17" t="n">
        <v>24627.85</v>
      </c>
      <c r="G327" s="16" t="inlineStr">
        <is>
          <t>SUMICHEM</t>
        </is>
      </c>
      <c r="H327" s="16" t="inlineStr">
        <is>
          <t>542920</t>
        </is>
      </c>
      <c r="I327" s="27">
        <f>IFERROR(IF(INDEX(Stocks!$G$2:$G$2139,MATCH(A327,Stocks!$E$2:$E$2139,0))="","No","Yes"),"No")</f>
        <v/>
      </c>
    </row>
    <row r="328">
      <c r="A328" s="16" t="inlineStr">
        <is>
          <t>INE439A01020</t>
        </is>
      </c>
      <c r="B328" s="16" t="inlineStr">
        <is>
          <t>ASAHIINDIA</t>
        </is>
      </c>
      <c r="C328" s="16" t="inlineStr">
        <is>
          <t>Asahi India Glass Ltd.</t>
        </is>
      </c>
      <c r="D328" s="16" t="inlineStr">
        <is>
          <t>Auto Parts &amp; Equipment</t>
        </is>
      </c>
      <c r="E328" s="16" t="inlineStr">
        <is>
          <t>Automobiles &amp; Auto Components</t>
        </is>
      </c>
      <c r="F328" s="17" t="n">
        <v>24368.49</v>
      </c>
      <c r="G328" s="16" t="inlineStr">
        <is>
          <t>ASAHIINDIA</t>
        </is>
      </c>
      <c r="H328" s="16" t="inlineStr">
        <is>
          <t>515030</t>
        </is>
      </c>
      <c r="I328" s="27">
        <f>IFERROR(IF(INDEX(Stocks!$G$2:$G$2139,MATCH(A328,Stocks!$E$2:$E$2139,0))="","No","Yes"),"No")</f>
        <v/>
      </c>
    </row>
    <row r="329">
      <c r="A329" s="16" t="inlineStr">
        <is>
          <t>INE699H01024</t>
        </is>
      </c>
      <c r="B329" s="16" t="inlineStr">
        <is>
          <t>AWL</t>
        </is>
      </c>
      <c r="C329" s="16" t="inlineStr">
        <is>
          <t>AWL Agri Business Ltd.</t>
        </is>
      </c>
      <c r="D329" s="16" t="inlineStr">
        <is>
          <t>Edible Oils</t>
        </is>
      </c>
      <c r="E329" s="16" t="inlineStr">
        <is>
          <t>FMCG</t>
        </is>
      </c>
      <c r="F329" s="17" t="n">
        <v>24341.68</v>
      </c>
      <c r="G329" s="16" t="inlineStr">
        <is>
          <t>AWL</t>
        </is>
      </c>
      <c r="H329" s="16" t="inlineStr">
        <is>
          <t>543458</t>
        </is>
      </c>
      <c r="I329" s="27">
        <f>IFERROR(IF(INDEX(Stocks!$G$2:$G$2139,MATCH(A329,Stocks!$E$2:$E$2139,0))="","No","Yes"),"No")</f>
        <v/>
      </c>
    </row>
    <row r="330">
      <c r="A330" s="16" t="inlineStr">
        <is>
          <t>INE0FS801015</t>
        </is>
      </c>
      <c r="B330" s="16" t="inlineStr">
        <is>
          <t>MSUMI</t>
        </is>
      </c>
      <c r="C330" s="16" t="inlineStr">
        <is>
          <t>Motherson Sumi Wiring India Ltd.</t>
        </is>
      </c>
      <c r="D330" s="16" t="inlineStr">
        <is>
          <t>Auto Parts &amp; Equipment</t>
        </is>
      </c>
      <c r="E330" s="16" t="inlineStr">
        <is>
          <t>Automobiles &amp; Auto Components</t>
        </is>
      </c>
      <c r="F330" s="17" t="n">
        <v>24218.83</v>
      </c>
      <c r="G330" s="16" t="inlineStr">
        <is>
          <t>MSUMI</t>
        </is>
      </c>
      <c r="H330" s="16" t="inlineStr">
        <is>
          <t>543498</t>
        </is>
      </c>
      <c r="I330" s="27">
        <f>IFERROR(IF(INDEX(Stocks!$G$2:$G$2139,MATCH(A330,Stocks!$E$2:$E$2139,0))="","No","Yes"),"No")</f>
        <v/>
      </c>
    </row>
    <row r="331">
      <c r="A331" s="16" t="inlineStr">
        <is>
          <t>INE918Z01012</t>
        </is>
      </c>
      <c r="B331" s="16" t="inlineStr">
        <is>
          <t>KAYNES</t>
        </is>
      </c>
      <c r="C331" s="16" t="inlineStr">
        <is>
          <t>Kaynes Technology India Ltd.</t>
        </is>
      </c>
      <c r="D331" s="16" t="inlineStr">
        <is>
          <t>Other Electrical Equipment/Products</t>
        </is>
      </c>
      <c r="E331" s="16" t="inlineStr">
        <is>
          <t>Consumer Durables</t>
        </is>
      </c>
      <c r="F331" s="17" t="n">
        <v>24119.09</v>
      </c>
      <c r="G331" s="16" t="inlineStr">
        <is>
          <t>KAYNES</t>
        </is>
      </c>
      <c r="H331" s="16" t="inlineStr">
        <is>
          <t>543664</t>
        </is>
      </c>
      <c r="I331" s="27">
        <f>IFERROR(IF(INDEX(Stocks!$G$2:$G$2139,MATCH(A331,Stocks!$E$2:$E$2139,0))="","No","Yes"),"No")</f>
        <v/>
      </c>
    </row>
    <row r="332">
      <c r="A332" s="16" t="inlineStr">
        <is>
          <t>INE012A01025</t>
        </is>
      </c>
      <c r="B332" s="16" t="inlineStr">
        <is>
          <t>ACC</t>
        </is>
      </c>
      <c r="C332" s="16" t="inlineStr">
        <is>
          <t>ACC Ltd.</t>
        </is>
      </c>
      <c r="D332" s="16" t="inlineStr">
        <is>
          <t>Cement &amp; Cement Products</t>
        </is>
      </c>
      <c r="E332" s="16" t="inlineStr">
        <is>
          <t>Cement and Construction</t>
        </is>
      </c>
      <c r="F332" s="17" t="n">
        <v>24108.13</v>
      </c>
      <c r="G332" s="16" t="inlineStr">
        <is>
          <t>ACC</t>
        </is>
      </c>
      <c r="H332" s="16" t="inlineStr">
        <is>
          <t>500410</t>
        </is>
      </c>
      <c r="I332" s="27">
        <f>IFERROR(IF(INDEX(Stocks!$G$2:$G$2139,MATCH(A332,Stocks!$E$2:$E$2139,0))="","No","Yes"),"No")</f>
        <v/>
      </c>
    </row>
    <row r="333">
      <c r="A333" s="16" t="inlineStr">
        <is>
          <t>INE220B01022</t>
        </is>
      </c>
      <c r="B333" s="16" t="inlineStr">
        <is>
          <t>KPIL</t>
        </is>
      </c>
      <c r="C333" s="16" t="inlineStr">
        <is>
          <t>Kalpataru Projects International Ltd.</t>
        </is>
      </c>
      <c r="D333" s="16" t="inlineStr">
        <is>
          <t>Construction &amp; Engineering</t>
        </is>
      </c>
      <c r="E333" s="16" t="inlineStr">
        <is>
          <t>Cement and Construction</t>
        </is>
      </c>
      <c r="F333" s="17" t="n">
        <v>24020.86</v>
      </c>
      <c r="G333" s="16" t="inlineStr">
        <is>
          <t>KPIL</t>
        </is>
      </c>
      <c r="H333" s="16" t="inlineStr">
        <is>
          <t>522287</t>
        </is>
      </c>
      <c r="I333" s="27">
        <f>IFERROR(IF(INDEX(Stocks!$G$2:$G$2139,MATCH(A333,Stocks!$E$2:$E$2139,0))="","No","Yes"),"No")</f>
        <v/>
      </c>
    </row>
    <row r="334">
      <c r="A334" s="16" t="inlineStr">
        <is>
          <t>INE524A01029</t>
        </is>
      </c>
      <c r="B334" s="16" t="inlineStr">
        <is>
          <t>GABRIEL</t>
        </is>
      </c>
      <c r="C334" s="16" t="inlineStr">
        <is>
          <t>Gabriel India Ltd.</t>
        </is>
      </c>
      <c r="D334" s="16" t="inlineStr">
        <is>
          <t>Auto Parts &amp; Equipment</t>
        </is>
      </c>
      <c r="E334" s="16" t="inlineStr">
        <is>
          <t>Automobiles &amp; Auto Components</t>
        </is>
      </c>
      <c r="F334" s="17" t="n">
        <v>23982.76</v>
      </c>
      <c r="G334" s="16" t="inlineStr">
        <is>
          <t>GABRIEL</t>
        </is>
      </c>
      <c r="H334" s="16" t="inlineStr">
        <is>
          <t>505714</t>
        </is>
      </c>
      <c r="I334" s="27">
        <f>IFERROR(IF(INDEX(Stocks!$G$2:$G$2139,MATCH(A334,Stocks!$E$2:$E$2139,0))="","No","Yes"),"No")</f>
        <v/>
      </c>
    </row>
    <row r="335">
      <c r="A335" s="16" t="inlineStr">
        <is>
          <t>INE367G01038</t>
        </is>
      </c>
      <c r="B335" s="16" t="inlineStr">
        <is>
          <t>PFOCUS</t>
        </is>
      </c>
      <c r="C335" s="16" t="inlineStr">
        <is>
          <t>Prime Focus Ltd.</t>
        </is>
      </c>
      <c r="D335" s="16" t="inlineStr">
        <is>
          <t>Movies &amp; Entertainment</t>
        </is>
      </c>
      <c r="E335" s="16" t="inlineStr">
        <is>
          <t>Media</t>
        </is>
      </c>
      <c r="F335" s="17" t="n">
        <v>23908.36</v>
      </c>
      <c r="G335" s="16" t="inlineStr">
        <is>
          <t>PFOCUS</t>
        </is>
      </c>
      <c r="H335" s="16" t="inlineStr">
        <is>
          <t>532748</t>
        </is>
      </c>
      <c r="I335" s="27">
        <f>IFERROR(IF(INDEX(Stocks!$G$2:$G$2139,MATCH(A335,Stocks!$E$2:$E$2139,0))="","No","Yes"),"No")</f>
        <v/>
      </c>
    </row>
    <row r="336">
      <c r="A336" s="16" t="inlineStr">
        <is>
          <t>INE322A01010</t>
        </is>
      </c>
      <c r="B336" s="16" t="inlineStr">
        <is>
          <t>GILLETTE</t>
        </is>
      </c>
      <c r="C336" s="16" t="inlineStr">
        <is>
          <t>Gillette India Ltd.</t>
        </is>
      </c>
      <c r="D336" s="16" t="inlineStr">
        <is>
          <t>Personal Products</t>
        </is>
      </c>
      <c r="E336" s="16" t="inlineStr">
        <is>
          <t>FMCG</t>
        </is>
      </c>
      <c r="F336" s="17" t="n">
        <v>23827.93</v>
      </c>
      <c r="G336" s="16" t="inlineStr">
        <is>
          <t>GILLETTE</t>
        </is>
      </c>
      <c r="H336" s="16" t="inlineStr">
        <is>
          <t>507815</t>
        </is>
      </c>
      <c r="I336" s="27">
        <f>IFERROR(IF(INDEX(Stocks!$G$2:$G$2139,MATCH(A336,Stocks!$E$2:$E$2139,0))="","No","Yes"),"No")</f>
        <v/>
      </c>
    </row>
    <row r="337">
      <c r="A337" s="16" t="inlineStr">
        <is>
          <t>INE03JT01014</t>
        </is>
      </c>
      <c r="B337" s="16" t="inlineStr">
        <is>
          <t>GODIGIT</t>
        </is>
      </c>
      <c r="C337" s="16" t="inlineStr">
        <is>
          <t>Go Digit General Insurance Ltd.</t>
        </is>
      </c>
      <c r="D337" s="16" t="inlineStr">
        <is>
          <t>General Insurance</t>
        </is>
      </c>
      <c r="E337" s="16" t="inlineStr">
        <is>
          <t>Banking and Finance</t>
        </is>
      </c>
      <c r="F337" s="17" t="n">
        <v>23821.58</v>
      </c>
      <c r="G337" s="16" t="inlineStr">
        <is>
          <t>GODIGIT</t>
        </is>
      </c>
      <c r="H337" s="16" t="inlineStr">
        <is>
          <t>544179</t>
        </is>
      </c>
      <c r="I337" s="27">
        <f>IFERROR(IF(INDEX(Stocks!$G$2:$G$2139,MATCH(A337,Stocks!$E$2:$E$2139,0))="","No","Yes"),"No")</f>
        <v/>
      </c>
    </row>
    <row r="338">
      <c r="A338" s="16" t="inlineStr">
        <is>
          <t>INE821I01022</t>
        </is>
      </c>
      <c r="B338" s="16" t="inlineStr">
        <is>
          <t>IRB</t>
        </is>
      </c>
      <c r="C338" s="16" t="inlineStr">
        <is>
          <t>IRB Infrastructure Developers Ltd.</t>
        </is>
      </c>
      <c r="D338" s="16" t="inlineStr">
        <is>
          <t>Roads &amp; Highways</t>
        </is>
      </c>
      <c r="E338" s="16" t="inlineStr">
        <is>
          <t>Cement and Construction</t>
        </is>
      </c>
      <c r="F338" s="17" t="n">
        <v>23733.27</v>
      </c>
      <c r="G338" s="16" t="inlineStr">
        <is>
          <t>IRB</t>
        </is>
      </c>
      <c r="H338" s="16" t="inlineStr">
        <is>
          <t>532947</t>
        </is>
      </c>
      <c r="I338" s="27">
        <f>IFERROR(IF(INDEX(Stocks!$G$2:$G$2139,MATCH(A338,Stocks!$E$2:$E$2139,0))="","No","Yes"),"No")</f>
        <v/>
      </c>
    </row>
    <row r="339">
      <c r="A339" s="16" t="inlineStr">
        <is>
          <t>INE953O01021</t>
        </is>
      </c>
      <c r="B339" s="16" t="inlineStr">
        <is>
          <t>SANSERA</t>
        </is>
      </c>
      <c r="C339" s="16" t="inlineStr">
        <is>
          <t>Sansera Engineering Ltd.</t>
        </is>
      </c>
      <c r="D339" s="16" t="inlineStr">
        <is>
          <t>Auto Parts &amp; Equipment</t>
        </is>
      </c>
      <c r="E339" s="16" t="inlineStr">
        <is>
          <t>Automobiles &amp; Auto Components</t>
        </is>
      </c>
      <c r="F339" s="17" t="n">
        <v>23604.79</v>
      </c>
      <c r="G339" s="16" t="inlineStr">
        <is>
          <t>SANSERA</t>
        </is>
      </c>
      <c r="H339" s="16" t="inlineStr">
        <is>
          <t>543358</t>
        </is>
      </c>
      <c r="I339" s="27">
        <f>IFERROR(IF(INDEX(Stocks!$G$2:$G$2139,MATCH(A339,Stocks!$E$2:$E$2139,0))="","No","Yes"),"No")</f>
        <v/>
      </c>
    </row>
    <row r="340">
      <c r="A340" s="16" t="inlineStr">
        <is>
          <t>INE325A01013</t>
        </is>
      </c>
      <c r="B340" s="16" t="inlineStr">
        <is>
          <t>TIMKEN</t>
        </is>
      </c>
      <c r="C340" s="16" t="inlineStr">
        <is>
          <t>Timken India Ltd.</t>
        </is>
      </c>
      <c r="D340" s="16" t="inlineStr">
        <is>
          <t>Abrasives &amp; Bearings</t>
        </is>
      </c>
      <c r="E340" s="16" t="inlineStr">
        <is>
          <t>General Industrials</t>
        </is>
      </c>
      <c r="F340" s="17" t="n">
        <v>23508.1</v>
      </c>
      <c r="G340" s="16" t="inlineStr">
        <is>
          <t>TIMKEN</t>
        </is>
      </c>
      <c r="H340" s="16" t="inlineStr">
        <is>
          <t>522113</t>
        </is>
      </c>
      <c r="I340" s="27">
        <f>IFERROR(IF(INDEX(Stocks!$G$2:$G$2139,MATCH(A340,Stocks!$E$2:$E$2139,0))="","No","Yes"),"No")</f>
        <v/>
      </c>
    </row>
    <row r="341">
      <c r="A341" s="16" t="inlineStr">
        <is>
          <t>INE491A01021</t>
        </is>
      </c>
      <c r="B341" s="16" t="inlineStr">
        <is>
          <t>CUB</t>
        </is>
      </c>
      <c r="C341" s="16" t="inlineStr">
        <is>
          <t>City Union Bank Ltd.</t>
        </is>
      </c>
      <c r="D341" s="16" t="inlineStr">
        <is>
          <t>Banks</t>
        </is>
      </c>
      <c r="E341" s="16" t="inlineStr">
        <is>
          <t>Banking and Finance</t>
        </is>
      </c>
      <c r="F341" s="17" t="n">
        <v>23383.57</v>
      </c>
      <c r="G341" s="16" t="inlineStr">
        <is>
          <t>CUB</t>
        </is>
      </c>
      <c r="H341" s="16" t="inlineStr">
        <is>
          <t>532210</t>
        </is>
      </c>
      <c r="I341" s="27">
        <f>IFERROR(IF(INDEX(Stocks!$G$2:$G$2139,MATCH(A341,Stocks!$E$2:$E$2139,0))="","No","Yes"),"No")</f>
        <v/>
      </c>
    </row>
    <row r="342">
      <c r="A342" s="16" t="inlineStr">
        <is>
          <t>INE095N01031</t>
        </is>
      </c>
      <c r="B342" s="16" t="inlineStr">
        <is>
          <t>NBCC</t>
        </is>
      </c>
      <c r="C342" s="16" t="inlineStr">
        <is>
          <t>NBCC (India) Ltd.</t>
        </is>
      </c>
      <c r="D342" s="16" t="inlineStr">
        <is>
          <t>Construction &amp; Engineering</t>
        </is>
      </c>
      <c r="E342" s="16" t="inlineStr">
        <is>
          <t>Cement and Construction</t>
        </is>
      </c>
      <c r="F342" s="17" t="n">
        <v>23382</v>
      </c>
      <c r="G342" s="16" t="inlineStr">
        <is>
          <t>NBCC</t>
        </is>
      </c>
      <c r="H342" s="16" t="inlineStr">
        <is>
          <t>534309</t>
        </is>
      </c>
      <c r="I342" s="27">
        <f>IFERROR(IF(INDEX(Stocks!$G$2:$G$2139,MATCH(A342,Stocks!$E$2:$E$2139,0))="","No","Yes"),"No")</f>
        <v/>
      </c>
    </row>
    <row r="343">
      <c r="A343" s="16" t="inlineStr">
        <is>
          <t>INE288B01029</t>
        </is>
      </c>
      <c r="B343" s="16" t="inlineStr">
        <is>
          <t>DEEPAKNTR</t>
        </is>
      </c>
      <c r="C343" s="16" t="inlineStr">
        <is>
          <t>Deepak Nitrite Ltd.</t>
        </is>
      </c>
      <c r="D343" s="16" t="inlineStr">
        <is>
          <t>Commodity Chemicals</t>
        </is>
      </c>
      <c r="E343" s="16" t="inlineStr">
        <is>
          <t>Chemicals &amp; Petrochemicals</t>
        </is>
      </c>
      <c r="F343" s="17" t="n">
        <v>23355.94</v>
      </c>
      <c r="G343" s="16" t="inlineStr">
        <is>
          <t>DEEPAKNTR</t>
        </is>
      </c>
      <c r="H343" s="16" t="inlineStr">
        <is>
          <t>506401</t>
        </is>
      </c>
      <c r="I343" s="27">
        <f>IFERROR(IF(INDEX(Stocks!$G$2:$G$2139,MATCH(A343,Stocks!$E$2:$E$2139,0))="","No","Yes"),"No")</f>
        <v/>
      </c>
    </row>
    <row r="344">
      <c r="A344" s="16" t="inlineStr">
        <is>
          <t>INE880L01014</t>
        </is>
      </c>
      <c r="B344" s="16" t="inlineStr">
        <is>
          <t>KIOCL</t>
        </is>
      </c>
      <c r="C344" s="16" t="inlineStr">
        <is>
          <t>KIOCL Ltd.</t>
        </is>
      </c>
      <c r="D344" s="16" t="inlineStr">
        <is>
          <t>Iron &amp; Steel/Interm.Products</t>
        </is>
      </c>
      <c r="E344" s="16" t="inlineStr">
        <is>
          <t>Metals &amp; Mining</t>
        </is>
      </c>
      <c r="F344" s="17" t="n">
        <v>23222.17</v>
      </c>
      <c r="G344" s="16" t="inlineStr">
        <is>
          <t>KIOCL</t>
        </is>
      </c>
      <c r="H344" s="16" t="inlineStr">
        <is>
          <t>540680</t>
        </is>
      </c>
      <c r="I344" s="27">
        <f>IFERROR(IF(INDEX(Stocks!$G$2:$G$2139,MATCH(A344,Stocks!$E$2:$E$2139,0))="","No","Yes"),"No")</f>
        <v/>
      </c>
    </row>
    <row r="345">
      <c r="A345" s="16" t="inlineStr">
        <is>
          <t>INE741K01010</t>
        </is>
      </c>
      <c r="B345" s="16" t="inlineStr">
        <is>
          <t>CREDITACC</t>
        </is>
      </c>
      <c r="C345" s="16" t="inlineStr">
        <is>
          <t>CreditAccess Grameen Ltd.</t>
        </is>
      </c>
      <c r="D345" s="16" t="inlineStr">
        <is>
          <t>Microfinance Institutions</t>
        </is>
      </c>
      <c r="E345" s="16" t="inlineStr">
        <is>
          <t>Banking and Finance</t>
        </is>
      </c>
      <c r="F345" s="17" t="n">
        <v>23155.17</v>
      </c>
      <c r="G345" s="16" t="inlineStr">
        <is>
          <t>CREDITACC</t>
        </is>
      </c>
      <c r="H345" s="16" t="inlineStr">
        <is>
          <t>541770</t>
        </is>
      </c>
      <c r="I345" s="27">
        <f>IFERROR(IF(INDEX(Stocks!$G$2:$G$2139,MATCH(A345,Stocks!$E$2:$E$2139,0))="","No","Yes"),"No")</f>
        <v/>
      </c>
    </row>
    <row r="346">
      <c r="A346" s="16" t="inlineStr">
        <is>
          <t>INE419M01035</t>
        </is>
      </c>
      <c r="B346" s="16" t="inlineStr">
        <is>
          <t>TDPOWERSYS</t>
        </is>
      </c>
      <c r="C346" s="16" t="inlineStr">
        <is>
          <t>TD Power Systems Ltd.</t>
        </is>
      </c>
      <c r="D346" s="16" t="inlineStr">
        <is>
          <t>Heavy Electrical Equipment</t>
        </is>
      </c>
      <c r="E346" s="16" t="inlineStr">
        <is>
          <t>General Industrials</t>
        </is>
      </c>
      <c r="F346" s="17" t="n">
        <v>23124.94</v>
      </c>
      <c r="G346" s="16" t="inlineStr">
        <is>
          <t>TDPOWERSYS</t>
        </is>
      </c>
      <c r="H346" s="16" t="inlineStr">
        <is>
          <t>533553</t>
        </is>
      </c>
      <c r="I346" s="27">
        <f>IFERROR(IF(INDEX(Stocks!$G$2:$G$2139,MATCH(A346,Stocks!$E$2:$E$2139,0))="","No","Yes"),"No")</f>
        <v/>
      </c>
    </row>
    <row r="347">
      <c r="A347" s="16" t="inlineStr">
        <is>
          <t>INE451A01017</t>
        </is>
      </c>
      <c r="B347" s="16" t="inlineStr">
        <is>
          <t>FORCEMOT</t>
        </is>
      </c>
      <c r="C347" s="16" t="inlineStr">
        <is>
          <t>Force Motors Ltd.</t>
        </is>
      </c>
      <c r="D347" s="16" t="inlineStr">
        <is>
          <t>Cars &amp; Utility Vehicles</t>
        </is>
      </c>
      <c r="E347" s="16" t="inlineStr">
        <is>
          <t>Automobiles &amp; Auto Components</t>
        </is>
      </c>
      <c r="F347" s="17" t="n">
        <v>23058.52</v>
      </c>
      <c r="G347" s="16" t="inlineStr">
        <is>
          <t>FORCEMOT</t>
        </is>
      </c>
      <c r="H347" s="16" t="inlineStr">
        <is>
          <t>500033</t>
        </is>
      </c>
      <c r="I347" s="27">
        <f>IFERROR(IF(INDEX(Stocks!$G$2:$G$2139,MATCH(A347,Stocks!$E$2:$E$2139,0))="","No","Yes"),"No")</f>
        <v/>
      </c>
    </row>
    <row r="348">
      <c r="A348" s="16" t="inlineStr">
        <is>
          <t>INE894V01022</t>
        </is>
      </c>
      <c r="B348" s="16" t="inlineStr">
        <is>
          <t>BELRISE</t>
        </is>
      </c>
      <c r="C348" s="16" t="inlineStr">
        <is>
          <t>Belrise Industries Ltd.</t>
        </is>
      </c>
      <c r="D348" s="16" t="inlineStr">
        <is>
          <t>Auto Parts &amp; Equipment</t>
        </is>
      </c>
      <c r="E348" s="16" t="inlineStr">
        <is>
          <t>Automobiles &amp; Auto Components</t>
        </is>
      </c>
      <c r="F348" s="17" t="n">
        <v>22907.96</v>
      </c>
      <c r="G348" s="16" t="inlineStr">
        <is>
          <t>BELRISE</t>
        </is>
      </c>
      <c r="H348" s="16" t="inlineStr">
        <is>
          <t>544405</t>
        </is>
      </c>
      <c r="I348" s="27">
        <f>IFERROR(IF(INDEX(Stocks!$G$2:$G$2139,MATCH(A348,Stocks!$E$2:$E$2139,0))="","No","Yes"),"No")</f>
        <v/>
      </c>
    </row>
    <row r="349">
      <c r="A349" s="16" t="inlineStr">
        <is>
          <t>INE980O01024</t>
        </is>
      </c>
      <c r="B349" s="16" t="inlineStr">
        <is>
          <t>JYOTICNC</t>
        </is>
      </c>
      <c r="C349" s="16" t="inlineStr">
        <is>
          <t>Jyoti CNC Automation Ltd.</t>
        </is>
      </c>
      <c r="D349" s="16" t="inlineStr">
        <is>
          <t>Industrial Machinery</t>
        </is>
      </c>
      <c r="E349" s="16" t="inlineStr">
        <is>
          <t>General Industrials</t>
        </is>
      </c>
      <c r="F349" s="17" t="n">
        <v>22831.01</v>
      </c>
      <c r="G349" s="16" t="inlineStr">
        <is>
          <t>JYOTICNC</t>
        </is>
      </c>
      <c r="H349" s="16" t="inlineStr">
        <is>
          <t>544081</t>
        </is>
      </c>
      <c r="I349" s="27">
        <f>IFERROR(IF(INDEX(Stocks!$G$2:$G$2139,MATCH(A349,Stocks!$E$2:$E$2139,0))="","No","Yes"),"No")</f>
        <v/>
      </c>
    </row>
    <row r="350">
      <c r="A350" s="16" t="inlineStr">
        <is>
          <t>INE00WC01027</t>
        </is>
      </c>
      <c r="B350" s="16" t="inlineStr">
        <is>
          <t>AFFLE</t>
        </is>
      </c>
      <c r="C350" s="16" t="inlineStr">
        <is>
          <t>Affle 3I Ltd.</t>
        </is>
      </c>
      <c r="D350" s="16" t="inlineStr">
        <is>
          <t>Internet Software &amp; Services</t>
        </is>
      </c>
      <c r="E350" s="16" t="inlineStr">
        <is>
          <t>Software &amp; Services</t>
        </is>
      </c>
      <c r="F350" s="17" t="n">
        <v>22778.8</v>
      </c>
      <c r="G350" s="16" t="inlineStr">
        <is>
          <t>AFFLE</t>
        </is>
      </c>
      <c r="H350" s="16" t="inlineStr">
        <is>
          <t>542752</t>
        </is>
      </c>
      <c r="I350" s="27">
        <f>IFERROR(IF(INDEX(Stocks!$G$2:$G$2139,MATCH(A350,Stocks!$E$2:$E$2139,0))="","No","Yes"),"No")</f>
        <v/>
      </c>
    </row>
    <row r="351">
      <c r="A351" s="16" t="inlineStr">
        <is>
          <t>INE791I01019</t>
        </is>
      </c>
      <c r="B351" s="16" t="inlineStr">
        <is>
          <t>BRIGADE</t>
        </is>
      </c>
      <c r="C351" s="16" t="inlineStr">
        <is>
          <t>Brigade Enterprises Ltd.</t>
        </is>
      </c>
      <c r="D351" s="16" t="inlineStr">
        <is>
          <t>Realty</t>
        </is>
      </c>
      <c r="E351" s="16" t="inlineStr">
        <is>
          <t>Realty</t>
        </is>
      </c>
      <c r="F351" s="17" t="n">
        <v>22710.91</v>
      </c>
      <c r="G351" s="16" t="inlineStr">
        <is>
          <t>BRIGADE</t>
        </is>
      </c>
      <c r="H351" s="16" t="inlineStr">
        <is>
          <t>532929</t>
        </is>
      </c>
      <c r="I351" s="27">
        <f>IFERROR(IF(INDEX(Stocks!$G$2:$G$2139,MATCH(A351,Stocks!$E$2:$E$2139,0))="","No","Yes"),"No")</f>
        <v/>
      </c>
    </row>
    <row r="352">
      <c r="A352" s="16" t="inlineStr">
        <is>
          <t>INE1C6T01020</t>
        </is>
      </c>
      <c r="B352" s="16" t="inlineStr">
        <is>
          <t>EMMVEE</t>
        </is>
      </c>
      <c r="C352" s="16" t="inlineStr">
        <is>
          <t>Emmvee Photovoltaic Power Ltd.</t>
        </is>
      </c>
      <c r="D352" s="16" t="inlineStr">
        <is>
          <t>Other Electrical Equipment/Products</t>
        </is>
      </c>
      <c r="E352" s="16" t="inlineStr">
        <is>
          <t>Consumer Durables</t>
        </is>
      </c>
      <c r="F352" s="17" t="n">
        <v>22515.06</v>
      </c>
      <c r="G352" s="16" t="inlineStr">
        <is>
          <t>EMMVEE</t>
        </is>
      </c>
      <c r="H352" s="16" t="inlineStr">
        <is>
          <t>544608</t>
        </is>
      </c>
      <c r="I352" s="27">
        <f>IFERROR(IF(INDEX(Stocks!$G$2:$G$2139,MATCH(A352,Stocks!$E$2:$E$2139,0))="","No","Yes"),"No")</f>
        <v/>
      </c>
    </row>
    <row r="353">
      <c r="A353" s="16" t="inlineStr">
        <is>
          <t>INE242C01024</t>
        </is>
      </c>
      <c r="B353" s="16" t="inlineStr">
        <is>
          <t>ANANTRAJ</t>
        </is>
      </c>
      <c r="C353" s="16" t="inlineStr">
        <is>
          <t>Anant Raj Ltd.</t>
        </is>
      </c>
      <c r="D353" s="16" t="inlineStr">
        <is>
          <t>Realty</t>
        </is>
      </c>
      <c r="E353" s="16" t="inlineStr">
        <is>
          <t>Realty</t>
        </is>
      </c>
      <c r="F353" s="17" t="n">
        <v>22508.5</v>
      </c>
      <c r="G353" s="16" t="inlineStr">
        <is>
          <t>ANANTRAJ</t>
        </is>
      </c>
      <c r="H353" s="16" t="inlineStr">
        <is>
          <t>515055</t>
        </is>
      </c>
      <c r="I353" s="27">
        <f>IFERROR(IF(INDEX(Stocks!$G$2:$G$2139,MATCH(A353,Stocks!$E$2:$E$2139,0))="","No","Yes"),"No")</f>
        <v/>
      </c>
    </row>
    <row r="354">
      <c r="A354" s="16" t="inlineStr">
        <is>
          <t>INE686A01026</t>
        </is>
      </c>
      <c r="B354" s="16" t="inlineStr">
        <is>
          <t>CEMPRO</t>
        </is>
      </c>
      <c r="C354" s="16" t="inlineStr">
        <is>
          <t>Cemindia Projects Ltd.</t>
        </is>
      </c>
      <c r="D354" s="16" t="inlineStr">
        <is>
          <t>Construction &amp; Engineering</t>
        </is>
      </c>
      <c r="E354" s="16" t="inlineStr">
        <is>
          <t>Cement and Construction</t>
        </is>
      </c>
      <c r="F354" s="17" t="n">
        <v>22287.72</v>
      </c>
      <c r="G354" s="16" t="inlineStr">
        <is>
          <t>CEMPRO</t>
        </is>
      </c>
      <c r="H354" s="16" t="inlineStr">
        <is>
          <t>509496</t>
        </is>
      </c>
      <c r="I354" s="27">
        <f>IFERROR(IF(INDEX(Stocks!$G$2:$G$2139,MATCH(A354,Stocks!$E$2:$E$2139,0))="","No","Yes"),"No")</f>
        <v/>
      </c>
    </row>
    <row r="355">
      <c r="A355" s="16" t="inlineStr">
        <is>
          <t>INE670A01012</t>
        </is>
      </c>
      <c r="B355" s="16" t="inlineStr">
        <is>
          <t>TATAELXSI</t>
        </is>
      </c>
      <c r="C355" s="16" t="inlineStr">
        <is>
          <t>Tata Elxsi Ltd.</t>
        </is>
      </c>
      <c r="D355" s="16" t="inlineStr">
        <is>
          <t>IT Consulting &amp; Software</t>
        </is>
      </c>
      <c r="E355" s="16" t="inlineStr">
        <is>
          <t>Software &amp; Services</t>
        </is>
      </c>
      <c r="F355" s="17" t="n">
        <v>22168.37</v>
      </c>
      <c r="G355" s="16" t="inlineStr">
        <is>
          <t>TATAELXSI</t>
        </is>
      </c>
      <c r="H355" s="16" t="inlineStr">
        <is>
          <t>500408</t>
        </is>
      </c>
      <c r="I355" s="27">
        <f>IFERROR(IF(INDEX(Stocks!$G$2:$G$2139,MATCH(A355,Stocks!$E$2:$E$2139,0))="","No","Yes"),"No")</f>
        <v/>
      </c>
    </row>
    <row r="356">
      <c r="A356" s="16" t="inlineStr">
        <is>
          <t>INE203G01027</t>
        </is>
      </c>
      <c r="B356" s="16" t="inlineStr">
        <is>
          <t>IGL</t>
        </is>
      </c>
      <c r="C356" s="16" t="inlineStr">
        <is>
          <t>Indraprastha Gas Ltd.</t>
        </is>
      </c>
      <c r="D356" s="16" t="inlineStr">
        <is>
          <t>Utilities:Non-Electrical</t>
        </is>
      </c>
      <c r="E356" s="16" t="inlineStr">
        <is>
          <t>Utilities</t>
        </is>
      </c>
      <c r="F356" s="17" t="n">
        <v>22125.63</v>
      </c>
      <c r="G356" s="16" t="inlineStr">
        <is>
          <t>IGL</t>
        </is>
      </c>
      <c r="H356" s="16" t="inlineStr">
        <is>
          <t>532514</t>
        </is>
      </c>
      <c r="I356" s="27">
        <f>IFERROR(IF(INDEX(Stocks!$G$2:$G$2139,MATCH(A356,Stocks!$E$2:$E$2139,0))="","No","Yes"),"No")</f>
        <v/>
      </c>
    </row>
    <row r="357">
      <c r="A357" s="16" t="inlineStr">
        <is>
          <t>INE864I01014</t>
        </is>
      </c>
      <c r="B357" s="16" t="inlineStr">
        <is>
          <t>MTARTECH</t>
        </is>
      </c>
      <c r="C357" s="16" t="inlineStr">
        <is>
          <t>MTAR Technologies Ltd.</t>
        </is>
      </c>
      <c r="D357" s="16" t="inlineStr">
        <is>
          <t>Aerospace &amp; Defence</t>
        </is>
      </c>
      <c r="E357" s="16" t="inlineStr">
        <is>
          <t>General Industrials</t>
        </is>
      </c>
      <c r="F357" s="17" t="n">
        <v>22026.95</v>
      </c>
      <c r="G357" s="16" t="inlineStr">
        <is>
          <t>MTARTECH</t>
        </is>
      </c>
      <c r="H357" s="16" t="inlineStr">
        <is>
          <t>543270</t>
        </is>
      </c>
      <c r="I357" s="27">
        <f>IFERROR(IF(INDEX(Stocks!$G$2:$G$2139,MATCH(A357,Stocks!$E$2:$E$2139,0))="","No","Yes"),"No")</f>
        <v/>
      </c>
    </row>
    <row r="358">
      <c r="A358" s="16" t="inlineStr">
        <is>
          <t>INE0W2G01015</t>
        </is>
      </c>
      <c r="B358" s="16" t="inlineStr">
        <is>
          <t>SAGILITY</t>
        </is>
      </c>
      <c r="C358" s="16" t="inlineStr">
        <is>
          <t>Sagility Ltd.</t>
        </is>
      </c>
      <c r="D358" s="16" t="inlineStr">
        <is>
          <t>Misc. Commercial Services</t>
        </is>
      </c>
      <c r="E358" s="16" t="inlineStr">
        <is>
          <t>Commercial Services &amp; Supplies</t>
        </is>
      </c>
      <c r="F358" s="17" t="n">
        <v>21917.98</v>
      </c>
      <c r="G358" s="16" t="inlineStr">
        <is>
          <t>SAGILITY</t>
        </is>
      </c>
      <c r="H358" s="16" t="inlineStr">
        <is>
          <t>544282</t>
        </is>
      </c>
      <c r="I358" s="27">
        <f>IFERROR(IF(INDEX(Stocks!$G$2:$G$2139,MATCH(A358,Stocks!$E$2:$E$2139,0))="","No","Yes"),"No")</f>
        <v/>
      </c>
    </row>
    <row r="359">
      <c r="A359" s="16" t="inlineStr">
        <is>
          <t>INE536A01023</t>
        </is>
      </c>
      <c r="B359" s="16" t="inlineStr">
        <is>
          <t>GRINDWELL</t>
        </is>
      </c>
      <c r="C359" s="16" t="inlineStr">
        <is>
          <t>Grindwell Norton Ltd.</t>
        </is>
      </c>
      <c r="D359" s="16" t="inlineStr">
        <is>
          <t>Abrasives &amp; Bearings</t>
        </is>
      </c>
      <c r="E359" s="16" t="inlineStr">
        <is>
          <t>General Industrials</t>
        </is>
      </c>
      <c r="F359" s="17" t="n">
        <v>21728.8</v>
      </c>
      <c r="G359" s="16" t="inlineStr">
        <is>
          <t>GRINDWELL</t>
        </is>
      </c>
      <c r="H359" s="16" t="inlineStr">
        <is>
          <t>506076</t>
        </is>
      </c>
      <c r="I359" s="27">
        <f>IFERROR(IF(INDEX(Stocks!$G$2:$G$2139,MATCH(A359,Stocks!$E$2:$E$2139,0))="","No","Yes"),"No")</f>
        <v/>
      </c>
    </row>
    <row r="360">
      <c r="A360" s="16" t="inlineStr">
        <is>
          <t>INE178A01016</t>
        </is>
      </c>
      <c r="B360" s="16" t="inlineStr">
        <is>
          <t>CHENNPETRO</t>
        </is>
      </c>
      <c r="C360" s="16" t="inlineStr">
        <is>
          <t>Chennai Petroleum Corporation Ltd.</t>
        </is>
      </c>
      <c r="D360" s="16" t="inlineStr">
        <is>
          <t>Refineries/Petro-Products</t>
        </is>
      </c>
      <c r="E360" s="16" t="inlineStr">
        <is>
          <t>Oil &amp; Gas</t>
        </is>
      </c>
      <c r="F360" s="17" t="n">
        <v>21624.91</v>
      </c>
      <c r="G360" s="16" t="inlineStr">
        <is>
          <t>CHENNPETRO</t>
        </is>
      </c>
      <c r="H360" s="16" t="inlineStr">
        <is>
          <t>500110</t>
        </is>
      </c>
      <c r="I360" s="27">
        <f>IFERROR(IF(INDEX(Stocks!$G$2:$G$2139,MATCH(A360,Stocks!$E$2:$E$2139,0))="","No","Yes"),"No")</f>
        <v/>
      </c>
    </row>
    <row r="361">
      <c r="A361" s="16" t="inlineStr">
        <is>
          <t>INE0BWX01014</t>
        </is>
      </c>
      <c r="B361" s="16" t="inlineStr">
        <is>
          <t>AETHER</t>
        </is>
      </c>
      <c r="C361" s="16" t="inlineStr">
        <is>
          <t>Aether Industries Ltd.</t>
        </is>
      </c>
      <c r="D361" s="16" t="inlineStr">
        <is>
          <t>Specialty Chemicals</t>
        </is>
      </c>
      <c r="E361" s="16" t="inlineStr">
        <is>
          <t>Chemicals &amp; Petrochemicals</t>
        </is>
      </c>
      <c r="F361" s="17" t="n">
        <v>21576.23</v>
      </c>
      <c r="G361" s="16" t="inlineStr">
        <is>
          <t>AETHER</t>
        </is>
      </c>
      <c r="H361" s="16" t="inlineStr">
        <is>
          <t>543534</t>
        </is>
      </c>
      <c r="I361" s="27">
        <f>IFERROR(IF(INDEX(Stocks!$G$2:$G$2139,MATCH(A361,Stocks!$E$2:$E$2139,0))="","No","Yes"),"No")</f>
        <v/>
      </c>
    </row>
    <row r="362">
      <c r="A362" s="16" t="inlineStr">
        <is>
          <t>INE120A01034</t>
        </is>
      </c>
      <c r="B362" s="16" t="inlineStr">
        <is>
          <t>CARBORUNIV</t>
        </is>
      </c>
      <c r="C362" s="16" t="inlineStr">
        <is>
          <t>Carborundum Universal Ltd.</t>
        </is>
      </c>
      <c r="D362" s="16" t="inlineStr">
        <is>
          <t>Abrasives &amp; Bearings</t>
        </is>
      </c>
      <c r="E362" s="16" t="inlineStr">
        <is>
          <t>General Industrials</t>
        </is>
      </c>
      <c r="F362" s="17" t="n">
        <v>21538.54</v>
      </c>
      <c r="G362" s="16" t="inlineStr">
        <is>
          <t>CARBORUNIV</t>
        </is>
      </c>
      <c r="H362" s="16" t="inlineStr">
        <is>
          <t>513375</t>
        </is>
      </c>
      <c r="I362" s="27">
        <f>IFERROR(IF(INDEX(Stocks!$G$2:$G$2139,MATCH(A362,Stocks!$E$2:$E$2139,0))="","No","Yes"),"No")</f>
        <v/>
      </c>
    </row>
    <row r="363">
      <c r="A363" s="16" t="inlineStr">
        <is>
          <t>INE475E01026</t>
        </is>
      </c>
      <c r="B363" s="16" t="inlineStr">
        <is>
          <t>CAPLIPOINT</t>
        </is>
      </c>
      <c r="C363" s="16" t="inlineStr">
        <is>
          <t>Caplin Point Laboratories Ltd.</t>
        </is>
      </c>
      <c r="D363" s="16" t="inlineStr">
        <is>
          <t>Pharmaceuticals</t>
        </is>
      </c>
      <c r="E363" s="16" t="inlineStr">
        <is>
          <t>Pharmaceuticals &amp; Biotechnology</t>
        </is>
      </c>
      <c r="F363" s="17" t="n">
        <v>21365.37</v>
      </c>
      <c r="G363" s="16" t="inlineStr">
        <is>
          <t>CAPLIPOINT</t>
        </is>
      </c>
      <c r="H363" s="16" t="inlineStr">
        <is>
          <t>524742</t>
        </is>
      </c>
      <c r="I363" s="27">
        <f>IFERROR(IF(INDEX(Stocks!$G$2:$G$2139,MATCH(A363,Stocks!$E$2:$E$2139,0))="","No","Yes"),"No")</f>
        <v/>
      </c>
    </row>
    <row r="364">
      <c r="A364" s="16" t="inlineStr">
        <is>
          <t>INE883F01010</t>
        </is>
      </c>
      <c r="B364" s="16" t="inlineStr">
        <is>
          <t>AADHARHFC</t>
        </is>
      </c>
      <c r="C364" s="16" t="inlineStr">
        <is>
          <t>Aadhar Housing Finance Ltd.</t>
        </is>
      </c>
      <c r="D364" s="16" t="inlineStr">
        <is>
          <t>Housing Finance</t>
        </is>
      </c>
      <c r="E364" s="16" t="inlineStr">
        <is>
          <t>Banking and Finance</t>
        </is>
      </c>
      <c r="F364" s="17" t="n">
        <v>21189.48</v>
      </c>
      <c r="G364" s="16" t="inlineStr">
        <is>
          <t>AADHARHFC</t>
        </is>
      </c>
      <c r="H364" s="16" t="inlineStr">
        <is>
          <t>544176</t>
        </is>
      </c>
      <c r="I364" s="27">
        <f>IFERROR(IF(INDEX(Stocks!$G$2:$G$2139,MATCH(A364,Stocks!$E$2:$E$2139,0))="","No","Yes"),"No")</f>
        <v/>
      </c>
    </row>
    <row r="365">
      <c r="A365" s="16" t="inlineStr">
        <is>
          <t>INE330T01021</t>
        </is>
      </c>
      <c r="B365" s="16" t="inlineStr">
        <is>
          <t>HAPPYFORGE</t>
        </is>
      </c>
      <c r="C365" s="16" t="inlineStr">
        <is>
          <t>Happy Forgings Ltd.</t>
        </is>
      </c>
      <c r="D365" s="16" t="inlineStr">
        <is>
          <t>Castings &amp; Forgings</t>
        </is>
      </c>
      <c r="E365" s="16" t="inlineStr">
        <is>
          <t>General Industrials</t>
        </is>
      </c>
      <c r="F365" s="17" t="n">
        <v>21126.67</v>
      </c>
      <c r="G365" s="16" t="inlineStr">
        <is>
          <t>HAPPYFORGE</t>
        </is>
      </c>
      <c r="H365" s="16" t="inlineStr">
        <is>
          <t>544057</t>
        </is>
      </c>
      <c r="I365" s="27">
        <f>IFERROR(IF(INDEX(Stocks!$G$2:$G$2139,MATCH(A365,Stocks!$E$2:$E$2139,0))="","No","Yes"),"No")</f>
        <v/>
      </c>
    </row>
    <row r="366">
      <c r="A366" s="16" t="inlineStr">
        <is>
          <t>INE182A01018</t>
        </is>
      </c>
      <c r="B366" s="16" t="inlineStr">
        <is>
          <t>PFIZER</t>
        </is>
      </c>
      <c r="C366" s="16" t="inlineStr">
        <is>
          <t>Pfizer Ltd.</t>
        </is>
      </c>
      <c r="D366" s="16" t="inlineStr">
        <is>
          <t>Pharmaceuticals</t>
        </is>
      </c>
      <c r="E366" s="16" t="inlineStr">
        <is>
          <t>Pharmaceuticals &amp; Biotechnology</t>
        </is>
      </c>
      <c r="F366" s="17" t="n">
        <v>21088.32</v>
      </c>
      <c r="G366" s="16" t="inlineStr">
        <is>
          <t>PFIZER</t>
        </is>
      </c>
      <c r="H366" s="16" t="inlineStr">
        <is>
          <t>500680</t>
        </is>
      </c>
      <c r="I366" s="27">
        <f>IFERROR(IF(INDEX(Stocks!$G$2:$G$2139,MATCH(A366,Stocks!$E$2:$E$2139,0))="","No","Yes"),"No")</f>
        <v/>
      </c>
    </row>
    <row r="367">
      <c r="A367" s="16" t="inlineStr">
        <is>
          <t>INE526E01018</t>
        </is>
      </c>
      <c r="B367" s="16" t="inlineStr">
        <is>
          <t>SHRIPISTON</t>
        </is>
      </c>
      <c r="C367" s="16" t="inlineStr">
        <is>
          <t>SPR Auto Technologies Ltd</t>
        </is>
      </c>
      <c r="D367" s="16" t="inlineStr">
        <is>
          <t>Auto Parts &amp; Equipment</t>
        </is>
      </c>
      <c r="E367" s="16" t="inlineStr">
        <is>
          <t>Automobiles &amp; Auto Components</t>
        </is>
      </c>
      <c r="F367" s="17" t="n">
        <v>21045</v>
      </c>
      <c r="G367" s="16" t="inlineStr">
        <is>
          <t>SHRIPISTON</t>
        </is>
      </c>
      <c r="H367" s="16" t="inlineStr">
        <is>
          <t>544344</t>
        </is>
      </c>
      <c r="I367" s="27">
        <f>IFERROR(IF(INDEX(Stocks!$G$2:$G$2139,MATCH(A367,Stocks!$E$2:$E$2139,0))="","No","Yes"),"No")</f>
        <v/>
      </c>
    </row>
    <row r="368">
      <c r="A368" s="16" t="inlineStr">
        <is>
          <t>INE101D01020</t>
        </is>
      </c>
      <c r="B368" s="16" t="inlineStr">
        <is>
          <t>GRANULES</t>
        </is>
      </c>
      <c r="C368" s="16" t="inlineStr">
        <is>
          <t>Granules India Ltd.</t>
        </is>
      </c>
      <c r="D368" s="16" t="inlineStr">
        <is>
          <t>Pharmaceuticals</t>
        </is>
      </c>
      <c r="E368" s="16" t="inlineStr">
        <is>
          <t>Pharmaceuticals &amp; Biotechnology</t>
        </is>
      </c>
      <c r="F368" s="17" t="n">
        <v>21020.61</v>
      </c>
      <c r="G368" s="16" t="inlineStr">
        <is>
          <t>GRANULES</t>
        </is>
      </c>
      <c r="H368" s="16" t="inlineStr">
        <is>
          <t>532482</t>
        </is>
      </c>
      <c r="I368" s="27">
        <f>IFERROR(IF(INDEX(Stocks!$G$2:$G$2139,MATCH(A368,Stocks!$E$2:$E$2139,0))="","No","Yes"),"No")</f>
        <v/>
      </c>
    </row>
    <row r="369">
      <c r="A369" s="16" t="inlineStr">
        <is>
          <t>INE331A01037</t>
        </is>
      </c>
      <c r="B369" s="16" t="inlineStr">
        <is>
          <t>RAMCOCEM</t>
        </is>
      </c>
      <c r="C369" s="16" t="inlineStr">
        <is>
          <t>The Ramco Cements Ltd.</t>
        </is>
      </c>
      <c r="D369" s="16" t="inlineStr">
        <is>
          <t>Cement &amp; Cement Products</t>
        </is>
      </c>
      <c r="E369" s="16" t="inlineStr">
        <is>
          <t>Cement and Construction</t>
        </is>
      </c>
      <c r="F369" s="17" t="n">
        <v>20900.06</v>
      </c>
      <c r="G369" s="16" t="inlineStr">
        <is>
          <t>RAMCOCEM</t>
        </is>
      </c>
      <c r="H369" s="16" t="inlineStr">
        <is>
          <t>500260</t>
        </is>
      </c>
      <c r="I369" s="27">
        <f>IFERROR(IF(INDEX(Stocks!$G$2:$G$2139,MATCH(A369,Stocks!$E$2:$E$2139,0))="","No","Yes"),"No")</f>
        <v/>
      </c>
    </row>
    <row r="370">
      <c r="A370" s="16" t="inlineStr">
        <is>
          <t>INE19RI01016</t>
        </is>
      </c>
      <c r="B370" s="16" t="inlineStr">
        <is>
          <t>TENNIND</t>
        </is>
      </c>
      <c r="C370" s="16" t="inlineStr">
        <is>
          <t>Tenneco Clean Air India Ltd.</t>
        </is>
      </c>
      <c r="D370" s="16" t="inlineStr">
        <is>
          <t>Auto Parts &amp; Equipment</t>
        </is>
      </c>
      <c r="E370" s="16" t="inlineStr">
        <is>
          <t>Automobiles &amp; Auto Components</t>
        </is>
      </c>
      <c r="F370" s="17" t="n">
        <v>20888.54</v>
      </c>
      <c r="G370" s="16" t="inlineStr">
        <is>
          <t>TENNIND</t>
        </is>
      </c>
      <c r="H370" s="16" t="inlineStr">
        <is>
          <t>544612</t>
        </is>
      </c>
      <c r="I370" s="27">
        <f>IFERROR(IF(INDEX(Stocks!$G$2:$G$2139,MATCH(A370,Stocks!$E$2:$E$2139,0))="","No","Yes"),"No")</f>
        <v/>
      </c>
    </row>
    <row r="371">
      <c r="A371" s="16" t="inlineStr">
        <is>
          <t>INE616N01034</t>
        </is>
      </c>
      <c r="B371" s="16" t="inlineStr">
        <is>
          <t>INOXINDIA</t>
        </is>
      </c>
      <c r="C371" s="16" t="inlineStr">
        <is>
          <t>Inox India Ltd.</t>
        </is>
      </c>
      <c r="D371" s="16" t="inlineStr">
        <is>
          <t>Other Industrial Products</t>
        </is>
      </c>
      <c r="E371" s="16" t="inlineStr">
        <is>
          <t>General Industrials</t>
        </is>
      </c>
      <c r="F371" s="17" t="n">
        <v>20401.82</v>
      </c>
      <c r="G371" s="16" t="inlineStr">
        <is>
          <t>INOXINDIA</t>
        </is>
      </c>
      <c r="H371" s="16" t="inlineStr">
        <is>
          <t>544046</t>
        </is>
      </c>
      <c r="I371" s="27">
        <f>IFERROR(IF(INDEX(Stocks!$G$2:$G$2139,MATCH(A371,Stocks!$E$2:$E$2139,0))="","No","Yes"),"No")</f>
        <v/>
      </c>
    </row>
    <row r="372">
      <c r="A372" s="16" t="inlineStr">
        <is>
          <t>INE285A01027</t>
        </is>
      </c>
      <c r="B372" s="16" t="inlineStr">
        <is>
          <t>ELGIEQUIP</t>
        </is>
      </c>
      <c r="C372" s="16" t="inlineStr">
        <is>
          <t>Elgi Equipments Ltd.</t>
        </is>
      </c>
      <c r="D372" s="16" t="inlineStr">
        <is>
          <t>Compressors &amp; Pumps</t>
        </is>
      </c>
      <c r="E372" s="16" t="inlineStr">
        <is>
          <t>General Industrials</t>
        </is>
      </c>
      <c r="F372" s="17" t="n">
        <v>20348.73</v>
      </c>
      <c r="G372" s="16" t="inlineStr">
        <is>
          <t>ELGIEQUIP</t>
        </is>
      </c>
      <c r="H372" s="16" t="inlineStr">
        <is>
          <t>522074</t>
        </is>
      </c>
      <c r="I372" s="27">
        <f>IFERROR(IF(INDEX(Stocks!$G$2:$G$2139,MATCH(A372,Stocks!$E$2:$E$2139,0))="","No","Yes"),"No")</f>
        <v/>
      </c>
    </row>
    <row r="373">
      <c r="A373" s="16" t="inlineStr">
        <is>
          <t>INE269B01029</t>
        </is>
      </c>
      <c r="B373" s="16" t="inlineStr">
        <is>
          <t>LMW</t>
        </is>
      </c>
      <c r="C373" s="16" t="inlineStr">
        <is>
          <t>LMW Ltd.</t>
        </is>
      </c>
      <c r="D373" s="16" t="inlineStr">
        <is>
          <t>Industrial Machinery</t>
        </is>
      </c>
      <c r="E373" s="16" t="inlineStr">
        <is>
          <t>General Industrials</t>
        </is>
      </c>
      <c r="F373" s="17" t="n">
        <v>20056.26</v>
      </c>
      <c r="G373" s="16" t="inlineStr">
        <is>
          <t>LMW</t>
        </is>
      </c>
      <c r="H373" s="16" t="inlineStr">
        <is>
          <t>500252</t>
        </is>
      </c>
      <c r="I373" s="27">
        <f>IFERROR(IF(INDEX(Stocks!$G$2:$G$2139,MATCH(A373,Stocks!$E$2:$E$2139,0))="","No","Yes"),"No")</f>
        <v/>
      </c>
    </row>
    <row r="374">
      <c r="A374" s="16" t="inlineStr">
        <is>
          <t>INE192B01031</t>
        </is>
      </c>
      <c r="B374" s="16" t="inlineStr">
        <is>
          <t>WELSPUNLIV</t>
        </is>
      </c>
      <c r="C374" s="16" t="inlineStr">
        <is>
          <t>Welspun Living Ltd.</t>
        </is>
      </c>
      <c r="D374" s="16" t="inlineStr">
        <is>
          <t>Textiles</t>
        </is>
      </c>
      <c r="E374" s="16" t="inlineStr">
        <is>
          <t>Textiles Apparels &amp; Accessories</t>
        </is>
      </c>
      <c r="F374" s="17" t="n">
        <v>19999.29</v>
      </c>
      <c r="G374" s="16" t="inlineStr">
        <is>
          <t>WELSPUNLIV</t>
        </is>
      </c>
      <c r="H374" s="16" t="inlineStr">
        <is>
          <t>514162</t>
        </is>
      </c>
      <c r="I374" s="27">
        <f>IFERROR(IF(INDEX(Stocks!$G$2:$G$2139,MATCH(A374,Stocks!$E$2:$E$2139,0))="","No","Yes"),"No")</f>
        <v/>
      </c>
    </row>
    <row r="375">
      <c r="A375" s="16" t="inlineStr">
        <is>
          <t>INE989C01038</t>
        </is>
      </c>
      <c r="B375" s="16" t="inlineStr">
        <is>
          <t>DIACABS</t>
        </is>
      </c>
      <c r="C375" s="16" t="inlineStr">
        <is>
          <t>Diamond Power Infrastructure Ltd.</t>
        </is>
      </c>
      <c r="D375" s="16" t="inlineStr">
        <is>
          <t>Other Electrical Equipment/Products</t>
        </is>
      </c>
      <c r="E375" s="16" t="inlineStr">
        <is>
          <t>Consumer Durables</t>
        </is>
      </c>
      <c r="F375" s="17" t="n">
        <v>19844</v>
      </c>
      <c r="G375" s="16" t="inlineStr">
        <is>
          <t>DIACABS</t>
        </is>
      </c>
      <c r="H375" s="16" t="inlineStr">
        <is>
          <t>522163</t>
        </is>
      </c>
      <c r="I375" s="27">
        <f>IFERROR(IF(INDEX(Stocks!$G$2:$G$2139,MATCH(A375,Stocks!$E$2:$E$2139,0))="","No","Yes"),"No")</f>
        <v/>
      </c>
    </row>
    <row r="376">
      <c r="A376" s="16" t="inlineStr">
        <is>
          <t>INE217B01036</t>
        </is>
      </c>
      <c r="B376" s="16" t="inlineStr">
        <is>
          <t>KAJARIACER</t>
        </is>
      </c>
      <c r="C376" s="16" t="inlineStr">
        <is>
          <t>Kajaria Ceramics Ltd.</t>
        </is>
      </c>
      <c r="D376" s="16" t="inlineStr">
        <is>
          <t>Ceramics</t>
        </is>
      </c>
      <c r="E376" s="16" t="inlineStr">
        <is>
          <t>Consumer Durables</t>
        </is>
      </c>
      <c r="F376" s="17" t="n">
        <v>19745.96</v>
      </c>
      <c r="G376" s="16" t="inlineStr">
        <is>
          <t>KAJARIACER</t>
        </is>
      </c>
      <c r="H376" s="16" t="inlineStr">
        <is>
          <t>500233</t>
        </is>
      </c>
      <c r="I376" s="27">
        <f>IFERROR(IF(INDEX(Stocks!$G$2:$G$2139,MATCH(A376,Stocks!$E$2:$E$2139,0))="","No","Yes"),"No")</f>
        <v/>
      </c>
    </row>
    <row r="377">
      <c r="A377" s="16" t="inlineStr">
        <is>
          <t>INE427F01016</t>
        </is>
      </c>
      <c r="B377" s="16" t="inlineStr">
        <is>
          <t>CHALET</t>
        </is>
      </c>
      <c r="C377" s="16" t="inlineStr">
        <is>
          <t>Chalet Hotels Ltd.</t>
        </is>
      </c>
      <c r="D377" s="16" t="inlineStr">
        <is>
          <t>Hotels</t>
        </is>
      </c>
      <c r="E377" s="16" t="inlineStr">
        <is>
          <t>Hotels Restaurants &amp; Tourism</t>
        </is>
      </c>
      <c r="F377" s="17" t="n">
        <v>19638.3</v>
      </c>
      <c r="G377" s="16" t="inlineStr">
        <is>
          <t>CHALET</t>
        </is>
      </c>
      <c r="H377" s="16" t="inlineStr">
        <is>
          <t>542399</t>
        </is>
      </c>
      <c r="I377" s="27">
        <f>IFERROR(IF(INDEX(Stocks!$G$2:$G$2139,MATCH(A377,Stocks!$E$2:$E$2139,0))="","No","Yes"),"No")</f>
        <v/>
      </c>
    </row>
    <row r="378">
      <c r="A378" s="16" t="inlineStr">
        <is>
          <t>INE017A01032</t>
        </is>
      </c>
      <c r="B378" s="16" t="inlineStr">
        <is>
          <t>GESHIP</t>
        </is>
      </c>
      <c r="C378" s="16" t="inlineStr">
        <is>
          <t>Great Eastern Shipping Company Ltd.</t>
        </is>
      </c>
      <c r="D378" s="16" t="inlineStr">
        <is>
          <t>Shipping</t>
        </is>
      </c>
      <c r="E378" s="16" t="inlineStr">
        <is>
          <t>Transportation</t>
        </is>
      </c>
      <c r="F378" s="17" t="n">
        <v>19554.82</v>
      </c>
      <c r="G378" s="16" t="inlineStr">
        <is>
          <t>GESHIP</t>
        </is>
      </c>
      <c r="H378" s="16" t="inlineStr">
        <is>
          <t>500620</t>
        </is>
      </c>
      <c r="I378" s="27">
        <f>IFERROR(IF(INDEX(Stocks!$G$2:$G$2139,MATCH(A378,Stocks!$E$2:$E$2139,0))="","No","Yes"),"No")</f>
        <v/>
      </c>
    </row>
    <row r="379">
      <c r="A379" s="16" t="inlineStr">
        <is>
          <t>INE324A01032</t>
        </is>
      </c>
      <c r="B379" s="16" t="inlineStr">
        <is>
          <t>JINDALSAW</t>
        </is>
      </c>
      <c r="C379" s="16" t="inlineStr">
        <is>
          <t>Jindal Saw Ltd.</t>
        </is>
      </c>
      <c r="D379" s="16" t="inlineStr">
        <is>
          <t>Iron &amp; Steel/Interm.Products</t>
        </is>
      </c>
      <c r="E379" s="16" t="inlineStr">
        <is>
          <t>Metals &amp; Mining</t>
        </is>
      </c>
      <c r="F379" s="17" t="n">
        <v>19524.19</v>
      </c>
      <c r="G379" s="16" t="inlineStr">
        <is>
          <t>JINDALSAW</t>
        </is>
      </c>
      <c r="H379" s="16" t="inlineStr">
        <is>
          <t>500378</t>
        </is>
      </c>
      <c r="I379" s="27">
        <f>IFERROR(IF(INDEX(Stocks!$G$2:$G$2139,MATCH(A379,Stocks!$E$2:$E$2139,0))="","No","Yes"),"No")</f>
        <v/>
      </c>
    </row>
    <row r="380">
      <c r="A380" s="16" t="inlineStr">
        <is>
          <t>INE00IT01020</t>
        </is>
      </c>
      <c r="B380" s="16" t="inlineStr">
        <is>
          <t>MILKYMIST</t>
        </is>
      </c>
      <c r="C380" s="16" t="inlineStr">
        <is>
          <t>Milky Mist Dairy Food Ltd.</t>
        </is>
      </c>
      <c r="D380" s="16" t="inlineStr">
        <is>
          <t>Packaged Foods</t>
        </is>
      </c>
      <c r="E380" s="16" t="inlineStr">
        <is>
          <t>FMCG</t>
        </is>
      </c>
      <c r="F380" s="17" t="n">
        <v>19433.16</v>
      </c>
      <c r="G380" s="16" t="inlineStr">
        <is>
          <t>MILKYMIST</t>
        </is>
      </c>
      <c r="H380" s="16" t="inlineStr">
        <is>
          <t>544868</t>
        </is>
      </c>
      <c r="I380" s="27">
        <f>IFERROR(IF(INDEX(Stocks!$G$2:$G$2139,MATCH(A380,Stocks!$E$2:$E$2139,0))="","No","Yes"),"No")</f>
        <v/>
      </c>
    </row>
    <row r="381">
      <c r="A381" s="16" t="inlineStr">
        <is>
          <t>INE486A01021</t>
        </is>
      </c>
      <c r="B381" s="16" t="inlineStr">
        <is>
          <t>CESC</t>
        </is>
      </c>
      <c r="C381" s="16" t="inlineStr">
        <is>
          <t>CESC Ltd.</t>
        </is>
      </c>
      <c r="D381" s="16" t="inlineStr">
        <is>
          <t>Power - Electric Utilities</t>
        </is>
      </c>
      <c r="E381" s="16" t="inlineStr">
        <is>
          <t>Utilities</t>
        </is>
      </c>
      <c r="F381" s="17" t="n">
        <v>19419.61</v>
      </c>
      <c r="G381" s="16" t="inlineStr">
        <is>
          <t>CESC</t>
        </is>
      </c>
      <c r="H381" s="16" t="inlineStr">
        <is>
          <t>500084</t>
        </is>
      </c>
      <c r="I381" s="27">
        <f>IFERROR(IF(INDEX(Stocks!$G$2:$G$2139,MATCH(A381,Stocks!$E$2:$E$2139,0))="","No","Yes"),"No")</f>
        <v/>
      </c>
    </row>
    <row r="382">
      <c r="A382" s="16" t="inlineStr">
        <is>
          <t>INE292B01021</t>
        </is>
      </c>
      <c r="B382" s="16" t="inlineStr">
        <is>
          <t>HBLENGINE</t>
        </is>
      </c>
      <c r="C382" s="16" t="inlineStr">
        <is>
          <t>HBL Engineering Ltd.</t>
        </is>
      </c>
      <c r="D382" s="16" t="inlineStr">
        <is>
          <t>Other Electrical Equipment/Products</t>
        </is>
      </c>
      <c r="E382" s="16" t="inlineStr">
        <is>
          <t>Consumer Durables</t>
        </is>
      </c>
      <c r="F382" s="17" t="n">
        <v>19285.84</v>
      </c>
      <c r="G382" s="16" t="inlineStr">
        <is>
          <t>HBLENGINE</t>
        </is>
      </c>
      <c r="H382" s="16" t="inlineStr">
        <is>
          <t>517271</t>
        </is>
      </c>
      <c r="I382" s="27">
        <f>IFERROR(IF(INDEX(Stocks!$G$2:$G$2139,MATCH(A382,Stocks!$E$2:$E$2139,0))="","No","Yes"),"No")</f>
        <v/>
      </c>
    </row>
    <row r="383">
      <c r="A383" s="16" t="inlineStr">
        <is>
          <t>INE15B701018</t>
        </is>
      </c>
      <c r="B383" s="16" t="inlineStr">
        <is>
          <t>PINELABS</t>
        </is>
      </c>
      <c r="C383" s="16" t="inlineStr">
        <is>
          <t>Pine Labs Ltd.</t>
        </is>
      </c>
      <c r="D383" s="16" t="inlineStr">
        <is>
          <t>Internet Software &amp; Services</t>
        </is>
      </c>
      <c r="E383" s="16" t="inlineStr">
        <is>
          <t>Software &amp; Services</t>
        </is>
      </c>
      <c r="F383" s="17" t="n">
        <v>19196.74</v>
      </c>
      <c r="G383" s="16" t="inlineStr">
        <is>
          <t>PINELABS</t>
        </is>
      </c>
      <c r="H383" s="16" t="inlineStr">
        <is>
          <t>544606</t>
        </is>
      </c>
      <c r="I383" s="27">
        <f>IFERROR(IF(INDEX(Stocks!$G$2:$G$2139,MATCH(A383,Stocks!$E$2:$E$2139,0))="","No","Yes"),"No")</f>
        <v/>
      </c>
    </row>
    <row r="384">
      <c r="A384" s="16" t="inlineStr">
        <is>
          <t>INE703B01027</t>
        </is>
      </c>
      <c r="B384" s="16" t="inlineStr">
        <is>
          <t>RATNAMANI</t>
        </is>
      </c>
      <c r="C384" s="16" t="inlineStr">
        <is>
          <t>Ratnamani Metals &amp; Tubes Ltd.</t>
        </is>
      </c>
      <c r="D384" s="16" t="inlineStr">
        <is>
          <t>Iron &amp; Steel/Interm.Products</t>
        </is>
      </c>
      <c r="E384" s="16" t="inlineStr">
        <is>
          <t>Metals &amp; Mining</t>
        </is>
      </c>
      <c r="F384" s="17" t="n">
        <v>19114.09</v>
      </c>
      <c r="G384" s="16" t="inlineStr">
        <is>
          <t>RATNAMANI</t>
        </is>
      </c>
      <c r="H384" s="16" t="inlineStr">
        <is>
          <t>520111</t>
        </is>
      </c>
      <c r="I384" s="27">
        <f>IFERROR(IF(INDEX(Stocks!$G$2:$G$2139,MATCH(A384,Stocks!$E$2:$E$2139,0))="","No","Yes"),"No")</f>
        <v/>
      </c>
    </row>
    <row r="385">
      <c r="A385" s="16" t="inlineStr">
        <is>
          <t>INE790G01031</t>
        </is>
      </c>
      <c r="B385" s="16" t="inlineStr">
        <is>
          <t>SHILPAMED</t>
        </is>
      </c>
      <c r="C385" s="16" t="inlineStr">
        <is>
          <t>Shilpa Medicare Ltd.</t>
        </is>
      </c>
      <c r="D385" s="16" t="inlineStr">
        <is>
          <t>Pharmaceuticals</t>
        </is>
      </c>
      <c r="E385" s="16" t="inlineStr">
        <is>
          <t>Pharmaceuticals &amp; Biotechnology</t>
        </is>
      </c>
      <c r="F385" s="17" t="n">
        <v>18857.02</v>
      </c>
      <c r="G385" s="16" t="inlineStr">
        <is>
          <t>SHILPAMED</t>
        </is>
      </c>
      <c r="H385" s="16" t="inlineStr">
        <is>
          <t>530549</t>
        </is>
      </c>
      <c r="I385" s="27">
        <f>IFERROR(IF(INDEX(Stocks!$G$2:$G$2139,MATCH(A385,Stocks!$E$2:$E$2139,0))="","No","Yes"),"No")</f>
        <v/>
      </c>
    </row>
    <row r="386">
      <c r="A386" s="16" t="inlineStr">
        <is>
          <t>INE172A01027</t>
        </is>
      </c>
      <c r="B386" s="16" t="inlineStr">
        <is>
          <t>CASTROLIND</t>
        </is>
      </c>
      <c r="C386" s="16" t="inlineStr">
        <is>
          <t>Castrol India Ltd.</t>
        </is>
      </c>
      <c r="D386" s="16" t="inlineStr">
        <is>
          <t>Oil Marketing &amp; Distribution</t>
        </is>
      </c>
      <c r="E386" s="16" t="inlineStr">
        <is>
          <t>Oil &amp; Gas</t>
        </is>
      </c>
      <c r="F386" s="17" t="n">
        <v>18820.03</v>
      </c>
      <c r="G386" s="16" t="inlineStr">
        <is>
          <t>CASTROLIND</t>
        </is>
      </c>
      <c r="H386" s="16" t="inlineStr">
        <is>
          <t>500870</t>
        </is>
      </c>
      <c r="I386" s="27">
        <f>IFERROR(IF(INDEX(Stocks!$G$2:$G$2139,MATCH(A386,Stocks!$E$2:$E$2139,0))="","No","Yes"),"No")</f>
        <v/>
      </c>
    </row>
    <row r="387">
      <c r="A387" s="16" t="inlineStr">
        <is>
          <t>INE100A01010</t>
        </is>
      </c>
      <c r="B387" s="16" t="inlineStr">
        <is>
          <t>ATUL</t>
        </is>
      </c>
      <c r="C387" s="16" t="inlineStr">
        <is>
          <t>Atul Ltd.</t>
        </is>
      </c>
      <c r="D387" s="16" t="inlineStr">
        <is>
          <t>Specialty Chemicals</t>
        </is>
      </c>
      <c r="E387" s="16" t="inlineStr">
        <is>
          <t>Chemicals &amp; Petrochemicals</t>
        </is>
      </c>
      <c r="F387" s="17" t="n">
        <v>18801.53</v>
      </c>
      <c r="G387" s="16" t="inlineStr">
        <is>
          <t>ATUL</t>
        </is>
      </c>
      <c r="H387" s="16" t="inlineStr">
        <is>
          <t>500027</t>
        </is>
      </c>
      <c r="I387" s="27">
        <f>IFERROR(IF(INDEX(Stocks!$G$2:$G$2139,MATCH(A387,Stocks!$E$2:$E$2139,0))="","No","Yes"),"No")</f>
        <v/>
      </c>
    </row>
    <row r="388">
      <c r="A388" s="16" t="inlineStr">
        <is>
          <t>INE235A01022</t>
        </is>
      </c>
      <c r="B388" s="16" t="inlineStr">
        <is>
          <t>FINCABLES</t>
        </is>
      </c>
      <c r="C388" s="16" t="inlineStr">
        <is>
          <t>Finolex Cables Ltd.</t>
        </is>
      </c>
      <c r="D388" s="16" t="inlineStr">
        <is>
          <t>Wires &amp; Cables</t>
        </is>
      </c>
      <c r="E388" s="16" t="inlineStr">
        <is>
          <t>Consumer Durables</t>
        </is>
      </c>
      <c r="F388" s="17" t="n">
        <v>18661.65</v>
      </c>
      <c r="G388" s="16" t="inlineStr">
        <is>
          <t>FINCABLES</t>
        </is>
      </c>
      <c r="H388" s="16" t="inlineStr">
        <is>
          <t>500144</t>
        </is>
      </c>
      <c r="I388" s="27">
        <f>IFERROR(IF(INDEX(Stocks!$G$2:$G$2139,MATCH(A388,Stocks!$E$2:$E$2139,0))="","No","Yes"),"No")</f>
        <v/>
      </c>
    </row>
    <row r="389">
      <c r="A389" s="16" t="inlineStr">
        <is>
          <t>INE596I01020</t>
        </is>
      </c>
      <c r="B389" s="16" t="inlineStr">
        <is>
          <t>CAMS</t>
        </is>
      </c>
      <c r="C389" s="16" t="inlineStr">
        <is>
          <t>Computer Age Management Services Ltd.</t>
        </is>
      </c>
      <c r="D389" s="16" t="inlineStr">
        <is>
          <t>Data Processing Services</t>
        </is>
      </c>
      <c r="E389" s="16" t="inlineStr">
        <is>
          <t>Software &amp; Services</t>
        </is>
      </c>
      <c r="F389" s="17" t="n">
        <v>18601.57</v>
      </c>
      <c r="G389" s="16" t="inlineStr">
        <is>
          <t>CAMS</t>
        </is>
      </c>
      <c r="H389" s="16" t="inlineStr">
        <is>
          <t>543232</t>
        </is>
      </c>
      <c r="I389" s="27">
        <f>IFERROR(IF(INDEX(Stocks!$G$2:$G$2139,MATCH(A389,Stocks!$E$2:$E$2139,0))="","No","Yes"),"No")</f>
        <v/>
      </c>
    </row>
    <row r="390">
      <c r="A390" s="16" t="inlineStr">
        <is>
          <t>INE424H01027</t>
        </is>
      </c>
      <c r="B390" s="16" t="inlineStr">
        <is>
          <t>SUNTV</t>
        </is>
      </c>
      <c r="C390" s="16" t="inlineStr">
        <is>
          <t>Sun TV Network Ltd.</t>
        </is>
      </c>
      <c r="D390" s="16" t="inlineStr">
        <is>
          <t>Broadcasting &amp; Cable TV</t>
        </is>
      </c>
      <c r="E390" s="16" t="inlineStr">
        <is>
          <t>Media</t>
        </is>
      </c>
      <c r="F390" s="17" t="n">
        <v>18557.44</v>
      </c>
      <c r="G390" s="16" t="inlineStr">
        <is>
          <t>SUNTV</t>
        </is>
      </c>
      <c r="H390" s="16" t="inlineStr">
        <is>
          <t>532733</t>
        </is>
      </c>
      <c r="I390" s="27">
        <f>IFERROR(IF(INDEX(Stocks!$G$2:$G$2139,MATCH(A390,Stocks!$E$2:$E$2139,0))="","No","Yes"),"No")</f>
        <v/>
      </c>
    </row>
    <row r="391">
      <c r="A391" s="16" t="inlineStr">
        <is>
          <t>INE0AQ201015</t>
        </is>
      </c>
      <c r="B391" s="16" t="inlineStr">
        <is>
          <t>THELEELA</t>
        </is>
      </c>
      <c r="C391" s="16" t="inlineStr">
        <is>
          <t>Leela Palaces Hotels &amp; Resorts Ltd.</t>
        </is>
      </c>
      <c r="D391" s="16" t="inlineStr">
        <is>
          <t>Hotels</t>
        </is>
      </c>
      <c r="E391" s="16" t="inlineStr">
        <is>
          <t>Hotels Restaurants &amp; Tourism</t>
        </is>
      </c>
      <c r="F391" s="17" t="n">
        <v>18502.94</v>
      </c>
      <c r="G391" s="16" t="inlineStr">
        <is>
          <t>THELEELA</t>
        </is>
      </c>
      <c r="H391" s="16" t="inlineStr">
        <is>
          <t>544408</t>
        </is>
      </c>
      <c r="I391" s="27">
        <f>IFERROR(IF(INDEX(Stocks!$G$2:$G$2139,MATCH(A391,Stocks!$E$2:$E$2139,0))="","No","Yes"),"No")</f>
        <v/>
      </c>
    </row>
    <row r="392">
      <c r="A392" s="16" t="inlineStr">
        <is>
          <t>INE684F01012</t>
        </is>
      </c>
      <c r="B392" s="16" t="inlineStr">
        <is>
          <t>FSL</t>
        </is>
      </c>
      <c r="C392" s="16" t="inlineStr">
        <is>
          <t>Firstsource Solutions Ltd.</t>
        </is>
      </c>
      <c r="D392" s="16" t="inlineStr">
        <is>
          <t>BPO/KPO</t>
        </is>
      </c>
      <c r="E392" s="16" t="inlineStr">
        <is>
          <t>Software &amp; Services</t>
        </is>
      </c>
      <c r="F392" s="17" t="n">
        <v>18440.56</v>
      </c>
      <c r="G392" s="16" t="inlineStr">
        <is>
          <t>FSL</t>
        </is>
      </c>
      <c r="H392" s="16" t="inlineStr">
        <is>
          <t>532809</t>
        </is>
      </c>
      <c r="I392" s="27">
        <f>IFERROR(IF(INDEX(Stocks!$G$2:$G$2139,MATCH(A392,Stocks!$E$2:$E$2139,0))="","No","Yes"),"No")</f>
        <v/>
      </c>
    </row>
    <row r="393">
      <c r="A393" s="16" t="inlineStr">
        <is>
          <t>INE148I01020</t>
        </is>
      </c>
      <c r="B393" s="16" t="inlineStr">
        <is>
          <t>SAMMAANCAP</t>
        </is>
      </c>
      <c r="C393" s="16" t="inlineStr">
        <is>
          <t>Sammaan Capital Ltd.</t>
        </is>
      </c>
      <c r="D393" s="16" t="inlineStr">
        <is>
          <t>Housing Finance</t>
        </is>
      </c>
      <c r="E393" s="16" t="inlineStr">
        <is>
          <t>Banking and Finance</t>
        </is>
      </c>
      <c r="F393" s="17" t="n">
        <v>18413.68</v>
      </c>
      <c r="G393" s="16" t="inlineStr">
        <is>
          <t>SAMMAANCAP</t>
        </is>
      </c>
      <c r="H393" s="16" t="inlineStr">
        <is>
          <t>535789</t>
        </is>
      </c>
      <c r="I393" s="27">
        <f>IFERROR(IF(INDEX(Stocks!$G$2:$G$2139,MATCH(A393,Stocks!$E$2:$E$2139,0))="","No","Yes"),"No")</f>
        <v/>
      </c>
    </row>
    <row r="394">
      <c r="A394" s="16" t="inlineStr">
        <is>
          <t>INE152M01016</t>
        </is>
      </c>
      <c r="B394" s="16" t="inlineStr">
        <is>
          <t>TRITURBINE</t>
        </is>
      </c>
      <c r="C394" s="16" t="inlineStr">
        <is>
          <t>Triveni Turbine Ltd.</t>
        </is>
      </c>
      <c r="D394" s="16" t="inlineStr">
        <is>
          <t>Heavy Electrical Equipment</t>
        </is>
      </c>
      <c r="E394" s="16" t="inlineStr">
        <is>
          <t>General Industrials</t>
        </is>
      </c>
      <c r="F394" s="17" t="n">
        <v>18352.28</v>
      </c>
      <c r="G394" s="16" t="inlineStr">
        <is>
          <t>TRITURBINE</t>
        </is>
      </c>
      <c r="H394" s="16" t="inlineStr">
        <is>
          <t>533655</t>
        </is>
      </c>
      <c r="I394" s="27">
        <f>IFERROR(IF(INDEX(Stocks!$G$2:$G$2139,MATCH(A394,Stocks!$E$2:$E$2139,0))="","No","Yes"),"No")</f>
        <v/>
      </c>
    </row>
    <row r="395">
      <c r="A395" s="16" t="inlineStr">
        <is>
          <t>INE673O01025</t>
        </is>
      </c>
      <c r="B395" s="16" t="inlineStr">
        <is>
          <t>TBOTEK</t>
        </is>
      </c>
      <c r="C395" s="16" t="inlineStr">
        <is>
          <t>TBO Tek Ltd.</t>
        </is>
      </c>
      <c r="D395" s="16" t="inlineStr">
        <is>
          <t>Travel Support Services</t>
        </is>
      </c>
      <c r="E395" s="16" t="inlineStr">
        <is>
          <t>Diversified Consumer Services</t>
        </is>
      </c>
      <c r="F395" s="17" t="n">
        <v>18339.39</v>
      </c>
      <c r="G395" s="16" t="inlineStr">
        <is>
          <t>TBOTEK</t>
        </is>
      </c>
      <c r="H395" s="16" t="inlineStr">
        <is>
          <t>544174</t>
        </is>
      </c>
      <c r="I395" s="27">
        <f>IFERROR(IF(INDEX(Stocks!$G$2:$G$2139,MATCH(A395,Stocks!$E$2:$E$2139,0))="","No","Yes"),"No")</f>
        <v/>
      </c>
    </row>
    <row r="396">
      <c r="A396" s="16" t="inlineStr">
        <is>
          <t>INE406M01024</t>
        </is>
      </c>
      <c r="B396" s="16" t="inlineStr">
        <is>
          <t>ERIS</t>
        </is>
      </c>
      <c r="C396" s="16" t="inlineStr">
        <is>
          <t>Eris Lifesciences Ltd.</t>
        </is>
      </c>
      <c r="D396" s="16" t="inlineStr">
        <is>
          <t>Pharmaceuticals</t>
        </is>
      </c>
      <c r="E396" s="16" t="inlineStr">
        <is>
          <t>Pharmaceuticals &amp; Biotechnology</t>
        </is>
      </c>
      <c r="F396" s="17" t="n">
        <v>18316.55</v>
      </c>
      <c r="G396" s="16" t="inlineStr">
        <is>
          <t>ERIS</t>
        </is>
      </c>
      <c r="H396" s="16" t="inlineStr">
        <is>
          <t>540596</t>
        </is>
      </c>
      <c r="I396" s="27">
        <f>IFERROR(IF(INDEX(Stocks!$G$2:$G$2139,MATCH(A396,Stocks!$E$2:$E$2139,0))="","No","Yes"),"No")</f>
        <v/>
      </c>
    </row>
    <row r="397">
      <c r="A397" s="16" t="inlineStr">
        <is>
          <t>INE230A01023</t>
        </is>
      </c>
      <c r="B397" s="16" t="inlineStr">
        <is>
          <t>EIHOTEL</t>
        </is>
      </c>
      <c r="C397" s="16" t="inlineStr">
        <is>
          <t>EIH Ltd.</t>
        </is>
      </c>
      <c r="D397" s="16" t="inlineStr">
        <is>
          <t>Hotels</t>
        </is>
      </c>
      <c r="E397" s="16" t="inlineStr">
        <is>
          <t>Hotels Restaurants &amp; Tourism</t>
        </is>
      </c>
      <c r="F397" s="17" t="n">
        <v>18254.38</v>
      </c>
      <c r="G397" s="16" t="inlineStr">
        <is>
          <t>EIHOTEL</t>
        </is>
      </c>
      <c r="H397" s="16" t="inlineStr">
        <is>
          <t>500840</t>
        </is>
      </c>
      <c r="I397" s="27">
        <f>IFERROR(IF(INDEX(Stocks!$G$2:$G$2139,MATCH(A397,Stocks!$E$2:$E$2139,0))="","No","Yes"),"No")</f>
        <v/>
      </c>
    </row>
    <row r="398">
      <c r="A398" s="16" t="inlineStr">
        <is>
          <t>INE02IJ01035</t>
        </is>
      </c>
      <c r="B398" s="16" t="inlineStr">
        <is>
          <t>AZAD</t>
        </is>
      </c>
      <c r="C398" s="16" t="inlineStr">
        <is>
          <t>Azad Engineering Ltd.</t>
        </is>
      </c>
      <c r="D398" s="16" t="inlineStr">
        <is>
          <t>Industrial Machinery</t>
        </is>
      </c>
      <c r="E398" s="16" t="inlineStr">
        <is>
          <t>General Industrials</t>
        </is>
      </c>
      <c r="F398" s="17" t="n">
        <v>17936.28</v>
      </c>
      <c r="G398" s="16" t="inlineStr">
        <is>
          <t>AZAD</t>
        </is>
      </c>
      <c r="H398" s="16" t="inlineStr">
        <is>
          <t>544061</t>
        </is>
      </c>
      <c r="I398" s="27">
        <f>IFERROR(IF(INDEX(Stocks!$G$2:$G$2139,MATCH(A398,Stocks!$E$2:$E$2139,0))="","No","Yes"),"No")</f>
        <v/>
      </c>
    </row>
    <row r="399">
      <c r="A399" s="16" t="inlineStr">
        <is>
          <t>INE462A01022</t>
        </is>
      </c>
      <c r="B399" s="16" t="inlineStr">
        <is>
          <t>BAYERCROP</t>
        </is>
      </c>
      <c r="C399" s="16" t="inlineStr">
        <is>
          <t>Bayer Cropscience Ltd.</t>
        </is>
      </c>
      <c r="D399" s="16" t="inlineStr">
        <is>
          <t>Agrochemicals</t>
        </is>
      </c>
      <c r="E399" s="16" t="inlineStr">
        <is>
          <t>Chemicals &amp; Petrochemicals</t>
        </is>
      </c>
      <c r="F399" s="17" t="n">
        <v>17931.45</v>
      </c>
      <c r="G399" s="16" t="inlineStr">
        <is>
          <t>BAYERCROP</t>
        </is>
      </c>
      <c r="H399" s="16" t="inlineStr">
        <is>
          <t>506285</t>
        </is>
      </c>
      <c r="I399" s="27">
        <f>IFERROR(IF(INDEX(Stocks!$G$2:$G$2139,MATCH(A399,Stocks!$E$2:$E$2139,0))="","No","Yes"),"No")</f>
        <v/>
      </c>
    </row>
    <row r="400">
      <c r="A400" s="16" t="inlineStr">
        <is>
          <t>INE738I01010</t>
        </is>
      </c>
      <c r="B400" s="16" t="inlineStr">
        <is>
          <t>ECLERX</t>
        </is>
      </c>
      <c r="C400" s="16" t="inlineStr">
        <is>
          <t>eClerx Services Ltd.</t>
        </is>
      </c>
      <c r="D400" s="16" t="inlineStr">
        <is>
          <t>BPO/KPO</t>
        </is>
      </c>
      <c r="E400" s="16" t="inlineStr">
        <is>
          <t>Software &amp; Services</t>
        </is>
      </c>
      <c r="F400" s="17" t="n">
        <v>17923.24</v>
      </c>
      <c r="G400" s="16" t="inlineStr">
        <is>
          <t>ECLERX</t>
        </is>
      </c>
      <c r="H400" s="16" t="inlineStr">
        <is>
          <t>532927</t>
        </is>
      </c>
      <c r="I400" s="27">
        <f>IFERROR(IF(INDEX(Stocks!$G$2:$G$2139,MATCH(A400,Stocks!$E$2:$E$2139,0))="","No","Yes"),"No")</f>
        <v/>
      </c>
    </row>
    <row r="401">
      <c r="A401" s="16" t="inlineStr">
        <is>
          <t>INE385C01021</t>
        </is>
      </c>
      <c r="B401" s="16" t="inlineStr">
        <is>
          <t>SARDAEN</t>
        </is>
      </c>
      <c r="C401" s="16" t="inlineStr">
        <is>
          <t>Sarda Energy &amp; Minerals Ltd.</t>
        </is>
      </c>
      <c r="D401" s="16" t="inlineStr">
        <is>
          <t>Iron &amp; Steel/Interm.Products</t>
        </is>
      </c>
      <c r="E401" s="16" t="inlineStr">
        <is>
          <t>Metals &amp; Mining</t>
        </is>
      </c>
      <c r="F401" s="17" t="n">
        <v>17920.35</v>
      </c>
      <c r="G401" s="16" t="inlineStr">
        <is>
          <t>SARDAEN</t>
        </is>
      </c>
      <c r="H401" s="16" t="inlineStr">
        <is>
          <t>504614</t>
        </is>
      </c>
      <c r="I401" s="27">
        <f>IFERROR(IF(INDEX(Stocks!$G$2:$G$2139,MATCH(A401,Stocks!$E$2:$E$2139,0))="","No","Yes"),"No")</f>
        <v/>
      </c>
    </row>
    <row r="402">
      <c r="A402" s="16" t="inlineStr">
        <is>
          <t>INE131A01031</t>
        </is>
      </c>
      <c r="B402" s="16" t="inlineStr">
        <is>
          <t>GMDCLTD</t>
        </is>
      </c>
      <c r="C402" s="16" t="inlineStr">
        <is>
          <t>Gujarat Mineral Development Corporation Ltd.</t>
        </is>
      </c>
      <c r="D402" s="16" t="inlineStr">
        <is>
          <t>Coal &amp; Mining</t>
        </is>
      </c>
      <c r="E402" s="16" t="inlineStr">
        <is>
          <t>Metals &amp; Mining</t>
        </is>
      </c>
      <c r="F402" s="17" t="n">
        <v>17901.81</v>
      </c>
      <c r="G402" s="16" t="inlineStr">
        <is>
          <t>GMDCLTD</t>
        </is>
      </c>
      <c r="H402" s="16" t="inlineStr">
        <is>
          <t>532181</t>
        </is>
      </c>
      <c r="I402" s="27">
        <f>IFERROR(IF(INDEX(Stocks!$G$2:$G$2139,MATCH(A402,Stocks!$E$2:$E$2139,0))="","No","Yes"),"No")</f>
        <v/>
      </c>
    </row>
    <row r="403">
      <c r="A403" s="16" t="inlineStr">
        <is>
          <t>INE769A01020</t>
        </is>
      </c>
      <c r="B403" s="16" t="inlineStr">
        <is>
          <t>AARTIIND</t>
        </is>
      </c>
      <c r="C403" s="16" t="inlineStr">
        <is>
          <t>Aarti Industries Ltd.</t>
        </is>
      </c>
      <c r="D403" s="16" t="inlineStr">
        <is>
          <t>Specialty Chemicals</t>
        </is>
      </c>
      <c r="E403" s="16" t="inlineStr">
        <is>
          <t>Chemicals &amp; Petrochemicals</t>
        </is>
      </c>
      <c r="F403" s="17" t="n">
        <v>17847.97</v>
      </c>
      <c r="G403" s="16" t="inlineStr">
        <is>
          <t>AARTIIND</t>
        </is>
      </c>
      <c r="H403" s="16" t="inlineStr">
        <is>
          <t>524208</t>
        </is>
      </c>
      <c r="I403" s="27">
        <f>IFERROR(IF(INDEX(Stocks!$G$2:$G$2139,MATCH(A403,Stocks!$E$2:$E$2139,0))="","No","Yes"),"No")</f>
        <v/>
      </c>
    </row>
    <row r="404">
      <c r="A404" s="16" t="inlineStr">
        <is>
          <t>INE0LXG01040</t>
        </is>
      </c>
      <c r="B404" s="16" t="inlineStr">
        <is>
          <t>OLAELEC</t>
        </is>
      </c>
      <c r="C404" s="16" t="inlineStr">
        <is>
          <t>Ola Electric Mobility Ltd.</t>
        </is>
      </c>
      <c r="D404" s="16" t="inlineStr">
        <is>
          <t>2/3 Wheelers</t>
        </is>
      </c>
      <c r="E404" s="16" t="inlineStr">
        <is>
          <t>Automobiles &amp; Auto Components</t>
        </is>
      </c>
      <c r="F404" s="17" t="n">
        <v>17680.52</v>
      </c>
      <c r="G404" s="16" t="inlineStr">
        <is>
          <t>OLAELEC</t>
        </is>
      </c>
      <c r="H404" s="16" t="inlineStr">
        <is>
          <t>544225</t>
        </is>
      </c>
      <c r="I404" s="27">
        <f>IFERROR(IF(INDEX(Stocks!$G$2:$G$2139,MATCH(A404,Stocks!$E$2:$E$2139,0))="","No","Yes"),"No")</f>
        <v/>
      </c>
    </row>
    <row r="405">
      <c r="A405" s="16" t="inlineStr">
        <is>
          <t>INE013P01021</t>
        </is>
      </c>
      <c r="B405" s="16" t="inlineStr">
        <is>
          <t>ONESOURCE</t>
        </is>
      </c>
      <c r="C405" s="16" t="inlineStr">
        <is>
          <t>OneSource Specialty Pharma Ltd.</t>
        </is>
      </c>
      <c r="D405" s="16" t="inlineStr">
        <is>
          <t>Pharmaceuticals</t>
        </is>
      </c>
      <c r="E405" s="16" t="inlineStr">
        <is>
          <t>Pharmaceuticals &amp; Biotechnology</t>
        </is>
      </c>
      <c r="F405" s="17" t="n">
        <v>17634.4</v>
      </c>
      <c r="G405" s="16" t="inlineStr">
        <is>
          <t>ONESOURCE</t>
        </is>
      </c>
      <c r="H405" s="16" t="inlineStr">
        <is>
          <t>544292</t>
        </is>
      </c>
      <c r="I405" s="27">
        <f>IFERROR(IF(INDEX(Stocks!$G$2:$G$2139,MATCH(A405,Stocks!$E$2:$E$2139,0))="","No","Yes"),"No")</f>
        <v/>
      </c>
    </row>
    <row r="406">
      <c r="A406" s="16" t="inlineStr">
        <is>
          <t>INE03QK01018</t>
        </is>
      </c>
      <c r="B406" s="16" t="inlineStr">
        <is>
          <t>COHANCE</t>
        </is>
      </c>
      <c r="C406" s="16" t="inlineStr">
        <is>
          <t>Cohance Lifesciences Ltd.</t>
        </is>
      </c>
      <c r="D406" s="16" t="inlineStr">
        <is>
          <t>Pharmaceuticals</t>
        </is>
      </c>
      <c r="E406" s="16" t="inlineStr">
        <is>
          <t>Pharmaceuticals &amp; Biotechnology</t>
        </is>
      </c>
      <c r="F406" s="17" t="n">
        <v>17469.39</v>
      </c>
      <c r="G406" s="16" t="inlineStr">
        <is>
          <t>COHANCE</t>
        </is>
      </c>
      <c r="H406" s="16" t="inlineStr">
        <is>
          <t>543064</t>
        </is>
      </c>
      <c r="I406" s="27">
        <f>IFERROR(IF(INDEX(Stocks!$G$2:$G$2139,MATCH(A406,Stocks!$E$2:$E$2139,0))="","No","Yes"),"No")</f>
        <v/>
      </c>
    </row>
    <row r="407">
      <c r="A407" s="16" t="inlineStr">
        <is>
          <t>INE05HV01027</t>
        </is>
      </c>
      <c r="B407" s="16" t="inlineStr">
        <is>
          <t>CMPDI</t>
        </is>
      </c>
      <c r="C407" s="16" t="inlineStr">
        <is>
          <t>Central Mine Planning &amp; Design Institute Ltd.</t>
        </is>
      </c>
      <c r="D407" s="16" t="inlineStr">
        <is>
          <t>Consulting Services</t>
        </is>
      </c>
      <c r="E407" s="16" t="inlineStr">
        <is>
          <t>Commercial Services &amp; Supplies</t>
        </is>
      </c>
      <c r="F407" s="17" t="n">
        <v>17415.89</v>
      </c>
      <c r="G407" s="16" t="inlineStr">
        <is>
          <t>CMPDI</t>
        </is>
      </c>
      <c r="H407" s="16" t="inlineStr">
        <is>
          <t>544739</t>
        </is>
      </c>
      <c r="I407" s="27">
        <f>IFERROR(IF(INDEX(Stocks!$G$2:$G$2139,MATCH(A407,Stocks!$E$2:$E$2139,0))="","No","Yes"),"No")</f>
        <v/>
      </c>
    </row>
    <row r="408">
      <c r="A408" s="16" t="inlineStr">
        <is>
          <t>INE203A01020</t>
        </is>
      </c>
      <c r="B408" s="16" t="inlineStr">
        <is>
          <t>ASTRAZEN</t>
        </is>
      </c>
      <c r="C408" s="16" t="inlineStr">
        <is>
          <t>AstraZeneca Pharma India Ltd.</t>
        </is>
      </c>
      <c r="D408" s="16" t="inlineStr">
        <is>
          <t>Pharmaceuticals</t>
        </is>
      </c>
      <c r="E408" s="16" t="inlineStr">
        <is>
          <t>Pharmaceuticals &amp; Biotechnology</t>
        </is>
      </c>
      <c r="F408" s="17" t="n">
        <v>17360</v>
      </c>
      <c r="G408" s="16" t="inlineStr">
        <is>
          <t>ASTRAZEN</t>
        </is>
      </c>
      <c r="H408" s="16" t="inlineStr">
        <is>
          <t>506820</t>
        </is>
      </c>
      <c r="I408" s="27">
        <f>IFERROR(IF(INDEX(Stocks!$G$2:$G$2139,MATCH(A408,Stocks!$E$2:$E$2139,0))="","No","Yes"),"No")</f>
        <v/>
      </c>
    </row>
    <row r="409">
      <c r="A409" s="16" t="inlineStr">
        <is>
          <t>INE825A01020</t>
        </is>
      </c>
      <c r="B409" s="16" t="inlineStr">
        <is>
          <t>VTL</t>
        </is>
      </c>
      <c r="C409" s="16" t="inlineStr">
        <is>
          <t>Vardhman Textiles Ltd.</t>
        </is>
      </c>
      <c r="D409" s="16" t="inlineStr">
        <is>
          <t>Textiles</t>
        </is>
      </c>
      <c r="E409" s="16" t="inlineStr">
        <is>
          <t>Textiles Apparels &amp; Accessories</t>
        </is>
      </c>
      <c r="F409" s="17" t="n">
        <v>17322.48</v>
      </c>
      <c r="G409" s="16" t="inlineStr">
        <is>
          <t>VTL</t>
        </is>
      </c>
      <c r="H409" s="16" t="inlineStr">
        <is>
          <t>502986</t>
        </is>
      </c>
      <c r="I409" s="27">
        <f>IFERROR(IF(INDEX(Stocks!$G$2:$G$2139,MATCH(A409,Stocks!$E$2:$E$2139,0))="","No","Yes"),"No")</f>
        <v/>
      </c>
    </row>
    <row r="410">
      <c r="A410" s="16" t="inlineStr">
        <is>
          <t>INE205C01021</t>
        </is>
      </c>
      <c r="B410" s="16" t="inlineStr">
        <is>
          <t>POLYMED</t>
        </is>
      </c>
      <c r="C410" s="16" t="inlineStr">
        <is>
          <t>Poly Medicure Ltd.</t>
        </is>
      </c>
      <c r="D410" s="16" t="inlineStr">
        <is>
          <t>Healthcare Supplies</t>
        </is>
      </c>
      <c r="E410" s="16" t="inlineStr">
        <is>
          <t>Healthcare</t>
        </is>
      </c>
      <c r="F410" s="17" t="n">
        <v>17256.8</v>
      </c>
      <c r="G410" s="16" t="inlineStr">
        <is>
          <t>POLYMED</t>
        </is>
      </c>
      <c r="H410" s="16" t="inlineStr">
        <is>
          <t>531768</t>
        </is>
      </c>
      <c r="I410" s="27">
        <f>IFERROR(IF(INDEX(Stocks!$G$2:$G$2139,MATCH(A410,Stocks!$E$2:$E$2139,0))="","No","Yes"),"No")</f>
        <v/>
      </c>
    </row>
    <row r="411">
      <c r="A411" s="16" t="inlineStr">
        <is>
          <t>INE501A01019</t>
        </is>
      </c>
      <c r="B411" s="16" t="inlineStr">
        <is>
          <t>DEEPAKFERT</t>
        </is>
      </c>
      <c r="C411" s="16" t="inlineStr">
        <is>
          <t>Deepak Fertilisers &amp; Petrochemicals Corporation Ltd.</t>
        </is>
      </c>
      <c r="D411" s="16" t="inlineStr">
        <is>
          <t>Commodity Chemicals</t>
        </is>
      </c>
      <c r="E411" s="16" t="inlineStr">
        <is>
          <t>Chemicals &amp; Petrochemicals</t>
        </is>
      </c>
      <c r="F411" s="17" t="n">
        <v>17194.85</v>
      </c>
      <c r="G411" s="16" t="inlineStr">
        <is>
          <t>DEEPAKFERT</t>
        </is>
      </c>
      <c r="H411" s="16" t="inlineStr">
        <is>
          <t>500645</t>
        </is>
      </c>
      <c r="I411" s="27">
        <f>IFERROR(IF(INDEX(Stocks!$G$2:$G$2139,MATCH(A411,Stocks!$E$2:$E$2139,0))="","No","Yes"),"No")</f>
        <v/>
      </c>
    </row>
    <row r="412">
      <c r="A412" s="16" t="inlineStr">
        <is>
          <t>INE872J01023</t>
        </is>
      </c>
      <c r="B412" s="16" t="inlineStr">
        <is>
          <t>DEVYANI</t>
        </is>
      </c>
      <c r="C412" s="16" t="inlineStr">
        <is>
          <t>Devyani International Ltd.</t>
        </is>
      </c>
      <c r="D412" s="16" t="inlineStr">
        <is>
          <t>Restaurants</t>
        </is>
      </c>
      <c r="E412" s="16" t="inlineStr">
        <is>
          <t>Hotels Restaurants &amp; Tourism</t>
        </is>
      </c>
      <c r="F412" s="17" t="n">
        <v>17172.39</v>
      </c>
      <c r="G412" s="16" t="inlineStr">
        <is>
          <t>DEVYANI</t>
        </is>
      </c>
      <c r="H412" s="16" t="inlineStr">
        <is>
          <t>543330</t>
        </is>
      </c>
      <c r="I412" s="27">
        <f>IFERROR(IF(INDEX(Stocks!$G$2:$G$2139,MATCH(A412,Stocks!$E$2:$E$2139,0))="","No","Yes"),"No")</f>
        <v/>
      </c>
    </row>
    <row r="413">
      <c r="A413" s="16" t="inlineStr">
        <is>
          <t>INE0K9O01026</t>
        </is>
      </c>
      <c r="B413" s="16" t="inlineStr">
        <is>
          <t>LALITHAA</t>
        </is>
      </c>
      <c r="C413" s="16" t="inlineStr">
        <is>
          <t>Lalithaa Jewellery Mart Ltd.</t>
        </is>
      </c>
      <c r="D413" s="16" t="inlineStr">
        <is>
          <t>Gems &amp; Jewellery</t>
        </is>
      </c>
      <c r="E413" s="16" t="inlineStr">
        <is>
          <t>Textiles Apparels &amp; Accessories</t>
        </is>
      </c>
      <c r="F413" s="17" t="n">
        <v>17166.3</v>
      </c>
      <c r="G413" s="16" t="inlineStr">
        <is>
          <t>LALITHAA</t>
        </is>
      </c>
      <c r="H413" s="16" t="inlineStr">
        <is>
          <t>544879</t>
        </is>
      </c>
      <c r="I413" s="27">
        <f>IFERROR(IF(INDEX(Stocks!$G$2:$G$2139,MATCH(A413,Stocks!$E$2:$E$2139,0))="","No","Yes"),"No")</f>
        <v/>
      </c>
    </row>
    <row r="414">
      <c r="A414" s="16" t="inlineStr">
        <is>
          <t>INE258A01024</t>
        </is>
      </c>
      <c r="B414" s="16" t="inlineStr">
        <is>
          <t>BEML</t>
        </is>
      </c>
      <c r="C414" s="16" t="inlineStr">
        <is>
          <t>BEML Ltd.</t>
        </is>
      </c>
      <c r="D414" s="16" t="inlineStr">
        <is>
          <t>Commercial Vehicles</t>
        </is>
      </c>
      <c r="E414" s="16" t="inlineStr">
        <is>
          <t>Automobiles &amp; Auto Components</t>
        </is>
      </c>
      <c r="F414" s="17" t="n">
        <v>17139.21</v>
      </c>
      <c r="G414" s="16" t="inlineStr">
        <is>
          <t>BEML</t>
        </is>
      </c>
      <c r="H414" s="16" t="inlineStr">
        <is>
          <t>500048</t>
        </is>
      </c>
      <c r="I414" s="27">
        <f>IFERROR(IF(INDEX(Stocks!$G$2:$G$2139,MATCH(A414,Stocks!$E$2:$E$2139,0))="","No","Yes"),"No")</f>
        <v/>
      </c>
    </row>
    <row r="415">
      <c r="A415" s="16" t="inlineStr">
        <is>
          <t>INE103V01028</t>
        </is>
      </c>
      <c r="B415" s="16" t="inlineStr">
        <is>
          <t>TRAVELFOOD</t>
        </is>
      </c>
      <c r="C415" s="16" t="inlineStr">
        <is>
          <t>Travel Food Services Ltd.</t>
        </is>
      </c>
      <c r="D415" s="16" t="inlineStr">
        <is>
          <t>Restaurants</t>
        </is>
      </c>
      <c r="E415" s="16" t="inlineStr">
        <is>
          <t>Hotels Restaurants &amp; Tourism</t>
        </is>
      </c>
      <c r="F415" s="17" t="n">
        <v>17069.61</v>
      </c>
      <c r="G415" s="16" t="inlineStr">
        <is>
          <t>TRAVELFOOD</t>
        </is>
      </c>
      <c r="H415" s="16" t="inlineStr">
        <is>
          <t>544443</t>
        </is>
      </c>
      <c r="I415" s="27">
        <f>IFERROR(IF(INDEX(Stocks!$G$2:$G$2139,MATCH(A415,Stocks!$E$2:$E$2139,0))="","No","Yes"),"No")</f>
        <v/>
      </c>
    </row>
    <row r="416">
      <c r="A416" s="16" t="inlineStr">
        <is>
          <t>INE552Z01027</t>
        </is>
      </c>
      <c r="B416" s="16" t="inlineStr">
        <is>
          <t>ABDL</t>
        </is>
      </c>
      <c r="C416" s="16" t="inlineStr">
        <is>
          <t>Allied Blenders &amp; Distillers Ltd.</t>
        </is>
      </c>
      <c r="D416" s="16" t="inlineStr">
        <is>
          <t>Breweries &amp; Distilleries</t>
        </is>
      </c>
      <c r="E416" s="16" t="inlineStr">
        <is>
          <t>Food, Beverages &amp; Tobacco</t>
        </is>
      </c>
      <c r="F416" s="17" t="n">
        <v>17060.92</v>
      </c>
      <c r="G416" s="16" t="inlineStr">
        <is>
          <t>ABDL</t>
        </is>
      </c>
      <c r="H416" s="16" t="inlineStr">
        <is>
          <t>544203</t>
        </is>
      </c>
      <c r="I416" s="27">
        <f>IFERROR(IF(INDEX(Stocks!$G$2:$G$2139,MATCH(A416,Stocks!$E$2:$E$2139,0))="","No","Yes"),"No")</f>
        <v/>
      </c>
    </row>
    <row r="417">
      <c r="A417" s="16" t="inlineStr">
        <is>
          <t>INE102B01014</t>
        </is>
      </c>
      <c r="B417" s="16" t="inlineStr">
        <is>
          <t>CHOICEIN</t>
        </is>
      </c>
      <c r="C417" s="16" t="inlineStr">
        <is>
          <t>Choice International Ltd.</t>
        </is>
      </c>
      <c r="D417" s="16" t="inlineStr">
        <is>
          <t>Capital Markets</t>
        </is>
      </c>
      <c r="E417" s="16" t="inlineStr">
        <is>
          <t>Banking and Finance</t>
        </is>
      </c>
      <c r="F417" s="17" t="n">
        <v>16952.18</v>
      </c>
      <c r="G417" s="16" t="inlineStr">
        <is>
          <t>CHOICEIN</t>
        </is>
      </c>
      <c r="H417" s="16" t="inlineStr">
        <is>
          <t>531358</t>
        </is>
      </c>
      <c r="I417" s="27">
        <f>IFERROR(IF(INDEX(Stocks!$G$2:$G$2139,MATCH(A417,Stocks!$E$2:$E$2139,0))="","No","Yes"),"No")</f>
        <v/>
      </c>
    </row>
    <row r="418">
      <c r="A418" s="16" t="inlineStr">
        <is>
          <t>INE768C01028</t>
        </is>
      </c>
      <c r="B418" s="16" t="inlineStr">
        <is>
          <t>ZYDUSWELL</t>
        </is>
      </c>
      <c r="C418" s="16" t="inlineStr">
        <is>
          <t>Zydus Wellness Ltd.</t>
        </is>
      </c>
      <c r="D418" s="16" t="inlineStr">
        <is>
          <t>Packaged Foods</t>
        </is>
      </c>
      <c r="E418" s="16" t="inlineStr">
        <is>
          <t>FMCG</t>
        </is>
      </c>
      <c r="F418" s="17" t="n">
        <v>16916.6</v>
      </c>
      <c r="G418" s="16" t="inlineStr">
        <is>
          <t>ZYDUSWELL</t>
        </is>
      </c>
      <c r="H418" s="16" t="inlineStr">
        <is>
          <t>531335</t>
        </is>
      </c>
      <c r="I418" s="27">
        <f>IFERROR(IF(INDEX(Stocks!$G$2:$G$2139,MATCH(A418,Stocks!$E$2:$E$2139,0))="","No","Yes"),"No")</f>
        <v/>
      </c>
    </row>
    <row r="419">
      <c r="A419" s="16" t="inlineStr">
        <is>
          <t>INE718I01012</t>
        </is>
      </c>
      <c r="B419" s="16" t="inlineStr">
        <is>
          <t>JSWCEMENT</t>
        </is>
      </c>
      <c r="C419" s="16" t="inlineStr">
        <is>
          <t>JSW Cement Ltd.</t>
        </is>
      </c>
      <c r="D419" s="16" t="inlineStr">
        <is>
          <t>Cement &amp; Cement Products</t>
        </is>
      </c>
      <c r="E419" s="16" t="inlineStr">
        <is>
          <t>Cement and Construction</t>
        </is>
      </c>
      <c r="F419" s="17" t="n">
        <v>16915.27</v>
      </c>
      <c r="G419" s="16" t="inlineStr">
        <is>
          <t>JSWCEMENT</t>
        </is>
      </c>
      <c r="H419" s="16" t="inlineStr">
        <is>
          <t>544480</t>
        </is>
      </c>
      <c r="I419" s="27">
        <f>IFERROR(IF(INDEX(Stocks!$G$2:$G$2139,MATCH(A419,Stocks!$E$2:$E$2139,0))="","No","Yes"),"No")</f>
        <v/>
      </c>
    </row>
    <row r="420">
      <c r="A420" s="16" t="inlineStr">
        <is>
          <t>INE842C01021</t>
        </is>
      </c>
      <c r="B420" s="16" t="inlineStr">
        <is>
          <t>MINDACORP</t>
        </is>
      </c>
      <c r="C420" s="16" t="inlineStr">
        <is>
          <t>Minda Corporation Ltd.</t>
        </is>
      </c>
      <c r="D420" s="16" t="inlineStr">
        <is>
          <t>Auto Parts &amp; Equipment</t>
        </is>
      </c>
      <c r="E420" s="16" t="inlineStr">
        <is>
          <t>Automobiles &amp; Auto Components</t>
        </is>
      </c>
      <c r="F420" s="17" t="n">
        <v>16802.5</v>
      </c>
      <c r="G420" s="16" t="inlineStr">
        <is>
          <t>MINDACORP</t>
        </is>
      </c>
      <c r="H420" s="16" t="inlineStr">
        <is>
          <t>538962</t>
        </is>
      </c>
      <c r="I420" s="27">
        <f>IFERROR(IF(INDEX(Stocks!$G$2:$G$2139,MATCH(A420,Stocks!$E$2:$E$2139,0))="","No","Yes"),"No")</f>
        <v/>
      </c>
    </row>
    <row r="421">
      <c r="A421" s="16" t="inlineStr">
        <is>
          <t>INE085A01013</t>
        </is>
      </c>
      <c r="B421" s="16" t="inlineStr">
        <is>
          <t>CHAMBLFERT</t>
        </is>
      </c>
      <c r="C421" s="16" t="inlineStr">
        <is>
          <t>Chambal Fertilisers &amp; Chemicals Ltd.</t>
        </is>
      </c>
      <c r="D421" s="16" t="inlineStr">
        <is>
          <t>Fertilizers</t>
        </is>
      </c>
      <c r="E421" s="16" t="inlineStr">
        <is>
          <t>Fertilizers</t>
        </is>
      </c>
      <c r="F421" s="17" t="n">
        <v>16789.33</v>
      </c>
      <c r="G421" s="16" t="inlineStr">
        <is>
          <t>CHAMBLFERT</t>
        </is>
      </c>
      <c r="H421" s="16" t="inlineStr">
        <is>
          <t>500085</t>
        </is>
      </c>
      <c r="I421" s="27">
        <f>IFERROR(IF(INDEX(Stocks!$G$2:$G$2139,MATCH(A421,Stocks!$E$2:$E$2139,0))="","No","Yes"),"No")</f>
        <v/>
      </c>
    </row>
    <row r="422">
      <c r="A422" s="16" t="inlineStr">
        <is>
          <t>INE03Q201024</t>
        </is>
      </c>
      <c r="B422" s="16" t="inlineStr">
        <is>
          <t>ALIVUS</t>
        </is>
      </c>
      <c r="C422" s="16" t="inlineStr">
        <is>
          <t>Alivus Life Sciences Ltd.</t>
        </is>
      </c>
      <c r="D422" s="16" t="inlineStr">
        <is>
          <t>Pharmaceuticals</t>
        </is>
      </c>
      <c r="E422" s="16" t="inlineStr">
        <is>
          <t>Pharmaceuticals &amp; Biotechnology</t>
        </is>
      </c>
      <c r="F422" s="17" t="n">
        <v>16774.26</v>
      </c>
      <c r="G422" s="16" t="inlineStr">
        <is>
          <t>ALIVUS</t>
        </is>
      </c>
      <c r="H422" s="16" t="inlineStr">
        <is>
          <t>543322</t>
        </is>
      </c>
      <c r="I422" s="27">
        <f>IFERROR(IF(INDEX(Stocks!$G$2:$G$2139,MATCH(A422,Stocks!$E$2:$E$2139,0))="","No","Yes"),"No")</f>
        <v/>
      </c>
    </row>
    <row r="423">
      <c r="A423" s="16" t="inlineStr">
        <is>
          <t>INE373A01013</t>
        </is>
      </c>
      <c r="B423" s="16" t="inlineStr">
        <is>
          <t>BASF</t>
        </is>
      </c>
      <c r="C423" s="16" t="inlineStr">
        <is>
          <t>BASF India Ltd.</t>
        </is>
      </c>
      <c r="D423" s="16" t="inlineStr">
        <is>
          <t>Specialty Chemicals</t>
        </is>
      </c>
      <c r="E423" s="16" t="inlineStr">
        <is>
          <t>Chemicals &amp; Petrochemicals</t>
        </is>
      </c>
      <c r="F423" s="17" t="n">
        <v>16729.45</v>
      </c>
      <c r="G423" s="16" t="inlineStr">
        <is>
          <t>BASF</t>
        </is>
      </c>
      <c r="H423" s="16" t="inlineStr">
        <is>
          <t>500042</t>
        </is>
      </c>
      <c r="I423" s="27">
        <f>IFERROR(IF(INDEX(Stocks!$G$2:$G$2139,MATCH(A423,Stocks!$E$2:$E$2139,0))="","No","Yes"),"No")</f>
        <v/>
      </c>
    </row>
    <row r="424">
      <c r="A424" s="16" t="inlineStr">
        <is>
          <t>INE348B01021</t>
        </is>
      </c>
      <c r="B424" s="16" t="inlineStr">
        <is>
          <t>CENTURYPLY</t>
        </is>
      </c>
      <c r="C424" s="16" t="inlineStr">
        <is>
          <t>Century Plyboards (India) Ltd.</t>
        </is>
      </c>
      <c r="D424" s="16" t="inlineStr">
        <is>
          <t>Forest Products</t>
        </is>
      </c>
      <c r="E424" s="16" t="inlineStr">
        <is>
          <t>Forest Materials</t>
        </is>
      </c>
      <c r="F424" s="17" t="n">
        <v>16628.54</v>
      </c>
      <c r="G424" s="16" t="inlineStr">
        <is>
          <t>CENTURYPLY</t>
        </is>
      </c>
      <c r="H424" s="16" t="inlineStr">
        <is>
          <t>532548</t>
        </is>
      </c>
      <c r="I424" s="27">
        <f>IFERROR(IF(INDEX(Stocks!$G$2:$G$2139,MATCH(A424,Stocks!$E$2:$E$2139,0))="","No","Yes"),"No")</f>
        <v/>
      </c>
    </row>
    <row r="425">
      <c r="A425" s="16" t="inlineStr">
        <is>
          <t>INE085J01014</t>
        </is>
      </c>
      <c r="B425" s="16" t="inlineStr">
        <is>
          <t>THANGAMAYL</t>
        </is>
      </c>
      <c r="C425" s="16" t="inlineStr">
        <is>
          <t>Thangamayil Jewellery Ltd.</t>
        </is>
      </c>
      <c r="D425" s="16" t="inlineStr">
        <is>
          <t>Gems &amp; Jewellery</t>
        </is>
      </c>
      <c r="E425" s="16" t="inlineStr">
        <is>
          <t>Textiles Apparels &amp; Accessories</t>
        </is>
      </c>
      <c r="F425" s="17" t="n">
        <v>16581.29</v>
      </c>
      <c r="G425" s="16" t="inlineStr">
        <is>
          <t>THANGAMAYL</t>
        </is>
      </c>
      <c r="H425" s="16" t="inlineStr">
        <is>
          <t>533158</t>
        </is>
      </c>
      <c r="I425" s="27">
        <f>IFERROR(IF(INDEX(Stocks!$G$2:$G$2139,MATCH(A425,Stocks!$E$2:$E$2139,0))="","No","Yes"),"No")</f>
        <v/>
      </c>
    </row>
    <row r="426">
      <c r="A426" s="16" t="inlineStr">
        <is>
          <t>INE168A01041</t>
        </is>
      </c>
      <c r="B426" s="16" t="inlineStr">
        <is>
          <t>J&amp;KBANK</t>
        </is>
      </c>
      <c r="C426" s="16" t="inlineStr">
        <is>
          <t>Jammu &amp; Kashmir Bank Ltd.</t>
        </is>
      </c>
      <c r="D426" s="16" t="inlineStr">
        <is>
          <t>Banks</t>
        </is>
      </c>
      <c r="E426" s="16" t="inlineStr">
        <is>
          <t>Banking and Finance</t>
        </is>
      </c>
      <c r="F426" s="17" t="n">
        <v>16519.94</v>
      </c>
      <c r="G426" s="16" t="inlineStr">
        <is>
          <t>J&amp;KBANK</t>
        </is>
      </c>
      <c r="H426" s="16" t="inlineStr">
        <is>
          <t>532209</t>
        </is>
      </c>
      <c r="I426" s="27">
        <f>IFERROR(IF(INDEX(Stocks!$G$2:$G$2139,MATCH(A426,Stocks!$E$2:$E$2139,0))="","No","Yes"),"No")</f>
        <v/>
      </c>
    </row>
    <row r="427">
      <c r="A427" s="16" t="inlineStr">
        <is>
          <t>INE608A01012</t>
        </is>
      </c>
      <c r="B427" s="16" t="inlineStr">
        <is>
          <t>PSB</t>
        </is>
      </c>
      <c r="C427" s="16" t="inlineStr">
        <is>
          <t>Punjab &amp; Sind Bank</t>
        </is>
      </c>
      <c r="D427" s="16" t="inlineStr">
        <is>
          <t>Banks</t>
        </is>
      </c>
      <c r="E427" s="16" t="inlineStr">
        <is>
          <t>Banking and Finance</t>
        </is>
      </c>
      <c r="F427" s="17" t="n">
        <v>16483.04</v>
      </c>
      <c r="G427" s="16" t="inlineStr">
        <is>
          <t>PSB</t>
        </is>
      </c>
      <c r="H427" s="16" t="inlineStr">
        <is>
          <t>533295</t>
        </is>
      </c>
      <c r="I427" s="27">
        <f>IFERROR(IF(INDEX(Stocks!$G$2:$G$2139,MATCH(A427,Stocks!$E$2:$E$2139,0))="","No","Yes"),"No")</f>
        <v/>
      </c>
    </row>
    <row r="428">
      <c r="A428" s="16" t="inlineStr">
        <is>
          <t>INE291A01017</t>
        </is>
      </c>
      <c r="B428" s="16" t="inlineStr">
        <is>
          <t>GRWRHITECH</t>
        </is>
      </c>
      <c r="C428" s="16" t="inlineStr">
        <is>
          <t>Garware Hi-Tech Films Ltd.</t>
        </is>
      </c>
      <c r="D428" s="16" t="inlineStr">
        <is>
          <t>Containers &amp; Packaging</t>
        </is>
      </c>
      <c r="E428" s="16" t="inlineStr">
        <is>
          <t>Commercial Services &amp; Supplies</t>
        </is>
      </c>
      <c r="F428" s="17" t="n">
        <v>16463.64</v>
      </c>
      <c r="G428" s="16" t="inlineStr">
        <is>
          <t>GRWRHITECH</t>
        </is>
      </c>
      <c r="H428" s="16" t="inlineStr">
        <is>
          <t>500655</t>
        </is>
      </c>
      <c r="I428" s="27">
        <f>IFERROR(IF(INDEX(Stocks!$G$2:$G$2139,MATCH(A428,Stocks!$E$2:$E$2139,0))="","No","Yes"),"No")</f>
        <v/>
      </c>
    </row>
    <row r="429">
      <c r="A429" s="16" t="inlineStr">
        <is>
          <t>INE386C01029</t>
        </is>
      </c>
      <c r="B429" s="16" t="inlineStr">
        <is>
          <t>ASTRAMICRO</t>
        </is>
      </c>
      <c r="C429" s="16" t="inlineStr">
        <is>
          <t>Astra Microwave Products Ltd.</t>
        </is>
      </c>
      <c r="D429" s="16" t="inlineStr">
        <is>
          <t>Aerospace &amp; Defence</t>
        </is>
      </c>
      <c r="E429" s="16" t="inlineStr">
        <is>
          <t>General Industrials</t>
        </is>
      </c>
      <c r="F429" s="17" t="n">
        <v>16415.99</v>
      </c>
      <c r="G429" s="16" t="inlineStr">
        <is>
          <t>ASTRAMICRO</t>
        </is>
      </c>
      <c r="H429" s="16" t="inlineStr">
        <is>
          <t>532493</t>
        </is>
      </c>
      <c r="I429" s="27">
        <f>IFERROR(IF(INDEX(Stocks!$G$2:$G$2139,MATCH(A429,Stocks!$E$2:$E$2139,0))="","No","Yes"),"No")</f>
        <v/>
      </c>
    </row>
    <row r="430">
      <c r="A430" s="16" t="inlineStr">
        <is>
          <t>INE088F01024</t>
        </is>
      </c>
      <c r="B430" s="16" t="inlineStr">
        <is>
          <t>PARADEEP</t>
        </is>
      </c>
      <c r="C430" s="16" t="inlineStr">
        <is>
          <t>Paradeep Phosphates Ltd.</t>
        </is>
      </c>
      <c r="D430" s="16" t="inlineStr">
        <is>
          <t>Fertilizers</t>
        </is>
      </c>
      <c r="E430" s="16" t="inlineStr">
        <is>
          <t>Fertilizers</t>
        </is>
      </c>
      <c r="F430" s="17" t="n">
        <v>16304.77</v>
      </c>
      <c r="G430" s="16" t="inlineStr">
        <is>
          <t>PARADEEP</t>
        </is>
      </c>
      <c r="H430" s="16" t="inlineStr">
        <is>
          <t>543530</t>
        </is>
      </c>
      <c r="I430" s="27">
        <f>IFERROR(IF(INDEX(Stocks!$G$2:$G$2139,MATCH(A430,Stocks!$E$2:$E$2139,0))="","No","Yes"),"No")</f>
        <v/>
      </c>
    </row>
    <row r="431">
      <c r="A431" s="16" t="inlineStr">
        <is>
          <t>INE943P01029</t>
        </is>
      </c>
      <c r="B431" s="16" t="inlineStr">
        <is>
          <t>AGARWALEYE</t>
        </is>
      </c>
      <c r="C431" s="16" t="inlineStr">
        <is>
          <t>Dr. Agarwals Health Care Ltd.</t>
        </is>
      </c>
      <c r="D431" s="16" t="inlineStr">
        <is>
          <t>Healthcare Facilities</t>
        </is>
      </c>
      <c r="E431" s="16" t="inlineStr">
        <is>
          <t>Healthcare</t>
        </is>
      </c>
      <c r="F431" s="17" t="n">
        <v>16298.32</v>
      </c>
      <c r="G431" s="16" t="inlineStr">
        <is>
          <t>AGARWALEYE</t>
        </is>
      </c>
      <c r="H431" s="16" t="inlineStr">
        <is>
          <t>544350</t>
        </is>
      </c>
      <c r="I431" s="27">
        <f>IFERROR(IF(INDEX(Stocks!$G$2:$G$2139,MATCH(A431,Stocks!$E$2:$E$2139,0))="","No","Yes"),"No")</f>
        <v/>
      </c>
    </row>
    <row r="432">
      <c r="A432" s="16" t="inlineStr">
        <is>
          <t>INE251B01027</t>
        </is>
      </c>
      <c r="B432" s="16" t="inlineStr">
        <is>
          <t>ZENTEC</t>
        </is>
      </c>
      <c r="C432" s="16" t="inlineStr">
        <is>
          <t>Zen Technologies Ltd.</t>
        </is>
      </c>
      <c r="D432" s="16" t="inlineStr">
        <is>
          <t>Aerospace &amp; Defence</t>
        </is>
      </c>
      <c r="E432" s="16" t="inlineStr">
        <is>
          <t>General Industrials</t>
        </is>
      </c>
      <c r="F432" s="17" t="n">
        <v>16264.91</v>
      </c>
      <c r="G432" s="16" t="inlineStr">
        <is>
          <t>ZENTEC</t>
        </is>
      </c>
      <c r="H432" s="16" t="inlineStr">
        <is>
          <t>533339</t>
        </is>
      </c>
      <c r="I432" s="27">
        <f>IFERROR(IF(INDEX(Stocks!$G$2:$G$2139,MATCH(A432,Stocks!$E$2:$E$2139,0))="","No","Yes"),"No")</f>
        <v/>
      </c>
    </row>
    <row r="433">
      <c r="A433" s="16" t="inlineStr">
        <is>
          <t>INE301O01023</t>
        </is>
      </c>
      <c r="B433" s="16" t="inlineStr">
        <is>
          <t>NSDL</t>
        </is>
      </c>
      <c r="C433" s="16" t="inlineStr">
        <is>
          <t>National Securities Depository Ltd.</t>
        </is>
      </c>
      <c r="D433" s="16" t="inlineStr">
        <is>
          <t>Other Financial Services</t>
        </is>
      </c>
      <c r="E433" s="16" t="inlineStr">
        <is>
          <t>Banking and Finance</t>
        </is>
      </c>
      <c r="F433" s="17" t="n">
        <v>16257</v>
      </c>
      <c r="G433" s="16" t="inlineStr"/>
      <c r="H433" s="16" t="inlineStr">
        <is>
          <t>544467</t>
        </is>
      </c>
      <c r="I433" s="27">
        <f>IFERROR(IF(INDEX(Stocks!$G$2:$G$2139,MATCH(A433,Stocks!$E$2:$E$2139,0))="","No","Yes"),"No")</f>
        <v/>
      </c>
    </row>
    <row r="434">
      <c r="A434" s="16" t="inlineStr">
        <is>
          <t>INE947N01017</t>
        </is>
      </c>
      <c r="B434" s="16" t="inlineStr">
        <is>
          <t>AEQUS</t>
        </is>
      </c>
      <c r="C434" s="16" t="inlineStr">
        <is>
          <t>Aequs Ltd.</t>
        </is>
      </c>
      <c r="D434" s="16" t="inlineStr">
        <is>
          <t>Industrial Machinery</t>
        </is>
      </c>
      <c r="E434" s="16" t="inlineStr">
        <is>
          <t>General Industrials</t>
        </is>
      </c>
      <c r="F434" s="17" t="n">
        <v>16242.18</v>
      </c>
      <c r="G434" s="16" t="inlineStr">
        <is>
          <t>AEQUS</t>
        </is>
      </c>
      <c r="H434" s="16" t="inlineStr">
        <is>
          <t>544634</t>
        </is>
      </c>
      <c r="I434" s="27">
        <f>IFERROR(IF(INDEX(Stocks!$G$2:$G$2139,MATCH(A434,Stocks!$E$2:$E$2139,0))="","No","Yes"),"No")</f>
        <v/>
      </c>
    </row>
    <row r="435">
      <c r="A435" s="16" t="inlineStr">
        <is>
          <t>INE177H01039</t>
        </is>
      </c>
      <c r="B435" s="16" t="inlineStr">
        <is>
          <t>GPIL</t>
        </is>
      </c>
      <c r="C435" s="16" t="inlineStr">
        <is>
          <t>Godawari Power &amp; Ispat Ltd.</t>
        </is>
      </c>
      <c r="D435" s="16" t="inlineStr">
        <is>
          <t>Iron &amp; Steel/Interm.Products</t>
        </is>
      </c>
      <c r="E435" s="16" t="inlineStr">
        <is>
          <t>Metals &amp; Mining</t>
        </is>
      </c>
      <c r="F435" s="17" t="n">
        <v>16202.84</v>
      </c>
      <c r="G435" s="16" t="inlineStr">
        <is>
          <t>GPIL</t>
        </is>
      </c>
      <c r="H435" s="16" t="inlineStr">
        <is>
          <t>532734</t>
        </is>
      </c>
      <c r="I435" s="27">
        <f>IFERROR(IF(INDEX(Stocks!$G$2:$G$2139,MATCH(A435,Stocks!$E$2:$E$2139,0))="","No","Yes"),"No")</f>
        <v/>
      </c>
    </row>
    <row r="436">
      <c r="A436" s="16" t="inlineStr">
        <is>
          <t>INE457L01029</t>
        </is>
      </c>
      <c r="B436" s="16" t="inlineStr">
        <is>
          <t>PGEL</t>
        </is>
      </c>
      <c r="C436" s="16" t="inlineStr">
        <is>
          <t>PG Electroplast Ltd.</t>
        </is>
      </c>
      <c r="D436" s="16" t="inlineStr">
        <is>
          <t>Consumer Electronics</t>
        </is>
      </c>
      <c r="E436" s="16" t="inlineStr">
        <is>
          <t>Consumer Durables</t>
        </is>
      </c>
      <c r="F436" s="17" t="n">
        <v>16124.35</v>
      </c>
      <c r="G436" s="16" t="inlineStr">
        <is>
          <t>PGEL</t>
        </is>
      </c>
      <c r="H436" s="16" t="inlineStr">
        <is>
          <t>533581</t>
        </is>
      </c>
      <c r="I436" s="27">
        <f>IFERROR(IF(INDEX(Stocks!$G$2:$G$2139,MATCH(A436,Stocks!$E$2:$E$2139,0))="","No","Yes"),"No")</f>
        <v/>
      </c>
    </row>
    <row r="437">
      <c r="A437" s="16" t="inlineStr">
        <is>
          <t>INE138Y01010</t>
        </is>
      </c>
      <c r="B437" s="16" t="inlineStr">
        <is>
          <t>KFINTECH</t>
        </is>
      </c>
      <c r="C437" s="16" t="inlineStr">
        <is>
          <t>KFIN Technologies Ltd.</t>
        </is>
      </c>
      <c r="D437" s="16" t="inlineStr">
        <is>
          <t>Other Financial Services</t>
        </is>
      </c>
      <c r="E437" s="16" t="inlineStr">
        <is>
          <t>Banking and Finance</t>
        </is>
      </c>
      <c r="F437" s="17" t="n">
        <v>16058.09</v>
      </c>
      <c r="G437" s="16" t="inlineStr">
        <is>
          <t>KFINTECH</t>
        </is>
      </c>
      <c r="H437" s="16" t="inlineStr">
        <is>
          <t>543720</t>
        </is>
      </c>
      <c r="I437" s="27">
        <f>IFERROR(IF(INDEX(Stocks!$G$2:$G$2139,MATCH(A437,Stocks!$E$2:$E$2139,0))="","No","Yes"),"No")</f>
        <v/>
      </c>
    </row>
    <row r="438">
      <c r="A438" s="16" t="inlineStr">
        <is>
          <t>INE548C01032</t>
        </is>
      </c>
      <c r="B438" s="16" t="inlineStr">
        <is>
          <t>EMAMILTD</t>
        </is>
      </c>
      <c r="C438" s="16" t="inlineStr">
        <is>
          <t>Emami Ltd.</t>
        </is>
      </c>
      <c r="D438" s="16" t="inlineStr">
        <is>
          <t>Personal Products</t>
        </is>
      </c>
      <c r="E438" s="16" t="inlineStr">
        <is>
          <t>FMCG</t>
        </is>
      </c>
      <c r="F438" s="17" t="n">
        <v>15978.08</v>
      </c>
      <c r="G438" s="16" t="inlineStr">
        <is>
          <t>EMAMILTD</t>
        </is>
      </c>
      <c r="H438" s="16" t="inlineStr">
        <is>
          <t>531162</t>
        </is>
      </c>
      <c r="I438" s="27">
        <f>IFERROR(IF(INDEX(Stocks!$G$2:$G$2139,MATCH(A438,Stocks!$E$2:$E$2139,0))="","No","Yes"),"No")</f>
        <v/>
      </c>
    </row>
    <row r="439">
      <c r="A439" s="16" t="inlineStr">
        <is>
          <t>INE398R01022</t>
        </is>
      </c>
      <c r="B439" s="16" t="inlineStr">
        <is>
          <t>SYNGENE</t>
        </is>
      </c>
      <c r="C439" s="16" t="inlineStr">
        <is>
          <t>Syngene International Ltd.</t>
        </is>
      </c>
      <c r="D439" s="16" t="inlineStr">
        <is>
          <t>Pharmaceuticals</t>
        </is>
      </c>
      <c r="E439" s="16" t="inlineStr">
        <is>
          <t>Pharmaceuticals &amp; Biotechnology</t>
        </is>
      </c>
      <c r="F439" s="17" t="n">
        <v>15969.15</v>
      </c>
      <c r="G439" s="16" t="inlineStr">
        <is>
          <t>SYNGENE</t>
        </is>
      </c>
      <c r="H439" s="16" t="inlineStr">
        <is>
          <t>539268</t>
        </is>
      </c>
      <c r="I439" s="27">
        <f>IFERROR(IF(INDEX(Stocks!$G$2:$G$2139,MATCH(A439,Stocks!$E$2:$E$2139,0))="","No","Yes"),"No")</f>
        <v/>
      </c>
    </row>
    <row r="440">
      <c r="A440" s="16" t="inlineStr">
        <is>
          <t>INE092A01019</t>
        </is>
      </c>
      <c r="B440" s="16" t="inlineStr">
        <is>
          <t>TATACHEM</t>
        </is>
      </c>
      <c r="C440" s="16" t="inlineStr">
        <is>
          <t>Tata Chemicals Ltd.</t>
        </is>
      </c>
      <c r="D440" s="16" t="inlineStr">
        <is>
          <t>Commodity Chemicals</t>
        </is>
      </c>
      <c r="E440" s="16" t="inlineStr">
        <is>
          <t>Chemicals &amp; Petrochemicals</t>
        </is>
      </c>
      <c r="F440" s="17" t="n">
        <v>15924.82</v>
      </c>
      <c r="G440" s="16" t="inlineStr">
        <is>
          <t>TATACHEM</t>
        </is>
      </c>
      <c r="H440" s="16" t="inlineStr">
        <is>
          <t>500770</t>
        </is>
      </c>
      <c r="I440" s="27">
        <f>IFERROR(IF(INDEX(Stocks!$G$2:$G$2139,MATCH(A440,Stocks!$E$2:$E$2139,0))="","No","Yes"),"No")</f>
        <v/>
      </c>
    </row>
    <row r="441">
      <c r="A441" s="16" t="inlineStr">
        <is>
          <t>INE499A01024</t>
        </is>
      </c>
      <c r="B441" s="16" t="inlineStr">
        <is>
          <t>DCMSHRIRAM</t>
        </is>
      </c>
      <c r="C441" s="16" t="inlineStr">
        <is>
          <t>DCM Shriram Ltd.</t>
        </is>
      </c>
      <c r="D441" s="16" t="inlineStr">
        <is>
          <t>Diversified</t>
        </is>
      </c>
      <c r="E441" s="16" t="inlineStr">
        <is>
          <t>Diversified</t>
        </is>
      </c>
      <c r="F441" s="17" t="n">
        <v>15920.15</v>
      </c>
      <c r="G441" s="16" t="inlineStr">
        <is>
          <t>DCMSHRIRAM</t>
        </is>
      </c>
      <c r="H441" s="16" t="inlineStr">
        <is>
          <t>523367</t>
        </is>
      </c>
      <c r="I441" s="27">
        <f>IFERROR(IF(INDEX(Stocks!$G$2:$G$2139,MATCH(A441,Stocks!$E$2:$E$2139,0))="","No","Yes"),"No")</f>
        <v/>
      </c>
    </row>
    <row r="442">
      <c r="A442" s="16" t="inlineStr">
        <is>
          <t>INE685T01010</t>
        </is>
      </c>
      <c r="B442" s="16" t="inlineStr">
        <is>
          <t>HORIZONIND</t>
        </is>
      </c>
      <c r="C442" s="16" t="inlineStr">
        <is>
          <t>Horizon Industrial Parks Ltd.</t>
        </is>
      </c>
      <c r="D442" s="16" t="inlineStr">
        <is>
          <t>Realty</t>
        </is>
      </c>
      <c r="E442" s="16" t="inlineStr">
        <is>
          <t>Realty</t>
        </is>
      </c>
      <c r="F442" s="17" t="n">
        <v>15893.44</v>
      </c>
      <c r="G442" s="16" t="inlineStr">
        <is>
          <t>HORIZONIND</t>
        </is>
      </c>
      <c r="H442" s="16" t="inlineStr">
        <is>
          <t>544880</t>
        </is>
      </c>
      <c r="I442" s="27">
        <f>IFERROR(IF(INDEX(Stocks!$G$2:$G$2139,MATCH(A442,Stocks!$E$2:$E$2139,0))="","No","Yes"),"No")</f>
        <v/>
      </c>
    </row>
    <row r="443">
      <c r="A443" s="16" t="inlineStr">
        <is>
          <t>INE901L01018</t>
        </is>
      </c>
      <c r="B443" s="16" t="inlineStr">
        <is>
          <t>APLLTD</t>
        </is>
      </c>
      <c r="C443" s="16" t="inlineStr">
        <is>
          <t>Alembic Pharmaceuticals Ltd.</t>
        </is>
      </c>
      <c r="D443" s="16" t="inlineStr">
        <is>
          <t>Pharmaceuticals</t>
        </is>
      </c>
      <c r="E443" s="16" t="inlineStr">
        <is>
          <t>Pharmaceuticals &amp; Biotechnology</t>
        </is>
      </c>
      <c r="F443" s="17" t="n">
        <v>15886.23</v>
      </c>
      <c r="G443" s="16" t="inlineStr">
        <is>
          <t>APLLTD</t>
        </is>
      </c>
      <c r="H443" s="16" t="inlineStr">
        <is>
          <t>533573</t>
        </is>
      </c>
      <c r="I443" s="27">
        <f>IFERROR(IF(INDEX(Stocks!$G$2:$G$2139,MATCH(A443,Stocks!$E$2:$E$2139,0))="","No","Yes"),"No")</f>
        <v/>
      </c>
    </row>
    <row r="444">
      <c r="A444" s="16" t="inlineStr">
        <is>
          <t>INE725A01030</t>
        </is>
      </c>
      <c r="B444" s="16" t="inlineStr">
        <is>
          <t>NAVA</t>
        </is>
      </c>
      <c r="C444" s="16" t="inlineStr">
        <is>
          <t>NAVA Ltd.</t>
        </is>
      </c>
      <c r="D444" s="16" t="inlineStr">
        <is>
          <t>Power - Electric Utilities</t>
        </is>
      </c>
      <c r="E444" s="16" t="inlineStr">
        <is>
          <t>Utilities</t>
        </is>
      </c>
      <c r="F444" s="17" t="n">
        <v>15871.17</v>
      </c>
      <c r="G444" s="16" t="inlineStr">
        <is>
          <t>NAVA</t>
        </is>
      </c>
      <c r="H444" s="16" t="inlineStr">
        <is>
          <t>513023</t>
        </is>
      </c>
      <c r="I444" s="27">
        <f>IFERROR(IF(INDEX(Stocks!$G$2:$G$2139,MATCH(A444,Stocks!$E$2:$E$2139,0))="","No","Yes"),"No")</f>
        <v/>
      </c>
    </row>
    <row r="445">
      <c r="A445" s="16" t="inlineStr">
        <is>
          <t>INE647U01026</t>
        </is>
      </c>
      <c r="B445" s="16" t="inlineStr">
        <is>
          <t>CLEANMAX</t>
        </is>
      </c>
      <c r="C445" s="16" t="inlineStr">
        <is>
          <t>Clean Max Enviro Energy Solutions Ltd.</t>
        </is>
      </c>
      <c r="D445" s="16" t="inlineStr">
        <is>
          <t>Green &amp; Renewable Energy</t>
        </is>
      </c>
      <c r="E445" s="16" t="inlineStr">
        <is>
          <t>Utilities</t>
        </is>
      </c>
      <c r="F445" s="17" t="n">
        <v>15835.76</v>
      </c>
      <c r="G445" s="16" t="inlineStr">
        <is>
          <t>CLEANMAX</t>
        </is>
      </c>
      <c r="H445" s="16" t="inlineStr">
        <is>
          <t>544717</t>
        </is>
      </c>
      <c r="I445" s="27">
        <f>IFERROR(IF(INDEX(Stocks!$G$2:$G$2139,MATCH(A445,Stocks!$E$2:$E$2139,0))="","No","Yes"),"No")</f>
        <v/>
      </c>
    </row>
    <row r="446">
      <c r="A446" s="16" t="inlineStr">
        <is>
          <t>INE885A01032</t>
        </is>
      </c>
      <c r="B446" s="16" t="inlineStr">
        <is>
          <t>ARE&amp;M</t>
        </is>
      </c>
      <c r="C446" s="16" t="inlineStr">
        <is>
          <t>Amara Raja Energy &amp; Mobility Ltd.</t>
        </is>
      </c>
      <c r="D446" s="16" t="inlineStr">
        <is>
          <t>Auto Parts &amp; Equipment</t>
        </is>
      </c>
      <c r="E446" s="16" t="inlineStr">
        <is>
          <t>Automobiles &amp; Auto Components</t>
        </is>
      </c>
      <c r="F446" s="17" t="n">
        <v>15817.06</v>
      </c>
      <c r="G446" s="16" t="inlineStr">
        <is>
          <t>ARE&amp;M</t>
        </is>
      </c>
      <c r="H446" s="16" t="inlineStr">
        <is>
          <t>500008</t>
        </is>
      </c>
      <c r="I446" s="27">
        <f>IFERROR(IF(INDEX(Stocks!$G$2:$G$2139,MATCH(A446,Stocks!$E$2:$E$2139,0))="","No","Yes"),"No")</f>
        <v/>
      </c>
    </row>
    <row r="447">
      <c r="A447" s="16" t="inlineStr">
        <is>
          <t>INE686Y01026</t>
        </is>
      </c>
      <c r="B447" s="16" t="inlineStr">
        <is>
          <t>FINEORG</t>
        </is>
      </c>
      <c r="C447" s="16" t="inlineStr">
        <is>
          <t>Fine Organic Industries Ltd.</t>
        </is>
      </c>
      <c r="D447" s="16" t="inlineStr">
        <is>
          <t>Specialty Chemicals</t>
        </is>
      </c>
      <c r="E447" s="16" t="inlineStr">
        <is>
          <t>Chemicals &amp; Petrochemicals</t>
        </is>
      </c>
      <c r="F447" s="17" t="n">
        <v>15796.03</v>
      </c>
      <c r="G447" s="16" t="inlineStr">
        <is>
          <t>FINEORG</t>
        </is>
      </c>
      <c r="H447" s="16" t="inlineStr">
        <is>
          <t>541557</t>
        </is>
      </c>
      <c r="I447" s="27">
        <f>IFERROR(IF(INDEX(Stocks!$G$2:$G$2139,MATCH(A447,Stocks!$E$2:$E$2139,0))="","No","Yes"),"No")</f>
        <v/>
      </c>
    </row>
    <row r="448">
      <c r="A448" s="16" t="inlineStr">
        <is>
          <t>INE04I401011</t>
        </is>
      </c>
      <c r="B448" s="16" t="inlineStr">
        <is>
          <t>KPITTECH</t>
        </is>
      </c>
      <c r="C448" s="16" t="inlineStr">
        <is>
          <t>KPIT Technologies Ltd.</t>
        </is>
      </c>
      <c r="D448" s="16" t="inlineStr">
        <is>
          <t>IT Consulting &amp; Software</t>
        </is>
      </c>
      <c r="E448" s="16" t="inlineStr">
        <is>
          <t>Software &amp; Services</t>
        </is>
      </c>
      <c r="F448" s="17" t="n">
        <v>15775.6</v>
      </c>
      <c r="G448" s="16" t="inlineStr">
        <is>
          <t>KPITTECH</t>
        </is>
      </c>
      <c r="H448" s="16" t="inlineStr">
        <is>
          <t>542651</t>
        </is>
      </c>
      <c r="I448" s="27">
        <f>IFERROR(IF(INDEX(Stocks!$G$2:$G$2139,MATCH(A448,Stocks!$E$2:$E$2139,0))="","No","Yes"),"No")</f>
        <v/>
      </c>
    </row>
    <row r="449">
      <c r="A449" s="16" t="inlineStr">
        <is>
          <t>INE05XR01022</t>
        </is>
      </c>
      <c r="B449" s="16" t="inlineStr">
        <is>
          <t>BHARATCOAL</t>
        </is>
      </c>
      <c r="C449" s="16" t="inlineStr">
        <is>
          <t>Bharat Coking Coal Ltd.</t>
        </is>
      </c>
      <c r="D449" s="16" t="inlineStr">
        <is>
          <t>Coal &amp; Mining</t>
        </is>
      </c>
      <c r="E449" s="16" t="inlineStr">
        <is>
          <t>Metals &amp; Mining</t>
        </is>
      </c>
      <c r="F449" s="17" t="n">
        <v>15745.32</v>
      </c>
      <c r="G449" s="16" t="inlineStr">
        <is>
          <t>BHARATCOAL</t>
        </is>
      </c>
      <c r="H449" s="16" t="inlineStr">
        <is>
          <t>544678</t>
        </is>
      </c>
      <c r="I449" s="27">
        <f>IFERROR(IF(INDEX(Stocks!$G$2:$G$2139,MATCH(A449,Stocks!$E$2:$E$2139,0))="","No","Yes"),"No")</f>
        <v/>
      </c>
    </row>
    <row r="450">
      <c r="A450" s="16" t="inlineStr">
        <is>
          <t>INE531A01024</t>
        </is>
      </c>
      <c r="B450" s="16" t="inlineStr">
        <is>
          <t>KANSAINER</t>
        </is>
      </c>
      <c r="C450" s="16" t="inlineStr">
        <is>
          <t>Kansai Nerolac Paints Ltd.</t>
        </is>
      </c>
      <c r="D450" s="16" t="inlineStr">
        <is>
          <t>Paints</t>
        </is>
      </c>
      <c r="E450" s="16" t="inlineStr">
        <is>
          <t>Consumer Durables</t>
        </is>
      </c>
      <c r="F450" s="17" t="n">
        <v>15706.48</v>
      </c>
      <c r="G450" s="16" t="inlineStr">
        <is>
          <t>KANSAINER</t>
        </is>
      </c>
      <c r="H450" s="16" t="inlineStr">
        <is>
          <t>500165</t>
        </is>
      </c>
      <c r="I450" s="27">
        <f>IFERROR(IF(INDEX(Stocks!$G$2:$G$2139,MATCH(A450,Stocks!$E$2:$E$2139,0))="","No","Yes"),"No")</f>
        <v/>
      </c>
    </row>
    <row r="451">
      <c r="A451" s="16" t="inlineStr">
        <is>
          <t>INE510A01028</t>
        </is>
      </c>
      <c r="B451" s="16" t="inlineStr">
        <is>
          <t>ENGINERSIN</t>
        </is>
      </c>
      <c r="C451" s="16" t="inlineStr">
        <is>
          <t>Engineers India Ltd.</t>
        </is>
      </c>
      <c r="D451" s="16" t="inlineStr">
        <is>
          <t>Consulting Services</t>
        </is>
      </c>
      <c r="E451" s="16" t="inlineStr">
        <is>
          <t>Commercial Services &amp; Supplies</t>
        </is>
      </c>
      <c r="F451" s="17" t="n">
        <v>15706.27</v>
      </c>
      <c r="G451" s="16" t="inlineStr">
        <is>
          <t>ENGINERSIN</t>
        </is>
      </c>
      <c r="H451" s="16" t="inlineStr">
        <is>
          <t>532178</t>
        </is>
      </c>
      <c r="I451" s="27">
        <f>IFERROR(IF(INDEX(Stocks!$G$2:$G$2139,MATCH(A451,Stocks!$E$2:$E$2139,0))="","No","Yes"),"No")</f>
        <v/>
      </c>
    </row>
    <row r="452">
      <c r="A452" s="16" t="inlineStr">
        <is>
          <t>INE228A01035</t>
        </is>
      </c>
      <c r="B452" s="16" t="inlineStr">
        <is>
          <t>USHAMART</t>
        </is>
      </c>
      <c r="C452" s="16" t="inlineStr">
        <is>
          <t>Usha Martin Ltd.</t>
        </is>
      </c>
      <c r="D452" s="16" t="inlineStr">
        <is>
          <t>Iron &amp; Steel Products</t>
        </is>
      </c>
      <c r="E452" s="16" t="inlineStr">
        <is>
          <t>Metals &amp; Mining</t>
        </is>
      </c>
      <c r="F452" s="17" t="n">
        <v>15668.31</v>
      </c>
      <c r="G452" s="16" t="inlineStr">
        <is>
          <t>USHAMART</t>
        </is>
      </c>
      <c r="H452" s="16" t="inlineStr">
        <is>
          <t>517146</t>
        </is>
      </c>
      <c r="I452" s="27">
        <f>IFERROR(IF(INDEX(Stocks!$G$2:$G$2139,MATCH(A452,Stocks!$E$2:$E$2139,0))="","No","Yes"),"No")</f>
        <v/>
      </c>
    </row>
    <row r="453">
      <c r="A453" s="16" t="inlineStr">
        <is>
          <t>INE288A01013</t>
        </is>
      </c>
      <c r="B453" s="16" t="inlineStr">
        <is>
          <t>MAHSCOOTER</t>
        </is>
      </c>
      <c r="C453" s="16" t="inlineStr">
        <is>
          <t>Maharashtra Scooters Ltd.</t>
        </is>
      </c>
      <c r="D453" s="16" t="inlineStr">
        <is>
          <t>Investment Companies</t>
        </is>
      </c>
      <c r="E453" s="16" t="inlineStr">
        <is>
          <t>Others</t>
        </is>
      </c>
      <c r="F453" s="17" t="n">
        <v>15545.18</v>
      </c>
      <c r="G453" s="16" t="inlineStr">
        <is>
          <t>MAHSCOOTER</t>
        </is>
      </c>
      <c r="H453" s="16" t="inlineStr">
        <is>
          <t>500266</t>
        </is>
      </c>
      <c r="I453" s="27">
        <f>IFERROR(IF(INDEX(Stocks!$G$2:$G$2139,MATCH(A453,Stocks!$E$2:$E$2139,0))="","No","Yes"),"No")</f>
        <v/>
      </c>
    </row>
    <row r="454">
      <c r="A454" s="16" t="inlineStr">
        <is>
          <t>INE818H01020</t>
        </is>
      </c>
      <c r="B454" s="16" t="inlineStr">
        <is>
          <t>LTFOODS</t>
        </is>
      </c>
      <c r="C454" s="16" t="inlineStr">
        <is>
          <t>LT Foods Ltd.</t>
        </is>
      </c>
      <c r="D454" s="16" t="inlineStr">
        <is>
          <t>Other Agricultural Products</t>
        </is>
      </c>
      <c r="E454" s="16" t="inlineStr">
        <is>
          <t>Food, Beverages &amp; Tobacco</t>
        </is>
      </c>
      <c r="F454" s="17" t="n">
        <v>15445.81</v>
      </c>
      <c r="G454" s="16" t="inlineStr">
        <is>
          <t>LTFOODS</t>
        </is>
      </c>
      <c r="H454" s="16" t="inlineStr">
        <is>
          <t>532783</t>
        </is>
      </c>
      <c r="I454" s="27">
        <f>IFERROR(IF(INDEX(Stocks!$G$2:$G$2139,MATCH(A454,Stocks!$E$2:$E$2139,0))="","No","Yes"),"No")</f>
        <v/>
      </c>
    </row>
    <row r="455">
      <c r="A455" s="16" t="inlineStr">
        <is>
          <t>INE128S01021</t>
        </is>
      </c>
      <c r="B455" s="16" t="inlineStr">
        <is>
          <t>FIVESTAR</t>
        </is>
      </c>
      <c r="C455" s="16" t="inlineStr">
        <is>
          <t>Five-Star Business Finance Ltd.</t>
        </is>
      </c>
      <c r="D455" s="16" t="inlineStr">
        <is>
          <t>Finance (including NBFCs)</t>
        </is>
      </c>
      <c r="E455" s="16" t="inlineStr">
        <is>
          <t>Banking and Finance</t>
        </is>
      </c>
      <c r="F455" s="17" t="n">
        <v>15439.84</v>
      </c>
      <c r="G455" s="16" t="inlineStr">
        <is>
          <t>FIVESTAR</t>
        </is>
      </c>
      <c r="H455" s="16" t="inlineStr">
        <is>
          <t>543663</t>
        </is>
      </c>
      <c r="I455" s="27">
        <f>IFERROR(IF(INDEX(Stocks!$G$2:$G$2139,MATCH(A455,Stocks!$E$2:$E$2139,0))="","No","Yes"),"No")</f>
        <v/>
      </c>
    </row>
    <row r="456">
      <c r="A456" s="16" t="inlineStr">
        <is>
          <t>INE043W01024</t>
        </is>
      </c>
      <c r="B456" s="16" t="inlineStr">
        <is>
          <t>VIJAYA</t>
        </is>
      </c>
      <c r="C456" s="16" t="inlineStr">
        <is>
          <t>Vijaya Diagnostic Centre Ltd.</t>
        </is>
      </c>
      <c r="D456" s="16" t="inlineStr">
        <is>
          <t>Healthcare Services</t>
        </is>
      </c>
      <c r="E456" s="16" t="inlineStr">
        <is>
          <t>Healthcare</t>
        </is>
      </c>
      <c r="F456" s="17" t="n">
        <v>15379.62</v>
      </c>
      <c r="G456" s="16" t="inlineStr">
        <is>
          <t>VIJAYA</t>
        </is>
      </c>
      <c r="H456" s="16" t="inlineStr">
        <is>
          <t>543350</t>
        </is>
      </c>
      <c r="I456" s="27">
        <f>IFERROR(IF(INDEX(Stocks!$G$2:$G$2139,MATCH(A456,Stocks!$E$2:$E$2139,0))="","No","Yes"),"No")</f>
        <v/>
      </c>
    </row>
    <row r="457">
      <c r="A457" s="16" t="inlineStr">
        <is>
          <t>INE0J5401028</t>
        </is>
      </c>
      <c r="B457" s="16" t="inlineStr">
        <is>
          <t>HONASA</t>
        </is>
      </c>
      <c r="C457" s="16" t="inlineStr">
        <is>
          <t>Honasa Consumer Ltd.</t>
        </is>
      </c>
      <c r="D457" s="16" t="inlineStr">
        <is>
          <t>Personal Products</t>
        </is>
      </c>
      <c r="E457" s="16" t="inlineStr">
        <is>
          <t>FMCG</t>
        </is>
      </c>
      <c r="F457" s="17" t="n">
        <v>15357.37</v>
      </c>
      <c r="G457" s="16" t="inlineStr">
        <is>
          <t>HONASA</t>
        </is>
      </c>
      <c r="H457" s="16" t="inlineStr">
        <is>
          <t>544014</t>
        </is>
      </c>
      <c r="I457" s="27">
        <f>IFERROR(IF(INDEX(Stocks!$G$2:$G$2139,MATCH(A457,Stocks!$E$2:$E$2139,0))="","No","Yes"),"No")</f>
        <v/>
      </c>
    </row>
    <row r="458">
      <c r="A458" s="16" t="inlineStr">
        <is>
          <t>INE055A01016</t>
        </is>
      </c>
      <c r="B458" s="16" t="inlineStr">
        <is>
          <t>ABREL</t>
        </is>
      </c>
      <c r="C458" s="16" t="inlineStr">
        <is>
          <t>Aditya Birla Real Estate Ltd.</t>
        </is>
      </c>
      <c r="D458" s="16" t="inlineStr">
        <is>
          <t>Paper &amp; Paper Products</t>
        </is>
      </c>
      <c r="E458" s="16" t="inlineStr">
        <is>
          <t>Commercial Services &amp; Supplies</t>
        </is>
      </c>
      <c r="F458" s="17" t="n">
        <v>15342.52</v>
      </c>
      <c r="G458" s="16" t="inlineStr">
        <is>
          <t>ABREL</t>
        </is>
      </c>
      <c r="H458" s="16" t="inlineStr">
        <is>
          <t>500040</t>
        </is>
      </c>
      <c r="I458" s="27">
        <f>IFERROR(IF(INDEX(Stocks!$G$2:$G$2139,MATCH(A458,Stocks!$E$2:$E$2139,0))="","No","Yes"),"No")</f>
        <v/>
      </c>
    </row>
    <row r="459">
      <c r="A459" s="16" t="inlineStr">
        <is>
          <t>INE177A01018</t>
        </is>
      </c>
      <c r="B459" s="16" t="inlineStr">
        <is>
          <t>INGERRAND</t>
        </is>
      </c>
      <c r="C459" s="16" t="inlineStr">
        <is>
          <t>Ingersoll-Rand (India) Ltd.</t>
        </is>
      </c>
      <c r="D459" s="16" t="inlineStr">
        <is>
          <t>Compressors &amp; Pumps</t>
        </is>
      </c>
      <c r="E459" s="16" t="inlineStr">
        <is>
          <t>General Industrials</t>
        </is>
      </c>
      <c r="F459" s="17" t="n">
        <v>15293.75</v>
      </c>
      <c r="G459" s="16" t="inlineStr">
        <is>
          <t>INGERRAND</t>
        </is>
      </c>
      <c r="H459" s="16" t="inlineStr">
        <is>
          <t>500210</t>
        </is>
      </c>
      <c r="I459" s="27">
        <f>IFERROR(IF(INDEX(Stocks!$G$2:$G$2139,MATCH(A459,Stocks!$E$2:$E$2139,0))="","No","Yes"),"No")</f>
        <v/>
      </c>
    </row>
    <row r="460">
      <c r="A460" s="16" t="inlineStr">
        <is>
          <t>INE12UN01015</t>
        </is>
      </c>
      <c r="B460" s="16" t="inlineStr">
        <is>
          <t>SHADOWFAX</t>
        </is>
      </c>
      <c r="C460" s="16" t="inlineStr">
        <is>
          <t>Shadowfax Technologies Ltd.</t>
        </is>
      </c>
      <c r="D460" s="16" t="inlineStr">
        <is>
          <t>Warehousing &amp; Logistics</t>
        </is>
      </c>
      <c r="E460" s="16" t="inlineStr">
        <is>
          <t>Transportation</t>
        </is>
      </c>
      <c r="F460" s="17" t="n">
        <v>15228.59</v>
      </c>
      <c r="G460" s="16" t="inlineStr">
        <is>
          <t>SHADOWFAX</t>
        </is>
      </c>
      <c r="H460" s="16" t="inlineStr">
        <is>
          <t>544685</t>
        </is>
      </c>
      <c r="I460" s="27">
        <f>IFERROR(IF(INDEX(Stocks!$G$2:$G$2139,MATCH(A460,Stocks!$E$2:$E$2139,0))="","No","Yes"),"No")</f>
        <v/>
      </c>
    </row>
    <row r="461">
      <c r="A461" s="16" t="inlineStr">
        <is>
          <t>INE05C901015</t>
        </is>
      </c>
      <c r="B461" s="16" t="inlineStr">
        <is>
          <t>JNPR</t>
        </is>
      </c>
      <c r="C461" s="16" t="inlineStr">
        <is>
          <t>Juniper Green Energy Ltd.</t>
        </is>
      </c>
      <c r="D461" s="16" t="inlineStr">
        <is>
          <t>Green &amp; Renewable Energy</t>
        </is>
      </c>
      <c r="E461" s="16" t="inlineStr">
        <is>
          <t>Utilities</t>
        </is>
      </c>
      <c r="F461" s="17" t="n">
        <v>15084.15</v>
      </c>
      <c r="G461" s="16" t="inlineStr">
        <is>
          <t>JNPR</t>
        </is>
      </c>
      <c r="H461" s="16" t="inlineStr">
        <is>
          <t>544853</t>
        </is>
      </c>
      <c r="I461" s="27">
        <f>IFERROR(IF(INDEX(Stocks!$G$2:$G$2139,MATCH(A461,Stocks!$E$2:$E$2139,0))="","No","Yes"),"No")</f>
        <v/>
      </c>
    </row>
    <row r="462">
      <c r="A462" s="16" t="inlineStr">
        <is>
          <t>INE151G01028</t>
        </is>
      </c>
      <c r="B462" s="16" t="inlineStr">
        <is>
          <t>SHAILY</t>
        </is>
      </c>
      <c r="C462" s="16" t="inlineStr">
        <is>
          <t>Shaily Engineering Plastics Ltd.</t>
        </is>
      </c>
      <c r="D462" s="16" t="inlineStr">
        <is>
          <t>Plastic Products</t>
        </is>
      </c>
      <c r="E462" s="16" t="inlineStr">
        <is>
          <t>General Industrials</t>
        </is>
      </c>
      <c r="F462" s="17" t="n">
        <v>15064.67</v>
      </c>
      <c r="G462" s="16" t="inlineStr">
        <is>
          <t>SHAILY</t>
        </is>
      </c>
      <c r="H462" s="16" t="inlineStr">
        <is>
          <t>501423</t>
        </is>
      </c>
      <c r="I462" s="27">
        <f>IFERROR(IF(INDEX(Stocks!$G$2:$G$2139,MATCH(A462,Stocks!$E$2:$E$2139,0))="","No","Yes"),"No")</f>
        <v/>
      </c>
    </row>
    <row r="463">
      <c r="A463" s="16" t="inlineStr">
        <is>
          <t>INE034A01011</t>
        </is>
      </c>
      <c r="B463" s="16" t="inlineStr">
        <is>
          <t>ARVIND</t>
        </is>
      </c>
      <c r="C463" s="16" t="inlineStr">
        <is>
          <t>Arvind Ltd.</t>
        </is>
      </c>
      <c r="D463" s="16" t="inlineStr">
        <is>
          <t>Textiles</t>
        </is>
      </c>
      <c r="E463" s="16" t="inlineStr">
        <is>
          <t>Textiles Apparels &amp; Accessories</t>
        </is>
      </c>
      <c r="F463" s="17" t="n">
        <v>15042.48</v>
      </c>
      <c r="G463" s="16" t="inlineStr">
        <is>
          <t>ARVIND</t>
        </is>
      </c>
      <c r="H463" s="16" t="inlineStr">
        <is>
          <t>500101</t>
        </is>
      </c>
      <c r="I463" s="27">
        <f>IFERROR(IF(INDEX(Stocks!$G$2:$G$2139,MATCH(A463,Stocks!$E$2:$E$2139,0))="","No","Yes"),"No")</f>
        <v/>
      </c>
    </row>
    <row r="464">
      <c r="A464" s="16" t="inlineStr">
        <is>
          <t>INE0QPI01025</t>
        </is>
      </c>
      <c r="B464" s="16" t="inlineStr">
        <is>
          <t>SUDEEPPHRM</t>
        </is>
      </c>
      <c r="C464" s="16" t="inlineStr">
        <is>
          <t>Sudeep Pharma Ltd.</t>
        </is>
      </c>
      <c r="D464" s="16" t="inlineStr">
        <is>
          <t>Pharmaceuticals</t>
        </is>
      </c>
      <c r="E464" s="16" t="inlineStr">
        <is>
          <t>Pharmaceuticals &amp; Biotechnology</t>
        </is>
      </c>
      <c r="F464" s="17" t="n">
        <v>15014.26</v>
      </c>
      <c r="G464" s="16" t="inlineStr">
        <is>
          <t>SUDEEPPHRM</t>
        </is>
      </c>
      <c r="H464" s="16" t="inlineStr">
        <is>
          <t>544619</t>
        </is>
      </c>
      <c r="I464" s="27">
        <f>IFERROR(IF(INDEX(Stocks!$G$2:$G$2139,MATCH(A464,Stocks!$E$2:$E$2139,0))="","No","Yes"),"No")</f>
        <v/>
      </c>
    </row>
    <row r="465">
      <c r="A465" s="16" t="inlineStr">
        <is>
          <t>INE299U01018</t>
        </is>
      </c>
      <c r="B465" s="16" t="inlineStr">
        <is>
          <t>CROMPTON</t>
        </is>
      </c>
      <c r="C465" s="16" t="inlineStr">
        <is>
          <t>Crompton Greaves Consumer Electricals Ltd.</t>
        </is>
      </c>
      <c r="D465" s="16" t="inlineStr">
        <is>
          <t>Household Appliances</t>
        </is>
      </c>
      <c r="E465" s="16" t="inlineStr">
        <is>
          <t>Consumer Durables</t>
        </is>
      </c>
      <c r="F465" s="17" t="n">
        <v>14964.58</v>
      </c>
      <c r="G465" s="16" t="inlineStr">
        <is>
          <t>CROMPTON</t>
        </is>
      </c>
      <c r="H465" s="16" t="inlineStr">
        <is>
          <t>539876</t>
        </is>
      </c>
      <c r="I465" s="27">
        <f>IFERROR(IF(INDEX(Stocks!$G$2:$G$2139,MATCH(A465,Stocks!$E$2:$E$2139,0))="","No","Yes"),"No")</f>
        <v/>
      </c>
    </row>
    <row r="466">
      <c r="A466" s="16" t="inlineStr">
        <is>
          <t>INE01TY01017</t>
        </is>
      </c>
      <c r="B466" s="16" t="inlineStr">
        <is>
          <t>CANHLIFE</t>
        </is>
      </c>
      <c r="C466" s="16" t="inlineStr">
        <is>
          <t>Canara HSBC Life Insurance Company Ltd.</t>
        </is>
      </c>
      <c r="D466" s="16" t="inlineStr">
        <is>
          <t>Life Insurance</t>
        </is>
      </c>
      <c r="E466" s="16" t="inlineStr">
        <is>
          <t>Banking and Finance</t>
        </is>
      </c>
      <c r="F466" s="17" t="n">
        <v>14936.85</v>
      </c>
      <c r="G466" s="16" t="inlineStr">
        <is>
          <t>CANHLIFE</t>
        </is>
      </c>
      <c r="H466" s="16" t="inlineStr">
        <is>
          <t>544583</t>
        </is>
      </c>
      <c r="I466" s="27">
        <f>IFERROR(IF(INDEX(Stocks!$G$2:$G$2139,MATCH(A466,Stocks!$E$2:$E$2139,0))="","No","Yes"),"No")</f>
        <v/>
      </c>
    </row>
    <row r="467">
      <c r="A467" s="16" t="inlineStr">
        <is>
          <t>INE704J01044</t>
        </is>
      </c>
      <c r="B467" s="16" t="inlineStr">
        <is>
          <t>VOGL</t>
        </is>
      </c>
      <c r="C467" s="16" t="inlineStr">
        <is>
          <t>Vedanta Oil and Gas Ltd.</t>
        </is>
      </c>
      <c r="D467" s="16" t="inlineStr">
        <is>
          <t>Exploration &amp; Production</t>
        </is>
      </c>
      <c r="E467" s="16" t="inlineStr">
        <is>
          <t>Oil &amp; Gas</t>
        </is>
      </c>
      <c r="F467" s="17" t="n">
        <v>14867.3</v>
      </c>
      <c r="G467" s="16" t="inlineStr">
        <is>
          <t>VOGL</t>
        </is>
      </c>
      <c r="H467" s="16" t="inlineStr">
        <is>
          <t>544782</t>
        </is>
      </c>
      <c r="I467" s="27">
        <f>IFERROR(IF(INDEX(Stocks!$G$2:$G$2139,MATCH(A467,Stocks!$E$2:$E$2139,0))="","No","Yes"),"No")</f>
        <v/>
      </c>
    </row>
    <row r="468">
      <c r="A468" s="16" t="inlineStr">
        <is>
          <t>INE2J8701016</t>
        </is>
      </c>
      <c r="B468" s="16" t="inlineStr">
        <is>
          <t>SKFINDUS</t>
        </is>
      </c>
      <c r="C468" s="16" t="inlineStr">
        <is>
          <t>SKF India (Industrial) Ltd.</t>
        </is>
      </c>
      <c r="D468" s="16" t="inlineStr">
        <is>
          <t>Abrasives &amp; Bearings</t>
        </is>
      </c>
      <c r="E468" s="16" t="inlineStr">
        <is>
          <t>General Industrials</t>
        </is>
      </c>
      <c r="F468" s="17" t="n">
        <v>14843.76</v>
      </c>
      <c r="G468" s="16" t="inlineStr">
        <is>
          <t>SKFINDUS</t>
        </is>
      </c>
      <c r="H468" s="16" t="inlineStr">
        <is>
          <t>544572</t>
        </is>
      </c>
      <c r="I468" s="27">
        <f>IFERROR(IF(INDEX(Stocks!$G$2:$G$2139,MATCH(A468,Stocks!$E$2:$E$2139,0))="","No","Yes"),"No")</f>
        <v/>
      </c>
    </row>
    <row r="469">
      <c r="A469" s="16" t="inlineStr">
        <is>
          <t>INE987B01026</t>
        </is>
      </c>
      <c r="B469" s="16" t="inlineStr">
        <is>
          <t>NATCOPHARM</t>
        </is>
      </c>
      <c r="C469" s="16" t="inlineStr">
        <is>
          <t>Natco Pharma Ltd.</t>
        </is>
      </c>
      <c r="D469" s="16" t="inlineStr">
        <is>
          <t>Pharmaceuticals</t>
        </is>
      </c>
      <c r="E469" s="16" t="inlineStr">
        <is>
          <t>Pharmaceuticals &amp; Biotechnology</t>
        </is>
      </c>
      <c r="F469" s="17" t="n">
        <v>14841.94</v>
      </c>
      <c r="G469" s="16" t="inlineStr">
        <is>
          <t>NATCOPHARM</t>
        </is>
      </c>
      <c r="H469" s="16" t="inlineStr">
        <is>
          <t>524816</t>
        </is>
      </c>
      <c r="I469" s="27">
        <f>IFERROR(IF(INDEX(Stocks!$G$2:$G$2139,MATCH(A469,Stocks!$E$2:$E$2139,0))="","No","Yes"),"No")</f>
        <v/>
      </c>
    </row>
    <row r="470">
      <c r="A470" s="16" t="inlineStr">
        <is>
          <t>INE338H01029</t>
        </is>
      </c>
      <c r="B470" s="16" t="inlineStr">
        <is>
          <t>CONCORDBIO</t>
        </is>
      </c>
      <c r="C470" s="16" t="inlineStr">
        <is>
          <t>Concord Biotech Ltd.</t>
        </is>
      </c>
      <c r="D470" s="16" t="inlineStr">
        <is>
          <t>Biotechnology</t>
        </is>
      </c>
      <c r="E470" s="16" t="inlineStr">
        <is>
          <t>Pharmaceuticals &amp; Biotechnology</t>
        </is>
      </c>
      <c r="F470" s="17" t="n">
        <v>14825.16</v>
      </c>
      <c r="G470" s="16" t="inlineStr">
        <is>
          <t>CONCORDBIO</t>
        </is>
      </c>
      <c r="H470" s="16" t="inlineStr">
        <is>
          <t>543960</t>
        </is>
      </c>
      <c r="I470" s="27">
        <f>IFERROR(IF(INDEX(Stocks!$G$2:$G$2139,MATCH(A470,Stocks!$E$2:$E$2139,0))="","No","Yes"),"No")</f>
        <v/>
      </c>
    </row>
    <row r="471">
      <c r="A471" s="16" t="inlineStr">
        <is>
          <t>INE995S01015</t>
        </is>
      </c>
      <c r="B471" s="16" t="inlineStr">
        <is>
          <t>NIVABUPA</t>
        </is>
      </c>
      <c r="C471" s="16" t="inlineStr">
        <is>
          <t>Niva Bupa Health Insurance Company Ltd.</t>
        </is>
      </c>
      <c r="D471" s="16" t="inlineStr">
        <is>
          <t>General Insurance</t>
        </is>
      </c>
      <c r="E471" s="16" t="inlineStr">
        <is>
          <t>Banking and Finance</t>
        </is>
      </c>
      <c r="F471" s="17" t="n">
        <v>14817.5</v>
      </c>
      <c r="G471" s="16" t="inlineStr">
        <is>
          <t>NIVABUPA</t>
        </is>
      </c>
      <c r="H471" s="16" t="inlineStr">
        <is>
          <t>544286</t>
        </is>
      </c>
      <c r="I471" s="27">
        <f>IFERROR(IF(INDEX(Stocks!$G$2:$G$2139,MATCH(A471,Stocks!$E$2:$E$2139,0))="","No","Yes"),"No")</f>
        <v/>
      </c>
    </row>
    <row r="472">
      <c r="A472" s="16" t="inlineStr">
        <is>
          <t>INE750C01026</t>
        </is>
      </c>
      <c r="B472" s="16" t="inlineStr">
        <is>
          <t>MARKSANS</t>
        </is>
      </c>
      <c r="C472" s="16" t="inlineStr">
        <is>
          <t>Marksans Pharma Ltd.</t>
        </is>
      </c>
      <c r="D472" s="16" t="inlineStr">
        <is>
          <t>Pharmaceuticals</t>
        </is>
      </c>
      <c r="E472" s="16" t="inlineStr">
        <is>
          <t>Pharmaceuticals &amp; Biotechnology</t>
        </is>
      </c>
      <c r="F472" s="17" t="n">
        <v>14807.12</v>
      </c>
      <c r="G472" s="16" t="inlineStr">
        <is>
          <t>MARKSANS</t>
        </is>
      </c>
      <c r="H472" s="16" t="inlineStr">
        <is>
          <t>524404</t>
        </is>
      </c>
      <c r="I472" s="27">
        <f>IFERROR(IF(INDEX(Stocks!$G$2:$G$2139,MATCH(A472,Stocks!$E$2:$E$2139,0))="","No","Yes"),"No")</f>
        <v/>
      </c>
    </row>
    <row r="473">
      <c r="A473" s="16" t="inlineStr">
        <is>
          <t>INE927D01051</t>
        </is>
      </c>
      <c r="B473" s="16" t="inlineStr">
        <is>
          <t>JBMA</t>
        </is>
      </c>
      <c r="C473" s="16" t="inlineStr">
        <is>
          <t>JBM Auto Ltd.</t>
        </is>
      </c>
      <c r="D473" s="16" t="inlineStr">
        <is>
          <t>Auto Parts &amp; Equipment</t>
        </is>
      </c>
      <c r="E473" s="16" t="inlineStr">
        <is>
          <t>Automobiles &amp; Auto Components</t>
        </is>
      </c>
      <c r="F473" s="17" t="n">
        <v>14795.08</v>
      </c>
      <c r="G473" s="16" t="inlineStr">
        <is>
          <t>JBMA</t>
        </is>
      </c>
      <c r="H473" s="16" t="inlineStr">
        <is>
          <t>532605</t>
        </is>
      </c>
      <c r="I473" s="27">
        <f>IFERROR(IF(INDEX(Stocks!$G$2:$G$2139,MATCH(A473,Stocks!$E$2:$E$2139,0))="","No","Yes"),"No")</f>
        <v/>
      </c>
    </row>
    <row r="474">
      <c r="A474" s="16" t="inlineStr">
        <is>
          <t>INE732A01036</t>
        </is>
      </c>
      <c r="B474" s="16" t="inlineStr">
        <is>
          <t>KIRLOSBROS</t>
        </is>
      </c>
      <c r="C474" s="16" t="inlineStr">
        <is>
          <t>Kirloskar Brothers Ltd.</t>
        </is>
      </c>
      <c r="D474" s="16" t="inlineStr">
        <is>
          <t>Compressors &amp; Pumps</t>
        </is>
      </c>
      <c r="E474" s="16" t="inlineStr">
        <is>
          <t>General Industrials</t>
        </is>
      </c>
      <c r="F474" s="17" t="n">
        <v>14785.94</v>
      </c>
      <c r="G474" s="16" t="inlineStr">
        <is>
          <t>KIRLOSBROS</t>
        </is>
      </c>
      <c r="H474" s="16" t="inlineStr">
        <is>
          <t>500241</t>
        </is>
      </c>
      <c r="I474" s="27">
        <f>IFERROR(IF(INDEX(Stocks!$G$2:$G$2139,MATCH(A474,Stocks!$E$2:$E$2139,0))="","No","Yes"),"No")</f>
        <v/>
      </c>
    </row>
    <row r="475">
      <c r="A475" s="16" t="inlineStr">
        <is>
          <t>INE421D01022</t>
        </is>
      </c>
      <c r="B475" s="16" t="inlineStr">
        <is>
          <t>CCL</t>
        </is>
      </c>
      <c r="C475" s="16" t="inlineStr">
        <is>
          <t>CCL Products India Ltd.</t>
        </is>
      </c>
      <c r="D475" s="16" t="inlineStr">
        <is>
          <t>Tea &amp; Coffee</t>
        </is>
      </c>
      <c r="E475" s="16" t="inlineStr">
        <is>
          <t>Food, Beverages &amp; Tobacco</t>
        </is>
      </c>
      <c r="F475" s="17" t="n">
        <v>14770.86</v>
      </c>
      <c r="G475" s="16" t="inlineStr">
        <is>
          <t>CCL</t>
        </is>
      </c>
      <c r="H475" s="16" t="inlineStr">
        <is>
          <t>519600</t>
        </is>
      </c>
      <c r="I475" s="27">
        <f>IFERROR(IF(INDEX(Stocks!$G$2:$G$2139,MATCH(A475,Stocks!$E$2:$E$2139,0))="","No","Yes"),"No")</f>
        <v/>
      </c>
    </row>
    <row r="476">
      <c r="A476" s="16" t="inlineStr">
        <is>
          <t>INE668A01016</t>
        </is>
      </c>
      <c r="B476" s="16" t="inlineStr">
        <is>
          <t>TMB</t>
        </is>
      </c>
      <c r="C476" s="16" t="inlineStr">
        <is>
          <t>Tamilnad Mercantile Bank Ltd.</t>
        </is>
      </c>
      <c r="D476" s="16" t="inlineStr">
        <is>
          <t>Banks</t>
        </is>
      </c>
      <c r="E476" s="16" t="inlineStr">
        <is>
          <t>Banking and Finance</t>
        </is>
      </c>
      <c r="F476" s="17" t="n">
        <v>14765.49</v>
      </c>
      <c r="G476" s="16" t="inlineStr">
        <is>
          <t>TMB</t>
        </is>
      </c>
      <c r="H476" s="16" t="inlineStr">
        <is>
          <t>543596</t>
        </is>
      </c>
      <c r="I476" s="27">
        <f>IFERROR(IF(INDEX(Stocks!$G$2:$G$2139,MATCH(A476,Stocks!$E$2:$E$2139,0))="","No","Yes"),"No")</f>
        <v/>
      </c>
    </row>
    <row r="477">
      <c r="A477" s="16" t="inlineStr">
        <is>
          <t>INE700A01033</t>
        </is>
      </c>
      <c r="B477" s="16" t="inlineStr">
        <is>
          <t>JUBLPHARMA</t>
        </is>
      </c>
      <c r="C477" s="16" t="inlineStr">
        <is>
          <t>Jubilant Pharmova Ltd.</t>
        </is>
      </c>
      <c r="D477" s="16" t="inlineStr">
        <is>
          <t>Pharmaceuticals</t>
        </is>
      </c>
      <c r="E477" s="16" t="inlineStr">
        <is>
          <t>Pharmaceuticals &amp; Biotechnology</t>
        </is>
      </c>
      <c r="F477" s="17" t="n">
        <v>14725.54</v>
      </c>
      <c r="G477" s="16" t="inlineStr">
        <is>
          <t>JUBLPHARMA</t>
        </is>
      </c>
      <c r="H477" s="16" t="inlineStr">
        <is>
          <t>530019</t>
        </is>
      </c>
      <c r="I477" s="27">
        <f>IFERROR(IF(INDEX(Stocks!$G$2:$G$2139,MATCH(A477,Stocks!$E$2:$E$2139,0))="","No","Yes"),"No")</f>
        <v/>
      </c>
    </row>
    <row r="478">
      <c r="A478" s="16" t="inlineStr">
        <is>
          <t>INE961O01016</t>
        </is>
      </c>
      <c r="B478" s="16" t="inlineStr">
        <is>
          <t>RAINBOW</t>
        </is>
      </c>
      <c r="C478" s="16" t="inlineStr">
        <is>
          <t>Rainbow Childrens Medicare Ltd.</t>
        </is>
      </c>
      <c r="D478" s="16" t="inlineStr">
        <is>
          <t>Healthcare Facilities</t>
        </is>
      </c>
      <c r="E478" s="16" t="inlineStr">
        <is>
          <t>Healthcare</t>
        </is>
      </c>
      <c r="F478" s="17" t="n">
        <v>14698.72</v>
      </c>
      <c r="G478" s="16" t="inlineStr">
        <is>
          <t>RAINBOW</t>
        </is>
      </c>
      <c r="H478" s="16" t="inlineStr">
        <is>
          <t>543524</t>
        </is>
      </c>
      <c r="I478" s="27">
        <f>IFERROR(IF(INDEX(Stocks!$G$2:$G$2139,MATCH(A478,Stocks!$E$2:$E$2139,0))="","No","Yes"),"No")</f>
        <v/>
      </c>
    </row>
    <row r="479">
      <c r="A479" s="16" t="inlineStr">
        <is>
          <t>INE0LCL01028</t>
        </is>
      </c>
      <c r="B479" s="16" t="inlineStr">
        <is>
          <t>AVALON</t>
        </is>
      </c>
      <c r="C479" s="16" t="inlineStr">
        <is>
          <t>Avalon Technologies Ltd.</t>
        </is>
      </c>
      <c r="D479" s="16" t="inlineStr">
        <is>
          <t>Heavy Electrical Equipment</t>
        </is>
      </c>
      <c r="E479" s="16" t="inlineStr">
        <is>
          <t>General Industrials</t>
        </is>
      </c>
      <c r="F479" s="17" t="n">
        <v>14691.37</v>
      </c>
      <c r="G479" s="16" t="inlineStr">
        <is>
          <t>AVALON</t>
        </is>
      </c>
      <c r="H479" s="16" t="inlineStr">
        <is>
          <t>543896</t>
        </is>
      </c>
      <c r="I479" s="27">
        <f>IFERROR(IF(INDEX(Stocks!$G$2:$G$2139,MATCH(A479,Stocks!$E$2:$E$2139,0))="","No","Yes"),"No")</f>
        <v/>
      </c>
    </row>
    <row r="480">
      <c r="A480" s="16" t="inlineStr">
        <is>
          <t>INE951I01027</t>
        </is>
      </c>
      <c r="B480" s="16" t="inlineStr">
        <is>
          <t>VGUARD</t>
        </is>
      </c>
      <c r="C480" s="16" t="inlineStr">
        <is>
          <t>V-Guard Industries Ltd.</t>
        </is>
      </c>
      <c r="D480" s="16" t="inlineStr">
        <is>
          <t>Household Appliances</t>
        </is>
      </c>
      <c r="E480" s="16" t="inlineStr">
        <is>
          <t>Consumer Durables</t>
        </is>
      </c>
      <c r="F480" s="17" t="n">
        <v>14654.13</v>
      </c>
      <c r="G480" s="16" t="inlineStr">
        <is>
          <t>VGUARD</t>
        </is>
      </c>
      <c r="H480" s="16" t="inlineStr">
        <is>
          <t>532953</t>
        </is>
      </c>
      <c r="I480" s="27">
        <f>IFERROR(IF(INDEX(Stocks!$G$2:$G$2139,MATCH(A480,Stocks!$E$2:$E$2139,0))="","No","Yes"),"No")</f>
        <v/>
      </c>
    </row>
    <row r="481">
      <c r="A481" s="16" t="inlineStr">
        <is>
          <t>INE00E101023</t>
        </is>
      </c>
      <c r="B481" s="16" t="inlineStr">
        <is>
          <t>BIKAJI</t>
        </is>
      </c>
      <c r="C481" s="16" t="inlineStr">
        <is>
          <t>Bikaji Foods International Ltd.</t>
        </is>
      </c>
      <c r="D481" s="16" t="inlineStr">
        <is>
          <t>Packaged Foods</t>
        </is>
      </c>
      <c r="E481" s="16" t="inlineStr">
        <is>
          <t>FMCG</t>
        </is>
      </c>
      <c r="F481" s="17" t="n">
        <v>14648.02</v>
      </c>
      <c r="G481" s="16" t="inlineStr">
        <is>
          <t>BIKAJI</t>
        </is>
      </c>
      <c r="H481" s="16" t="inlineStr">
        <is>
          <t>543653</t>
        </is>
      </c>
      <c r="I481" s="27">
        <f>IFERROR(IF(INDEX(Stocks!$G$2:$G$2139,MATCH(A481,Stocks!$E$2:$E$2139,0))="","No","Yes"),"No")</f>
        <v/>
      </c>
    </row>
    <row r="482">
      <c r="A482" s="16" t="inlineStr">
        <is>
          <t>INE536H01010</t>
        </is>
      </c>
      <c r="B482" s="16" t="inlineStr">
        <is>
          <t>CIEINDIA</t>
        </is>
      </c>
      <c r="C482" s="16" t="inlineStr">
        <is>
          <t>CIE Automotive India Ltd.</t>
        </is>
      </c>
      <c r="D482" s="16" t="inlineStr">
        <is>
          <t>Auto Parts &amp; Equipment</t>
        </is>
      </c>
      <c r="E482" s="16" t="inlineStr">
        <is>
          <t>Automobiles &amp; Auto Components</t>
        </is>
      </c>
      <c r="F482" s="17" t="n">
        <v>14618.73</v>
      </c>
      <c r="G482" s="16" t="inlineStr">
        <is>
          <t>CIEINDIA</t>
        </is>
      </c>
      <c r="H482" s="16" t="inlineStr">
        <is>
          <t>532756</t>
        </is>
      </c>
      <c r="I482" s="27">
        <f>IFERROR(IF(INDEX(Stocks!$G$2:$G$2139,MATCH(A482,Stocks!$E$2:$E$2139,0))="","No","Yes"),"No")</f>
        <v/>
      </c>
    </row>
    <row r="483">
      <c r="A483" s="16" t="inlineStr">
        <is>
          <t>INE119A01028</t>
        </is>
      </c>
      <c r="B483" s="16" t="inlineStr">
        <is>
          <t>BALRAMCHIN</t>
        </is>
      </c>
      <c r="C483" s="16" t="inlineStr">
        <is>
          <t>Balrampur Chini Mills Ltd.</t>
        </is>
      </c>
      <c r="D483" s="16" t="inlineStr">
        <is>
          <t>Sugar</t>
        </is>
      </c>
      <c r="E483" s="16" t="inlineStr">
        <is>
          <t>Food, Beverages &amp; Tobacco</t>
        </is>
      </c>
      <c r="F483" s="17" t="n">
        <v>14612.92</v>
      </c>
      <c r="G483" s="16" t="inlineStr">
        <is>
          <t>BALRAMCHIN</t>
        </is>
      </c>
      <c r="H483" s="16" t="inlineStr">
        <is>
          <t>500038</t>
        </is>
      </c>
      <c r="I483" s="27">
        <f>IFERROR(IF(INDEX(Stocks!$G$2:$G$2139,MATCH(A483,Stocks!$E$2:$E$2139,0))="","No","Yes"),"No")</f>
        <v/>
      </c>
    </row>
    <row r="484">
      <c r="A484" s="16" t="inlineStr">
        <is>
          <t>INE290S01011</t>
        </is>
      </c>
      <c r="B484" s="16" t="inlineStr">
        <is>
          <t>CARTRADE</t>
        </is>
      </c>
      <c r="C484" s="16" t="inlineStr">
        <is>
          <t>CarTrade Tech Ltd.</t>
        </is>
      </c>
      <c r="D484" s="16" t="inlineStr">
        <is>
          <t>Internet &amp; Catalogue Retail</t>
        </is>
      </c>
      <c r="E484" s="16" t="inlineStr">
        <is>
          <t>Retailing</t>
        </is>
      </c>
      <c r="F484" s="17" t="n">
        <v>14554.57</v>
      </c>
      <c r="G484" s="16" t="inlineStr">
        <is>
          <t>CARTRADE</t>
        </is>
      </c>
      <c r="H484" s="16" t="inlineStr">
        <is>
          <t>543333</t>
        </is>
      </c>
      <c r="I484" s="27">
        <f>IFERROR(IF(INDEX(Stocks!$G$2:$G$2139,MATCH(A484,Stocks!$E$2:$E$2139,0))="","No","Yes"),"No")</f>
        <v/>
      </c>
    </row>
    <row r="485">
      <c r="A485" s="16" t="inlineStr">
        <is>
          <t>INE133A01011</t>
        </is>
      </c>
      <c r="B485" s="16" t="inlineStr">
        <is>
          <t>JSWDULUX</t>
        </is>
      </c>
      <c r="C485" s="16" t="inlineStr">
        <is>
          <t>JSW Dulux Ltd.</t>
        </is>
      </c>
      <c r="D485" s="16" t="inlineStr">
        <is>
          <t>Paints</t>
        </is>
      </c>
      <c r="E485" s="16" t="inlineStr">
        <is>
          <t>Consumer Durables</t>
        </is>
      </c>
      <c r="F485" s="17" t="n">
        <v>14538.58</v>
      </c>
      <c r="G485" s="16" t="inlineStr">
        <is>
          <t>JSWDULUX</t>
        </is>
      </c>
      <c r="H485" s="16" t="inlineStr">
        <is>
          <t>500710</t>
        </is>
      </c>
      <c r="I485" s="27">
        <f>IFERROR(IF(INDEX(Stocks!$G$2:$G$2139,MATCH(A485,Stocks!$E$2:$E$2139,0))="","No","Yes"),"No")</f>
        <v/>
      </c>
    </row>
    <row r="486">
      <c r="A486" s="16" t="inlineStr">
        <is>
          <t>INE663A01033</t>
        </is>
      </c>
      <c r="B486" s="16" t="inlineStr">
        <is>
          <t>SPLPETRO</t>
        </is>
      </c>
      <c r="C486" s="16" t="inlineStr">
        <is>
          <t>Supreme Petrochem Ltd.</t>
        </is>
      </c>
      <c r="D486" s="16" t="inlineStr">
        <is>
          <t>Petrochemicals</t>
        </is>
      </c>
      <c r="E486" s="16" t="inlineStr">
        <is>
          <t>Chemicals &amp; Petrochemicals</t>
        </is>
      </c>
      <c r="F486" s="17" t="n">
        <v>14498.92</v>
      </c>
      <c r="G486" s="16" t="inlineStr">
        <is>
          <t>SPLPETRO</t>
        </is>
      </c>
      <c r="H486" s="16" t="inlineStr">
        <is>
          <t>500405</t>
        </is>
      </c>
      <c r="I486" s="27">
        <f>IFERROR(IF(INDEX(Stocks!$G$2:$G$2139,MATCH(A486,Stocks!$E$2:$E$2139,0))="","No","Yes"),"No")</f>
        <v/>
      </c>
    </row>
    <row r="487">
      <c r="A487" s="16" t="inlineStr">
        <is>
          <t>INE065X01017</t>
        </is>
      </c>
      <c r="B487" s="16" t="inlineStr">
        <is>
          <t>INDGN</t>
        </is>
      </c>
      <c r="C487" s="16" t="inlineStr">
        <is>
          <t>Indegene Ltd.</t>
        </is>
      </c>
      <c r="D487" s="16" t="inlineStr">
        <is>
          <t>Healthcare Services</t>
        </is>
      </c>
      <c r="E487" s="16" t="inlineStr">
        <is>
          <t>Healthcare</t>
        </is>
      </c>
      <c r="F487" s="17" t="n">
        <v>14490.97</v>
      </c>
      <c r="G487" s="16" t="inlineStr">
        <is>
          <t>INDGN</t>
        </is>
      </c>
      <c r="H487" s="16" t="inlineStr">
        <is>
          <t>544172</t>
        </is>
      </c>
      <c r="I487" s="27">
        <f>IFERROR(IF(INDEX(Stocks!$G$2:$G$2139,MATCH(A487,Stocks!$E$2:$E$2139,0))="","No","Yes"),"No")</f>
        <v/>
      </c>
    </row>
    <row r="488">
      <c r="A488" s="16" t="inlineStr">
        <is>
          <t>INE933B01012</t>
        </is>
      </c>
      <c r="B488" s="16" t="inlineStr">
        <is>
          <t>SIGMAADV</t>
        </is>
      </c>
      <c r="C488" s="16" t="inlineStr">
        <is>
          <t>Sigma Advanced Systems Ltd.</t>
        </is>
      </c>
      <c r="D488" s="16" t="inlineStr">
        <is>
          <t>Aerospace &amp; Defence</t>
        </is>
      </c>
      <c r="E488" s="16" t="inlineStr">
        <is>
          <t>General Industrials</t>
        </is>
      </c>
      <c r="F488" s="17" t="n">
        <v>14480.19</v>
      </c>
      <c r="G488" s="16" t="inlineStr">
        <is>
          <t>SIGMAADV</t>
        </is>
      </c>
      <c r="H488" s="16" t="inlineStr">
        <is>
          <t>532408</t>
        </is>
      </c>
      <c r="I488" s="27">
        <f>IFERROR(IF(INDEX(Stocks!$G$2:$G$2139,MATCH(A488,Stocks!$E$2:$E$2139,0))="","No","Yes"),"No")</f>
        <v/>
      </c>
    </row>
    <row r="489">
      <c r="A489" s="16" t="inlineStr">
        <is>
          <t>INE0Z4F01028</t>
        </is>
      </c>
      <c r="B489" s="16" t="inlineStr">
        <is>
          <t>ATLANTAELE</t>
        </is>
      </c>
      <c r="C489" s="16" t="inlineStr">
        <is>
          <t>Atlanta Electricals Ltd.</t>
        </is>
      </c>
      <c r="D489" s="16" t="inlineStr">
        <is>
          <t>Heavy Electrical Equipment</t>
        </is>
      </c>
      <c r="E489" s="16" t="inlineStr">
        <is>
          <t>General Industrials</t>
        </is>
      </c>
      <c r="F489" s="17" t="n">
        <v>14469.63</v>
      </c>
      <c r="G489" s="16" t="inlineStr">
        <is>
          <t>ATLANTAELE</t>
        </is>
      </c>
      <c r="H489" s="16" t="inlineStr">
        <is>
          <t>544527</t>
        </is>
      </c>
      <c r="I489" s="27">
        <f>IFERROR(IF(INDEX(Stocks!$G$2:$G$2139,MATCH(A489,Stocks!$E$2:$E$2139,0))="","No","Yes"),"No")</f>
        <v/>
      </c>
    </row>
    <row r="490">
      <c r="A490" s="16" t="inlineStr">
        <is>
          <t>INE825V01034</t>
        </is>
      </c>
      <c r="B490" s="16" t="inlineStr">
        <is>
          <t>MANYAVAR</t>
        </is>
      </c>
      <c r="C490" s="16" t="inlineStr">
        <is>
          <t>Vedant Fashions Ltd.</t>
        </is>
      </c>
      <c r="D490" s="16" t="inlineStr">
        <is>
          <t>Specialty Retail</t>
        </is>
      </c>
      <c r="E490" s="16" t="inlineStr">
        <is>
          <t>Retailing</t>
        </is>
      </c>
      <c r="F490" s="17" t="n">
        <v>14437.76</v>
      </c>
      <c r="G490" s="16" t="inlineStr">
        <is>
          <t>MANYAVAR</t>
        </is>
      </c>
      <c r="H490" s="16" t="inlineStr">
        <is>
          <t>543463</t>
        </is>
      </c>
      <c r="I490" s="27">
        <f>IFERROR(IF(INDEX(Stocks!$G$2:$G$2139,MATCH(A490,Stocks!$E$2:$E$2139,0))="","No","Yes"),"No")</f>
        <v/>
      </c>
    </row>
    <row r="491">
      <c r="A491" s="16" t="inlineStr">
        <is>
          <t>INE371A01025</t>
        </is>
      </c>
      <c r="B491" s="16" t="inlineStr">
        <is>
          <t>GRAPHITE</t>
        </is>
      </c>
      <c r="C491" s="16" t="inlineStr">
        <is>
          <t>Graphite India Ltd.</t>
        </is>
      </c>
      <c r="D491" s="16" t="inlineStr">
        <is>
          <t>Electrodes &amp; Refractories</t>
        </is>
      </c>
      <c r="E491" s="16" t="inlineStr">
        <is>
          <t>General Industrials</t>
        </is>
      </c>
      <c r="F491" s="17" t="n">
        <v>14332.75</v>
      </c>
      <c r="G491" s="16" t="inlineStr">
        <is>
          <t>GRAPHITE</t>
        </is>
      </c>
      <c r="H491" s="16" t="inlineStr">
        <is>
          <t>509488</t>
        </is>
      </c>
      <c r="I491" s="27">
        <f>IFERROR(IF(INDEX(Stocks!$G$2:$G$2139,MATCH(A491,Stocks!$E$2:$E$2139,0))="","No","Yes"),"No")</f>
        <v/>
      </c>
    </row>
    <row r="492">
      <c r="A492" s="16" t="inlineStr">
        <is>
          <t>INE212S01015</t>
        </is>
      </c>
      <c r="B492" s="16" t="inlineStr">
        <is>
          <t>FRACTAL</t>
        </is>
      </c>
      <c r="C492" s="16" t="inlineStr">
        <is>
          <t>Fractal Analytics Ltd.</t>
        </is>
      </c>
      <c r="D492" s="16" t="inlineStr">
        <is>
          <t>Internet Software &amp; Services</t>
        </is>
      </c>
      <c r="E492" s="16" t="inlineStr">
        <is>
          <t>Software &amp; Services</t>
        </is>
      </c>
      <c r="F492" s="17" t="n">
        <v>14282.13</v>
      </c>
      <c r="G492" s="16" t="inlineStr">
        <is>
          <t>FRACTAL</t>
        </is>
      </c>
      <c r="H492" s="16" t="inlineStr">
        <is>
          <t>544700</t>
        </is>
      </c>
      <c r="I492" s="27">
        <f>IFERROR(IF(INDEX(Stocks!$G$2:$G$2139,MATCH(A492,Stocks!$E$2:$E$2139,0))="","No","Yes"),"No")</f>
        <v/>
      </c>
    </row>
    <row r="493">
      <c r="A493" s="16" t="inlineStr">
        <is>
          <t>INE418L01047</t>
        </is>
      </c>
      <c r="B493" s="16" t="inlineStr">
        <is>
          <t>NAZARA</t>
        </is>
      </c>
      <c r="C493" s="16" t="inlineStr">
        <is>
          <t>Nazara Technologies Ltd.</t>
        </is>
      </c>
      <c r="D493" s="16" t="inlineStr">
        <is>
          <t>Internet Software &amp; Services</t>
        </is>
      </c>
      <c r="E493" s="16" t="inlineStr">
        <is>
          <t>Software &amp; Services</t>
        </is>
      </c>
      <c r="F493" s="17" t="n">
        <v>14181.82</v>
      </c>
      <c r="G493" s="16" t="inlineStr">
        <is>
          <t>NAZARA</t>
        </is>
      </c>
      <c r="H493" s="16" t="inlineStr">
        <is>
          <t>543280</t>
        </is>
      </c>
      <c r="I493" s="27">
        <f>IFERROR(IF(INDEX(Stocks!$G$2:$G$2139,MATCH(A493,Stocks!$E$2:$E$2139,0))="","No","Yes"),"No")</f>
        <v/>
      </c>
    </row>
    <row r="494">
      <c r="A494" s="16" t="inlineStr">
        <is>
          <t>INE999A01023</t>
        </is>
      </c>
      <c r="B494" s="16" t="inlineStr">
        <is>
          <t>KSB</t>
        </is>
      </c>
      <c r="C494" s="16" t="inlineStr">
        <is>
          <t>KSB Ltd.</t>
        </is>
      </c>
      <c r="D494" s="16" t="inlineStr">
        <is>
          <t>Compressors &amp; Pumps</t>
        </is>
      </c>
      <c r="E494" s="16" t="inlineStr">
        <is>
          <t>General Industrials</t>
        </is>
      </c>
      <c r="F494" s="17" t="n">
        <v>14158.96</v>
      </c>
      <c r="G494" s="16" t="inlineStr">
        <is>
          <t>KSB</t>
        </is>
      </c>
      <c r="H494" s="16" t="inlineStr">
        <is>
          <t>500249</t>
        </is>
      </c>
      <c r="I494" s="27">
        <f>IFERROR(IF(INDEX(Stocks!$G$2:$G$2139,MATCH(A494,Stocks!$E$2:$E$2139,0))="","No","Yes"),"No")</f>
        <v/>
      </c>
    </row>
    <row r="495">
      <c r="A495" s="16" t="inlineStr">
        <is>
          <t>INE930P01018</t>
        </is>
      </c>
      <c r="B495" s="16" t="inlineStr">
        <is>
          <t>ANURAS</t>
        </is>
      </c>
      <c r="C495" s="16" t="inlineStr">
        <is>
          <t>Anupam Rasayan India Ltd.</t>
        </is>
      </c>
      <c r="D495" s="16" t="inlineStr">
        <is>
          <t>Specialty Chemicals</t>
        </is>
      </c>
      <c r="E495" s="16" t="inlineStr">
        <is>
          <t>Chemicals &amp; Petrochemicals</t>
        </is>
      </c>
      <c r="F495" s="17" t="n">
        <v>14102.57</v>
      </c>
      <c r="G495" s="16" t="inlineStr">
        <is>
          <t>ANURAS</t>
        </is>
      </c>
      <c r="H495" s="16" t="inlineStr">
        <is>
          <t>543275</t>
        </is>
      </c>
      <c r="I495" s="27">
        <f>IFERROR(IF(INDEX(Stocks!$G$2:$G$2139,MATCH(A495,Stocks!$E$2:$E$2139,0))="","No","Yes"),"No")</f>
        <v/>
      </c>
    </row>
    <row r="496">
      <c r="A496" s="16" t="inlineStr">
        <is>
          <t>INE545A01024</t>
        </is>
      </c>
      <c r="B496" s="16" t="inlineStr">
        <is>
          <t>HEG</t>
        </is>
      </c>
      <c r="C496" s="16" t="inlineStr">
        <is>
          <t>HEG Ltd.</t>
        </is>
      </c>
      <c r="D496" s="16" t="inlineStr">
        <is>
          <t>Electrodes &amp; Refractories</t>
        </is>
      </c>
      <c r="E496" s="16" t="inlineStr">
        <is>
          <t>General Industrials</t>
        </is>
      </c>
      <c r="F496" s="17" t="n">
        <v>14053.59</v>
      </c>
      <c r="G496" s="16" t="inlineStr">
        <is>
          <t>HEG</t>
        </is>
      </c>
      <c r="H496" s="16" t="inlineStr">
        <is>
          <t>509631</t>
        </is>
      </c>
      <c r="I496" s="27">
        <f>IFERROR(IF(INDEX(Stocks!$G$2:$G$2139,MATCH(A496,Stocks!$E$2:$E$2139,0))="","No","Yes"),"No")</f>
        <v/>
      </c>
    </row>
    <row r="497">
      <c r="A497" s="16" t="inlineStr">
        <is>
          <t>INE0Q9301021</t>
        </is>
      </c>
      <c r="B497" s="16" t="inlineStr">
        <is>
          <t>IGIL</t>
        </is>
      </c>
      <c r="C497" s="16" t="inlineStr">
        <is>
          <t>International Gemological Institute Ltd.</t>
        </is>
      </c>
      <c r="D497" s="16" t="inlineStr">
        <is>
          <t>Misc. Commercial Services</t>
        </is>
      </c>
      <c r="E497" s="16" t="inlineStr">
        <is>
          <t>Commercial Services &amp; Supplies</t>
        </is>
      </c>
      <c r="F497" s="17" t="n">
        <v>13980.37</v>
      </c>
      <c r="G497" s="16" t="inlineStr">
        <is>
          <t>IGIL</t>
        </is>
      </c>
      <c r="H497" s="16" t="inlineStr">
        <is>
          <t>544311</t>
        </is>
      </c>
      <c r="I497" s="27">
        <f>IFERROR(IF(INDEX(Stocks!$G$2:$G$2139,MATCH(A497,Stocks!$E$2:$E$2139,0))="","No","Yes"),"No")</f>
        <v/>
      </c>
    </row>
    <row r="498">
      <c r="A498" s="16" t="inlineStr">
        <is>
          <t>INE126A01031</t>
        </is>
      </c>
      <c r="B498" s="16" t="inlineStr">
        <is>
          <t>EIDPARRY</t>
        </is>
      </c>
      <c r="C498" s="16" t="inlineStr">
        <is>
          <t>EID Parry (India) Ltd.</t>
        </is>
      </c>
      <c r="D498" s="16" t="inlineStr">
        <is>
          <t>Other Food &amp; Beverages</t>
        </is>
      </c>
      <c r="E498" s="16" t="inlineStr">
        <is>
          <t>Food, Beverages &amp; Tobacco</t>
        </is>
      </c>
      <c r="F498" s="17" t="n">
        <v>13904.57</v>
      </c>
      <c r="G498" s="16" t="inlineStr">
        <is>
          <t>EIDPARRY</t>
        </is>
      </c>
      <c r="H498" s="16" t="inlineStr">
        <is>
          <t>500125</t>
        </is>
      </c>
      <c r="I498" s="27">
        <f>IFERROR(IF(INDEX(Stocks!$G$2:$G$2139,MATCH(A498,Stocks!$E$2:$E$2139,0))="","No","Yes"),"No")</f>
        <v/>
      </c>
    </row>
    <row r="499">
      <c r="A499" s="16" t="inlineStr">
        <is>
          <t>INE713T01028</t>
        </is>
      </c>
      <c r="B499" s="16" t="inlineStr">
        <is>
          <t>APOLLO</t>
        </is>
      </c>
      <c r="C499" s="16" t="inlineStr">
        <is>
          <t>Apollo Micro Systems Ltd.</t>
        </is>
      </c>
      <c r="D499" s="16" t="inlineStr">
        <is>
          <t>Aerospace &amp; Defence</t>
        </is>
      </c>
      <c r="E499" s="16" t="inlineStr">
        <is>
          <t>General Industrials</t>
        </is>
      </c>
      <c r="F499" s="17" t="n">
        <v>13895.61</v>
      </c>
      <c r="G499" s="16" t="inlineStr">
        <is>
          <t>APOLLO</t>
        </is>
      </c>
      <c r="H499" s="16" t="inlineStr">
        <is>
          <t>540879</t>
        </is>
      </c>
      <c r="I499" s="27">
        <f>IFERROR(IF(INDEX(Stocks!$G$2:$G$2139,MATCH(A499,Stocks!$E$2:$E$2139,0))="","No","Yes"),"No")</f>
        <v/>
      </c>
    </row>
    <row r="500">
      <c r="A500" s="16" t="inlineStr">
        <is>
          <t>INE00F201020</t>
        </is>
      </c>
      <c r="B500" s="16" t="inlineStr">
        <is>
          <t>PRUDENT</t>
        </is>
      </c>
      <c r="C500" s="16" t="inlineStr">
        <is>
          <t>Prudent Corporate Advisory Services Ltd.</t>
        </is>
      </c>
      <c r="D500" s="16" t="inlineStr">
        <is>
          <t>Other Financial Services</t>
        </is>
      </c>
      <c r="E500" s="16" t="inlineStr">
        <is>
          <t>Banking and Finance</t>
        </is>
      </c>
      <c r="F500" s="17" t="n">
        <v>13861.31</v>
      </c>
      <c r="G500" s="16" t="inlineStr">
        <is>
          <t>PRUDENT</t>
        </is>
      </c>
      <c r="H500" s="16" t="inlineStr">
        <is>
          <t>543527</t>
        </is>
      </c>
      <c r="I500" s="27">
        <f>IFERROR(IF(INDEX(Stocks!$G$2:$G$2139,MATCH(A500,Stocks!$E$2:$E$2139,0))="","No","Yes"),"No")</f>
        <v/>
      </c>
    </row>
    <row r="501">
      <c r="A501" s="16" t="inlineStr">
        <is>
          <t>INE297H01019</t>
        </is>
      </c>
      <c r="B501" s="16" t="inlineStr">
        <is>
          <t>GALLANTT</t>
        </is>
      </c>
      <c r="C501" s="16" t="inlineStr">
        <is>
          <t>Gallantt Ispat Ltd.</t>
        </is>
      </c>
      <c r="D501" s="16" t="inlineStr">
        <is>
          <t>Iron &amp; Steel/Interm.Products</t>
        </is>
      </c>
      <c r="E501" s="16" t="inlineStr">
        <is>
          <t>Metals &amp; Mining</t>
        </is>
      </c>
      <c r="F501" s="17" t="n">
        <v>13849.52</v>
      </c>
      <c r="G501" s="16" t="inlineStr">
        <is>
          <t>GALLANTT</t>
        </is>
      </c>
      <c r="H501" s="16" t="inlineStr">
        <is>
          <t>532726</t>
        </is>
      </c>
      <c r="I501" s="27">
        <f>IFERROR(IF(INDEX(Stocks!$G$2:$G$2139,MATCH(A501,Stocks!$E$2:$E$2139,0))="","No","Yes"),"No")</f>
        <v/>
      </c>
    </row>
    <row r="502">
      <c r="A502" s="16" t="inlineStr">
        <is>
          <t>INE1CLE01013</t>
        </is>
      </c>
      <c r="B502" s="16" t="inlineStr">
        <is>
          <t>VISL</t>
        </is>
      </c>
      <c r="C502" s="16" t="inlineStr">
        <is>
          <t>Vedanta Iron and Steel Ltd.</t>
        </is>
      </c>
      <c r="D502" s="16" t="inlineStr">
        <is>
          <t>Iron &amp; Steel Products</t>
        </is>
      </c>
      <c r="E502" s="16" t="inlineStr">
        <is>
          <t>Metals &amp; Mining</t>
        </is>
      </c>
      <c r="F502" s="17" t="n">
        <v>13838.86</v>
      </c>
      <c r="G502" s="16" t="inlineStr">
        <is>
          <t>VISL</t>
        </is>
      </c>
      <c r="H502" s="16" t="inlineStr">
        <is>
          <t>544784</t>
        </is>
      </c>
      <c r="I502" s="27">
        <f>IFERROR(IF(INDEX(Stocks!$G$2:$G$2139,MATCH(A502,Stocks!$E$2:$E$2139,0))="","No","Yes"),"No")</f>
        <v/>
      </c>
    </row>
    <row r="503">
      <c r="A503" s="16" t="inlineStr">
        <is>
          <t>INE109A01011</t>
        </is>
      </c>
      <c r="B503" s="16" t="inlineStr">
        <is>
          <t>SCI</t>
        </is>
      </c>
      <c r="C503" s="16" t="inlineStr">
        <is>
          <t>Shipping Corporation of India Ltd.</t>
        </is>
      </c>
      <c r="D503" s="16" t="inlineStr">
        <is>
          <t>Shipping</t>
        </is>
      </c>
      <c r="E503" s="16" t="inlineStr">
        <is>
          <t>Transportation</t>
        </is>
      </c>
      <c r="F503" s="17" t="n">
        <v>13757.37</v>
      </c>
      <c r="G503" s="16" t="inlineStr">
        <is>
          <t>SCI</t>
        </is>
      </c>
      <c r="H503" s="16" t="inlineStr">
        <is>
          <t>523598</t>
        </is>
      </c>
      <c r="I503" s="27">
        <f>IFERROR(IF(INDEX(Stocks!$G$2:$G$2139,MATCH(A503,Stocks!$E$2:$E$2139,0))="","No","Yes"),"No")</f>
        <v/>
      </c>
    </row>
    <row r="504">
      <c r="A504" s="16" t="inlineStr">
        <is>
          <t>INE781S01027</t>
        </is>
      </c>
      <c r="B504" s="16" t="inlineStr">
        <is>
          <t>VENTIVE</t>
        </is>
      </c>
      <c r="C504" s="16" t="inlineStr">
        <is>
          <t>Ventive Hospitality Ltd.</t>
        </is>
      </c>
      <c r="D504" s="16" t="inlineStr">
        <is>
          <t>Hotels</t>
        </is>
      </c>
      <c r="E504" s="16" t="inlineStr">
        <is>
          <t>Hotels Restaurants &amp; Tourism</t>
        </is>
      </c>
      <c r="F504" s="17" t="n">
        <v>13736.92</v>
      </c>
      <c r="G504" s="16" t="inlineStr">
        <is>
          <t>VENTIVE</t>
        </is>
      </c>
      <c r="H504" s="16" t="inlineStr">
        <is>
          <t>544321</t>
        </is>
      </c>
      <c r="I504" s="27">
        <f>IFERROR(IF(INDEX(Stocks!$G$2:$G$2139,MATCH(A504,Stocks!$E$2:$E$2139,0))="","No","Yes"),"No")</f>
        <v/>
      </c>
    </row>
    <row r="505">
      <c r="A505" s="16" t="inlineStr">
        <is>
          <t>INE410B01037</t>
        </is>
      </c>
      <c r="B505" s="16" t="inlineStr">
        <is>
          <t>VINATIORGA</t>
        </is>
      </c>
      <c r="C505" s="16" t="inlineStr">
        <is>
          <t>Vinati Organics Ltd.</t>
        </is>
      </c>
      <c r="D505" s="16" t="inlineStr">
        <is>
          <t>Specialty Chemicals</t>
        </is>
      </c>
      <c r="E505" s="16" t="inlineStr">
        <is>
          <t>Chemicals &amp; Petrochemicals</t>
        </is>
      </c>
      <c r="F505" s="17" t="n">
        <v>13587.45</v>
      </c>
      <c r="G505" s="16" t="inlineStr">
        <is>
          <t>VINATIORGA</t>
        </is>
      </c>
      <c r="H505" s="16" t="inlineStr">
        <is>
          <t>524200</t>
        </is>
      </c>
      <c r="I505" s="27">
        <f>IFERROR(IF(INDEX(Stocks!$G$2:$G$2139,MATCH(A505,Stocks!$E$2:$E$2139,0))="","No","Yes"),"No")</f>
        <v/>
      </c>
    </row>
    <row r="506">
      <c r="A506" s="16" t="inlineStr">
        <is>
          <t>INE671H01015</t>
        </is>
      </c>
      <c r="B506" s="16" t="inlineStr">
        <is>
          <t>SOBHA</t>
        </is>
      </c>
      <c r="C506" s="16" t="inlineStr">
        <is>
          <t>Sobha Ltd.</t>
        </is>
      </c>
      <c r="D506" s="16" t="inlineStr">
        <is>
          <t>Realty</t>
        </is>
      </c>
      <c r="E506" s="16" t="inlineStr">
        <is>
          <t>Realty</t>
        </is>
      </c>
      <c r="F506" s="17" t="n">
        <v>13515.51</v>
      </c>
      <c r="G506" s="16" t="inlineStr">
        <is>
          <t>SOBHA</t>
        </is>
      </c>
      <c r="H506" s="16" t="inlineStr">
        <is>
          <t>532784</t>
        </is>
      </c>
      <c r="I506" s="27">
        <f>IFERROR(IF(INDEX(Stocks!$G$2:$G$2139,MATCH(A506,Stocks!$E$2:$E$2139,0))="","No","Yes"),"No")</f>
        <v/>
      </c>
    </row>
    <row r="507">
      <c r="A507" s="16" t="inlineStr">
        <is>
          <t>INE0NNS01018</t>
        </is>
      </c>
      <c r="B507" s="16" t="inlineStr">
        <is>
          <t>NSLNISP</t>
        </is>
      </c>
      <c r="C507" s="16" t="inlineStr">
        <is>
          <t>NMDC Steel Ltd.</t>
        </is>
      </c>
      <c r="D507" s="16" t="inlineStr">
        <is>
          <t>Iron &amp; Steel/Interm.Products</t>
        </is>
      </c>
      <c r="E507" s="16" t="inlineStr">
        <is>
          <t>Metals &amp; Mining</t>
        </is>
      </c>
      <c r="F507" s="17" t="n">
        <v>13486.65</v>
      </c>
      <c r="G507" s="16" t="inlineStr">
        <is>
          <t>NSLNISP</t>
        </is>
      </c>
      <c r="H507" s="16" t="inlineStr">
        <is>
          <t>543768</t>
        </is>
      </c>
      <c r="I507" s="27">
        <f>IFERROR(IF(INDEX(Stocks!$G$2:$G$2139,MATCH(A507,Stocks!$E$2:$E$2139,0))="","No","Yes"),"No")</f>
        <v/>
      </c>
    </row>
    <row r="508">
      <c r="A508" s="16" t="inlineStr">
        <is>
          <t>INE482A01020</t>
        </is>
      </c>
      <c r="B508" s="16" t="inlineStr">
        <is>
          <t>CEATLTD</t>
        </is>
      </c>
      <c r="C508" s="16" t="inlineStr">
        <is>
          <t>Ceat Ltd.</t>
        </is>
      </c>
      <c r="D508" s="16" t="inlineStr">
        <is>
          <t>Auto Tyres &amp; Rubber Products</t>
        </is>
      </c>
      <c r="E508" s="16" t="inlineStr">
        <is>
          <t>Automobiles &amp; Auto Components</t>
        </is>
      </c>
      <c r="F508" s="17" t="n">
        <v>13482.83</v>
      </c>
      <c r="G508" s="16" t="inlineStr">
        <is>
          <t>CEATLTD</t>
        </is>
      </c>
      <c r="H508" s="16" t="inlineStr">
        <is>
          <t>500878</t>
        </is>
      </c>
      <c r="I508" s="27">
        <f>IFERROR(IF(INDEX(Stocks!$G$2:$G$2139,MATCH(A508,Stocks!$E$2:$E$2139,0))="","No","Yes"),"No")</f>
        <v/>
      </c>
    </row>
    <row r="509">
      <c r="A509" s="16" t="inlineStr">
        <is>
          <t>INE321T01012</t>
        </is>
      </c>
      <c r="B509" s="16" t="inlineStr">
        <is>
          <t>DOMS</t>
        </is>
      </c>
      <c r="C509" s="16" t="inlineStr">
        <is>
          <t>DOMS Industries Ltd.</t>
        </is>
      </c>
      <c r="D509" s="16" t="inlineStr">
        <is>
          <t>Commodity Printing/Stationery</t>
        </is>
      </c>
      <c r="E509" s="16" t="inlineStr">
        <is>
          <t>Commercial Services &amp; Supplies</t>
        </is>
      </c>
      <c r="F509" s="17" t="n">
        <v>13404.22</v>
      </c>
      <c r="G509" s="16" t="inlineStr">
        <is>
          <t>DOMS</t>
        </is>
      </c>
      <c r="H509" s="16" t="inlineStr">
        <is>
          <t>544045</t>
        </is>
      </c>
      <c r="I509" s="27">
        <f>IFERROR(IF(INDEX(Stocks!$G$2:$G$2139,MATCH(A509,Stocks!$E$2:$E$2139,0))="","No","Yes"),"No")</f>
        <v/>
      </c>
    </row>
    <row r="510">
      <c r="A510" s="16" t="inlineStr">
        <is>
          <t>INE731H01025</t>
        </is>
      </c>
      <c r="B510" s="16" t="inlineStr">
        <is>
          <t>ACE</t>
        </is>
      </c>
      <c r="C510" s="16" t="inlineStr">
        <is>
          <t>Action Construction Equipment Ltd.</t>
        </is>
      </c>
      <c r="D510" s="16" t="inlineStr">
        <is>
          <t>Commercial Vehicles</t>
        </is>
      </c>
      <c r="E510" s="16" t="inlineStr">
        <is>
          <t>Automobiles &amp; Auto Components</t>
        </is>
      </c>
      <c r="F510" s="17" t="n">
        <v>13401.62</v>
      </c>
      <c r="G510" s="16" t="inlineStr">
        <is>
          <t>ACE</t>
        </is>
      </c>
      <c r="H510" s="16" t="inlineStr">
        <is>
          <t>532762</t>
        </is>
      </c>
      <c r="I510" s="27">
        <f>IFERROR(IF(INDEX(Stocks!$G$2:$G$2139,MATCH(A510,Stocks!$E$2:$E$2139,0))="","No","Yes"),"No")</f>
        <v/>
      </c>
    </row>
    <row r="511">
      <c r="A511" s="16" t="inlineStr">
        <is>
          <t>INE869T01028</t>
        </is>
      </c>
      <c r="B511" s="16" t="inlineStr">
        <is>
          <t>MOLBIO</t>
        </is>
      </c>
      <c r="C511" s="16" t="inlineStr">
        <is>
          <t>Molbio Diagnostics Ltd.</t>
        </is>
      </c>
      <c r="D511" s="16" t="inlineStr">
        <is>
          <t>Healthcare Services</t>
        </is>
      </c>
      <c r="E511" s="16" t="inlineStr">
        <is>
          <t>Healthcare</t>
        </is>
      </c>
      <c r="F511" s="17" t="n">
        <v>13373.6</v>
      </c>
      <c r="G511" s="16" t="inlineStr">
        <is>
          <t>MOLBIO</t>
        </is>
      </c>
      <c r="H511" s="16" t="inlineStr">
        <is>
          <t>544866</t>
        </is>
      </c>
      <c r="I511" s="27">
        <f>IFERROR(IF(INDEX(Stocks!$G$2:$G$2139,MATCH(A511,Stocks!$E$2:$E$2139,0))="","No","Yes"),"No")</f>
        <v/>
      </c>
    </row>
    <row r="512">
      <c r="A512" s="16" t="inlineStr">
        <is>
          <t>INE694L01019</t>
        </is>
      </c>
      <c r="B512" s="16" t="inlineStr">
        <is>
          <t>VEDPOWER</t>
        </is>
      </c>
      <c r="C512" s="16" t="inlineStr">
        <is>
          <t>Vedanta Power Ltd.</t>
        </is>
      </c>
      <c r="D512" s="16" t="inlineStr">
        <is>
          <t>Power - Electric Utilities</t>
        </is>
      </c>
      <c r="E512" s="16" t="inlineStr">
        <is>
          <t>Utilities</t>
        </is>
      </c>
      <c r="F512" s="17" t="n">
        <v>13373.53</v>
      </c>
      <c r="G512" s="16" t="inlineStr">
        <is>
          <t>VEDPOWER</t>
        </is>
      </c>
      <c r="H512" s="16" t="inlineStr">
        <is>
          <t>544781</t>
        </is>
      </c>
      <c r="I512" s="27">
        <f>IFERROR(IF(INDEX(Stocks!$G$2:$G$2139,MATCH(A512,Stocks!$E$2:$E$2139,0))="","No","Yes"),"No")</f>
        <v/>
      </c>
    </row>
    <row r="513">
      <c r="A513" s="16" t="inlineStr">
        <is>
          <t>INE872H01027</t>
        </is>
      </c>
      <c r="B513" s="16" t="inlineStr">
        <is>
          <t>LUMAXTECH</t>
        </is>
      </c>
      <c r="C513" s="16" t="inlineStr">
        <is>
          <t>Lumax Auto Technologies Ltd.</t>
        </is>
      </c>
      <c r="D513" s="16" t="inlineStr">
        <is>
          <t>Auto Parts &amp; Equipment</t>
        </is>
      </c>
      <c r="E513" s="16" t="inlineStr">
        <is>
          <t>Automobiles &amp; Auto Components</t>
        </is>
      </c>
      <c r="F513" s="17" t="n">
        <v>13303.7</v>
      </c>
      <c r="G513" s="16" t="inlineStr">
        <is>
          <t>LUMAXTECH</t>
        </is>
      </c>
      <c r="H513" s="16" t="inlineStr">
        <is>
          <t>532796</t>
        </is>
      </c>
      <c r="I513" s="27">
        <f>IFERROR(IF(INDEX(Stocks!$G$2:$G$2139,MATCH(A513,Stocks!$E$2:$E$2139,0))="","No","Yes"),"No")</f>
        <v/>
      </c>
    </row>
    <row r="514">
      <c r="A514" s="16" t="inlineStr">
        <is>
          <t>INE542F01020</t>
        </is>
      </c>
      <c r="B514" s="16" t="inlineStr">
        <is>
          <t>SWANDEF</t>
        </is>
      </c>
      <c r="C514" s="16" t="inlineStr">
        <is>
          <t>Swan Defence and Heavy Industries Ltd.</t>
        </is>
      </c>
      <c r="D514" s="16" t="inlineStr">
        <is>
          <t>Shipping</t>
        </is>
      </c>
      <c r="E514" s="16" t="inlineStr">
        <is>
          <t>Transportation</t>
        </is>
      </c>
      <c r="F514" s="17" t="n">
        <v>13276.97</v>
      </c>
      <c r="G514" s="16" t="inlineStr">
        <is>
          <t>SWANDEF</t>
        </is>
      </c>
      <c r="H514" s="16" t="inlineStr">
        <is>
          <t>533107</t>
        </is>
      </c>
      <c r="I514" s="27">
        <f>IFERROR(IF(INDEX(Stocks!$G$2:$G$2139,MATCH(A514,Stocks!$E$2:$E$2139,0))="","No","Yes"),"No")</f>
        <v/>
      </c>
    </row>
    <row r="515">
      <c r="A515" s="16" t="inlineStr">
        <is>
          <t>INE133E01013</t>
        </is>
      </c>
      <c r="B515" s="16" t="inlineStr">
        <is>
          <t>TI</t>
        </is>
      </c>
      <c r="C515" s="16" t="inlineStr">
        <is>
          <t>Tilaknagar Industries Ltd.</t>
        </is>
      </c>
      <c r="D515" s="16" t="inlineStr">
        <is>
          <t>Breweries &amp; Distilleries</t>
        </is>
      </c>
      <c r="E515" s="16" t="inlineStr">
        <is>
          <t>Food, Beverages &amp; Tobacco</t>
        </is>
      </c>
      <c r="F515" s="17" t="n">
        <v>13242.33</v>
      </c>
      <c r="G515" s="16" t="inlineStr">
        <is>
          <t>TI</t>
        </is>
      </c>
      <c r="H515" s="16" t="inlineStr">
        <is>
          <t>507205</t>
        </is>
      </c>
      <c r="I515" s="27">
        <f>IFERROR(IF(INDEX(Stocks!$G$2:$G$2139,MATCH(A515,Stocks!$E$2:$E$2139,0))="","No","Yes"),"No")</f>
        <v/>
      </c>
    </row>
    <row r="516">
      <c r="A516" s="16" t="inlineStr">
        <is>
          <t>INE12UR01024</t>
        </is>
      </c>
      <c r="B516" s="16" t="inlineStr">
        <is>
          <t>UTLSOLAR</t>
        </is>
      </c>
      <c r="C516" s="16" t="inlineStr">
        <is>
          <t>Fujiyama Power Systems Ltd.</t>
        </is>
      </c>
      <c r="D516" s="16" t="inlineStr">
        <is>
          <t>Other Electrical Equipment/Products</t>
        </is>
      </c>
      <c r="E516" s="16" t="inlineStr">
        <is>
          <t>Consumer Durables</t>
        </is>
      </c>
      <c r="F516" s="17" t="n">
        <v>13189.1</v>
      </c>
      <c r="G516" s="16" t="inlineStr">
        <is>
          <t>UTLSOLAR</t>
        </is>
      </c>
      <c r="H516" s="16" t="inlineStr">
        <is>
          <t>544613</t>
        </is>
      </c>
      <c r="I516" s="27">
        <f>IFERROR(IF(INDEX(Stocks!$G$2:$G$2139,MATCH(A516,Stocks!$E$2:$E$2139,0))="","No","Yes"),"No")</f>
        <v/>
      </c>
    </row>
    <row r="517">
      <c r="A517" s="16" t="inlineStr">
        <is>
          <t>INE959A01019</t>
        </is>
      </c>
      <c r="B517" s="16" t="inlineStr">
        <is>
          <t>PRIVISCL</t>
        </is>
      </c>
      <c r="C517" s="16" t="inlineStr">
        <is>
          <t>Privi Speciality Chemicals Ltd.</t>
        </is>
      </c>
      <c r="D517" s="16" t="inlineStr">
        <is>
          <t>Specialty Chemicals</t>
        </is>
      </c>
      <c r="E517" s="16" t="inlineStr">
        <is>
          <t>Chemicals &amp; Petrochemicals</t>
        </is>
      </c>
      <c r="F517" s="17" t="n">
        <v>13153.58</v>
      </c>
      <c r="G517" s="16" t="inlineStr">
        <is>
          <t>PRIVISCL</t>
        </is>
      </c>
      <c r="H517" s="16" t="inlineStr">
        <is>
          <t>530117</t>
        </is>
      </c>
      <c r="I517" s="27">
        <f>IFERROR(IF(INDEX(Stocks!$G$2:$G$2139,MATCH(A517,Stocks!$E$2:$E$2139,0))="","No","Yes"),"No")</f>
        <v/>
      </c>
    </row>
    <row r="518">
      <c r="A518" s="16" t="inlineStr">
        <is>
          <t>INE852O01025</t>
        </is>
      </c>
      <c r="B518" s="16" t="inlineStr">
        <is>
          <t>APTUS</t>
        </is>
      </c>
      <c r="C518" s="16" t="inlineStr">
        <is>
          <t>Aptus Value Housing Finance India Ltd.</t>
        </is>
      </c>
      <c r="D518" s="16" t="inlineStr">
        <is>
          <t>Housing Finance</t>
        </is>
      </c>
      <c r="E518" s="16" t="inlineStr">
        <is>
          <t>Banking and Finance</t>
        </is>
      </c>
      <c r="F518" s="17" t="n">
        <v>12963.99</v>
      </c>
      <c r="G518" s="16" t="inlineStr">
        <is>
          <t>APTUS</t>
        </is>
      </c>
      <c r="H518" s="16" t="inlineStr">
        <is>
          <t>543335</t>
        </is>
      </c>
      <c r="I518" s="27">
        <f>IFERROR(IF(INDEX(Stocks!$G$2:$G$2139,MATCH(A518,Stocks!$E$2:$E$2139,0))="","No","Yes"),"No")</f>
        <v/>
      </c>
    </row>
    <row r="519">
      <c r="A519" s="16" t="inlineStr">
        <is>
          <t>INE532F01054</t>
        </is>
      </c>
      <c r="B519" s="16" t="inlineStr">
        <is>
          <t>EDELWEISS</t>
        </is>
      </c>
      <c r="C519" s="16" t="inlineStr">
        <is>
          <t>Edelweiss Financial Services Ltd.</t>
        </is>
      </c>
      <c r="D519" s="16" t="inlineStr">
        <is>
          <t>Other Financial Services</t>
        </is>
      </c>
      <c r="E519" s="16" t="inlineStr">
        <is>
          <t>Banking and Finance</t>
        </is>
      </c>
      <c r="F519" s="17" t="n">
        <v>12880.4</v>
      </c>
      <c r="G519" s="16" t="inlineStr">
        <is>
          <t>EDELWEISS</t>
        </is>
      </c>
      <c r="H519" s="16" t="inlineStr">
        <is>
          <t>532922</t>
        </is>
      </c>
      <c r="I519" s="27">
        <f>IFERROR(IF(INDEX(Stocks!$G$2:$G$2139,MATCH(A519,Stocks!$E$2:$E$2139,0))="","No","Yes"),"No")</f>
        <v/>
      </c>
    </row>
    <row r="520">
      <c r="A520" s="16" t="inlineStr">
        <is>
          <t>INE304W01038</t>
        </is>
      </c>
      <c r="B520" s="16" t="inlineStr">
        <is>
          <t>BLUESTONE</t>
        </is>
      </c>
      <c r="C520" s="16" t="inlineStr">
        <is>
          <t>Bluestone Jewellery and Lifestyle Ltd.</t>
        </is>
      </c>
      <c r="D520" s="16" t="inlineStr">
        <is>
          <t>Gems &amp; Jewellery</t>
        </is>
      </c>
      <c r="E520" s="16" t="inlineStr">
        <is>
          <t>Textiles Apparels &amp; Accessories</t>
        </is>
      </c>
      <c r="F520" s="17" t="n">
        <v>12875.42</v>
      </c>
      <c r="G520" s="16" t="inlineStr">
        <is>
          <t>BLUESTONE</t>
        </is>
      </c>
      <c r="H520" s="16" t="inlineStr">
        <is>
          <t>544484</t>
        </is>
      </c>
      <c r="I520" s="27">
        <f>IFERROR(IF(INDEX(Stocks!$G$2:$G$2139,MATCH(A520,Stocks!$E$2:$E$2139,0))="","No","Yes"),"No")</f>
        <v/>
      </c>
    </row>
    <row r="521">
      <c r="A521" s="16" t="inlineStr">
        <is>
          <t>INE614B01018</t>
        </is>
      </c>
      <c r="B521" s="16" t="inlineStr">
        <is>
          <t>KTKBANK</t>
        </is>
      </c>
      <c r="C521" s="16" t="inlineStr">
        <is>
          <t>Karnataka Bank Ltd.</t>
        </is>
      </c>
      <c r="D521" s="16" t="inlineStr">
        <is>
          <t>Banks</t>
        </is>
      </c>
      <c r="E521" s="16" t="inlineStr">
        <is>
          <t>Banking and Finance</t>
        </is>
      </c>
      <c r="F521" s="17" t="n">
        <v>12867.38</v>
      </c>
      <c r="G521" s="16" t="inlineStr">
        <is>
          <t>KTKBANK</t>
        </is>
      </c>
      <c r="H521" s="16" t="inlineStr">
        <is>
          <t>532652</t>
        </is>
      </c>
      <c r="I521" s="27">
        <f>IFERROR(IF(INDEX(Stocks!$G$2:$G$2139,MATCH(A521,Stocks!$E$2:$E$2139,0))="","No","Yes"),"No")</f>
        <v/>
      </c>
    </row>
    <row r="522">
      <c r="A522" s="16" t="inlineStr">
        <is>
          <t>INE066P01011</t>
        </is>
      </c>
      <c r="B522" s="16" t="inlineStr">
        <is>
          <t>INOXWIND</t>
        </is>
      </c>
      <c r="C522" s="16" t="inlineStr">
        <is>
          <t>Inox Wind Ltd.</t>
        </is>
      </c>
      <c r="D522" s="16" t="inlineStr">
        <is>
          <t>Heavy Electrical Equipment</t>
        </is>
      </c>
      <c r="E522" s="16" t="inlineStr">
        <is>
          <t>General Industrials</t>
        </is>
      </c>
      <c r="F522" s="17" t="n">
        <v>12858.09</v>
      </c>
      <c r="G522" s="16" t="inlineStr">
        <is>
          <t>INOXWIND</t>
        </is>
      </c>
      <c r="H522" s="16" t="inlineStr">
        <is>
          <t>539083</t>
        </is>
      </c>
      <c r="I522" s="27">
        <f>IFERROR(IF(INDEX(Stocks!$G$2:$G$2139,MATCH(A522,Stocks!$E$2:$E$2139,0))="","No","Yes"),"No")</f>
        <v/>
      </c>
    </row>
    <row r="523">
      <c r="A523" s="16" t="inlineStr">
        <is>
          <t>INE02ZQ01018</t>
        </is>
      </c>
      <c r="B523" s="16" t="inlineStr">
        <is>
          <t>CORONA</t>
        </is>
      </c>
      <c r="C523" s="16" t="inlineStr">
        <is>
          <t>Corona Remedies Ltd.</t>
        </is>
      </c>
      <c r="D523" s="16" t="inlineStr">
        <is>
          <t>Pharmaceuticals</t>
        </is>
      </c>
      <c r="E523" s="16" t="inlineStr">
        <is>
          <t>Pharmaceuticals &amp; Biotechnology</t>
        </is>
      </c>
      <c r="F523" s="17" t="n">
        <v>12844.23</v>
      </c>
      <c r="G523" s="16" t="inlineStr">
        <is>
          <t>CORONA</t>
        </is>
      </c>
      <c r="H523" s="16" t="inlineStr">
        <is>
          <t>544644</t>
        </is>
      </c>
      <c r="I523" s="27">
        <f>IFERROR(IF(INDEX(Stocks!$G$2:$G$2139,MATCH(A523,Stocks!$E$2:$E$2139,0))="","No","Yes"),"No")</f>
        <v/>
      </c>
    </row>
    <row r="524">
      <c r="A524" s="16" t="inlineStr">
        <is>
          <t>INE824G01012</t>
        </is>
      </c>
      <c r="B524" s="16" t="inlineStr">
        <is>
          <t>JSWHL</t>
        </is>
      </c>
      <c r="C524" s="16" t="inlineStr">
        <is>
          <t>JSW Holdings Ltd.</t>
        </is>
      </c>
      <c r="D524" s="16" t="inlineStr">
        <is>
          <t>Holding Companies</t>
        </is>
      </c>
      <c r="E524" s="16" t="inlineStr">
        <is>
          <t>Diversified</t>
        </is>
      </c>
      <c r="F524" s="17" t="n">
        <v>12733.46</v>
      </c>
      <c r="G524" s="16" t="inlineStr">
        <is>
          <t>JSWHL</t>
        </is>
      </c>
      <c r="H524" s="16" t="inlineStr">
        <is>
          <t>532642</t>
        </is>
      </c>
      <c r="I524" s="27">
        <f>IFERROR(IF(INDEX(Stocks!$G$2:$G$2139,MATCH(A524,Stocks!$E$2:$E$2139,0))="","No","Yes"),"No")</f>
        <v/>
      </c>
    </row>
    <row r="525">
      <c r="A525" s="16" t="inlineStr">
        <is>
          <t>INE399G01023</t>
        </is>
      </c>
      <c r="B525" s="16" t="inlineStr">
        <is>
          <t>RKFORGE</t>
        </is>
      </c>
      <c r="C525" s="16" t="inlineStr">
        <is>
          <t>Ramkrishna Forgings Ltd.</t>
        </is>
      </c>
      <c r="D525" s="16" t="inlineStr">
        <is>
          <t>Castings &amp; Forgings</t>
        </is>
      </c>
      <c r="E525" s="16" t="inlineStr">
        <is>
          <t>General Industrials</t>
        </is>
      </c>
      <c r="F525" s="17" t="n">
        <v>12673.37</v>
      </c>
      <c r="G525" s="16" t="inlineStr">
        <is>
          <t>RKFORGE</t>
        </is>
      </c>
      <c r="H525" s="16" t="inlineStr">
        <is>
          <t>532527</t>
        </is>
      </c>
      <c r="I525" s="27">
        <f>IFERROR(IF(INDEX(Stocks!$G$2:$G$2139,MATCH(A525,Stocks!$E$2:$E$2139,0))="","No","Yes"),"No")</f>
        <v/>
      </c>
    </row>
    <row r="526">
      <c r="A526" s="16" t="inlineStr">
        <is>
          <t>INE481N01025</t>
        </is>
      </c>
      <c r="B526" s="16" t="inlineStr">
        <is>
          <t>HOMEFIRST</t>
        </is>
      </c>
      <c r="C526" s="16" t="inlineStr">
        <is>
          <t>Home First Finance Company India Ltd.</t>
        </is>
      </c>
      <c r="D526" s="16" t="inlineStr">
        <is>
          <t>Housing Finance</t>
        </is>
      </c>
      <c r="E526" s="16" t="inlineStr">
        <is>
          <t>Banking and Finance</t>
        </is>
      </c>
      <c r="F526" s="17" t="n">
        <v>12652.75</v>
      </c>
      <c r="G526" s="16" t="inlineStr">
        <is>
          <t>HOMEFIRST</t>
        </is>
      </c>
      <c r="H526" s="16" t="inlineStr">
        <is>
          <t>543259</t>
        </is>
      </c>
      <c r="I526" s="27">
        <f>IFERROR(IF(INDEX(Stocks!$G$2:$G$2139,MATCH(A526,Stocks!$E$2:$E$2139,0))="","No","Yes"),"No")</f>
        <v/>
      </c>
    </row>
    <row r="527">
      <c r="A527" s="16" t="inlineStr">
        <is>
          <t>INE676A01027</t>
        </is>
      </c>
      <c r="B527" s="16" t="inlineStr">
        <is>
          <t>BBOX</t>
        </is>
      </c>
      <c r="C527" s="16" t="inlineStr">
        <is>
          <t>Black Box Ltd.</t>
        </is>
      </c>
      <c r="D527" s="16" t="inlineStr">
        <is>
          <t>IT Consulting &amp; Software</t>
        </is>
      </c>
      <c r="E527" s="16" t="inlineStr">
        <is>
          <t>Software &amp; Services</t>
        </is>
      </c>
      <c r="F527" s="17" t="n">
        <v>12649.5</v>
      </c>
      <c r="G527" s="16" t="inlineStr">
        <is>
          <t>BBOX</t>
        </is>
      </c>
      <c r="H527" s="16" t="inlineStr">
        <is>
          <t>500463</t>
        </is>
      </c>
      <c r="I527" s="27">
        <f>IFERROR(IF(INDEX(Stocks!$G$2:$G$2139,MATCH(A527,Stocks!$E$2:$E$2139,0))="","No","Yes"),"No")</f>
        <v/>
      </c>
    </row>
    <row r="528">
      <c r="A528" s="16" t="inlineStr">
        <is>
          <t>INE780C01023</t>
        </is>
      </c>
      <c r="B528" s="16" t="inlineStr">
        <is>
          <t>JMFINANCIL</t>
        </is>
      </c>
      <c r="C528" s="16" t="inlineStr">
        <is>
          <t>JM Financial Ltd.</t>
        </is>
      </c>
      <c r="D528" s="16" t="inlineStr">
        <is>
          <t>Holding Companies</t>
        </is>
      </c>
      <c r="E528" s="16" t="inlineStr">
        <is>
          <t>Diversified</t>
        </is>
      </c>
      <c r="F528" s="17" t="n">
        <v>12637.61</v>
      </c>
      <c r="G528" s="16" t="inlineStr">
        <is>
          <t>JMFINANCIL</t>
        </is>
      </c>
      <c r="H528" s="16" t="inlineStr">
        <is>
          <t>523405</t>
        </is>
      </c>
      <c r="I528" s="27">
        <f>IFERROR(IF(INDEX(Stocks!$G$2:$G$2139,MATCH(A528,Stocks!$E$2:$E$2139,0))="","No","Yes"),"No")</f>
        <v/>
      </c>
    </row>
    <row r="529">
      <c r="A529" s="16" t="inlineStr">
        <is>
          <t>INE665L01035</t>
        </is>
      </c>
      <c r="B529" s="16" t="inlineStr">
        <is>
          <t>VARROC</t>
        </is>
      </c>
      <c r="C529" s="16" t="inlineStr">
        <is>
          <t>Varroc Engineering Ltd.</t>
        </is>
      </c>
      <c r="D529" s="16" t="inlineStr">
        <is>
          <t>Auto Parts &amp; Equipment</t>
        </is>
      </c>
      <c r="E529" s="16" t="inlineStr">
        <is>
          <t>Automobiles &amp; Auto Components</t>
        </is>
      </c>
      <c r="F529" s="17" t="n">
        <v>12625.5</v>
      </c>
      <c r="G529" s="16" t="inlineStr">
        <is>
          <t>VARROC</t>
        </is>
      </c>
      <c r="H529" s="16" t="inlineStr">
        <is>
          <t>541578</t>
        </is>
      </c>
      <c r="I529" s="27">
        <f>IFERROR(IF(INDEX(Stocks!$G$2:$G$2139,MATCH(A529,Stocks!$E$2:$E$2139,0))="","No","Yes"),"No")</f>
        <v/>
      </c>
    </row>
    <row r="530">
      <c r="A530" s="16" t="inlineStr">
        <is>
          <t>INE00VM01036</t>
        </is>
      </c>
      <c r="B530" s="16" t="inlineStr">
        <is>
          <t>MANORAMA</t>
        </is>
      </c>
      <c r="C530" s="16" t="inlineStr">
        <is>
          <t>Manorama Industries Ltd.</t>
        </is>
      </c>
      <c r="D530" s="16" t="inlineStr">
        <is>
          <t>Other Food &amp; Beverages</t>
        </is>
      </c>
      <c r="E530" s="16" t="inlineStr">
        <is>
          <t>Food, Beverages &amp; Tobacco</t>
        </is>
      </c>
      <c r="F530" s="17" t="n">
        <v>12582.82</v>
      </c>
      <c r="G530" s="16" t="inlineStr">
        <is>
          <t>MANORAMA</t>
        </is>
      </c>
      <c r="H530" s="16" t="inlineStr">
        <is>
          <t>541974</t>
        </is>
      </c>
      <c r="I530" s="27">
        <f>IFERROR(IF(INDEX(Stocks!$G$2:$G$2139,MATCH(A530,Stocks!$E$2:$E$2139,0))="","No","Yes"),"No")</f>
        <v/>
      </c>
    </row>
    <row r="531">
      <c r="A531" s="16" t="inlineStr">
        <is>
          <t>INE118D01016</t>
        </is>
      </c>
      <c r="B531" s="16" t="inlineStr">
        <is>
          <t>NUVOCO</t>
        </is>
      </c>
      <c r="C531" s="16" t="inlineStr">
        <is>
          <t>Nuvoco Vistas Corporation Ltd.</t>
        </is>
      </c>
      <c r="D531" s="16" t="inlineStr">
        <is>
          <t>Cement &amp; Cement Products</t>
        </is>
      </c>
      <c r="E531" s="16" t="inlineStr">
        <is>
          <t>Cement and Construction</t>
        </is>
      </c>
      <c r="F531" s="17" t="n">
        <v>12577.26</v>
      </c>
      <c r="G531" s="16" t="inlineStr">
        <is>
          <t>NUVOCO</t>
        </is>
      </c>
      <c r="H531" s="16" t="inlineStr">
        <is>
          <t>543334</t>
        </is>
      </c>
      <c r="I531" s="27">
        <f>IFERROR(IF(INDEX(Stocks!$G$2:$G$2139,MATCH(A531,Stocks!$E$2:$E$2139,0))="","No","Yes"),"No")</f>
        <v/>
      </c>
    </row>
    <row r="532">
      <c r="A532" s="16" t="inlineStr">
        <is>
          <t>INE551W01018</t>
        </is>
      </c>
      <c r="B532" s="16" t="inlineStr">
        <is>
          <t>UJJIVANSFB</t>
        </is>
      </c>
      <c r="C532" s="16" t="inlineStr">
        <is>
          <t>Ujjivan Small Finance Bank Ltd.</t>
        </is>
      </c>
      <c r="D532" s="16" t="inlineStr">
        <is>
          <t>Microfinance Institutions</t>
        </is>
      </c>
      <c r="E532" s="16" t="inlineStr">
        <is>
          <t>Banking and Finance</t>
        </is>
      </c>
      <c r="F532" s="17" t="n">
        <v>12554.45</v>
      </c>
      <c r="G532" s="16" t="inlineStr">
        <is>
          <t>UJJIVANSFB</t>
        </is>
      </c>
      <c r="H532" s="16" t="inlineStr">
        <is>
          <t>542904</t>
        </is>
      </c>
      <c r="I532" s="27">
        <f>IFERROR(IF(INDEX(Stocks!$G$2:$G$2139,MATCH(A532,Stocks!$E$2:$E$2139,0))="","No","Yes"),"No")</f>
        <v/>
      </c>
    </row>
    <row r="533">
      <c r="A533" s="16" t="inlineStr">
        <is>
          <t>INE956G01038</t>
        </is>
      </c>
      <c r="B533" s="16" t="inlineStr">
        <is>
          <t>WABAG</t>
        </is>
      </c>
      <c r="C533" s="16" t="inlineStr">
        <is>
          <t>Va Tech Wabag Ltd.</t>
        </is>
      </c>
      <c r="D533" s="16" t="inlineStr">
        <is>
          <t>Utilities:Non-Electrical</t>
        </is>
      </c>
      <c r="E533" s="16" t="inlineStr">
        <is>
          <t>Utilities</t>
        </is>
      </c>
      <c r="F533" s="17" t="n">
        <v>12528.75</v>
      </c>
      <c r="G533" s="16" t="inlineStr">
        <is>
          <t>WABAG</t>
        </is>
      </c>
      <c r="H533" s="16" t="inlineStr">
        <is>
          <t>533269</t>
        </is>
      </c>
      <c r="I533" s="27">
        <f>IFERROR(IF(INDEX(Stocks!$G$2:$G$2139,MATCH(A533,Stocks!$E$2:$E$2139,0))="","No","Yes"),"No")</f>
        <v/>
      </c>
    </row>
    <row r="534">
      <c r="A534" s="16" t="inlineStr">
        <is>
          <t>INE602A01031</t>
        </is>
      </c>
      <c r="B534" s="16" t="inlineStr">
        <is>
          <t>PCBL</t>
        </is>
      </c>
      <c r="C534" s="16" t="inlineStr">
        <is>
          <t>PCBL Chemical Ltd.</t>
        </is>
      </c>
      <c r="D534" s="16" t="inlineStr">
        <is>
          <t>Refineries/Petro-Products</t>
        </is>
      </c>
      <c r="E534" s="16" t="inlineStr">
        <is>
          <t>Oil &amp; Gas</t>
        </is>
      </c>
      <c r="F534" s="17" t="n">
        <v>12472.76</v>
      </c>
      <c r="G534" s="16" t="inlineStr">
        <is>
          <t>PCBL</t>
        </is>
      </c>
      <c r="H534" s="16" t="inlineStr">
        <is>
          <t>506590</t>
        </is>
      </c>
      <c r="I534" s="27">
        <f>IFERROR(IF(INDEX(Stocks!$G$2:$G$2139,MATCH(A534,Stocks!$E$2:$E$2139,0))="","No","Yes"),"No")</f>
        <v/>
      </c>
    </row>
    <row r="535">
      <c r="A535" s="16" t="inlineStr">
        <is>
          <t>INE00XB01019</t>
        </is>
      </c>
      <c r="B535" s="16" t="inlineStr">
        <is>
          <t>SEDEMAC</t>
        </is>
      </c>
      <c r="C535" s="16" t="inlineStr">
        <is>
          <t>SEDEMAC Mechatronics Ltd.</t>
        </is>
      </c>
      <c r="D535" s="16" t="inlineStr">
        <is>
          <t>Auto Parts &amp; Equipment</t>
        </is>
      </c>
      <c r="E535" s="16" t="inlineStr">
        <is>
          <t>Automobiles &amp; Auto Components</t>
        </is>
      </c>
      <c r="F535" s="17" t="n">
        <v>12431.35</v>
      </c>
      <c r="G535" s="16" t="inlineStr">
        <is>
          <t>SEDEMAC</t>
        </is>
      </c>
      <c r="H535" s="16" t="inlineStr">
        <is>
          <t>544723</t>
        </is>
      </c>
      <c r="I535" s="27">
        <f>IFERROR(IF(INDEX(Stocks!$G$2:$G$2139,MATCH(A535,Stocks!$E$2:$E$2139,0))="","No","Yes"),"No")</f>
        <v/>
      </c>
    </row>
    <row r="536">
      <c r="A536" s="16" t="inlineStr">
        <is>
          <t>INE850D01014</t>
        </is>
      </c>
      <c r="B536" s="16" t="inlineStr">
        <is>
          <t>GODREJAGRO</t>
        </is>
      </c>
      <c r="C536" s="16" t="inlineStr">
        <is>
          <t>Godrej Agrovet Ltd.</t>
        </is>
      </c>
      <c r="D536" s="16" t="inlineStr">
        <is>
          <t>Other Agricultural Products</t>
        </is>
      </c>
      <c r="E536" s="16" t="inlineStr">
        <is>
          <t>Food, Beverages &amp; Tobacco</t>
        </is>
      </c>
      <c r="F536" s="17" t="n">
        <v>12407.65</v>
      </c>
      <c r="G536" s="16" t="inlineStr">
        <is>
          <t>GODREJAGRO</t>
        </is>
      </c>
      <c r="H536" s="16" t="inlineStr">
        <is>
          <t>540743</t>
        </is>
      </c>
      <c r="I536" s="27">
        <f>IFERROR(IF(INDEX(Stocks!$G$2:$G$2139,MATCH(A536,Stocks!$E$2:$E$2139,0))="","No","Yes"),"No")</f>
        <v/>
      </c>
    </row>
    <row r="537">
      <c r="A537" s="16" t="inlineStr">
        <is>
          <t>INE683A01023</t>
        </is>
      </c>
      <c r="B537" s="16" t="inlineStr">
        <is>
          <t>SOUTHBANK</t>
        </is>
      </c>
      <c r="C537" s="16" t="inlineStr">
        <is>
          <t>South Indian Bank Ltd.</t>
        </is>
      </c>
      <c r="D537" s="16" t="inlineStr">
        <is>
          <t>Banks</t>
        </is>
      </c>
      <c r="E537" s="16" t="inlineStr">
        <is>
          <t>Banking and Finance</t>
        </is>
      </c>
      <c r="F537" s="17" t="n">
        <v>12386.67</v>
      </c>
      <c r="G537" s="16" t="inlineStr">
        <is>
          <t>SOUTHBANK</t>
        </is>
      </c>
      <c r="H537" s="16" t="inlineStr">
        <is>
          <t>532218</t>
        </is>
      </c>
      <c r="I537" s="27">
        <f>IFERROR(IF(INDEX(Stocks!$G$2:$G$2139,MATCH(A537,Stocks!$E$2:$E$2139,0))="","No","Yes"),"No")</f>
        <v/>
      </c>
    </row>
    <row r="538">
      <c r="A538" s="16" t="inlineStr">
        <is>
          <t>INE255Z01027</t>
        </is>
      </c>
      <c r="B538" s="16" t="inlineStr">
        <is>
          <t>E2E</t>
        </is>
      </c>
      <c r="C538" s="16" t="inlineStr">
        <is>
          <t>E2E Networks Ltd.</t>
        </is>
      </c>
      <c r="D538" s="16" t="inlineStr">
        <is>
          <t>Internet Software &amp; Services</t>
        </is>
      </c>
      <c r="E538" s="16" t="inlineStr">
        <is>
          <t>Software &amp; Services</t>
        </is>
      </c>
      <c r="F538" s="17" t="n">
        <v>12365.76</v>
      </c>
      <c r="G538" s="16" t="inlineStr">
        <is>
          <t>E2E</t>
        </is>
      </c>
      <c r="H538" s="16" t="inlineStr">
        <is>
          <t>544783</t>
        </is>
      </c>
      <c r="I538" s="27">
        <f>IFERROR(IF(INDEX(Stocks!$G$2:$G$2139,MATCH(A538,Stocks!$E$2:$E$2139,0))="","No","Yes"),"No")</f>
        <v/>
      </c>
    </row>
    <row r="539">
      <c r="A539" s="16" t="inlineStr">
        <is>
          <t>INE119201023</t>
        </is>
      </c>
      <c r="B539" s="16" t="inlineStr">
        <is>
          <t>PARKHOSPS</t>
        </is>
      </c>
      <c r="C539" s="16" t="inlineStr">
        <is>
          <t>Park Medi World Ltd.</t>
        </is>
      </c>
      <c r="D539" s="16" t="inlineStr">
        <is>
          <t>Healthcare Facilities</t>
        </is>
      </c>
      <c r="E539" s="16" t="inlineStr">
        <is>
          <t>Healthcare</t>
        </is>
      </c>
      <c r="F539" s="17" t="n">
        <v>12364.02</v>
      </c>
      <c r="G539" s="16" t="inlineStr">
        <is>
          <t>PARKHOSPS</t>
        </is>
      </c>
      <c r="H539" s="16" t="inlineStr">
        <is>
          <t>544645</t>
        </is>
      </c>
      <c r="I539" s="27">
        <f>IFERROR(IF(INDEX(Stocks!$G$2:$G$2139,MATCH(A539,Stocks!$E$2:$E$2139,0))="","No","Yes"),"No")</f>
        <v/>
      </c>
    </row>
    <row r="540">
      <c r="A540" s="16" t="inlineStr">
        <is>
          <t>INE064C01022</t>
        </is>
      </c>
      <c r="B540" s="16" t="inlineStr">
        <is>
          <t>TRIDENT</t>
        </is>
      </c>
      <c r="C540" s="16" t="inlineStr">
        <is>
          <t>Trident Ltd.</t>
        </is>
      </c>
      <c r="D540" s="16" t="inlineStr">
        <is>
          <t>Textiles</t>
        </is>
      </c>
      <c r="E540" s="16" t="inlineStr">
        <is>
          <t>Textiles Apparels &amp; Accessories</t>
        </is>
      </c>
      <c r="F540" s="17" t="n">
        <v>12311.83</v>
      </c>
      <c r="G540" s="16" t="inlineStr">
        <is>
          <t>TRIDENT</t>
        </is>
      </c>
      <c r="H540" s="16" t="inlineStr">
        <is>
          <t>521064</t>
        </is>
      </c>
      <c r="I540" s="27">
        <f>IFERROR(IF(INDEX(Stocks!$G$2:$G$2139,MATCH(A540,Stocks!$E$2:$E$2139,0))="","No","Yes"),"No")</f>
        <v/>
      </c>
    </row>
    <row r="541">
      <c r="A541" s="16" t="inlineStr">
        <is>
          <t>INE024L01027</t>
        </is>
      </c>
      <c r="B541" s="16" t="inlineStr">
        <is>
          <t>GRAVITA</t>
        </is>
      </c>
      <c r="C541" s="16" t="inlineStr">
        <is>
          <t>Gravita India Ltd.</t>
        </is>
      </c>
      <c r="D541" s="16" t="inlineStr">
        <is>
          <t>Other Non-Ferrous Metals</t>
        </is>
      </c>
      <c r="E541" s="16" t="inlineStr">
        <is>
          <t>Metals &amp; Mining</t>
        </is>
      </c>
      <c r="F541" s="17" t="n">
        <v>12264.02</v>
      </c>
      <c r="G541" s="16" t="inlineStr">
        <is>
          <t>GRAVITA</t>
        </is>
      </c>
      <c r="H541" s="16" t="inlineStr">
        <is>
          <t>533282</t>
        </is>
      </c>
      <c r="I541" s="27">
        <f>IFERROR(IF(INDEX(Stocks!$G$2:$G$2139,MATCH(A541,Stocks!$E$2:$E$2139,0))="","No","Yes"),"No")</f>
        <v/>
      </c>
    </row>
    <row r="542">
      <c r="A542" s="16" t="inlineStr">
        <is>
          <t>INE136B01020</t>
        </is>
      </c>
      <c r="B542" s="16" t="inlineStr">
        <is>
          <t>CYIENT</t>
        </is>
      </c>
      <c r="C542" s="16" t="inlineStr">
        <is>
          <t>Cyient Ltd.</t>
        </is>
      </c>
      <c r="D542" s="16" t="inlineStr">
        <is>
          <t>IT Consulting &amp; Software</t>
        </is>
      </c>
      <c r="E542" s="16" t="inlineStr">
        <is>
          <t>Software &amp; Services</t>
        </is>
      </c>
      <c r="F542" s="17" t="n">
        <v>12242.55</v>
      </c>
      <c r="G542" s="16" t="inlineStr">
        <is>
          <t>CYIENT</t>
        </is>
      </c>
      <c r="H542" s="16" t="inlineStr">
        <is>
          <t>532175</t>
        </is>
      </c>
      <c r="I542" s="27">
        <f>IFERROR(IF(INDEX(Stocks!$G$2:$G$2139,MATCH(A542,Stocks!$E$2:$E$2139,0))="","No","Yes"),"No")</f>
        <v/>
      </c>
    </row>
    <row r="543">
      <c r="A543" s="16" t="inlineStr">
        <is>
          <t>INE112L01020</t>
        </is>
      </c>
      <c r="B543" s="16" t="inlineStr">
        <is>
          <t>METROPOLIS</t>
        </is>
      </c>
      <c r="C543" s="16" t="inlineStr">
        <is>
          <t>Metropolis Healthcare Ltd.</t>
        </is>
      </c>
      <c r="D543" s="16" t="inlineStr">
        <is>
          <t>Healthcare Services</t>
        </is>
      </c>
      <c r="E543" s="16" t="inlineStr">
        <is>
          <t>Healthcare</t>
        </is>
      </c>
      <c r="F543" s="17" t="n">
        <v>12208.91</v>
      </c>
      <c r="G543" s="16" t="inlineStr">
        <is>
          <t>METROPOLIS</t>
        </is>
      </c>
      <c r="H543" s="16" t="inlineStr">
        <is>
          <t>542650</t>
        </is>
      </c>
      <c r="I543" s="27">
        <f>IFERROR(IF(INDEX(Stocks!$G$2:$G$2139,MATCH(A543,Stocks!$E$2:$E$2139,0))="","No","Yes"),"No")</f>
        <v/>
      </c>
    </row>
    <row r="544">
      <c r="A544" s="16" t="inlineStr">
        <is>
          <t>INE491J01022</t>
        </is>
      </c>
      <c r="B544" s="16" t="inlineStr">
        <is>
          <t>ASKAUTOLTD</t>
        </is>
      </c>
      <c r="C544" s="16" t="inlineStr">
        <is>
          <t>ASK Automotive Ltd.</t>
        </is>
      </c>
      <c r="D544" s="16" t="inlineStr">
        <is>
          <t>Auto Parts &amp; Equipment</t>
        </is>
      </c>
      <c r="E544" s="16" t="inlineStr">
        <is>
          <t>Automobiles &amp; Auto Components</t>
        </is>
      </c>
      <c r="F544" s="17" t="n">
        <v>12200.17</v>
      </c>
      <c r="G544" s="16" t="inlineStr">
        <is>
          <t>ASKAUTOLTD</t>
        </is>
      </c>
      <c r="H544" s="16" t="inlineStr">
        <is>
          <t>544022</t>
        </is>
      </c>
      <c r="I544" s="27">
        <f>IFERROR(IF(INDEX(Stocks!$G$2:$G$2139,MATCH(A544,Stocks!$E$2:$E$2139,0))="","No","Yes"),"No")</f>
        <v/>
      </c>
    </row>
    <row r="545">
      <c r="A545" s="16" t="inlineStr">
        <is>
          <t>INE121R01077</t>
        </is>
      </c>
      <c r="B545" s="16" t="inlineStr">
        <is>
          <t>AMAGI</t>
        </is>
      </c>
      <c r="C545" s="16" t="inlineStr">
        <is>
          <t>Amagi Media Labs Ltd.</t>
        </is>
      </c>
      <c r="D545" s="16" t="inlineStr">
        <is>
          <t>Internet Software &amp; Services</t>
        </is>
      </c>
      <c r="E545" s="16" t="inlineStr">
        <is>
          <t>Software &amp; Services</t>
        </is>
      </c>
      <c r="F545" s="17" t="n">
        <v>12186.37</v>
      </c>
      <c r="G545" s="16" t="inlineStr">
        <is>
          <t>AMAGI</t>
        </is>
      </c>
      <c r="H545" s="16" t="inlineStr">
        <is>
          <t>544679</t>
        </is>
      </c>
      <c r="I545" s="27">
        <f>IFERROR(IF(INDEX(Stocks!$G$2:$G$2139,MATCH(A545,Stocks!$E$2:$E$2139,0))="","No","Yes"),"No")</f>
        <v/>
      </c>
    </row>
    <row r="546">
      <c r="A546" s="16" t="inlineStr">
        <is>
          <t>INE093R01011</t>
        </is>
      </c>
      <c r="B546" s="16" t="inlineStr">
        <is>
          <t>LLOYDSENGG</t>
        </is>
      </c>
      <c r="C546" s="16" t="inlineStr">
        <is>
          <t>Lloyds Engineering Works Ltd.</t>
        </is>
      </c>
      <c r="D546" s="16" t="inlineStr">
        <is>
          <t>Industrial Machinery</t>
        </is>
      </c>
      <c r="E546" s="16" t="inlineStr">
        <is>
          <t>General Industrials</t>
        </is>
      </c>
      <c r="F546" s="17" t="n">
        <v>12123.39</v>
      </c>
      <c r="G546" s="16" t="inlineStr">
        <is>
          <t>LLOYDSENGG</t>
        </is>
      </c>
      <c r="H546" s="16" t="inlineStr">
        <is>
          <t>539992</t>
        </is>
      </c>
      <c r="I546" s="27">
        <f>IFERROR(IF(INDEX(Stocks!$G$2:$G$2139,MATCH(A546,Stocks!$E$2:$E$2139,0))="","No","Yes"),"No")</f>
        <v/>
      </c>
    </row>
    <row r="547">
      <c r="A547" s="16" t="inlineStr">
        <is>
          <t>INE01IU01018</t>
        </is>
      </c>
      <c r="B547" s="16" t="inlineStr">
        <is>
          <t>SKYGOLD</t>
        </is>
      </c>
      <c r="C547" s="16" t="inlineStr">
        <is>
          <t>Sky Gold and Diamonds Ltd.</t>
        </is>
      </c>
      <c r="D547" s="16" t="inlineStr">
        <is>
          <t>Gems &amp; Jewellery</t>
        </is>
      </c>
      <c r="E547" s="16" t="inlineStr">
        <is>
          <t>Textiles Apparels &amp; Accessories</t>
        </is>
      </c>
      <c r="F547" s="17" t="n">
        <v>12102.62</v>
      </c>
      <c r="G547" s="16" t="inlineStr">
        <is>
          <t>SKYGOLD</t>
        </is>
      </c>
      <c r="H547" s="16" t="inlineStr">
        <is>
          <t>541967</t>
        </is>
      </c>
      <c r="I547" s="27">
        <f>IFERROR(IF(INDEX(Stocks!$G$2:$G$2139,MATCH(A547,Stocks!$E$2:$E$2139,0))="","No","Yes"),"No")</f>
        <v/>
      </c>
    </row>
    <row r="548">
      <c r="A548" s="16" t="inlineStr">
        <is>
          <t>INE09XN01023</t>
        </is>
      </c>
      <c r="B548" s="16" t="inlineStr">
        <is>
          <t>AKUMS</t>
        </is>
      </c>
      <c r="C548" s="16" t="inlineStr">
        <is>
          <t>Akums Drugs &amp; Pharmaceuticals Ltd.</t>
        </is>
      </c>
      <c r="D548" s="16" t="inlineStr">
        <is>
          <t>Pharmaceuticals</t>
        </is>
      </c>
      <c r="E548" s="16" t="inlineStr">
        <is>
          <t>Pharmaceuticals &amp; Biotechnology</t>
        </is>
      </c>
      <c r="F548" s="17" t="n">
        <v>12052.45</v>
      </c>
      <c r="G548" s="16" t="inlineStr">
        <is>
          <t>AKUMS</t>
        </is>
      </c>
      <c r="H548" s="16" t="inlineStr">
        <is>
          <t>544222</t>
        </is>
      </c>
      <c r="I548" s="27">
        <f>IFERROR(IF(INDEX(Stocks!$G$2:$G$2139,MATCH(A548,Stocks!$E$2:$E$2139,0))="","No","Yes"),"No")</f>
        <v/>
      </c>
    </row>
    <row r="549">
      <c r="A549" s="16" t="inlineStr">
        <is>
          <t>INE191H01014</t>
        </is>
      </c>
      <c r="B549" s="16" t="inlineStr">
        <is>
          <t>PVRINOX</t>
        </is>
      </c>
      <c r="C549" s="16" t="inlineStr">
        <is>
          <t>PVR INOX Ltd.</t>
        </is>
      </c>
      <c r="D549" s="16" t="inlineStr">
        <is>
          <t>Movies &amp; Entertainment</t>
        </is>
      </c>
      <c r="E549" s="16" t="inlineStr">
        <is>
          <t>Media</t>
        </is>
      </c>
      <c r="F549" s="17" t="n">
        <v>12051.1</v>
      </c>
      <c r="G549" s="16" t="inlineStr">
        <is>
          <t>PVRINOX</t>
        </is>
      </c>
      <c r="H549" s="16" t="inlineStr">
        <is>
          <t>532689</t>
        </is>
      </c>
      <c r="I549" s="27">
        <f>IFERROR(IF(INDEX(Stocks!$G$2:$G$2139,MATCH(A549,Stocks!$E$2:$E$2139,0))="","No","Yes"),"No")</f>
        <v/>
      </c>
    </row>
    <row r="550">
      <c r="A550" s="16" t="inlineStr">
        <is>
          <t>INE233B01017</t>
        </is>
      </c>
      <c r="B550" s="16" t="inlineStr">
        <is>
          <t>BLUEDART</t>
        </is>
      </c>
      <c r="C550" s="16" t="inlineStr">
        <is>
          <t>Blue Dart Express Ltd.</t>
        </is>
      </c>
      <c r="D550" s="16" t="inlineStr">
        <is>
          <t>Warehousing &amp; Logistics</t>
        </is>
      </c>
      <c r="E550" s="16" t="inlineStr">
        <is>
          <t>Transportation</t>
        </is>
      </c>
      <c r="F550" s="17" t="n">
        <v>11844.26</v>
      </c>
      <c r="G550" s="16" t="inlineStr">
        <is>
          <t>BLUEDART</t>
        </is>
      </c>
      <c r="H550" s="16" t="inlineStr">
        <is>
          <t>526612</t>
        </is>
      </c>
      <c r="I550" s="27">
        <f>IFERROR(IF(INDEX(Stocks!$G$2:$G$2139,MATCH(A550,Stocks!$E$2:$E$2139,0))="","No","Yes"),"No")</f>
        <v/>
      </c>
    </row>
    <row r="551">
      <c r="A551" s="16" t="inlineStr">
        <is>
          <t>INE615H01020</t>
        </is>
      </c>
      <c r="B551" s="16" t="inlineStr">
        <is>
          <t>TITAGARH</t>
        </is>
      </c>
      <c r="C551" s="16" t="inlineStr">
        <is>
          <t>Titagarh Rail Systems Ltd.</t>
        </is>
      </c>
      <c r="D551" s="16" t="inlineStr">
        <is>
          <t>Commercial Vehicles</t>
        </is>
      </c>
      <c r="E551" s="16" t="inlineStr">
        <is>
          <t>Automobiles &amp; Auto Components</t>
        </is>
      </c>
      <c r="F551" s="17" t="n">
        <v>11741.54</v>
      </c>
      <c r="G551" s="16" t="inlineStr">
        <is>
          <t>TITAGARH</t>
        </is>
      </c>
      <c r="H551" s="16" t="inlineStr">
        <is>
          <t>532966</t>
        </is>
      </c>
      <c r="I551" s="27">
        <f>IFERROR(IF(INDEX(Stocks!$G$2:$G$2139,MATCH(A551,Stocks!$E$2:$E$2139,0))="","No","Yes"),"No")</f>
        <v/>
      </c>
    </row>
    <row r="552">
      <c r="A552" s="16" t="inlineStr">
        <is>
          <t>INE807F01027</t>
        </is>
      </c>
      <c r="B552" s="16" t="inlineStr">
        <is>
          <t>VIYASH</t>
        </is>
      </c>
      <c r="C552" s="16" t="inlineStr">
        <is>
          <t>Viyash Scientific Ltd.</t>
        </is>
      </c>
      <c r="D552" s="16" t="inlineStr">
        <is>
          <t>Pharmaceuticals</t>
        </is>
      </c>
      <c r="E552" s="16" t="inlineStr">
        <is>
          <t>Pharmaceuticals &amp; Biotechnology</t>
        </is>
      </c>
      <c r="F552" s="17" t="n">
        <v>11694.94</v>
      </c>
      <c r="G552" s="16" t="inlineStr">
        <is>
          <t>VIYASH</t>
        </is>
      </c>
      <c r="H552" s="16" t="inlineStr">
        <is>
          <t>512529</t>
        </is>
      </c>
      <c r="I552" s="27">
        <f>IFERROR(IF(INDEX(Stocks!$G$2:$G$2139,MATCH(A552,Stocks!$E$2:$E$2139,0))="","No","Yes"),"No")</f>
        <v/>
      </c>
    </row>
    <row r="553">
      <c r="A553" s="16" t="inlineStr">
        <is>
          <t>INE011K01018</t>
        </is>
      </c>
      <c r="B553" s="16" t="inlineStr">
        <is>
          <t>TEGA</t>
        </is>
      </c>
      <c r="C553" s="16" t="inlineStr">
        <is>
          <t>Tega Industries Ltd.</t>
        </is>
      </c>
      <c r="D553" s="16" t="inlineStr">
        <is>
          <t>Coal &amp; Mining</t>
        </is>
      </c>
      <c r="E553" s="16" t="inlineStr">
        <is>
          <t>Metals &amp; Mining</t>
        </is>
      </c>
      <c r="F553" s="17" t="n">
        <v>11629.77</v>
      </c>
      <c r="G553" s="16" t="inlineStr">
        <is>
          <t>TEGA</t>
        </is>
      </c>
      <c r="H553" s="16" t="inlineStr">
        <is>
          <t>543413</t>
        </is>
      </c>
      <c r="I553" s="27">
        <f>IFERROR(IF(INDEX(Stocks!$G$2:$G$2139,MATCH(A553,Stocks!$E$2:$E$2139,0))="","No","Yes"),"No")</f>
        <v/>
      </c>
    </row>
    <row r="554">
      <c r="A554" s="16" t="inlineStr">
        <is>
          <t>INE0SII01026</t>
        </is>
      </c>
      <c r="B554" s="16" t="inlineStr">
        <is>
          <t>QPOWER</t>
        </is>
      </c>
      <c r="C554" s="16" t="inlineStr">
        <is>
          <t>Quality Power Electrical Equipments Ltd.</t>
        </is>
      </c>
      <c r="D554" s="16" t="inlineStr">
        <is>
          <t>Heavy Electrical Equipment</t>
        </is>
      </c>
      <c r="E554" s="16" t="inlineStr">
        <is>
          <t>General Industrials</t>
        </is>
      </c>
      <c r="F554" s="17" t="n">
        <v>11580.22</v>
      </c>
      <c r="G554" s="16" t="inlineStr">
        <is>
          <t>QPOWER</t>
        </is>
      </c>
      <c r="H554" s="16" t="inlineStr">
        <is>
          <t>544367</t>
        </is>
      </c>
      <c r="I554" s="27">
        <f>IFERROR(IF(INDEX(Stocks!$G$2:$G$2139,MATCH(A554,Stocks!$E$2:$E$2139,0))="","No","Yes"),"No")</f>
        <v/>
      </c>
    </row>
    <row r="555">
      <c r="A555" s="16" t="inlineStr">
        <is>
          <t>INE785M01021</t>
        </is>
      </c>
      <c r="B555" s="16" t="inlineStr">
        <is>
          <t>PCJEWELLER</t>
        </is>
      </c>
      <c r="C555" s="16" t="inlineStr">
        <is>
          <t>PC Jeweller Ltd.</t>
        </is>
      </c>
      <c r="D555" s="16" t="inlineStr">
        <is>
          <t>Gems &amp; Jewellery</t>
        </is>
      </c>
      <c r="E555" s="16" t="inlineStr">
        <is>
          <t>Textiles Apparels &amp; Accessories</t>
        </is>
      </c>
      <c r="F555" s="17" t="n">
        <v>11566.03</v>
      </c>
      <c r="G555" s="16" t="inlineStr">
        <is>
          <t>PCJEWELLER</t>
        </is>
      </c>
      <c r="H555" s="16" t="inlineStr">
        <is>
          <t>534809</t>
        </is>
      </c>
      <c r="I555" s="27">
        <f>IFERROR(IF(INDEX(Stocks!$G$2:$G$2139,MATCH(A555,Stocks!$E$2:$E$2139,0))="","No","Yes"),"No")</f>
        <v/>
      </c>
    </row>
    <row r="556">
      <c r="A556" s="16" t="inlineStr">
        <is>
          <t>INE540H01012</t>
        </is>
      </c>
      <c r="B556" s="16" t="inlineStr">
        <is>
          <t>VOLTAMP</t>
        </is>
      </c>
      <c r="C556" s="16" t="inlineStr">
        <is>
          <t>Voltamp Transformers Ltd.</t>
        </is>
      </c>
      <c r="D556" s="16" t="inlineStr">
        <is>
          <t>Heavy Electrical Equipment</t>
        </is>
      </c>
      <c r="E556" s="16" t="inlineStr">
        <is>
          <t>General Industrials</t>
        </is>
      </c>
      <c r="F556" s="17" t="n">
        <v>11551.7</v>
      </c>
      <c r="G556" s="16" t="inlineStr">
        <is>
          <t>VOLTAMP</t>
        </is>
      </c>
      <c r="H556" s="16" t="inlineStr">
        <is>
          <t>532757</t>
        </is>
      </c>
      <c r="I556" s="27">
        <f>IFERROR(IF(INDEX(Stocks!$G$2:$G$2139,MATCH(A556,Stocks!$E$2:$E$2139,0))="","No","Yes"),"No")</f>
        <v/>
      </c>
    </row>
    <row r="557">
      <c r="A557" s="16" t="inlineStr">
        <is>
          <t>INE713N01013</t>
        </is>
      </c>
      <c r="B557" s="16" t="inlineStr">
        <is>
          <t>RRP</t>
        </is>
      </c>
      <c r="C557" s="16" t="inlineStr">
        <is>
          <t>RRP Semiconductor Ltd.</t>
        </is>
      </c>
      <c r="D557" s="16" t="inlineStr">
        <is>
          <t>Other Financial Services</t>
        </is>
      </c>
      <c r="E557" s="16" t="inlineStr">
        <is>
          <t>Banking and Finance</t>
        </is>
      </c>
      <c r="F557" s="17" t="n">
        <v>11409.08</v>
      </c>
      <c r="G557" s="16" t="inlineStr"/>
      <c r="H557" s="16" t="inlineStr">
        <is>
          <t>504346</t>
        </is>
      </c>
      <c r="I557" s="27">
        <f>IFERROR(IF(INDEX(Stocks!$G$2:$G$2139,MATCH(A557,Stocks!$E$2:$E$2139,0))="","No","Yes"),"No")</f>
        <v/>
      </c>
    </row>
    <row r="558">
      <c r="A558" s="16" t="inlineStr">
        <is>
          <t>INE045601023</t>
        </is>
      </c>
      <c r="B558" s="16" t="inlineStr">
        <is>
          <t>PARAS</t>
        </is>
      </c>
      <c r="C558" s="16" t="inlineStr">
        <is>
          <t>Paras Defence and Space Technologies Ltd.</t>
        </is>
      </c>
      <c r="D558" s="16" t="inlineStr">
        <is>
          <t>Aerospace &amp; Defence</t>
        </is>
      </c>
      <c r="E558" s="16" t="inlineStr">
        <is>
          <t>General Industrials</t>
        </is>
      </c>
      <c r="F558" s="17" t="n">
        <v>11402.3</v>
      </c>
      <c r="G558" s="16" t="inlineStr">
        <is>
          <t>PARAS</t>
        </is>
      </c>
      <c r="H558" s="16" t="inlineStr">
        <is>
          <t>543367</t>
        </is>
      </c>
      <c r="I558" s="27">
        <f>IFERROR(IF(INDEX(Stocks!$G$2:$G$2139,MATCH(A558,Stocks!$E$2:$E$2139,0))="","No","Yes"),"No")</f>
        <v/>
      </c>
    </row>
    <row r="559">
      <c r="A559" s="16" t="inlineStr">
        <is>
          <t>INE285K01026</t>
        </is>
      </c>
      <c r="B559" s="16" t="inlineStr">
        <is>
          <t>TECHNOE</t>
        </is>
      </c>
      <c r="C559" s="16" t="inlineStr">
        <is>
          <t>Techno Electric &amp; Engineering Company Ltd.</t>
        </is>
      </c>
      <c r="D559" s="16" t="inlineStr">
        <is>
          <t>Power - Electric Utilities</t>
        </is>
      </c>
      <c r="E559" s="16" t="inlineStr">
        <is>
          <t>Utilities</t>
        </is>
      </c>
      <c r="F559" s="17" t="n">
        <v>11391.55</v>
      </c>
      <c r="G559" s="16" t="inlineStr">
        <is>
          <t>TECHNOE</t>
        </is>
      </c>
      <c r="H559" s="16" t="inlineStr">
        <is>
          <t>542141</t>
        </is>
      </c>
      <c r="I559" s="27">
        <f>IFERROR(IF(INDEX(Stocks!$G$2:$G$2139,MATCH(A559,Stocks!$E$2:$E$2139,0))="","No","Yes"),"No")</f>
        <v/>
      </c>
    </row>
    <row r="560">
      <c r="A560" s="16" t="inlineStr">
        <is>
          <t>INE094J01016</t>
        </is>
      </c>
      <c r="B560" s="16" t="inlineStr">
        <is>
          <t>UTIAMC</t>
        </is>
      </c>
      <c r="C560" s="16" t="inlineStr">
        <is>
          <t>UTI Asset Management Company Ltd.</t>
        </is>
      </c>
      <c r="D560" s="16" t="inlineStr">
        <is>
          <t>Asset Management Cos.</t>
        </is>
      </c>
      <c r="E560" s="16" t="inlineStr">
        <is>
          <t>Banking and Finance</t>
        </is>
      </c>
      <c r="F560" s="17" t="n">
        <v>11318.5</v>
      </c>
      <c r="G560" s="16" t="inlineStr">
        <is>
          <t>UTIAMC</t>
        </is>
      </c>
      <c r="H560" s="16" t="inlineStr">
        <is>
          <t>543238</t>
        </is>
      </c>
      <c r="I560" s="27">
        <f>IFERROR(IF(INDEX(Stocks!$G$2:$G$2139,MATCH(A560,Stocks!$E$2:$E$2139,0))="","No","Yes"),"No")</f>
        <v/>
      </c>
    </row>
    <row r="561">
      <c r="A561" s="16" t="inlineStr">
        <is>
          <t>INE625G01013</t>
        </is>
      </c>
      <c r="B561" s="16" t="inlineStr">
        <is>
          <t>WELENT</t>
        </is>
      </c>
      <c r="C561" s="16" t="inlineStr">
        <is>
          <t>Welspun Enterprises Ltd.</t>
        </is>
      </c>
      <c r="D561" s="16" t="inlineStr">
        <is>
          <t>Construction &amp; Engineering</t>
        </is>
      </c>
      <c r="E561" s="16" t="inlineStr">
        <is>
          <t>Cement and Construction</t>
        </is>
      </c>
      <c r="F561" s="17" t="n">
        <v>11261.35</v>
      </c>
      <c r="G561" s="16" t="inlineStr">
        <is>
          <t>WELENT</t>
        </is>
      </c>
      <c r="H561" s="16" t="inlineStr">
        <is>
          <t>532553</t>
        </is>
      </c>
      <c r="I561" s="27">
        <f>IFERROR(IF(INDEX(Stocks!$G$2:$G$2139,MATCH(A561,Stocks!$E$2:$E$2139,0))="","No","Yes"),"No")</f>
        <v/>
      </c>
    </row>
    <row r="562">
      <c r="A562" s="16" t="inlineStr">
        <is>
          <t>INE383A01012</t>
        </is>
      </c>
      <c r="B562" s="16" t="inlineStr">
        <is>
          <t>INDIACEM</t>
        </is>
      </c>
      <c r="C562" s="16" t="inlineStr">
        <is>
          <t>India Cements Ltd.</t>
        </is>
      </c>
      <c r="D562" s="16" t="inlineStr">
        <is>
          <t>Cement &amp; Cement Products</t>
        </is>
      </c>
      <c r="E562" s="16" t="inlineStr">
        <is>
          <t>Cement and Construction</t>
        </is>
      </c>
      <c r="F562" s="17" t="n">
        <v>11233.77</v>
      </c>
      <c r="G562" s="16" t="inlineStr">
        <is>
          <t>INDIACEM</t>
        </is>
      </c>
      <c r="H562" s="16" t="inlineStr">
        <is>
          <t>530005</t>
        </is>
      </c>
      <c r="I562" s="27">
        <f>IFERROR(IF(INDEX(Stocks!$G$2:$G$2139,MATCH(A562,Stocks!$E$2:$E$2139,0))="","No","Yes"),"No")</f>
        <v/>
      </c>
    </row>
    <row r="563">
      <c r="A563" s="16" t="inlineStr">
        <is>
          <t>INE962Y01021</t>
        </is>
      </c>
      <c r="B563" s="16" t="inlineStr">
        <is>
          <t>IRCON</t>
        </is>
      </c>
      <c r="C563" s="16" t="inlineStr">
        <is>
          <t>Ircon International Ltd.</t>
        </is>
      </c>
      <c r="D563" s="16" t="inlineStr">
        <is>
          <t>Construction &amp; Engineering</t>
        </is>
      </c>
      <c r="E563" s="16" t="inlineStr">
        <is>
          <t>Cement and Construction</t>
        </is>
      </c>
      <c r="F563" s="17" t="n">
        <v>11215.65</v>
      </c>
      <c r="G563" s="16" t="inlineStr">
        <is>
          <t>IRCON</t>
        </is>
      </c>
      <c r="H563" s="16" t="inlineStr">
        <is>
          <t>541956</t>
        </is>
      </c>
      <c r="I563" s="27">
        <f>IFERROR(IF(INDEX(Stocks!$G$2:$G$2139,MATCH(A563,Stocks!$E$2:$E$2139,0))="","No","Yes"),"No")</f>
        <v/>
      </c>
    </row>
    <row r="564">
      <c r="A564" s="16" t="inlineStr">
        <is>
          <t>INE080I01025</t>
        </is>
      </c>
      <c r="B564" s="16" t="inlineStr">
        <is>
          <t>LLOYDSENT</t>
        </is>
      </c>
      <c r="C564" s="16" t="inlineStr">
        <is>
          <t>Lloyds Enterprises Ltd.</t>
        </is>
      </c>
      <c r="D564" s="16" t="inlineStr">
        <is>
          <t>Commodity Trading  &amp; Distribution</t>
        </is>
      </c>
      <c r="E564" s="16" t="inlineStr">
        <is>
          <t>Commercial Services &amp; Supplies</t>
        </is>
      </c>
      <c r="F564" s="17" t="n">
        <v>11211.53</v>
      </c>
      <c r="G564" s="16" t="inlineStr">
        <is>
          <t>LLOYDSENT</t>
        </is>
      </c>
      <c r="H564" s="16" t="inlineStr">
        <is>
          <t>512463</t>
        </is>
      </c>
      <c r="I564" s="27">
        <f>IFERROR(IF(INDEX(Stocks!$G$2:$G$2139,MATCH(A564,Stocks!$E$2:$E$2139,0))="","No","Yes"),"No")</f>
        <v/>
      </c>
    </row>
    <row r="565">
      <c r="A565" s="16" t="inlineStr">
        <is>
          <t>INE903U01023</t>
        </is>
      </c>
      <c r="B565" s="16" t="inlineStr">
        <is>
          <t>SIGNATURE</t>
        </is>
      </c>
      <c r="C565" s="16" t="inlineStr">
        <is>
          <t>Signatureglobal (India) Ltd.</t>
        </is>
      </c>
      <c r="D565" s="16" t="inlineStr">
        <is>
          <t>Realty</t>
        </is>
      </c>
      <c r="E565" s="16" t="inlineStr">
        <is>
          <t>Realty</t>
        </is>
      </c>
      <c r="F565" s="17" t="n">
        <v>11206.34</v>
      </c>
      <c r="G565" s="16" t="inlineStr">
        <is>
          <t>SIGNATURE</t>
        </is>
      </c>
      <c r="H565" s="16" t="inlineStr">
        <is>
          <t>543990</t>
        </is>
      </c>
      <c r="I565" s="27">
        <f>IFERROR(IF(INDEX(Stocks!$G$2:$G$2139,MATCH(A565,Stocks!$E$2:$E$2139,0))="","No","Yes"),"No")</f>
        <v/>
      </c>
    </row>
    <row r="566">
      <c r="A566" s="16" t="inlineStr">
        <is>
          <t>INE351F01018</t>
        </is>
      </c>
      <c r="B566" s="16" t="inlineStr">
        <is>
          <t>JPPOWER</t>
        </is>
      </c>
      <c r="C566" s="16" t="inlineStr">
        <is>
          <t>Jaiprakash Power Ventures Ltd.</t>
        </is>
      </c>
      <c r="D566" s="16" t="inlineStr">
        <is>
          <t>Green &amp; Renewable Energy</t>
        </is>
      </c>
      <c r="E566" s="16" t="inlineStr">
        <is>
          <t>Utilities</t>
        </is>
      </c>
      <c r="F566" s="17" t="n">
        <v>11164.28</v>
      </c>
      <c r="G566" s="16" t="inlineStr">
        <is>
          <t>JPPOWER</t>
        </is>
      </c>
      <c r="H566" s="16" t="inlineStr">
        <is>
          <t>532627</t>
        </is>
      </c>
      <c r="I566" s="27">
        <f>IFERROR(IF(INDEX(Stocks!$G$2:$G$2139,MATCH(A566,Stocks!$E$2:$E$2139,0))="","No","Yes"),"No")</f>
        <v/>
      </c>
    </row>
    <row r="567">
      <c r="A567" s="16" t="inlineStr">
        <is>
          <t>INE423Y01016</t>
        </is>
      </c>
      <c r="B567" s="16" t="inlineStr">
        <is>
          <t>SBFC</t>
        </is>
      </c>
      <c r="C567" s="16" t="inlineStr">
        <is>
          <t>SBFC Finance Ltd.</t>
        </is>
      </c>
      <c r="D567" s="16" t="inlineStr">
        <is>
          <t>Finance (including NBFCs)</t>
        </is>
      </c>
      <c r="E567" s="16" t="inlineStr">
        <is>
          <t>Banking and Finance</t>
        </is>
      </c>
      <c r="F567" s="17" t="n">
        <v>11090.93</v>
      </c>
      <c r="G567" s="16" t="inlineStr">
        <is>
          <t>SBFC</t>
        </is>
      </c>
      <c r="H567" s="16" t="inlineStr">
        <is>
          <t>543959</t>
        </is>
      </c>
      <c r="I567" s="27">
        <f>IFERROR(IF(INDEX(Stocks!$G$2:$G$2139,MATCH(A567,Stocks!$E$2:$E$2139,0))="","No","Yes"),"No")</f>
        <v/>
      </c>
    </row>
    <row r="568">
      <c r="A568" s="16" t="inlineStr">
        <is>
          <t>INE1B6101010</t>
        </is>
      </c>
      <c r="B568" s="16" t="inlineStr">
        <is>
          <t>SHREEJISPG</t>
        </is>
      </c>
      <c r="C568" s="16" t="inlineStr">
        <is>
          <t>Shreeji Shipping Global Ltd.</t>
        </is>
      </c>
      <c r="D568" s="16" t="inlineStr">
        <is>
          <t>Shipping</t>
        </is>
      </c>
      <c r="E568" s="16" t="inlineStr">
        <is>
          <t>Transportation</t>
        </is>
      </c>
      <c r="F568" s="17" t="n">
        <v>11080.89</v>
      </c>
      <c r="G568" s="16" t="inlineStr">
        <is>
          <t>SHREEJISPG</t>
        </is>
      </c>
      <c r="H568" s="16" t="inlineStr">
        <is>
          <t>544490</t>
        </is>
      </c>
      <c r="I568" s="27">
        <f>IFERROR(IF(INDEX(Stocks!$G$2:$G$2139,MATCH(A568,Stocks!$E$2:$E$2139,0))="","No","Yes"),"No")</f>
        <v/>
      </c>
    </row>
    <row r="569">
      <c r="A569" s="16" t="inlineStr">
        <is>
          <t>INE010J01012</t>
        </is>
      </c>
      <c r="B569" s="16" t="inlineStr">
        <is>
          <t>TEJASNET</t>
        </is>
      </c>
      <c r="C569" s="16" t="inlineStr">
        <is>
          <t>Tejas Networks Ltd.</t>
        </is>
      </c>
      <c r="D569" s="16" t="inlineStr">
        <is>
          <t>Telecom Equipment</t>
        </is>
      </c>
      <c r="E569" s="16" t="inlineStr">
        <is>
          <t>Telecommunications Equipment</t>
        </is>
      </c>
      <c r="F569" s="17" t="n">
        <v>10935.88</v>
      </c>
      <c r="G569" s="16" t="inlineStr">
        <is>
          <t>TEJASNET</t>
        </is>
      </c>
      <c r="H569" s="16" t="inlineStr">
        <is>
          <t>540595</t>
        </is>
      </c>
      <c r="I569" s="27">
        <f>IFERROR(IF(INDEX(Stocks!$G$2:$G$2139,MATCH(A569,Stocks!$E$2:$E$2139,0))="","No","Yes"),"No")</f>
        <v/>
      </c>
    </row>
    <row r="570">
      <c r="A570" s="16" t="inlineStr">
        <is>
          <t>INE871C01038</t>
        </is>
      </c>
      <c r="B570" s="16" t="inlineStr">
        <is>
          <t>AVANTIFEED</t>
        </is>
      </c>
      <c r="C570" s="16" t="inlineStr">
        <is>
          <t>Avanti Feeds Ltd.</t>
        </is>
      </c>
      <c r="D570" s="16" t="inlineStr">
        <is>
          <t>Other Food &amp; Beverages</t>
        </is>
      </c>
      <c r="E570" s="16" t="inlineStr">
        <is>
          <t>Food, Beverages &amp; Tobacco</t>
        </is>
      </c>
      <c r="F570" s="17" t="n">
        <v>10880.57</v>
      </c>
      <c r="G570" s="16" t="inlineStr">
        <is>
          <t>AVANTIFEED</t>
        </is>
      </c>
      <c r="H570" s="16" t="inlineStr">
        <is>
          <t>512573</t>
        </is>
      </c>
      <c r="I570" s="27">
        <f>IFERROR(IF(INDEX(Stocks!$G$2:$G$2139,MATCH(A570,Stocks!$E$2:$E$2139,0))="","No","Yes"),"No")</f>
        <v/>
      </c>
    </row>
    <row r="571">
      <c r="A571" s="16" t="inlineStr">
        <is>
          <t>INE389H01022</t>
        </is>
      </c>
      <c r="B571" s="16" t="inlineStr">
        <is>
          <t>KEC</t>
        </is>
      </c>
      <c r="C571" s="16" t="inlineStr">
        <is>
          <t>KEC International Ltd.</t>
        </is>
      </c>
      <c r="D571" s="16" t="inlineStr">
        <is>
          <t>Heavy Electrical Equipment</t>
        </is>
      </c>
      <c r="E571" s="16" t="inlineStr">
        <is>
          <t>General Industrials</t>
        </is>
      </c>
      <c r="F571" s="17" t="n">
        <v>10875.6</v>
      </c>
      <c r="G571" s="16" t="inlineStr">
        <is>
          <t>KEC</t>
        </is>
      </c>
      <c r="H571" s="16" t="inlineStr">
        <is>
          <t>532714</t>
        </is>
      </c>
      <c r="I571" s="27">
        <f>IFERROR(IF(INDEX(Stocks!$G$2:$G$2139,MATCH(A571,Stocks!$E$2:$E$2139,0))="","No","Yes"),"No")</f>
        <v/>
      </c>
    </row>
    <row r="572">
      <c r="A572" s="16" t="inlineStr">
        <is>
          <t>INE0BY001018</t>
        </is>
      </c>
      <c r="B572" s="16" t="inlineStr">
        <is>
          <t>JUBLINGREA</t>
        </is>
      </c>
      <c r="C572" s="16" t="inlineStr">
        <is>
          <t>Jubilant Ingrevia Ltd.</t>
        </is>
      </c>
      <c r="D572" s="16" t="inlineStr">
        <is>
          <t>Specialty Chemicals</t>
        </is>
      </c>
      <c r="E572" s="16" t="inlineStr">
        <is>
          <t>Chemicals &amp; Petrochemicals</t>
        </is>
      </c>
      <c r="F572" s="17" t="n">
        <v>10835.89</v>
      </c>
      <c r="G572" s="16" t="inlineStr">
        <is>
          <t>JUBLINGREA</t>
        </is>
      </c>
      <c r="H572" s="16" t="inlineStr">
        <is>
          <t>543271</t>
        </is>
      </c>
      <c r="I572" s="27">
        <f>IFERROR(IF(INDEX(Stocks!$G$2:$G$2139,MATCH(A572,Stocks!$E$2:$E$2139,0))="","No","Yes"),"No")</f>
        <v/>
      </c>
    </row>
    <row r="573">
      <c r="A573" s="16" t="inlineStr">
        <is>
          <t>INE002S01010</t>
        </is>
      </c>
      <c r="B573" s="16" t="inlineStr">
        <is>
          <t>MGL</t>
        </is>
      </c>
      <c r="C573" s="16" t="inlineStr">
        <is>
          <t>Mahanagar Gas Ltd.</t>
        </is>
      </c>
      <c r="D573" s="16" t="inlineStr">
        <is>
          <t>Utilities:Non-Electrical</t>
        </is>
      </c>
      <c r="E573" s="16" t="inlineStr">
        <is>
          <t>Utilities</t>
        </is>
      </c>
      <c r="F573" s="17" t="n">
        <v>10831.97</v>
      </c>
      <c r="G573" s="16" t="inlineStr">
        <is>
          <t>MGL</t>
        </is>
      </c>
      <c r="H573" s="16" t="inlineStr">
        <is>
          <t>539957</t>
        </is>
      </c>
      <c r="I573" s="27">
        <f>IFERROR(IF(INDEX(Stocks!$G$2:$G$2139,MATCH(A573,Stocks!$E$2:$E$2139,0))="","No","Yes"),"No")</f>
        <v/>
      </c>
    </row>
    <row r="574">
      <c r="A574" s="16" t="inlineStr">
        <is>
          <t>INE101I01011</t>
        </is>
      </c>
      <c r="B574" s="16" t="inlineStr">
        <is>
          <t>AFCONS</t>
        </is>
      </c>
      <c r="C574" s="16" t="inlineStr">
        <is>
          <t>Afcons Infrastructure Ltd.</t>
        </is>
      </c>
      <c r="D574" s="16" t="inlineStr">
        <is>
          <t>Construction &amp; Engineering</t>
        </is>
      </c>
      <c r="E574" s="16" t="inlineStr">
        <is>
          <t>Cement and Construction</t>
        </is>
      </c>
      <c r="F574" s="17" t="n">
        <v>10768.73</v>
      </c>
      <c r="G574" s="16" t="inlineStr">
        <is>
          <t>AFCONS</t>
        </is>
      </c>
      <c r="H574" s="16" t="inlineStr">
        <is>
          <t>544280</t>
        </is>
      </c>
      <c r="I574" s="27">
        <f>IFERROR(IF(INDEX(Stocks!$G$2:$G$2139,MATCH(A574,Stocks!$E$2:$E$2139,0))="","No","Yes"),"No")</f>
        <v/>
      </c>
    </row>
    <row r="575">
      <c r="A575" s="16" t="inlineStr">
        <is>
          <t>INE489L01022</t>
        </is>
      </c>
      <c r="B575" s="16" t="inlineStr">
        <is>
          <t>IIFLCAPS</t>
        </is>
      </c>
      <c r="C575" s="16" t="inlineStr">
        <is>
          <t>IIFL Capital Services Ltd.</t>
        </is>
      </c>
      <c r="D575" s="16" t="inlineStr">
        <is>
          <t>Capital Markets</t>
        </is>
      </c>
      <c r="E575" s="16" t="inlineStr">
        <is>
          <t>Banking and Finance</t>
        </is>
      </c>
      <c r="F575" s="17" t="n">
        <v>10753.9</v>
      </c>
      <c r="G575" s="16" t="inlineStr">
        <is>
          <t>IIFLCAPS</t>
        </is>
      </c>
      <c r="H575" s="16" t="inlineStr">
        <is>
          <t>542773</t>
        </is>
      </c>
      <c r="I575" s="27">
        <f>IFERROR(IF(INDEX(Stocks!$G$2:$G$2139,MATCH(A575,Stocks!$E$2:$E$2139,0))="","No","Yes"),"No")</f>
        <v/>
      </c>
    </row>
    <row r="576">
      <c r="A576" s="16" t="inlineStr">
        <is>
          <t>INE477A01020</t>
        </is>
      </c>
      <c r="B576" s="16" t="inlineStr">
        <is>
          <t>CANFINHOME</t>
        </is>
      </c>
      <c r="C576" s="16" t="inlineStr">
        <is>
          <t>Can Fin Homes Ltd.</t>
        </is>
      </c>
      <c r="D576" s="16" t="inlineStr">
        <is>
          <t>Housing Finance</t>
        </is>
      </c>
      <c r="E576" s="16" t="inlineStr">
        <is>
          <t>Banking and Finance</t>
        </is>
      </c>
      <c r="F576" s="17" t="n">
        <v>10750.9</v>
      </c>
      <c r="G576" s="16" t="inlineStr">
        <is>
          <t>CANFINHOME</t>
        </is>
      </c>
      <c r="H576" s="16" t="inlineStr">
        <is>
          <t>511196</t>
        </is>
      </c>
      <c r="I576" s="27">
        <f>IFERROR(IF(INDEX(Stocks!$G$2:$G$2139,MATCH(A576,Stocks!$E$2:$E$2139,0))="","No","Yes"),"No")</f>
        <v/>
      </c>
    </row>
    <row r="577">
      <c r="A577" s="16" t="inlineStr">
        <is>
          <t>INE495B01038</t>
        </is>
      </c>
      <c r="B577" s="16" t="inlineStr">
        <is>
          <t>SUVEN</t>
        </is>
      </c>
      <c r="C577" s="16" t="inlineStr">
        <is>
          <t>Suven Life Sciences Ltd.</t>
        </is>
      </c>
      <c r="D577" s="16" t="inlineStr">
        <is>
          <t>Healthcare Services</t>
        </is>
      </c>
      <c r="E577" s="16" t="inlineStr">
        <is>
          <t>Healthcare</t>
        </is>
      </c>
      <c r="F577" s="17" t="n">
        <v>10680.87</v>
      </c>
      <c r="G577" s="16" t="inlineStr">
        <is>
          <t>SUVEN</t>
        </is>
      </c>
      <c r="H577" s="16" t="inlineStr">
        <is>
          <t>530239</t>
        </is>
      </c>
      <c r="I577" s="27">
        <f>IFERROR(IF(INDEX(Stocks!$G$2:$G$2139,MATCH(A577,Stocks!$E$2:$E$2139,0))="","No","Yes"),"No")</f>
        <v/>
      </c>
    </row>
    <row r="578">
      <c r="A578" s="16" t="inlineStr">
        <is>
          <t>INE0UIZ01018</t>
        </is>
      </c>
      <c r="B578" s="16" t="inlineStr">
        <is>
          <t>BLACKBUCK</t>
        </is>
      </c>
      <c r="C578" s="16" t="inlineStr">
        <is>
          <t>BlackBuck Ltd.</t>
        </is>
      </c>
      <c r="D578" s="16" t="inlineStr">
        <is>
          <t>Transport Related Services</t>
        </is>
      </c>
      <c r="E578" s="16" t="inlineStr">
        <is>
          <t>Transportation</t>
        </is>
      </c>
      <c r="F578" s="17" t="n">
        <v>10676.82</v>
      </c>
      <c r="G578" s="16" t="inlineStr">
        <is>
          <t>BLACKBUCK</t>
        </is>
      </c>
      <c r="H578" s="16" t="inlineStr">
        <is>
          <t>544288</t>
        </is>
      </c>
      <c r="I578" s="27">
        <f>IFERROR(IF(INDEX(Stocks!$G$2:$G$2139,MATCH(A578,Stocks!$E$2:$E$2139,0))="","No","Yes"),"No")</f>
        <v/>
      </c>
    </row>
    <row r="579">
      <c r="A579" s="16" t="inlineStr">
        <is>
          <t>INE022Q01020</t>
        </is>
      </c>
      <c r="B579" s="16" t="inlineStr">
        <is>
          <t>IEX</t>
        </is>
      </c>
      <c r="C579" s="16" t="inlineStr">
        <is>
          <t>Indian Energy Exchange Ltd.</t>
        </is>
      </c>
      <c r="D579" s="16" t="inlineStr">
        <is>
          <t>Capital Markets</t>
        </is>
      </c>
      <c r="E579" s="16" t="inlineStr">
        <is>
          <t>Banking and Finance</t>
        </is>
      </c>
      <c r="F579" s="17" t="n">
        <v>10603.12</v>
      </c>
      <c r="G579" s="16" t="inlineStr">
        <is>
          <t>IEX</t>
        </is>
      </c>
      <c r="H579" s="16" t="inlineStr">
        <is>
          <t>540750</t>
        </is>
      </c>
      <c r="I579" s="27">
        <f>IFERROR(IF(INDEX(Stocks!$G$2:$G$2139,MATCH(A579,Stocks!$E$2:$E$2139,0))="","No","Yes"),"No")</f>
        <v/>
      </c>
    </row>
    <row r="580">
      <c r="A580" s="16" t="inlineStr">
        <is>
          <t>INE573A01042</t>
        </is>
      </c>
      <c r="B580" s="16" t="inlineStr">
        <is>
          <t>JKTYRE</t>
        </is>
      </c>
      <c r="C580" s="16" t="inlineStr">
        <is>
          <t>JK Tyre &amp; Industries Ltd.</t>
        </is>
      </c>
      <c r="D580" s="16" t="inlineStr">
        <is>
          <t>Auto Tyres &amp; Rubber Products</t>
        </is>
      </c>
      <c r="E580" s="16" t="inlineStr">
        <is>
          <t>Automobiles &amp; Auto Components</t>
        </is>
      </c>
      <c r="F580" s="17" t="n">
        <v>10590.31</v>
      </c>
      <c r="G580" s="16" t="inlineStr">
        <is>
          <t>JKTYRE</t>
        </is>
      </c>
      <c r="H580" s="16" t="inlineStr">
        <is>
          <t>530007</t>
        </is>
      </c>
      <c r="I580" s="27">
        <f>IFERROR(IF(INDEX(Stocks!$G$2:$G$2139,MATCH(A580,Stocks!$E$2:$E$2139,0))="","No","Yes"),"No")</f>
        <v/>
      </c>
    </row>
    <row r="581">
      <c r="A581" s="16" t="inlineStr">
        <is>
          <t>INE940H01022</t>
        </is>
      </c>
      <c r="B581" s="16" t="inlineStr">
        <is>
          <t>PGIL</t>
        </is>
      </c>
      <c r="C581" s="16" t="inlineStr">
        <is>
          <t>Pearl Global Industries Ltd.</t>
        </is>
      </c>
      <c r="D581" s="16" t="inlineStr">
        <is>
          <t>Other Apparels &amp; Accessories</t>
        </is>
      </c>
      <c r="E581" s="16" t="inlineStr">
        <is>
          <t>Textiles Apparels &amp; Accessories</t>
        </is>
      </c>
      <c r="F581" s="17" t="n">
        <v>10523.58</v>
      </c>
      <c r="G581" s="16" t="inlineStr">
        <is>
          <t>PGIL</t>
        </is>
      </c>
      <c r="H581" s="16" t="inlineStr">
        <is>
          <t>532808</t>
        </is>
      </c>
      <c r="I581" s="27">
        <f>IFERROR(IF(INDEX(Stocks!$G$2:$G$2139,MATCH(A581,Stocks!$E$2:$E$2139,0))="","No","Yes"),"No")</f>
        <v/>
      </c>
    </row>
    <row r="582">
      <c r="A582" s="16" t="inlineStr">
        <is>
          <t>INE14LE01019</t>
        </is>
      </c>
      <c r="B582" s="16" t="inlineStr">
        <is>
          <t>ABLBL</t>
        </is>
      </c>
      <c r="C582" s="16" t="inlineStr">
        <is>
          <t>Aditya Birla Lifestyle Brands Ltd.</t>
        </is>
      </c>
      <c r="D582" s="16" t="inlineStr">
        <is>
          <t>Specialty Retail</t>
        </is>
      </c>
      <c r="E582" s="16" t="inlineStr">
        <is>
          <t>Retailing</t>
        </is>
      </c>
      <c r="F582" s="17" t="n">
        <v>10505.03</v>
      </c>
      <c r="G582" s="16" t="inlineStr">
        <is>
          <t>ABLBL</t>
        </is>
      </c>
      <c r="H582" s="16" t="inlineStr">
        <is>
          <t>544403</t>
        </is>
      </c>
      <c r="I582" s="27">
        <f>IFERROR(IF(INDEX(Stocks!$G$2:$G$2139,MATCH(A582,Stocks!$E$2:$E$2139,0))="","No","Yes"),"No")</f>
        <v/>
      </c>
    </row>
    <row r="583">
      <c r="A583" s="16" t="inlineStr">
        <is>
          <t>INE520A01027</t>
        </is>
      </c>
      <c r="B583" s="16" t="inlineStr">
        <is>
          <t>ZENSARTECH</t>
        </is>
      </c>
      <c r="C583" s="16" t="inlineStr">
        <is>
          <t>Zensar Technologies Ltd.</t>
        </is>
      </c>
      <c r="D583" s="16" t="inlineStr">
        <is>
          <t>IT Consulting &amp; Software</t>
        </is>
      </c>
      <c r="E583" s="16" t="inlineStr">
        <is>
          <t>Software &amp; Services</t>
        </is>
      </c>
      <c r="F583" s="17" t="n">
        <v>10503.99</v>
      </c>
      <c r="G583" s="16" t="inlineStr">
        <is>
          <t>ZENSARTECH</t>
        </is>
      </c>
      <c r="H583" s="16" t="inlineStr">
        <is>
          <t>504067</t>
        </is>
      </c>
      <c r="I583" s="27">
        <f>IFERROR(IF(INDEX(Stocks!$G$2:$G$2139,MATCH(A583,Stocks!$E$2:$E$2139,0))="","No","Yes"),"No")</f>
        <v/>
      </c>
    </row>
    <row r="584">
      <c r="A584" s="16" t="inlineStr">
        <is>
          <t>INE075I01017</t>
        </is>
      </c>
      <c r="B584" s="16" t="inlineStr">
        <is>
          <t>HCG</t>
        </is>
      </c>
      <c r="C584" s="16" t="inlineStr">
        <is>
          <t>Healthcare Global Enterprises Ltd.</t>
        </is>
      </c>
      <c r="D584" s="16" t="inlineStr">
        <is>
          <t>Healthcare Facilities</t>
        </is>
      </c>
      <c r="E584" s="16" t="inlineStr">
        <is>
          <t>Healthcare</t>
        </is>
      </c>
      <c r="F584" s="17" t="n">
        <v>10454.14</v>
      </c>
      <c r="G584" s="16" t="inlineStr">
        <is>
          <t>HCG</t>
        </is>
      </c>
      <c r="H584" s="16" t="inlineStr">
        <is>
          <t>539787</t>
        </is>
      </c>
      <c r="I584" s="27">
        <f>IFERROR(IF(INDEX(Stocks!$G$2:$G$2139,MATCH(A584,Stocks!$E$2:$E$2139,0))="","No","Yes"),"No")</f>
        <v/>
      </c>
    </row>
    <row r="585">
      <c r="A585" s="16" t="inlineStr">
        <is>
          <t>INE050A01025</t>
        </is>
      </c>
      <c r="B585" s="16" t="inlineStr">
        <is>
          <t>BBTC</t>
        </is>
      </c>
      <c r="C585" s="16" t="inlineStr">
        <is>
          <t>The Bombay Burmah Trading Corporation Ltd.</t>
        </is>
      </c>
      <c r="D585" s="16" t="inlineStr">
        <is>
          <t>Packaged Foods</t>
        </is>
      </c>
      <c r="E585" s="16" t="inlineStr">
        <is>
          <t>FMCG</t>
        </is>
      </c>
      <c r="F585" s="17" t="n">
        <v>10443.46</v>
      </c>
      <c r="G585" s="16" t="inlineStr">
        <is>
          <t>BBTC</t>
        </is>
      </c>
      <c r="H585" s="16" t="inlineStr">
        <is>
          <t>501425</t>
        </is>
      </c>
      <c r="I585" s="27">
        <f>IFERROR(IF(INDEX(Stocks!$G$2:$G$2139,MATCH(A585,Stocks!$E$2:$E$2139,0))="","No","Yes"),"No")</f>
        <v/>
      </c>
    </row>
    <row r="586">
      <c r="A586" s="16" t="inlineStr">
        <is>
          <t>INE209L01016</t>
        </is>
      </c>
      <c r="B586" s="16" t="inlineStr">
        <is>
          <t>JWL</t>
        </is>
      </c>
      <c r="C586" s="16" t="inlineStr">
        <is>
          <t>Jupiter Wagons Ltd.</t>
        </is>
      </c>
      <c r="D586" s="16" t="inlineStr">
        <is>
          <t>Commercial Vehicles</t>
        </is>
      </c>
      <c r="E586" s="16" t="inlineStr">
        <is>
          <t>Automobiles &amp; Auto Components</t>
        </is>
      </c>
      <c r="F586" s="17" t="n">
        <v>10395.36</v>
      </c>
      <c r="G586" s="16" t="inlineStr">
        <is>
          <t>JWL</t>
        </is>
      </c>
      <c r="H586" s="16" t="inlineStr">
        <is>
          <t>533272</t>
        </is>
      </c>
      <c r="I586" s="27">
        <f>IFERROR(IF(INDEX(Stocks!$G$2:$G$2139,MATCH(A586,Stocks!$E$2:$E$2139,0))="","No","Yes"),"No")</f>
        <v/>
      </c>
    </row>
    <row r="587">
      <c r="A587" s="16" t="inlineStr">
        <is>
          <t>INE385F01024</t>
        </is>
      </c>
      <c r="B587" s="16" t="inlineStr">
        <is>
          <t>SGMART</t>
        </is>
      </c>
      <c r="C587" s="16" t="inlineStr">
        <is>
          <t>SG Mart Ltd.</t>
        </is>
      </c>
      <c r="D587" s="16" t="inlineStr">
        <is>
          <t>Power - Electric Utilities</t>
        </is>
      </c>
      <c r="E587" s="16" t="inlineStr">
        <is>
          <t>Utilities</t>
        </is>
      </c>
      <c r="F587" s="17" t="n">
        <v>10394.75</v>
      </c>
      <c r="G587" s="16" t="inlineStr">
        <is>
          <t>SGMART</t>
        </is>
      </c>
      <c r="H587" s="16" t="inlineStr">
        <is>
          <t>512329</t>
        </is>
      </c>
      <c r="I587" s="27">
        <f>IFERROR(IF(INDEX(Stocks!$G$2:$G$2139,MATCH(A587,Stocks!$E$2:$E$2139,0))="","No","Yes"),"No")</f>
        <v/>
      </c>
    </row>
    <row r="588">
      <c r="A588" s="16" t="inlineStr">
        <is>
          <t>INE933S01016</t>
        </is>
      </c>
      <c r="B588" s="16" t="inlineStr">
        <is>
          <t>INDIAMART</t>
        </is>
      </c>
      <c r="C588" s="16" t="inlineStr">
        <is>
          <t>IndiaMART InterMESH Ltd.</t>
        </is>
      </c>
      <c r="D588" s="16" t="inlineStr">
        <is>
          <t>Internet &amp; Catalogue Retail</t>
        </is>
      </c>
      <c r="E588" s="16" t="inlineStr">
        <is>
          <t>Retailing</t>
        </is>
      </c>
      <c r="F588" s="17" t="n">
        <v>10383.1</v>
      </c>
      <c r="G588" s="16" t="inlineStr">
        <is>
          <t>INDIAMART</t>
        </is>
      </c>
      <c r="H588" s="16" t="inlineStr">
        <is>
          <t>542726</t>
        </is>
      </c>
      <c r="I588" s="27">
        <f>IFERROR(IF(INDEX(Stocks!$G$2:$G$2139,MATCH(A588,Stocks!$E$2:$E$2139,0))="","No","Yes"),"No")</f>
        <v/>
      </c>
    </row>
    <row r="589">
      <c r="A589" s="16" t="inlineStr">
        <is>
          <t>INE320J01015</t>
        </is>
      </c>
      <c r="B589" s="16" t="inlineStr">
        <is>
          <t>RITES</t>
        </is>
      </c>
      <c r="C589" s="16" t="inlineStr">
        <is>
          <t>Rites Ltd.</t>
        </is>
      </c>
      <c r="D589" s="16" t="inlineStr">
        <is>
          <t>Construction &amp; Engineering</t>
        </is>
      </c>
      <c r="E589" s="16" t="inlineStr">
        <is>
          <t>Cement and Construction</t>
        </is>
      </c>
      <c r="F589" s="17" t="n">
        <v>10371.43</v>
      </c>
      <c r="G589" s="16" t="inlineStr">
        <is>
          <t>RITES</t>
        </is>
      </c>
      <c r="H589" s="16" t="inlineStr">
        <is>
          <t>541556</t>
        </is>
      </c>
      <c r="I589" s="27">
        <f>IFERROR(IF(INDEX(Stocks!$G$2:$G$2139,MATCH(A589,Stocks!$E$2:$E$2139,0))="","No","Yes"),"No")</f>
        <v/>
      </c>
    </row>
    <row r="590">
      <c r="A590" s="16" t="inlineStr">
        <is>
          <t>INE716A01013</t>
        </is>
      </c>
      <c r="B590" s="16" t="inlineStr">
        <is>
          <t>WHIRLPOOL</t>
        </is>
      </c>
      <c r="C590" s="16" t="inlineStr">
        <is>
          <t>Whirlpool of India Ltd.</t>
        </is>
      </c>
      <c r="D590" s="16" t="inlineStr">
        <is>
          <t>Consumer Electronics</t>
        </is>
      </c>
      <c r="E590" s="16" t="inlineStr">
        <is>
          <t>Consumer Durables</t>
        </is>
      </c>
      <c r="F590" s="17" t="n">
        <v>10352.1</v>
      </c>
      <c r="G590" s="16" t="inlineStr">
        <is>
          <t>WHIRLPOOL</t>
        </is>
      </c>
      <c r="H590" s="16" t="inlineStr">
        <is>
          <t>500238</t>
        </is>
      </c>
      <c r="I590" s="27">
        <f>IFERROR(IF(INDEX(Stocks!$G$2:$G$2139,MATCH(A590,Stocks!$E$2:$E$2139,0))="","No","Yes"),"No")</f>
        <v/>
      </c>
    </row>
    <row r="591">
      <c r="A591" s="16" t="inlineStr">
        <is>
          <t>INE216P01012</t>
        </is>
      </c>
      <c r="B591" s="16" t="inlineStr">
        <is>
          <t>AAVAS</t>
        </is>
      </c>
      <c r="C591" s="16" t="inlineStr">
        <is>
          <t>Aavas Financiers Ltd.</t>
        </is>
      </c>
      <c r="D591" s="16" t="inlineStr">
        <is>
          <t>Housing Finance</t>
        </is>
      </c>
      <c r="E591" s="16" t="inlineStr">
        <is>
          <t>Banking and Finance</t>
        </is>
      </c>
      <c r="F591" s="17" t="n">
        <v>10341.56</v>
      </c>
      <c r="G591" s="16" t="inlineStr">
        <is>
          <t>AAVAS</t>
        </is>
      </c>
      <c r="H591" s="16" t="inlineStr">
        <is>
          <t>541988</t>
        </is>
      </c>
      <c r="I591" s="27">
        <f>IFERROR(IF(INDEX(Stocks!$G$2:$G$2139,MATCH(A591,Stocks!$E$2:$E$2139,0))="","No","Yes"),"No")</f>
        <v/>
      </c>
    </row>
    <row r="592">
      <c r="A592" s="16" t="inlineStr">
        <is>
          <t>INE150B01039</t>
        </is>
      </c>
      <c r="B592" s="16" t="inlineStr">
        <is>
          <t>ALKYLAMINE</t>
        </is>
      </c>
      <c r="C592" s="16" t="inlineStr">
        <is>
          <t>Alkyl Amines Chemicals Ltd.</t>
        </is>
      </c>
      <c r="D592" s="16" t="inlineStr">
        <is>
          <t>Specialty Chemicals</t>
        </is>
      </c>
      <c r="E592" s="16" t="inlineStr">
        <is>
          <t>Chemicals &amp; Petrochemicals</t>
        </is>
      </c>
      <c r="F592" s="17" t="n">
        <v>10336.14</v>
      </c>
      <c r="G592" s="16" t="inlineStr">
        <is>
          <t>ALKYLAMINE</t>
        </is>
      </c>
      <c r="H592" s="16" t="inlineStr">
        <is>
          <t>506767</t>
        </is>
      </c>
      <c r="I592" s="27">
        <f>IFERROR(IF(INDEX(Stocks!$G$2:$G$2139,MATCH(A592,Stocks!$E$2:$E$2139,0))="","No","Yes"),"No")</f>
        <v/>
      </c>
    </row>
    <row r="593">
      <c r="A593" s="16" t="inlineStr">
        <is>
          <t>INE717A01029</t>
        </is>
      </c>
      <c r="B593" s="16" t="inlineStr">
        <is>
          <t>KENNAMET</t>
        </is>
      </c>
      <c r="C593" s="16" t="inlineStr">
        <is>
          <t>Kennametal India Ltd.</t>
        </is>
      </c>
      <c r="D593" s="16" t="inlineStr">
        <is>
          <t>Other Industrial Products</t>
        </is>
      </c>
      <c r="E593" s="16" t="inlineStr">
        <is>
          <t>General Industrials</t>
        </is>
      </c>
      <c r="F593" s="17" t="n">
        <v>10293.49</v>
      </c>
      <c r="G593" s="16" t="inlineStr"/>
      <c r="H593" s="16" t="inlineStr">
        <is>
          <t>505890</t>
        </is>
      </c>
      <c r="I593" s="27">
        <f>IFERROR(IF(INDEX(Stocks!$G$2:$G$2139,MATCH(A593,Stocks!$E$2:$E$2139,0))="","No","Yes"),"No")</f>
        <v/>
      </c>
    </row>
    <row r="594">
      <c r="A594" s="16" t="inlineStr">
        <is>
          <t>INE955D01029</t>
        </is>
      </c>
      <c r="B594" s="16" t="inlineStr">
        <is>
          <t>GENUSPOWER</t>
        </is>
      </c>
      <c r="C594" s="16" t="inlineStr">
        <is>
          <t>Genus Power Infrastructures Ltd.</t>
        </is>
      </c>
      <c r="D594" s="16" t="inlineStr">
        <is>
          <t>Other Electrical Equipment/Products</t>
        </is>
      </c>
      <c r="E594" s="16" t="inlineStr">
        <is>
          <t>Consumer Durables</t>
        </is>
      </c>
      <c r="F594" s="17" t="n">
        <v>10277.32</v>
      </c>
      <c r="G594" s="16" t="inlineStr">
        <is>
          <t>GENUSPOWER</t>
        </is>
      </c>
      <c r="H594" s="16" t="inlineStr">
        <is>
          <t>530343</t>
        </is>
      </c>
      <c r="I594" s="27">
        <f>IFERROR(IF(INDEX(Stocks!$G$2:$G$2139,MATCH(A594,Stocks!$E$2:$E$2139,0))="","No","Yes"),"No")</f>
        <v/>
      </c>
    </row>
    <row r="595">
      <c r="A595" s="16" t="inlineStr">
        <is>
          <t>INE260D01016</t>
        </is>
      </c>
      <c r="B595" s="16" t="inlineStr">
        <is>
          <t>OLECTRA</t>
        </is>
      </c>
      <c r="C595" s="16" t="inlineStr">
        <is>
          <t>Olectra Greentech Ltd.</t>
        </is>
      </c>
      <c r="D595" s="16" t="inlineStr">
        <is>
          <t>Commercial Vehicles</t>
        </is>
      </c>
      <c r="E595" s="16" t="inlineStr">
        <is>
          <t>Automobiles &amp; Auto Components</t>
        </is>
      </c>
      <c r="F595" s="17" t="n">
        <v>10087.72</v>
      </c>
      <c r="G595" s="16" t="inlineStr">
        <is>
          <t>OLECTRA</t>
        </is>
      </c>
      <c r="H595" s="16" t="inlineStr">
        <is>
          <t>532439</t>
        </is>
      </c>
      <c r="I595" s="27">
        <f>IFERROR(IF(INDEX(Stocks!$G$2:$G$2139,MATCH(A595,Stocks!$E$2:$E$2139,0))="","No","Yes"),"No")</f>
        <v/>
      </c>
    </row>
    <row r="596">
      <c r="A596" s="16" t="inlineStr">
        <is>
          <t>INE0CLI01024</t>
        </is>
      </c>
      <c r="B596" s="16" t="inlineStr">
        <is>
          <t>RATEGAIN</t>
        </is>
      </c>
      <c r="C596" s="16" t="inlineStr">
        <is>
          <t>RateGain Travel Technologies Ltd.</t>
        </is>
      </c>
      <c r="D596" s="16" t="inlineStr">
        <is>
          <t>IT Software Products</t>
        </is>
      </c>
      <c r="E596" s="16" t="inlineStr">
        <is>
          <t>Software &amp; Services</t>
        </is>
      </c>
      <c r="F596" s="17" t="n">
        <v>10082.98</v>
      </c>
      <c r="G596" s="16" t="inlineStr">
        <is>
          <t>RATEGAIN</t>
        </is>
      </c>
      <c r="H596" s="16" t="inlineStr">
        <is>
          <t>543417</t>
        </is>
      </c>
      <c r="I596" s="27">
        <f>IFERROR(IF(INDEX(Stocks!$G$2:$G$2139,MATCH(A596,Stocks!$E$2:$E$2139,0))="","No","Yes"),"No")</f>
        <v/>
      </c>
    </row>
    <row r="597">
      <c r="A597" s="16" t="inlineStr">
        <is>
          <t>INE2KCE01013</t>
        </is>
      </c>
      <c r="B597" s="16" t="inlineStr">
        <is>
          <t>KWIL</t>
        </is>
      </c>
      <c r="C597" s="16" t="inlineStr">
        <is>
          <t>Kwality Wall's (India) Ltd.</t>
        </is>
      </c>
      <c r="D597" s="16" t="inlineStr">
        <is>
          <t>Packaged Foods</t>
        </is>
      </c>
      <c r="E597" s="16" t="inlineStr">
        <is>
          <t>FMCG</t>
        </is>
      </c>
      <c r="F597" s="17" t="n">
        <v>9896.48</v>
      </c>
      <c r="G597" s="16" t="inlineStr">
        <is>
          <t>KWIL</t>
        </is>
      </c>
      <c r="H597" s="16" t="inlineStr">
        <is>
          <t>544622</t>
        </is>
      </c>
      <c r="I597" s="27">
        <f>IFERROR(IF(INDEX(Stocks!$G$2:$G$2139,MATCH(A597,Stocks!$E$2:$E$2139,0))="","No","Yes"),"No")</f>
        <v/>
      </c>
    </row>
    <row r="598">
      <c r="A598" s="16" t="inlineStr">
        <is>
          <t>INE0FOO01011</t>
        </is>
      </c>
      <c r="B598" s="16" t="inlineStr">
        <is>
          <t>SHIPROCKET</t>
        </is>
      </c>
      <c r="C598" s="16" t="inlineStr">
        <is>
          <t>Shiprocket Ltd.</t>
        </is>
      </c>
      <c r="D598" s="16" t="inlineStr">
        <is>
          <t>IT Software Products</t>
        </is>
      </c>
      <c r="E598" s="16" t="inlineStr">
        <is>
          <t>Software &amp; Services</t>
        </is>
      </c>
      <c r="F598" s="17" t="n">
        <v>9889.23</v>
      </c>
      <c r="G598" s="16" t="inlineStr">
        <is>
          <t>SHIPROCKET</t>
        </is>
      </c>
      <c r="H598" s="16" t="inlineStr">
        <is>
          <t>544871</t>
        </is>
      </c>
      <c r="I598" s="27">
        <f>IFERROR(IF(INDEX(Stocks!$G$2:$G$2139,MATCH(A598,Stocks!$E$2:$E$2139,0))="","No","Yes"),"No")</f>
        <v/>
      </c>
    </row>
    <row r="599">
      <c r="A599" s="16" t="inlineStr">
        <is>
          <t>INE0KBH01020</t>
        </is>
      </c>
      <c r="B599" s="16" t="inlineStr">
        <is>
          <t>BLUEJET</t>
        </is>
      </c>
      <c r="C599" s="16" t="inlineStr">
        <is>
          <t>Blue Jet Healthcare Ltd</t>
        </is>
      </c>
      <c r="D599" s="16" t="inlineStr">
        <is>
          <t>Pharmaceuticals</t>
        </is>
      </c>
      <c r="E599" s="16" t="inlineStr">
        <is>
          <t>Pharmaceuticals &amp; Biotechnology</t>
        </is>
      </c>
      <c r="F599" s="17" t="n">
        <v>9884.059999999999</v>
      </c>
      <c r="G599" s="16" t="inlineStr">
        <is>
          <t>BLUEJET</t>
        </is>
      </c>
      <c r="H599" s="16" t="inlineStr">
        <is>
          <t>544009</t>
        </is>
      </c>
      <c r="I599" s="27">
        <f>IFERROR(IF(INDEX(Stocks!$G$2:$G$2139,MATCH(A599,Stocks!$E$2:$E$2139,0))="","No","Yes"),"No")</f>
        <v/>
      </c>
    </row>
    <row r="600">
      <c r="A600" s="16" t="inlineStr">
        <is>
          <t>INE811A01038</t>
        </is>
      </c>
      <c r="B600" s="16" t="inlineStr">
        <is>
          <t>KIRLPNU</t>
        </is>
      </c>
      <c r="C600" s="16" t="inlineStr">
        <is>
          <t>Kirloskar Pneumatic Company Ltd.</t>
        </is>
      </c>
      <c r="D600" s="16" t="inlineStr">
        <is>
          <t>Compressors &amp; Pumps</t>
        </is>
      </c>
      <c r="E600" s="16" t="inlineStr">
        <is>
          <t>General Industrials</t>
        </is>
      </c>
      <c r="F600" s="17" t="n">
        <v>9880.25</v>
      </c>
      <c r="G600" s="16" t="inlineStr">
        <is>
          <t>KIRLPNU</t>
        </is>
      </c>
      <c r="H600" s="16" t="inlineStr">
        <is>
          <t>505283</t>
        </is>
      </c>
      <c r="I600" s="27">
        <f>IFERROR(IF(INDEX(Stocks!$G$2:$G$2139,MATCH(A600,Stocks!$E$2:$E$2139,0))="","No","Yes"),"No")</f>
        <v/>
      </c>
    </row>
    <row r="601">
      <c r="A601" s="16" t="inlineStr">
        <is>
          <t>INE183A01024</t>
        </is>
      </c>
      <c r="B601" s="16" t="inlineStr">
        <is>
          <t>FINPIPE</t>
        </is>
      </c>
      <c r="C601" s="16" t="inlineStr">
        <is>
          <t>Finolex Industries Ltd.</t>
        </is>
      </c>
      <c r="D601" s="16" t="inlineStr">
        <is>
          <t>Plastic Products</t>
        </is>
      </c>
      <c r="E601" s="16" t="inlineStr">
        <is>
          <t>General Industrials</t>
        </is>
      </c>
      <c r="F601" s="17" t="n">
        <v>9842.629999999999</v>
      </c>
      <c r="G601" s="16" t="inlineStr">
        <is>
          <t>FINPIPE</t>
        </is>
      </c>
      <c r="H601" s="16" t="inlineStr">
        <is>
          <t>500940</t>
        </is>
      </c>
      <c r="I601" s="27">
        <f>IFERROR(IF(INDEX(Stocks!$G$2:$G$2139,MATCH(A601,Stocks!$E$2:$E$2139,0))="","No","Yes"),"No")</f>
        <v/>
      </c>
    </row>
    <row r="602">
      <c r="A602" s="16" t="inlineStr">
        <is>
          <t>INE153T01027</t>
        </is>
      </c>
      <c r="B602" s="16" t="inlineStr">
        <is>
          <t>BLS</t>
        </is>
      </c>
      <c r="C602" s="16" t="inlineStr">
        <is>
          <t>BLS International Services Ltd.</t>
        </is>
      </c>
      <c r="D602" s="16" t="inlineStr">
        <is>
          <t>Travel Support Services</t>
        </is>
      </c>
      <c r="E602" s="16" t="inlineStr">
        <is>
          <t>Diversified Consumer Services</t>
        </is>
      </c>
      <c r="F602" s="17" t="n">
        <v>9831.959999999999</v>
      </c>
      <c r="G602" s="16" t="inlineStr">
        <is>
          <t>BLS</t>
        </is>
      </c>
      <c r="H602" s="16" t="inlineStr">
        <is>
          <t>540073</t>
        </is>
      </c>
      <c r="I602" s="27">
        <f>IFERROR(IF(INDEX(Stocks!$G$2:$G$2139,MATCH(A602,Stocks!$E$2:$E$2139,0))="","No","Yes"),"No")</f>
        <v/>
      </c>
    </row>
    <row r="603">
      <c r="A603" s="16" t="inlineStr">
        <is>
          <t>INE0Q3J01015</t>
        </is>
      </c>
      <c r="B603" s="16" t="inlineStr">
        <is>
          <t>KRN</t>
        </is>
      </c>
      <c r="C603" s="16" t="inlineStr">
        <is>
          <t>KRN Heat Exchanger and Refrigeration Ltd.</t>
        </is>
      </c>
      <c r="D603" s="16" t="inlineStr">
        <is>
          <t>Electronic Components</t>
        </is>
      </c>
      <c r="E603" s="16" t="inlineStr">
        <is>
          <t>Commercial Services &amp; Supplies</t>
        </is>
      </c>
      <c r="F603" s="17" t="n">
        <v>9812.66</v>
      </c>
      <c r="G603" s="16" t="inlineStr">
        <is>
          <t>KRN</t>
        </is>
      </c>
      <c r="H603" s="16" t="inlineStr">
        <is>
          <t>544263</t>
        </is>
      </c>
      <c r="I603" s="27">
        <f>IFERROR(IF(INDEX(Stocks!$G$2:$G$2139,MATCH(A603,Stocks!$E$2:$E$2139,0))="","No","Yes"),"No")</f>
        <v/>
      </c>
    </row>
    <row r="604">
      <c r="A604" s="16" t="inlineStr">
        <is>
          <t>INE939A01011</t>
        </is>
      </c>
      <c r="B604" s="16" t="inlineStr">
        <is>
          <t>STAR</t>
        </is>
      </c>
      <c r="C604" s="16" t="inlineStr">
        <is>
          <t>Strides Pharma Science Ltd.</t>
        </is>
      </c>
      <c r="D604" s="16" t="inlineStr">
        <is>
          <t>Pharmaceuticals</t>
        </is>
      </c>
      <c r="E604" s="16" t="inlineStr">
        <is>
          <t>Pharmaceuticals &amp; Biotechnology</t>
        </is>
      </c>
      <c r="F604" s="17" t="n">
        <v>9766.620000000001</v>
      </c>
      <c r="G604" s="16" t="inlineStr">
        <is>
          <t>STAR</t>
        </is>
      </c>
      <c r="H604" s="16" t="inlineStr">
        <is>
          <t>532531</t>
        </is>
      </c>
      <c r="I604" s="27">
        <f>IFERROR(IF(INDEX(Stocks!$G$2:$G$2139,MATCH(A604,Stocks!$E$2:$E$2139,0))="","No","Yes"),"No")</f>
        <v/>
      </c>
    </row>
    <row r="605">
      <c r="A605" s="16" t="inlineStr">
        <is>
          <t>INE659A01023</t>
        </is>
      </c>
      <c r="B605" s="16" t="inlineStr">
        <is>
          <t>SUDARSCHEM</t>
        </is>
      </c>
      <c r="C605" s="16" t="inlineStr">
        <is>
          <t>Sudarshan Chemical Industries Ltd.</t>
        </is>
      </c>
      <c r="D605" s="16" t="inlineStr">
        <is>
          <t>Dyes &amp; Pigments</t>
        </is>
      </c>
      <c r="E605" s="16" t="inlineStr">
        <is>
          <t>Chemicals &amp; Petrochemicals</t>
        </is>
      </c>
      <c r="F605" s="17" t="n">
        <v>9735.49</v>
      </c>
      <c r="G605" s="16" t="inlineStr">
        <is>
          <t>SUDARSCHEM</t>
        </is>
      </c>
      <c r="H605" s="16" t="inlineStr">
        <is>
          <t>506655</t>
        </is>
      </c>
      <c r="I605" s="27">
        <f>IFERROR(IF(INDEX(Stocks!$G$2:$G$2139,MATCH(A605,Stocks!$E$2:$E$2139,0))="","No","Yes"),"No")</f>
        <v/>
      </c>
    </row>
    <row r="606">
      <c r="A606" s="16" t="inlineStr">
        <is>
          <t>INE205B01031</t>
        </is>
      </c>
      <c r="B606" s="16" t="inlineStr">
        <is>
          <t>ELECON</t>
        </is>
      </c>
      <c r="C606" s="16" t="inlineStr">
        <is>
          <t>Elecon Engineering Company Ltd.</t>
        </is>
      </c>
      <c r="D606" s="16" t="inlineStr">
        <is>
          <t>Industrial Machinery</t>
        </is>
      </c>
      <c r="E606" s="16" t="inlineStr">
        <is>
          <t>General Industrials</t>
        </is>
      </c>
      <c r="F606" s="17" t="n">
        <v>9733.35</v>
      </c>
      <c r="G606" s="16" t="inlineStr">
        <is>
          <t>ELECON</t>
        </is>
      </c>
      <c r="H606" s="16" t="inlineStr">
        <is>
          <t>505700</t>
        </is>
      </c>
      <c r="I606" s="27">
        <f>IFERROR(IF(INDEX(Stocks!$G$2:$G$2139,MATCH(A606,Stocks!$E$2:$E$2139,0))="","No","Yes"),"No")</f>
        <v/>
      </c>
    </row>
    <row r="607">
      <c r="A607" s="16" t="inlineStr">
        <is>
          <t>INE280B01018</t>
        </is>
      </c>
      <c r="B607" s="16" t="inlineStr">
        <is>
          <t>ELANTAS</t>
        </is>
      </c>
      <c r="C607" s="16" t="inlineStr">
        <is>
          <t>Elantas Beck India Ltd.</t>
        </is>
      </c>
      <c r="D607" s="16" t="inlineStr">
        <is>
          <t>Specialty Chemicals</t>
        </is>
      </c>
      <c r="E607" s="16" t="inlineStr">
        <is>
          <t>Chemicals &amp; Petrochemicals</t>
        </is>
      </c>
      <c r="F607" s="17" t="n">
        <v>9719.76</v>
      </c>
      <c r="G607" s="16" t="inlineStr"/>
      <c r="H607" s="16" t="inlineStr">
        <is>
          <t>500123</t>
        </is>
      </c>
      <c r="I607" s="27">
        <f>IFERROR(IF(INDEX(Stocks!$G$2:$G$2139,MATCH(A607,Stocks!$E$2:$E$2139,0))="","No","Yes"),"No")</f>
        <v/>
      </c>
    </row>
    <row r="608">
      <c r="A608" s="16" t="inlineStr">
        <is>
          <t>INE0UOS01011</t>
        </is>
      </c>
      <c r="B608" s="16" t="inlineStr">
        <is>
          <t>SANOFICONR</t>
        </is>
      </c>
      <c r="C608" s="16" t="inlineStr">
        <is>
          <t>Sanofi Consumer Healthcare India Ltd.</t>
        </is>
      </c>
      <c r="D608" s="16" t="inlineStr">
        <is>
          <t>Pharmaceuticals</t>
        </is>
      </c>
      <c r="E608" s="16" t="inlineStr">
        <is>
          <t>Pharmaceuticals &amp; Biotechnology</t>
        </is>
      </c>
      <c r="F608" s="17" t="n">
        <v>9676.77</v>
      </c>
      <c r="G608" s="16" t="inlineStr">
        <is>
          <t>SANOFICONR</t>
        </is>
      </c>
      <c r="H608" s="16" t="inlineStr">
        <is>
          <t>544250</t>
        </is>
      </c>
      <c r="I608" s="27">
        <f>IFERROR(IF(INDEX(Stocks!$G$2:$G$2139,MATCH(A608,Stocks!$E$2:$E$2139,0))="","No","Yes"),"No")</f>
        <v/>
      </c>
    </row>
    <row r="609">
      <c r="A609" s="16" t="inlineStr">
        <is>
          <t>INE001B01026</t>
        </is>
      </c>
      <c r="B609" s="16" t="inlineStr">
        <is>
          <t>KRBL</t>
        </is>
      </c>
      <c r="C609" s="16" t="inlineStr">
        <is>
          <t>KRBL Ltd.</t>
        </is>
      </c>
      <c r="D609" s="16" t="inlineStr">
        <is>
          <t>Other Agricultural Products</t>
        </is>
      </c>
      <c r="E609" s="16" t="inlineStr">
        <is>
          <t>Food, Beverages &amp; Tobacco</t>
        </is>
      </c>
      <c r="F609" s="17" t="n">
        <v>9658.01</v>
      </c>
      <c r="G609" s="16" t="inlineStr">
        <is>
          <t>KRBL</t>
        </is>
      </c>
      <c r="H609" s="16" t="inlineStr">
        <is>
          <t>530813</t>
        </is>
      </c>
      <c r="I609" s="27">
        <f>IFERROR(IF(INDEX(Stocks!$G$2:$G$2139,MATCH(A609,Stocks!$E$2:$E$2139,0))="","No","Yes"),"No")</f>
        <v/>
      </c>
    </row>
    <row r="610">
      <c r="A610" s="16" t="inlineStr">
        <is>
          <t>INE306R01017</t>
        </is>
      </c>
      <c r="B610" s="16" t="inlineStr">
        <is>
          <t>INTELLECT</t>
        </is>
      </c>
      <c r="C610" s="16" t="inlineStr">
        <is>
          <t>Intellect Design Arena Ltd.</t>
        </is>
      </c>
      <c r="D610" s="16" t="inlineStr">
        <is>
          <t>IT Software Products</t>
        </is>
      </c>
      <c r="E610" s="16" t="inlineStr">
        <is>
          <t>Software &amp; Services</t>
        </is>
      </c>
      <c r="F610" s="17" t="n">
        <v>9637.59</v>
      </c>
      <c r="G610" s="16" t="inlineStr">
        <is>
          <t>INTELLECT</t>
        </is>
      </c>
      <c r="H610" s="16" t="inlineStr">
        <is>
          <t>538835</t>
        </is>
      </c>
      <c r="I610" s="27">
        <f>IFERROR(IF(INDEX(Stocks!$G$2:$G$2139,MATCH(A610,Stocks!$E$2:$E$2139,0))="","No","Yes"),"No")</f>
        <v/>
      </c>
    </row>
    <row r="611">
      <c r="A611" s="16" t="inlineStr">
        <is>
          <t>INE123F01029</t>
        </is>
      </c>
      <c r="B611" s="16" t="inlineStr">
        <is>
          <t>MMTC</t>
        </is>
      </c>
      <c r="C611" s="16" t="inlineStr">
        <is>
          <t>MMTC Ltd.</t>
        </is>
      </c>
      <c r="D611" s="16" t="inlineStr">
        <is>
          <t>Commodity Trading  &amp; Distribution</t>
        </is>
      </c>
      <c r="E611" s="16" t="inlineStr">
        <is>
          <t>Commercial Services &amp; Supplies</t>
        </is>
      </c>
      <c r="F611" s="17" t="n">
        <v>9627</v>
      </c>
      <c r="G611" s="16" t="inlineStr">
        <is>
          <t>MMTC</t>
        </is>
      </c>
      <c r="H611" s="16" t="inlineStr">
        <is>
          <t>513377</t>
        </is>
      </c>
      <c r="I611" s="27">
        <f>IFERROR(IF(INDEX(Stocks!$G$2:$G$2139,MATCH(A611,Stocks!$E$2:$E$2139,0))="","No","Yes"),"No")</f>
        <v/>
      </c>
    </row>
    <row r="612">
      <c r="A612" s="16" t="inlineStr">
        <is>
          <t>INE149K01016</t>
        </is>
      </c>
      <c r="B612" s="16" t="inlineStr">
        <is>
          <t>SANDUMA</t>
        </is>
      </c>
      <c r="C612" s="16" t="inlineStr">
        <is>
          <t>Sandur Manganese &amp; Iron Ores Ltd.</t>
        </is>
      </c>
      <c r="D612" s="16" t="inlineStr">
        <is>
          <t>Coal &amp; Mining</t>
        </is>
      </c>
      <c r="E612" s="16" t="inlineStr">
        <is>
          <t>Metals &amp; Mining</t>
        </is>
      </c>
      <c r="F612" s="17" t="n">
        <v>9616.610000000001</v>
      </c>
      <c r="G612" s="16" t="inlineStr">
        <is>
          <t>SANDUMA</t>
        </is>
      </c>
      <c r="H612" s="16" t="inlineStr">
        <is>
          <t>504918</t>
        </is>
      </c>
      <c r="I612" s="27">
        <f>IFERROR(IF(INDEX(Stocks!$G$2:$G$2139,MATCH(A612,Stocks!$E$2:$E$2139,0))="","No","Yes"),"No")</f>
        <v/>
      </c>
    </row>
    <row r="613">
      <c r="A613" s="16" t="inlineStr">
        <is>
          <t>INE0YD401026</t>
        </is>
      </c>
      <c r="B613" s="16" t="inlineStr">
        <is>
          <t>JAINREC</t>
        </is>
      </c>
      <c r="C613" s="16" t="inlineStr">
        <is>
          <t>Jain Resource Recycling Ltd.</t>
        </is>
      </c>
      <c r="D613" s="16" t="inlineStr">
        <is>
          <t>Other Non-Ferrous Metals</t>
        </is>
      </c>
      <c r="E613" s="16" t="inlineStr">
        <is>
          <t>Metals &amp; Mining</t>
        </is>
      </c>
      <c r="F613" s="17" t="n">
        <v>9591.66</v>
      </c>
      <c r="G613" s="16" t="inlineStr">
        <is>
          <t>JAINREC</t>
        </is>
      </c>
      <c r="H613" s="16" t="inlineStr">
        <is>
          <t>544537</t>
        </is>
      </c>
      <c r="I613" s="27">
        <f>IFERROR(IF(INDEX(Stocks!$G$2:$G$2139,MATCH(A613,Stocks!$E$2:$E$2139,0))="","No","Yes"),"No")</f>
        <v/>
      </c>
    </row>
    <row r="614">
      <c r="A614" s="16" t="inlineStr">
        <is>
          <t>INE0JO301016</t>
        </is>
      </c>
      <c r="B614" s="16" t="inlineStr">
        <is>
          <t>YATHARTH</t>
        </is>
      </c>
      <c r="C614" s="16" t="inlineStr">
        <is>
          <t>Yatharth Hospital &amp; Trauma Care Services Ltd.</t>
        </is>
      </c>
      <c r="D614" s="16" t="inlineStr">
        <is>
          <t>Healthcare Facilities</t>
        </is>
      </c>
      <c r="E614" s="16" t="inlineStr">
        <is>
          <t>Healthcare</t>
        </is>
      </c>
      <c r="F614" s="17" t="n">
        <v>9549.68</v>
      </c>
      <c r="G614" s="16" t="inlineStr">
        <is>
          <t>YATHARTH</t>
        </is>
      </c>
      <c r="H614" s="16" t="inlineStr">
        <is>
          <t>543950</t>
        </is>
      </c>
      <c r="I614" s="27">
        <f>IFERROR(IF(INDEX(Stocks!$G$2:$G$2139,MATCH(A614,Stocks!$E$2:$E$2139,0))="","No","Yes"),"No")</f>
        <v/>
      </c>
    </row>
    <row r="615">
      <c r="A615" s="16" t="inlineStr">
        <is>
          <t>INE979A01025</t>
        </is>
      </c>
      <c r="B615" s="16" t="inlineStr">
        <is>
          <t>SAREGAMA</t>
        </is>
      </c>
      <c r="C615" s="16" t="inlineStr">
        <is>
          <t>Saregama India Ltd.</t>
        </is>
      </c>
      <c r="D615" s="16" t="inlineStr">
        <is>
          <t>Movies &amp; Entertainment</t>
        </is>
      </c>
      <c r="E615" s="16" t="inlineStr">
        <is>
          <t>Media</t>
        </is>
      </c>
      <c r="F615" s="17" t="n">
        <v>9500.690000000001</v>
      </c>
      <c r="G615" s="16" t="inlineStr">
        <is>
          <t>SAREGAMA</t>
        </is>
      </c>
      <c r="H615" s="16" t="inlineStr">
        <is>
          <t>532163</t>
        </is>
      </c>
      <c r="I615" s="27">
        <f>IFERROR(IF(INDEX(Stocks!$G$2:$G$2139,MATCH(A615,Stocks!$E$2:$E$2139,0))="","No","Yes"),"No")</f>
        <v/>
      </c>
    </row>
    <row r="616">
      <c r="A616" s="16" t="inlineStr">
        <is>
          <t>INE0V9Q01010</t>
        </is>
      </c>
      <c r="B616" s="16" t="inlineStr">
        <is>
          <t>LOTUSDEV</t>
        </is>
      </c>
      <c r="C616" s="16" t="inlineStr">
        <is>
          <t>Sri Lotus Developers and Realty Ltd.</t>
        </is>
      </c>
      <c r="D616" s="16" t="inlineStr">
        <is>
          <t>Realty</t>
        </is>
      </c>
      <c r="E616" s="16" t="inlineStr">
        <is>
          <t>Realty</t>
        </is>
      </c>
      <c r="F616" s="17" t="n">
        <v>9444.59</v>
      </c>
      <c r="G616" s="16" t="inlineStr">
        <is>
          <t>LOTUSDEV</t>
        </is>
      </c>
      <c r="H616" s="16" t="inlineStr">
        <is>
          <t>544469</t>
        </is>
      </c>
      <c r="I616" s="27">
        <f>IFERROR(IF(INDEX(Stocks!$G$2:$G$2139,MATCH(A616,Stocks!$E$2:$E$2139,0))="","No","Yes"),"No")</f>
        <v/>
      </c>
    </row>
    <row r="617">
      <c r="A617" s="16" t="inlineStr">
        <is>
          <t>INE02RE01045</t>
        </is>
      </c>
      <c r="B617" s="16" t="inlineStr">
        <is>
          <t>FIRSTCRY</t>
        </is>
      </c>
      <c r="C617" s="16" t="inlineStr">
        <is>
          <t>Brainbees Solutions Ltd.</t>
        </is>
      </c>
      <c r="D617" s="16" t="inlineStr">
        <is>
          <t>Internet &amp; Catalogue Retail</t>
        </is>
      </c>
      <c r="E617" s="16" t="inlineStr">
        <is>
          <t>Retailing</t>
        </is>
      </c>
      <c r="F617" s="17" t="n">
        <v>9405.940000000001</v>
      </c>
      <c r="G617" s="16" t="inlineStr">
        <is>
          <t>FIRSTCRY</t>
        </is>
      </c>
      <c r="H617" s="16" t="inlineStr">
        <is>
          <t>544226</t>
        </is>
      </c>
      <c r="I617" s="27">
        <f>IFERROR(IF(INDEX(Stocks!$G$2:$G$2139,MATCH(A617,Stocks!$E$2:$E$2139,0))="","No","Yes"),"No")</f>
        <v/>
      </c>
    </row>
    <row r="618">
      <c r="A618" s="16" t="inlineStr">
        <is>
          <t>INE868B01028</t>
        </is>
      </c>
      <c r="B618" s="16" t="inlineStr">
        <is>
          <t>NCC</t>
        </is>
      </c>
      <c r="C618" s="16" t="inlineStr">
        <is>
          <t>NCC Ltd.</t>
        </is>
      </c>
      <c r="D618" s="16" t="inlineStr">
        <is>
          <t>Construction &amp; Engineering</t>
        </is>
      </c>
      <c r="E618" s="16" t="inlineStr">
        <is>
          <t>Cement and Construction</t>
        </is>
      </c>
      <c r="F618" s="17" t="n">
        <v>9398.860000000001</v>
      </c>
      <c r="G618" s="16" t="inlineStr">
        <is>
          <t>NCC</t>
        </is>
      </c>
      <c r="H618" s="16" t="inlineStr">
        <is>
          <t>500294</t>
        </is>
      </c>
      <c r="I618" s="27">
        <f>IFERROR(IF(INDEX(Stocks!$G$2:$G$2139,MATCH(A618,Stocks!$E$2:$E$2139,0))="","No","Yes"),"No")</f>
        <v/>
      </c>
    </row>
    <row r="619">
      <c r="A619" s="16" t="inlineStr">
        <is>
          <t>INE199A01012</t>
        </is>
      </c>
      <c r="B619" s="16" t="inlineStr">
        <is>
          <t>PGHL</t>
        </is>
      </c>
      <c r="C619" s="16" t="inlineStr">
        <is>
          <t>Procter &amp; Gamble Health Ltd.</t>
        </is>
      </c>
      <c r="D619" s="16" t="inlineStr">
        <is>
          <t>Pharmaceuticals</t>
        </is>
      </c>
      <c r="E619" s="16" t="inlineStr">
        <is>
          <t>Pharmaceuticals &amp; Biotechnology</t>
        </is>
      </c>
      <c r="F619" s="17" t="n">
        <v>9395.26</v>
      </c>
      <c r="G619" s="16" t="inlineStr">
        <is>
          <t>PGHL</t>
        </is>
      </c>
      <c r="H619" s="16" t="inlineStr">
        <is>
          <t>500126</t>
        </is>
      </c>
      <c r="I619" s="27">
        <f>IFERROR(IF(INDEX(Stocks!$G$2:$G$2139,MATCH(A619,Stocks!$E$2:$E$2139,0))="","No","Yes"),"No")</f>
        <v/>
      </c>
    </row>
    <row r="620">
      <c r="A620" s="16" t="inlineStr">
        <is>
          <t>INE682M01020</t>
        </is>
      </c>
      <c r="B620" s="16" t="inlineStr">
        <is>
          <t>JLHL</t>
        </is>
      </c>
      <c r="C620" s="16" t="inlineStr">
        <is>
          <t>Jupiter Life Line Hospitals Ltd.</t>
        </is>
      </c>
      <c r="D620" s="16" t="inlineStr">
        <is>
          <t>Healthcare Facilities</t>
        </is>
      </c>
      <c r="E620" s="16" t="inlineStr">
        <is>
          <t>Healthcare</t>
        </is>
      </c>
      <c r="F620" s="17" t="n">
        <v>9390.690000000001</v>
      </c>
      <c r="G620" s="16" t="inlineStr">
        <is>
          <t>JLHL</t>
        </is>
      </c>
      <c r="H620" s="16" t="inlineStr">
        <is>
          <t>543980</t>
        </is>
      </c>
      <c r="I620" s="27">
        <f>IFERROR(IF(INDEX(Stocks!$G$2:$G$2139,MATCH(A620,Stocks!$E$2:$E$2139,0))="","No","Yes"),"No")</f>
        <v/>
      </c>
    </row>
    <row r="621">
      <c r="A621" s="16" t="inlineStr">
        <is>
          <t>INE284A01012</t>
        </is>
      </c>
      <c r="B621" s="16" t="inlineStr">
        <is>
          <t>ESABINDIA</t>
        </is>
      </c>
      <c r="C621" s="16" t="inlineStr">
        <is>
          <t>Esab India Ltd.</t>
        </is>
      </c>
      <c r="D621" s="16" t="inlineStr">
        <is>
          <t>Other Industrial Goods</t>
        </is>
      </c>
      <c r="E621" s="16" t="inlineStr">
        <is>
          <t>General Industrials</t>
        </is>
      </c>
      <c r="F621" s="17" t="n">
        <v>9339.700000000001</v>
      </c>
      <c r="G621" s="16" t="inlineStr">
        <is>
          <t>ESABINDIA</t>
        </is>
      </c>
      <c r="H621" s="16" t="inlineStr">
        <is>
          <t>500133</t>
        </is>
      </c>
      <c r="I621" s="27">
        <f>IFERROR(IF(INDEX(Stocks!$G$2:$G$2139,MATCH(A621,Stocks!$E$2:$E$2139,0))="","No","Yes"),"No")</f>
        <v/>
      </c>
    </row>
    <row r="622">
      <c r="A622" s="16" t="inlineStr">
        <is>
          <t>INE726V01018</t>
        </is>
      </c>
      <c r="B622" s="16" t="inlineStr">
        <is>
          <t>PRICOLLTD</t>
        </is>
      </c>
      <c r="C622" s="16" t="inlineStr">
        <is>
          <t>Pricol Ltd.</t>
        </is>
      </c>
      <c r="D622" s="16" t="inlineStr">
        <is>
          <t>Auto Parts &amp; Equipment</t>
        </is>
      </c>
      <c r="E622" s="16" t="inlineStr">
        <is>
          <t>Automobiles &amp; Auto Components</t>
        </is>
      </c>
      <c r="F622" s="17" t="n">
        <v>9323.33</v>
      </c>
      <c r="G622" s="16" t="inlineStr">
        <is>
          <t>PRICOLLTD</t>
        </is>
      </c>
      <c r="H622" s="16" t="inlineStr">
        <is>
          <t>540293</t>
        </is>
      </c>
      <c r="I622" s="27">
        <f>IFERROR(IF(INDEX(Stocks!$G$2:$G$2139,MATCH(A622,Stocks!$E$2:$E$2139,0))="","No","Yes"),"No")</f>
        <v/>
      </c>
    </row>
    <row r="623">
      <c r="A623" s="16" t="inlineStr">
        <is>
          <t>INE508G01029</t>
        </is>
      </c>
      <c r="B623" s="16" t="inlineStr">
        <is>
          <t>TIMETECHNO</t>
        </is>
      </c>
      <c r="C623" s="16" t="inlineStr">
        <is>
          <t>Time Technoplast Ltd.</t>
        </is>
      </c>
      <c r="D623" s="16" t="inlineStr">
        <is>
          <t>Plastic Products</t>
        </is>
      </c>
      <c r="E623" s="16" t="inlineStr">
        <is>
          <t>General Industrials</t>
        </is>
      </c>
      <c r="F623" s="17" t="n">
        <v>9304.530000000001</v>
      </c>
      <c r="G623" s="16" t="inlineStr">
        <is>
          <t>TIMETECHNO</t>
        </is>
      </c>
      <c r="H623" s="16" t="inlineStr">
        <is>
          <t>532856</t>
        </is>
      </c>
      <c r="I623" s="27">
        <f>IFERROR(IF(INDEX(Stocks!$G$2:$G$2139,MATCH(A623,Stocks!$E$2:$E$2139,0))="","No","Yes"),"No")</f>
        <v/>
      </c>
    </row>
    <row r="624">
      <c r="A624" s="16" t="inlineStr">
        <is>
          <t>INE085001019</t>
        </is>
      </c>
      <c r="B624" s="16" t="inlineStr">
        <is>
          <t>WEWORK</t>
        </is>
      </c>
      <c r="C624" s="16" t="inlineStr">
        <is>
          <t>WeWork India Management Ltd.</t>
        </is>
      </c>
      <c r="D624" s="16" t="inlineStr">
        <is>
          <t>Special Consumer Services</t>
        </is>
      </c>
      <c r="E624" s="16" t="inlineStr">
        <is>
          <t>Diversified Consumer Services</t>
        </is>
      </c>
      <c r="F624" s="17" t="n">
        <v>9243.280000000001</v>
      </c>
      <c r="G624" s="16" t="inlineStr">
        <is>
          <t>WEWORK</t>
        </is>
      </c>
      <c r="H624" s="16" t="inlineStr">
        <is>
          <t>544570</t>
        </is>
      </c>
      <c r="I624" s="27">
        <f>IFERROR(IF(INDEX(Stocks!$G$2:$G$2139,MATCH(A624,Stocks!$E$2:$E$2139,0))="","No","Yes"),"No")</f>
        <v/>
      </c>
    </row>
    <row r="625">
      <c r="A625" s="16" t="inlineStr">
        <is>
          <t>INE271B01025</t>
        </is>
      </c>
      <c r="B625" s="16" t="inlineStr">
        <is>
          <t>MAHSEAMLES</t>
        </is>
      </c>
      <c r="C625" s="16" t="inlineStr">
        <is>
          <t>Maharashtra Seamless Ltd.</t>
        </is>
      </c>
      <c r="D625" s="16" t="inlineStr">
        <is>
          <t>Iron &amp; Steel/Interm.Products</t>
        </is>
      </c>
      <c r="E625" s="16" t="inlineStr">
        <is>
          <t>Metals &amp; Mining</t>
        </is>
      </c>
      <c r="F625" s="17" t="n">
        <v>9220.49</v>
      </c>
      <c r="G625" s="16" t="inlineStr">
        <is>
          <t>MAHSEAMLES</t>
        </is>
      </c>
      <c r="H625" s="16" t="inlineStr">
        <is>
          <t>500265</t>
        </is>
      </c>
      <c r="I625" s="27">
        <f>IFERROR(IF(INDEX(Stocks!$G$2:$G$2139,MATCH(A625,Stocks!$E$2:$E$2139,0))="","No","Yes"),"No")</f>
        <v/>
      </c>
    </row>
    <row r="626">
      <c r="A626" s="16" t="inlineStr">
        <is>
          <t>INE594H01019</t>
        </is>
      </c>
      <c r="B626" s="16" t="inlineStr">
        <is>
          <t>THYROCARE</t>
        </is>
      </c>
      <c r="C626" s="16" t="inlineStr">
        <is>
          <t>Thyrocare Technologies Ltd.</t>
        </is>
      </c>
      <c r="D626" s="16" t="inlineStr">
        <is>
          <t>Healthcare Services</t>
        </is>
      </c>
      <c r="E626" s="16" t="inlineStr">
        <is>
          <t>Healthcare</t>
        </is>
      </c>
      <c r="F626" s="17" t="n">
        <v>9170.309999999999</v>
      </c>
      <c r="G626" s="16" t="inlineStr">
        <is>
          <t>THYROCARE</t>
        </is>
      </c>
      <c r="H626" s="16" t="inlineStr">
        <is>
          <t>539871</t>
        </is>
      </c>
      <c r="I626" s="27">
        <f>IFERROR(IF(INDEX(Stocks!$G$2:$G$2139,MATCH(A626,Stocks!$E$2:$E$2139,0))="","No","Yes"),"No")</f>
        <v/>
      </c>
    </row>
    <row r="627">
      <c r="A627" s="16" t="inlineStr">
        <is>
          <t>INE0DRI01029</t>
        </is>
      </c>
      <c r="B627" s="16" t="inlineStr">
        <is>
          <t>ESDS</t>
        </is>
      </c>
      <c r="C627" s="16" t="inlineStr">
        <is>
          <t>ESDS Software Solution Ltd.</t>
        </is>
      </c>
      <c r="D627" s="16" t="inlineStr">
        <is>
          <t>Data Processing Services</t>
        </is>
      </c>
      <c r="E627" s="16" t="inlineStr">
        <is>
          <t>Software &amp; Services</t>
        </is>
      </c>
      <c r="F627" s="17" t="n">
        <v>9161.74</v>
      </c>
      <c r="G627" s="16" t="inlineStr">
        <is>
          <t>ESDS</t>
        </is>
      </c>
      <c r="H627" s="16" t="inlineStr">
        <is>
          <t>544898</t>
        </is>
      </c>
      <c r="I627" s="27">
        <f>IFERROR(IF(INDEX(Stocks!$G$2:$G$2139,MATCH(A627,Stocks!$E$2:$E$2139,0))="","No","Yes"),"No")</f>
        <v/>
      </c>
    </row>
    <row r="628">
      <c r="A628" s="16" t="inlineStr">
        <is>
          <t>INE614G01033</t>
        </is>
      </c>
      <c r="B628" s="16" t="inlineStr">
        <is>
          <t>RPOWER</t>
        </is>
      </c>
      <c r="C628" s="16" t="inlineStr">
        <is>
          <t>Reliance Power Ltd.</t>
        </is>
      </c>
      <c r="D628" s="16" t="inlineStr">
        <is>
          <t>Power - Electric Utilities</t>
        </is>
      </c>
      <c r="E628" s="16" t="inlineStr">
        <is>
          <t>Utilities</t>
        </is>
      </c>
      <c r="F628" s="17" t="n">
        <v>9131.780000000001</v>
      </c>
      <c r="G628" s="16" t="inlineStr">
        <is>
          <t>RPOWER</t>
        </is>
      </c>
      <c r="H628" s="16" t="inlineStr">
        <is>
          <t>532939</t>
        </is>
      </c>
      <c r="I628" s="27">
        <f>IFERROR(IF(INDEX(Stocks!$G$2:$G$2139,MATCH(A628,Stocks!$E$2:$E$2139,0))="","No","Yes"),"No")</f>
        <v/>
      </c>
    </row>
    <row r="629">
      <c r="A629" s="16" t="inlineStr">
        <is>
          <t>INE294B01019</t>
        </is>
      </c>
      <c r="B629" s="16" t="inlineStr">
        <is>
          <t>SMLMAH</t>
        </is>
      </c>
      <c r="C629" s="16" t="inlineStr">
        <is>
          <t>SML Mahindra Ltd.</t>
        </is>
      </c>
      <c r="D629" s="16" t="inlineStr">
        <is>
          <t>Commercial Vehicles</t>
        </is>
      </c>
      <c r="E629" s="16" t="inlineStr">
        <is>
          <t>Automobiles &amp; Auto Components</t>
        </is>
      </c>
      <c r="F629" s="17" t="n">
        <v>9114.940000000001</v>
      </c>
      <c r="G629" s="16" t="inlineStr">
        <is>
          <t>SMLMAH</t>
        </is>
      </c>
      <c r="H629" s="16" t="inlineStr">
        <is>
          <t>505192</t>
        </is>
      </c>
      <c r="I629" s="27">
        <f>IFERROR(IF(INDEX(Stocks!$G$2:$G$2139,MATCH(A629,Stocks!$E$2:$E$2139,0))="","No","Yes"),"No")</f>
        <v/>
      </c>
    </row>
    <row r="630">
      <c r="A630" s="16" t="inlineStr">
        <is>
          <t>INE763I01026</t>
        </is>
      </c>
      <c r="B630" s="16" t="inlineStr">
        <is>
          <t>TARIL</t>
        </is>
      </c>
      <c r="C630" s="16" t="inlineStr">
        <is>
          <t>Transformers &amp; Rectifiers (India) Ltd.</t>
        </is>
      </c>
      <c r="D630" s="16" t="inlineStr">
        <is>
          <t>Heavy Electrical Equipment</t>
        </is>
      </c>
      <c r="E630" s="16" t="inlineStr">
        <is>
          <t>General Industrials</t>
        </is>
      </c>
      <c r="F630" s="17" t="n">
        <v>9033.49</v>
      </c>
      <c r="G630" s="16" t="inlineStr">
        <is>
          <t>TARIL</t>
        </is>
      </c>
      <c r="H630" s="16" t="inlineStr">
        <is>
          <t>532928</t>
        </is>
      </c>
      <c r="I630" s="27">
        <f>IFERROR(IF(INDEX(Stocks!$G$2:$G$2139,MATCH(A630,Stocks!$E$2:$E$2139,0))="","No","Yes"),"No")</f>
        <v/>
      </c>
    </row>
    <row r="631">
      <c r="A631" s="16" t="inlineStr">
        <is>
          <t>INE202Z01029</t>
        </is>
      </c>
      <c r="B631" s="16" t="inlineStr">
        <is>
          <t>TSFINV</t>
        </is>
      </c>
      <c r="C631" s="16" t="inlineStr">
        <is>
          <t>TSF Investments Ltd.</t>
        </is>
      </c>
      <c r="D631" s="16" t="inlineStr">
        <is>
          <t>Investment Companies</t>
        </is>
      </c>
      <c r="E631" s="16" t="inlineStr">
        <is>
          <t>Others</t>
        </is>
      </c>
      <c r="F631" s="17" t="n">
        <v>8988.540000000001</v>
      </c>
      <c r="G631" s="16" t="inlineStr">
        <is>
          <t>TSFINV</t>
        </is>
      </c>
      <c r="H631" s="16" t="inlineStr"/>
      <c r="I631" s="27">
        <f>IFERROR(IF(INDEX(Stocks!$G$2:$G$2139,MATCH(A631,Stocks!$E$2:$E$2139,0))="","No","Yes"),"No")</f>
        <v/>
      </c>
    </row>
    <row r="632">
      <c r="A632" s="16" t="inlineStr">
        <is>
          <t>INE299N01021</t>
        </is>
      </c>
      <c r="B632" s="16" t="inlineStr">
        <is>
          <t>WAAREERTL</t>
        </is>
      </c>
      <c r="C632" s="16" t="inlineStr">
        <is>
          <t>Waaree Renewable Technologies Ltd.</t>
        </is>
      </c>
      <c r="D632" s="16" t="inlineStr">
        <is>
          <t>Power - Electric Utilities</t>
        </is>
      </c>
      <c r="E632" s="16" t="inlineStr">
        <is>
          <t>Utilities</t>
        </is>
      </c>
      <c r="F632" s="17" t="n">
        <v>8965.65</v>
      </c>
      <c r="G632" s="16" t="inlineStr">
        <is>
          <t>WAAREERTL</t>
        </is>
      </c>
      <c r="H632" s="16" t="inlineStr">
        <is>
          <t>534618</t>
        </is>
      </c>
      <c r="I632" s="27">
        <f>IFERROR(IF(INDEX(Stocks!$G$2:$G$2139,MATCH(A632,Stocks!$E$2:$E$2139,0))="","No","Yes"),"No")</f>
        <v/>
      </c>
    </row>
    <row r="633">
      <c r="A633" s="16" t="inlineStr">
        <is>
          <t>INE953R01016</t>
        </is>
      </c>
      <c r="B633" s="16" t="inlineStr">
        <is>
          <t>PNGJL</t>
        </is>
      </c>
      <c r="C633" s="16" t="inlineStr">
        <is>
          <t>P N Gadgil Jewellers Ltd.</t>
        </is>
      </c>
      <c r="D633" s="16" t="inlineStr">
        <is>
          <t>Gems &amp; Jewellery</t>
        </is>
      </c>
      <c r="E633" s="16" t="inlineStr">
        <is>
          <t>Textiles Apparels &amp; Accessories</t>
        </is>
      </c>
      <c r="F633" s="17" t="n">
        <v>8965.370000000001</v>
      </c>
      <c r="G633" s="16" t="inlineStr">
        <is>
          <t>PNGJL</t>
        </is>
      </c>
      <c r="H633" s="16" t="inlineStr">
        <is>
          <t>544256</t>
        </is>
      </c>
      <c r="I633" s="27">
        <f>IFERROR(IF(INDEX(Stocks!$G$2:$G$2139,MATCH(A633,Stocks!$E$2:$E$2139,0))="","No","Yes"),"No")</f>
        <v/>
      </c>
    </row>
    <row r="634">
      <c r="A634" s="16" t="inlineStr">
        <is>
          <t>INE213C01025</t>
        </is>
      </c>
      <c r="B634" s="16" t="inlineStr">
        <is>
          <t>BANCOINDIA</t>
        </is>
      </c>
      <c r="C634" s="16" t="inlineStr">
        <is>
          <t>Banco Products (India) Ltd.</t>
        </is>
      </c>
      <c r="D634" s="16" t="inlineStr">
        <is>
          <t>Auto Parts &amp; Equipment</t>
        </is>
      </c>
      <c r="E634" s="16" t="inlineStr">
        <is>
          <t>Automobiles &amp; Auto Components</t>
        </is>
      </c>
      <c r="F634" s="17" t="n">
        <v>8918.379999999999</v>
      </c>
      <c r="G634" s="16" t="inlineStr">
        <is>
          <t>BANCOINDIA</t>
        </is>
      </c>
      <c r="H634" s="16" t="inlineStr">
        <is>
          <t>500039</t>
        </is>
      </c>
      <c r="I634" s="27">
        <f>IFERROR(IF(INDEX(Stocks!$G$2:$G$2139,MATCH(A634,Stocks!$E$2:$E$2139,0))="","No","Yes"),"No")</f>
        <v/>
      </c>
    </row>
    <row r="635">
      <c r="A635" s="16" t="inlineStr">
        <is>
          <t>INE483B01026</t>
        </is>
      </c>
      <c r="B635" s="16" t="inlineStr">
        <is>
          <t>ICIL</t>
        </is>
      </c>
      <c r="C635" s="16" t="inlineStr">
        <is>
          <t>Indo Count Industries Ltd.</t>
        </is>
      </c>
      <c r="D635" s="16" t="inlineStr">
        <is>
          <t>Textiles</t>
        </is>
      </c>
      <c r="E635" s="16" t="inlineStr">
        <is>
          <t>Textiles Apparels &amp; Accessories</t>
        </is>
      </c>
      <c r="F635" s="17" t="n">
        <v>8908.48</v>
      </c>
      <c r="G635" s="16" t="inlineStr">
        <is>
          <t>ICIL</t>
        </is>
      </c>
      <c r="H635" s="16" t="inlineStr">
        <is>
          <t>521016</t>
        </is>
      </c>
      <c r="I635" s="27">
        <f>IFERROR(IF(INDEX(Stocks!$G$2:$G$2139,MATCH(A635,Stocks!$E$2:$E$2139,0))="","No","Yes"),"No")</f>
        <v/>
      </c>
    </row>
    <row r="636">
      <c r="A636" s="16" t="inlineStr">
        <is>
          <t>INE227W01023</t>
        </is>
      </c>
      <c r="B636" s="16" t="inlineStr">
        <is>
          <t>CLEAN</t>
        </is>
      </c>
      <c r="C636" s="16" t="inlineStr">
        <is>
          <t>Clean Science &amp; Technology Ltd.</t>
        </is>
      </c>
      <c r="D636" s="16" t="inlineStr">
        <is>
          <t>Specialty Chemicals</t>
        </is>
      </c>
      <c r="E636" s="16" t="inlineStr">
        <is>
          <t>Chemicals &amp; Petrochemicals</t>
        </is>
      </c>
      <c r="F636" s="17" t="n">
        <v>8886.950000000001</v>
      </c>
      <c r="G636" s="16" t="inlineStr">
        <is>
          <t>CLEAN</t>
        </is>
      </c>
      <c r="H636" s="16" t="inlineStr">
        <is>
          <t>543318</t>
        </is>
      </c>
      <c r="I636" s="27">
        <f>IFERROR(IF(INDEX(Stocks!$G$2:$G$2139,MATCH(A636,Stocks!$E$2:$E$2139,0))="","No","Yes"),"No")</f>
        <v/>
      </c>
    </row>
    <row r="637">
      <c r="A637" s="16" t="inlineStr">
        <is>
          <t>INE03EI01018</t>
        </is>
      </c>
      <c r="B637" s="16" t="inlineStr">
        <is>
          <t>MAXESTATES</t>
        </is>
      </c>
      <c r="C637" s="16" t="inlineStr">
        <is>
          <t>Max Estates Ltd.</t>
        </is>
      </c>
      <c r="D637" s="16" t="inlineStr">
        <is>
          <t>Realty</t>
        </is>
      </c>
      <c r="E637" s="16" t="inlineStr">
        <is>
          <t>Realty</t>
        </is>
      </c>
      <c r="F637" s="17" t="n">
        <v>8866.85</v>
      </c>
      <c r="G637" s="16" t="inlineStr">
        <is>
          <t>MAXESTATES</t>
        </is>
      </c>
      <c r="H637" s="16" t="inlineStr">
        <is>
          <t>544008</t>
        </is>
      </c>
      <c r="I637" s="27">
        <f>IFERROR(IF(INDEX(Stocks!$G$2:$G$2139,MATCH(A637,Stocks!$E$2:$E$2139,0))="","No","Yes"),"No")</f>
        <v/>
      </c>
    </row>
    <row r="638">
      <c r="A638" s="16" t="inlineStr">
        <is>
          <t>INE621H01010</t>
        </is>
      </c>
      <c r="B638" s="16" t="inlineStr">
        <is>
          <t>RELIGARE</t>
        </is>
      </c>
      <c r="C638" s="16" t="inlineStr">
        <is>
          <t>Religare Enterprises Ltd.</t>
        </is>
      </c>
      <c r="D638" s="16" t="inlineStr">
        <is>
          <t>Other Financial Services</t>
        </is>
      </c>
      <c r="E638" s="16" t="inlineStr">
        <is>
          <t>Banking and Finance</t>
        </is>
      </c>
      <c r="F638" s="17" t="n">
        <v>8862.41</v>
      </c>
      <c r="G638" s="16" t="inlineStr">
        <is>
          <t>RELIGARE</t>
        </is>
      </c>
      <c r="H638" s="16" t="inlineStr">
        <is>
          <t>532915</t>
        </is>
      </c>
      <c r="I638" s="27">
        <f>IFERROR(IF(INDEX(Stocks!$G$2:$G$2139,MATCH(A638,Stocks!$E$2:$E$2139,0))="","No","Yes"),"No")</f>
        <v/>
      </c>
    </row>
    <row r="639">
      <c r="A639" s="16" t="inlineStr">
        <is>
          <t>INE665A01038</t>
        </is>
      </c>
      <c r="B639" s="16" t="inlineStr">
        <is>
          <t>SWANCORP</t>
        </is>
      </c>
      <c r="C639" s="16" t="inlineStr">
        <is>
          <t>Swan Corp Ltd.</t>
        </is>
      </c>
      <c r="D639" s="16" t="inlineStr">
        <is>
          <t>Commodity Trading  &amp; Distribution</t>
        </is>
      </c>
      <c r="E639" s="16" t="inlineStr">
        <is>
          <t>Commercial Services &amp; Supplies</t>
        </is>
      </c>
      <c r="F639" s="17" t="n">
        <v>8823.809999999999</v>
      </c>
      <c r="G639" s="16" t="inlineStr">
        <is>
          <t>SWANCORP</t>
        </is>
      </c>
      <c r="H639" s="16" t="inlineStr">
        <is>
          <t>503310</t>
        </is>
      </c>
      <c r="I639" s="27">
        <f>IFERROR(IF(INDEX(Stocks!$G$2:$G$2139,MATCH(A639,Stocks!$E$2:$E$2139,0))="","No","Yes"),"No")</f>
        <v/>
      </c>
    </row>
    <row r="640">
      <c r="A640" s="16" t="inlineStr">
        <is>
          <t>INE256A01028</t>
        </is>
      </c>
      <c r="B640" s="16" t="inlineStr">
        <is>
          <t>ZEEL</t>
        </is>
      </c>
      <c r="C640" s="16" t="inlineStr">
        <is>
          <t>Zee Entertainment Enterprises Ltd.</t>
        </is>
      </c>
      <c r="D640" s="16" t="inlineStr">
        <is>
          <t>Broadcasting &amp; Cable TV</t>
        </is>
      </c>
      <c r="E640" s="16" t="inlineStr">
        <is>
          <t>Media</t>
        </is>
      </c>
      <c r="F640" s="17" t="n">
        <v>8799.32</v>
      </c>
      <c r="G640" s="16" t="inlineStr">
        <is>
          <t>ZEEL</t>
        </is>
      </c>
      <c r="H640" s="16" t="inlineStr">
        <is>
          <t>505537</t>
        </is>
      </c>
      <c r="I640" s="27">
        <f>IFERROR(IF(INDEX(Stocks!$G$2:$G$2139,MATCH(A640,Stocks!$E$2:$E$2139,0))="","No","Yes"),"No")</f>
        <v/>
      </c>
    </row>
    <row r="641">
      <c r="A641" s="16" t="inlineStr">
        <is>
          <t>INE113A01013</t>
        </is>
      </c>
      <c r="B641" s="16" t="inlineStr">
        <is>
          <t>GNFC</t>
        </is>
      </c>
      <c r="C641" s="16" t="inlineStr">
        <is>
          <t>Gujarat Narmada Valley Fertilizers &amp; Chemicals Ltd.</t>
        </is>
      </c>
      <c r="D641" s="16" t="inlineStr">
        <is>
          <t>Fertilizers</t>
        </is>
      </c>
      <c r="E641" s="16" t="inlineStr">
        <is>
          <t>Fertilizers</t>
        </is>
      </c>
      <c r="F641" s="17" t="n">
        <v>8767.950000000001</v>
      </c>
      <c r="G641" s="16" t="inlineStr">
        <is>
          <t>GNFC</t>
        </is>
      </c>
      <c r="H641" s="16" t="inlineStr">
        <is>
          <t>500670</t>
        </is>
      </c>
      <c r="I641" s="27">
        <f>IFERROR(IF(INDEX(Stocks!$G$2:$G$2139,MATCH(A641,Stocks!$E$2:$E$2139,0))="","No","Yes"),"No")</f>
        <v/>
      </c>
    </row>
    <row r="642">
      <c r="A642" s="16" t="inlineStr">
        <is>
          <t>INE0DD101019</t>
        </is>
      </c>
      <c r="B642" s="16" t="inlineStr">
        <is>
          <t>RAILTEL</t>
        </is>
      </c>
      <c r="C642" s="16" t="inlineStr">
        <is>
          <t>RailTel Corporation of India Ltd.</t>
        </is>
      </c>
      <c r="D642" s="16" t="inlineStr">
        <is>
          <t>Telecom Services</t>
        </is>
      </c>
      <c r="E642" s="16" t="inlineStr">
        <is>
          <t>Telecom Services</t>
        </is>
      </c>
      <c r="F642" s="17" t="n">
        <v>8699.040000000001</v>
      </c>
      <c r="G642" s="16" t="inlineStr">
        <is>
          <t>RAILTEL</t>
        </is>
      </c>
      <c r="H642" s="16" t="inlineStr">
        <is>
          <t>543265</t>
        </is>
      </c>
      <c r="I642" s="27">
        <f>IFERROR(IF(INDEX(Stocks!$G$2:$G$2139,MATCH(A642,Stocks!$E$2:$E$2139,0))="","No","Yes"),"No")</f>
        <v/>
      </c>
    </row>
    <row r="643">
      <c r="A643" s="16" t="inlineStr">
        <is>
          <t>INE176A01028</t>
        </is>
      </c>
      <c r="B643" s="16" t="inlineStr">
        <is>
          <t>BATAINDIA</t>
        </is>
      </c>
      <c r="C643" s="16" t="inlineStr">
        <is>
          <t>Bata India Ltd.</t>
        </is>
      </c>
      <c r="D643" s="16" t="inlineStr">
        <is>
          <t>Footwear</t>
        </is>
      </c>
      <c r="E643" s="16" t="inlineStr">
        <is>
          <t>Retailing</t>
        </is>
      </c>
      <c r="F643" s="17" t="n">
        <v>8646.690000000001</v>
      </c>
      <c r="G643" s="16" t="inlineStr">
        <is>
          <t>BATAINDIA</t>
        </is>
      </c>
      <c r="H643" s="16" t="inlineStr">
        <is>
          <t>500043</t>
        </is>
      </c>
      <c r="I643" s="27">
        <f>IFERROR(IF(INDEX(Stocks!$G$2:$G$2139,MATCH(A643,Stocks!$E$2:$E$2139,0))="","No","Yes"),"No")</f>
        <v/>
      </c>
    </row>
    <row r="644">
      <c r="A644" s="16" t="inlineStr">
        <is>
          <t>INE854B01010</t>
        </is>
      </c>
      <c r="B644" s="16" t="inlineStr">
        <is>
          <t>JAYNECOIND</t>
        </is>
      </c>
      <c r="C644" s="16" t="inlineStr">
        <is>
          <t>Jayaswal Neco Industries Ltd.</t>
        </is>
      </c>
      <c r="D644" s="16" t="inlineStr">
        <is>
          <t>Iron &amp; Steel/Interm.Products</t>
        </is>
      </c>
      <c r="E644" s="16" t="inlineStr">
        <is>
          <t>Metals &amp; Mining</t>
        </is>
      </c>
      <c r="F644" s="17" t="n">
        <v>8645.77</v>
      </c>
      <c r="G644" s="16" t="inlineStr">
        <is>
          <t>JAYNECOIND</t>
        </is>
      </c>
      <c r="H644" s="16" t="inlineStr">
        <is>
          <t>522285</t>
        </is>
      </c>
      <c r="I644" s="27">
        <f>IFERROR(IF(INDEX(Stocks!$G$2:$G$2139,MATCH(A644,Stocks!$E$2:$E$2139,0))="","No","Yes"),"No")</f>
        <v/>
      </c>
    </row>
    <row r="645">
      <c r="A645" s="16" t="inlineStr">
        <is>
          <t>INE372C01037</t>
        </is>
      </c>
      <c r="B645" s="16" t="inlineStr">
        <is>
          <t>PRECWIRE</t>
        </is>
      </c>
      <c r="C645" s="16" t="inlineStr">
        <is>
          <t>Precision Wires India Ltd.</t>
        </is>
      </c>
      <c r="D645" s="16" t="inlineStr">
        <is>
          <t>Other Industrial Products</t>
        </is>
      </c>
      <c r="E645" s="16" t="inlineStr">
        <is>
          <t>General Industrials</t>
        </is>
      </c>
      <c r="F645" s="17" t="n">
        <v>8643.16</v>
      </c>
      <c r="G645" s="16" t="inlineStr">
        <is>
          <t>PRECWIRE</t>
        </is>
      </c>
      <c r="H645" s="16" t="inlineStr">
        <is>
          <t>523539</t>
        </is>
      </c>
      <c r="I645" s="27">
        <f>IFERROR(IF(INDEX(Stocks!$G$2:$G$2139,MATCH(A645,Stocks!$E$2:$E$2139,0))="","No","Yes"),"No")</f>
        <v/>
      </c>
    </row>
    <row r="646">
      <c r="A646" s="16" t="inlineStr">
        <is>
          <t>INE131B01039</t>
        </is>
      </c>
      <c r="B646" s="16" t="inlineStr">
        <is>
          <t>RELAXO</t>
        </is>
      </c>
      <c r="C646" s="16" t="inlineStr">
        <is>
          <t>Relaxo Footwears Ltd.</t>
        </is>
      </c>
      <c r="D646" s="16" t="inlineStr">
        <is>
          <t>Footwear</t>
        </is>
      </c>
      <c r="E646" s="16" t="inlineStr">
        <is>
          <t>Retailing</t>
        </is>
      </c>
      <c r="F646" s="17" t="n">
        <v>8582.16</v>
      </c>
      <c r="G646" s="16" t="inlineStr">
        <is>
          <t>RELAXO</t>
        </is>
      </c>
      <c r="H646" s="16" t="inlineStr">
        <is>
          <t>530517</t>
        </is>
      </c>
      <c r="I646" s="27">
        <f>IFERROR(IF(INDEX(Stocks!$G$2:$G$2139,MATCH(A646,Stocks!$E$2:$E$2139,0))="","No","Yes"),"No")</f>
        <v/>
      </c>
    </row>
    <row r="647">
      <c r="A647" s="16" t="inlineStr">
        <is>
          <t>INE386A01023</t>
        </is>
      </c>
      <c r="B647" s="16" t="inlineStr">
        <is>
          <t>VESUVIUS</t>
        </is>
      </c>
      <c r="C647" s="16" t="inlineStr">
        <is>
          <t>Vesuvius India Ltd.</t>
        </is>
      </c>
      <c r="D647" s="16" t="inlineStr">
        <is>
          <t>Electrodes &amp; Refractories</t>
        </is>
      </c>
      <c r="E647" s="16" t="inlineStr">
        <is>
          <t>General Industrials</t>
        </is>
      </c>
      <c r="F647" s="17" t="n">
        <v>8507.1</v>
      </c>
      <c r="G647" s="16" t="inlineStr">
        <is>
          <t>VESUVIUS</t>
        </is>
      </c>
      <c r="H647" s="16" t="inlineStr">
        <is>
          <t>520113</t>
        </is>
      </c>
      <c r="I647" s="27">
        <f>IFERROR(IF(INDEX(Stocks!$G$2:$G$2139,MATCH(A647,Stocks!$E$2:$E$2139,0))="","No","Yes"),"No")</f>
        <v/>
      </c>
    </row>
    <row r="648">
      <c r="A648" s="16" t="inlineStr">
        <is>
          <t>INE201P01022</t>
        </is>
      </c>
      <c r="B648" s="16" t="inlineStr">
        <is>
          <t>GRINFRA</t>
        </is>
      </c>
      <c r="C648" s="16" t="inlineStr">
        <is>
          <t>G R Infraprojects Ltd.</t>
        </is>
      </c>
      <c r="D648" s="16" t="inlineStr">
        <is>
          <t>Roads &amp; Highways</t>
        </is>
      </c>
      <c r="E648" s="16" t="inlineStr">
        <is>
          <t>Cement and Construction</t>
        </is>
      </c>
      <c r="F648" s="17" t="n">
        <v>8409.459999999999</v>
      </c>
      <c r="G648" s="16" t="inlineStr">
        <is>
          <t>GRINFRA</t>
        </is>
      </c>
      <c r="H648" s="16" t="inlineStr">
        <is>
          <t>543317</t>
        </is>
      </c>
      <c r="I648" s="27">
        <f>IFERROR(IF(INDEX(Stocks!$G$2:$G$2139,MATCH(A648,Stocks!$E$2:$E$2139,0))="","No","Yes"),"No")</f>
        <v/>
      </c>
    </row>
    <row r="649">
      <c r="A649" s="16" t="inlineStr">
        <is>
          <t>INE063P01018</t>
        </is>
      </c>
      <c r="B649" s="16" t="inlineStr">
        <is>
          <t>EQUITASBNK</t>
        </is>
      </c>
      <c r="C649" s="16" t="inlineStr">
        <is>
          <t>Equitas Small Finance Bank Ltd.</t>
        </is>
      </c>
      <c r="D649" s="16" t="inlineStr">
        <is>
          <t>Microfinance Institutions</t>
        </is>
      </c>
      <c r="E649" s="16" t="inlineStr">
        <is>
          <t>Banking and Finance</t>
        </is>
      </c>
      <c r="F649" s="17" t="n">
        <v>8344.98</v>
      </c>
      <c r="G649" s="16" t="inlineStr">
        <is>
          <t>EQUITASBNK</t>
        </is>
      </c>
      <c r="H649" s="16" t="inlineStr">
        <is>
          <t>543243</t>
        </is>
      </c>
      <c r="I649" s="27">
        <f>IFERROR(IF(INDEX(Stocks!$G$2:$G$2139,MATCH(A649,Stocks!$E$2:$E$2139,0))="","No","Yes"),"No")</f>
        <v/>
      </c>
    </row>
    <row r="650">
      <c r="A650" s="16" t="inlineStr">
        <is>
          <t>INE970X01018</t>
        </is>
      </c>
      <c r="B650" s="16" t="inlineStr">
        <is>
          <t>LEMONTREE</t>
        </is>
      </c>
      <c r="C650" s="16" t="inlineStr">
        <is>
          <t>Lemon Tree Hotels Ltd.</t>
        </is>
      </c>
      <c r="D650" s="16" t="inlineStr">
        <is>
          <t>Hotels</t>
        </is>
      </c>
      <c r="E650" s="16" t="inlineStr">
        <is>
          <t>Hotels Restaurants &amp; Tourism</t>
        </is>
      </c>
      <c r="F650" s="17" t="n">
        <v>8314.629999999999</v>
      </c>
      <c r="G650" s="16" t="inlineStr">
        <is>
          <t>LEMONTREE</t>
        </is>
      </c>
      <c r="H650" s="16" t="inlineStr">
        <is>
          <t>541233</t>
        </is>
      </c>
      <c r="I650" s="27">
        <f>IFERROR(IF(INDEX(Stocks!$G$2:$G$2139,MATCH(A650,Stocks!$E$2:$E$2139,0))="","No","Yes"),"No")</f>
        <v/>
      </c>
    </row>
    <row r="651">
      <c r="A651" s="16" t="inlineStr">
        <is>
          <t>INE716B01029</t>
        </is>
      </c>
      <c r="B651" s="16" t="inlineStr">
        <is>
          <t>TIPSMUSIC</t>
        </is>
      </c>
      <c r="C651" s="16" t="inlineStr">
        <is>
          <t>Tips Music Ltd.</t>
        </is>
      </c>
      <c r="D651" s="16" t="inlineStr">
        <is>
          <t>Movies &amp; Entertainment</t>
        </is>
      </c>
      <c r="E651" s="16" t="inlineStr">
        <is>
          <t>Media</t>
        </is>
      </c>
      <c r="F651" s="17" t="n">
        <v>8305.860000000001</v>
      </c>
      <c r="G651" s="16" t="inlineStr">
        <is>
          <t>TIPSMUSIC</t>
        </is>
      </c>
      <c r="H651" s="16" t="inlineStr">
        <is>
          <t>532375</t>
        </is>
      </c>
      <c r="I651" s="27">
        <f>IFERROR(IF(INDEX(Stocks!$G$2:$G$2139,MATCH(A651,Stocks!$E$2:$E$2139,0))="","No","Yes"),"No")</f>
        <v/>
      </c>
    </row>
    <row r="652">
      <c r="A652" s="16" t="inlineStr">
        <is>
          <t>INE912T01018</t>
        </is>
      </c>
      <c r="B652" s="16" t="inlineStr">
        <is>
          <t>RPEL</t>
        </is>
      </c>
      <c r="C652" s="16" t="inlineStr">
        <is>
          <t>Raghav Productivity Enhancers Ltd.</t>
        </is>
      </c>
      <c r="D652" s="16" t="inlineStr">
        <is>
          <t>Electrodes &amp; Refractories</t>
        </is>
      </c>
      <c r="E652" s="16" t="inlineStr">
        <is>
          <t>General Industrials</t>
        </is>
      </c>
      <c r="F652" s="17" t="n">
        <v>8299.02</v>
      </c>
      <c r="G652" s="16" t="inlineStr">
        <is>
          <t>RPEL</t>
        </is>
      </c>
      <c r="H652" s="16" t="inlineStr">
        <is>
          <t>539837</t>
        </is>
      </c>
      <c r="I652" s="27">
        <f>IFERROR(IF(INDEX(Stocks!$G$2:$G$2139,MATCH(A652,Stocks!$E$2:$E$2139,0))="","No","Yes"),"No")</f>
        <v/>
      </c>
    </row>
    <row r="653">
      <c r="A653" s="16" t="inlineStr">
        <is>
          <t>INE274F01020</t>
        </is>
      </c>
      <c r="B653" s="16" t="inlineStr">
        <is>
          <t>WESTLIFE</t>
        </is>
      </c>
      <c r="C653" s="16" t="inlineStr">
        <is>
          <t>Westlife Foodworld Ltd.</t>
        </is>
      </c>
      <c r="D653" s="16" t="inlineStr">
        <is>
          <t>Restaurants</t>
        </is>
      </c>
      <c r="E653" s="16" t="inlineStr">
        <is>
          <t>Hotels Restaurants &amp; Tourism</t>
        </is>
      </c>
      <c r="F653" s="17" t="n">
        <v>8273.969999999999</v>
      </c>
      <c r="G653" s="16" t="inlineStr">
        <is>
          <t>WESTLIFE</t>
        </is>
      </c>
      <c r="H653" s="16" t="inlineStr">
        <is>
          <t>505533</t>
        </is>
      </c>
      <c r="I653" s="27">
        <f>IFERROR(IF(INDEX(Stocks!$G$2:$G$2139,MATCH(A653,Stocks!$E$2:$E$2139,0))="","No","Yes"),"No")</f>
        <v/>
      </c>
    </row>
    <row r="654">
      <c r="A654" s="16" t="inlineStr">
        <is>
          <t>INE16W401027</t>
        </is>
      </c>
      <c r="B654" s="16" t="inlineStr">
        <is>
          <t>AUGMONT</t>
        </is>
      </c>
      <c r="C654" s="16" t="inlineStr">
        <is>
          <t>Augmont Enterprises Ltd.</t>
        </is>
      </c>
      <c r="D654" s="16" t="inlineStr">
        <is>
          <t>Commodity Trading  &amp; Distribution</t>
        </is>
      </c>
      <c r="E654" s="16" t="inlineStr">
        <is>
          <t>Commercial Services &amp; Supplies</t>
        </is>
      </c>
      <c r="F654" s="17" t="n">
        <v>8237.32</v>
      </c>
      <c r="G654" s="16" t="inlineStr">
        <is>
          <t>AUGMONT</t>
        </is>
      </c>
      <c r="H654" s="16" t="inlineStr">
        <is>
          <t>544888</t>
        </is>
      </c>
      <c r="I654" s="27">
        <f>IFERROR(IF(INDEX(Stocks!$G$2:$G$2139,MATCH(A654,Stocks!$E$2:$E$2139,0))="","No","Yes"),"No")</f>
        <v/>
      </c>
    </row>
    <row r="655">
      <c r="A655" s="16" t="inlineStr">
        <is>
          <t>INE0KCE01017</t>
        </is>
      </c>
      <c r="B655" s="16" t="inlineStr">
        <is>
          <t>EUREKAFORB</t>
        </is>
      </c>
      <c r="C655" s="16" t="inlineStr">
        <is>
          <t>Eureka Forbes Ltd.</t>
        </is>
      </c>
      <c r="D655" s="16" t="inlineStr">
        <is>
          <t>Consumer Electronics</t>
        </is>
      </c>
      <c r="E655" s="16" t="inlineStr">
        <is>
          <t>Consumer Durables</t>
        </is>
      </c>
      <c r="F655" s="17" t="n">
        <v>8201.969999999999</v>
      </c>
      <c r="G655" s="16" t="inlineStr">
        <is>
          <t>EUREKAFORB</t>
        </is>
      </c>
      <c r="H655" s="16" t="inlineStr">
        <is>
          <t>543482</t>
        </is>
      </c>
      <c r="I655" s="27">
        <f>IFERROR(IF(INDEX(Stocks!$G$2:$G$2139,MATCH(A655,Stocks!$E$2:$E$2139,0))="","No","Yes"),"No")</f>
        <v/>
      </c>
    </row>
    <row r="656">
      <c r="A656" s="16" t="inlineStr">
        <is>
          <t>INE050E01027</t>
        </is>
      </c>
      <c r="B656" s="16" t="inlineStr">
        <is>
          <t>BALAMINES</t>
        </is>
      </c>
      <c r="C656" s="16" t="inlineStr">
        <is>
          <t>Balaji Amines Ltd.</t>
        </is>
      </c>
      <c r="D656" s="16" t="inlineStr">
        <is>
          <t>Specialty Chemicals</t>
        </is>
      </c>
      <c r="E656" s="16" t="inlineStr">
        <is>
          <t>Chemicals &amp; Petrochemicals</t>
        </is>
      </c>
      <c r="F656" s="17" t="n">
        <v>8181.9</v>
      </c>
      <c r="G656" s="16" t="inlineStr">
        <is>
          <t>BALAMINES</t>
        </is>
      </c>
      <c r="H656" s="16" t="inlineStr">
        <is>
          <t>530999</t>
        </is>
      </c>
      <c r="I656" s="27">
        <f>IFERROR(IF(INDEX(Stocks!$G$2:$G$2139,MATCH(A656,Stocks!$E$2:$E$2139,0))="","No","Yes"),"No")</f>
        <v/>
      </c>
    </row>
    <row r="657">
      <c r="A657" s="16" t="inlineStr">
        <is>
          <t>INE0M4D01010</t>
        </is>
      </c>
      <c r="B657" s="16" t="inlineStr">
        <is>
          <t>SETL</t>
        </is>
      </c>
      <c r="C657" s="16" t="inlineStr">
        <is>
          <t>Standard Engineering Technology Ltd.</t>
        </is>
      </c>
      <c r="D657" s="16" t="inlineStr">
        <is>
          <t>Other Industrial Products</t>
        </is>
      </c>
      <c r="E657" s="16" t="inlineStr">
        <is>
          <t>General Industrials</t>
        </is>
      </c>
      <c r="F657" s="17" t="n">
        <v>8158.21</v>
      </c>
      <c r="G657" s="16" t="inlineStr">
        <is>
          <t>SETL</t>
        </is>
      </c>
      <c r="H657" s="16" t="inlineStr">
        <is>
          <t>544333</t>
        </is>
      </c>
      <c r="I657" s="27">
        <f>IFERROR(IF(INDEX(Stocks!$G$2:$G$2139,MATCH(A657,Stocks!$E$2:$E$2139,0))="","No","Yes"),"No")</f>
        <v/>
      </c>
    </row>
    <row r="658">
      <c r="A658" s="16" t="inlineStr">
        <is>
          <t>INE16NZ01023</t>
        </is>
      </c>
      <c r="B658" s="16" t="inlineStr">
        <is>
          <t>ORKLAINDIA</t>
        </is>
      </c>
      <c r="C658" s="16" t="inlineStr">
        <is>
          <t>Orkla India Ltd.</t>
        </is>
      </c>
      <c r="D658" s="16" t="inlineStr">
        <is>
          <t>Packaged Foods</t>
        </is>
      </c>
      <c r="E658" s="16" t="inlineStr">
        <is>
          <t>FMCG</t>
        </is>
      </c>
      <c r="F658" s="17" t="n">
        <v>8139.21</v>
      </c>
      <c r="G658" s="16" t="inlineStr">
        <is>
          <t>ORKLAINDIA</t>
        </is>
      </c>
      <c r="H658" s="16" t="inlineStr">
        <is>
          <t>544595</t>
        </is>
      </c>
      <c r="I658" s="27">
        <f>IFERROR(IF(INDEX(Stocks!$G$2:$G$2139,MATCH(A658,Stocks!$E$2:$E$2139,0))="","No","Yes"),"No")</f>
        <v/>
      </c>
    </row>
    <row r="659">
      <c r="A659" s="16" t="inlineStr">
        <is>
          <t>INE804L01022</t>
        </is>
      </c>
      <c r="B659" s="16" t="inlineStr">
        <is>
          <t>MEDPLUS</t>
        </is>
      </c>
      <c r="C659" s="16" t="inlineStr">
        <is>
          <t>Medplus Health Services Ltd.</t>
        </is>
      </c>
      <c r="D659" s="16" t="inlineStr">
        <is>
          <t>Healthcare Supplies</t>
        </is>
      </c>
      <c r="E659" s="16" t="inlineStr">
        <is>
          <t>Healthcare</t>
        </is>
      </c>
      <c r="F659" s="17" t="n">
        <v>8125.47</v>
      </c>
      <c r="G659" s="16" t="inlineStr">
        <is>
          <t>MEDPLUS</t>
        </is>
      </c>
      <c r="H659" s="16" t="inlineStr">
        <is>
          <t>543427</t>
        </is>
      </c>
      <c r="I659" s="27">
        <f>IFERROR(IF(INDEX(Stocks!$G$2:$G$2139,MATCH(A659,Stocks!$E$2:$E$2139,0))="","No","Yes"),"No")</f>
        <v/>
      </c>
    </row>
    <row r="660">
      <c r="A660" s="16" t="inlineStr">
        <is>
          <t>INE836A01035</t>
        </is>
      </c>
      <c r="B660" s="16" t="inlineStr">
        <is>
          <t>BSOFT</t>
        </is>
      </c>
      <c r="C660" s="16" t="inlineStr">
        <is>
          <t>Birlasoft Ltd.</t>
        </is>
      </c>
      <c r="D660" s="16" t="inlineStr">
        <is>
          <t>IT Consulting &amp; Software</t>
        </is>
      </c>
      <c r="E660" s="16" t="inlineStr">
        <is>
          <t>Software &amp; Services</t>
        </is>
      </c>
      <c r="F660" s="17" t="n">
        <v>8092.17</v>
      </c>
      <c r="G660" s="16" t="inlineStr">
        <is>
          <t>BSOFT</t>
        </is>
      </c>
      <c r="H660" s="16" t="inlineStr">
        <is>
          <t>532400</t>
        </is>
      </c>
      <c r="I660" s="27">
        <f>IFERROR(IF(INDEX(Stocks!$G$2:$G$2139,MATCH(A660,Stocks!$E$2:$E$2139,0))="","No","Yes"),"No")</f>
        <v/>
      </c>
    </row>
    <row r="661">
      <c r="A661" s="16" t="inlineStr">
        <is>
          <t>INE262A01018</t>
        </is>
      </c>
      <c r="B661" s="16" t="inlineStr">
        <is>
          <t>HMT</t>
        </is>
      </c>
      <c r="C661" s="16" t="inlineStr">
        <is>
          <t>HMT Ltd.</t>
        </is>
      </c>
      <c r="D661" s="16" t="inlineStr">
        <is>
          <t>Heavy Electrical Equipment</t>
        </is>
      </c>
      <c r="E661" s="16" t="inlineStr">
        <is>
          <t>General Industrials</t>
        </is>
      </c>
      <c r="F661" s="17" t="n">
        <v>8056.58</v>
      </c>
      <c r="G661" s="16" t="inlineStr">
        <is>
          <t>HMT</t>
        </is>
      </c>
      <c r="H661" s="16" t="inlineStr">
        <is>
          <t>500191</t>
        </is>
      </c>
      <c r="I661" s="27">
        <f>IFERROR(IF(INDEX(Stocks!$G$2:$G$2139,MATCH(A661,Stocks!$E$2:$E$2139,0))="","No","Yes"),"No")</f>
        <v/>
      </c>
    </row>
    <row r="662">
      <c r="A662" s="16" t="inlineStr">
        <is>
          <t>INE473D01015</t>
        </is>
      </c>
      <c r="B662" s="16" t="inlineStr">
        <is>
          <t>KINGFA</t>
        </is>
      </c>
      <c r="C662" s="16" t="inlineStr">
        <is>
          <t>Kingfa Science &amp; Technology (India) Ltd.</t>
        </is>
      </c>
      <c r="D662" s="16" t="inlineStr">
        <is>
          <t>Plastic Products</t>
        </is>
      </c>
      <c r="E662" s="16" t="inlineStr">
        <is>
          <t>General Industrials</t>
        </is>
      </c>
      <c r="F662" s="17" t="n">
        <v>8039.37</v>
      </c>
      <c r="G662" s="16" t="inlineStr">
        <is>
          <t>KINGFA</t>
        </is>
      </c>
      <c r="H662" s="16" t="inlineStr">
        <is>
          <t>524019</t>
        </is>
      </c>
      <c r="I662" s="27">
        <f>IFERROR(IF(INDEX(Stocks!$G$2:$G$2139,MATCH(A662,Stocks!$E$2:$E$2139,0))="","No","Yes"),"No")</f>
        <v/>
      </c>
    </row>
    <row r="663">
      <c r="A663" s="16" t="inlineStr">
        <is>
          <t>INE069I01010</t>
        </is>
      </c>
      <c r="B663" s="16" t="inlineStr">
        <is>
          <t>EMBDL</t>
        </is>
      </c>
      <c r="C663" s="16" t="inlineStr">
        <is>
          <t>Embassy Developments Ltd.</t>
        </is>
      </c>
      <c r="D663" s="16" t="inlineStr">
        <is>
          <t>Realty</t>
        </is>
      </c>
      <c r="E663" s="16" t="inlineStr">
        <is>
          <t>Realty</t>
        </is>
      </c>
      <c r="F663" s="17" t="n">
        <v>8000.31</v>
      </c>
      <c r="G663" s="16" t="inlineStr">
        <is>
          <t>EMBDL</t>
        </is>
      </c>
      <c r="H663" s="16" t="inlineStr">
        <is>
          <t>532832</t>
        </is>
      </c>
      <c r="I663" s="27">
        <f>IFERROR(IF(INDEX(Stocks!$G$2:$G$2139,MATCH(A663,Stocks!$E$2:$E$2139,0))="","No","Yes"),"No")</f>
        <v/>
      </c>
    </row>
    <row r="664">
      <c r="A664" s="16" t="inlineStr">
        <is>
          <t>INE269A01021</t>
        </is>
      </c>
      <c r="B664" s="16" t="inlineStr">
        <is>
          <t>SONATSOFTW</t>
        </is>
      </c>
      <c r="C664" s="16" t="inlineStr">
        <is>
          <t>Sonata Software Ltd.</t>
        </is>
      </c>
      <c r="D664" s="16" t="inlineStr">
        <is>
          <t>IT Consulting &amp; Software</t>
        </is>
      </c>
      <c r="E664" s="16" t="inlineStr">
        <is>
          <t>Software &amp; Services</t>
        </is>
      </c>
      <c r="F664" s="17" t="n">
        <v>7999.12</v>
      </c>
      <c r="G664" s="16" t="inlineStr">
        <is>
          <t>SONATSOFTW</t>
        </is>
      </c>
      <c r="H664" s="16" t="inlineStr">
        <is>
          <t>532221</t>
        </is>
      </c>
      <c r="I664" s="27">
        <f>IFERROR(IF(INDEX(Stocks!$G$2:$G$2139,MATCH(A664,Stocks!$E$2:$E$2139,0))="","No","Yes"),"No")</f>
        <v/>
      </c>
    </row>
    <row r="665">
      <c r="A665" s="16" t="inlineStr">
        <is>
          <t>INE010601016</t>
        </is>
      </c>
      <c r="B665" s="16" t="inlineStr">
        <is>
          <t>ENTERO</t>
        </is>
      </c>
      <c r="C665" s="16" t="inlineStr">
        <is>
          <t>Entero Healthcare Solutions Ltd.</t>
        </is>
      </c>
      <c r="D665" s="16" t="inlineStr">
        <is>
          <t>Healthcare Services</t>
        </is>
      </c>
      <c r="E665" s="16" t="inlineStr">
        <is>
          <t>Healthcare</t>
        </is>
      </c>
      <c r="F665" s="17" t="n">
        <v>7954.28</v>
      </c>
      <c r="G665" s="16" t="inlineStr">
        <is>
          <t>ENTERO</t>
        </is>
      </c>
      <c r="H665" s="16" t="inlineStr">
        <is>
          <t>544122</t>
        </is>
      </c>
      <c r="I665" s="27">
        <f>IFERROR(IF(INDEX(Stocks!$G$2:$G$2139,MATCH(A665,Stocks!$E$2:$E$2139,0))="","No","Yes"),"No")</f>
        <v/>
      </c>
    </row>
    <row r="666">
      <c r="A666" s="16" t="inlineStr">
        <is>
          <t>INE276A01018</t>
        </is>
      </c>
      <c r="B666" s="16" t="inlineStr">
        <is>
          <t>GARFIBRES</t>
        </is>
      </c>
      <c r="C666" s="16" t="inlineStr">
        <is>
          <t>Garware Technical Fibres Ltd.</t>
        </is>
      </c>
      <c r="D666" s="16" t="inlineStr">
        <is>
          <t>Textiles</t>
        </is>
      </c>
      <c r="E666" s="16" t="inlineStr">
        <is>
          <t>Textiles Apparels &amp; Accessories</t>
        </is>
      </c>
      <c r="F666" s="17" t="n">
        <v>7946.72</v>
      </c>
      <c r="G666" s="16" t="inlineStr">
        <is>
          <t>GARFIBRES</t>
        </is>
      </c>
      <c r="H666" s="16" t="inlineStr">
        <is>
          <t>509557</t>
        </is>
      </c>
      <c r="I666" s="27">
        <f>IFERROR(IF(INDEX(Stocks!$G$2:$G$2139,MATCH(A666,Stocks!$E$2:$E$2139,0))="","No","Yes"),"No")</f>
        <v/>
      </c>
    </row>
    <row r="667">
      <c r="A667" s="16" t="inlineStr">
        <is>
          <t>INE255A01020</t>
        </is>
      </c>
      <c r="B667" s="16" t="inlineStr">
        <is>
          <t>EPL</t>
        </is>
      </c>
      <c r="C667" s="16" t="inlineStr">
        <is>
          <t>EPL Ltd.</t>
        </is>
      </c>
      <c r="D667" s="16" t="inlineStr">
        <is>
          <t>Containers &amp; Packaging</t>
        </is>
      </c>
      <c r="E667" s="16" t="inlineStr">
        <is>
          <t>Commercial Services &amp; Supplies</t>
        </is>
      </c>
      <c r="F667" s="17" t="n">
        <v>7914.96</v>
      </c>
      <c r="G667" s="16" t="inlineStr">
        <is>
          <t>EPL</t>
        </is>
      </c>
      <c r="H667" s="16" t="inlineStr">
        <is>
          <t>500135</t>
        </is>
      </c>
      <c r="I667" s="27">
        <f>IFERROR(IF(INDEX(Stocks!$G$2:$G$2139,MATCH(A667,Stocks!$E$2:$E$2139,0))="","No","Yes"),"No")</f>
        <v/>
      </c>
    </row>
    <row r="668">
      <c r="A668" s="16" t="inlineStr">
        <is>
          <t>INE221B01012</t>
        </is>
      </c>
      <c r="B668" s="16" t="inlineStr">
        <is>
          <t>DYNAMATECH</t>
        </is>
      </c>
      <c r="C668" s="16" t="inlineStr">
        <is>
          <t>Dynamatic Technologies Ltd.</t>
        </is>
      </c>
      <c r="D668" s="16" t="inlineStr">
        <is>
          <t>Industrial Machinery</t>
        </is>
      </c>
      <c r="E668" s="16" t="inlineStr">
        <is>
          <t>General Industrials</t>
        </is>
      </c>
      <c r="F668" s="17" t="n">
        <v>7914.7</v>
      </c>
      <c r="G668" s="16" t="inlineStr">
        <is>
          <t>DYNAMATECH</t>
        </is>
      </c>
      <c r="H668" s="16" t="inlineStr">
        <is>
          <t>505242</t>
        </is>
      </c>
      <c r="I668" s="27">
        <f>IFERROR(IF(INDEX(Stocks!$G$2:$G$2139,MATCH(A668,Stocks!$E$2:$E$2139,0))="","No","Yes"),"No")</f>
        <v/>
      </c>
    </row>
    <row r="669">
      <c r="A669" s="16" t="inlineStr">
        <is>
          <t>INE945H01021</t>
        </is>
      </c>
      <c r="B669" s="16" t="inlineStr">
        <is>
          <t>V2RETAIL</t>
        </is>
      </c>
      <c r="C669" s="16" t="inlineStr">
        <is>
          <t>V2 Retail Ltd.</t>
        </is>
      </c>
      <c r="D669" s="16" t="inlineStr">
        <is>
          <t>Department Stores</t>
        </is>
      </c>
      <c r="E669" s="16" t="inlineStr">
        <is>
          <t>Retailing</t>
        </is>
      </c>
      <c r="F669" s="17" t="n">
        <v>7894.4</v>
      </c>
      <c r="G669" s="16" t="inlineStr">
        <is>
          <t>V2RETAIL</t>
        </is>
      </c>
      <c r="H669" s="16" t="inlineStr">
        <is>
          <t>532867</t>
        </is>
      </c>
      <c r="I669" s="27">
        <f>IFERROR(IF(INDEX(Stocks!$G$2:$G$2139,MATCH(A669,Stocks!$E$2:$E$2139,0))="","No","Yes"),"No")</f>
        <v/>
      </c>
    </row>
    <row r="670">
      <c r="A670" s="16" t="inlineStr">
        <is>
          <t>INE099Z01011</t>
        </is>
      </c>
      <c r="B670" s="16" t="inlineStr">
        <is>
          <t>MIDHANI</t>
        </is>
      </c>
      <c r="C670" s="16" t="inlineStr">
        <is>
          <t>Mishra Dhatu Nigam Ltd.</t>
        </is>
      </c>
      <c r="D670" s="16" t="inlineStr">
        <is>
          <t>Aerospace &amp; Defence</t>
        </is>
      </c>
      <c r="E670" s="16" t="inlineStr">
        <is>
          <t>General Industrials</t>
        </is>
      </c>
      <c r="F670" s="17" t="n">
        <v>7845.8</v>
      </c>
      <c r="G670" s="16" t="inlineStr">
        <is>
          <t>MIDHANI</t>
        </is>
      </c>
      <c r="H670" s="16" t="inlineStr">
        <is>
          <t>541195</t>
        </is>
      </c>
      <c r="I670" s="27">
        <f>IFERROR(IF(INDEX(Stocks!$G$2:$G$2139,MATCH(A670,Stocks!$E$2:$E$2139,0))="","No","Yes"),"No")</f>
        <v/>
      </c>
    </row>
    <row r="671">
      <c r="A671" s="16" t="inlineStr">
        <is>
          <t>INE738D01029</t>
        </is>
      </c>
      <c r="B671" s="16" t="inlineStr">
        <is>
          <t>MRUTR</t>
        </is>
      </c>
      <c r="C671" s="16" t="inlineStr">
        <is>
          <t>Mrugesh Trading Ltd.</t>
        </is>
      </c>
      <c r="D671" s="16" t="inlineStr">
        <is>
          <t>Finance (including NBFCs)</t>
        </is>
      </c>
      <c r="E671" s="16" t="inlineStr">
        <is>
          <t>Banking and Finance</t>
        </is>
      </c>
      <c r="F671" s="17" t="n">
        <v>7842.19</v>
      </c>
      <c r="G671" s="16" t="inlineStr"/>
      <c r="H671" s="16" t="inlineStr">
        <is>
          <t>512065</t>
        </is>
      </c>
      <c r="I671" s="27">
        <f>IFERROR(IF(INDEX(Stocks!$G$2:$G$2139,MATCH(A671,Stocks!$E$2:$E$2139,0))="","No","Yes"),"No")</f>
        <v/>
      </c>
    </row>
    <row r="672">
      <c r="A672" s="16" t="inlineStr">
        <is>
          <t>INE867C01010</t>
        </is>
      </c>
      <c r="B672" s="16" t="inlineStr">
        <is>
          <t>ASMTEC</t>
        </is>
      </c>
      <c r="C672" s="16" t="inlineStr">
        <is>
          <t>ASM Technologies Ltd.</t>
        </is>
      </c>
      <c r="D672" s="16" t="inlineStr">
        <is>
          <t>IT Consulting &amp; Software</t>
        </is>
      </c>
      <c r="E672" s="16" t="inlineStr">
        <is>
          <t>Software &amp; Services</t>
        </is>
      </c>
      <c r="F672" s="17" t="n">
        <v>7834.73</v>
      </c>
      <c r="G672" s="16" t="inlineStr"/>
      <c r="H672" s="16" t="inlineStr">
        <is>
          <t>526433</t>
        </is>
      </c>
      <c r="I672" s="27">
        <f>IFERROR(IF(INDEX(Stocks!$G$2:$G$2139,MATCH(A672,Stocks!$E$2:$E$2139,0))="","No","Yes"),"No")</f>
        <v/>
      </c>
    </row>
    <row r="673">
      <c r="A673" s="16" t="inlineStr">
        <is>
          <t>INE517F01014</t>
        </is>
      </c>
      <c r="B673" s="16" t="inlineStr">
        <is>
          <t>GPPL</t>
        </is>
      </c>
      <c r="C673" s="16" t="inlineStr">
        <is>
          <t>Gujarat Pipavav Port Ltd.</t>
        </is>
      </c>
      <c r="D673" s="16" t="inlineStr">
        <is>
          <t>Marine Port &amp; Services</t>
        </is>
      </c>
      <c r="E673" s="16" t="inlineStr">
        <is>
          <t>Transportation</t>
        </is>
      </c>
      <c r="F673" s="17" t="n">
        <v>7813.36</v>
      </c>
      <c r="G673" s="16" t="inlineStr">
        <is>
          <t>GPPL</t>
        </is>
      </c>
      <c r="H673" s="16" t="inlineStr">
        <is>
          <t>533248</t>
        </is>
      </c>
      <c r="I673" s="27">
        <f>IFERROR(IF(INDEX(Stocks!$G$2:$G$2139,MATCH(A673,Stocks!$E$2:$E$2139,0))="","No","Yes"),"No")</f>
        <v/>
      </c>
    </row>
    <row r="674">
      <c r="A674" s="16" t="inlineStr">
        <is>
          <t>INE0LRU01027</t>
        </is>
      </c>
      <c r="B674" s="16" t="inlineStr">
        <is>
          <t>AARTIPHARM</t>
        </is>
      </c>
      <c r="C674" s="16" t="inlineStr">
        <is>
          <t>Aarti Pharmalabs Ltd.</t>
        </is>
      </c>
      <c r="D674" s="16" t="inlineStr">
        <is>
          <t>Pharmaceuticals</t>
        </is>
      </c>
      <c r="E674" s="16" t="inlineStr">
        <is>
          <t>Pharmaceuticals &amp; Biotechnology</t>
        </is>
      </c>
      <c r="F674" s="17" t="n">
        <v>7787.58</v>
      </c>
      <c r="G674" s="16" t="inlineStr">
        <is>
          <t>AARTIPHARM</t>
        </is>
      </c>
      <c r="H674" s="16" t="inlineStr">
        <is>
          <t>543748</t>
        </is>
      </c>
      <c r="I674" s="27">
        <f>IFERROR(IF(INDEX(Stocks!$G$2:$G$2139,MATCH(A674,Stocks!$E$2:$E$2139,0))="","No","Yes"),"No")</f>
        <v/>
      </c>
    </row>
    <row r="675">
      <c r="A675" s="16" t="inlineStr">
        <is>
          <t>INE679V01027</t>
        </is>
      </c>
      <c r="B675" s="16" t="inlineStr">
        <is>
          <t>AVL</t>
        </is>
      </c>
      <c r="C675" s="16" t="inlineStr">
        <is>
          <t>Aditya Vision Ltd.</t>
        </is>
      </c>
      <c r="D675" s="16" t="inlineStr">
        <is>
          <t>Specialty Retail</t>
        </is>
      </c>
      <c r="E675" s="16" t="inlineStr">
        <is>
          <t>Retailing</t>
        </is>
      </c>
      <c r="F675" s="17" t="n">
        <v>7748.93</v>
      </c>
      <c r="G675" s="16" t="inlineStr">
        <is>
          <t>AVL</t>
        </is>
      </c>
      <c r="H675" s="16" t="inlineStr">
        <is>
          <t>540205</t>
        </is>
      </c>
      <c r="I675" s="27">
        <f>IFERROR(IF(INDEX(Stocks!$G$2:$G$2139,MATCH(A675,Stocks!$E$2:$E$2139,0))="","No","Yes"),"No")</f>
        <v/>
      </c>
    </row>
    <row r="676">
      <c r="A676" s="16" t="inlineStr">
        <is>
          <t>INE813A01018</t>
        </is>
      </c>
      <c r="B676" s="16" t="inlineStr">
        <is>
          <t>MAHLIFE</t>
        </is>
      </c>
      <c r="C676" s="16" t="inlineStr">
        <is>
          <t>Mahindra Lifespace Developers Ltd.</t>
        </is>
      </c>
      <c r="D676" s="16" t="inlineStr">
        <is>
          <t>Realty</t>
        </is>
      </c>
      <c r="E676" s="16" t="inlineStr">
        <is>
          <t>Realty</t>
        </is>
      </c>
      <c r="F676" s="17" t="n">
        <v>7732.66</v>
      </c>
      <c r="G676" s="16" t="inlineStr">
        <is>
          <t>MAHLIFE</t>
        </is>
      </c>
      <c r="H676" s="16" t="inlineStr">
        <is>
          <t>532313</t>
        </is>
      </c>
      <c r="I676" s="27">
        <f>IFERROR(IF(INDEX(Stocks!$G$2:$G$2139,MATCH(A676,Stocks!$E$2:$E$2139,0))="","No","Yes"),"No")</f>
        <v/>
      </c>
    </row>
    <row r="677">
      <c r="A677" s="16" t="inlineStr">
        <is>
          <t>INE690A01028</t>
        </is>
      </c>
      <c r="B677" s="16" t="inlineStr">
        <is>
          <t>TTKPRESTIG</t>
        </is>
      </c>
      <c r="C677" s="16" t="inlineStr">
        <is>
          <t>TTK Prestige Ltd.</t>
        </is>
      </c>
      <c r="D677" s="16" t="inlineStr">
        <is>
          <t>Household Appliances</t>
        </is>
      </c>
      <c r="E677" s="16" t="inlineStr">
        <is>
          <t>Consumer Durables</t>
        </is>
      </c>
      <c r="F677" s="17" t="n">
        <v>7706.86</v>
      </c>
      <c r="G677" s="16" t="inlineStr">
        <is>
          <t>TTKPRESTIG</t>
        </is>
      </c>
      <c r="H677" s="16" t="inlineStr">
        <is>
          <t>517506</t>
        </is>
      </c>
      <c r="I677" s="27">
        <f>IFERROR(IF(INDEX(Stocks!$G$2:$G$2139,MATCH(A677,Stocks!$E$2:$E$2139,0))="","No","Yes"),"No")</f>
        <v/>
      </c>
    </row>
    <row r="678">
      <c r="A678" s="16" t="inlineStr">
        <is>
          <t>INE036B01030</t>
        </is>
      </c>
      <c r="B678" s="16" t="inlineStr">
        <is>
          <t>GAEL</t>
        </is>
      </c>
      <c r="C678" s="16" t="inlineStr">
        <is>
          <t>Gujarat Ambuja Exports Ltd.</t>
        </is>
      </c>
      <c r="D678" s="16" t="inlineStr">
        <is>
          <t>Other Agricultural Products</t>
        </is>
      </c>
      <c r="E678" s="16" t="inlineStr">
        <is>
          <t>Food, Beverages &amp; Tobacco</t>
        </is>
      </c>
      <c r="F678" s="17" t="n">
        <v>7696.95</v>
      </c>
      <c r="G678" s="16" t="inlineStr">
        <is>
          <t>GAEL</t>
        </is>
      </c>
      <c r="H678" s="16" t="inlineStr">
        <is>
          <t>524226</t>
        </is>
      </c>
      <c r="I678" s="27">
        <f>IFERROR(IF(INDEX(Stocks!$G$2:$G$2139,MATCH(A678,Stocks!$E$2:$E$2139,0))="","No","Yes"),"No")</f>
        <v/>
      </c>
    </row>
    <row r="679">
      <c r="A679" s="16" t="inlineStr">
        <is>
          <t>INE0CJD01029</t>
        </is>
      </c>
      <c r="B679" s="16" t="inlineStr">
        <is>
          <t>KMEW</t>
        </is>
      </c>
      <c r="C679" s="16" t="inlineStr">
        <is>
          <t>Knowledge Marine &amp; Engineering Works Ltd.</t>
        </is>
      </c>
      <c r="D679" s="16" t="inlineStr">
        <is>
          <t>Marine Port &amp; Services</t>
        </is>
      </c>
      <c r="E679" s="16" t="inlineStr">
        <is>
          <t>Transportation</t>
        </is>
      </c>
      <c r="F679" s="17" t="n">
        <v>7694.01</v>
      </c>
      <c r="G679" s="16" t="inlineStr">
        <is>
          <t>KMEW</t>
        </is>
      </c>
      <c r="H679" s="16" t="inlineStr">
        <is>
          <t>543273</t>
        </is>
      </c>
      <c r="I679" s="27">
        <f>IFERROR(IF(INDEX(Stocks!$G$2:$G$2139,MATCH(A679,Stocks!$E$2:$E$2139,0))="","No","Yes"),"No")</f>
        <v/>
      </c>
    </row>
    <row r="680">
      <c r="A680" s="16" t="inlineStr">
        <is>
          <t>INE460H01021</t>
        </is>
      </c>
      <c r="B680" s="16" t="inlineStr">
        <is>
          <t>STARCEMENT</t>
        </is>
      </c>
      <c r="C680" s="16" t="inlineStr">
        <is>
          <t>Star Cement Ltd.</t>
        </is>
      </c>
      <c r="D680" s="16" t="inlineStr">
        <is>
          <t>Cement &amp; Cement Products</t>
        </is>
      </c>
      <c r="E680" s="16" t="inlineStr">
        <is>
          <t>Cement and Construction</t>
        </is>
      </c>
      <c r="F680" s="17" t="n">
        <v>7687.11</v>
      </c>
      <c r="G680" s="16" t="inlineStr">
        <is>
          <t>STARCEMENT</t>
        </is>
      </c>
      <c r="H680" s="16" t="inlineStr">
        <is>
          <t>540575</t>
        </is>
      </c>
      <c r="I680" s="27">
        <f>IFERROR(IF(INDEX(Stocks!$G$2:$G$2139,MATCH(A680,Stocks!$E$2:$E$2139,0))="","No","Yes"),"No")</f>
        <v/>
      </c>
    </row>
    <row r="681">
      <c r="A681" s="16" t="inlineStr">
        <is>
          <t>INE640A01023</t>
        </is>
      </c>
      <c r="B681" s="16" t="inlineStr">
        <is>
          <t>SKFINDIA</t>
        </is>
      </c>
      <c r="C681" s="16" t="inlineStr">
        <is>
          <t>SKF India Ltd.</t>
        </is>
      </c>
      <c r="D681" s="16" t="inlineStr">
        <is>
          <t>Abrasives &amp; Bearings</t>
        </is>
      </c>
      <c r="E681" s="16" t="inlineStr">
        <is>
          <t>General Industrials</t>
        </is>
      </c>
      <c r="F681" s="17" t="n">
        <v>7678.71</v>
      </c>
      <c r="G681" s="16" t="inlineStr">
        <is>
          <t>SKFINDIA</t>
        </is>
      </c>
      <c r="H681" s="16" t="inlineStr">
        <is>
          <t>500472</t>
        </is>
      </c>
      <c r="I681" s="27">
        <f>IFERROR(IF(INDEX(Stocks!$G$2:$G$2139,MATCH(A681,Stocks!$E$2:$E$2139,0))="","No","Yes"),"No")</f>
        <v/>
      </c>
    </row>
    <row r="682">
      <c r="A682" s="16" t="inlineStr">
        <is>
          <t>INE600K01018</t>
        </is>
      </c>
      <c r="B682" s="16" t="inlineStr">
        <is>
          <t>GALAXYSURF</t>
        </is>
      </c>
      <c r="C682" s="16" t="inlineStr">
        <is>
          <t>Galaxy Surfactants Ltd.</t>
        </is>
      </c>
      <c r="D682" s="16" t="inlineStr">
        <is>
          <t>Specialty Chemicals</t>
        </is>
      </c>
      <c r="E682" s="16" t="inlineStr">
        <is>
          <t>Chemicals &amp; Petrochemicals</t>
        </is>
      </c>
      <c r="F682" s="17" t="n">
        <v>7678.17</v>
      </c>
      <c r="G682" s="16" t="inlineStr">
        <is>
          <t>GALAXYSURF</t>
        </is>
      </c>
      <c r="H682" s="16" t="inlineStr">
        <is>
          <t>540935</t>
        </is>
      </c>
      <c r="I682" s="27">
        <f>IFERROR(IF(INDEX(Stocks!$G$2:$G$2139,MATCH(A682,Stocks!$E$2:$E$2139,0))="","No","Yes"),"No")</f>
        <v/>
      </c>
    </row>
    <row r="683">
      <c r="A683" s="16" t="inlineStr">
        <is>
          <t>INE743M01012</t>
        </is>
      </c>
      <c r="B683" s="16" t="inlineStr">
        <is>
          <t>RHIM</t>
        </is>
      </c>
      <c r="C683" s="16" t="inlineStr">
        <is>
          <t>RHI Magnesita India Ltd.</t>
        </is>
      </c>
      <c r="D683" s="16" t="inlineStr">
        <is>
          <t>Electrodes &amp; Refractories</t>
        </is>
      </c>
      <c r="E683" s="16" t="inlineStr">
        <is>
          <t>General Industrials</t>
        </is>
      </c>
      <c r="F683" s="17" t="n">
        <v>7668.43</v>
      </c>
      <c r="G683" s="16" t="inlineStr">
        <is>
          <t>RHIM</t>
        </is>
      </c>
      <c r="H683" s="16" t="inlineStr">
        <is>
          <t>534076</t>
        </is>
      </c>
      <c r="I683" s="27">
        <f>IFERROR(IF(INDEX(Stocks!$G$2:$G$2139,MATCH(A683,Stocks!$E$2:$E$2139,0))="","No","Yes"),"No")</f>
        <v/>
      </c>
    </row>
    <row r="684">
      <c r="A684" s="16" t="inlineStr">
        <is>
          <t>INE0U3I01011</t>
        </is>
      </c>
      <c r="B684" s="16" t="inlineStr">
        <is>
          <t>UNIMECH</t>
        </is>
      </c>
      <c r="C684" s="16" t="inlineStr">
        <is>
          <t>Unimech Aerospace and Manufacturing Ltd.</t>
        </is>
      </c>
      <c r="D684" s="16" t="inlineStr">
        <is>
          <t>Industrial Machinery</t>
        </is>
      </c>
      <c r="E684" s="16" t="inlineStr">
        <is>
          <t>General Industrials</t>
        </is>
      </c>
      <c r="F684" s="17" t="n">
        <v>7649.04</v>
      </c>
      <c r="G684" s="16" t="inlineStr">
        <is>
          <t>UNIMECH</t>
        </is>
      </c>
      <c r="H684" s="16" t="inlineStr">
        <is>
          <t>544322</t>
        </is>
      </c>
      <c r="I684" s="27">
        <f>IFERROR(IF(INDEX(Stocks!$G$2:$G$2139,MATCH(A684,Stocks!$E$2:$E$2139,0))="","No","Yes"),"No")</f>
        <v/>
      </c>
    </row>
    <row r="685">
      <c r="A685" s="16" t="inlineStr">
        <is>
          <t>INE884B01025</t>
        </is>
      </c>
      <c r="B685" s="16" t="inlineStr">
        <is>
          <t>KIRLFER</t>
        </is>
      </c>
      <c r="C685" s="16" t="inlineStr">
        <is>
          <t>Kirloskar Ferrous Industries Ltd.</t>
        </is>
      </c>
      <c r="D685" s="16" t="inlineStr">
        <is>
          <t>Iron &amp; Steel/Interm.Products</t>
        </is>
      </c>
      <c r="E685" s="16" t="inlineStr">
        <is>
          <t>Metals &amp; Mining</t>
        </is>
      </c>
      <c r="F685" s="17" t="n">
        <v>7592.13</v>
      </c>
      <c r="G685" s="16" t="inlineStr"/>
      <c r="H685" s="16" t="inlineStr">
        <is>
          <t>500245</t>
        </is>
      </c>
      <c r="I685" s="27">
        <f>IFERROR(IF(INDEX(Stocks!$G$2:$G$2139,MATCH(A685,Stocks!$E$2:$E$2139,0))="","No","Yes"),"No")</f>
        <v/>
      </c>
    </row>
    <row r="686">
      <c r="A686" s="16" t="inlineStr">
        <is>
          <t>INE0LMW01024</t>
        </is>
      </c>
      <c r="B686" s="16" t="inlineStr">
        <is>
          <t>CELLO</t>
        </is>
      </c>
      <c r="C686" s="16" t="inlineStr">
        <is>
          <t>Cello World Ltd.</t>
        </is>
      </c>
      <c r="D686" s="16" t="inlineStr">
        <is>
          <t>Houseware</t>
        </is>
      </c>
      <c r="E686" s="16" t="inlineStr">
        <is>
          <t>Consumer Durables</t>
        </is>
      </c>
      <c r="F686" s="17" t="n">
        <v>7554.27</v>
      </c>
      <c r="G686" s="16" t="inlineStr">
        <is>
          <t>CELLO</t>
        </is>
      </c>
      <c r="H686" s="16" t="inlineStr">
        <is>
          <t>544012</t>
        </is>
      </c>
      <c r="I686" s="27">
        <f>IFERROR(IF(INDEX(Stocks!$G$2:$G$2139,MATCH(A686,Stocks!$E$2:$E$2139,0))="","No","Yes"),"No")</f>
        <v/>
      </c>
    </row>
    <row r="687">
      <c r="A687" s="16" t="inlineStr">
        <is>
          <t>INE411F01010</t>
        </is>
      </c>
      <c r="B687" s="16" t="inlineStr">
        <is>
          <t>KAMAHOLD</t>
        </is>
      </c>
      <c r="C687" s="16" t="inlineStr">
        <is>
          <t>Kama Holdings Ltd.</t>
        </is>
      </c>
      <c r="D687" s="16" t="inlineStr">
        <is>
          <t>Holding Companies</t>
        </is>
      </c>
      <c r="E687" s="16" t="inlineStr">
        <is>
          <t>Diversified</t>
        </is>
      </c>
      <c r="F687" s="17" t="n">
        <v>7538.08</v>
      </c>
      <c r="G687" s="16" t="inlineStr"/>
      <c r="H687" s="16" t="inlineStr">
        <is>
          <t>532468</t>
        </is>
      </c>
      <c r="I687" s="27">
        <f>IFERROR(IF(INDEX(Stocks!$G$2:$G$2139,MATCH(A687,Stocks!$E$2:$E$2139,0))="","No","Yes"),"No")</f>
        <v/>
      </c>
    </row>
    <row r="688">
      <c r="A688" s="16" t="inlineStr">
        <is>
          <t>INE429E01023</t>
        </is>
      </c>
      <c r="B688" s="16" t="inlineStr">
        <is>
          <t>SAFARI</t>
        </is>
      </c>
      <c r="C688" s="16" t="inlineStr">
        <is>
          <t>Safari Industries (India) Ltd.</t>
        </is>
      </c>
      <c r="D688" s="16" t="inlineStr">
        <is>
          <t>Other Apparels &amp; Accessories</t>
        </is>
      </c>
      <c r="E688" s="16" t="inlineStr">
        <is>
          <t>Textiles Apparels &amp; Accessories</t>
        </is>
      </c>
      <c r="F688" s="17" t="n">
        <v>7530.4</v>
      </c>
      <c r="G688" s="16" t="inlineStr">
        <is>
          <t>SAFARI</t>
        </is>
      </c>
      <c r="H688" s="16" t="inlineStr">
        <is>
          <t>523025</t>
        </is>
      </c>
      <c r="I688" s="27">
        <f>IFERROR(IF(INDEX(Stocks!$G$2:$G$2139,MATCH(A688,Stocks!$E$2:$E$2139,0))="","No","Yes"),"No")</f>
        <v/>
      </c>
    </row>
    <row r="689">
      <c r="A689" s="16" t="inlineStr">
        <is>
          <t>INE0LZF01039</t>
        </is>
      </c>
      <c r="B689" s="16" t="inlineStr">
        <is>
          <t>CORDELIA</t>
        </is>
      </c>
      <c r="C689" s="16" t="inlineStr">
        <is>
          <t>Waterways Leisure Tourism Ltd.</t>
        </is>
      </c>
      <c r="D689" s="16" t="inlineStr">
        <is>
          <t>Other Leisure Facilities</t>
        </is>
      </c>
      <c r="E689" s="16" t="inlineStr">
        <is>
          <t>Diversified Consumer Services</t>
        </is>
      </c>
      <c r="F689" s="17" t="n">
        <v>7521.79</v>
      </c>
      <c r="G689" s="16" t="inlineStr">
        <is>
          <t>CORDELIA</t>
        </is>
      </c>
      <c r="H689" s="16" t="inlineStr">
        <is>
          <t>544802</t>
        </is>
      </c>
      <c r="I689" s="27">
        <f>IFERROR(IF(INDEX(Stocks!$G$2:$G$2139,MATCH(A689,Stocks!$E$2:$E$2139,0))="","No","Yes"),"No")</f>
        <v/>
      </c>
    </row>
    <row r="690">
      <c r="A690" s="16" t="inlineStr">
        <is>
          <t>INE619B01017</t>
        </is>
      </c>
      <c r="B690" s="16" t="inlineStr">
        <is>
          <t>NEWGEN</t>
        </is>
      </c>
      <c r="C690" s="16" t="inlineStr">
        <is>
          <t>Newgen Software Technologies Ltd.</t>
        </is>
      </c>
      <c r="D690" s="16" t="inlineStr">
        <is>
          <t>IT Consulting &amp; Software</t>
        </is>
      </c>
      <c r="E690" s="16" t="inlineStr">
        <is>
          <t>Software &amp; Services</t>
        </is>
      </c>
      <c r="F690" s="17" t="n">
        <v>7478.92</v>
      </c>
      <c r="G690" s="16" t="inlineStr">
        <is>
          <t>NEWGEN</t>
        </is>
      </c>
      <c r="H690" s="16" t="inlineStr">
        <is>
          <t>540900</t>
        </is>
      </c>
      <c r="I690" s="27">
        <f>IFERROR(IF(INDEX(Stocks!$G$2:$G$2139,MATCH(A690,Stocks!$E$2:$E$2139,0))="","No","Yes"),"No")</f>
        <v/>
      </c>
    </row>
    <row r="691">
      <c r="A691" s="16" t="inlineStr">
        <is>
          <t>INE04TZ01018</t>
        </is>
      </c>
      <c r="B691" s="16" t="inlineStr">
        <is>
          <t>ETHOSLTD</t>
        </is>
      </c>
      <c r="C691" s="16" t="inlineStr">
        <is>
          <t>Ethos Ltd.</t>
        </is>
      </c>
      <c r="D691" s="16" t="inlineStr">
        <is>
          <t>Specialty Retail</t>
        </is>
      </c>
      <c r="E691" s="16" t="inlineStr">
        <is>
          <t>Retailing</t>
        </is>
      </c>
      <c r="F691" s="17" t="n">
        <v>7472.89</v>
      </c>
      <c r="G691" s="16" t="inlineStr">
        <is>
          <t>ETHOSLTD</t>
        </is>
      </c>
      <c r="H691" s="16" t="inlineStr">
        <is>
          <t>543532</t>
        </is>
      </c>
      <c r="I691" s="27">
        <f>IFERROR(IF(INDEX(Stocks!$G$2:$G$2139,MATCH(A691,Stocks!$E$2:$E$2139,0))="","No","Yes"),"No")</f>
        <v/>
      </c>
    </row>
    <row r="692">
      <c r="A692" s="16" t="inlineStr">
        <is>
          <t>INE739E01017</t>
        </is>
      </c>
      <c r="B692" s="16" t="inlineStr">
        <is>
          <t>CERA</t>
        </is>
      </c>
      <c r="C692" s="16" t="inlineStr">
        <is>
          <t>Cera Sanitaryware Ltd.</t>
        </is>
      </c>
      <c r="D692" s="16" t="inlineStr">
        <is>
          <t>Household Appliances</t>
        </is>
      </c>
      <c r="E692" s="16" t="inlineStr">
        <is>
          <t>Consumer Durables</t>
        </is>
      </c>
      <c r="F692" s="17" t="n">
        <v>7464.43</v>
      </c>
      <c r="G692" s="16" t="inlineStr">
        <is>
          <t>CERA</t>
        </is>
      </c>
      <c r="H692" s="16" t="inlineStr">
        <is>
          <t>532443</t>
        </is>
      </c>
      <c r="I692" s="27">
        <f>IFERROR(IF(INDEX(Stocks!$G$2:$G$2139,MATCH(A692,Stocks!$E$2:$E$2139,0))="","No","Yes"),"No")</f>
        <v/>
      </c>
    </row>
    <row r="693">
      <c r="A693" s="16" t="inlineStr">
        <is>
          <t>INE254N01026</t>
        </is>
      </c>
      <c r="B693" s="16" t="inlineStr">
        <is>
          <t>HNDFDS</t>
        </is>
      </c>
      <c r="C693" s="16" t="inlineStr">
        <is>
          <t>Hindustan Foods Ltd.</t>
        </is>
      </c>
      <c r="D693" s="16" t="inlineStr">
        <is>
          <t>Packaged Foods</t>
        </is>
      </c>
      <c r="E693" s="16" t="inlineStr">
        <is>
          <t>FMCG</t>
        </is>
      </c>
      <c r="F693" s="17" t="n">
        <v>7452.11</v>
      </c>
      <c r="G693" s="16" t="inlineStr">
        <is>
          <t>HNDFDS</t>
        </is>
      </c>
      <c r="H693" s="16" t="inlineStr">
        <is>
          <t>519126</t>
        </is>
      </c>
      <c r="I693" s="27">
        <f>IFERROR(IF(INDEX(Stocks!$G$2:$G$2139,MATCH(A693,Stocks!$E$2:$E$2139,0))="","No","Yes"),"No")</f>
        <v/>
      </c>
    </row>
    <row r="694">
      <c r="A694" s="16" t="inlineStr">
        <is>
          <t>INE0CU601026</t>
        </is>
      </c>
      <c r="B694" s="16" t="inlineStr">
        <is>
          <t>GMRP&amp;UI</t>
        </is>
      </c>
      <c r="C694" s="16" t="inlineStr">
        <is>
          <t>GMR Power and Urban Infra Ltd.</t>
        </is>
      </c>
      <c r="D694" s="16" t="inlineStr">
        <is>
          <t>Power - Electric Utilities</t>
        </is>
      </c>
      <c r="E694" s="16" t="inlineStr">
        <is>
          <t>Utilities</t>
        </is>
      </c>
      <c r="F694" s="17" t="n">
        <v>7443.1</v>
      </c>
      <c r="G694" s="16" t="inlineStr">
        <is>
          <t>GMRP&amp;UI</t>
        </is>
      </c>
      <c r="H694" s="16" t="inlineStr">
        <is>
          <t>543490</t>
        </is>
      </c>
      <c r="I694" s="27">
        <f>IFERROR(IF(INDEX(Stocks!$G$2:$G$2139,MATCH(A694,Stocks!$E$2:$E$2139,0))="","No","Yes"),"No")</f>
        <v/>
      </c>
    </row>
    <row r="695">
      <c r="A695" s="16" t="inlineStr">
        <is>
          <t>INE668F01031</t>
        </is>
      </c>
      <c r="B695" s="16" t="inlineStr">
        <is>
          <t>JYOTHYLAB</t>
        </is>
      </c>
      <c r="C695" s="16" t="inlineStr">
        <is>
          <t>Jyothy Labs Ltd.</t>
        </is>
      </c>
      <c r="D695" s="16" t="inlineStr">
        <is>
          <t>Personal Products</t>
        </is>
      </c>
      <c r="E695" s="16" t="inlineStr">
        <is>
          <t>FMCG</t>
        </is>
      </c>
      <c r="F695" s="17" t="n">
        <v>7400.84</v>
      </c>
      <c r="G695" s="16" t="inlineStr">
        <is>
          <t>JYOTHYLAB</t>
        </is>
      </c>
      <c r="H695" s="16" t="inlineStr">
        <is>
          <t>532926</t>
        </is>
      </c>
      <c r="I695" s="27">
        <f>IFERROR(IF(INDEX(Stocks!$G$2:$G$2139,MATCH(A695,Stocks!$E$2:$E$2139,0))="","No","Yes"),"No")</f>
        <v/>
      </c>
    </row>
    <row r="696">
      <c r="A696" s="16" t="inlineStr">
        <is>
          <t>INE284S01014</t>
        </is>
      </c>
      <c r="B696" s="16" t="inlineStr">
        <is>
          <t>SJS</t>
        </is>
      </c>
      <c r="C696" s="16" t="inlineStr">
        <is>
          <t>SJS Enterprises Ltd.</t>
        </is>
      </c>
      <c r="D696" s="16" t="inlineStr">
        <is>
          <t>Auto Parts &amp; Equipment</t>
        </is>
      </c>
      <c r="E696" s="16" t="inlineStr">
        <is>
          <t>Automobiles &amp; Auto Components</t>
        </is>
      </c>
      <c r="F696" s="17" t="n">
        <v>7385.68</v>
      </c>
      <c r="G696" s="16" t="inlineStr">
        <is>
          <t>SJS</t>
        </is>
      </c>
      <c r="H696" s="16" t="inlineStr">
        <is>
          <t>543387</t>
        </is>
      </c>
      <c r="I696" s="27">
        <f>IFERROR(IF(INDEX(Stocks!$G$2:$G$2139,MATCH(A696,Stocks!$E$2:$E$2139,0))="","No","Yes"),"No")</f>
        <v/>
      </c>
    </row>
    <row r="697">
      <c r="A697" s="16" t="inlineStr">
        <is>
          <t>INE317F01035</t>
        </is>
      </c>
      <c r="B697" s="16" t="inlineStr">
        <is>
          <t>NESCO</t>
        </is>
      </c>
      <c r="C697" s="16" t="inlineStr">
        <is>
          <t>Nesco Ltd.</t>
        </is>
      </c>
      <c r="D697" s="16" t="inlineStr">
        <is>
          <t>Realty</t>
        </is>
      </c>
      <c r="E697" s="16" t="inlineStr">
        <is>
          <t>Realty</t>
        </is>
      </c>
      <c r="F697" s="17" t="n">
        <v>7381.39</v>
      </c>
      <c r="G697" s="16" t="inlineStr">
        <is>
          <t>NESCO</t>
        </is>
      </c>
      <c r="H697" s="16" t="inlineStr">
        <is>
          <t>505355</t>
        </is>
      </c>
      <c r="I697" s="27">
        <f>IFERROR(IF(INDEX(Stocks!$G$2:$G$2139,MATCH(A697,Stocks!$E$2:$E$2139,0))="","No","Yes"),"No")</f>
        <v/>
      </c>
    </row>
    <row r="698">
      <c r="A698" s="16" t="inlineStr">
        <is>
          <t>INE922K01024</t>
        </is>
      </c>
      <c r="B698" s="16" t="inlineStr">
        <is>
          <t>INDIASHLTR</t>
        </is>
      </c>
      <c r="C698" s="16" t="inlineStr">
        <is>
          <t>India Shelter Finance Corporation Ltd.</t>
        </is>
      </c>
      <c r="D698" s="16" t="inlineStr">
        <is>
          <t>Housing Finance</t>
        </is>
      </c>
      <c r="E698" s="16" t="inlineStr">
        <is>
          <t>Banking and Finance</t>
        </is>
      </c>
      <c r="F698" s="17" t="n">
        <v>7378.14</v>
      </c>
      <c r="G698" s="16" t="inlineStr">
        <is>
          <t>INDIASHLTR</t>
        </is>
      </c>
      <c r="H698" s="16" t="inlineStr">
        <is>
          <t>544044</t>
        </is>
      </c>
      <c r="I698" s="27">
        <f>IFERROR(IF(INDEX(Stocks!$G$2:$G$2139,MATCH(A698,Stocks!$E$2:$E$2139,0))="","No","Yes"),"No")</f>
        <v/>
      </c>
    </row>
    <row r="699">
      <c r="A699" s="16" t="inlineStr">
        <is>
          <t>INE517B01013</t>
        </is>
      </c>
      <c r="B699" s="16" t="inlineStr">
        <is>
          <t>TTML</t>
        </is>
      </c>
      <c r="C699" s="16" t="inlineStr">
        <is>
          <t>Tata Teleservices (Maharashtra) Ltd.</t>
        </is>
      </c>
      <c r="D699" s="16" t="inlineStr">
        <is>
          <t>Telecom Services</t>
        </is>
      </c>
      <c r="E699" s="16" t="inlineStr">
        <is>
          <t>Telecom Services</t>
        </is>
      </c>
      <c r="F699" s="17" t="n">
        <v>7377.9</v>
      </c>
      <c r="G699" s="16" t="inlineStr">
        <is>
          <t>TTML</t>
        </is>
      </c>
      <c r="H699" s="16" t="inlineStr">
        <is>
          <t>532371</t>
        </is>
      </c>
      <c r="I699" s="27">
        <f>IFERROR(IF(INDEX(Stocks!$G$2:$G$2139,MATCH(A699,Stocks!$E$2:$E$2139,0))="","No","Yes"),"No")</f>
        <v/>
      </c>
    </row>
    <row r="700">
      <c r="A700" s="16" t="inlineStr">
        <is>
          <t>INE987S01020</t>
        </is>
      </c>
      <c r="B700" s="16" t="inlineStr">
        <is>
          <t>KSHINTL</t>
        </is>
      </c>
      <c r="C700" s="16" t="inlineStr">
        <is>
          <t>KSH International Ltd.</t>
        </is>
      </c>
      <c r="D700" s="16" t="inlineStr">
        <is>
          <t>Other Industrial Products</t>
        </is>
      </c>
      <c r="E700" s="16" t="inlineStr">
        <is>
          <t>General Industrials</t>
        </is>
      </c>
      <c r="F700" s="17" t="n">
        <v>7370.47</v>
      </c>
      <c r="G700" s="16" t="inlineStr">
        <is>
          <t>KSHINTL</t>
        </is>
      </c>
      <c r="H700" s="16" t="inlineStr">
        <is>
          <t>544664</t>
        </is>
      </c>
      <c r="I700" s="27">
        <f>IFERROR(IF(INDEX(Stocks!$G$2:$G$2139,MATCH(A700,Stocks!$E$2:$E$2139,0))="","No","Yes"),"No")</f>
        <v/>
      </c>
    </row>
    <row r="701">
      <c r="A701" s="16" t="inlineStr">
        <is>
          <t>INE789E01012</t>
        </is>
      </c>
      <c r="B701" s="16" t="inlineStr">
        <is>
          <t>JKPAPER</t>
        </is>
      </c>
      <c r="C701" s="16" t="inlineStr">
        <is>
          <t>JK Paper Ltd.</t>
        </is>
      </c>
      <c r="D701" s="16" t="inlineStr">
        <is>
          <t>Paper &amp; Paper Products</t>
        </is>
      </c>
      <c r="E701" s="16" t="inlineStr">
        <is>
          <t>Commercial Services &amp; Supplies</t>
        </is>
      </c>
      <c r="F701" s="17" t="n">
        <v>7357.92</v>
      </c>
      <c r="G701" s="16" t="inlineStr">
        <is>
          <t>JKPAPER</t>
        </is>
      </c>
      <c r="H701" s="16" t="inlineStr">
        <is>
          <t>532162</t>
        </is>
      </c>
      <c r="I701" s="27">
        <f>IFERROR(IF(INDEX(Stocks!$G$2:$G$2139,MATCH(A701,Stocks!$E$2:$E$2139,0))="","No","Yes"),"No")</f>
        <v/>
      </c>
    </row>
    <row r="702">
      <c r="A702" s="16" t="inlineStr">
        <is>
          <t>INE0HV901016</t>
        </is>
      </c>
      <c r="B702" s="16" t="inlineStr">
        <is>
          <t>IXIGO</t>
        </is>
      </c>
      <c r="C702" s="16" t="inlineStr">
        <is>
          <t>LE Travenues Technology Ltd.</t>
        </is>
      </c>
      <c r="D702" s="16" t="inlineStr">
        <is>
          <t>Travel Support Services</t>
        </is>
      </c>
      <c r="E702" s="16" t="inlineStr">
        <is>
          <t>Diversified Consumer Services</t>
        </is>
      </c>
      <c r="F702" s="17" t="n">
        <v>7354.41</v>
      </c>
      <c r="G702" s="16" t="inlineStr">
        <is>
          <t>IXIGO</t>
        </is>
      </c>
      <c r="H702" s="16" t="inlineStr">
        <is>
          <t>544192</t>
        </is>
      </c>
      <c r="I702" s="27">
        <f>IFERROR(IF(INDEX(Stocks!$G$2:$G$2139,MATCH(A702,Stocks!$E$2:$E$2139,0))="","No","Yes"),"No")</f>
        <v/>
      </c>
    </row>
    <row r="703">
      <c r="A703" s="16" t="inlineStr">
        <is>
          <t>INE666D01022</t>
        </is>
      </c>
      <c r="B703" s="16" t="inlineStr">
        <is>
          <t>BORORENEW</t>
        </is>
      </c>
      <c r="C703" s="16" t="inlineStr">
        <is>
          <t>Borosil Renewables Ltd.</t>
        </is>
      </c>
      <c r="D703" s="16" t="inlineStr">
        <is>
          <t>Houseware</t>
        </is>
      </c>
      <c r="E703" s="16" t="inlineStr">
        <is>
          <t>Consumer Durables</t>
        </is>
      </c>
      <c r="F703" s="17" t="n">
        <v>7346.67</v>
      </c>
      <c r="G703" s="16" t="inlineStr">
        <is>
          <t>BORORENEW</t>
        </is>
      </c>
      <c r="H703" s="16" t="inlineStr">
        <is>
          <t>502219</t>
        </is>
      </c>
      <c r="I703" s="27">
        <f>IFERROR(IF(INDEX(Stocks!$G$2:$G$2139,MATCH(A703,Stocks!$E$2:$E$2139,0))="","No","Yes"),"No")</f>
        <v/>
      </c>
    </row>
    <row r="704">
      <c r="A704" s="16" t="inlineStr">
        <is>
          <t>INE806T01020</t>
        </is>
      </c>
      <c r="B704" s="16" t="inlineStr">
        <is>
          <t>SAPPHIRE</t>
        </is>
      </c>
      <c r="C704" s="16" t="inlineStr">
        <is>
          <t>Sapphire Foods India Ltd.</t>
        </is>
      </c>
      <c r="D704" s="16" t="inlineStr">
        <is>
          <t>Restaurants</t>
        </is>
      </c>
      <c r="E704" s="16" t="inlineStr">
        <is>
          <t>Hotels Restaurants &amp; Tourism</t>
        </is>
      </c>
      <c r="F704" s="17" t="n">
        <v>7341.35</v>
      </c>
      <c r="G704" s="16" t="inlineStr">
        <is>
          <t>SAPPHIRE</t>
        </is>
      </c>
      <c r="H704" s="16" t="inlineStr">
        <is>
          <t>543397</t>
        </is>
      </c>
      <c r="I704" s="27">
        <f>IFERROR(IF(INDEX(Stocks!$G$2:$G$2139,MATCH(A704,Stocks!$E$2:$E$2139,0))="","No","Yes"),"No")</f>
        <v/>
      </c>
    </row>
    <row r="705">
      <c r="A705" s="16" t="inlineStr">
        <is>
          <t>INE211R01019</t>
        </is>
      </c>
      <c r="B705" s="16" t="inlineStr">
        <is>
          <t>POWERMECH</t>
        </is>
      </c>
      <c r="C705" s="16" t="inlineStr">
        <is>
          <t>Power Mech Projects Ltd.</t>
        </is>
      </c>
      <c r="D705" s="16" t="inlineStr">
        <is>
          <t>Construction &amp; Engineering</t>
        </is>
      </c>
      <c r="E705" s="16" t="inlineStr">
        <is>
          <t>Cement and Construction</t>
        </is>
      </c>
      <c r="F705" s="17" t="n">
        <v>7291.03</v>
      </c>
      <c r="G705" s="16" t="inlineStr">
        <is>
          <t>POWERMECH</t>
        </is>
      </c>
      <c r="H705" s="16" t="inlineStr">
        <is>
          <t>539302</t>
        </is>
      </c>
      <c r="I705" s="27">
        <f>IFERROR(IF(INDEX(Stocks!$G$2:$G$2139,MATCH(A705,Stocks!$E$2:$E$2139,0))="","No","Yes"),"No")</f>
        <v/>
      </c>
    </row>
    <row r="706">
      <c r="A706" s="16" t="inlineStr">
        <is>
          <t>INE555B01013</t>
        </is>
      </c>
      <c r="B706" s="16" t="inlineStr">
        <is>
          <t>AXISCADES</t>
        </is>
      </c>
      <c r="C706" s="16" t="inlineStr">
        <is>
          <t>AXISCADES Technologies Ltd.</t>
        </is>
      </c>
      <c r="D706" s="16" t="inlineStr">
        <is>
          <t>Aerospace &amp; Defence</t>
        </is>
      </c>
      <c r="E706" s="16" t="inlineStr">
        <is>
          <t>General Industrials</t>
        </is>
      </c>
      <c r="F706" s="17" t="n">
        <v>7280.03</v>
      </c>
      <c r="G706" s="16" t="inlineStr">
        <is>
          <t>AXISCADES</t>
        </is>
      </c>
      <c r="H706" s="16" t="inlineStr">
        <is>
          <t>532395</t>
        </is>
      </c>
      <c r="I706" s="27">
        <f>IFERROR(IF(INDEX(Stocks!$G$2:$G$2139,MATCH(A706,Stocks!$E$2:$E$2139,0))="","No","Yes"),"No")</f>
        <v/>
      </c>
    </row>
    <row r="707">
      <c r="A707" s="16" t="inlineStr">
        <is>
          <t>INE900L01028</t>
        </is>
      </c>
      <c r="B707" s="16" t="inlineStr">
        <is>
          <t>MBAPL</t>
        </is>
      </c>
      <c r="C707" s="16" t="inlineStr">
        <is>
          <t>Madhya Bharat Agro Products Ltd.</t>
        </is>
      </c>
      <c r="D707" s="16" t="inlineStr">
        <is>
          <t>Fertilizers</t>
        </is>
      </c>
      <c r="E707" s="16" t="inlineStr">
        <is>
          <t>Fertilizers</t>
        </is>
      </c>
      <c r="F707" s="17" t="n">
        <v>7278.29</v>
      </c>
      <c r="G707" s="16" t="inlineStr">
        <is>
          <t>MBAPL</t>
        </is>
      </c>
      <c r="H707" s="16" t="inlineStr"/>
      <c r="I707" s="27">
        <f>IFERROR(IF(INDEX(Stocks!$G$2:$G$2139,MATCH(A707,Stocks!$E$2:$E$2139,0))="","No","Yes"),"No")</f>
        <v/>
      </c>
    </row>
    <row r="708">
      <c r="A708" s="16" t="inlineStr">
        <is>
          <t>INE058A01010</t>
        </is>
      </c>
      <c r="B708" s="16" t="inlineStr">
        <is>
          <t>SANOFI</t>
        </is>
      </c>
      <c r="C708" s="16" t="inlineStr">
        <is>
          <t>Sanofi India Ltd.</t>
        </is>
      </c>
      <c r="D708" s="16" t="inlineStr">
        <is>
          <t>Pharmaceuticals</t>
        </is>
      </c>
      <c r="E708" s="16" t="inlineStr">
        <is>
          <t>Pharmaceuticals &amp; Biotechnology</t>
        </is>
      </c>
      <c r="F708" s="17" t="n">
        <v>7273.52</v>
      </c>
      <c r="G708" s="16" t="inlineStr">
        <is>
          <t>SANOFI</t>
        </is>
      </c>
      <c r="H708" s="16" t="inlineStr">
        <is>
          <t>500674</t>
        </is>
      </c>
      <c r="I708" s="27">
        <f>IFERROR(IF(INDEX(Stocks!$G$2:$G$2139,MATCH(A708,Stocks!$E$2:$E$2139,0))="","No","Yes"),"No")</f>
        <v/>
      </c>
    </row>
    <row r="709">
      <c r="A709" s="16" t="inlineStr">
        <is>
          <t>INE855B01025</t>
        </is>
      </c>
      <c r="B709" s="16" t="inlineStr">
        <is>
          <t>RAIN</t>
        </is>
      </c>
      <c r="C709" s="16" t="inlineStr">
        <is>
          <t>Rain Industries Ltd.</t>
        </is>
      </c>
      <c r="D709" s="16" t="inlineStr">
        <is>
          <t>Petrochemicals</t>
        </is>
      </c>
      <c r="E709" s="16" t="inlineStr">
        <is>
          <t>Chemicals &amp; Petrochemicals</t>
        </is>
      </c>
      <c r="F709" s="17" t="n">
        <v>7255.65</v>
      </c>
      <c r="G709" s="16" t="inlineStr">
        <is>
          <t>RAIN</t>
        </is>
      </c>
      <c r="H709" s="16" t="inlineStr">
        <is>
          <t>500339</t>
        </is>
      </c>
      <c r="I709" s="27">
        <f>IFERROR(IF(INDEX(Stocks!$G$2:$G$2139,MATCH(A709,Stocks!$E$2:$E$2139,0))="","No","Yes"),"No")</f>
        <v/>
      </c>
    </row>
    <row r="710">
      <c r="A710" s="16" t="inlineStr">
        <is>
          <t>INE545H01011</t>
        </is>
      </c>
      <c r="B710" s="16" t="inlineStr">
        <is>
          <t>TIIL</t>
        </is>
      </c>
      <c r="C710" s="16" t="inlineStr">
        <is>
          <t>Technocraft Industries (India) Ltd.</t>
        </is>
      </c>
      <c r="D710" s="16" t="inlineStr">
        <is>
          <t>Iron &amp; Steel Products</t>
        </is>
      </c>
      <c r="E710" s="16" t="inlineStr">
        <is>
          <t>Metals &amp; Mining</t>
        </is>
      </c>
      <c r="F710" s="17" t="n">
        <v>7243.05</v>
      </c>
      <c r="G710" s="16" t="inlineStr">
        <is>
          <t>TIIL</t>
        </is>
      </c>
      <c r="H710" s="16" t="inlineStr">
        <is>
          <t>532804</t>
        </is>
      </c>
      <c r="I710" s="27">
        <f>IFERROR(IF(INDEX(Stocks!$G$2:$G$2139,MATCH(A710,Stocks!$E$2:$E$2139,0))="","No","Yes"),"No")</f>
        <v/>
      </c>
    </row>
    <row r="711">
      <c r="A711" s="16" t="inlineStr">
        <is>
          <t>INE416D01022</t>
        </is>
      </c>
      <c r="B711" s="16" t="inlineStr">
        <is>
          <t>BLISSGVS</t>
        </is>
      </c>
      <c r="C711" s="16" t="inlineStr">
        <is>
          <t>Bliss GVS Pharma Ltd.</t>
        </is>
      </c>
      <c r="D711" s="16" t="inlineStr">
        <is>
          <t>Pharmaceuticals</t>
        </is>
      </c>
      <c r="E711" s="16" t="inlineStr">
        <is>
          <t>Pharmaceuticals &amp; Biotechnology</t>
        </is>
      </c>
      <c r="F711" s="17" t="n">
        <v>7131.07</v>
      </c>
      <c r="G711" s="16" t="inlineStr">
        <is>
          <t>BLISSGVS</t>
        </is>
      </c>
      <c r="H711" s="16" t="inlineStr">
        <is>
          <t>506197</t>
        </is>
      </c>
      <c r="I711" s="27">
        <f>IFERROR(IF(INDEX(Stocks!$G$2:$G$2139,MATCH(A711,Stocks!$E$2:$E$2139,0))="","No","Yes"),"No")</f>
        <v/>
      </c>
    </row>
    <row r="712">
      <c r="A712" s="16" t="inlineStr">
        <is>
          <t>INE083K01017</t>
        </is>
      </c>
      <c r="B712" s="16" t="inlineStr">
        <is>
          <t>BENGALASM</t>
        </is>
      </c>
      <c r="C712" s="16" t="inlineStr">
        <is>
          <t>Bengal &amp; Assam Company Ltd.</t>
        </is>
      </c>
      <c r="D712" s="16" t="inlineStr">
        <is>
          <t>Finance (including NBFCs)</t>
        </is>
      </c>
      <c r="E712" s="16" t="inlineStr">
        <is>
          <t>Banking and Finance</t>
        </is>
      </c>
      <c r="F712" s="17" t="n">
        <v>7129.04</v>
      </c>
      <c r="G712" s="16" t="inlineStr"/>
      <c r="H712" s="16" t="inlineStr">
        <is>
          <t>533095</t>
        </is>
      </c>
      <c r="I712" s="27">
        <f>IFERROR(IF(INDEX(Stocks!$G$2:$G$2139,MATCH(A712,Stocks!$E$2:$E$2139,0))="","No","Yes"),"No")</f>
        <v/>
      </c>
    </row>
    <row r="713">
      <c r="A713" s="16" t="inlineStr">
        <is>
          <t>INE024001021</t>
        </is>
      </c>
      <c r="B713" s="16" t="inlineStr">
        <is>
          <t>AEROFLEX</t>
        </is>
      </c>
      <c r="C713" s="16" t="inlineStr">
        <is>
          <t>Aeroflex Industries Ltd.</t>
        </is>
      </c>
      <c r="D713" s="16" t="inlineStr">
        <is>
          <t>Iron &amp; Steel Products</t>
        </is>
      </c>
      <c r="E713" s="16" t="inlineStr">
        <is>
          <t>Metals &amp; Mining</t>
        </is>
      </c>
      <c r="F713" s="17" t="n">
        <v>7112.12</v>
      </c>
      <c r="G713" s="16" t="inlineStr">
        <is>
          <t>AEROFLEX</t>
        </is>
      </c>
      <c r="H713" s="16" t="inlineStr">
        <is>
          <t>543972</t>
        </is>
      </c>
      <c r="I713" s="27">
        <f>IFERROR(IF(INDEX(Stocks!$G$2:$G$2139,MATCH(A713,Stocks!$E$2:$E$2139,0))="","No","Yes"),"No")</f>
        <v/>
      </c>
    </row>
    <row r="714">
      <c r="A714" s="16" t="inlineStr">
        <is>
          <t>INE503A01015</t>
        </is>
      </c>
      <c r="B714" s="16" t="inlineStr">
        <is>
          <t>DCBBANK</t>
        </is>
      </c>
      <c r="C714" s="16" t="inlineStr">
        <is>
          <t>DCB Bank Ltd.</t>
        </is>
      </c>
      <c r="D714" s="16" t="inlineStr">
        <is>
          <t>Banks</t>
        </is>
      </c>
      <c r="E714" s="16" t="inlineStr">
        <is>
          <t>Banking and Finance</t>
        </is>
      </c>
      <c r="F714" s="17" t="n">
        <v>7111.78</v>
      </c>
      <c r="G714" s="16" t="inlineStr">
        <is>
          <t>DCBBANK</t>
        </is>
      </c>
      <c r="H714" s="16" t="inlineStr">
        <is>
          <t>532772</t>
        </is>
      </c>
      <c r="I714" s="27">
        <f>IFERROR(IF(INDEX(Stocks!$G$2:$G$2139,MATCH(A714,Stocks!$E$2:$E$2139,0))="","No","Yes"),"No")</f>
        <v/>
      </c>
    </row>
    <row r="715">
      <c r="A715" s="16" t="inlineStr">
        <is>
          <t>INE916U01025</t>
        </is>
      </c>
      <c r="B715" s="16" t="inlineStr">
        <is>
          <t>SFL</t>
        </is>
      </c>
      <c r="C715" s="16" t="inlineStr">
        <is>
          <t>Sheela Foam Ltd.</t>
        </is>
      </c>
      <c r="D715" s="16" t="inlineStr">
        <is>
          <t>Furniture-Furnishing</t>
        </is>
      </c>
      <c r="E715" s="16" t="inlineStr">
        <is>
          <t>Diversified Consumer Services</t>
        </is>
      </c>
      <c r="F715" s="17" t="n">
        <v>7063.27</v>
      </c>
      <c r="G715" s="16" t="inlineStr">
        <is>
          <t>SFL</t>
        </is>
      </c>
      <c r="H715" s="16" t="inlineStr">
        <is>
          <t>540203</t>
        </is>
      </c>
      <c r="I715" s="27">
        <f>IFERROR(IF(INDEX(Stocks!$G$2:$G$2139,MATCH(A715,Stocks!$E$2:$E$2139,0))="","No","Yes"),"No")</f>
        <v/>
      </c>
    </row>
    <row r="716">
      <c r="A716" s="16" t="inlineStr">
        <is>
          <t>INE510W01014</t>
        </is>
      </c>
      <c r="B716" s="16" t="inlineStr">
        <is>
          <t>INOXGREEN</t>
        </is>
      </c>
      <c r="C716" s="16" t="inlineStr">
        <is>
          <t>Inox Green Energy Services Ltd.</t>
        </is>
      </c>
      <c r="D716" s="16" t="inlineStr">
        <is>
          <t>Green &amp; Renewable Energy</t>
        </is>
      </c>
      <c r="E716" s="16" t="inlineStr">
        <is>
          <t>Utilities</t>
        </is>
      </c>
      <c r="F716" s="17" t="n">
        <v>7030.12</v>
      </c>
      <c r="G716" s="16" t="inlineStr">
        <is>
          <t>INOXGREEN</t>
        </is>
      </c>
      <c r="H716" s="16" t="inlineStr">
        <is>
          <t>543667</t>
        </is>
      </c>
      <c r="I716" s="27">
        <f>IFERROR(IF(INDEX(Stocks!$G$2:$G$2139,MATCH(A716,Stocks!$E$2:$E$2139,0))="","No","Yes"),"No")</f>
        <v/>
      </c>
    </row>
    <row r="717">
      <c r="A717" s="16" t="inlineStr">
        <is>
          <t>INE428V01029</t>
        </is>
      </c>
      <c r="B717" s="16" t="inlineStr">
        <is>
          <t>NEPHROPLUS</t>
        </is>
      </c>
      <c r="C717" s="16" t="inlineStr">
        <is>
          <t>Nephrocare Health Services Ltd.</t>
        </is>
      </c>
      <c r="D717" s="16" t="inlineStr">
        <is>
          <t>Healthcare Services</t>
        </is>
      </c>
      <c r="E717" s="16" t="inlineStr">
        <is>
          <t>Healthcare</t>
        </is>
      </c>
      <c r="F717" s="17" t="n">
        <v>6994.25</v>
      </c>
      <c r="G717" s="16" t="inlineStr">
        <is>
          <t>NEPHROPLUS</t>
        </is>
      </c>
      <c r="H717" s="16" t="inlineStr">
        <is>
          <t>544647</t>
        </is>
      </c>
      <c r="I717" s="27">
        <f>IFERROR(IF(INDEX(Stocks!$G$2:$G$2139,MATCH(A717,Stocks!$E$2:$E$2139,0))="","No","Yes"),"No")</f>
        <v/>
      </c>
    </row>
    <row r="718">
      <c r="A718" s="16" t="inlineStr">
        <is>
          <t>INE011E01029</t>
        </is>
      </c>
      <c r="B718" s="16" t="inlineStr">
        <is>
          <t>BALUFORGE</t>
        </is>
      </c>
      <c r="C718" s="16" t="inlineStr">
        <is>
          <t>Balu Forge Industries Ltd.</t>
        </is>
      </c>
      <c r="D718" s="16" t="inlineStr">
        <is>
          <t>Castings &amp; Forgings</t>
        </is>
      </c>
      <c r="E718" s="16" t="inlineStr">
        <is>
          <t>General Industrials</t>
        </is>
      </c>
      <c r="F718" s="17" t="n">
        <v>6969.11</v>
      </c>
      <c r="G718" s="16" t="inlineStr">
        <is>
          <t>BALUFORGE</t>
        </is>
      </c>
      <c r="H718" s="16" t="inlineStr">
        <is>
          <t>531112</t>
        </is>
      </c>
      <c r="I718" s="27">
        <f>IFERROR(IF(INDEX(Stocks!$G$2:$G$2139,MATCH(A718,Stocks!$E$2:$E$2139,0))="","No","Yes"),"No")</f>
        <v/>
      </c>
    </row>
    <row r="719">
      <c r="A719" s="16" t="inlineStr">
        <is>
          <t>INE919H01018</t>
        </is>
      </c>
      <c r="B719" s="16" t="inlineStr">
        <is>
          <t>IMFA</t>
        </is>
      </c>
      <c r="C719" s="16" t="inlineStr">
        <is>
          <t>Indian Metals &amp; Ferro Alloys Ltd.</t>
        </is>
      </c>
      <c r="D719" s="16" t="inlineStr">
        <is>
          <t>Iron &amp; Steel/Interm.Products</t>
        </is>
      </c>
      <c r="E719" s="16" t="inlineStr">
        <is>
          <t>Metals &amp; Mining</t>
        </is>
      </c>
      <c r="F719" s="17" t="n">
        <v>6951.45</v>
      </c>
      <c r="G719" s="16" t="inlineStr">
        <is>
          <t>IMFA</t>
        </is>
      </c>
      <c r="H719" s="16" t="inlineStr">
        <is>
          <t>533047</t>
        </is>
      </c>
      <c r="I719" s="27">
        <f>IFERROR(IF(INDEX(Stocks!$G$2:$G$2139,MATCH(A719,Stocks!$E$2:$E$2139,0))="","No","Yes"),"No")</f>
        <v/>
      </c>
    </row>
    <row r="720">
      <c r="A720" s="16" t="inlineStr">
        <is>
          <t>INE495P01020</t>
        </is>
      </c>
      <c r="B720" s="16" t="inlineStr">
        <is>
          <t>BECTORFOOD</t>
        </is>
      </c>
      <c r="C720" s="16" t="inlineStr">
        <is>
          <t>Mrs. Bectors Food Specialities Ltd.</t>
        </is>
      </c>
      <c r="D720" s="16" t="inlineStr">
        <is>
          <t>Packaged Foods</t>
        </is>
      </c>
      <c r="E720" s="16" t="inlineStr">
        <is>
          <t>FMCG</t>
        </is>
      </c>
      <c r="F720" s="17" t="n">
        <v>6936.76</v>
      </c>
      <c r="G720" s="16" t="inlineStr">
        <is>
          <t>BECTORFOOD</t>
        </is>
      </c>
      <c r="H720" s="16" t="inlineStr">
        <is>
          <t>543253</t>
        </is>
      </c>
      <c r="I720" s="27">
        <f>IFERROR(IF(INDEX(Stocks!$G$2:$G$2139,MATCH(A720,Stocks!$E$2:$E$2139,0))="","No","Yes"),"No")</f>
        <v/>
      </c>
    </row>
    <row r="721">
      <c r="A721" s="16" t="inlineStr">
        <is>
          <t>INE221J01015</t>
        </is>
      </c>
      <c r="B721" s="16" t="inlineStr">
        <is>
          <t>SHARDACROP</t>
        </is>
      </c>
      <c r="C721" s="16" t="inlineStr">
        <is>
          <t>Sharda Cropchem Ltd.</t>
        </is>
      </c>
      <c r="D721" s="16" t="inlineStr">
        <is>
          <t>Agrochemicals</t>
        </is>
      </c>
      <c r="E721" s="16" t="inlineStr">
        <is>
          <t>Chemicals &amp; Petrochemicals</t>
        </is>
      </c>
      <c r="F721" s="17" t="n">
        <v>6932.09</v>
      </c>
      <c r="G721" s="16" t="inlineStr">
        <is>
          <t>SHARDACROP</t>
        </is>
      </c>
      <c r="H721" s="16" t="inlineStr">
        <is>
          <t>538666</t>
        </is>
      </c>
      <c r="I721" s="27">
        <f>IFERROR(IF(INDEX(Stocks!$G$2:$G$2139,MATCH(A721,Stocks!$E$2:$E$2139,0))="","No","Yes"),"No")</f>
        <v/>
      </c>
    </row>
    <row r="722">
      <c r="A722" s="16" t="inlineStr">
        <is>
          <t>INE899I01028</t>
        </is>
      </c>
      <c r="B722" s="16" t="inlineStr">
        <is>
          <t>SYMBIOTEC</t>
        </is>
      </c>
      <c r="C722" s="16" t="inlineStr">
        <is>
          <t>Symbiotec Pharmalab Ltd.</t>
        </is>
      </c>
      <c r="D722" s="16" t="inlineStr">
        <is>
          <t>Pharmaceuticals</t>
        </is>
      </c>
      <c r="E722" s="16" t="inlineStr">
        <is>
          <t>Pharmaceuticals &amp; Biotechnology</t>
        </is>
      </c>
      <c r="F722" s="17" t="n">
        <v>6928.41</v>
      </c>
      <c r="G722" s="16" t="inlineStr">
        <is>
          <t>SYMBIOTEC</t>
        </is>
      </c>
      <c r="H722" s="16" t="inlineStr">
        <is>
          <t>544889</t>
        </is>
      </c>
      <c r="I722" s="27">
        <f>IFERROR(IF(INDEX(Stocks!$G$2:$G$2139,MATCH(A722,Stocks!$E$2:$E$2139,0))="","No","Yes"),"No")</f>
        <v/>
      </c>
    </row>
    <row r="723">
      <c r="A723" s="16" t="inlineStr">
        <is>
          <t>INE07T201019</t>
        </is>
      </c>
      <c r="B723" s="16" t="inlineStr">
        <is>
          <t>RBA</t>
        </is>
      </c>
      <c r="C723" s="16" t="inlineStr">
        <is>
          <t>Restaurant Brands Asia Ltd.</t>
        </is>
      </c>
      <c r="D723" s="16" t="inlineStr">
        <is>
          <t>Restaurants</t>
        </is>
      </c>
      <c r="E723" s="16" t="inlineStr">
        <is>
          <t>Hotels Restaurants &amp; Tourism</t>
        </is>
      </c>
      <c r="F723" s="17" t="n">
        <v>6917.84</v>
      </c>
      <c r="G723" s="16" t="inlineStr">
        <is>
          <t>RBA</t>
        </is>
      </c>
      <c r="H723" s="16" t="inlineStr">
        <is>
          <t>543248</t>
        </is>
      </c>
      <c r="I723" s="27">
        <f>IFERROR(IF(INDEX(Stocks!$G$2:$G$2139,MATCH(A723,Stocks!$E$2:$E$2139,0))="","No","Yes"),"No")</f>
        <v/>
      </c>
    </row>
    <row r="724">
      <c r="A724" s="16" t="inlineStr">
        <is>
          <t>INE483C01032</t>
        </is>
      </c>
      <c r="B724" s="16" t="inlineStr">
        <is>
          <t>TANLA</t>
        </is>
      </c>
      <c r="C724" s="16" t="inlineStr">
        <is>
          <t>Tanla Platforms Ltd.</t>
        </is>
      </c>
      <c r="D724" s="16" t="inlineStr">
        <is>
          <t>Internet Software &amp; Services</t>
        </is>
      </c>
      <c r="E724" s="16" t="inlineStr">
        <is>
          <t>Software &amp; Services</t>
        </is>
      </c>
      <c r="F724" s="17" t="n">
        <v>6912.22</v>
      </c>
      <c r="G724" s="16" t="inlineStr">
        <is>
          <t>TANLA</t>
        </is>
      </c>
      <c r="H724" s="16" t="inlineStr">
        <is>
          <t>532790</t>
        </is>
      </c>
      <c r="I724" s="27">
        <f>IFERROR(IF(INDEX(Stocks!$G$2:$G$2139,MATCH(A724,Stocks!$E$2:$E$2139,0))="","No","Yes"),"No")</f>
        <v/>
      </c>
    </row>
    <row r="725">
      <c r="A725" s="16" t="inlineStr">
        <is>
          <t>INE07RO01027</t>
        </is>
      </c>
      <c r="B725" s="16" t="inlineStr">
        <is>
          <t>SUPRIYA</t>
        </is>
      </c>
      <c r="C725" s="16" t="inlineStr">
        <is>
          <t>Supriya Lifescience Ltd.</t>
        </is>
      </c>
      <c r="D725" s="16" t="inlineStr">
        <is>
          <t>Pharmaceuticals</t>
        </is>
      </c>
      <c r="E725" s="16" t="inlineStr">
        <is>
          <t>Pharmaceuticals &amp; Biotechnology</t>
        </is>
      </c>
      <c r="F725" s="17" t="n">
        <v>6863.98</v>
      </c>
      <c r="G725" s="16" t="inlineStr">
        <is>
          <t>SUPRIYA</t>
        </is>
      </c>
      <c r="H725" s="16" t="inlineStr">
        <is>
          <t>543434</t>
        </is>
      </c>
      <c r="I725" s="27">
        <f>IFERROR(IF(INDEX(Stocks!$G$2:$G$2139,MATCH(A725,Stocks!$E$2:$E$2139,0))="","No","Yes"),"No")</f>
        <v/>
      </c>
    </row>
    <row r="726">
      <c r="A726" s="16" t="inlineStr">
        <is>
          <t>INE18JU01028</t>
        </is>
      </c>
      <c r="B726" s="16" t="inlineStr">
        <is>
          <t>EBGNG</t>
        </is>
      </c>
      <c r="C726" s="16" t="inlineStr">
        <is>
          <t>GNG Electronics Ltd.</t>
        </is>
      </c>
      <c r="D726" s="16" t="inlineStr">
        <is>
          <t>Computer Hardware</t>
        </is>
      </c>
      <c r="E726" s="16" t="inlineStr">
        <is>
          <t>Hardware Technology &amp; Equipment</t>
        </is>
      </c>
      <c r="F726" s="17" t="n">
        <v>6854.94</v>
      </c>
      <c r="G726" s="16" t="inlineStr">
        <is>
          <t>EBGNG</t>
        </is>
      </c>
      <c r="H726" s="16" t="inlineStr">
        <is>
          <t>544455</t>
        </is>
      </c>
      <c r="I726" s="27">
        <f>IFERROR(IF(INDEX(Stocks!$G$2:$G$2139,MATCH(A726,Stocks!$E$2:$E$2139,0))="","No","Yes"),"No")</f>
        <v/>
      </c>
    </row>
    <row r="727">
      <c r="A727" s="16" t="inlineStr">
        <is>
          <t>INE340A01012</t>
        </is>
      </c>
      <c r="B727" s="16" t="inlineStr">
        <is>
          <t>BIRLACORPN</t>
        </is>
      </c>
      <c r="C727" s="16" t="inlineStr">
        <is>
          <t>Birla Corporation Ltd.</t>
        </is>
      </c>
      <c r="D727" s="16" t="inlineStr">
        <is>
          <t>Cement &amp; Cement Products</t>
        </is>
      </c>
      <c r="E727" s="16" t="inlineStr">
        <is>
          <t>Cement and Construction</t>
        </is>
      </c>
      <c r="F727" s="17" t="n">
        <v>6833.07</v>
      </c>
      <c r="G727" s="16" t="inlineStr">
        <is>
          <t>BIRLACORPN</t>
        </is>
      </c>
      <c r="H727" s="16" t="inlineStr">
        <is>
          <t>500335</t>
        </is>
      </c>
      <c r="I727" s="27">
        <f>IFERROR(IF(INDEX(Stocks!$G$2:$G$2139,MATCH(A727,Stocks!$E$2:$E$2139,0))="","No","Yes"),"No")</f>
        <v/>
      </c>
    </row>
    <row r="728">
      <c r="A728" s="16" t="inlineStr">
        <is>
          <t>INE278Y01022</t>
        </is>
      </c>
      <c r="B728" s="16" t="inlineStr">
        <is>
          <t>CAMPUS</t>
        </is>
      </c>
      <c r="C728" s="16" t="inlineStr">
        <is>
          <t>Campus Activewear Ltd.</t>
        </is>
      </c>
      <c r="D728" s="16" t="inlineStr">
        <is>
          <t>Footwear</t>
        </is>
      </c>
      <c r="E728" s="16" t="inlineStr">
        <is>
          <t>Retailing</t>
        </is>
      </c>
      <c r="F728" s="17" t="n">
        <v>6823.99</v>
      </c>
      <c r="G728" s="16" t="inlineStr">
        <is>
          <t>CAMPUS</t>
        </is>
      </c>
      <c r="H728" s="16" t="inlineStr">
        <is>
          <t>543523</t>
        </is>
      </c>
      <c r="I728" s="27">
        <f>IFERROR(IF(INDEX(Stocks!$G$2:$G$2139,MATCH(A728,Stocks!$E$2:$E$2139,0))="","No","Yes"),"No")</f>
        <v/>
      </c>
    </row>
    <row r="729">
      <c r="A729" s="16" t="inlineStr">
        <is>
          <t>INE314T01033</t>
        </is>
      </c>
      <c r="B729" s="16" t="inlineStr">
        <is>
          <t>GOKULAGRO</t>
        </is>
      </c>
      <c r="C729" s="16" t="inlineStr">
        <is>
          <t>Gokul Agro Resources Ltd.</t>
        </is>
      </c>
      <c r="D729" s="16" t="inlineStr">
        <is>
          <t>Edible Oils</t>
        </is>
      </c>
      <c r="E729" s="16" t="inlineStr">
        <is>
          <t>FMCG</t>
        </is>
      </c>
      <c r="F729" s="17" t="n">
        <v>6821.52</v>
      </c>
      <c r="G729" s="16" t="inlineStr">
        <is>
          <t>GOKULAGRO</t>
        </is>
      </c>
      <c r="H729" s="16" t="inlineStr">
        <is>
          <t>539725</t>
        </is>
      </c>
      <c r="I729" s="27">
        <f>IFERROR(IF(INDEX(Stocks!$G$2:$G$2139,MATCH(A729,Stocks!$E$2:$E$2139,0))="","No","Yes"),"No")</f>
        <v/>
      </c>
    </row>
    <row r="730">
      <c r="A730" s="16" t="inlineStr">
        <is>
          <t>INE055S01018</t>
        </is>
      </c>
      <c r="B730" s="16" t="inlineStr">
        <is>
          <t>CYIENTDLM</t>
        </is>
      </c>
      <c r="C730" s="16" t="inlineStr">
        <is>
          <t>Cyient DLM Ltd.</t>
        </is>
      </c>
      <c r="D730" s="16" t="inlineStr">
        <is>
          <t>Electronic Components</t>
        </is>
      </c>
      <c r="E730" s="16" t="inlineStr">
        <is>
          <t>Commercial Services &amp; Supplies</t>
        </is>
      </c>
      <c r="F730" s="17" t="n">
        <v>6802.76</v>
      </c>
      <c r="G730" s="16" t="inlineStr">
        <is>
          <t>CYIENTDLM</t>
        </is>
      </c>
      <c r="H730" s="16" t="inlineStr">
        <is>
          <t>543933</t>
        </is>
      </c>
      <c r="I730" s="27">
        <f>IFERROR(IF(INDEX(Stocks!$G$2:$G$2139,MATCH(A730,Stocks!$E$2:$E$2139,0))="","No","Yes"),"No")</f>
        <v/>
      </c>
    </row>
    <row r="731">
      <c r="A731" s="16" t="inlineStr">
        <is>
          <t>INE064A01026</t>
        </is>
      </c>
      <c r="B731" s="16" t="inlineStr">
        <is>
          <t>TIMEX</t>
        </is>
      </c>
      <c r="C731" s="16" t="inlineStr">
        <is>
          <t>Timex Group India Ltd.</t>
        </is>
      </c>
      <c r="D731" s="16" t="inlineStr">
        <is>
          <t>Other Apparels &amp; Accessories</t>
        </is>
      </c>
      <c r="E731" s="16" t="inlineStr">
        <is>
          <t>Textiles Apparels &amp; Accessories</t>
        </is>
      </c>
      <c r="F731" s="17" t="n">
        <v>6767.69</v>
      </c>
      <c r="G731" s="16" t="inlineStr"/>
      <c r="H731" s="16" t="inlineStr">
        <is>
          <t>500414</t>
        </is>
      </c>
      <c r="I731" s="27">
        <f>IFERROR(IF(INDEX(Stocks!$G$2:$G$2139,MATCH(A731,Stocks!$E$2:$E$2139,0))="","No","Yes"),"No")</f>
        <v/>
      </c>
    </row>
    <row r="732">
      <c r="A732" s="16" t="inlineStr">
        <is>
          <t>INE933K01021</t>
        </is>
      </c>
      <c r="B732" s="16" t="inlineStr">
        <is>
          <t>BAJAJCON</t>
        </is>
      </c>
      <c r="C732" s="16" t="inlineStr">
        <is>
          <t>Bajaj Consumer Care Ltd.</t>
        </is>
      </c>
      <c r="D732" s="16" t="inlineStr">
        <is>
          <t>Personal Products</t>
        </is>
      </c>
      <c r="E732" s="16" t="inlineStr">
        <is>
          <t>FMCG</t>
        </is>
      </c>
      <c r="F732" s="17" t="n">
        <v>6760.13</v>
      </c>
      <c r="G732" s="16" t="inlineStr">
        <is>
          <t>BAJAJCON</t>
        </is>
      </c>
      <c r="H732" s="16" t="inlineStr">
        <is>
          <t>533229</t>
        </is>
      </c>
      <c r="I732" s="27">
        <f>IFERROR(IF(INDEX(Stocks!$G$2:$G$2139,MATCH(A732,Stocks!$E$2:$E$2139,0))="","No","Yes"),"No")</f>
        <v/>
      </c>
    </row>
    <row r="733">
      <c r="A733" s="16" t="inlineStr">
        <is>
          <t>INE420C01059</t>
        </is>
      </c>
      <c r="B733" s="16" t="inlineStr">
        <is>
          <t>PAISALO</t>
        </is>
      </c>
      <c r="C733" s="16" t="inlineStr">
        <is>
          <t>Paisalo Digital Ltd.</t>
        </is>
      </c>
      <c r="D733" s="16" t="inlineStr">
        <is>
          <t>Finance (including NBFCs)</t>
        </is>
      </c>
      <c r="E733" s="16" t="inlineStr">
        <is>
          <t>Banking and Finance</t>
        </is>
      </c>
      <c r="F733" s="17" t="n">
        <v>6739.56</v>
      </c>
      <c r="G733" s="16" t="inlineStr">
        <is>
          <t>PAISALO</t>
        </is>
      </c>
      <c r="H733" s="16" t="inlineStr">
        <is>
          <t>532900</t>
        </is>
      </c>
      <c r="I733" s="27">
        <f>IFERROR(IF(INDEX(Stocks!$G$2:$G$2139,MATCH(A733,Stocks!$E$2:$E$2139,0))="","No","Yes"),"No")</f>
        <v/>
      </c>
    </row>
    <row r="734">
      <c r="A734" s="16" t="inlineStr">
        <is>
          <t>INE0DUT01020</t>
        </is>
      </c>
      <c r="B734" s="16" t="inlineStr">
        <is>
          <t>INNOVACAP</t>
        </is>
      </c>
      <c r="C734" s="16" t="inlineStr">
        <is>
          <t>Innova Captab Ltd.</t>
        </is>
      </c>
      <c r="D734" s="16" t="inlineStr">
        <is>
          <t>Pharmaceuticals</t>
        </is>
      </c>
      <c r="E734" s="16" t="inlineStr">
        <is>
          <t>Pharmaceuticals &amp; Biotechnology</t>
        </is>
      </c>
      <c r="F734" s="17" t="n">
        <v>6726.21</v>
      </c>
      <c r="G734" s="16" t="inlineStr">
        <is>
          <t>INNOVACAP</t>
        </is>
      </c>
      <c r="H734" s="16" t="inlineStr">
        <is>
          <t>544067</t>
        </is>
      </c>
      <c r="I734" s="27">
        <f>IFERROR(IF(INDEX(Stocks!$G$2:$G$2139,MATCH(A734,Stocks!$E$2:$E$2139,0))="","No","Yes"),"No")</f>
        <v/>
      </c>
    </row>
    <row r="735">
      <c r="A735" s="16" t="inlineStr">
        <is>
          <t>INE02YR01019</t>
        </is>
      </c>
      <c r="B735" s="16" t="inlineStr">
        <is>
          <t>EMIL</t>
        </is>
      </c>
      <c r="C735" s="16" t="inlineStr">
        <is>
          <t>Electronics Mart India Ltd.</t>
        </is>
      </c>
      <c r="D735" s="16" t="inlineStr">
        <is>
          <t>Specialty Retail</t>
        </is>
      </c>
      <c r="E735" s="16" t="inlineStr">
        <is>
          <t>Retailing</t>
        </is>
      </c>
      <c r="F735" s="17" t="n">
        <v>6684.63</v>
      </c>
      <c r="G735" s="16" t="inlineStr">
        <is>
          <t>EMIL</t>
        </is>
      </c>
      <c r="H735" s="16" t="inlineStr">
        <is>
          <t>543626</t>
        </is>
      </c>
      <c r="I735" s="27">
        <f>IFERROR(IF(INDEX(Stocks!$G$2:$G$2139,MATCH(A735,Stocks!$E$2:$E$2139,0))="","No","Yes"),"No")</f>
        <v/>
      </c>
    </row>
    <row r="736">
      <c r="A736" s="16" t="inlineStr">
        <is>
          <t>INE439E01022</t>
        </is>
      </c>
      <c r="B736" s="16" t="inlineStr">
        <is>
          <t>SKIPPER</t>
        </is>
      </c>
      <c r="C736" s="16" t="inlineStr">
        <is>
          <t>Skipper Ltd.</t>
        </is>
      </c>
      <c r="D736" s="16" t="inlineStr">
        <is>
          <t>Construction &amp; Engineering</t>
        </is>
      </c>
      <c r="E736" s="16" t="inlineStr">
        <is>
          <t>Cement and Construction</t>
        </is>
      </c>
      <c r="F736" s="17" t="n">
        <v>6673.76</v>
      </c>
      <c r="G736" s="16" t="inlineStr">
        <is>
          <t>SKIPPER</t>
        </is>
      </c>
      <c r="H736" s="16" t="inlineStr">
        <is>
          <t>538562</t>
        </is>
      </c>
      <c r="I736" s="27">
        <f>IFERROR(IF(INDEX(Stocks!$G$2:$G$2139,MATCH(A736,Stocks!$E$2:$E$2139,0))="","No","Yes"),"No")</f>
        <v/>
      </c>
    </row>
    <row r="737">
      <c r="A737" s="16" t="inlineStr">
        <is>
          <t>INE688A01022</t>
        </is>
      </c>
      <c r="B737" s="16" t="inlineStr">
        <is>
          <t>TCI</t>
        </is>
      </c>
      <c r="C737" s="16" t="inlineStr">
        <is>
          <t>Transport Corporation of India Ltd.</t>
        </is>
      </c>
      <c r="D737" s="16" t="inlineStr">
        <is>
          <t>Surface Transportation</t>
        </is>
      </c>
      <c r="E737" s="16" t="inlineStr">
        <is>
          <t>Transportation</t>
        </is>
      </c>
      <c r="F737" s="17" t="n">
        <v>6670.48</v>
      </c>
      <c r="G737" s="16" t="inlineStr">
        <is>
          <t>TCI</t>
        </is>
      </c>
      <c r="H737" s="16" t="inlineStr">
        <is>
          <t>532349</t>
        </is>
      </c>
      <c r="I737" s="27">
        <f>IFERROR(IF(INDEX(Stocks!$G$2:$G$2139,MATCH(A737,Stocks!$E$2:$E$2139,0))="","No","Yes"),"No")</f>
        <v/>
      </c>
    </row>
    <row r="738">
      <c r="A738" s="16" t="inlineStr">
        <is>
          <t>INE274Y01021</t>
        </is>
      </c>
      <c r="B738" s="16" t="inlineStr">
        <is>
          <t>AJAXENGG</t>
        </is>
      </c>
      <c r="C738" s="16" t="inlineStr">
        <is>
          <t>Ajax Engineering Ltd.</t>
        </is>
      </c>
      <c r="D738" s="16" t="inlineStr">
        <is>
          <t>Commercial Vehicles</t>
        </is>
      </c>
      <c r="E738" s="16" t="inlineStr">
        <is>
          <t>Automobiles &amp; Auto Components</t>
        </is>
      </c>
      <c r="F738" s="17" t="n">
        <v>6663.89</v>
      </c>
      <c r="G738" s="16" t="inlineStr">
        <is>
          <t>AJAXENGG</t>
        </is>
      </c>
      <c r="H738" s="16" t="inlineStr">
        <is>
          <t>544356</t>
        </is>
      </c>
      <c r="I738" s="27">
        <f>IFERROR(IF(INDEX(Stocks!$G$2:$G$2139,MATCH(A738,Stocks!$E$2:$E$2139,0))="","No","Yes"),"No")</f>
        <v/>
      </c>
    </row>
    <row r="739">
      <c r="A739" s="16" t="inlineStr">
        <is>
          <t>INE0LXT01019</t>
        </is>
      </c>
      <c r="B739" s="16" t="inlineStr">
        <is>
          <t>REDTAPE</t>
        </is>
      </c>
      <c r="C739" s="16" t="inlineStr">
        <is>
          <t>Redtape Ltd.</t>
        </is>
      </c>
      <c r="D739" s="16" t="inlineStr">
        <is>
          <t>Footwear</t>
        </is>
      </c>
      <c r="E739" s="16" t="inlineStr">
        <is>
          <t>Retailing</t>
        </is>
      </c>
      <c r="F739" s="17" t="n">
        <v>6657.46</v>
      </c>
      <c r="G739" s="16" t="inlineStr">
        <is>
          <t>REDTAPE</t>
        </is>
      </c>
      <c r="H739" s="16" t="inlineStr">
        <is>
          <t>543957</t>
        </is>
      </c>
      <c r="I739" s="27">
        <f>IFERROR(IF(INDEX(Stocks!$G$2:$G$2139,MATCH(A739,Stocks!$E$2:$E$2139,0))="","No","Yes"),"No")</f>
        <v/>
      </c>
    </row>
    <row r="740">
      <c r="A740" s="16" t="inlineStr">
        <is>
          <t>INE921L01032</t>
        </is>
      </c>
      <c r="B740" s="16" t="inlineStr">
        <is>
          <t>POWERICA</t>
        </is>
      </c>
      <c r="C740" s="16" t="inlineStr">
        <is>
          <t>Powerica Ltd.</t>
        </is>
      </c>
      <c r="D740" s="16" t="inlineStr">
        <is>
          <t>Industrial Machinery</t>
        </is>
      </c>
      <c r="E740" s="16" t="inlineStr">
        <is>
          <t>General Industrials</t>
        </is>
      </c>
      <c r="F740" s="17" t="n">
        <v>6644.61</v>
      </c>
      <c r="G740" s="16" t="inlineStr">
        <is>
          <t>POWERICA</t>
        </is>
      </c>
      <c r="H740" s="16" t="inlineStr">
        <is>
          <t>544744</t>
        </is>
      </c>
      <c r="I740" s="27">
        <f>IFERROR(IF(INDEX(Stocks!$G$2:$G$2139,MATCH(A740,Stocks!$E$2:$E$2139,0))="","No","Yes"),"No")</f>
        <v/>
      </c>
    </row>
    <row r="741">
      <c r="A741" s="16" t="inlineStr">
        <is>
          <t>INE305A01023</t>
        </is>
      </c>
      <c r="B741" s="16" t="inlineStr">
        <is>
          <t>TFCILTD</t>
        </is>
      </c>
      <c r="C741" s="16" t="inlineStr">
        <is>
          <t>Tourism Finance Corporation of India Ltd.</t>
        </is>
      </c>
      <c r="D741" s="16" t="inlineStr">
        <is>
          <t>Financial Institutions</t>
        </is>
      </c>
      <c r="E741" s="16" t="inlineStr">
        <is>
          <t>Banking and Finance</t>
        </is>
      </c>
      <c r="F741" s="17" t="n">
        <v>6632.61</v>
      </c>
      <c r="G741" s="16" t="inlineStr">
        <is>
          <t>TFCILTD</t>
        </is>
      </c>
      <c r="H741" s="16" t="inlineStr">
        <is>
          <t>526650</t>
        </is>
      </c>
      <c r="I741" s="27">
        <f>IFERROR(IF(INDEX(Stocks!$G$2:$G$2139,MATCH(A741,Stocks!$E$2:$E$2139,0))="","No","Yes"),"No")</f>
        <v/>
      </c>
    </row>
    <row r="742">
      <c r="A742" s="16" t="inlineStr">
        <is>
          <t>INE177F01017</t>
        </is>
      </c>
      <c r="B742" s="16" t="inlineStr">
        <is>
          <t>KOVAI</t>
        </is>
      </c>
      <c r="C742" s="16" t="inlineStr">
        <is>
          <t>Kovai Medical Center and Hospital Ltd.</t>
        </is>
      </c>
      <c r="D742" s="16" t="inlineStr">
        <is>
          <t>Healthcare Services</t>
        </is>
      </c>
      <c r="E742" s="16" t="inlineStr">
        <is>
          <t>Healthcare</t>
        </is>
      </c>
      <c r="F742" s="17" t="n">
        <v>6623.92</v>
      </c>
      <c r="G742" s="16" t="inlineStr"/>
      <c r="H742" s="16" t="inlineStr">
        <is>
          <t>523323</t>
        </is>
      </c>
      <c r="I742" s="27">
        <f>IFERROR(IF(INDEX(Stocks!$G$2:$G$2139,MATCH(A742,Stocks!$E$2:$E$2139,0))="","No","Yes"),"No")</f>
        <v/>
      </c>
    </row>
    <row r="743">
      <c r="A743" s="16" t="inlineStr">
        <is>
          <t>INE00GO01025</t>
        </is>
      </c>
      <c r="B743" s="16" t="inlineStr">
        <is>
          <t>LEAPIND</t>
        </is>
      </c>
      <c r="C743" s="16" t="inlineStr">
        <is>
          <t>LEAP India Ltd.</t>
        </is>
      </c>
      <c r="D743" s="16" t="inlineStr">
        <is>
          <t>Warehousing &amp; Logistics</t>
        </is>
      </c>
      <c r="E743" s="16" t="inlineStr">
        <is>
          <t>Transportation</t>
        </is>
      </c>
      <c r="F743" s="17" t="n">
        <v>6619.5</v>
      </c>
      <c r="G743" s="16" t="inlineStr">
        <is>
          <t>LEAPIND</t>
        </is>
      </c>
      <c r="H743" s="16" t="inlineStr">
        <is>
          <t>544865</t>
        </is>
      </c>
      <c r="I743" s="27">
        <f>IFERROR(IF(INDEX(Stocks!$G$2:$G$2139,MATCH(A743,Stocks!$E$2:$E$2139,0))="","No","Yes"),"No")</f>
        <v/>
      </c>
    </row>
    <row r="744">
      <c r="A744" s="16" t="inlineStr">
        <is>
          <t>INE0RB801010</t>
        </is>
      </c>
      <c r="B744" s="16" t="inlineStr">
        <is>
          <t>SENORES</t>
        </is>
      </c>
      <c r="C744" s="16" t="inlineStr">
        <is>
          <t>Senores Pharmaceuticals Ltd.</t>
        </is>
      </c>
      <c r="D744" s="16" t="inlineStr">
        <is>
          <t>Pharmaceuticals</t>
        </is>
      </c>
      <c r="E744" s="16" t="inlineStr">
        <is>
          <t>Pharmaceuticals &amp; Biotechnology</t>
        </is>
      </c>
      <c r="F744" s="17" t="n">
        <v>6578.3</v>
      </c>
      <c r="G744" s="16" t="inlineStr">
        <is>
          <t>SENORES</t>
        </is>
      </c>
      <c r="H744" s="16" t="inlineStr">
        <is>
          <t>544319</t>
        </is>
      </c>
      <c r="I744" s="27">
        <f>IFERROR(IF(INDEX(Stocks!$G$2:$G$2139,MATCH(A744,Stocks!$E$2:$E$2139,0))="","No","Yes"),"No")</f>
        <v/>
      </c>
    </row>
    <row r="745">
      <c r="A745" s="16" t="inlineStr">
        <is>
          <t>INE399C01030</t>
        </is>
      </c>
      <c r="B745" s="16" t="inlineStr">
        <is>
          <t>SUPRAJIT</t>
        </is>
      </c>
      <c r="C745" s="16" t="inlineStr">
        <is>
          <t>Suprajit Engineering Ltd.</t>
        </is>
      </c>
      <c r="D745" s="16" t="inlineStr">
        <is>
          <t>Auto Parts &amp; Equipment</t>
        </is>
      </c>
      <c r="E745" s="16" t="inlineStr">
        <is>
          <t>Automobiles &amp; Auto Components</t>
        </is>
      </c>
      <c r="F745" s="17" t="n">
        <v>6577.06</v>
      </c>
      <c r="G745" s="16" t="inlineStr">
        <is>
          <t>SUPRAJIT</t>
        </is>
      </c>
      <c r="H745" s="16" t="inlineStr">
        <is>
          <t>532509</t>
        </is>
      </c>
      <c r="I745" s="27">
        <f>IFERROR(IF(INDEX(Stocks!$G$2:$G$2139,MATCH(A745,Stocks!$E$2:$E$2139,0))="","No","Yes"),"No")</f>
        <v/>
      </c>
    </row>
    <row r="746">
      <c r="A746" s="16" t="inlineStr">
        <is>
          <t>INE665J01013</t>
        </is>
      </c>
      <c r="B746" s="16" t="inlineStr">
        <is>
          <t>VMART</t>
        </is>
      </c>
      <c r="C746" s="16" t="inlineStr">
        <is>
          <t>V-Mart Retail Ltd.</t>
        </is>
      </c>
      <c r="D746" s="16" t="inlineStr">
        <is>
          <t>Department Stores</t>
        </is>
      </c>
      <c r="E746" s="16" t="inlineStr">
        <is>
          <t>Retailing</t>
        </is>
      </c>
      <c r="F746" s="17" t="n">
        <v>6558.6</v>
      </c>
      <c r="G746" s="16" t="inlineStr">
        <is>
          <t>VMART</t>
        </is>
      </c>
      <c r="H746" s="16" t="inlineStr">
        <is>
          <t>534976</t>
        </is>
      </c>
      <c r="I746" s="27">
        <f>IFERROR(IF(INDEX(Stocks!$G$2:$G$2139,MATCH(A746,Stocks!$E$2:$E$2139,0))="","No","Yes"),"No")</f>
        <v/>
      </c>
    </row>
    <row r="747">
      <c r="A747" s="16" t="inlineStr">
        <is>
          <t>INE917M01012</t>
        </is>
      </c>
      <c r="B747" s="16" t="inlineStr">
        <is>
          <t>DBL</t>
        </is>
      </c>
      <c r="C747" s="16" t="inlineStr">
        <is>
          <t>Dilip Buildcon Ltd.</t>
        </is>
      </c>
      <c r="D747" s="16" t="inlineStr">
        <is>
          <t>Roads &amp; Highways</t>
        </is>
      </c>
      <c r="E747" s="16" t="inlineStr">
        <is>
          <t>Cement and Construction</t>
        </is>
      </c>
      <c r="F747" s="17" t="n">
        <v>6514.04</v>
      </c>
      <c r="G747" s="16" t="inlineStr">
        <is>
          <t>DBL</t>
        </is>
      </c>
      <c r="H747" s="16" t="inlineStr">
        <is>
          <t>540047</t>
        </is>
      </c>
      <c r="I747" s="27">
        <f>IFERROR(IF(INDEX(Stocks!$G$2:$G$2139,MATCH(A747,Stocks!$E$2:$E$2139,0))="","No","Yes"),"No")</f>
        <v/>
      </c>
    </row>
    <row r="748">
      <c r="A748" s="16" t="inlineStr">
        <is>
          <t>INE0UH301010</t>
        </is>
      </c>
      <c r="B748" s="16" t="inlineStr">
        <is>
          <t>OMNI</t>
        </is>
      </c>
      <c r="C748" s="16" t="inlineStr">
        <is>
          <t>Omnitech Engineering Ltd.</t>
        </is>
      </c>
      <c r="D748" s="16" t="inlineStr">
        <is>
          <t>Industrial Machinery</t>
        </is>
      </c>
      <c r="E748" s="16" t="inlineStr">
        <is>
          <t>General Industrials</t>
        </is>
      </c>
      <c r="F748" s="17" t="n">
        <v>6504.83</v>
      </c>
      <c r="G748" s="16" t="inlineStr">
        <is>
          <t>OMNI</t>
        </is>
      </c>
      <c r="H748" s="16" t="inlineStr">
        <is>
          <t>544720</t>
        </is>
      </c>
      <c r="I748" s="27">
        <f>IFERROR(IF(INDEX(Stocks!$G$2:$G$2139,MATCH(A748,Stocks!$E$2:$E$2139,0))="","No","Yes"),"No")</f>
        <v/>
      </c>
    </row>
    <row r="749">
      <c r="A749" s="16" t="inlineStr">
        <is>
          <t>INE026A01025</t>
        </is>
      </c>
      <c r="B749" s="16" t="inlineStr">
        <is>
          <t>GSFC</t>
        </is>
      </c>
      <c r="C749" s="16" t="inlineStr">
        <is>
          <t>Gujarat State Fertilizer &amp; Chemicals Ltd.</t>
        </is>
      </c>
      <c r="D749" s="16" t="inlineStr">
        <is>
          <t>Fertilizers</t>
        </is>
      </c>
      <c r="E749" s="16" t="inlineStr">
        <is>
          <t>Fertilizers</t>
        </is>
      </c>
      <c r="F749" s="17" t="n">
        <v>6490.4</v>
      </c>
      <c r="G749" s="16" t="inlineStr">
        <is>
          <t>GSFC</t>
        </is>
      </c>
      <c r="H749" s="16" t="inlineStr">
        <is>
          <t>500690</t>
        </is>
      </c>
      <c r="I749" s="27">
        <f>IFERROR(IF(INDEX(Stocks!$G$2:$G$2139,MATCH(A749,Stocks!$E$2:$E$2139,0))="","No","Yes"),"No")</f>
        <v/>
      </c>
    </row>
    <row r="750">
      <c r="A750" s="16" t="inlineStr">
        <is>
          <t>INE232I01014</t>
        </is>
      </c>
      <c r="B750" s="16" t="inlineStr">
        <is>
          <t>SPARC</t>
        </is>
      </c>
      <c r="C750" s="16" t="inlineStr">
        <is>
          <t>Sun Pharma Advanced Research Company Ltd.</t>
        </is>
      </c>
      <c r="D750" s="16" t="inlineStr">
        <is>
          <t>Pharmaceuticals</t>
        </is>
      </c>
      <c r="E750" s="16" t="inlineStr">
        <is>
          <t>Pharmaceuticals &amp; Biotechnology</t>
        </is>
      </c>
      <c r="F750" s="17" t="n">
        <v>6473.23</v>
      </c>
      <c r="G750" s="16" t="inlineStr">
        <is>
          <t>SPARC</t>
        </is>
      </c>
      <c r="H750" s="16" t="inlineStr">
        <is>
          <t>532872</t>
        </is>
      </c>
      <c r="I750" s="27">
        <f>IFERROR(IF(INDEX(Stocks!$G$2:$G$2139,MATCH(A750,Stocks!$E$2:$E$2139,0))="","No","Yes"),"No")</f>
        <v/>
      </c>
    </row>
    <row r="751">
      <c r="A751" s="16" t="inlineStr">
        <is>
          <t>INE647O01011</t>
        </is>
      </c>
      <c r="B751" s="16" t="inlineStr">
        <is>
          <t>ABFRL</t>
        </is>
      </c>
      <c r="C751" s="16" t="inlineStr">
        <is>
          <t>Aditya Birla Fashion and Retail Ltd.</t>
        </is>
      </c>
      <c r="D751" s="16" t="inlineStr">
        <is>
          <t>Department Stores</t>
        </is>
      </c>
      <c r="E751" s="16" t="inlineStr">
        <is>
          <t>Retailing</t>
        </is>
      </c>
      <c r="F751" s="17" t="n">
        <v>6465.19</v>
      </c>
      <c r="G751" s="16" t="inlineStr">
        <is>
          <t>ABFRL</t>
        </is>
      </c>
      <c r="H751" s="16" t="inlineStr">
        <is>
          <t>535755</t>
        </is>
      </c>
      <c r="I751" s="27">
        <f>IFERROR(IF(INDEX(Stocks!$G$2:$G$2139,MATCH(A751,Stocks!$E$2:$E$2139,0))="","No","Yes"),"No")</f>
        <v/>
      </c>
    </row>
    <row r="752">
      <c r="A752" s="16" t="inlineStr">
        <is>
          <t>INE386D01027</t>
        </is>
      </c>
      <c r="B752" s="16" t="inlineStr">
        <is>
          <t>SBCL</t>
        </is>
      </c>
      <c r="C752" s="16" t="inlineStr">
        <is>
          <t>Shivalik Bimetal Controls Ltd.</t>
        </is>
      </c>
      <c r="D752" s="16" t="inlineStr">
        <is>
          <t>Other Industrial Goods</t>
        </is>
      </c>
      <c r="E752" s="16" t="inlineStr">
        <is>
          <t>General Industrials</t>
        </is>
      </c>
      <c r="F752" s="17" t="n">
        <v>6458.01</v>
      </c>
      <c r="G752" s="16" t="inlineStr">
        <is>
          <t>SBCL</t>
        </is>
      </c>
      <c r="H752" s="16" t="inlineStr">
        <is>
          <t>513097</t>
        </is>
      </c>
      <c r="I752" s="27">
        <f>IFERROR(IF(INDEX(Stocks!$G$2:$G$2139,MATCH(A752,Stocks!$E$2:$E$2139,0))="","No","Yes"),"No")</f>
        <v/>
      </c>
    </row>
    <row r="753">
      <c r="A753" s="16" t="inlineStr">
        <is>
          <t>INE639B01023</t>
        </is>
      </c>
      <c r="B753" s="16" t="inlineStr">
        <is>
          <t>TANFACIND</t>
        </is>
      </c>
      <c r="C753" s="16" t="inlineStr">
        <is>
          <t>Tanfac Industries Ltd.</t>
        </is>
      </c>
      <c r="D753" s="16" t="inlineStr">
        <is>
          <t>Commodity Chemicals</t>
        </is>
      </c>
      <c r="E753" s="16" t="inlineStr">
        <is>
          <t>Chemicals &amp; Petrochemicals</t>
        </is>
      </c>
      <c r="F753" s="17" t="n">
        <v>6447.04</v>
      </c>
      <c r="G753" s="16" t="inlineStr"/>
      <c r="H753" s="16" t="inlineStr">
        <is>
          <t>506854</t>
        </is>
      </c>
      <c r="I753" s="27">
        <f>IFERROR(IF(INDEX(Stocks!$G$2:$G$2139,MATCH(A753,Stocks!$E$2:$E$2139,0))="","No","Yes"),"No")</f>
        <v/>
      </c>
    </row>
    <row r="754">
      <c r="A754" s="16" t="inlineStr">
        <is>
          <t>INE021O01019</t>
        </is>
      </c>
      <c r="B754" s="16" t="inlineStr">
        <is>
          <t>DODLA</t>
        </is>
      </c>
      <c r="C754" s="16" t="inlineStr">
        <is>
          <t>Dodla Dairy Ltd.</t>
        </is>
      </c>
      <c r="D754" s="16" t="inlineStr">
        <is>
          <t>Packaged Foods</t>
        </is>
      </c>
      <c r="E754" s="16" t="inlineStr">
        <is>
          <t>FMCG</t>
        </is>
      </c>
      <c r="F754" s="17" t="n">
        <v>6435.77</v>
      </c>
      <c r="G754" s="16" t="inlineStr">
        <is>
          <t>DODLA</t>
        </is>
      </c>
      <c r="H754" s="16" t="inlineStr">
        <is>
          <t>543306</t>
        </is>
      </c>
      <c r="I754" s="27">
        <f>IFERROR(IF(INDEX(Stocks!$G$2:$G$2139,MATCH(A754,Stocks!$E$2:$E$2139,0))="","No","Yes"),"No")</f>
        <v/>
      </c>
    </row>
    <row r="755">
      <c r="A755" s="16" t="inlineStr">
        <is>
          <t>INE0J5801029</t>
        </is>
      </c>
      <c r="B755" s="16" t="inlineStr">
        <is>
          <t>JSLL</t>
        </is>
      </c>
      <c r="C755" s="16" t="inlineStr">
        <is>
          <t>Jeena Sikho Lifecare Ltd.</t>
        </is>
      </c>
      <c r="D755" s="16" t="inlineStr">
        <is>
          <t>Pharmaceuticals</t>
        </is>
      </c>
      <c r="E755" s="16" t="inlineStr">
        <is>
          <t>Pharmaceuticals &amp; Biotechnology</t>
        </is>
      </c>
      <c r="F755" s="17" t="n">
        <v>6417.65</v>
      </c>
      <c r="G755" s="16" t="inlineStr">
        <is>
          <t>JSLL</t>
        </is>
      </c>
      <c r="H755" s="16" t="inlineStr">
        <is>
          <t>544476</t>
        </is>
      </c>
      <c r="I755" s="27">
        <f>IFERROR(IF(INDEX(Stocks!$G$2:$G$2139,MATCH(A755,Stocks!$E$2:$E$2139,0))="","No","Yes"),"No")</f>
        <v/>
      </c>
    </row>
    <row r="756">
      <c r="A756" s="16" t="inlineStr">
        <is>
          <t>INE786A01032</t>
        </is>
      </c>
      <c r="B756" s="16" t="inlineStr">
        <is>
          <t>JKLAKSHMI</t>
        </is>
      </c>
      <c r="C756" s="16" t="inlineStr">
        <is>
          <t>JK Lakshmi Cement Ltd.</t>
        </is>
      </c>
      <c r="D756" s="16" t="inlineStr">
        <is>
          <t>Cement &amp; Cement Products</t>
        </is>
      </c>
      <c r="E756" s="16" t="inlineStr">
        <is>
          <t>Cement and Construction</t>
        </is>
      </c>
      <c r="F756" s="17" t="n">
        <v>6402.13</v>
      </c>
      <c r="G756" s="16" t="inlineStr">
        <is>
          <t>JKLAKSHMI</t>
        </is>
      </c>
      <c r="H756" s="16" t="inlineStr">
        <is>
          <t>500380</t>
        </is>
      </c>
      <c r="I756" s="27">
        <f>IFERROR(IF(INDEX(Stocks!$G$2:$G$2139,MATCH(A756,Stocks!$E$2:$E$2139,0))="","No","Yes"),"No")</f>
        <v/>
      </c>
    </row>
    <row r="757">
      <c r="A757" s="16" t="inlineStr">
        <is>
          <t>INE091G01026</t>
        </is>
      </c>
      <c r="B757" s="16" t="inlineStr">
        <is>
          <t>JAIBALAJI</t>
        </is>
      </c>
      <c r="C757" s="16" t="inlineStr">
        <is>
          <t>Jai Balaji Industries Ltd.</t>
        </is>
      </c>
      <c r="D757" s="16" t="inlineStr">
        <is>
          <t>Iron &amp; Steel/Interm.Products</t>
        </is>
      </c>
      <c r="E757" s="16" t="inlineStr">
        <is>
          <t>Metals &amp; Mining</t>
        </is>
      </c>
      <c r="F757" s="17" t="n">
        <v>6361.13</v>
      </c>
      <c r="G757" s="16" t="inlineStr">
        <is>
          <t>JAIBALAJI</t>
        </is>
      </c>
      <c r="H757" s="16" t="inlineStr">
        <is>
          <t>532976</t>
        </is>
      </c>
      <c r="I757" s="27">
        <f>IFERROR(IF(INDEX(Stocks!$G$2:$G$2139,MATCH(A757,Stocks!$E$2:$E$2139,0))="","No","Yes"),"No")</f>
        <v/>
      </c>
    </row>
    <row r="758">
      <c r="A758" s="16" t="inlineStr">
        <is>
          <t>INE027A01015</t>
        </is>
      </c>
      <c r="B758" s="16" t="inlineStr">
        <is>
          <t>RCF</t>
        </is>
      </c>
      <c r="C758" s="16" t="inlineStr">
        <is>
          <t>Rashtriya Chemicals &amp; Fertilizers Ltd.</t>
        </is>
      </c>
      <c r="D758" s="16" t="inlineStr">
        <is>
          <t>Fertilizers</t>
        </is>
      </c>
      <c r="E758" s="16" t="inlineStr">
        <is>
          <t>Fertilizers</t>
        </is>
      </c>
      <c r="F758" s="17" t="n">
        <v>6340</v>
      </c>
      <c r="G758" s="16" t="inlineStr">
        <is>
          <t>RCF</t>
        </is>
      </c>
      <c r="H758" s="16" t="inlineStr">
        <is>
          <t>524230</t>
        </is>
      </c>
      <c r="I758" s="27">
        <f>IFERROR(IF(INDEX(Stocks!$G$2:$G$2139,MATCH(A758,Stocks!$E$2:$E$2139,0))="","No","Yes"),"No")</f>
        <v/>
      </c>
    </row>
    <row r="759">
      <c r="A759" s="16" t="inlineStr">
        <is>
          <t>INE460C01014</t>
        </is>
      </c>
      <c r="B759" s="16" t="inlineStr">
        <is>
          <t>GANESHHOU</t>
        </is>
      </c>
      <c r="C759" s="16" t="inlineStr">
        <is>
          <t>Ganesh Housing Ltd.</t>
        </is>
      </c>
      <c r="D759" s="16" t="inlineStr">
        <is>
          <t>Realty</t>
        </is>
      </c>
      <c r="E759" s="16" t="inlineStr">
        <is>
          <t>Realty</t>
        </is>
      </c>
      <c r="F759" s="17" t="n">
        <v>6328.66</v>
      </c>
      <c r="G759" s="16" t="inlineStr">
        <is>
          <t>GANESHHOU</t>
        </is>
      </c>
      <c r="H759" s="16" t="inlineStr">
        <is>
          <t>526367</t>
        </is>
      </c>
      <c r="I759" s="27">
        <f>IFERROR(IF(INDEX(Stocks!$G$2:$G$2139,MATCH(A759,Stocks!$E$2:$E$2139,0))="","No","Yes"),"No")</f>
        <v/>
      </c>
    </row>
    <row r="760">
      <c r="A760" s="16" t="inlineStr">
        <is>
          <t>INE083A01026</t>
        </is>
      </c>
      <c r="B760" s="16" t="inlineStr">
        <is>
          <t>MOREPENLAB</t>
        </is>
      </c>
      <c r="C760" s="16" t="inlineStr">
        <is>
          <t>Morepen Laboratories Ltd.</t>
        </is>
      </c>
      <c r="D760" s="16" t="inlineStr">
        <is>
          <t>Pharmaceuticals</t>
        </is>
      </c>
      <c r="E760" s="16" t="inlineStr">
        <is>
          <t>Pharmaceuticals &amp; Biotechnology</t>
        </is>
      </c>
      <c r="F760" s="17" t="n">
        <v>6232.43</v>
      </c>
      <c r="G760" s="16" t="inlineStr">
        <is>
          <t>MOREPENLAB</t>
        </is>
      </c>
      <c r="H760" s="16" t="inlineStr">
        <is>
          <t>500288</t>
        </is>
      </c>
      <c r="I760" s="27">
        <f>IFERROR(IF(INDEX(Stocks!$G$2:$G$2139,MATCH(A760,Stocks!$E$2:$E$2139,0))="","No","Yes"),"No")</f>
        <v/>
      </c>
    </row>
    <row r="761">
      <c r="A761" s="16" t="inlineStr">
        <is>
          <t>INE128X01021</t>
        </is>
      </c>
      <c r="B761" s="16" t="inlineStr">
        <is>
          <t>ACI</t>
        </is>
      </c>
      <c r="C761" s="16" t="inlineStr">
        <is>
          <t>Archean Chemical Industries Ltd.</t>
        </is>
      </c>
      <c r="D761" s="16" t="inlineStr">
        <is>
          <t>Commodity Chemicals</t>
        </is>
      </c>
      <c r="E761" s="16" t="inlineStr">
        <is>
          <t>Chemicals &amp; Petrochemicals</t>
        </is>
      </c>
      <c r="F761" s="17" t="n">
        <v>6224.77</v>
      </c>
      <c r="G761" s="16" t="inlineStr">
        <is>
          <t>ACI</t>
        </is>
      </c>
      <c r="H761" s="16" t="inlineStr">
        <is>
          <t>543657</t>
        </is>
      </c>
      <c r="I761" s="27">
        <f>IFERROR(IF(INDEX(Stocks!$G$2:$G$2139,MATCH(A761,Stocks!$E$2:$E$2139,0))="","No","Yes"),"No")</f>
        <v/>
      </c>
    </row>
    <row r="762">
      <c r="A762" s="16" t="inlineStr">
        <is>
          <t>INE04VU01023</t>
        </is>
      </c>
      <c r="B762" s="16" t="inlineStr">
        <is>
          <t>STYL</t>
        </is>
      </c>
      <c r="C762" s="16" t="inlineStr">
        <is>
          <t>Seshaasai Technologies Ltd.</t>
        </is>
      </c>
      <c r="D762" s="16" t="inlineStr">
        <is>
          <t>Internet Software &amp; Services</t>
        </is>
      </c>
      <c r="E762" s="16" t="inlineStr">
        <is>
          <t>Software &amp; Services</t>
        </is>
      </c>
      <c r="F762" s="17" t="n">
        <v>6205.25</v>
      </c>
      <c r="G762" s="16" t="inlineStr">
        <is>
          <t>STYL</t>
        </is>
      </c>
      <c r="H762" s="16" t="inlineStr">
        <is>
          <t>544533</t>
        </is>
      </c>
      <c r="I762" s="27">
        <f>IFERROR(IF(INDEX(Stocks!$G$2:$G$2139,MATCH(A762,Stocks!$E$2:$E$2139,0))="","No","Yes"),"No")</f>
        <v/>
      </c>
    </row>
    <row r="763">
      <c r="A763" s="16" t="inlineStr">
        <is>
          <t>INE0AG901020</t>
        </is>
      </c>
      <c r="B763" s="16" t="inlineStr">
        <is>
          <t>CEIGALL</t>
        </is>
      </c>
      <c r="C763" s="16" t="inlineStr">
        <is>
          <t>Ceigall India Ltd.</t>
        </is>
      </c>
      <c r="D763" s="16" t="inlineStr">
        <is>
          <t>Construction &amp; Engineering</t>
        </is>
      </c>
      <c r="E763" s="16" t="inlineStr">
        <is>
          <t>Cement and Construction</t>
        </is>
      </c>
      <c r="F763" s="17" t="n">
        <v>6198.21</v>
      </c>
      <c r="G763" s="16" t="inlineStr">
        <is>
          <t>CEIGALL</t>
        </is>
      </c>
      <c r="H763" s="16" t="inlineStr">
        <is>
          <t>544223</t>
        </is>
      </c>
      <c r="I763" s="27">
        <f>IFERROR(IF(INDEX(Stocks!$G$2:$G$2139,MATCH(A763,Stocks!$E$2:$E$2139,0))="","No","Yes"),"No")</f>
        <v/>
      </c>
    </row>
    <row r="764">
      <c r="A764" s="16" t="inlineStr">
        <is>
          <t>INE947A01014</t>
        </is>
      </c>
      <c r="B764" s="16" t="inlineStr">
        <is>
          <t>SUNFLAG</t>
        </is>
      </c>
      <c r="C764" s="16" t="inlineStr">
        <is>
          <t>Sunflag Iron &amp; Steel Company Ltd.</t>
        </is>
      </c>
      <c r="D764" s="16" t="inlineStr">
        <is>
          <t>Iron &amp; Steel/Interm.Products</t>
        </is>
      </c>
      <c r="E764" s="16" t="inlineStr">
        <is>
          <t>Metals &amp; Mining</t>
        </is>
      </c>
      <c r="F764" s="17" t="n">
        <v>6194.14</v>
      </c>
      <c r="G764" s="16" t="inlineStr">
        <is>
          <t>SUNFLAG</t>
        </is>
      </c>
      <c r="H764" s="16" t="inlineStr">
        <is>
          <t>500404</t>
        </is>
      </c>
      <c r="I764" s="27">
        <f>IFERROR(IF(INDEX(Stocks!$G$2:$G$2139,MATCH(A764,Stocks!$E$2:$E$2139,0))="","No","Yes"),"No")</f>
        <v/>
      </c>
    </row>
    <row r="765">
      <c r="A765" s="16" t="inlineStr">
        <is>
          <t>INE0NAZ01010</t>
        </is>
      </c>
      <c r="B765" s="16" t="inlineStr">
        <is>
          <t>SMARTWORKS</t>
        </is>
      </c>
      <c r="C765" s="16" t="inlineStr">
        <is>
          <t>Smartworks Coworking Spaces Ltd.</t>
        </is>
      </c>
      <c r="D765" s="16" t="inlineStr">
        <is>
          <t>Special Consumer Services</t>
        </is>
      </c>
      <c r="E765" s="16" t="inlineStr">
        <is>
          <t>Diversified Consumer Services</t>
        </is>
      </c>
      <c r="F765" s="17" t="n">
        <v>6193.74</v>
      </c>
      <c r="G765" s="16" t="inlineStr">
        <is>
          <t>SMARTWORKS</t>
        </is>
      </c>
      <c r="H765" s="16" t="inlineStr">
        <is>
          <t>544447</t>
        </is>
      </c>
      <c r="I765" s="27">
        <f>IFERROR(IF(INDEX(Stocks!$G$2:$G$2139,MATCH(A765,Stocks!$E$2:$E$2139,0))="","No","Yes"),"No")</f>
        <v/>
      </c>
    </row>
    <row r="766">
      <c r="A766" s="16" t="inlineStr">
        <is>
          <t>INE544R01021</t>
        </is>
      </c>
      <c r="B766" s="16" t="inlineStr">
        <is>
          <t>GREENLAM</t>
        </is>
      </c>
      <c r="C766" s="16" t="inlineStr">
        <is>
          <t>Greenlam Industries Ltd.</t>
        </is>
      </c>
      <c r="D766" s="16" t="inlineStr">
        <is>
          <t>Furniture-Furnishing</t>
        </is>
      </c>
      <c r="E766" s="16" t="inlineStr">
        <is>
          <t>Diversified Consumer Services</t>
        </is>
      </c>
      <c r="F766" s="17" t="n">
        <v>6190.39</v>
      </c>
      <c r="G766" s="16" t="inlineStr">
        <is>
          <t>GREENLAM</t>
        </is>
      </c>
      <c r="H766" s="16" t="inlineStr">
        <is>
          <t>538979</t>
        </is>
      </c>
      <c r="I766" s="27">
        <f>IFERROR(IF(INDEX(Stocks!$G$2:$G$2139,MATCH(A766,Stocks!$E$2:$E$2139,0))="","No","Yes"),"No")</f>
        <v/>
      </c>
    </row>
    <row r="767">
      <c r="A767" s="16" t="inlineStr">
        <is>
          <t>INE074A01025</t>
        </is>
      </c>
      <c r="B767" s="16" t="inlineStr">
        <is>
          <t>PRAJIND</t>
        </is>
      </c>
      <c r="C767" s="16" t="inlineStr">
        <is>
          <t>Praj Industries Ltd.</t>
        </is>
      </c>
      <c r="D767" s="16" t="inlineStr">
        <is>
          <t>Industrial Machinery</t>
        </is>
      </c>
      <c r="E767" s="16" t="inlineStr">
        <is>
          <t>General Industrials</t>
        </is>
      </c>
      <c r="F767" s="17" t="n">
        <v>6167.85</v>
      </c>
      <c r="G767" s="16" t="inlineStr">
        <is>
          <t>PRAJIND</t>
        </is>
      </c>
      <c r="H767" s="16" t="inlineStr">
        <is>
          <t>522205</t>
        </is>
      </c>
      <c r="I767" s="27">
        <f>IFERROR(IF(INDEX(Stocks!$G$2:$G$2139,MATCH(A767,Stocks!$E$2:$E$2139,0))="","No","Yes"),"No")</f>
        <v/>
      </c>
    </row>
    <row r="768">
      <c r="A768" s="16" t="inlineStr">
        <is>
          <t>INE0QJW01029</t>
        </is>
      </c>
      <c r="B768" s="16" t="inlineStr">
        <is>
          <t>LCL</t>
        </is>
      </c>
      <c r="C768" s="16" t="inlineStr">
        <is>
          <t>Lohia Corp Ltd.</t>
        </is>
      </c>
      <c r="D768" s="16" t="inlineStr">
        <is>
          <t>Industrial Machinery</t>
        </is>
      </c>
      <c r="E768" s="16" t="inlineStr">
        <is>
          <t>General Industrials</t>
        </is>
      </c>
      <c r="F768" s="17" t="n">
        <v>6143.55</v>
      </c>
      <c r="G768" s="16" t="inlineStr">
        <is>
          <t>LCL</t>
        </is>
      </c>
      <c r="H768" s="16" t="inlineStr">
        <is>
          <t>544839</t>
        </is>
      </c>
      <c r="I768" s="27">
        <f>IFERROR(IF(INDEX(Stocks!$G$2:$G$2139,MATCH(A768,Stocks!$E$2:$E$2139,0))="","No","Yes"),"No")</f>
        <v/>
      </c>
    </row>
    <row r="769">
      <c r="A769" s="16" t="inlineStr">
        <is>
          <t>INE078V01014</t>
        </is>
      </c>
      <c r="B769" s="16" t="inlineStr">
        <is>
          <t>VIKRAMSOLR</t>
        </is>
      </c>
      <c r="C769" s="16" t="inlineStr">
        <is>
          <t>Vikram Solar Ltd.</t>
        </is>
      </c>
      <c r="D769" s="16" t="inlineStr">
        <is>
          <t>Other Electrical Equipment/Products</t>
        </is>
      </c>
      <c r="E769" s="16" t="inlineStr">
        <is>
          <t>Consumer Durables</t>
        </is>
      </c>
      <c r="F769" s="17" t="n">
        <v>6103.86</v>
      </c>
      <c r="G769" s="16" t="inlineStr">
        <is>
          <t>VIKRAMSOLR</t>
        </is>
      </c>
      <c r="H769" s="16" t="inlineStr">
        <is>
          <t>544488</t>
        </is>
      </c>
      <c r="I769" s="27">
        <f>IFERROR(IF(INDEX(Stocks!$G$2:$G$2139,MATCH(A769,Stocks!$E$2:$E$2139,0))="","No","Yes"),"No")</f>
        <v/>
      </c>
    </row>
    <row r="770">
      <c r="A770" s="16" t="inlineStr">
        <is>
          <t>INE285J01028</t>
        </is>
      </c>
      <c r="B770" s="16" t="inlineStr">
        <is>
          <t>SIS</t>
        </is>
      </c>
      <c r="C770" s="16" t="inlineStr">
        <is>
          <t>SIS Ltd.</t>
        </is>
      </c>
      <c r="D770" s="16" t="inlineStr">
        <is>
          <t>Misc. Commercial Services</t>
        </is>
      </c>
      <c r="E770" s="16" t="inlineStr">
        <is>
          <t>Commercial Services &amp; Supplies</t>
        </is>
      </c>
      <c r="F770" s="17" t="n">
        <v>6090.66</v>
      </c>
      <c r="G770" s="16" t="inlineStr">
        <is>
          <t>SIS</t>
        </is>
      </c>
      <c r="H770" s="16" t="inlineStr">
        <is>
          <t>540673</t>
        </is>
      </c>
      <c r="I770" s="27">
        <f>IFERROR(IF(INDEX(Stocks!$G$2:$G$2139,MATCH(A770,Stocks!$E$2:$E$2139,0))="","No","Yes"),"No")</f>
        <v/>
      </c>
    </row>
    <row r="771">
      <c r="A771" s="16" t="inlineStr">
        <is>
          <t>INE256C01024</t>
        </is>
      </c>
      <c r="B771" s="16" t="inlineStr">
        <is>
          <t>TRIVENI</t>
        </is>
      </c>
      <c r="C771" s="16" t="inlineStr">
        <is>
          <t>Triveni Engineering &amp; Industries Ltd.</t>
        </is>
      </c>
      <c r="D771" s="16" t="inlineStr">
        <is>
          <t>Sugar</t>
        </is>
      </c>
      <c r="E771" s="16" t="inlineStr">
        <is>
          <t>Food, Beverages &amp; Tobacco</t>
        </is>
      </c>
      <c r="F771" s="17" t="n">
        <v>6074.31</v>
      </c>
      <c r="G771" s="16" t="inlineStr">
        <is>
          <t>TRIVENI</t>
        </is>
      </c>
      <c r="H771" s="16" t="inlineStr">
        <is>
          <t>532356</t>
        </is>
      </c>
      <c r="I771" s="27">
        <f>IFERROR(IF(INDEX(Stocks!$G$2:$G$2139,MATCH(A771,Stocks!$E$2:$E$2139,0))="","No","Yes"),"No")</f>
        <v/>
      </c>
    </row>
    <row r="772">
      <c r="A772" s="16" t="inlineStr">
        <is>
          <t>INE546C01010</t>
        </is>
      </c>
      <c r="B772" s="16" t="inlineStr">
        <is>
          <t>PICCADIL</t>
        </is>
      </c>
      <c r="C772" s="16" t="inlineStr">
        <is>
          <t>Piccadily Agro Industries Ltd.</t>
        </is>
      </c>
      <c r="D772" s="16" t="inlineStr">
        <is>
          <t>Sugar</t>
        </is>
      </c>
      <c r="E772" s="16" t="inlineStr">
        <is>
          <t>Food, Beverages &amp; Tobacco</t>
        </is>
      </c>
      <c r="F772" s="17" t="n">
        <v>6069.54</v>
      </c>
      <c r="G772" s="16" t="inlineStr">
        <is>
          <t>PICCADIL</t>
        </is>
      </c>
      <c r="H772" s="16" t="inlineStr">
        <is>
          <t>530305</t>
        </is>
      </c>
      <c r="I772" s="27">
        <f>IFERROR(IF(INDEX(Stocks!$G$2:$G$2139,MATCH(A772,Stocks!$E$2:$E$2139,0))="","No","Yes"),"No")</f>
        <v/>
      </c>
    </row>
    <row r="773">
      <c r="A773" s="16" t="inlineStr">
        <is>
          <t>INE542W01025</t>
        </is>
      </c>
      <c r="B773" s="16" t="inlineStr">
        <is>
          <t>KPIGREEN</t>
        </is>
      </c>
      <c r="C773" s="16" t="inlineStr">
        <is>
          <t>KPI Green Energy Ltd.</t>
        </is>
      </c>
      <c r="D773" s="16" t="inlineStr">
        <is>
          <t>Green &amp; Renewable Energy</t>
        </is>
      </c>
      <c r="E773" s="16" t="inlineStr">
        <is>
          <t>Utilities</t>
        </is>
      </c>
      <c r="F773" s="17" t="n">
        <v>6068.53</v>
      </c>
      <c r="G773" s="16" t="inlineStr">
        <is>
          <t>KPIGREEN</t>
        </is>
      </c>
      <c r="H773" s="16" t="inlineStr">
        <is>
          <t>542323</t>
        </is>
      </c>
      <c r="I773" s="27">
        <f>IFERROR(IF(INDEX(Stocks!$G$2:$G$2139,MATCH(A773,Stocks!$E$2:$E$2139,0))="","No","Yes"),"No")</f>
        <v/>
      </c>
    </row>
    <row r="774">
      <c r="A774" s="16" t="inlineStr">
        <is>
          <t>INE007N01010</t>
        </is>
      </c>
      <c r="B774" s="16" t="inlineStr">
        <is>
          <t>FEDFINA</t>
        </is>
      </c>
      <c r="C774" s="16" t="inlineStr">
        <is>
          <t>Fedbank Financial Services Ltd.</t>
        </is>
      </c>
      <c r="D774" s="16" t="inlineStr">
        <is>
          <t>Finance (including NBFCs)</t>
        </is>
      </c>
      <c r="E774" s="16" t="inlineStr">
        <is>
          <t>Banking and Finance</t>
        </is>
      </c>
      <c r="F774" s="17" t="n">
        <v>6060.11</v>
      </c>
      <c r="G774" s="16" t="inlineStr">
        <is>
          <t>FEDFINA</t>
        </is>
      </c>
      <c r="H774" s="16" t="inlineStr">
        <is>
          <t>544027</t>
        </is>
      </c>
      <c r="I774" s="27">
        <f>IFERROR(IF(INDEX(Stocks!$G$2:$G$2139,MATCH(A774,Stocks!$E$2:$E$2139,0))="","No","Yes"),"No")</f>
        <v/>
      </c>
    </row>
    <row r="775">
      <c r="A775" s="16" t="inlineStr">
        <is>
          <t>INE549A01026</t>
        </is>
      </c>
      <c r="B775" s="16" t="inlineStr">
        <is>
          <t>HCC</t>
        </is>
      </c>
      <c r="C775" s="16" t="inlineStr">
        <is>
          <t>Hindustan Construction Company Ltd.</t>
        </is>
      </c>
      <c r="D775" s="16" t="inlineStr">
        <is>
          <t>Construction &amp; Engineering</t>
        </is>
      </c>
      <c r="E775" s="16" t="inlineStr">
        <is>
          <t>Cement and Construction</t>
        </is>
      </c>
      <c r="F775" s="17" t="n">
        <v>6019.54</v>
      </c>
      <c r="G775" s="16" t="inlineStr">
        <is>
          <t>HCC</t>
        </is>
      </c>
      <c r="H775" s="16" t="inlineStr">
        <is>
          <t>500185</t>
        </is>
      </c>
      <c r="I775" s="27">
        <f>IFERROR(IF(INDEX(Stocks!$G$2:$G$2139,MATCH(A775,Stocks!$E$2:$E$2139,0))="","No","Yes"),"No")</f>
        <v/>
      </c>
    </row>
    <row r="776">
      <c r="A776" s="16" t="inlineStr">
        <is>
          <t>INE570A01022</t>
        </is>
      </c>
      <c r="B776" s="16" t="inlineStr">
        <is>
          <t>IONEXCHANG</t>
        </is>
      </c>
      <c r="C776" s="16" t="inlineStr">
        <is>
          <t>Ion Exchange (India) Ltd.</t>
        </is>
      </c>
      <c r="D776" s="16" t="inlineStr">
        <is>
          <t>Utilities:Non-Electrical</t>
        </is>
      </c>
      <c r="E776" s="16" t="inlineStr">
        <is>
          <t>Utilities</t>
        </is>
      </c>
      <c r="F776" s="17" t="n">
        <v>6001.6</v>
      </c>
      <c r="G776" s="16" t="inlineStr">
        <is>
          <t>IONEXCHANG</t>
        </is>
      </c>
      <c r="H776" s="16" t="inlineStr">
        <is>
          <t>500214</t>
        </is>
      </c>
      <c r="I776" s="27">
        <f>IFERROR(IF(INDEX(Stocks!$G$2:$G$2139,MATCH(A776,Stocks!$E$2:$E$2139,0))="","No","Yes"),"No")</f>
        <v/>
      </c>
    </row>
    <row r="777">
      <c r="A777" s="16" t="inlineStr">
        <is>
          <t>INE045J01034</t>
        </is>
      </c>
      <c r="B777" s="16" t="inlineStr">
        <is>
          <t>FCL</t>
        </is>
      </c>
      <c r="C777" s="16" t="inlineStr">
        <is>
          <t>Fineotex Chemical Ltd.</t>
        </is>
      </c>
      <c r="D777" s="16" t="inlineStr">
        <is>
          <t>Specialty Chemicals</t>
        </is>
      </c>
      <c r="E777" s="16" t="inlineStr">
        <is>
          <t>Chemicals &amp; Petrochemicals</t>
        </is>
      </c>
      <c r="F777" s="17" t="n">
        <v>5998.34</v>
      </c>
      <c r="G777" s="16" t="inlineStr">
        <is>
          <t>FCL</t>
        </is>
      </c>
      <c r="H777" s="16" t="inlineStr">
        <is>
          <t>533333</t>
        </is>
      </c>
      <c r="I777" s="27">
        <f>IFERROR(IF(INDEX(Stocks!$G$2:$G$2139,MATCH(A777,Stocks!$E$2:$E$2139,0))="","No","Yes"),"No")</f>
        <v/>
      </c>
    </row>
    <row r="778">
      <c r="A778" s="16" t="inlineStr">
        <is>
          <t>INE0ISX01025</t>
        </is>
      </c>
      <c r="B778" s="16" t="inlineStr">
        <is>
          <t>KUSUMGAR</t>
        </is>
      </c>
      <c r="C778" s="16" t="inlineStr">
        <is>
          <t>Kusumgar Ltd.</t>
        </is>
      </c>
      <c r="D778" s="16" t="inlineStr">
        <is>
          <t>Textiles</t>
        </is>
      </c>
      <c r="E778" s="16" t="inlineStr">
        <is>
          <t>Textiles Apparels &amp; Accessories</t>
        </is>
      </c>
      <c r="F778" s="17" t="n">
        <v>5997.11</v>
      </c>
      <c r="G778" s="16" t="inlineStr">
        <is>
          <t>KUSUMGAR</t>
        </is>
      </c>
      <c r="H778" s="16" t="inlineStr">
        <is>
          <t>544821</t>
        </is>
      </c>
      <c r="I778" s="27">
        <f>IFERROR(IF(INDEX(Stocks!$G$2:$G$2139,MATCH(A778,Stocks!$E$2:$E$2139,0))="","No","Yes"),"No")</f>
        <v/>
      </c>
    </row>
    <row r="779">
      <c r="A779" s="16" t="inlineStr">
        <is>
          <t>INE126M01010</t>
        </is>
      </c>
      <c r="B779" s="16" t="inlineStr">
        <is>
          <t>IBULLSLTD</t>
        </is>
      </c>
      <c r="C779" s="16" t="inlineStr">
        <is>
          <t>Indiabulls Ltd.</t>
        </is>
      </c>
      <c r="D779" s="16" t="inlineStr">
        <is>
          <t>Misc. Commercial Services</t>
        </is>
      </c>
      <c r="E779" s="16" t="inlineStr">
        <is>
          <t>Commercial Services &amp; Supplies</t>
        </is>
      </c>
      <c r="F779" s="17" t="n">
        <v>5986.77</v>
      </c>
      <c r="G779" s="16" t="inlineStr">
        <is>
          <t>IBULLSLTD</t>
        </is>
      </c>
      <c r="H779" s="16" t="inlineStr">
        <is>
          <t>533520</t>
        </is>
      </c>
      <c r="I779" s="27">
        <f>IFERROR(IF(INDEX(Stocks!$G$2:$G$2139,MATCH(A779,Stocks!$E$2:$E$2139,0))="","No","Yes"),"No")</f>
        <v/>
      </c>
    </row>
    <row r="780">
      <c r="A780" s="16" t="inlineStr">
        <is>
          <t>INE01JE01028</t>
        </is>
      </c>
      <c r="B780" s="16" t="inlineStr">
        <is>
          <t>MARINE</t>
        </is>
      </c>
      <c r="C780" s="16" t="inlineStr">
        <is>
          <t>Marine Electricals (India) Ltd.</t>
        </is>
      </c>
      <c r="D780" s="16" t="inlineStr">
        <is>
          <t>Electronic Components</t>
        </is>
      </c>
      <c r="E780" s="16" t="inlineStr">
        <is>
          <t>Commercial Services &amp; Supplies</t>
        </is>
      </c>
      <c r="F780" s="17" t="n">
        <v>5976.39</v>
      </c>
      <c r="G780" s="16" t="inlineStr">
        <is>
          <t>MARINE</t>
        </is>
      </c>
      <c r="H780" s="16" t="inlineStr"/>
      <c r="I780" s="27">
        <f>IFERROR(IF(INDEX(Stocks!$G$2:$G$2139,MATCH(A780,Stocks!$E$2:$E$2139,0))="","No","Yes"),"No")</f>
        <v/>
      </c>
    </row>
    <row r="781">
      <c r="A781" s="16" t="inlineStr">
        <is>
          <t>INE955V01021</t>
        </is>
      </c>
      <c r="B781" s="16" t="inlineStr">
        <is>
          <t>ARVINDFASN</t>
        </is>
      </c>
      <c r="C781" s="16" t="inlineStr">
        <is>
          <t>Arvind Fashions Ltd.</t>
        </is>
      </c>
      <c r="D781" s="16" t="inlineStr">
        <is>
          <t>Other Apparels &amp; Accessories</t>
        </is>
      </c>
      <c r="E781" s="16" t="inlineStr">
        <is>
          <t>Textiles Apparels &amp; Accessories</t>
        </is>
      </c>
      <c r="F781" s="17" t="n">
        <v>5969.62</v>
      </c>
      <c r="G781" s="16" t="inlineStr">
        <is>
          <t>ARVINDFASN</t>
        </is>
      </c>
      <c r="H781" s="16" t="inlineStr">
        <is>
          <t>542484</t>
        </is>
      </c>
      <c r="I781" s="27">
        <f>IFERROR(IF(INDEX(Stocks!$G$2:$G$2139,MATCH(A781,Stocks!$E$2:$E$2139,0))="","No","Yes"),"No")</f>
        <v/>
      </c>
    </row>
    <row r="782">
      <c r="A782" s="16" t="inlineStr">
        <is>
          <t>INE993A01026</t>
        </is>
      </c>
      <c r="B782" s="16" t="inlineStr">
        <is>
          <t>MANINDS</t>
        </is>
      </c>
      <c r="C782" s="16" t="inlineStr">
        <is>
          <t>Man Industries (India) Ltd.</t>
        </is>
      </c>
      <c r="D782" s="16" t="inlineStr">
        <is>
          <t>Iron &amp; Steel/Interm.Products</t>
        </is>
      </c>
      <c r="E782" s="16" t="inlineStr">
        <is>
          <t>Metals &amp; Mining</t>
        </is>
      </c>
      <c r="F782" s="17" t="n">
        <v>5914.88</v>
      </c>
      <c r="G782" s="16" t="inlineStr">
        <is>
          <t>MANINDS</t>
        </is>
      </c>
      <c r="H782" s="16" t="inlineStr">
        <is>
          <t>513269</t>
        </is>
      </c>
      <c r="I782" s="27">
        <f>IFERROR(IF(INDEX(Stocks!$G$2:$G$2139,MATCH(A782,Stocks!$E$2:$E$2139,0))="","No","Yes"),"No")</f>
        <v/>
      </c>
    </row>
    <row r="783">
      <c r="A783" s="16" t="inlineStr">
        <is>
          <t>INE599M01018</t>
        </is>
      </c>
      <c r="B783" s="16" t="inlineStr">
        <is>
          <t>JUSTDIAL</t>
        </is>
      </c>
      <c r="C783" s="16" t="inlineStr">
        <is>
          <t>Just Dial Ltd.</t>
        </is>
      </c>
      <c r="D783" s="16" t="inlineStr">
        <is>
          <t>Internet Software &amp; Services</t>
        </is>
      </c>
      <c r="E783" s="16" t="inlineStr">
        <is>
          <t>Software &amp; Services</t>
        </is>
      </c>
      <c r="F783" s="17" t="n">
        <v>5892.62</v>
      </c>
      <c r="G783" s="16" t="inlineStr">
        <is>
          <t>JUSTDIAL</t>
        </is>
      </c>
      <c r="H783" s="16" t="inlineStr">
        <is>
          <t>535648</t>
        </is>
      </c>
      <c r="I783" s="27">
        <f>IFERROR(IF(INDEX(Stocks!$G$2:$G$2139,MATCH(A783,Stocks!$E$2:$E$2139,0))="","No","Yes"),"No")</f>
        <v/>
      </c>
    </row>
    <row r="784">
      <c r="A784" s="16" t="inlineStr">
        <is>
          <t>INE602W01027</t>
        </is>
      </c>
      <c r="B784" s="16" t="inlineStr">
        <is>
          <t>SENCO</t>
        </is>
      </c>
      <c r="C784" s="16" t="inlineStr">
        <is>
          <t>Senco Gold Ltd.</t>
        </is>
      </c>
      <c r="D784" s="16" t="inlineStr">
        <is>
          <t>Gems &amp; Jewellery</t>
        </is>
      </c>
      <c r="E784" s="16" t="inlineStr">
        <is>
          <t>Textiles Apparels &amp; Accessories</t>
        </is>
      </c>
      <c r="F784" s="17" t="n">
        <v>5878.31</v>
      </c>
      <c r="G784" s="16" t="inlineStr">
        <is>
          <t>SENCO</t>
        </is>
      </c>
      <c r="H784" s="16" t="inlineStr">
        <is>
          <t>543936</t>
        </is>
      </c>
      <c r="I784" s="27">
        <f>IFERROR(IF(INDEX(Stocks!$G$2:$G$2139,MATCH(A784,Stocks!$E$2:$E$2139,0))="","No","Yes"),"No")</f>
        <v/>
      </c>
    </row>
    <row r="785">
      <c r="A785" s="16" t="inlineStr">
        <is>
          <t>INE485C01029</t>
        </is>
      </c>
      <c r="B785" s="16" t="inlineStr">
        <is>
          <t>IOLCP</t>
        </is>
      </c>
      <c r="C785" s="16" t="inlineStr">
        <is>
          <t>IOL Chemicals and Pharmaceuticals Ltd.</t>
        </is>
      </c>
      <c r="D785" s="16" t="inlineStr">
        <is>
          <t>Pharmaceuticals</t>
        </is>
      </c>
      <c r="E785" s="16" t="inlineStr">
        <is>
          <t>Pharmaceuticals &amp; Biotechnology</t>
        </is>
      </c>
      <c r="F785" s="17" t="n">
        <v>5869.08</v>
      </c>
      <c r="G785" s="16" t="inlineStr">
        <is>
          <t>IOLCP</t>
        </is>
      </c>
      <c r="H785" s="16" t="inlineStr">
        <is>
          <t>524164</t>
        </is>
      </c>
      <c r="I785" s="27">
        <f>IFERROR(IF(INDEX(Stocks!$G$2:$G$2139,MATCH(A785,Stocks!$E$2:$E$2139,0))="","No","Yes"),"No")</f>
        <v/>
      </c>
    </row>
    <row r="786">
      <c r="A786" s="16" t="inlineStr">
        <is>
          <t>INE136S01016</t>
        </is>
      </c>
      <c r="B786" s="16" t="inlineStr">
        <is>
          <t>NEOGEN</t>
        </is>
      </c>
      <c r="C786" s="16" t="inlineStr">
        <is>
          <t>Neogen Chemicals Ltd.</t>
        </is>
      </c>
      <c r="D786" s="16" t="inlineStr">
        <is>
          <t>Specialty Chemicals</t>
        </is>
      </c>
      <c r="E786" s="16" t="inlineStr">
        <is>
          <t>Chemicals &amp; Petrochemicals</t>
        </is>
      </c>
      <c r="F786" s="17" t="n">
        <v>5853.93</v>
      </c>
      <c r="G786" s="16" t="inlineStr">
        <is>
          <t>NEOGEN</t>
        </is>
      </c>
      <c r="H786" s="16" t="inlineStr">
        <is>
          <t>542665</t>
        </is>
      </c>
      <c r="I786" s="27">
        <f>IFERROR(IF(INDEX(Stocks!$G$2:$G$2139,MATCH(A786,Stocks!$E$2:$E$2139,0))="","No","Yes"),"No")</f>
        <v/>
      </c>
    </row>
    <row r="787">
      <c r="A787" s="16" t="inlineStr">
        <is>
          <t>INE908D01010</t>
        </is>
      </c>
      <c r="B787" s="16" t="inlineStr">
        <is>
          <t>SHAKTIPUMP</t>
        </is>
      </c>
      <c r="C787" s="16" t="inlineStr">
        <is>
          <t>Shakti Pumps (India) Ltd.</t>
        </is>
      </c>
      <c r="D787" s="16" t="inlineStr">
        <is>
          <t>Compressors &amp; Pumps</t>
        </is>
      </c>
      <c r="E787" s="16" t="inlineStr">
        <is>
          <t>General Industrials</t>
        </is>
      </c>
      <c r="F787" s="17" t="n">
        <v>5836.73</v>
      </c>
      <c r="G787" s="16" t="inlineStr">
        <is>
          <t>SHAKTIPUMP</t>
        </is>
      </c>
      <c r="H787" s="16" t="inlineStr">
        <is>
          <t>531431</t>
        </is>
      </c>
      <c r="I787" s="27">
        <f>IFERROR(IF(INDEX(Stocks!$G$2:$G$2139,MATCH(A787,Stocks!$E$2:$E$2139,0))="","No","Yes"),"No")</f>
        <v/>
      </c>
    </row>
    <row r="788">
      <c r="A788" s="16" t="inlineStr">
        <is>
          <t>INE858B01029</t>
        </is>
      </c>
      <c r="B788" s="16" t="inlineStr">
        <is>
          <t>ISGEC</t>
        </is>
      </c>
      <c r="C788" s="16" t="inlineStr">
        <is>
          <t>ISGEC Heavy Engineering Ltd.</t>
        </is>
      </c>
      <c r="D788" s="16" t="inlineStr">
        <is>
          <t>Industrial Machinery</t>
        </is>
      </c>
      <c r="E788" s="16" t="inlineStr">
        <is>
          <t>General Industrials</t>
        </is>
      </c>
      <c r="F788" s="17" t="n">
        <v>5789.35</v>
      </c>
      <c r="G788" s="16" t="inlineStr">
        <is>
          <t>ISGEC</t>
        </is>
      </c>
      <c r="H788" s="16" t="inlineStr">
        <is>
          <t>533033</t>
        </is>
      </c>
      <c r="I788" s="27">
        <f>IFERROR(IF(INDEX(Stocks!$G$2:$G$2139,MATCH(A788,Stocks!$E$2:$E$2139,0))="","No","Yes"),"No")</f>
        <v/>
      </c>
    </row>
    <row r="789">
      <c r="A789" s="16" t="inlineStr">
        <is>
          <t>INE887G01027</t>
        </is>
      </c>
      <c r="B789" s="16" t="inlineStr">
        <is>
          <t>GOKEX</t>
        </is>
      </c>
      <c r="C789" s="16" t="inlineStr">
        <is>
          <t>Gokaldas Exports Ltd.</t>
        </is>
      </c>
      <c r="D789" s="16" t="inlineStr">
        <is>
          <t>Textiles</t>
        </is>
      </c>
      <c r="E789" s="16" t="inlineStr">
        <is>
          <t>Textiles Apparels &amp; Accessories</t>
        </is>
      </c>
      <c r="F789" s="17" t="n">
        <v>5783.07</v>
      </c>
      <c r="G789" s="16" t="inlineStr">
        <is>
          <t>GOKEX</t>
        </is>
      </c>
      <c r="H789" s="16" t="inlineStr">
        <is>
          <t>532630</t>
        </is>
      </c>
      <c r="I789" s="27">
        <f>IFERROR(IF(INDEX(Stocks!$G$2:$G$2139,MATCH(A789,Stocks!$E$2:$E$2139,0))="","No","Yes"),"No")</f>
        <v/>
      </c>
    </row>
    <row r="790">
      <c r="A790" s="16" t="inlineStr">
        <is>
          <t>INE162B01018</t>
        </is>
      </c>
      <c r="B790" s="16" t="inlineStr">
        <is>
          <t>LUMAXIND</t>
        </is>
      </c>
      <c r="C790" s="16" t="inlineStr">
        <is>
          <t>Lumax Industries Ltd.</t>
        </is>
      </c>
      <c r="D790" s="16" t="inlineStr">
        <is>
          <t>Auto Parts &amp; Equipment</t>
        </is>
      </c>
      <c r="E790" s="16" t="inlineStr">
        <is>
          <t>Automobiles &amp; Auto Components</t>
        </is>
      </c>
      <c r="F790" s="17" t="n">
        <v>5778.28</v>
      </c>
      <c r="G790" s="16" t="inlineStr">
        <is>
          <t>LUMAXIND</t>
        </is>
      </c>
      <c r="H790" s="16" t="inlineStr">
        <is>
          <t>517206</t>
        </is>
      </c>
      <c r="I790" s="27">
        <f>IFERROR(IF(INDEX(Stocks!$G$2:$G$2139,MATCH(A790,Stocks!$E$2:$E$2139,0))="","No","Yes"),"No")</f>
        <v/>
      </c>
    </row>
    <row r="791">
      <c r="A791" s="16" t="inlineStr">
        <is>
          <t>INE247D01039</t>
        </is>
      </c>
      <c r="B791" s="16" t="inlineStr">
        <is>
          <t>JINDWORLD</t>
        </is>
      </c>
      <c r="C791" s="16" t="inlineStr">
        <is>
          <t>Jindal Worldwide Ltd.</t>
        </is>
      </c>
      <c r="D791" s="16" t="inlineStr">
        <is>
          <t>Textiles</t>
        </is>
      </c>
      <c r="E791" s="16" t="inlineStr">
        <is>
          <t>Textiles Apparels &amp; Accessories</t>
        </is>
      </c>
      <c r="F791" s="17" t="n">
        <v>5765.96</v>
      </c>
      <c r="G791" s="16" t="inlineStr">
        <is>
          <t>JINDWORLD</t>
        </is>
      </c>
      <c r="H791" s="16" t="inlineStr">
        <is>
          <t>531543</t>
        </is>
      </c>
      <c r="I791" s="27">
        <f>IFERROR(IF(INDEX(Stocks!$G$2:$G$2139,MATCH(A791,Stocks!$E$2:$E$2139,0))="","No","Yes"),"No")</f>
        <v/>
      </c>
    </row>
    <row r="792">
      <c r="A792" s="16" t="inlineStr">
        <is>
          <t>INE454P01035</t>
        </is>
      </c>
      <c r="B792" s="16" t="inlineStr">
        <is>
          <t>TRANSRAILL</t>
        </is>
      </c>
      <c r="C792" s="16" t="inlineStr">
        <is>
          <t>Transrail Lighting Ltd.</t>
        </is>
      </c>
      <c r="D792" s="16" t="inlineStr">
        <is>
          <t>Heavy Electrical Equipment</t>
        </is>
      </c>
      <c r="E792" s="16" t="inlineStr">
        <is>
          <t>General Industrials</t>
        </is>
      </c>
      <c r="F792" s="17" t="n">
        <v>5763.61</v>
      </c>
      <c r="G792" s="16" t="inlineStr">
        <is>
          <t>TRANSRAILL</t>
        </is>
      </c>
      <c r="H792" s="16" t="inlineStr">
        <is>
          <t>544317</t>
        </is>
      </c>
      <c r="I792" s="27">
        <f>IFERROR(IF(INDEX(Stocks!$G$2:$G$2139,MATCH(A792,Stocks!$E$2:$E$2139,0))="","No","Yes"),"No")</f>
        <v/>
      </c>
    </row>
    <row r="793">
      <c r="A793" s="16" t="inlineStr">
        <is>
          <t>INE395N01027</t>
        </is>
      </c>
      <c r="B793" s="16" t="inlineStr">
        <is>
          <t>TVSSCS</t>
        </is>
      </c>
      <c r="C793" s="16" t="inlineStr">
        <is>
          <t>TVS Supply Chain Solutions Ltd.</t>
        </is>
      </c>
      <c r="D793" s="16" t="inlineStr">
        <is>
          <t>Transport Related Services</t>
        </is>
      </c>
      <c r="E793" s="16" t="inlineStr">
        <is>
          <t>Transportation</t>
        </is>
      </c>
      <c r="F793" s="17" t="n">
        <v>5754</v>
      </c>
      <c r="G793" s="16" t="inlineStr">
        <is>
          <t>TVSSCS</t>
        </is>
      </c>
      <c r="H793" s="16" t="inlineStr">
        <is>
          <t>543965</t>
        </is>
      </c>
      <c r="I793" s="27">
        <f>IFERROR(IF(INDEX(Stocks!$G$2:$G$2139,MATCH(A793,Stocks!$E$2:$E$2139,0))="","No","Yes"),"No")</f>
        <v/>
      </c>
    </row>
    <row r="794">
      <c r="A794" s="16" t="inlineStr">
        <is>
          <t>INE239C01020</t>
        </is>
      </c>
      <c r="B794" s="16" t="inlineStr">
        <is>
          <t>STYLAMIND</t>
        </is>
      </c>
      <c r="C794" s="16" t="inlineStr">
        <is>
          <t>Stylam Industries Ltd.</t>
        </is>
      </c>
      <c r="D794" s="16" t="inlineStr">
        <is>
          <t>Forest Products</t>
        </is>
      </c>
      <c r="E794" s="16" t="inlineStr">
        <is>
          <t>Forest Materials</t>
        </is>
      </c>
      <c r="F794" s="17" t="n">
        <v>5741</v>
      </c>
      <c r="G794" s="16" t="inlineStr">
        <is>
          <t>STYLAMIND</t>
        </is>
      </c>
      <c r="H794" s="16" t="inlineStr">
        <is>
          <t>526951</t>
        </is>
      </c>
      <c r="I794" s="27">
        <f>IFERROR(IF(INDEX(Stocks!$G$2:$G$2139,MATCH(A794,Stocks!$E$2:$E$2139,0))="","No","Yes"),"No")</f>
        <v/>
      </c>
    </row>
    <row r="795">
      <c r="A795" s="16" t="inlineStr">
        <is>
          <t>INE227J01012</t>
        </is>
      </c>
      <c r="B795" s="16" t="inlineStr">
        <is>
          <t>KALPATARU</t>
        </is>
      </c>
      <c r="C795" s="16" t="inlineStr">
        <is>
          <t>Kalpataru Ltd.</t>
        </is>
      </c>
      <c r="D795" s="16" t="inlineStr">
        <is>
          <t>Realty</t>
        </is>
      </c>
      <c r="E795" s="16" t="inlineStr">
        <is>
          <t>Realty</t>
        </is>
      </c>
      <c r="F795" s="17" t="n">
        <v>5717.43</v>
      </c>
      <c r="G795" s="16" t="inlineStr">
        <is>
          <t>KALPATARU</t>
        </is>
      </c>
      <c r="H795" s="16" t="inlineStr">
        <is>
          <t>544423</t>
        </is>
      </c>
      <c r="I795" s="27">
        <f>IFERROR(IF(INDEX(Stocks!$G$2:$G$2139,MATCH(A795,Stocks!$E$2:$E$2139,0))="","No","Yes"),"No")</f>
        <v/>
      </c>
    </row>
    <row r="796">
      <c r="A796" s="16" t="inlineStr">
        <is>
          <t>INE191A01027</t>
        </is>
      </c>
      <c r="B796" s="16" t="inlineStr">
        <is>
          <t>ORCHPHARMA</t>
        </is>
      </c>
      <c r="C796" s="16" t="inlineStr">
        <is>
          <t>Orchid Pharma Ltd.</t>
        </is>
      </c>
      <c r="D796" s="16" t="inlineStr">
        <is>
          <t>Pharmaceuticals</t>
        </is>
      </c>
      <c r="E796" s="16" t="inlineStr">
        <is>
          <t>Pharmaceuticals &amp; Biotechnology</t>
        </is>
      </c>
      <c r="F796" s="17" t="n">
        <v>5716.94</v>
      </c>
      <c r="G796" s="16" t="inlineStr">
        <is>
          <t>ORCHPHARMA</t>
        </is>
      </c>
      <c r="H796" s="16" t="inlineStr">
        <is>
          <t>524372</t>
        </is>
      </c>
      <c r="I796" s="27">
        <f>IFERROR(IF(INDEX(Stocks!$G$2:$G$2139,MATCH(A796,Stocks!$E$2:$E$2139,0))="","No","Yes"),"No")</f>
        <v/>
      </c>
    </row>
    <row r="797">
      <c r="A797" s="16" t="inlineStr">
        <is>
          <t>INE679A01013</t>
        </is>
      </c>
      <c r="B797" s="16" t="inlineStr">
        <is>
          <t>CSBBANK</t>
        </is>
      </c>
      <c r="C797" s="16" t="inlineStr">
        <is>
          <t>CSB Bank Ltd.</t>
        </is>
      </c>
      <c r="D797" s="16" t="inlineStr">
        <is>
          <t>Banks</t>
        </is>
      </c>
      <c r="E797" s="16" t="inlineStr">
        <is>
          <t>Banking and Finance</t>
        </is>
      </c>
      <c r="F797" s="17" t="n">
        <v>5699.88</v>
      </c>
      <c r="G797" s="16" t="inlineStr">
        <is>
          <t>CSBBANK</t>
        </is>
      </c>
      <c r="H797" s="16" t="inlineStr">
        <is>
          <t>542867</t>
        </is>
      </c>
      <c r="I797" s="27">
        <f>IFERROR(IF(INDEX(Stocks!$G$2:$G$2139,MATCH(A797,Stocks!$E$2:$E$2139,0))="","No","Yes"),"No")</f>
        <v/>
      </c>
    </row>
    <row r="798">
      <c r="A798" s="16" t="inlineStr">
        <is>
          <t>INE506W01020</t>
        </is>
      </c>
      <c r="B798" s="16" t="inlineStr">
        <is>
          <t>KRISHANA</t>
        </is>
      </c>
      <c r="C798" s="16" t="inlineStr">
        <is>
          <t>Krishana Phoschem Ltd.</t>
        </is>
      </c>
      <c r="D798" s="16" t="inlineStr">
        <is>
          <t>Fertilizers</t>
        </is>
      </c>
      <c r="E798" s="16" t="inlineStr">
        <is>
          <t>Fertilizers</t>
        </is>
      </c>
      <c r="F798" s="17" t="n">
        <v>5692.16</v>
      </c>
      <c r="G798" s="16" t="inlineStr">
        <is>
          <t>KRISHANA</t>
        </is>
      </c>
      <c r="H798" s="16" t="inlineStr"/>
      <c r="I798" s="27">
        <f>IFERROR(IF(INDEX(Stocks!$G$2:$G$2139,MATCH(A798,Stocks!$E$2:$E$2139,0))="","No","Yes"),"No")</f>
        <v/>
      </c>
    </row>
    <row r="799">
      <c r="A799" s="16" t="inlineStr">
        <is>
          <t>INE802C01033</t>
        </is>
      </c>
      <c r="B799" s="16" t="inlineStr">
        <is>
          <t>SSWL</t>
        </is>
      </c>
      <c r="C799" s="16" t="inlineStr">
        <is>
          <t>Steel Strips Wheels Ltd.</t>
        </is>
      </c>
      <c r="D799" s="16" t="inlineStr">
        <is>
          <t>Auto Parts &amp; Equipment</t>
        </is>
      </c>
      <c r="E799" s="16" t="inlineStr">
        <is>
          <t>Automobiles &amp; Auto Components</t>
        </is>
      </c>
      <c r="F799" s="17" t="n">
        <v>5690.64</v>
      </c>
      <c r="G799" s="16" t="inlineStr">
        <is>
          <t>SSWL</t>
        </is>
      </c>
      <c r="H799" s="16" t="inlineStr">
        <is>
          <t>513262</t>
        </is>
      </c>
      <c r="I799" s="27">
        <f>IFERROR(IF(INDEX(Stocks!$G$2:$G$2139,MATCH(A799,Stocks!$E$2:$E$2139,0))="","No","Yes"),"No")</f>
        <v/>
      </c>
    </row>
    <row r="800">
      <c r="A800" s="16" t="inlineStr">
        <is>
          <t>INE09VQ01012</t>
        </is>
      </c>
      <c r="B800" s="16" t="inlineStr">
        <is>
          <t>INDIGOPNTS</t>
        </is>
      </c>
      <c r="C800" s="16" t="inlineStr">
        <is>
          <t>Indigo Paints Ltd.</t>
        </is>
      </c>
      <c r="D800" s="16" t="inlineStr">
        <is>
          <t>Paints</t>
        </is>
      </c>
      <c r="E800" s="16" t="inlineStr">
        <is>
          <t>Consumer Durables</t>
        </is>
      </c>
      <c r="F800" s="17" t="n">
        <v>5660.13</v>
      </c>
      <c r="G800" s="16" t="inlineStr">
        <is>
          <t>INDIGOPNTS</t>
        </is>
      </c>
      <c r="H800" s="16" t="inlineStr">
        <is>
          <t>543258</t>
        </is>
      </c>
      <c r="I800" s="27">
        <f>IFERROR(IF(INDEX(Stocks!$G$2:$G$2139,MATCH(A800,Stocks!$E$2:$E$2139,0))="","No","Yes"),"No")</f>
        <v/>
      </c>
    </row>
    <row r="801">
      <c r="A801" s="16" t="inlineStr">
        <is>
          <t>INE953L01027</t>
        </is>
      </c>
      <c r="B801" s="16" t="inlineStr">
        <is>
          <t>JSFB</t>
        </is>
      </c>
      <c r="C801" s="16" t="inlineStr">
        <is>
          <t>Jana Small Finance Bank Ltd.</t>
        </is>
      </c>
      <c r="D801" s="16" t="inlineStr">
        <is>
          <t>Microfinance Institutions</t>
        </is>
      </c>
      <c r="E801" s="16" t="inlineStr">
        <is>
          <t>Banking and Finance</t>
        </is>
      </c>
      <c r="F801" s="17" t="n">
        <v>5658.82</v>
      </c>
      <c r="G801" s="16" t="inlineStr">
        <is>
          <t>JSFB</t>
        </is>
      </c>
      <c r="H801" s="16" t="inlineStr">
        <is>
          <t>544118</t>
        </is>
      </c>
      <c r="I801" s="27">
        <f>IFERROR(IF(INDEX(Stocks!$G$2:$G$2139,MATCH(A801,Stocks!$E$2:$E$2139,0))="","No","Yes"),"No")</f>
        <v/>
      </c>
    </row>
    <row r="802">
      <c r="A802" s="16" t="inlineStr">
        <is>
          <t>INE010A01011</t>
        </is>
      </c>
      <c r="B802" s="16" t="inlineStr">
        <is>
          <t>PRSMJOHNSN</t>
        </is>
      </c>
      <c r="C802" s="16" t="inlineStr">
        <is>
          <t>Prism Johnson Ltd.</t>
        </is>
      </c>
      <c r="D802" s="16" t="inlineStr">
        <is>
          <t>Cement &amp; Cement Products</t>
        </is>
      </c>
      <c r="E802" s="16" t="inlineStr">
        <is>
          <t>Cement and Construction</t>
        </is>
      </c>
      <c r="F802" s="17" t="n">
        <v>5593.3</v>
      </c>
      <c r="G802" s="16" t="inlineStr">
        <is>
          <t>PRSMJOHNSN</t>
        </is>
      </c>
      <c r="H802" s="16" t="inlineStr">
        <is>
          <t>500338</t>
        </is>
      </c>
      <c r="I802" s="27">
        <f>IFERROR(IF(INDEX(Stocks!$G$2:$G$2139,MATCH(A802,Stocks!$E$2:$E$2139,0))="","No","Yes"),"No")</f>
        <v/>
      </c>
    </row>
    <row r="803">
      <c r="A803" s="16" t="inlineStr">
        <is>
          <t>INE910A01012</t>
        </is>
      </c>
      <c r="B803" s="16" t="inlineStr">
        <is>
          <t>NIRLON</t>
        </is>
      </c>
      <c r="C803" s="16" t="inlineStr">
        <is>
          <t>Nirlon Ltd.</t>
        </is>
      </c>
      <c r="D803" s="16" t="inlineStr">
        <is>
          <t>Realty</t>
        </is>
      </c>
      <c r="E803" s="16" t="inlineStr">
        <is>
          <t>Realty</t>
        </is>
      </c>
      <c r="F803" s="17" t="n">
        <v>5585.51</v>
      </c>
      <c r="G803" s="16" t="inlineStr"/>
      <c r="H803" s="16" t="inlineStr">
        <is>
          <t>500307</t>
        </is>
      </c>
      <c r="I803" s="27">
        <f>IFERROR(IF(INDEX(Stocks!$G$2:$G$2139,MATCH(A803,Stocks!$E$2:$E$2139,0))="","No","Yes"),"No")</f>
        <v/>
      </c>
    </row>
    <row r="804">
      <c r="A804" s="16" t="inlineStr">
        <is>
          <t>INE258B01022</t>
        </is>
      </c>
      <c r="B804" s="16" t="inlineStr">
        <is>
          <t>FDC</t>
        </is>
      </c>
      <c r="C804" s="16" t="inlineStr">
        <is>
          <t>FDC Ltd.</t>
        </is>
      </c>
      <c r="D804" s="16" t="inlineStr">
        <is>
          <t>Pharmaceuticals</t>
        </is>
      </c>
      <c r="E804" s="16" t="inlineStr">
        <is>
          <t>Pharmaceuticals &amp; Biotechnology</t>
        </is>
      </c>
      <c r="F804" s="17" t="n">
        <v>5581.13</v>
      </c>
      <c r="G804" s="16" t="inlineStr">
        <is>
          <t>FDC</t>
        </is>
      </c>
      <c r="H804" s="16" t="inlineStr">
        <is>
          <t>531599</t>
        </is>
      </c>
      <c r="I804" s="27">
        <f>IFERROR(IF(INDEX(Stocks!$G$2:$G$2139,MATCH(A804,Stocks!$E$2:$E$2139,0))="","No","Yes"),"No")</f>
        <v/>
      </c>
    </row>
    <row r="805">
      <c r="A805" s="16" t="inlineStr">
        <is>
          <t>INE879I01012</t>
        </is>
      </c>
      <c r="B805" s="16" t="inlineStr">
        <is>
          <t>DBREALTY</t>
        </is>
      </c>
      <c r="C805" s="16" t="inlineStr">
        <is>
          <t>Valor Estate Ltd.</t>
        </is>
      </c>
      <c r="D805" s="16" t="inlineStr">
        <is>
          <t>Realty</t>
        </is>
      </c>
      <c r="E805" s="16" t="inlineStr">
        <is>
          <t>Realty</t>
        </is>
      </c>
      <c r="F805" s="17" t="n">
        <v>5563.47</v>
      </c>
      <c r="G805" s="16" t="inlineStr">
        <is>
          <t>DBREALTY</t>
        </is>
      </c>
      <c r="H805" s="16" t="inlineStr">
        <is>
          <t>533160</t>
        </is>
      </c>
      <c r="I805" s="27">
        <f>IFERROR(IF(INDEX(Stocks!$G$2:$G$2139,MATCH(A805,Stocks!$E$2:$E$2139,0))="","No","Yes"),"No")</f>
        <v/>
      </c>
    </row>
    <row r="806">
      <c r="A806" s="16" t="inlineStr">
        <is>
          <t>INE320B01020</t>
        </is>
      </c>
      <c r="B806" s="16" t="inlineStr">
        <is>
          <t>CENTUM</t>
        </is>
      </c>
      <c r="C806" s="16" t="inlineStr">
        <is>
          <t>Centum Electronics Ltd.</t>
        </is>
      </c>
      <c r="D806" s="16" t="inlineStr">
        <is>
          <t>Electronic Components</t>
        </is>
      </c>
      <c r="E806" s="16" t="inlineStr">
        <is>
          <t>Commercial Services &amp; Supplies</t>
        </is>
      </c>
      <c r="F806" s="17" t="n">
        <v>5561.29</v>
      </c>
      <c r="G806" s="16" t="inlineStr">
        <is>
          <t>CENTUM</t>
        </is>
      </c>
      <c r="H806" s="16" t="inlineStr">
        <is>
          <t>517544</t>
        </is>
      </c>
      <c r="I806" s="27">
        <f>IFERROR(IF(INDEX(Stocks!$G$2:$G$2139,MATCH(A806,Stocks!$E$2:$E$2139,0))="","No","Yes"),"No")</f>
        <v/>
      </c>
    </row>
    <row r="807">
      <c r="A807" s="16" t="inlineStr">
        <is>
          <t>INE0I7C01011</t>
        </is>
      </c>
      <c r="B807" s="16" t="inlineStr">
        <is>
          <t>LATENTVIEW</t>
        </is>
      </c>
      <c r="C807" s="16" t="inlineStr">
        <is>
          <t>Latent View Analytics Ltd.</t>
        </is>
      </c>
      <c r="D807" s="16" t="inlineStr">
        <is>
          <t>Data Processing Services</t>
        </is>
      </c>
      <c r="E807" s="16" t="inlineStr">
        <is>
          <t>Software &amp; Services</t>
        </is>
      </c>
      <c r="F807" s="17" t="n">
        <v>5530.07</v>
      </c>
      <c r="G807" s="16" t="inlineStr">
        <is>
          <t>LATENTVIEW</t>
        </is>
      </c>
      <c r="H807" s="16" t="inlineStr">
        <is>
          <t>543398</t>
        </is>
      </c>
      <c r="I807" s="27">
        <f>IFERROR(IF(INDEX(Stocks!$G$2:$G$2139,MATCH(A807,Stocks!$E$2:$E$2139,0))="","No","Yes"),"No")</f>
        <v/>
      </c>
    </row>
    <row r="808">
      <c r="A808" s="16" t="inlineStr">
        <is>
          <t>INE353K01014</t>
        </is>
      </c>
      <c r="B808" s="16" t="inlineStr">
        <is>
          <t>ITDC</t>
        </is>
      </c>
      <c r="C808" s="16" t="inlineStr">
        <is>
          <t>India Tourism Development Corporation Ltd.</t>
        </is>
      </c>
      <c r="D808" s="16" t="inlineStr">
        <is>
          <t>Hotels</t>
        </is>
      </c>
      <c r="E808" s="16" t="inlineStr">
        <is>
          <t>Hotels Restaurants &amp; Tourism</t>
        </is>
      </c>
      <c r="F808" s="17" t="n">
        <v>5526.55</v>
      </c>
      <c r="G808" s="16" t="inlineStr">
        <is>
          <t>ITDC</t>
        </is>
      </c>
      <c r="H808" s="16" t="inlineStr">
        <is>
          <t>532189</t>
        </is>
      </c>
      <c r="I808" s="27">
        <f>IFERROR(IF(INDEX(Stocks!$G$2:$G$2139,MATCH(A808,Stocks!$E$2:$E$2139,0))="","No","Yes"),"No")</f>
        <v/>
      </c>
    </row>
    <row r="809">
      <c r="A809" s="16" t="inlineStr">
        <is>
          <t>INE694D01016</t>
        </is>
      </c>
      <c r="B809" s="16" t="inlineStr">
        <is>
          <t>VADILALIND</t>
        </is>
      </c>
      <c r="C809" s="16" t="inlineStr">
        <is>
          <t>Vadilal Industries Ltd.</t>
        </is>
      </c>
      <c r="D809" s="16" t="inlineStr">
        <is>
          <t>Packaged Foods</t>
        </is>
      </c>
      <c r="E809" s="16" t="inlineStr">
        <is>
          <t>FMCG</t>
        </is>
      </c>
      <c r="F809" s="17" t="n">
        <v>5502.26</v>
      </c>
      <c r="G809" s="16" t="inlineStr">
        <is>
          <t>VADILALIND</t>
        </is>
      </c>
      <c r="H809" s="16" t="inlineStr">
        <is>
          <t>519156</t>
        </is>
      </c>
      <c r="I809" s="27">
        <f>IFERROR(IF(INDEX(Stocks!$G$2:$G$2139,MATCH(A809,Stocks!$E$2:$E$2139,0))="","No","Yes"),"No")</f>
        <v/>
      </c>
    </row>
    <row r="810">
      <c r="A810" s="16" t="inlineStr">
        <is>
          <t>INE759A01021</t>
        </is>
      </c>
      <c r="B810" s="16" t="inlineStr">
        <is>
          <t>MASTEK</t>
        </is>
      </c>
      <c r="C810" s="16" t="inlineStr">
        <is>
          <t>Mastek Ltd.</t>
        </is>
      </c>
      <c r="D810" s="16" t="inlineStr">
        <is>
          <t>IT Consulting &amp; Software</t>
        </is>
      </c>
      <c r="E810" s="16" t="inlineStr">
        <is>
          <t>Software &amp; Services</t>
        </is>
      </c>
      <c r="F810" s="17" t="n">
        <v>5497.12</v>
      </c>
      <c r="G810" s="16" t="inlineStr">
        <is>
          <t>MASTEK</t>
        </is>
      </c>
      <c r="H810" s="16" t="inlineStr">
        <is>
          <t>523704</t>
        </is>
      </c>
      <c r="I810" s="27">
        <f>IFERROR(IF(INDEX(Stocks!$G$2:$G$2139,MATCH(A810,Stocks!$E$2:$E$2139,0))="","No","Yes"),"No")</f>
        <v/>
      </c>
    </row>
    <row r="811">
      <c r="A811" s="16" t="inlineStr">
        <is>
          <t>INE737H01014</t>
        </is>
      </c>
      <c r="B811" s="16" t="inlineStr">
        <is>
          <t>FIEMIND</t>
        </is>
      </c>
      <c r="C811" s="16" t="inlineStr">
        <is>
          <t>FIEM Industries Ltd.</t>
        </is>
      </c>
      <c r="D811" s="16" t="inlineStr">
        <is>
          <t>Auto Parts &amp; Equipment</t>
        </is>
      </c>
      <c r="E811" s="16" t="inlineStr">
        <is>
          <t>Automobiles &amp; Auto Components</t>
        </is>
      </c>
      <c r="F811" s="17" t="n">
        <v>5489.76</v>
      </c>
      <c r="G811" s="16" t="inlineStr">
        <is>
          <t>FIEMIND</t>
        </is>
      </c>
      <c r="H811" s="16" t="inlineStr">
        <is>
          <t>532768</t>
        </is>
      </c>
      <c r="I811" s="27">
        <f>IFERROR(IF(INDEX(Stocks!$G$2:$G$2139,MATCH(A811,Stocks!$E$2:$E$2139,0))="","No","Yes"),"No")</f>
        <v/>
      </c>
    </row>
    <row r="812">
      <c r="A812" s="16" t="inlineStr">
        <is>
          <t>INE483S01020</t>
        </is>
      </c>
      <c r="B812" s="16" t="inlineStr">
        <is>
          <t>CCAVENUE</t>
        </is>
      </c>
      <c r="C812" s="16" t="inlineStr">
        <is>
          <t>AvenuesAI Ltd.</t>
        </is>
      </c>
      <c r="D812" s="16" t="inlineStr">
        <is>
          <t>Internet Software &amp; Services</t>
        </is>
      </c>
      <c r="E812" s="16" t="inlineStr">
        <is>
          <t>Software &amp; Services</t>
        </is>
      </c>
      <c r="F812" s="17" t="n">
        <v>5482.95</v>
      </c>
      <c r="G812" s="16" t="inlineStr">
        <is>
          <t>CCAVENUE</t>
        </is>
      </c>
      <c r="H812" s="16" t="inlineStr">
        <is>
          <t>539807</t>
        </is>
      </c>
      <c r="I812" s="27">
        <f>IFERROR(IF(INDEX(Stocks!$G$2:$G$2139,MATCH(A812,Stocks!$E$2:$E$2139,0))="","No","Yes"),"No")</f>
        <v/>
      </c>
    </row>
    <row r="813">
      <c r="A813" s="16" t="inlineStr">
        <is>
          <t>INE12F801023</t>
        </is>
      </c>
      <c r="B813" s="16" t="inlineStr">
        <is>
          <t>KISSHT</t>
        </is>
      </c>
      <c r="C813" s="16" t="inlineStr">
        <is>
          <t>OnEMI Technology Solutions Ltd.</t>
        </is>
      </c>
      <c r="D813" s="16" t="inlineStr">
        <is>
          <t>Finance (including NBFCs)</t>
        </is>
      </c>
      <c r="E813" s="16" t="inlineStr">
        <is>
          <t>Banking and Finance</t>
        </is>
      </c>
      <c r="F813" s="17" t="n">
        <v>5482.94</v>
      </c>
      <c r="G813" s="16" t="inlineStr">
        <is>
          <t>KISSHT</t>
        </is>
      </c>
      <c r="H813" s="16" t="inlineStr">
        <is>
          <t>544754</t>
        </is>
      </c>
      <c r="I813" s="27">
        <f>IFERROR(IF(INDEX(Stocks!$G$2:$G$2139,MATCH(A813,Stocks!$E$2:$E$2139,0))="","No","Yes"),"No")</f>
        <v/>
      </c>
    </row>
    <row r="814">
      <c r="A814" s="16" t="inlineStr">
        <is>
          <t>INE323I01011</t>
        </is>
      </c>
      <c r="B814" s="16" t="inlineStr">
        <is>
          <t>PURVA</t>
        </is>
      </c>
      <c r="C814" s="16" t="inlineStr">
        <is>
          <t>Puravankara Ltd.</t>
        </is>
      </c>
      <c r="D814" s="16" t="inlineStr">
        <is>
          <t>Realty</t>
        </is>
      </c>
      <c r="E814" s="16" t="inlineStr">
        <is>
          <t>Realty</t>
        </is>
      </c>
      <c r="F814" s="17" t="n">
        <v>5471.52</v>
      </c>
      <c r="G814" s="16" t="inlineStr">
        <is>
          <t>PURVA</t>
        </is>
      </c>
      <c r="H814" s="16" t="inlineStr">
        <is>
          <t>532891</t>
        </is>
      </c>
      <c r="I814" s="27">
        <f>IFERROR(IF(INDEX(Stocks!$G$2:$G$2139,MATCH(A814,Stocks!$E$2:$E$2139,0))="","No","Yes"),"No")</f>
        <v/>
      </c>
    </row>
    <row r="815">
      <c r="A815" s="16" t="inlineStr">
        <is>
          <t>INE0J1F01024</t>
        </is>
      </c>
      <c r="B815" s="16" t="inlineStr">
        <is>
          <t>RPTECH</t>
        </is>
      </c>
      <c r="C815" s="16" t="inlineStr">
        <is>
          <t>Rashi Peripherals Ltd.</t>
        </is>
      </c>
      <c r="D815" s="16" t="inlineStr">
        <is>
          <t>Commodity Trading  &amp; Distribution</t>
        </is>
      </c>
      <c r="E815" s="16" t="inlineStr">
        <is>
          <t>Commercial Services &amp; Supplies</t>
        </is>
      </c>
      <c r="F815" s="17" t="n">
        <v>5469.51</v>
      </c>
      <c r="G815" s="16" t="inlineStr">
        <is>
          <t>RPTECH</t>
        </is>
      </c>
      <c r="H815" s="16" t="inlineStr">
        <is>
          <t>544119</t>
        </is>
      </c>
      <c r="I815" s="27">
        <f>IFERROR(IF(INDEX(Stocks!$G$2:$G$2139,MATCH(A815,Stocks!$E$2:$E$2139,0))="","No","Yes"),"No")</f>
        <v/>
      </c>
    </row>
    <row r="816">
      <c r="A816" s="16" t="inlineStr">
        <is>
          <t>INE279A01012</t>
        </is>
      </c>
      <c r="B816" s="16" t="inlineStr">
        <is>
          <t>UNIVCABLES</t>
        </is>
      </c>
      <c r="C816" s="16" t="inlineStr">
        <is>
          <t>Universal Cables Ltd.</t>
        </is>
      </c>
      <c r="D816" s="16" t="inlineStr">
        <is>
          <t>Wires &amp; Cables</t>
        </is>
      </c>
      <c r="E816" s="16" t="inlineStr">
        <is>
          <t>Consumer Durables</t>
        </is>
      </c>
      <c r="F816" s="17" t="n">
        <v>5469.04</v>
      </c>
      <c r="G816" s="16" t="inlineStr">
        <is>
          <t>UNIVCABLES</t>
        </is>
      </c>
      <c r="H816" s="16" t="inlineStr">
        <is>
          <t>504212</t>
        </is>
      </c>
      <c r="I816" s="27">
        <f>IFERROR(IF(INDEX(Stocks!$G$2:$G$2139,MATCH(A816,Stocks!$E$2:$E$2139,0))="","No","Yes"),"No")</f>
        <v/>
      </c>
    </row>
    <row r="817">
      <c r="A817" s="16" t="inlineStr">
        <is>
          <t>INE337A01034</t>
        </is>
      </c>
      <c r="B817" s="16" t="inlineStr">
        <is>
          <t>LGBBROSLTD</t>
        </is>
      </c>
      <c r="C817" s="16" t="inlineStr">
        <is>
          <t>LG Balakrishnan &amp; Bros Ltd.</t>
        </is>
      </c>
      <c r="D817" s="16" t="inlineStr">
        <is>
          <t>Auto Parts &amp; Equipment</t>
        </is>
      </c>
      <c r="E817" s="16" t="inlineStr">
        <is>
          <t>Automobiles &amp; Auto Components</t>
        </is>
      </c>
      <c r="F817" s="17" t="n">
        <v>5430.64</v>
      </c>
      <c r="G817" s="16" t="inlineStr">
        <is>
          <t>LGBBROSLTD</t>
        </is>
      </c>
      <c r="H817" s="16" t="inlineStr">
        <is>
          <t>500250</t>
        </is>
      </c>
      <c r="I817" s="27">
        <f>IFERROR(IF(INDEX(Stocks!$G$2:$G$2139,MATCH(A817,Stocks!$E$2:$E$2139,0))="","No","Yes"),"No")</f>
        <v/>
      </c>
    </row>
    <row r="818">
      <c r="A818" s="16" t="inlineStr">
        <is>
          <t>INE13B501022</t>
        </is>
      </c>
      <c r="B818" s="16" t="inlineStr">
        <is>
          <t>SAATVIKGL</t>
        </is>
      </c>
      <c r="C818" s="16" t="inlineStr">
        <is>
          <t>Saatvik Green Energy Ltd.</t>
        </is>
      </c>
      <c r="D818" s="16" t="inlineStr">
        <is>
          <t>Other Electrical Equipment/Products</t>
        </is>
      </c>
      <c r="E818" s="16" t="inlineStr">
        <is>
          <t>Consumer Durables</t>
        </is>
      </c>
      <c r="F818" s="17" t="n">
        <v>5394.34</v>
      </c>
      <c r="G818" s="16" t="inlineStr">
        <is>
          <t>SAATVIKGL</t>
        </is>
      </c>
      <c r="H818" s="16" t="inlineStr">
        <is>
          <t>544526</t>
        </is>
      </c>
      <c r="I818" s="27">
        <f>IFERROR(IF(INDEX(Stocks!$G$2:$G$2139,MATCH(A818,Stocks!$E$2:$E$2139,0))="","No","Yes"),"No")</f>
        <v/>
      </c>
    </row>
    <row r="819">
      <c r="A819" s="16" t="inlineStr">
        <is>
          <t>INE419U01012</t>
        </is>
      </c>
      <c r="B819" s="16" t="inlineStr">
        <is>
          <t>HAPPSTMNDS</t>
        </is>
      </c>
      <c r="C819" s="16" t="inlineStr">
        <is>
          <t>Happiest Minds Technologies Ltd.</t>
        </is>
      </c>
      <c r="D819" s="16" t="inlineStr">
        <is>
          <t>IT Consulting &amp; Software</t>
        </is>
      </c>
      <c r="E819" s="16" t="inlineStr">
        <is>
          <t>Software &amp; Services</t>
        </is>
      </c>
      <c r="F819" s="17" t="n">
        <v>5390.53</v>
      </c>
      <c r="G819" s="16" t="inlineStr">
        <is>
          <t>HAPPSTMNDS</t>
        </is>
      </c>
      <c r="H819" s="16" t="inlineStr">
        <is>
          <t>543227</t>
        </is>
      </c>
      <c r="I819" s="27">
        <f>IFERROR(IF(INDEX(Stocks!$G$2:$G$2139,MATCH(A819,Stocks!$E$2:$E$2139,0))="","No","Yes"),"No")</f>
        <v/>
      </c>
    </row>
    <row r="820">
      <c r="A820" s="16" t="inlineStr">
        <is>
          <t>INE942C01045</t>
        </is>
      </c>
      <c r="B820" s="16" t="inlineStr">
        <is>
          <t>GUJTHEM</t>
        </is>
      </c>
      <c r="C820" s="16" t="inlineStr">
        <is>
          <t>Gujarat Themis Biosyn Ltd.</t>
        </is>
      </c>
      <c r="D820" s="16" t="inlineStr">
        <is>
          <t>Pharmaceuticals</t>
        </is>
      </c>
      <c r="E820" s="16" t="inlineStr">
        <is>
          <t>Pharmaceuticals &amp; Biotechnology</t>
        </is>
      </c>
      <c r="F820" s="17" t="n">
        <v>5353.79</v>
      </c>
      <c r="G820" s="16" t="inlineStr">
        <is>
          <t>GUJTHEM</t>
        </is>
      </c>
      <c r="H820" s="16" t="inlineStr">
        <is>
          <t>506879</t>
        </is>
      </c>
      <c r="I820" s="27">
        <f>IFERROR(IF(INDEX(Stocks!$G$2:$G$2139,MATCH(A820,Stocks!$E$2:$E$2139,0))="","No","Yes"),"No")</f>
        <v/>
      </c>
    </row>
    <row r="821">
      <c r="A821" s="16" t="inlineStr">
        <is>
          <t>INE348L01012</t>
        </is>
      </c>
      <c r="B821" s="16" t="inlineStr">
        <is>
          <t>MASFIN</t>
        </is>
      </c>
      <c r="C821" s="16" t="inlineStr">
        <is>
          <t>Mas Financial Services Ltd.</t>
        </is>
      </c>
      <c r="D821" s="16" t="inlineStr">
        <is>
          <t>Finance (including NBFCs)</t>
        </is>
      </c>
      <c r="E821" s="16" t="inlineStr">
        <is>
          <t>Banking and Finance</t>
        </is>
      </c>
      <c r="F821" s="17" t="n">
        <v>5352.88</v>
      </c>
      <c r="G821" s="16" t="inlineStr">
        <is>
          <t>MASFIN</t>
        </is>
      </c>
      <c r="H821" s="16" t="inlineStr">
        <is>
          <t>540749</t>
        </is>
      </c>
      <c r="I821" s="27">
        <f>IFERROR(IF(INDEX(Stocks!$G$2:$G$2139,MATCH(A821,Stocks!$E$2:$E$2139,0))="","No","Yes"),"No")</f>
        <v/>
      </c>
    </row>
    <row r="822">
      <c r="A822" s="16" t="inlineStr">
        <is>
          <t>INE0BV301023</t>
        </is>
      </c>
      <c r="B822" s="16" t="inlineStr">
        <is>
          <t>MAPMYINDIA</t>
        </is>
      </c>
      <c r="C822" s="16" t="inlineStr">
        <is>
          <t>C.E. Info Systems Ltd.</t>
        </is>
      </c>
      <c r="D822" s="16" t="inlineStr">
        <is>
          <t>Internet Software &amp; Services</t>
        </is>
      </c>
      <c r="E822" s="16" t="inlineStr">
        <is>
          <t>Software &amp; Services</t>
        </is>
      </c>
      <c r="F822" s="17" t="n">
        <v>5320.04</v>
      </c>
      <c r="G822" s="16" t="inlineStr">
        <is>
          <t>MAPMYINDIA</t>
        </is>
      </c>
      <c r="H822" s="16" t="inlineStr">
        <is>
          <t>543425</t>
        </is>
      </c>
      <c r="I822" s="27">
        <f>IFERROR(IF(INDEX(Stocks!$G$2:$G$2139,MATCH(A822,Stocks!$E$2:$E$2139,0))="","No","Yes"),"No")</f>
        <v/>
      </c>
    </row>
    <row r="823">
      <c r="A823" s="16" t="inlineStr">
        <is>
          <t>INE186A01019</t>
        </is>
      </c>
      <c r="B823" s="16" t="inlineStr">
        <is>
          <t>GUJALKALI</t>
        </is>
      </c>
      <c r="C823" s="16" t="inlineStr">
        <is>
          <t>Gujarat Alkalies &amp; Chemicals Ltd.</t>
        </is>
      </c>
      <c r="D823" s="16" t="inlineStr">
        <is>
          <t>Commodity Chemicals</t>
        </is>
      </c>
      <c r="E823" s="16" t="inlineStr">
        <is>
          <t>Chemicals &amp; Petrochemicals</t>
        </is>
      </c>
      <c r="F823" s="17" t="n">
        <v>5299.21</v>
      </c>
      <c r="G823" s="16" t="inlineStr">
        <is>
          <t>GUJALKALI</t>
        </is>
      </c>
      <c r="H823" s="16" t="inlineStr">
        <is>
          <t>530001</t>
        </is>
      </c>
      <c r="I823" s="27">
        <f>IFERROR(IF(INDEX(Stocks!$G$2:$G$2139,MATCH(A823,Stocks!$E$2:$E$2139,0))="","No","Yes"),"No")</f>
        <v/>
      </c>
    </row>
    <row r="824">
      <c r="A824" s="16" t="inlineStr">
        <is>
          <t>INE615P01015</t>
        </is>
      </c>
      <c r="B824" s="16" t="inlineStr">
        <is>
          <t>QUESS</t>
        </is>
      </c>
      <c r="C824" s="16" t="inlineStr">
        <is>
          <t>Quess Corp Ltd.</t>
        </is>
      </c>
      <c r="D824" s="16" t="inlineStr">
        <is>
          <t>BPO/KPO</t>
        </is>
      </c>
      <c r="E824" s="16" t="inlineStr">
        <is>
          <t>Software &amp; Services</t>
        </is>
      </c>
      <c r="F824" s="17" t="n">
        <v>5298.54</v>
      </c>
      <c r="G824" s="16" t="inlineStr">
        <is>
          <t>QUESS</t>
        </is>
      </c>
      <c r="H824" s="16" t="inlineStr">
        <is>
          <t>539978</t>
        </is>
      </c>
      <c r="I824" s="27">
        <f>IFERROR(IF(INDEX(Stocks!$G$2:$G$2139,MATCH(A824,Stocks!$E$2:$E$2139,0))="","No","Yes"),"No")</f>
        <v/>
      </c>
    </row>
    <row r="825">
      <c r="A825" s="16" t="inlineStr">
        <is>
          <t>INE635Q01029</t>
        </is>
      </c>
      <c r="B825" s="16" t="inlineStr">
        <is>
          <t>GULFOILLUB</t>
        </is>
      </c>
      <c r="C825" s="16" t="inlineStr">
        <is>
          <t>Gulf Oil Lubricants India Ltd.</t>
        </is>
      </c>
      <c r="D825" s="16" t="inlineStr">
        <is>
          <t>Oil Marketing &amp; Distribution</t>
        </is>
      </c>
      <c r="E825" s="16" t="inlineStr">
        <is>
          <t>Oil &amp; Gas</t>
        </is>
      </c>
      <c r="F825" s="17" t="n">
        <v>5291.54</v>
      </c>
      <c r="G825" s="16" t="inlineStr">
        <is>
          <t>GULFOILLUB</t>
        </is>
      </c>
      <c r="H825" s="16" t="inlineStr">
        <is>
          <t>538567</t>
        </is>
      </c>
      <c r="I825" s="27">
        <f>IFERROR(IF(INDEX(Stocks!$G$2:$G$2139,MATCH(A825,Stocks!$E$2:$E$2139,0))="","No","Yes"),"No")</f>
        <v/>
      </c>
    </row>
    <row r="826">
      <c r="A826" s="16" t="inlineStr">
        <is>
          <t>INE559A01017</t>
        </is>
      </c>
      <c r="B826" s="16" t="inlineStr">
        <is>
          <t>IFBIND</t>
        </is>
      </c>
      <c r="C826" s="16" t="inlineStr">
        <is>
          <t>IFB Industries Ltd.</t>
        </is>
      </c>
      <c r="D826" s="16" t="inlineStr">
        <is>
          <t>Household Appliances</t>
        </is>
      </c>
      <c r="E826" s="16" t="inlineStr">
        <is>
          <t>Consumer Durables</t>
        </is>
      </c>
      <c r="F826" s="17" t="n">
        <v>5290.54</v>
      </c>
      <c r="G826" s="16" t="inlineStr">
        <is>
          <t>IFBIND</t>
        </is>
      </c>
      <c r="H826" s="16" t="inlineStr">
        <is>
          <t>505726</t>
        </is>
      </c>
      <c r="I826" s="27">
        <f>IFERROR(IF(INDEX(Stocks!$G$2:$G$2139,MATCH(A826,Stocks!$E$2:$E$2139,0))="","No","Yes"),"No")</f>
        <v/>
      </c>
    </row>
    <row r="827">
      <c r="A827" s="16" t="inlineStr">
        <is>
          <t>INE025R01021</t>
        </is>
      </c>
      <c r="B827" s="16" t="inlineStr">
        <is>
          <t>ARTEMISMED</t>
        </is>
      </c>
      <c r="C827" s="16" t="inlineStr">
        <is>
          <t>Artemis Medicare Services Ltd.</t>
        </is>
      </c>
      <c r="D827" s="16" t="inlineStr">
        <is>
          <t>Healthcare Facilities</t>
        </is>
      </c>
      <c r="E827" s="16" t="inlineStr">
        <is>
          <t>Healthcare</t>
        </is>
      </c>
      <c r="F827" s="17" t="n">
        <v>5268.43</v>
      </c>
      <c r="G827" s="16" t="inlineStr">
        <is>
          <t>ARTEMISMED</t>
        </is>
      </c>
      <c r="H827" s="16" t="inlineStr">
        <is>
          <t>542919</t>
        </is>
      </c>
      <c r="I827" s="27">
        <f>IFERROR(IF(INDEX(Stocks!$G$2:$G$2139,MATCH(A827,Stocks!$E$2:$E$2139,0))="","No","Yes"),"No")</f>
        <v/>
      </c>
    </row>
    <row r="828">
      <c r="A828" s="16" t="inlineStr">
        <is>
          <t>INE348A01023</t>
        </is>
      </c>
      <c r="B828" s="16" t="inlineStr">
        <is>
          <t>ASHAPURMIN</t>
        </is>
      </c>
      <c r="C828" s="16" t="inlineStr">
        <is>
          <t>Ashapura Minechem Ltd.</t>
        </is>
      </c>
      <c r="D828" s="16" t="inlineStr">
        <is>
          <t>Coal &amp; Mining</t>
        </is>
      </c>
      <c r="E828" s="16" t="inlineStr">
        <is>
          <t>Metals &amp; Mining</t>
        </is>
      </c>
      <c r="F828" s="17" t="n">
        <v>5263.49</v>
      </c>
      <c r="G828" s="16" t="inlineStr">
        <is>
          <t>ASHAPURMIN</t>
        </is>
      </c>
      <c r="H828" s="16" t="inlineStr">
        <is>
          <t>527001</t>
        </is>
      </c>
      <c r="I828" s="27">
        <f>IFERROR(IF(INDEX(Stocks!$G$2:$G$2139,MATCH(A828,Stocks!$E$2:$E$2139,0))="","No","Yes"),"No")</f>
        <v/>
      </c>
    </row>
    <row r="829">
      <c r="A829" s="16" t="inlineStr">
        <is>
          <t>INE071N01016</t>
        </is>
      </c>
      <c r="B829" s="16" t="inlineStr">
        <is>
          <t>EPIGRAL</t>
        </is>
      </c>
      <c r="C829" s="16" t="inlineStr">
        <is>
          <t>Epigral Ltd.</t>
        </is>
      </c>
      <c r="D829" s="16" t="inlineStr">
        <is>
          <t>Specialty Chemicals</t>
        </is>
      </c>
      <c r="E829" s="16" t="inlineStr">
        <is>
          <t>Chemicals &amp; Petrochemicals</t>
        </is>
      </c>
      <c r="F829" s="17" t="n">
        <v>5261.94</v>
      </c>
      <c r="G829" s="16" t="inlineStr">
        <is>
          <t>EPIGRAL</t>
        </is>
      </c>
      <c r="H829" s="16" t="inlineStr">
        <is>
          <t>543332</t>
        </is>
      </c>
      <c r="I829" s="27">
        <f>IFERROR(IF(INDEX(Stocks!$G$2:$G$2139,MATCH(A829,Stocks!$E$2:$E$2139,0))="","No","Yes"),"No")</f>
        <v/>
      </c>
    </row>
    <row r="830">
      <c r="A830" s="16" t="inlineStr">
        <is>
          <t>INE332A01027</t>
        </is>
      </c>
      <c r="B830" s="16" t="inlineStr">
        <is>
          <t>THOMASCOOK</t>
        </is>
      </c>
      <c r="C830" s="16" t="inlineStr">
        <is>
          <t>Thomas Cook (India) Ltd.</t>
        </is>
      </c>
      <c r="D830" s="16" t="inlineStr">
        <is>
          <t>Travel Support Services</t>
        </is>
      </c>
      <c r="E830" s="16" t="inlineStr">
        <is>
          <t>Diversified Consumer Services</t>
        </is>
      </c>
      <c r="F830" s="17" t="n">
        <v>5252.35</v>
      </c>
      <c r="G830" s="16" t="inlineStr">
        <is>
          <t>THOMASCOOK</t>
        </is>
      </c>
      <c r="H830" s="16" t="inlineStr">
        <is>
          <t>500413</t>
        </is>
      </c>
      <c r="I830" s="27">
        <f>IFERROR(IF(INDEX(Stocks!$G$2:$G$2139,MATCH(A830,Stocks!$E$2:$E$2139,0))="","No","Yes"),"No")</f>
        <v/>
      </c>
    </row>
    <row r="831">
      <c r="A831" s="16" t="inlineStr">
        <is>
          <t>INE752H01013</t>
        </is>
      </c>
      <c r="B831" s="16" t="inlineStr">
        <is>
          <t>CARERATING</t>
        </is>
      </c>
      <c r="C831" s="16" t="inlineStr">
        <is>
          <t>CARE Ratings Ltd.</t>
        </is>
      </c>
      <c r="D831" s="16" t="inlineStr">
        <is>
          <t>Other Financial Services</t>
        </is>
      </c>
      <c r="E831" s="16" t="inlineStr">
        <is>
          <t>Banking and Finance</t>
        </is>
      </c>
      <c r="F831" s="17" t="n">
        <v>5235.18</v>
      </c>
      <c r="G831" s="16" t="inlineStr">
        <is>
          <t>CARERATING</t>
        </is>
      </c>
      <c r="H831" s="16" t="inlineStr">
        <is>
          <t>534804</t>
        </is>
      </c>
      <c r="I831" s="27">
        <f>IFERROR(IF(INDEX(Stocks!$G$2:$G$2139,MATCH(A831,Stocks!$E$2:$E$2139,0))="","No","Yes"),"No")</f>
        <v/>
      </c>
    </row>
    <row r="832">
      <c r="A832" s="16" t="inlineStr">
        <is>
          <t>INE207E01023</t>
        </is>
      </c>
      <c r="B832" s="16" t="inlineStr">
        <is>
          <t>RAMRAT</t>
        </is>
      </c>
      <c r="C832" s="16" t="inlineStr">
        <is>
          <t>Ram Ratna Wires Ltd.</t>
        </is>
      </c>
      <c r="D832" s="16" t="inlineStr">
        <is>
          <t>Other Electrical Equipment/Products</t>
        </is>
      </c>
      <c r="E832" s="16" t="inlineStr">
        <is>
          <t>Consumer Durables</t>
        </is>
      </c>
      <c r="F832" s="17" t="n">
        <v>5233.62</v>
      </c>
      <c r="G832" s="16" t="inlineStr">
        <is>
          <t>RAMRAT</t>
        </is>
      </c>
      <c r="H832" s="16" t="inlineStr">
        <is>
          <t>522281</t>
        </is>
      </c>
      <c r="I832" s="27">
        <f>IFERROR(IF(INDEX(Stocks!$G$2:$G$2139,MATCH(A832,Stocks!$E$2:$E$2139,0))="","No","Yes"),"No")</f>
        <v/>
      </c>
    </row>
    <row r="833">
      <c r="A833" s="16" t="inlineStr">
        <is>
          <t>INE306A01021</t>
        </is>
      </c>
      <c r="B833" s="16" t="inlineStr">
        <is>
          <t>BAJAJHIND</t>
        </is>
      </c>
      <c r="C833" s="16" t="inlineStr">
        <is>
          <t>Bajaj Hindusthan Sugar Ltd.</t>
        </is>
      </c>
      <c r="D833" s="16" t="inlineStr">
        <is>
          <t>Sugar</t>
        </is>
      </c>
      <c r="E833" s="16" t="inlineStr">
        <is>
          <t>Food, Beverages &amp; Tobacco</t>
        </is>
      </c>
      <c r="F833" s="17" t="n">
        <v>5226</v>
      </c>
      <c r="G833" s="16" t="inlineStr">
        <is>
          <t>BAJAJHIND</t>
        </is>
      </c>
      <c r="H833" s="16" t="inlineStr">
        <is>
          <t>500032</t>
        </is>
      </c>
      <c r="I833" s="27">
        <f>IFERROR(IF(INDEX(Stocks!$G$2:$G$2139,MATCH(A833,Stocks!$E$2:$E$2139,0))="","No","Yes"),"No")</f>
        <v/>
      </c>
    </row>
    <row r="834">
      <c r="A834" s="16" t="inlineStr">
        <is>
          <t>INE366I01010</t>
        </is>
      </c>
      <c r="B834" s="16" t="inlineStr">
        <is>
          <t>VRLLOG</t>
        </is>
      </c>
      <c r="C834" s="16" t="inlineStr">
        <is>
          <t>VRL Logistics Ltd.</t>
        </is>
      </c>
      <c r="D834" s="16" t="inlineStr">
        <is>
          <t>Warehousing &amp; Logistics</t>
        </is>
      </c>
      <c r="E834" s="16" t="inlineStr">
        <is>
          <t>Transportation</t>
        </is>
      </c>
      <c r="F834" s="17" t="n">
        <v>5207.87</v>
      </c>
      <c r="G834" s="16" t="inlineStr">
        <is>
          <t>VRLLOG</t>
        </is>
      </c>
      <c r="H834" s="16" t="inlineStr">
        <is>
          <t>539118</t>
        </is>
      </c>
      <c r="I834" s="27">
        <f>IFERROR(IF(INDEX(Stocks!$G$2:$G$2139,MATCH(A834,Stocks!$E$2:$E$2139,0))="","No","Yes"),"No")</f>
        <v/>
      </c>
    </row>
    <row r="835">
      <c r="A835" s="16" t="inlineStr">
        <is>
          <t>INE025B01025</t>
        </is>
      </c>
      <c r="B835" s="16" t="inlineStr">
        <is>
          <t>GOLDIAM</t>
        </is>
      </c>
      <c r="C835" s="16" t="inlineStr">
        <is>
          <t>Goldiam International Ltd.</t>
        </is>
      </c>
      <c r="D835" s="16" t="inlineStr">
        <is>
          <t>Gems &amp; Jewellery</t>
        </is>
      </c>
      <c r="E835" s="16" t="inlineStr">
        <is>
          <t>Textiles Apparels &amp; Accessories</t>
        </is>
      </c>
      <c r="F835" s="17" t="n">
        <v>5198.74</v>
      </c>
      <c r="G835" s="16" t="inlineStr">
        <is>
          <t>GOLDIAM</t>
        </is>
      </c>
      <c r="H835" s="16" t="inlineStr">
        <is>
          <t>526729</t>
        </is>
      </c>
      <c r="I835" s="27">
        <f>IFERROR(IF(INDEX(Stocks!$G$2:$G$2139,MATCH(A835,Stocks!$E$2:$E$2139,0))="","No","Yes"),"No")</f>
        <v/>
      </c>
    </row>
    <row r="836">
      <c r="A836" s="16" t="inlineStr">
        <is>
          <t>INE086A01029</t>
        </is>
      </c>
      <c r="B836" s="16" t="inlineStr">
        <is>
          <t>ELECTCAST</t>
        </is>
      </c>
      <c r="C836" s="16" t="inlineStr">
        <is>
          <t>Electrosteel Castings Ltd.</t>
        </is>
      </c>
      <c r="D836" s="16" t="inlineStr">
        <is>
          <t>Iron &amp; Steel/Interm.Products</t>
        </is>
      </c>
      <c r="E836" s="16" t="inlineStr">
        <is>
          <t>Metals &amp; Mining</t>
        </is>
      </c>
      <c r="F836" s="17" t="n">
        <v>5174.82</v>
      </c>
      <c r="G836" s="16" t="inlineStr">
        <is>
          <t>ELECTCAST</t>
        </is>
      </c>
      <c r="H836" s="16" t="inlineStr">
        <is>
          <t>500128</t>
        </is>
      </c>
      <c r="I836" s="27">
        <f>IFERROR(IF(INDEX(Stocks!$G$2:$G$2139,MATCH(A836,Stocks!$E$2:$E$2139,0))="","No","Yes"),"No")</f>
        <v/>
      </c>
    </row>
    <row r="837">
      <c r="A837" s="16" t="inlineStr">
        <is>
          <t>INE255X01014</t>
        </is>
      </c>
      <c r="B837" s="16" t="inlineStr">
        <is>
          <t>MSTCLTD</t>
        </is>
      </c>
      <c r="C837" s="16" t="inlineStr">
        <is>
          <t>MSTC Ltd.</t>
        </is>
      </c>
      <c r="D837" s="16" t="inlineStr">
        <is>
          <t>Commodity Trading  &amp; Distribution</t>
        </is>
      </c>
      <c r="E837" s="16" t="inlineStr">
        <is>
          <t>Commercial Services &amp; Supplies</t>
        </is>
      </c>
      <c r="F837" s="17" t="n">
        <v>5168.77</v>
      </c>
      <c r="G837" s="16" t="inlineStr">
        <is>
          <t>MSTCLTD</t>
        </is>
      </c>
      <c r="H837" s="16" t="inlineStr">
        <is>
          <t>542597</t>
        </is>
      </c>
      <c r="I837" s="27">
        <f>IFERROR(IF(INDEX(Stocks!$G$2:$G$2139,MATCH(A837,Stocks!$E$2:$E$2139,0))="","No","Yes"),"No")</f>
        <v/>
      </c>
    </row>
    <row r="838">
      <c r="A838" s="16" t="inlineStr">
        <is>
          <t>INE541A01023</t>
        </is>
      </c>
      <c r="B838" s="16" t="inlineStr">
        <is>
          <t>GMMPFAUDLR</t>
        </is>
      </c>
      <c r="C838" s="16" t="inlineStr">
        <is>
          <t>GMM Pfaudler Ltd.</t>
        </is>
      </c>
      <c r="D838" s="16" t="inlineStr">
        <is>
          <t>Industrial Machinery</t>
        </is>
      </c>
      <c r="E838" s="16" t="inlineStr">
        <is>
          <t>General Industrials</t>
        </is>
      </c>
      <c r="F838" s="17" t="n">
        <v>5160.64</v>
      </c>
      <c r="G838" s="16" t="inlineStr">
        <is>
          <t>GMMPFAUDLR</t>
        </is>
      </c>
      <c r="H838" s="16" t="inlineStr">
        <is>
          <t>505255</t>
        </is>
      </c>
      <c r="I838" s="27">
        <f>IFERROR(IF(INDEX(Stocks!$G$2:$G$2139,MATCH(A838,Stocks!$E$2:$E$2139,0))="","No","Yes"),"No")</f>
        <v/>
      </c>
    </row>
    <row r="839">
      <c r="A839" s="16" t="inlineStr">
        <is>
          <t>INE490G01020</t>
        </is>
      </c>
      <c r="B839" s="16" t="inlineStr">
        <is>
          <t>MOIL</t>
        </is>
      </c>
      <c r="C839" s="16" t="inlineStr">
        <is>
          <t>MOIL Ltd.</t>
        </is>
      </c>
      <c r="D839" s="16" t="inlineStr">
        <is>
          <t>Coal &amp; Mining</t>
        </is>
      </c>
      <c r="E839" s="16" t="inlineStr">
        <is>
          <t>Metals &amp; Mining</t>
        </is>
      </c>
      <c r="F839" s="17" t="n">
        <v>5133.93</v>
      </c>
      <c r="G839" s="16" t="inlineStr">
        <is>
          <t>MOIL</t>
        </is>
      </c>
      <c r="H839" s="16" t="inlineStr">
        <is>
          <t>533286</t>
        </is>
      </c>
      <c r="I839" s="27">
        <f>IFERROR(IF(INDEX(Stocks!$G$2:$G$2139,MATCH(A839,Stocks!$E$2:$E$2139,0))="","No","Yes"),"No")</f>
        <v/>
      </c>
    </row>
    <row r="840">
      <c r="A840" s="16" t="inlineStr">
        <is>
          <t>INE350C01017</t>
        </is>
      </c>
      <c r="B840" s="16" t="inlineStr">
        <is>
          <t>OPTIEMUS</t>
        </is>
      </c>
      <c r="C840" s="16" t="inlineStr">
        <is>
          <t>Optiemus Infracom Ltd.</t>
        </is>
      </c>
      <c r="D840" s="16" t="inlineStr">
        <is>
          <t>Telecom Equipment</t>
        </is>
      </c>
      <c r="E840" s="16" t="inlineStr">
        <is>
          <t>Telecommunications Equipment</t>
        </is>
      </c>
      <c r="F840" s="17" t="n">
        <v>5133.17</v>
      </c>
      <c r="G840" s="16" t="inlineStr">
        <is>
          <t>OPTIEMUS</t>
        </is>
      </c>
      <c r="H840" s="16" t="inlineStr">
        <is>
          <t>530135</t>
        </is>
      </c>
      <c r="I840" s="27">
        <f>IFERROR(IF(INDEX(Stocks!$G$2:$G$2139,MATCH(A840,Stocks!$E$2:$E$2139,0))="","No","Yes"),"No")</f>
        <v/>
      </c>
    </row>
    <row r="841">
      <c r="A841" s="16" t="inlineStr">
        <is>
          <t>INE087H01022</t>
        </is>
      </c>
      <c r="B841" s="16" t="inlineStr">
        <is>
          <t>RENUKA</t>
        </is>
      </c>
      <c r="C841" s="16" t="inlineStr">
        <is>
          <t>Shree Renuka Sugars Ltd.</t>
        </is>
      </c>
      <c r="D841" s="16" t="inlineStr">
        <is>
          <t>Sugar</t>
        </is>
      </c>
      <c r="E841" s="16" t="inlineStr">
        <is>
          <t>Food, Beverages &amp; Tobacco</t>
        </is>
      </c>
      <c r="F841" s="17" t="n">
        <v>5116.89</v>
      </c>
      <c r="G841" s="16" t="inlineStr">
        <is>
          <t>RENUKA</t>
        </is>
      </c>
      <c r="H841" s="16" t="inlineStr">
        <is>
          <t>532670</t>
        </is>
      </c>
      <c r="I841" s="27">
        <f>IFERROR(IF(INDEX(Stocks!$G$2:$G$2139,MATCH(A841,Stocks!$E$2:$E$2139,0))="","No","Yes"),"No")</f>
        <v/>
      </c>
    </row>
    <row r="842">
      <c r="A842" s="16" t="inlineStr">
        <is>
          <t>INE035D01020</t>
        </is>
      </c>
      <c r="B842" s="16" t="inlineStr">
        <is>
          <t>SOTL</t>
        </is>
      </c>
      <c r="C842" s="16" t="inlineStr">
        <is>
          <t>Savita Oil Technologies Ltd.</t>
        </is>
      </c>
      <c r="D842" s="16" t="inlineStr">
        <is>
          <t>Refineries/Petro-Products</t>
        </is>
      </c>
      <c r="E842" s="16" t="inlineStr">
        <is>
          <t>Oil &amp; Gas</t>
        </is>
      </c>
      <c r="F842" s="17" t="n">
        <v>5078.61</v>
      </c>
      <c r="G842" s="16" t="inlineStr">
        <is>
          <t>SOTL</t>
        </is>
      </c>
      <c r="H842" s="16" t="inlineStr">
        <is>
          <t>524667</t>
        </is>
      </c>
      <c r="I842" s="27">
        <f>IFERROR(IF(INDEX(Stocks!$G$2:$G$2139,MATCH(A842,Stocks!$E$2:$E$2139,0))="","No","Yes"),"No")</f>
        <v/>
      </c>
    </row>
    <row r="843">
      <c r="A843" s="16" t="inlineStr">
        <is>
          <t>INE111Q01021</t>
        </is>
      </c>
      <c r="B843" s="16" t="inlineStr">
        <is>
          <t>PDSL</t>
        </is>
      </c>
      <c r="C843" s="16" t="inlineStr">
        <is>
          <t>PDS Ltd.</t>
        </is>
      </c>
      <c r="D843" s="16" t="inlineStr">
        <is>
          <t>Textiles</t>
        </is>
      </c>
      <c r="E843" s="16" t="inlineStr">
        <is>
          <t>Textiles Apparels &amp; Accessories</t>
        </is>
      </c>
      <c r="F843" s="17" t="n">
        <v>5071.36</v>
      </c>
      <c r="G843" s="16" t="inlineStr">
        <is>
          <t>PDSL</t>
        </is>
      </c>
      <c r="H843" s="16" t="inlineStr">
        <is>
          <t>538730</t>
        </is>
      </c>
      <c r="I843" s="27">
        <f>IFERROR(IF(INDEX(Stocks!$G$2:$G$2139,MATCH(A843,Stocks!$E$2:$E$2139,0))="","No","Yes"),"No")</f>
        <v/>
      </c>
    </row>
    <row r="844">
      <c r="A844" s="16" t="inlineStr">
        <is>
          <t>INE597I01028</t>
        </is>
      </c>
      <c r="B844" s="16" t="inlineStr">
        <is>
          <t>SHARDAMOTR</t>
        </is>
      </c>
      <c r="C844" s="16" t="inlineStr">
        <is>
          <t>Sharda Motor Industries Ltd.</t>
        </is>
      </c>
      <c r="D844" s="16" t="inlineStr">
        <is>
          <t>Auto Parts &amp; Equipment</t>
        </is>
      </c>
      <c r="E844" s="16" t="inlineStr">
        <is>
          <t>Automobiles &amp; Auto Components</t>
        </is>
      </c>
      <c r="F844" s="17" t="n">
        <v>5063.07</v>
      </c>
      <c r="G844" s="16" t="inlineStr">
        <is>
          <t>SHARDAMOTR</t>
        </is>
      </c>
      <c r="H844" s="16" t="inlineStr">
        <is>
          <t>535602</t>
        </is>
      </c>
      <c r="I844" s="27">
        <f>IFERROR(IF(INDEX(Stocks!$G$2:$G$2139,MATCH(A844,Stocks!$E$2:$E$2139,0))="","No","Yes"),"No")</f>
        <v/>
      </c>
    </row>
    <row r="845">
      <c r="A845" s="16" t="inlineStr">
        <is>
          <t>INE949H01023</t>
        </is>
      </c>
      <c r="B845" s="16" t="inlineStr">
        <is>
          <t>MANINFRA</t>
        </is>
      </c>
      <c r="C845" s="16" t="inlineStr">
        <is>
          <t>Man Infraconstruction Ltd.</t>
        </is>
      </c>
      <c r="D845" s="16" t="inlineStr">
        <is>
          <t>Construction &amp; Engineering</t>
        </is>
      </c>
      <c r="E845" s="16" t="inlineStr">
        <is>
          <t>Cement and Construction</t>
        </is>
      </c>
      <c r="F845" s="17" t="n">
        <v>5037.76</v>
      </c>
      <c r="G845" s="16" t="inlineStr">
        <is>
          <t>MANINFRA</t>
        </is>
      </c>
      <c r="H845" s="16" t="inlineStr">
        <is>
          <t>533169</t>
        </is>
      </c>
      <c r="I845" s="27">
        <f>IFERROR(IF(INDEX(Stocks!$G$2:$G$2139,MATCH(A845,Stocks!$E$2:$E$2139,0))="","No","Yes"),"No")</f>
        <v/>
      </c>
    </row>
    <row r="846">
      <c r="A846" s="16" t="inlineStr">
        <is>
          <t>INE0FHS01024</t>
        </is>
      </c>
      <c r="B846" s="16" t="inlineStr">
        <is>
          <t>DEEPINDS</t>
        </is>
      </c>
      <c r="C846" s="16" t="inlineStr">
        <is>
          <t>Deep Industries Ltd.</t>
        </is>
      </c>
      <c r="D846" s="16" t="inlineStr">
        <is>
          <t>Oil Equipment &amp; Services</t>
        </is>
      </c>
      <c r="E846" s="16" t="inlineStr">
        <is>
          <t>Oil &amp; Gas</t>
        </is>
      </c>
      <c r="F846" s="17" t="n">
        <v>5033.28</v>
      </c>
      <c r="G846" s="16" t="inlineStr">
        <is>
          <t>DEEPINDS</t>
        </is>
      </c>
      <c r="H846" s="16" t="inlineStr">
        <is>
          <t>543288</t>
        </is>
      </c>
      <c r="I846" s="27">
        <f>IFERROR(IF(INDEX(Stocks!$G$2:$G$2139,MATCH(A846,Stocks!$E$2:$E$2139,0))="","No","Yes"),"No")</f>
        <v/>
      </c>
    </row>
    <row r="847">
      <c r="A847" s="16" t="inlineStr">
        <is>
          <t>INE0E7301029</t>
        </is>
      </c>
      <c r="B847" s="16" t="inlineStr">
        <is>
          <t>WAKEFIT</t>
        </is>
      </c>
      <c r="C847" s="16" t="inlineStr">
        <is>
          <t>Wakefit Innovations Ltd.</t>
        </is>
      </c>
      <c r="D847" s="16" t="inlineStr">
        <is>
          <t>Furniture-Furnishing</t>
        </is>
      </c>
      <c r="E847" s="16" t="inlineStr">
        <is>
          <t>Diversified Consumer Services</t>
        </is>
      </c>
      <c r="F847" s="17" t="n">
        <v>5026.08</v>
      </c>
      <c r="G847" s="16" t="inlineStr">
        <is>
          <t>WAKEFIT</t>
        </is>
      </c>
      <c r="H847" s="16" t="inlineStr">
        <is>
          <t>544642</t>
        </is>
      </c>
      <c r="I847" s="27">
        <f>IFERROR(IF(INDEX(Stocks!$G$2:$G$2139,MATCH(A847,Stocks!$E$2:$E$2139,0))="","No","Yes"),"No")</f>
        <v/>
      </c>
    </row>
    <row r="848">
      <c r="A848" s="16" t="inlineStr">
        <is>
          <t>INE218I01013</t>
        </is>
      </c>
      <c r="B848" s="16" t="inlineStr">
        <is>
          <t>CRAMC</t>
        </is>
      </c>
      <c r="C848" s="16" t="inlineStr">
        <is>
          <t>Canara Robeco Asset Management Company Ltd.</t>
        </is>
      </c>
      <c r="D848" s="16" t="inlineStr">
        <is>
          <t>Asset Management Cos.</t>
        </is>
      </c>
      <c r="E848" s="16" t="inlineStr">
        <is>
          <t>Banking and Finance</t>
        </is>
      </c>
      <c r="F848" s="17" t="n">
        <v>5015.35</v>
      </c>
      <c r="G848" s="16" t="inlineStr">
        <is>
          <t>CRAMC</t>
        </is>
      </c>
      <c r="H848" s="16" t="inlineStr">
        <is>
          <t>544580</t>
        </is>
      </c>
      <c r="I848" s="27">
        <f>IFERROR(IF(INDEX(Stocks!$G$2:$G$2139,MATCH(A848,Stocks!$E$2:$E$2139,0))="","No","Yes"),"No")</f>
        <v/>
      </c>
    </row>
    <row r="849">
      <c r="A849" s="16" t="inlineStr">
        <is>
          <t>INE00WV01027</t>
        </is>
      </c>
      <c r="B849" s="16" t="inlineStr">
        <is>
          <t>CMRGREEN</t>
        </is>
      </c>
      <c r="C849" s="16" t="inlineStr">
        <is>
          <t>CMR Green Technologies Ltd.</t>
        </is>
      </c>
      <c r="D849" s="16" t="inlineStr">
        <is>
          <t>Aluminium and Aluminium Products</t>
        </is>
      </c>
      <c r="E849" s="16" t="inlineStr">
        <is>
          <t>Metals &amp; Mining</t>
        </is>
      </c>
      <c r="F849" s="17" t="n">
        <v>5001.91</v>
      </c>
      <c r="G849" s="16" t="inlineStr">
        <is>
          <t>CMRGREEN</t>
        </is>
      </c>
      <c r="H849" s="16" t="inlineStr">
        <is>
          <t>544777</t>
        </is>
      </c>
      <c r="I849" s="27">
        <f>IFERROR(IF(INDEX(Stocks!$G$2:$G$2139,MATCH(A849,Stocks!$E$2:$E$2139,0))="","No","Yes"),"No")</f>
        <v/>
      </c>
    </row>
    <row r="850">
      <c r="A850" s="16" t="inlineStr">
        <is>
          <t>INE616Z01012</t>
        </is>
      </c>
      <c r="B850" s="16" t="inlineStr">
        <is>
          <t>YASHO</t>
        </is>
      </c>
      <c r="C850" s="16" t="inlineStr">
        <is>
          <t>Yasho Industries Ltd.</t>
        </is>
      </c>
      <c r="D850" s="16" t="inlineStr">
        <is>
          <t>Specialty Chemicals</t>
        </is>
      </c>
      <c r="E850" s="16" t="inlineStr">
        <is>
          <t>Chemicals &amp; Petrochemicals</t>
        </is>
      </c>
      <c r="F850" s="17" t="n">
        <v>4984.53</v>
      </c>
      <c r="G850" s="16" t="inlineStr">
        <is>
          <t>YASHO</t>
        </is>
      </c>
      <c r="H850" s="16" t="inlineStr">
        <is>
          <t>541167</t>
        </is>
      </c>
      <c r="I850" s="27">
        <f>IFERROR(IF(INDEX(Stocks!$G$2:$G$2139,MATCH(A850,Stocks!$E$2:$E$2139,0))="","No","Yes"),"No")</f>
        <v/>
      </c>
    </row>
    <row r="851">
      <c r="A851" s="16" t="inlineStr">
        <is>
          <t>INE841L01016</t>
        </is>
      </c>
      <c r="B851" s="16" t="inlineStr">
        <is>
          <t>DEEDEV</t>
        </is>
      </c>
      <c r="C851" s="16" t="inlineStr">
        <is>
          <t>DEE Development Engineers Ltd.</t>
        </is>
      </c>
      <c r="D851" s="16" t="inlineStr">
        <is>
          <t>Construction &amp; Engineering</t>
        </is>
      </c>
      <c r="E851" s="16" t="inlineStr">
        <is>
          <t>Cement and Construction</t>
        </is>
      </c>
      <c r="F851" s="17" t="n">
        <v>4952.63</v>
      </c>
      <c r="G851" s="16" t="inlineStr">
        <is>
          <t>DEEDEV</t>
        </is>
      </c>
      <c r="H851" s="16" t="inlineStr">
        <is>
          <t>544198</t>
        </is>
      </c>
      <c r="I851" s="27">
        <f>IFERROR(IF(INDEX(Stocks!$G$2:$G$2139,MATCH(A851,Stocks!$E$2:$E$2139,0))="","No","Yes"),"No")</f>
        <v/>
      </c>
    </row>
    <row r="852">
      <c r="A852" s="16" t="inlineStr">
        <is>
          <t>INE782A01015</t>
        </is>
      </c>
      <c r="B852" s="16" t="inlineStr">
        <is>
          <t>BOSCH-HCIL</t>
        </is>
      </c>
      <c r="C852" s="16" t="inlineStr">
        <is>
          <t>Bosch Home Comfort India Ltd.</t>
        </is>
      </c>
      <c r="D852" s="16" t="inlineStr">
        <is>
          <t>Consumer Electronics</t>
        </is>
      </c>
      <c r="E852" s="16" t="inlineStr">
        <is>
          <t>Consumer Durables</t>
        </is>
      </c>
      <c r="F852" s="17" t="n">
        <v>4945.48</v>
      </c>
      <c r="G852" s="16" t="inlineStr">
        <is>
          <t>BOSCH-HCIL</t>
        </is>
      </c>
      <c r="H852" s="16" t="inlineStr">
        <is>
          <t>523398</t>
        </is>
      </c>
      <c r="I852" s="27">
        <f>IFERROR(IF(INDEX(Stocks!$G$2:$G$2139,MATCH(A852,Stocks!$E$2:$E$2139,0))="","No","Yes"),"No")</f>
        <v/>
      </c>
    </row>
    <row r="853">
      <c r="A853" s="16" t="inlineStr">
        <is>
          <t>INE301A01014</t>
        </is>
      </c>
      <c r="B853" s="16" t="inlineStr">
        <is>
          <t>RAYMOND</t>
        </is>
      </c>
      <c r="C853" s="16" t="inlineStr">
        <is>
          <t>Raymond Ltd.</t>
        </is>
      </c>
      <c r="D853" s="16" t="inlineStr">
        <is>
          <t>Industrial Machinery</t>
        </is>
      </c>
      <c r="E853" s="16" t="inlineStr">
        <is>
          <t>General Industrials</t>
        </is>
      </c>
      <c r="F853" s="17" t="n">
        <v>4932.11</v>
      </c>
      <c r="G853" s="16" t="inlineStr">
        <is>
          <t>RAYMOND</t>
        </is>
      </c>
      <c r="H853" s="16" t="inlineStr">
        <is>
          <t>500330</t>
        </is>
      </c>
      <c r="I853" s="27">
        <f>IFERROR(IF(INDEX(Stocks!$G$2:$G$2139,MATCH(A853,Stocks!$E$2:$E$2139,0))="","No","Yes"),"No")</f>
        <v/>
      </c>
    </row>
    <row r="854">
      <c r="A854" s="16" t="inlineStr">
        <is>
          <t>INE0B9K01025</t>
        </is>
      </c>
      <c r="B854" s="16" t="inlineStr">
        <is>
          <t>BANSALWIRE</t>
        </is>
      </c>
      <c r="C854" s="16" t="inlineStr">
        <is>
          <t>Bansal Wire Industries Ltd.</t>
        </is>
      </c>
      <c r="D854" s="16" t="inlineStr">
        <is>
          <t>Iron &amp; Steel Products</t>
        </is>
      </c>
      <c r="E854" s="16" t="inlineStr">
        <is>
          <t>Metals &amp; Mining</t>
        </is>
      </c>
      <c r="F854" s="17" t="n">
        <v>4931.51</v>
      </c>
      <c r="G854" s="16" t="inlineStr">
        <is>
          <t>BANSALWIRE</t>
        </is>
      </c>
      <c r="H854" s="16" t="inlineStr">
        <is>
          <t>544209</t>
        </is>
      </c>
      <c r="I854" s="27">
        <f>IFERROR(IF(INDEX(Stocks!$G$2:$G$2139,MATCH(A854,Stocks!$E$2:$E$2139,0))="","No","Yes"),"No")</f>
        <v/>
      </c>
    </row>
    <row r="855">
      <c r="A855" s="16" t="inlineStr">
        <is>
          <t>INE519N01014</t>
        </is>
      </c>
      <c r="B855" s="16" t="inlineStr">
        <is>
          <t>REMAGNET</t>
        </is>
      </c>
      <c r="C855" s="16" t="inlineStr">
        <is>
          <t>Midwest Energy Ltd.</t>
        </is>
      </c>
      <c r="D855" s="16" t="inlineStr">
        <is>
          <t>Coal &amp; Mining</t>
        </is>
      </c>
      <c r="E855" s="16" t="inlineStr">
        <is>
          <t>Metals &amp; Mining</t>
        </is>
      </c>
      <c r="F855" s="17" t="n">
        <v>4920.61</v>
      </c>
      <c r="G855" s="16" t="inlineStr"/>
      <c r="H855" s="16" t="inlineStr">
        <is>
          <t>526570</t>
        </is>
      </c>
      <c r="I855" s="27">
        <f>IFERROR(IF(INDEX(Stocks!$G$2:$G$2139,MATCH(A855,Stocks!$E$2:$E$2139,0))="","No","Yes"),"No")</f>
        <v/>
      </c>
    </row>
    <row r="856">
      <c r="A856" s="16" t="inlineStr">
        <is>
          <t>INE850M01015</t>
        </is>
      </c>
      <c r="B856" s="16" t="inlineStr">
        <is>
          <t>NORTHARC</t>
        </is>
      </c>
      <c r="C856" s="16" t="inlineStr">
        <is>
          <t>Northern Arc Capital Ltd.</t>
        </is>
      </c>
      <c r="D856" s="16" t="inlineStr">
        <is>
          <t>Finance (including NBFCs)</t>
        </is>
      </c>
      <c r="E856" s="16" t="inlineStr">
        <is>
          <t>Banking and Finance</t>
        </is>
      </c>
      <c r="F856" s="17" t="n">
        <v>4884.67</v>
      </c>
      <c r="G856" s="16" t="inlineStr">
        <is>
          <t>NORTHARC</t>
        </is>
      </c>
      <c r="H856" s="16" t="inlineStr">
        <is>
          <t>544260</t>
        </is>
      </c>
      <c r="I856" s="27">
        <f>IFERROR(IF(INDEX(Stocks!$G$2:$G$2139,MATCH(A856,Stocks!$E$2:$E$2139,0))="","No","Yes"),"No")</f>
        <v/>
      </c>
    </row>
    <row r="857">
      <c r="A857" s="16" t="inlineStr">
        <is>
          <t>INE516A01017</t>
        </is>
      </c>
      <c r="B857" s="16" t="inlineStr">
        <is>
          <t>UFLEX</t>
        </is>
      </c>
      <c r="C857" s="16" t="inlineStr">
        <is>
          <t>Uflex Ltd.</t>
        </is>
      </c>
      <c r="D857" s="16" t="inlineStr">
        <is>
          <t>Containers &amp; Packaging</t>
        </is>
      </c>
      <c r="E857" s="16" t="inlineStr">
        <is>
          <t>Commercial Services &amp; Supplies</t>
        </is>
      </c>
      <c r="F857" s="17" t="n">
        <v>4878.61</v>
      </c>
      <c r="G857" s="16" t="inlineStr">
        <is>
          <t>UFLEX</t>
        </is>
      </c>
      <c r="H857" s="16" t="inlineStr">
        <is>
          <t>500148</t>
        </is>
      </c>
      <c r="I857" s="27">
        <f>IFERROR(IF(INDEX(Stocks!$G$2:$G$2139,MATCH(A857,Stocks!$E$2:$E$2139,0))="","No","Yes"),"No")</f>
        <v/>
      </c>
    </row>
    <row r="858">
      <c r="A858" s="16" t="inlineStr">
        <is>
          <t>INE696F01016</t>
        </is>
      </c>
      <c r="B858" s="16" t="inlineStr">
        <is>
          <t>JUNIPER</t>
        </is>
      </c>
      <c r="C858" s="16" t="inlineStr">
        <is>
          <t>Juniper Hotels Ltd.</t>
        </is>
      </c>
      <c r="D858" s="16" t="inlineStr">
        <is>
          <t>Hotels</t>
        </is>
      </c>
      <c r="E858" s="16" t="inlineStr">
        <is>
          <t>Hotels Restaurants &amp; Tourism</t>
        </is>
      </c>
      <c r="F858" s="17" t="n">
        <v>4824.3</v>
      </c>
      <c r="G858" s="16" t="inlineStr">
        <is>
          <t>JUNIPER</t>
        </is>
      </c>
      <c r="H858" s="16" t="inlineStr">
        <is>
          <t>544129</t>
        </is>
      </c>
      <c r="I858" s="27">
        <f>IFERROR(IF(INDEX(Stocks!$G$2:$G$2139,MATCH(A858,Stocks!$E$2:$E$2139,0))="","No","Yes"),"No")</f>
        <v/>
      </c>
    </row>
    <row r="859">
      <c r="A859" s="16" t="inlineStr">
        <is>
          <t>INE039C01032</t>
        </is>
      </c>
      <c r="B859" s="16" t="inlineStr">
        <is>
          <t>JAMNAAUTO</t>
        </is>
      </c>
      <c r="C859" s="16" t="inlineStr">
        <is>
          <t>Jamna Auto Industries Ltd.</t>
        </is>
      </c>
      <c r="D859" s="16" t="inlineStr">
        <is>
          <t>Auto Parts &amp; Equipment</t>
        </is>
      </c>
      <c r="E859" s="16" t="inlineStr">
        <is>
          <t>Automobiles &amp; Auto Components</t>
        </is>
      </c>
      <c r="F859" s="17" t="n">
        <v>4815.29</v>
      </c>
      <c r="G859" s="16" t="inlineStr">
        <is>
          <t>JAMNAAUTO</t>
        </is>
      </c>
      <c r="H859" s="16" t="inlineStr">
        <is>
          <t>520051</t>
        </is>
      </c>
      <c r="I859" s="27">
        <f>IFERROR(IF(INDEX(Stocks!$G$2:$G$2139,MATCH(A859,Stocks!$E$2:$E$2139,0))="","No","Yes"),"No")</f>
        <v/>
      </c>
    </row>
    <row r="860">
      <c r="A860" s="16" t="inlineStr">
        <is>
          <t>INE291D01011</t>
        </is>
      </c>
      <c r="B860" s="16" t="inlineStr">
        <is>
          <t>KDDL</t>
        </is>
      </c>
      <c r="C860" s="16" t="inlineStr">
        <is>
          <t>KDDL Ltd.</t>
        </is>
      </c>
      <c r="D860" s="16" t="inlineStr">
        <is>
          <t>Other Apparels &amp; Accessories</t>
        </is>
      </c>
      <c r="E860" s="16" t="inlineStr">
        <is>
          <t>Textiles Apparels &amp; Accessories</t>
        </is>
      </c>
      <c r="F860" s="17" t="n">
        <v>4810.26</v>
      </c>
      <c r="G860" s="16" t="inlineStr">
        <is>
          <t>KDDL</t>
        </is>
      </c>
      <c r="H860" s="16" t="inlineStr">
        <is>
          <t>532054</t>
        </is>
      </c>
      <c r="I860" s="27">
        <f>IFERROR(IF(INDEX(Stocks!$G$2:$G$2139,MATCH(A860,Stocks!$E$2:$E$2139,0))="","No","Yes"),"No")</f>
        <v/>
      </c>
    </row>
    <row r="861">
      <c r="A861" s="16" t="inlineStr">
        <is>
          <t>INE417C01014</t>
        </is>
      </c>
      <c r="B861" s="16" t="inlineStr">
        <is>
          <t>PILANIINVS</t>
        </is>
      </c>
      <c r="C861" s="16" t="inlineStr">
        <is>
          <t>Pilani Investment and Industries Corporation Ltd.</t>
        </is>
      </c>
      <c r="D861" s="16" t="inlineStr">
        <is>
          <t>Holding Companies</t>
        </is>
      </c>
      <c r="E861" s="16" t="inlineStr">
        <is>
          <t>Diversified</t>
        </is>
      </c>
      <c r="F861" s="17" t="n">
        <v>4787.4</v>
      </c>
      <c r="G861" s="16" t="inlineStr">
        <is>
          <t>PILANIINVS</t>
        </is>
      </c>
      <c r="H861" s="16" t="inlineStr">
        <is>
          <t>539883</t>
        </is>
      </c>
      <c r="I861" s="27">
        <f>IFERROR(IF(INDEX(Stocks!$G$2:$G$2139,MATCH(A861,Stocks!$E$2:$E$2139,0))="","No","Yes"),"No")</f>
        <v/>
      </c>
    </row>
    <row r="862">
      <c r="A862" s="16" t="inlineStr">
        <is>
          <t>INE576O01020</t>
        </is>
      </c>
      <c r="B862" s="16" t="inlineStr">
        <is>
          <t>LXCHEM</t>
        </is>
      </c>
      <c r="C862" s="16" t="inlineStr">
        <is>
          <t>Laxmi Organic Industries Ltd.</t>
        </is>
      </c>
      <c r="D862" s="16" t="inlineStr">
        <is>
          <t>Specialty Chemicals</t>
        </is>
      </c>
      <c r="E862" s="16" t="inlineStr">
        <is>
          <t>Chemicals &amp; Petrochemicals</t>
        </is>
      </c>
      <c r="F862" s="17" t="n">
        <v>4781.24</v>
      </c>
      <c r="G862" s="16" t="inlineStr">
        <is>
          <t>LXCHEM</t>
        </is>
      </c>
      <c r="H862" s="16" t="inlineStr">
        <is>
          <t>543277</t>
        </is>
      </c>
      <c r="I862" s="27">
        <f>IFERROR(IF(INDEX(Stocks!$G$2:$G$2139,MATCH(A862,Stocks!$E$2:$E$2139,0))="","No","Yes"),"No")</f>
        <v/>
      </c>
    </row>
    <row r="863">
      <c r="A863" s="16" t="inlineStr">
        <is>
          <t>INE631A01022</t>
        </is>
      </c>
      <c r="B863" s="16" t="inlineStr">
        <is>
          <t>SHANTIGEAR</t>
        </is>
      </c>
      <c r="C863" s="16" t="inlineStr">
        <is>
          <t>Shanthi Gears Ltd.</t>
        </is>
      </c>
      <c r="D863" s="16" t="inlineStr">
        <is>
          <t>Auto Parts &amp; Equipment</t>
        </is>
      </c>
      <c r="E863" s="16" t="inlineStr">
        <is>
          <t>Automobiles &amp; Auto Components</t>
        </is>
      </c>
      <c r="F863" s="17" t="n">
        <v>4769.81</v>
      </c>
      <c r="G863" s="16" t="inlineStr">
        <is>
          <t>SHANTIGEAR</t>
        </is>
      </c>
      <c r="H863" s="16" t="inlineStr">
        <is>
          <t>522034</t>
        </is>
      </c>
      <c r="I863" s="27">
        <f>IFERROR(IF(INDEX(Stocks!$G$2:$G$2139,MATCH(A863,Stocks!$E$2:$E$2139,0))="","No","Yes"),"No")</f>
        <v/>
      </c>
    </row>
    <row r="864">
      <c r="A864" s="16" t="inlineStr">
        <is>
          <t>INE459A01010</t>
        </is>
      </c>
      <c r="B864" s="16" t="inlineStr">
        <is>
          <t>BANARISUG</t>
        </is>
      </c>
      <c r="C864" s="16" t="inlineStr">
        <is>
          <t>Bannari Amman Sugars Ltd.</t>
        </is>
      </c>
      <c r="D864" s="16" t="inlineStr">
        <is>
          <t>Sugar</t>
        </is>
      </c>
      <c r="E864" s="16" t="inlineStr">
        <is>
          <t>Food, Beverages &amp; Tobacco</t>
        </is>
      </c>
      <c r="F864" s="17" t="n">
        <v>4769.22</v>
      </c>
      <c r="G864" s="16" t="inlineStr">
        <is>
          <t>BANARISUG</t>
        </is>
      </c>
      <c r="H864" s="16" t="inlineStr">
        <is>
          <t>500041</t>
        </is>
      </c>
      <c r="I864" s="27">
        <f>IFERROR(IF(INDEX(Stocks!$G$2:$G$2139,MATCH(A864,Stocks!$E$2:$E$2139,0))="","No","Yes"),"No")</f>
        <v/>
      </c>
    </row>
    <row r="865">
      <c r="A865" s="16" t="inlineStr">
        <is>
          <t>INE415A01038</t>
        </is>
      </c>
      <c r="B865" s="16" t="inlineStr">
        <is>
          <t>AGI</t>
        </is>
      </c>
      <c r="C865" s="16" t="inlineStr">
        <is>
          <t>AGI Greenpac Ltd.</t>
        </is>
      </c>
      <c r="D865" s="16" t="inlineStr">
        <is>
          <t>Containers &amp; Packaging</t>
        </is>
      </c>
      <c r="E865" s="16" t="inlineStr">
        <is>
          <t>Commercial Services &amp; Supplies</t>
        </is>
      </c>
      <c r="F865" s="17" t="n">
        <v>4756.88</v>
      </c>
      <c r="G865" s="16" t="inlineStr">
        <is>
          <t>AGI</t>
        </is>
      </c>
      <c r="H865" s="16" t="inlineStr">
        <is>
          <t>500187</t>
        </is>
      </c>
      <c r="I865" s="27">
        <f>IFERROR(IF(INDEX(Stocks!$G$2:$G$2139,MATCH(A865,Stocks!$E$2:$E$2139,0))="","No","Yes"),"No")</f>
        <v/>
      </c>
    </row>
    <row r="866">
      <c r="A866" s="16" t="inlineStr">
        <is>
          <t>INE270I01022</t>
        </is>
      </c>
      <c r="B866" s="16" t="inlineStr">
        <is>
          <t>VISHNU</t>
        </is>
      </c>
      <c r="C866" s="16" t="inlineStr">
        <is>
          <t>Vishnu Chemicals Ltd.</t>
        </is>
      </c>
      <c r="D866" s="16" t="inlineStr">
        <is>
          <t>Specialty Chemicals</t>
        </is>
      </c>
      <c r="E866" s="16" t="inlineStr">
        <is>
          <t>Chemicals &amp; Petrochemicals</t>
        </is>
      </c>
      <c r="F866" s="17" t="n">
        <v>4725.53</v>
      </c>
      <c r="G866" s="16" t="inlineStr">
        <is>
          <t>VISHNU</t>
        </is>
      </c>
      <c r="H866" s="16" t="inlineStr">
        <is>
          <t>516072</t>
        </is>
      </c>
      <c r="I866" s="27">
        <f>IFERROR(IF(INDEX(Stocks!$G$2:$G$2139,MATCH(A866,Stocks!$E$2:$E$2139,0))="","No","Yes"),"No")</f>
        <v/>
      </c>
    </row>
    <row r="867">
      <c r="A867" s="16" t="inlineStr">
        <is>
          <t>INE263M01029</t>
        </is>
      </c>
      <c r="B867" s="16" t="inlineStr">
        <is>
          <t>RUSTOMJEE</t>
        </is>
      </c>
      <c r="C867" s="16" t="inlineStr">
        <is>
          <t>Keystone Realtors Ltd.</t>
        </is>
      </c>
      <c r="D867" s="16" t="inlineStr">
        <is>
          <t>Realty</t>
        </is>
      </c>
      <c r="E867" s="16" t="inlineStr">
        <is>
          <t>Realty</t>
        </is>
      </c>
      <c r="F867" s="17" t="n">
        <v>4720.81</v>
      </c>
      <c r="G867" s="16" t="inlineStr">
        <is>
          <t>RUSTOMJEE</t>
        </is>
      </c>
      <c r="H867" s="16" t="inlineStr">
        <is>
          <t>543669</t>
        </is>
      </c>
      <c r="I867" s="27">
        <f>IFERROR(IF(INDEX(Stocks!$G$2:$G$2139,MATCH(A867,Stocks!$E$2:$E$2139,0))="","No","Yes"),"No")</f>
        <v/>
      </c>
    </row>
    <row r="868">
      <c r="A868" s="16" t="inlineStr">
        <is>
          <t>INE519A01011</t>
        </is>
      </c>
      <c r="B868" s="16" t="inlineStr">
        <is>
          <t>FOSECOIND</t>
        </is>
      </c>
      <c r="C868" s="16" t="inlineStr">
        <is>
          <t>Foseco India Ltd.</t>
        </is>
      </c>
      <c r="D868" s="16" t="inlineStr">
        <is>
          <t>Commodity Chemicals</t>
        </is>
      </c>
      <c r="E868" s="16" t="inlineStr">
        <is>
          <t>Chemicals &amp; Petrochemicals</t>
        </is>
      </c>
      <c r="F868" s="17" t="n">
        <v>4720.61</v>
      </c>
      <c r="G868" s="16" t="inlineStr">
        <is>
          <t>FOSECOIND</t>
        </is>
      </c>
      <c r="H868" s="16" t="inlineStr">
        <is>
          <t>500150</t>
        </is>
      </c>
      <c r="I868" s="27">
        <f>IFERROR(IF(INDEX(Stocks!$G$2:$G$2139,MATCH(A868,Stocks!$E$2:$E$2139,0))="","No","Yes"),"No")</f>
        <v/>
      </c>
    </row>
    <row r="869">
      <c r="A869" s="16" t="inlineStr">
        <is>
          <t>INE621L01012</t>
        </is>
      </c>
      <c r="B869" s="16" t="inlineStr">
        <is>
          <t>TEXRAIL</t>
        </is>
      </c>
      <c r="C869" s="16" t="inlineStr">
        <is>
          <t>Texmaco Rail &amp; Engineering Ltd.</t>
        </is>
      </c>
      <c r="D869" s="16" t="inlineStr">
        <is>
          <t>Construction &amp; Engineering</t>
        </is>
      </c>
      <c r="E869" s="16" t="inlineStr">
        <is>
          <t>Cement and Construction</t>
        </is>
      </c>
      <c r="F869" s="17" t="n">
        <v>4719.22</v>
      </c>
      <c r="G869" s="16" t="inlineStr">
        <is>
          <t>TEXRAIL</t>
        </is>
      </c>
      <c r="H869" s="16" t="inlineStr">
        <is>
          <t>533326</t>
        </is>
      </c>
      <c r="I869" s="27">
        <f>IFERROR(IF(INDEX(Stocks!$G$2:$G$2139,MATCH(A869,Stocks!$E$2:$E$2139,0))="","No","Yes"),"No")</f>
        <v/>
      </c>
    </row>
    <row r="870">
      <c r="A870" s="16" t="inlineStr">
        <is>
          <t>INE127I01024</t>
        </is>
      </c>
      <c r="B870" s="16" t="inlineStr">
        <is>
          <t>GOODLUCK</t>
        </is>
      </c>
      <c r="C870" s="16" t="inlineStr">
        <is>
          <t>Goodluck India Ltd.</t>
        </is>
      </c>
      <c r="D870" s="16" t="inlineStr">
        <is>
          <t>Iron &amp; Steel Products</t>
        </is>
      </c>
      <c r="E870" s="16" t="inlineStr">
        <is>
          <t>Metals &amp; Mining</t>
        </is>
      </c>
      <c r="F870" s="17" t="n">
        <v>4715.55</v>
      </c>
      <c r="G870" s="16" t="inlineStr">
        <is>
          <t>GOODLUCK</t>
        </is>
      </c>
      <c r="H870" s="16" t="inlineStr">
        <is>
          <t>530655</t>
        </is>
      </c>
      <c r="I870" s="27">
        <f>IFERROR(IF(INDEX(Stocks!$G$2:$G$2139,MATCH(A870,Stocks!$E$2:$E$2139,0))="","No","Yes"),"No")</f>
        <v/>
      </c>
    </row>
    <row r="871">
      <c r="A871" s="16" t="inlineStr">
        <is>
          <t>INE725G01011</t>
        </is>
      </c>
      <c r="B871" s="16" t="inlineStr">
        <is>
          <t>ICRA</t>
        </is>
      </c>
      <c r="C871" s="16" t="inlineStr">
        <is>
          <t>ICRA Ltd.</t>
        </is>
      </c>
      <c r="D871" s="16" t="inlineStr">
        <is>
          <t>Other Financial Services</t>
        </is>
      </c>
      <c r="E871" s="16" t="inlineStr">
        <is>
          <t>Banking and Finance</t>
        </is>
      </c>
      <c r="F871" s="17" t="n">
        <v>4714.13</v>
      </c>
      <c r="G871" s="16" t="inlineStr">
        <is>
          <t>ICRA</t>
        </is>
      </c>
      <c r="H871" s="16" t="inlineStr">
        <is>
          <t>532835</t>
        </is>
      </c>
      <c r="I871" s="27">
        <f>IFERROR(IF(INDEX(Stocks!$G$2:$G$2139,MATCH(A871,Stocks!$E$2:$E$2139,0))="","No","Yes"),"No")</f>
        <v/>
      </c>
    </row>
    <row r="872">
      <c r="A872" s="16" t="inlineStr">
        <is>
          <t>INE335A01020</t>
        </is>
      </c>
      <c r="B872" s="16" t="inlineStr">
        <is>
          <t>SURYAROSNI</t>
        </is>
      </c>
      <c r="C872" s="16" t="inlineStr">
        <is>
          <t>Surya Roshni Ltd.</t>
        </is>
      </c>
      <c r="D872" s="16" t="inlineStr">
        <is>
          <t>Iron &amp; Steel Products</t>
        </is>
      </c>
      <c r="E872" s="16" t="inlineStr">
        <is>
          <t>Metals &amp; Mining</t>
        </is>
      </c>
      <c r="F872" s="17" t="n">
        <v>4711.6</v>
      </c>
      <c r="G872" s="16" t="inlineStr">
        <is>
          <t>SURYAROSNI</t>
        </is>
      </c>
      <c r="H872" s="16" t="inlineStr">
        <is>
          <t>500336</t>
        </is>
      </c>
      <c r="I872" s="27">
        <f>IFERROR(IF(INDEX(Stocks!$G$2:$G$2139,MATCH(A872,Stocks!$E$2:$E$2139,0))="","No","Yes"),"No")</f>
        <v/>
      </c>
    </row>
    <row r="873">
      <c r="A873" s="16" t="inlineStr">
        <is>
          <t>INE195J01029</t>
        </is>
      </c>
      <c r="B873" s="16" t="inlineStr">
        <is>
          <t>PNCINFRA</t>
        </is>
      </c>
      <c r="C873" s="16" t="inlineStr">
        <is>
          <t>PNC Infratech Ltd.</t>
        </is>
      </c>
      <c r="D873" s="16" t="inlineStr">
        <is>
          <t>Roads &amp; Highways</t>
        </is>
      </c>
      <c r="E873" s="16" t="inlineStr">
        <is>
          <t>Cement and Construction</t>
        </is>
      </c>
      <c r="F873" s="17" t="n">
        <v>4697.49</v>
      </c>
      <c r="G873" s="16" t="inlineStr">
        <is>
          <t>PNCINFRA</t>
        </is>
      </c>
      <c r="H873" s="16" t="inlineStr">
        <is>
          <t>539150</t>
        </is>
      </c>
      <c r="I873" s="27">
        <f>IFERROR(IF(INDEX(Stocks!$G$2:$G$2139,MATCH(A873,Stocks!$E$2:$E$2139,0))="","No","Yes"),"No")</f>
        <v/>
      </c>
    </row>
    <row r="874">
      <c r="A874" s="16" t="inlineStr">
        <is>
          <t>INE0GXK01018</t>
        </is>
      </c>
      <c r="B874" s="16" t="inlineStr">
        <is>
          <t>VMARCIND</t>
        </is>
      </c>
      <c r="C874" s="16" t="inlineStr">
        <is>
          <t>V-Marc India Ltd.</t>
        </is>
      </c>
      <c r="D874" s="16" t="inlineStr">
        <is>
          <t>Wires &amp; Cables</t>
        </is>
      </c>
      <c r="E874" s="16" t="inlineStr">
        <is>
          <t>Consumer Durables</t>
        </is>
      </c>
      <c r="F874" s="17" t="n">
        <v>4690.24</v>
      </c>
      <c r="G874" s="16" t="inlineStr">
        <is>
          <t>VMARCIND</t>
        </is>
      </c>
      <c r="H874" s="16" t="inlineStr"/>
      <c r="I874" s="27">
        <f>IFERROR(IF(INDEX(Stocks!$G$2:$G$2139,MATCH(A874,Stocks!$E$2:$E$2139,0))="","No","Yes"),"No")</f>
        <v/>
      </c>
    </row>
    <row r="875">
      <c r="A875" s="16" t="inlineStr">
        <is>
          <t>INE236E01022</t>
        </is>
      </c>
      <c r="B875" s="16" t="inlineStr">
        <is>
          <t>ELLEN</t>
        </is>
      </c>
      <c r="C875" s="16" t="inlineStr">
        <is>
          <t>Ellenbarrie Industrial Gases Ltd.</t>
        </is>
      </c>
      <c r="D875" s="16" t="inlineStr">
        <is>
          <t>Industrial Gases</t>
        </is>
      </c>
      <c r="E875" s="16" t="inlineStr">
        <is>
          <t>General Industrials</t>
        </is>
      </c>
      <c r="F875" s="17" t="n">
        <v>4676.95</v>
      </c>
      <c r="G875" s="16" t="inlineStr">
        <is>
          <t>ELLEN</t>
        </is>
      </c>
      <c r="H875" s="16" t="inlineStr">
        <is>
          <t>544421</t>
        </is>
      </c>
      <c r="I875" s="27">
        <f>IFERROR(IF(INDEX(Stocks!$G$2:$G$2139,MATCH(A875,Stocks!$E$2:$E$2139,0))="","No","Yes"),"No")</f>
        <v/>
      </c>
    </row>
    <row r="876">
      <c r="A876" s="16" t="inlineStr">
        <is>
          <t>INE645S01024</t>
        </is>
      </c>
      <c r="B876" s="16" t="inlineStr">
        <is>
          <t>ROLEXRINGS</t>
        </is>
      </c>
      <c r="C876" s="16" t="inlineStr">
        <is>
          <t>Rolex Rings Ltd.</t>
        </is>
      </c>
      <c r="D876" s="16" t="inlineStr">
        <is>
          <t>Auto Parts &amp; Equipment</t>
        </is>
      </c>
      <c r="E876" s="16" t="inlineStr">
        <is>
          <t>Automobiles &amp; Auto Components</t>
        </is>
      </c>
      <c r="F876" s="17" t="n">
        <v>4676.5</v>
      </c>
      <c r="G876" s="16" t="inlineStr">
        <is>
          <t>ROLEXRINGS</t>
        </is>
      </c>
      <c r="H876" s="16" t="inlineStr">
        <is>
          <t>543325</t>
        </is>
      </c>
      <c r="I876" s="27">
        <f>IFERROR(IF(INDEX(Stocks!$G$2:$G$2139,MATCH(A876,Stocks!$E$2:$E$2139,0))="","No","Yes"),"No")</f>
        <v/>
      </c>
    </row>
    <row r="877">
      <c r="A877" s="16" t="inlineStr">
        <is>
          <t>INE1KZI01025</t>
        </is>
      </c>
      <c r="B877" s="16" t="inlineStr">
        <is>
          <t>TEMPSENS</t>
        </is>
      </c>
      <c r="C877" s="16" t="inlineStr">
        <is>
          <t>Tempsens Instruments (India) Ltd.</t>
        </is>
      </c>
      <c r="D877" s="16" t="inlineStr">
        <is>
          <t>Other Industrial Products</t>
        </is>
      </c>
      <c r="E877" s="16" t="inlineStr">
        <is>
          <t>General Industrials</t>
        </is>
      </c>
      <c r="F877" s="17" t="n">
        <v>4651.04</v>
      </c>
      <c r="G877" s="16" t="inlineStr">
        <is>
          <t>TEMPSENS</t>
        </is>
      </c>
      <c r="H877" s="16" t="inlineStr">
        <is>
          <t>544886</t>
        </is>
      </c>
      <c r="I877" s="27">
        <f>IFERROR(IF(INDEX(Stocks!$G$2:$G$2139,MATCH(A877,Stocks!$E$2:$E$2139,0))="","No","Yes"),"No")</f>
        <v/>
      </c>
    </row>
    <row r="878">
      <c r="A878" s="16" t="inlineStr">
        <is>
          <t>INE024F01011</t>
        </is>
      </c>
      <c r="B878" s="16" t="inlineStr">
        <is>
          <t>SHILCTECH</t>
        </is>
      </c>
      <c r="C878" s="16" t="inlineStr">
        <is>
          <t>Shilchar Technologies Ltd.</t>
        </is>
      </c>
      <c r="D878" s="16" t="inlineStr">
        <is>
          <t>Other Electrical Equipment/Products</t>
        </is>
      </c>
      <c r="E878" s="16" t="inlineStr">
        <is>
          <t>Consumer Durables</t>
        </is>
      </c>
      <c r="F878" s="17" t="n">
        <v>4650.78</v>
      </c>
      <c r="G878" s="16" t="inlineStr">
        <is>
          <t>SHILCTECH</t>
        </is>
      </c>
      <c r="H878" s="16" t="inlineStr">
        <is>
          <t>531201</t>
        </is>
      </c>
      <c r="I878" s="27">
        <f>IFERROR(IF(INDEX(Stocks!$G$2:$G$2139,MATCH(A878,Stocks!$E$2:$E$2139,0))="","No","Yes"),"No")</f>
        <v/>
      </c>
    </row>
    <row r="879">
      <c r="A879" s="16" t="inlineStr">
        <is>
          <t>INE287B01021</t>
        </is>
      </c>
      <c r="B879" s="16" t="inlineStr">
        <is>
          <t>SUBROS</t>
        </is>
      </c>
      <c r="C879" s="16" t="inlineStr">
        <is>
          <t>Subros Ltd.</t>
        </is>
      </c>
      <c r="D879" s="16" t="inlineStr">
        <is>
          <t>Auto Parts &amp; Equipment</t>
        </is>
      </c>
      <c r="E879" s="16" t="inlineStr">
        <is>
          <t>Automobiles &amp; Auto Components</t>
        </is>
      </c>
      <c r="F879" s="17" t="n">
        <v>4629.13</v>
      </c>
      <c r="G879" s="16" t="inlineStr">
        <is>
          <t>SUBROS</t>
        </is>
      </c>
      <c r="H879" s="16" t="inlineStr">
        <is>
          <t>517168</t>
        </is>
      </c>
      <c r="I879" s="27">
        <f>IFERROR(IF(INDEX(Stocks!$G$2:$G$2139,MATCH(A879,Stocks!$E$2:$E$2139,0))="","No","Yes"),"No")</f>
        <v/>
      </c>
    </row>
    <row r="880">
      <c r="A880" s="16" t="inlineStr">
        <is>
          <t>INE877F01012</t>
        </is>
      </c>
      <c r="B880" s="16" t="inlineStr">
        <is>
          <t>PTC</t>
        </is>
      </c>
      <c r="C880" s="16" t="inlineStr">
        <is>
          <t>PTC India Ltd.</t>
        </is>
      </c>
      <c r="D880" s="16" t="inlineStr">
        <is>
          <t>Power - Electric Utilities</t>
        </is>
      </c>
      <c r="E880" s="16" t="inlineStr">
        <is>
          <t>Utilities</t>
        </is>
      </c>
      <c r="F880" s="17" t="n">
        <v>4626.31</v>
      </c>
      <c r="G880" s="16" t="inlineStr">
        <is>
          <t>PTC</t>
        </is>
      </c>
      <c r="H880" s="16" t="inlineStr">
        <is>
          <t>532524</t>
        </is>
      </c>
      <c r="I880" s="27">
        <f>IFERROR(IF(INDEX(Stocks!$G$2:$G$2139,MATCH(A880,Stocks!$E$2:$E$2139,0))="","No","Yes"),"No")</f>
        <v/>
      </c>
    </row>
    <row r="881">
      <c r="A881" s="16" t="inlineStr">
        <is>
          <t>INE501X01029</t>
        </is>
      </c>
      <c r="B881" s="16" t="inlineStr">
        <is>
          <t>AYE</t>
        </is>
      </c>
      <c r="C881" s="16" t="inlineStr">
        <is>
          <t>Aye Finance Ltd.</t>
        </is>
      </c>
      <c r="D881" s="16" t="inlineStr">
        <is>
          <t>Finance (including NBFCs)</t>
        </is>
      </c>
      <c r="E881" s="16" t="inlineStr">
        <is>
          <t>Banking and Finance</t>
        </is>
      </c>
      <c r="F881" s="17" t="n">
        <v>4560.85</v>
      </c>
      <c r="G881" s="16" t="inlineStr">
        <is>
          <t>AYE</t>
        </is>
      </c>
      <c r="H881" s="16" t="inlineStr">
        <is>
          <t>544699</t>
        </is>
      </c>
      <c r="I881" s="27">
        <f>IFERROR(IF(INDEX(Stocks!$G$2:$G$2139,MATCH(A881,Stocks!$E$2:$E$2139,0))="","No","Yes"),"No")</f>
        <v/>
      </c>
    </row>
    <row r="882">
      <c r="A882" s="16" t="inlineStr">
        <is>
          <t>INE497B01018</t>
        </is>
      </c>
      <c r="B882" s="16" t="inlineStr">
        <is>
          <t>SEAMECLTD</t>
        </is>
      </c>
      <c r="C882" s="16" t="inlineStr">
        <is>
          <t>Seamec Ltd.</t>
        </is>
      </c>
      <c r="D882" s="16" t="inlineStr">
        <is>
          <t>Shipping</t>
        </is>
      </c>
      <c r="E882" s="16" t="inlineStr">
        <is>
          <t>Transportation</t>
        </is>
      </c>
      <c r="F882" s="17" t="n">
        <v>4560.23</v>
      </c>
      <c r="G882" s="16" t="inlineStr">
        <is>
          <t>SEAMECLTD</t>
        </is>
      </c>
      <c r="H882" s="16" t="inlineStr">
        <is>
          <t>526807</t>
        </is>
      </c>
      <c r="I882" s="27">
        <f>IFERROR(IF(INDEX(Stocks!$G$2:$G$2139,MATCH(A882,Stocks!$E$2:$E$2139,0))="","No","Yes"),"No")</f>
        <v/>
      </c>
    </row>
    <row r="883">
      <c r="A883" s="16" t="inlineStr">
        <is>
          <t>INE435G01025</t>
        </is>
      </c>
      <c r="B883" s="16" t="inlineStr">
        <is>
          <t>DHANUKA</t>
        </is>
      </c>
      <c r="C883" s="16" t="inlineStr">
        <is>
          <t>Dhanuka Agritech Ltd.</t>
        </is>
      </c>
      <c r="D883" s="16" t="inlineStr">
        <is>
          <t>Agrochemicals</t>
        </is>
      </c>
      <c r="E883" s="16" t="inlineStr">
        <is>
          <t>Chemicals &amp; Petrochemicals</t>
        </is>
      </c>
      <c r="F883" s="17" t="n">
        <v>4555.84</v>
      </c>
      <c r="G883" s="16" t="inlineStr">
        <is>
          <t>DHANUKA</t>
        </is>
      </c>
      <c r="H883" s="16" t="inlineStr">
        <is>
          <t>507717</t>
        </is>
      </c>
      <c r="I883" s="27">
        <f>IFERROR(IF(INDEX(Stocks!$G$2:$G$2139,MATCH(A883,Stocks!$E$2:$E$2139,0))="","No","Yes"),"No")</f>
        <v/>
      </c>
    </row>
    <row r="884">
      <c r="A884" s="16" t="inlineStr">
        <is>
          <t>INE224A01026</t>
        </is>
      </c>
      <c r="B884" s="16" t="inlineStr">
        <is>
          <t>GREAVESCOT</t>
        </is>
      </c>
      <c r="C884" s="16" t="inlineStr">
        <is>
          <t>Greaves Cotton Ltd.</t>
        </is>
      </c>
      <c r="D884" s="16" t="inlineStr">
        <is>
          <t>Auto Parts &amp; Equipment</t>
        </is>
      </c>
      <c r="E884" s="16" t="inlineStr">
        <is>
          <t>Automobiles &amp; Auto Components</t>
        </is>
      </c>
      <c r="F884" s="17" t="n">
        <v>4555.6</v>
      </c>
      <c r="G884" s="16" t="inlineStr">
        <is>
          <t>GREAVESCOT</t>
        </is>
      </c>
      <c r="H884" s="16" t="inlineStr">
        <is>
          <t>501455</t>
        </is>
      </c>
      <c r="I884" s="27">
        <f>IFERROR(IF(INDEX(Stocks!$G$2:$G$2139,MATCH(A884,Stocks!$E$2:$E$2139,0))="","No","Yes"),"No")</f>
        <v/>
      </c>
    </row>
    <row r="885">
      <c r="A885" s="16" t="inlineStr">
        <is>
          <t>INE943D01017</t>
        </is>
      </c>
      <c r="B885" s="16" t="inlineStr">
        <is>
          <t>MPSLTD</t>
        </is>
      </c>
      <c r="C885" s="16" t="inlineStr">
        <is>
          <t>MPS Ltd.</t>
        </is>
      </c>
      <c r="D885" s="16" t="inlineStr">
        <is>
          <t>Publishing</t>
        </is>
      </c>
      <c r="E885" s="16" t="inlineStr">
        <is>
          <t>Commercial Services &amp; Supplies</t>
        </is>
      </c>
      <c r="F885" s="17" t="n">
        <v>4548.26</v>
      </c>
      <c r="G885" s="16" t="inlineStr">
        <is>
          <t>MPSLTD</t>
        </is>
      </c>
      <c r="H885" s="16" t="inlineStr">
        <is>
          <t>532440</t>
        </is>
      </c>
      <c r="I885" s="27">
        <f>IFERROR(IF(INDEX(Stocks!$G$2:$G$2139,MATCH(A885,Stocks!$E$2:$E$2139,0))="","No","Yes"),"No")</f>
        <v/>
      </c>
    </row>
    <row r="886">
      <c r="A886" s="16" t="inlineStr">
        <is>
          <t>INE618R01015</t>
        </is>
      </c>
      <c r="B886" s="16" t="inlineStr">
        <is>
          <t>SGFIN</t>
        </is>
      </c>
      <c r="C886" s="16" t="inlineStr">
        <is>
          <t>SG Finserve Ltd.</t>
        </is>
      </c>
      <c r="D886" s="16" t="inlineStr">
        <is>
          <t>Other Financial Services</t>
        </is>
      </c>
      <c r="E886" s="16" t="inlineStr">
        <is>
          <t>Banking and Finance</t>
        </is>
      </c>
      <c r="F886" s="17" t="n">
        <v>4522.26</v>
      </c>
      <c r="G886" s="16" t="inlineStr">
        <is>
          <t>SGFIN</t>
        </is>
      </c>
      <c r="H886" s="16" t="inlineStr">
        <is>
          <t>539199</t>
        </is>
      </c>
      <c r="I886" s="27">
        <f>IFERROR(IF(INDEX(Stocks!$G$2:$G$2139,MATCH(A886,Stocks!$E$2:$E$2139,0))="","No","Yes"),"No")</f>
        <v/>
      </c>
    </row>
    <row r="887">
      <c r="A887" s="16" t="inlineStr">
        <is>
          <t>INE365B01017</t>
        </is>
      </c>
      <c r="B887" s="16" t="inlineStr">
        <is>
          <t>DATAMATICS</t>
        </is>
      </c>
      <c r="C887" s="16" t="inlineStr">
        <is>
          <t>Datamatics Global Services Ltd.</t>
        </is>
      </c>
      <c r="D887" s="16" t="inlineStr">
        <is>
          <t>IT Consulting &amp; Software</t>
        </is>
      </c>
      <c r="E887" s="16" t="inlineStr">
        <is>
          <t>Software &amp; Services</t>
        </is>
      </c>
      <c r="F887" s="17" t="n">
        <v>4521.05</v>
      </c>
      <c r="G887" s="16" t="inlineStr">
        <is>
          <t>DATAMATICS</t>
        </is>
      </c>
      <c r="H887" s="16" t="inlineStr">
        <is>
          <t>532528</t>
        </is>
      </c>
      <c r="I887" s="27">
        <f>IFERROR(IF(INDEX(Stocks!$G$2:$G$2139,MATCH(A887,Stocks!$E$2:$E$2139,0))="","No","Yes"),"No")</f>
        <v/>
      </c>
    </row>
    <row r="888">
      <c r="A888" s="16" t="inlineStr">
        <is>
          <t>INE105J01010</t>
        </is>
      </c>
      <c r="B888" s="16" t="inlineStr">
        <is>
          <t>RPGLIFE</t>
        </is>
      </c>
      <c r="C888" s="16" t="inlineStr">
        <is>
          <t>RPG Life Sciences Ltd.</t>
        </is>
      </c>
      <c r="D888" s="16" t="inlineStr">
        <is>
          <t>Pharmaceuticals</t>
        </is>
      </c>
      <c r="E888" s="16" t="inlineStr">
        <is>
          <t>Pharmaceuticals &amp; Biotechnology</t>
        </is>
      </c>
      <c r="F888" s="17" t="n">
        <v>4501.25</v>
      </c>
      <c r="G888" s="16" t="inlineStr">
        <is>
          <t>RPGLIFE</t>
        </is>
      </c>
      <c r="H888" s="16" t="inlineStr">
        <is>
          <t>532983</t>
        </is>
      </c>
      <c r="I888" s="27">
        <f>IFERROR(IF(INDEX(Stocks!$G$2:$G$2139,MATCH(A888,Stocks!$E$2:$E$2139,0))="","No","Yes"),"No")</f>
        <v/>
      </c>
    </row>
    <row r="889">
      <c r="A889" s="16" t="inlineStr">
        <is>
          <t>INE742B01025</t>
        </is>
      </c>
      <c r="B889" s="16" t="inlineStr">
        <is>
          <t>GUFICBIO</t>
        </is>
      </c>
      <c r="C889" s="16" t="inlineStr">
        <is>
          <t>Gufic BioSciences Ltd.</t>
        </is>
      </c>
      <c r="D889" s="16" t="inlineStr">
        <is>
          <t>Pharmaceuticals</t>
        </is>
      </c>
      <c r="E889" s="16" t="inlineStr">
        <is>
          <t>Pharmaceuticals &amp; Biotechnology</t>
        </is>
      </c>
      <c r="F889" s="17" t="n">
        <v>4461.57</v>
      </c>
      <c r="G889" s="16" t="inlineStr">
        <is>
          <t>GUFICBIO</t>
        </is>
      </c>
      <c r="H889" s="16" t="inlineStr">
        <is>
          <t>509079</t>
        </is>
      </c>
      <c r="I889" s="27">
        <f>IFERROR(IF(INDEX(Stocks!$G$2:$G$2139,MATCH(A889,Stocks!$E$2:$E$2139,0))="","No","Yes"),"No")</f>
        <v/>
      </c>
    </row>
    <row r="890">
      <c r="A890" s="16" t="inlineStr">
        <is>
          <t>INE054A01027</t>
        </is>
      </c>
      <c r="B890" s="16" t="inlineStr">
        <is>
          <t>VIPIND</t>
        </is>
      </c>
      <c r="C890" s="16" t="inlineStr">
        <is>
          <t>VIP Industries Ltd.</t>
        </is>
      </c>
      <c r="D890" s="16" t="inlineStr">
        <is>
          <t>Other Apparels &amp; Accessories</t>
        </is>
      </c>
      <c r="E890" s="16" t="inlineStr">
        <is>
          <t>Textiles Apparels &amp; Accessories</t>
        </is>
      </c>
      <c r="F890" s="17" t="n">
        <v>4461.2</v>
      </c>
      <c r="G890" s="16" t="inlineStr">
        <is>
          <t>VIPIND</t>
        </is>
      </c>
      <c r="H890" s="16" t="inlineStr">
        <is>
          <t>507880</t>
        </is>
      </c>
      <c r="I890" s="27">
        <f>IFERROR(IF(INDEX(Stocks!$G$2:$G$2139,MATCH(A890,Stocks!$E$2:$E$2139,0))="","No","Yes"),"No")</f>
        <v/>
      </c>
    </row>
    <row r="891">
      <c r="A891" s="16" t="inlineStr">
        <is>
          <t>INE979B01015</t>
        </is>
      </c>
      <c r="B891" s="16" t="inlineStr">
        <is>
          <t>HAWKINCOOK</t>
        </is>
      </c>
      <c r="C891" s="16" t="inlineStr">
        <is>
          <t>Hawkins Cookers Ltd.</t>
        </is>
      </c>
      <c r="D891" s="16" t="inlineStr">
        <is>
          <t>Houseware</t>
        </is>
      </c>
      <c r="E891" s="16" t="inlineStr">
        <is>
          <t>Consumer Durables</t>
        </is>
      </c>
      <c r="F891" s="17" t="n">
        <v>4448.81</v>
      </c>
      <c r="G891" s="16" t="inlineStr"/>
      <c r="H891" s="16" t="inlineStr">
        <is>
          <t>508486</t>
        </is>
      </c>
      <c r="I891" s="27">
        <f>IFERROR(IF(INDEX(Stocks!$G$2:$G$2139,MATCH(A891,Stocks!$E$2:$E$2139,0))="","No","Yes"),"No")</f>
        <v/>
      </c>
    </row>
    <row r="892">
      <c r="A892" s="16" t="inlineStr">
        <is>
          <t>INE805D01034</t>
        </is>
      </c>
      <c r="B892" s="16" t="inlineStr">
        <is>
          <t>SUNTECK</t>
        </is>
      </c>
      <c r="C892" s="16" t="inlineStr">
        <is>
          <t>Sunteck Realty Ltd.</t>
        </is>
      </c>
      <c r="D892" s="16" t="inlineStr">
        <is>
          <t>Realty</t>
        </is>
      </c>
      <c r="E892" s="16" t="inlineStr">
        <is>
          <t>Realty</t>
        </is>
      </c>
      <c r="F892" s="17" t="n">
        <v>4397.92</v>
      </c>
      <c r="G892" s="16" t="inlineStr">
        <is>
          <t>SUNTECK</t>
        </is>
      </c>
      <c r="H892" s="16" t="inlineStr">
        <is>
          <t>512179</t>
        </is>
      </c>
      <c r="I892" s="27">
        <f>IFERROR(IF(INDEX(Stocks!$G$2:$G$2139,MATCH(A892,Stocks!$E$2:$E$2139,0))="","No","Yes"),"No")</f>
        <v/>
      </c>
    </row>
    <row r="893">
      <c r="A893" s="16" t="inlineStr">
        <is>
          <t>INE870H01013</t>
        </is>
      </c>
      <c r="B893" s="16" t="inlineStr">
        <is>
          <t>NETWORK18</t>
        </is>
      </c>
      <c r="C893" s="16" t="inlineStr">
        <is>
          <t>Network18 Media &amp; Investments Ltd.</t>
        </is>
      </c>
      <c r="D893" s="16" t="inlineStr">
        <is>
          <t>Broadcasting &amp; Cable TV</t>
        </is>
      </c>
      <c r="E893" s="16" t="inlineStr">
        <is>
          <t>Media</t>
        </is>
      </c>
      <c r="F893" s="17" t="n">
        <v>4376.2</v>
      </c>
      <c r="G893" s="16" t="inlineStr">
        <is>
          <t>NETWORK18</t>
        </is>
      </c>
      <c r="H893" s="16" t="inlineStr">
        <is>
          <t>532798</t>
        </is>
      </c>
      <c r="I893" s="27">
        <f>IFERROR(IF(INDEX(Stocks!$G$2:$G$2139,MATCH(A893,Stocks!$E$2:$E$2139,0))="","No","Yes"),"No")</f>
        <v/>
      </c>
    </row>
    <row r="894">
      <c r="A894" s="16" t="inlineStr">
        <is>
          <t>INE878A01011</t>
        </is>
      </c>
      <c r="B894" s="16" t="inlineStr">
        <is>
          <t>GVPIL</t>
        </is>
      </c>
      <c r="C894" s="16" t="inlineStr">
        <is>
          <t>GE Power India Ltd.</t>
        </is>
      </c>
      <c r="D894" s="16" t="inlineStr">
        <is>
          <t>Heavy Electrical Equipment</t>
        </is>
      </c>
      <c r="E894" s="16" t="inlineStr">
        <is>
          <t>General Industrials</t>
        </is>
      </c>
      <c r="F894" s="17" t="n">
        <v>4367.1</v>
      </c>
      <c r="G894" s="16" t="inlineStr">
        <is>
          <t>GVPIL</t>
        </is>
      </c>
      <c r="H894" s="16" t="inlineStr">
        <is>
          <t>532309</t>
        </is>
      </c>
      <c r="I894" s="27">
        <f>IFERROR(IF(INDEX(Stocks!$G$2:$G$2139,MATCH(A894,Stocks!$E$2:$E$2139,0))="","No","Yes"),"No")</f>
        <v/>
      </c>
    </row>
    <row r="895">
      <c r="A895" s="16" t="inlineStr">
        <is>
          <t>INE00M201021</t>
        </is>
      </c>
      <c r="B895" s="16" t="inlineStr">
        <is>
          <t>SWSOLAR</t>
        </is>
      </c>
      <c r="C895" s="16" t="inlineStr">
        <is>
          <t>Sterling and Wilson Renewable Energy Ltd.</t>
        </is>
      </c>
      <c r="D895" s="16" t="inlineStr">
        <is>
          <t>Construction &amp; Engineering</t>
        </is>
      </c>
      <c r="E895" s="16" t="inlineStr">
        <is>
          <t>Cement and Construction</t>
        </is>
      </c>
      <c r="F895" s="17" t="n">
        <v>4349.24</v>
      </c>
      <c r="G895" s="16" t="inlineStr">
        <is>
          <t>SWSOLAR</t>
        </is>
      </c>
      <c r="H895" s="16" t="inlineStr">
        <is>
          <t>542760</t>
        </is>
      </c>
      <c r="I895" s="27">
        <f>IFERROR(IF(INDEX(Stocks!$G$2:$G$2139,MATCH(A895,Stocks!$E$2:$E$2139,0))="","No","Yes"),"No")</f>
        <v/>
      </c>
    </row>
    <row r="896">
      <c r="A896" s="16" t="inlineStr">
        <is>
          <t>INE01QM01018</t>
        </is>
      </c>
      <c r="B896" s="16" t="inlineStr">
        <is>
          <t>EMUDHRA</t>
        </is>
      </c>
      <c r="C896" s="16" t="inlineStr">
        <is>
          <t>eMudhra Ltd.</t>
        </is>
      </c>
      <c r="D896" s="16" t="inlineStr">
        <is>
          <t>Misc. Commercial Services</t>
        </is>
      </c>
      <c r="E896" s="16" t="inlineStr">
        <is>
          <t>Commercial Services &amp; Supplies</t>
        </is>
      </c>
      <c r="F896" s="17" t="n">
        <v>4345.96</v>
      </c>
      <c r="G896" s="16" t="inlineStr">
        <is>
          <t>EMUDHRA</t>
        </is>
      </c>
      <c r="H896" s="16" t="inlineStr">
        <is>
          <t>543533</t>
        </is>
      </c>
      <c r="I896" s="27">
        <f>IFERROR(IF(INDEX(Stocks!$G$2:$G$2139,MATCH(A896,Stocks!$E$2:$E$2139,0))="","No","Yes"),"No")</f>
        <v/>
      </c>
    </row>
    <row r="897">
      <c r="A897" s="16" t="inlineStr">
        <is>
          <t>INE0OJW01016</t>
        </is>
      </c>
      <c r="B897" s="16" t="inlineStr">
        <is>
          <t>ROSSTECH</t>
        </is>
      </c>
      <c r="C897" s="16" t="inlineStr">
        <is>
          <t>Rossell Techsys Ltd.</t>
        </is>
      </c>
      <c r="D897" s="16" t="inlineStr">
        <is>
          <t>Aerospace &amp; Defence</t>
        </is>
      </c>
      <c r="E897" s="16" t="inlineStr">
        <is>
          <t>General Industrials</t>
        </is>
      </c>
      <c r="F897" s="17" t="n">
        <v>4336.98</v>
      </c>
      <c r="G897" s="16" t="inlineStr">
        <is>
          <t>ROSSTECH</t>
        </is>
      </c>
      <c r="H897" s="16" t="inlineStr">
        <is>
          <t>544294</t>
        </is>
      </c>
      <c r="I897" s="27">
        <f>IFERROR(IF(INDEX(Stocks!$G$2:$G$2139,MATCH(A897,Stocks!$E$2:$E$2139,0))="","No","Yes"),"No")</f>
        <v/>
      </c>
    </row>
    <row r="898">
      <c r="A898" s="16" t="inlineStr">
        <is>
          <t>INE349A01021</t>
        </is>
      </c>
      <c r="B898" s="16" t="inlineStr">
        <is>
          <t>NRBBEARING</t>
        </is>
      </c>
      <c r="C898" s="16" t="inlineStr">
        <is>
          <t>NRB Bearings Ltd.</t>
        </is>
      </c>
      <c r="D898" s="16" t="inlineStr">
        <is>
          <t>Other Industrial Products</t>
        </is>
      </c>
      <c r="E898" s="16" t="inlineStr">
        <is>
          <t>General Industrials</t>
        </is>
      </c>
      <c r="F898" s="17" t="n">
        <v>4332.44</v>
      </c>
      <c r="G898" s="16" t="inlineStr">
        <is>
          <t>NRBBEARING</t>
        </is>
      </c>
      <c r="H898" s="16" t="inlineStr">
        <is>
          <t>530367</t>
        </is>
      </c>
      <c r="I898" s="27">
        <f>IFERROR(IF(INDEX(Stocks!$G$2:$G$2139,MATCH(A898,Stocks!$E$2:$E$2139,0))="","No","Yes"),"No")</f>
        <v/>
      </c>
    </row>
    <row r="899">
      <c r="A899" s="16" t="inlineStr">
        <is>
          <t>INE765D01022</t>
        </is>
      </c>
      <c r="B899" s="16" t="inlineStr">
        <is>
          <t>WPIL</t>
        </is>
      </c>
      <c r="C899" s="16" t="inlineStr">
        <is>
          <t>WPIL Ltd.</t>
        </is>
      </c>
      <c r="D899" s="16" t="inlineStr">
        <is>
          <t>Industrial Machinery</t>
        </is>
      </c>
      <c r="E899" s="16" t="inlineStr">
        <is>
          <t>General Industrials</t>
        </is>
      </c>
      <c r="F899" s="17" t="n">
        <v>4331.7</v>
      </c>
      <c r="G899" s="16" t="inlineStr"/>
      <c r="H899" s="16" t="inlineStr">
        <is>
          <t>505872</t>
        </is>
      </c>
      <c r="I899" s="27">
        <f>IFERROR(IF(INDEX(Stocks!$G$2:$G$2139,MATCH(A899,Stocks!$E$2:$E$2139,0))="","No","Yes"),"No")</f>
        <v/>
      </c>
    </row>
    <row r="900">
      <c r="A900" s="16" t="inlineStr">
        <is>
          <t>INE277A01016</t>
        </is>
      </c>
      <c r="B900" s="16" t="inlineStr">
        <is>
          <t>SWARAJENG</t>
        </is>
      </c>
      <c r="C900" s="16" t="inlineStr">
        <is>
          <t>Swaraj Engines Ltd.</t>
        </is>
      </c>
      <c r="D900" s="16" t="inlineStr">
        <is>
          <t>Auto Parts &amp; Equipment</t>
        </is>
      </c>
      <c r="E900" s="16" t="inlineStr">
        <is>
          <t>Automobiles &amp; Auto Components</t>
        </is>
      </c>
      <c r="F900" s="17" t="n">
        <v>4322.69</v>
      </c>
      <c r="G900" s="16" t="inlineStr">
        <is>
          <t>SWARAJENG</t>
        </is>
      </c>
      <c r="H900" s="16" t="inlineStr">
        <is>
          <t>500407</t>
        </is>
      </c>
      <c r="I900" s="27">
        <f>IFERROR(IF(INDEX(Stocks!$G$2:$G$2139,MATCH(A900,Stocks!$E$2:$E$2139,0))="","No","Yes"),"No")</f>
        <v/>
      </c>
    </row>
    <row r="901">
      <c r="A901" s="16" t="inlineStr">
        <is>
          <t>INE976A01021</t>
        </is>
      </c>
      <c r="B901" s="16" t="inlineStr">
        <is>
          <t>WSTCSTPAPR</t>
        </is>
      </c>
      <c r="C901" s="16" t="inlineStr">
        <is>
          <t>West Coast Paper Mills Ltd.</t>
        </is>
      </c>
      <c r="D901" s="16" t="inlineStr">
        <is>
          <t>Paper &amp; Paper Products</t>
        </is>
      </c>
      <c r="E901" s="16" t="inlineStr">
        <is>
          <t>Commercial Services &amp; Supplies</t>
        </is>
      </c>
      <c r="F901" s="17" t="n">
        <v>4294.83</v>
      </c>
      <c r="G901" s="16" t="inlineStr">
        <is>
          <t>WSTCSTPAPR</t>
        </is>
      </c>
      <c r="H901" s="16" t="inlineStr">
        <is>
          <t>500444</t>
        </is>
      </c>
      <c r="I901" s="27">
        <f>IFERROR(IF(INDEX(Stocks!$G$2:$G$2139,MATCH(A901,Stocks!$E$2:$E$2139,0))="","No","Yes"),"No")</f>
        <v/>
      </c>
    </row>
    <row r="902">
      <c r="A902" s="16" t="inlineStr">
        <is>
          <t>INE0OXY01013</t>
        </is>
      </c>
      <c r="B902" s="16" t="inlineStr">
        <is>
          <t>AFCOM</t>
        </is>
      </c>
      <c r="C902" s="16" t="inlineStr">
        <is>
          <t>Afcom Holdings Ltd.</t>
        </is>
      </c>
      <c r="D902" s="16" t="inlineStr">
        <is>
          <t>Warehousing &amp; Logistics</t>
        </is>
      </c>
      <c r="E902" s="16" t="inlineStr">
        <is>
          <t>Transportation</t>
        </is>
      </c>
      <c r="F902" s="17" t="n">
        <v>4250.79</v>
      </c>
      <c r="G902" s="16" t="inlineStr"/>
      <c r="H902" s="16" t="inlineStr">
        <is>
          <t>544224</t>
        </is>
      </c>
      <c r="I902" s="27">
        <f>IFERROR(IF(INDEX(Stocks!$G$2:$G$2139,MATCH(A902,Stocks!$E$2:$E$2139,0))="","No","Yes"),"No")</f>
        <v/>
      </c>
    </row>
    <row r="903">
      <c r="A903" s="16" t="inlineStr">
        <is>
          <t>INE0OC301013</t>
        </is>
      </c>
      <c r="B903" s="16" t="inlineStr">
        <is>
          <t>TURTLEMINT</t>
        </is>
      </c>
      <c r="C903" s="16" t="inlineStr">
        <is>
          <t>Turtlemint Fintech Solutions Ltd.</t>
        </is>
      </c>
      <c r="D903" s="16" t="inlineStr">
        <is>
          <t>Internet Software &amp; Services</t>
        </is>
      </c>
      <c r="E903" s="16" t="inlineStr">
        <is>
          <t>Software &amp; Services</t>
        </is>
      </c>
      <c r="F903" s="17" t="n">
        <v>4242.85</v>
      </c>
      <c r="G903" s="16" t="inlineStr">
        <is>
          <t>TURTLEMINT</t>
        </is>
      </c>
      <c r="H903" s="16" t="inlineStr">
        <is>
          <t>544799</t>
        </is>
      </c>
      <c r="I903" s="27">
        <f>IFERROR(IF(INDEX(Stocks!$G$2:$G$2139,MATCH(A903,Stocks!$E$2:$E$2139,0))="","No","Yes"),"No")</f>
        <v/>
      </c>
    </row>
    <row r="904">
      <c r="A904" s="16" t="inlineStr">
        <is>
          <t>INE715A01015</t>
        </is>
      </c>
      <c r="B904" s="16" t="inlineStr">
        <is>
          <t>WHEELS</t>
        </is>
      </c>
      <c r="C904" s="16" t="inlineStr">
        <is>
          <t>Wheels India Ltd.</t>
        </is>
      </c>
      <c r="D904" s="16" t="inlineStr">
        <is>
          <t>Auto Parts &amp; Equipment</t>
        </is>
      </c>
      <c r="E904" s="16" t="inlineStr">
        <is>
          <t>Automobiles &amp; Auto Components</t>
        </is>
      </c>
      <c r="F904" s="17" t="n">
        <v>4214.45</v>
      </c>
      <c r="G904" s="16" t="inlineStr">
        <is>
          <t>WHEELS</t>
        </is>
      </c>
      <c r="H904" s="16" t="inlineStr">
        <is>
          <t>590073</t>
        </is>
      </c>
      <c r="I904" s="27">
        <f>IFERROR(IF(INDEX(Stocks!$G$2:$G$2139,MATCH(A904,Stocks!$E$2:$E$2139,0))="","No","Yes"),"No")</f>
        <v/>
      </c>
    </row>
    <row r="905">
      <c r="A905" s="16" t="inlineStr">
        <is>
          <t>INE498B01024</t>
        </is>
      </c>
      <c r="B905" s="16" t="inlineStr">
        <is>
          <t>SHOPERSTOP</t>
        </is>
      </c>
      <c r="C905" s="16" t="inlineStr">
        <is>
          <t>Shoppers Stop Ltd.</t>
        </is>
      </c>
      <c r="D905" s="16" t="inlineStr">
        <is>
          <t>Department Stores</t>
        </is>
      </c>
      <c r="E905" s="16" t="inlineStr">
        <is>
          <t>Retailing</t>
        </is>
      </c>
      <c r="F905" s="17" t="n">
        <v>4207.1</v>
      </c>
      <c r="G905" s="16" t="inlineStr">
        <is>
          <t>SHOPERSTOP</t>
        </is>
      </c>
      <c r="H905" s="16" t="inlineStr">
        <is>
          <t>532638</t>
        </is>
      </c>
      <c r="I905" s="27">
        <f>IFERROR(IF(INDEX(Stocks!$G$2:$G$2139,MATCH(A905,Stocks!$E$2:$E$2139,0))="","No","Yes"),"No")</f>
        <v/>
      </c>
    </row>
    <row r="906">
      <c r="A906" s="16" t="inlineStr">
        <is>
          <t>INE945F01025</t>
        </is>
      </c>
      <c r="B906" s="16" t="inlineStr">
        <is>
          <t>DECNGOLD</t>
        </is>
      </c>
      <c r="C906" s="16" t="inlineStr">
        <is>
          <t>Deccan Gold Mines Ltd.</t>
        </is>
      </c>
      <c r="D906" s="16" t="inlineStr">
        <is>
          <t>Coal &amp; Mining</t>
        </is>
      </c>
      <c r="E906" s="16" t="inlineStr">
        <is>
          <t>Metals &amp; Mining</t>
        </is>
      </c>
      <c r="F906" s="17" t="n">
        <v>4204.92</v>
      </c>
      <c r="G906" s="16" t="inlineStr"/>
      <c r="H906" s="16" t="inlineStr">
        <is>
          <t>512068</t>
        </is>
      </c>
      <c r="I906" s="27">
        <f>IFERROR(IF(INDEX(Stocks!$G$2:$G$2139,MATCH(A906,Stocks!$E$2:$E$2139,0))="","No","Yes"),"No")</f>
        <v/>
      </c>
    </row>
    <row r="907">
      <c r="A907" s="16" t="inlineStr">
        <is>
          <t>INE835D01023</t>
        </is>
      </c>
      <c r="B907" s="16" t="inlineStr">
        <is>
          <t>HIRECT</t>
        </is>
      </c>
      <c r="C907" s="16" t="inlineStr">
        <is>
          <t>Hirect Ltd.</t>
        </is>
      </c>
      <c r="D907" s="16" t="inlineStr">
        <is>
          <t>Electronic Components</t>
        </is>
      </c>
      <c r="E907" s="16" t="inlineStr">
        <is>
          <t>Commercial Services &amp; Supplies</t>
        </is>
      </c>
      <c r="F907" s="17" t="n">
        <v>4201.66</v>
      </c>
      <c r="G907" s="16" t="inlineStr">
        <is>
          <t>HIRECT</t>
        </is>
      </c>
      <c r="H907" s="16" t="inlineStr">
        <is>
          <t>504036</t>
        </is>
      </c>
      <c r="I907" s="27">
        <f>IFERROR(IF(INDEX(Stocks!$G$2:$G$2139,MATCH(A907,Stocks!$E$2:$E$2139,0))="","No","Yes"),"No")</f>
        <v/>
      </c>
    </row>
    <row r="908">
      <c r="A908" s="16" t="inlineStr">
        <is>
          <t>INE998I01010</t>
        </is>
      </c>
      <c r="B908" s="16" t="inlineStr">
        <is>
          <t>MHRIL</t>
        </is>
      </c>
      <c r="C908" s="16" t="inlineStr">
        <is>
          <t>Mahindra Holidays &amp; Resorts India Ltd.</t>
        </is>
      </c>
      <c r="D908" s="16" t="inlineStr">
        <is>
          <t>Hotels</t>
        </is>
      </c>
      <c r="E908" s="16" t="inlineStr">
        <is>
          <t>Hotels Restaurants &amp; Tourism</t>
        </is>
      </c>
      <c r="F908" s="17" t="n">
        <v>4190.65</v>
      </c>
      <c r="G908" s="16" t="inlineStr">
        <is>
          <t>MHRIL</t>
        </is>
      </c>
      <c r="H908" s="16" t="inlineStr">
        <is>
          <t>533088</t>
        </is>
      </c>
      <c r="I908" s="27">
        <f>IFERROR(IF(INDEX(Stocks!$G$2:$G$2139,MATCH(A908,Stocks!$E$2:$E$2139,0))="","No","Yes"),"No")</f>
        <v/>
      </c>
    </row>
    <row r="909">
      <c r="A909" s="16" t="inlineStr">
        <is>
          <t>INE896L01010</t>
        </is>
      </c>
      <c r="B909" s="16" t="inlineStr">
        <is>
          <t>INDOSTAR</t>
        </is>
      </c>
      <c r="C909" s="16" t="inlineStr">
        <is>
          <t>Indostar Capital Finance Ltd.</t>
        </is>
      </c>
      <c r="D909" s="16" t="inlineStr">
        <is>
          <t>Finance (including NBFCs)</t>
        </is>
      </c>
      <c r="E909" s="16" t="inlineStr">
        <is>
          <t>Banking and Finance</t>
        </is>
      </c>
      <c r="F909" s="17" t="n">
        <v>4181.38</v>
      </c>
      <c r="G909" s="16" t="inlineStr">
        <is>
          <t>INDOSTAR</t>
        </is>
      </c>
      <c r="H909" s="16" t="inlineStr">
        <is>
          <t>541336</t>
        </is>
      </c>
      <c r="I909" s="27">
        <f>IFERROR(IF(INDEX(Stocks!$G$2:$G$2139,MATCH(A909,Stocks!$E$2:$E$2139,0))="","No","Yes"),"No")</f>
        <v/>
      </c>
    </row>
    <row r="910">
      <c r="A910" s="16" t="inlineStr">
        <is>
          <t>INE17IR01028</t>
        </is>
      </c>
      <c r="B910" s="16" t="inlineStr">
        <is>
          <t>LASERPOWER</t>
        </is>
      </c>
      <c r="C910" s="16" t="inlineStr">
        <is>
          <t>Laser Power and Infra Ltd.</t>
        </is>
      </c>
      <c r="D910" s="16" t="inlineStr">
        <is>
          <t>Wires &amp; Cables</t>
        </is>
      </c>
      <c r="E910" s="16" t="inlineStr">
        <is>
          <t>Consumer Durables</t>
        </is>
      </c>
      <c r="F910" s="17" t="n">
        <v>4149.99</v>
      </c>
      <c r="G910" s="16" t="inlineStr">
        <is>
          <t>LASERPOWER</t>
        </is>
      </c>
      <c r="H910" s="16" t="inlineStr">
        <is>
          <t>544822</t>
        </is>
      </c>
      <c r="I910" s="27">
        <f>IFERROR(IF(INDEX(Stocks!$G$2:$G$2139,MATCH(A910,Stocks!$E$2:$E$2139,0))="","No","Yes"),"No")</f>
        <v/>
      </c>
    </row>
    <row r="911">
      <c r="A911" s="16" t="inlineStr">
        <is>
          <t>INE935B01025</t>
        </is>
      </c>
      <c r="B911" s="16" t="inlineStr">
        <is>
          <t>MOSCHIP</t>
        </is>
      </c>
      <c r="C911" s="16" t="inlineStr">
        <is>
          <t>MosChip Technologies Ltd.</t>
        </is>
      </c>
      <c r="D911" s="16" t="inlineStr">
        <is>
          <t>IT Consulting &amp; Software</t>
        </is>
      </c>
      <c r="E911" s="16" t="inlineStr">
        <is>
          <t>Software &amp; Services</t>
        </is>
      </c>
      <c r="F911" s="17" t="n">
        <v>4139.31</v>
      </c>
      <c r="G911" s="16" t="inlineStr">
        <is>
          <t>MOSCHIP</t>
        </is>
      </c>
      <c r="H911" s="16" t="inlineStr">
        <is>
          <t>532407</t>
        </is>
      </c>
      <c r="I911" s="27">
        <f>IFERROR(IF(INDEX(Stocks!$G$2:$G$2139,MATCH(A911,Stocks!$E$2:$E$2139,0))="","No","Yes"),"No")</f>
        <v/>
      </c>
    </row>
    <row r="912">
      <c r="A912" s="16" t="inlineStr">
        <is>
          <t>INE0JUS01029</t>
        </is>
      </c>
      <c r="B912" s="16" t="inlineStr">
        <is>
          <t>HARSHA</t>
        </is>
      </c>
      <c r="C912" s="16" t="inlineStr">
        <is>
          <t>Harsha Engineers International Ltd.</t>
        </is>
      </c>
      <c r="D912" s="16" t="inlineStr">
        <is>
          <t>Construction &amp; Engineering</t>
        </is>
      </c>
      <c r="E912" s="16" t="inlineStr">
        <is>
          <t>Cement and Construction</t>
        </is>
      </c>
      <c r="F912" s="17" t="n">
        <v>4136.59</v>
      </c>
      <c r="G912" s="16" t="inlineStr">
        <is>
          <t>HARSHA</t>
        </is>
      </c>
      <c r="H912" s="16" t="inlineStr">
        <is>
          <t>543600</t>
        </is>
      </c>
      <c r="I912" s="27">
        <f>IFERROR(IF(INDEX(Stocks!$G$2:$G$2139,MATCH(A912,Stocks!$E$2:$E$2139,0))="","No","Yes"),"No")</f>
        <v/>
      </c>
    </row>
    <row r="913">
      <c r="A913" s="16" t="inlineStr">
        <is>
          <t>INE688D01026</t>
        </is>
      </c>
      <c r="B913" s="16" t="inlineStr">
        <is>
          <t>RESPONIND</t>
        </is>
      </c>
      <c r="C913" s="16" t="inlineStr">
        <is>
          <t>Responsive Industries Ltd.</t>
        </is>
      </c>
      <c r="D913" s="16" t="inlineStr">
        <is>
          <t>Furniture-Furnishing</t>
        </is>
      </c>
      <c r="E913" s="16" t="inlineStr">
        <is>
          <t>Diversified Consumer Services</t>
        </is>
      </c>
      <c r="F913" s="17" t="n">
        <v>4129.77</v>
      </c>
      <c r="G913" s="16" t="inlineStr">
        <is>
          <t>RESPONIND</t>
        </is>
      </c>
      <c r="H913" s="16" t="inlineStr">
        <is>
          <t>505509</t>
        </is>
      </c>
      <c r="I913" s="27">
        <f>IFERROR(IF(INDEX(Stocks!$G$2:$G$2139,MATCH(A913,Stocks!$E$2:$E$2139,0))="","No","Yes"),"No")</f>
        <v/>
      </c>
    </row>
    <row r="914">
      <c r="A914" s="16" t="inlineStr">
        <is>
          <t>INE06ST01018</t>
        </is>
      </c>
      <c r="B914" s="16" t="inlineStr">
        <is>
          <t>INDIQUBE</t>
        </is>
      </c>
      <c r="C914" s="16" t="inlineStr">
        <is>
          <t>Indiqube Spaces Ltd.</t>
        </is>
      </c>
      <c r="D914" s="16" t="inlineStr">
        <is>
          <t>Special Consumer Services</t>
        </is>
      </c>
      <c r="E914" s="16" t="inlineStr">
        <is>
          <t>Diversified Consumer Services</t>
        </is>
      </c>
      <c r="F914" s="17" t="n">
        <v>4124.2</v>
      </c>
      <c r="G914" s="16" t="inlineStr">
        <is>
          <t>INDIQUBE</t>
        </is>
      </c>
      <c r="H914" s="16" t="inlineStr">
        <is>
          <t>544454</t>
        </is>
      </c>
      <c r="I914" s="27">
        <f>IFERROR(IF(INDEX(Stocks!$G$2:$G$2139,MATCH(A914,Stocks!$E$2:$E$2139,0))="","No","Yes"),"No")</f>
        <v/>
      </c>
    </row>
    <row r="915">
      <c r="A915" s="16" t="inlineStr">
        <is>
          <t>INE005B01027</t>
        </is>
      </c>
      <c r="B915" s="16" t="inlineStr">
        <is>
          <t>AVANTEL</t>
        </is>
      </c>
      <c r="C915" s="16" t="inlineStr">
        <is>
          <t>Avantel Ltd.</t>
        </is>
      </c>
      <c r="D915" s="16" t="inlineStr">
        <is>
          <t>Telecom Equipment</t>
        </is>
      </c>
      <c r="E915" s="16" t="inlineStr">
        <is>
          <t>Telecommunications Equipment</t>
        </is>
      </c>
      <c r="F915" s="17" t="n">
        <v>4117.45</v>
      </c>
      <c r="G915" s="16" t="inlineStr">
        <is>
          <t>AVANTEL</t>
        </is>
      </c>
      <c r="H915" s="16" t="inlineStr">
        <is>
          <t>532406</t>
        </is>
      </c>
      <c r="I915" s="27">
        <f>IFERROR(IF(INDEX(Stocks!$G$2:$G$2139,MATCH(A915,Stocks!$E$2:$E$2139,0))="","No","Yes"),"No")</f>
        <v/>
      </c>
    </row>
    <row r="916">
      <c r="A916" s="16" t="inlineStr">
        <is>
          <t>INE907A01026</t>
        </is>
      </c>
      <c r="B916" s="16" t="inlineStr">
        <is>
          <t>KSL</t>
        </is>
      </c>
      <c r="C916" s="16" t="inlineStr">
        <is>
          <t>Kalyani Steels Ltd.</t>
        </is>
      </c>
      <c r="D916" s="16" t="inlineStr">
        <is>
          <t>Iron &amp; Steel/Interm.Products</t>
        </is>
      </c>
      <c r="E916" s="16" t="inlineStr">
        <is>
          <t>Metals &amp; Mining</t>
        </is>
      </c>
      <c r="F916" s="17" t="n">
        <v>4105.57</v>
      </c>
      <c r="G916" s="16" t="inlineStr">
        <is>
          <t>KSL</t>
        </is>
      </c>
      <c r="H916" s="16" t="inlineStr">
        <is>
          <t>500235</t>
        </is>
      </c>
      <c r="I916" s="27">
        <f>IFERROR(IF(INDEX(Stocks!$G$2:$G$2139,MATCH(A916,Stocks!$E$2:$E$2139,0))="","No","Yes"),"No")</f>
        <v/>
      </c>
    </row>
    <row r="917">
      <c r="A917" s="16" t="inlineStr">
        <is>
          <t>INE450D01021</t>
        </is>
      </c>
      <c r="B917" s="16" t="inlineStr">
        <is>
          <t>PITTIENG</t>
        </is>
      </c>
      <c r="C917" s="16" t="inlineStr">
        <is>
          <t>Pitti Engineering Ltd.</t>
        </is>
      </c>
      <c r="D917" s="16" t="inlineStr">
        <is>
          <t>Other Electrical Equipment/Products</t>
        </is>
      </c>
      <c r="E917" s="16" t="inlineStr">
        <is>
          <t>Consumer Durables</t>
        </is>
      </c>
      <c r="F917" s="17" t="n">
        <v>4085.04</v>
      </c>
      <c r="G917" s="16" t="inlineStr">
        <is>
          <t>PITTIENG</t>
        </is>
      </c>
      <c r="H917" s="16" t="inlineStr">
        <is>
          <t>513519</t>
        </is>
      </c>
      <c r="I917" s="27">
        <f>IFERROR(IF(INDEX(Stocks!$G$2:$G$2139,MATCH(A917,Stocks!$E$2:$E$2139,0))="","No","Yes"),"No")</f>
        <v/>
      </c>
    </row>
    <row r="918">
      <c r="A918" s="16" t="inlineStr">
        <is>
          <t>INE613A01020</t>
        </is>
      </c>
      <c r="B918" s="16" t="inlineStr">
        <is>
          <t>RALLIS</t>
        </is>
      </c>
      <c r="C918" s="16" t="inlineStr">
        <is>
          <t>Rallis India Ltd.</t>
        </is>
      </c>
      <c r="D918" s="16" t="inlineStr">
        <is>
          <t>Agrochemicals</t>
        </is>
      </c>
      <c r="E918" s="16" t="inlineStr">
        <is>
          <t>Chemicals &amp; Petrochemicals</t>
        </is>
      </c>
      <c r="F918" s="17" t="n">
        <v>4060.9</v>
      </c>
      <c r="G918" s="16" t="inlineStr">
        <is>
          <t>RALLIS</t>
        </is>
      </c>
      <c r="H918" s="16" t="inlineStr">
        <is>
          <t>500355</t>
        </is>
      </c>
      <c r="I918" s="27">
        <f>IFERROR(IF(INDEX(Stocks!$G$2:$G$2139,MATCH(A918,Stocks!$E$2:$E$2139,0))="","No","Yes"),"No")</f>
        <v/>
      </c>
    </row>
    <row r="919">
      <c r="A919" s="16" t="inlineStr">
        <is>
          <t>INE515A01019</t>
        </is>
      </c>
      <c r="B919" s="16" t="inlineStr">
        <is>
          <t>COCKERILL</t>
        </is>
      </c>
      <c r="C919" s="16" t="inlineStr">
        <is>
          <t>John Cockerill India Ltd.</t>
        </is>
      </c>
      <c r="D919" s="16" t="inlineStr">
        <is>
          <t>Industrial Machinery</t>
        </is>
      </c>
      <c r="E919" s="16" t="inlineStr">
        <is>
          <t>General Industrials</t>
        </is>
      </c>
      <c r="F919" s="17" t="n">
        <v>4046.58</v>
      </c>
      <c r="G919" s="16" t="inlineStr"/>
      <c r="H919" s="16" t="inlineStr">
        <is>
          <t>500147</t>
        </is>
      </c>
      <c r="I919" s="27">
        <f>IFERROR(IF(INDEX(Stocks!$G$2:$G$2139,MATCH(A919,Stocks!$E$2:$E$2139,0))="","No","Yes"),"No")</f>
        <v/>
      </c>
    </row>
    <row r="920">
      <c r="A920" s="16" t="inlineStr">
        <is>
          <t>INE02ID01020</t>
        </is>
      </c>
      <c r="B920" s="16" t="inlineStr">
        <is>
          <t>RAYMONDLSL</t>
        </is>
      </c>
      <c r="C920" s="16" t="inlineStr">
        <is>
          <t>Raymond Lifestyle Ltd.</t>
        </is>
      </c>
      <c r="D920" s="16" t="inlineStr">
        <is>
          <t>Textiles</t>
        </is>
      </c>
      <c r="E920" s="16" t="inlineStr">
        <is>
          <t>Textiles Apparels &amp; Accessories</t>
        </is>
      </c>
      <c r="F920" s="17" t="n">
        <v>4043.19</v>
      </c>
      <c r="G920" s="16" t="inlineStr">
        <is>
          <t>RAYMONDLSL</t>
        </is>
      </c>
      <c r="H920" s="16" t="inlineStr">
        <is>
          <t>544240</t>
        </is>
      </c>
      <c r="I920" s="27">
        <f>IFERROR(IF(INDEX(Stocks!$G$2:$G$2139,MATCH(A920,Stocks!$E$2:$E$2139,0))="","No","Yes"),"No")</f>
        <v/>
      </c>
    </row>
    <row r="921">
      <c r="A921" s="16" t="inlineStr">
        <is>
          <t>INE234A01025</t>
        </is>
      </c>
      <c r="B921" s="16" t="inlineStr">
        <is>
          <t>NOVARTIND</t>
        </is>
      </c>
      <c r="C921" s="16" t="inlineStr">
        <is>
          <t>Novartis India Ltd.</t>
        </is>
      </c>
      <c r="D921" s="16" t="inlineStr">
        <is>
          <t>Pharmaceuticals</t>
        </is>
      </c>
      <c r="E921" s="16" t="inlineStr">
        <is>
          <t>Pharmaceuticals &amp; Biotechnology</t>
        </is>
      </c>
      <c r="F921" s="17" t="n">
        <v>4042.13</v>
      </c>
      <c r="G921" s="16" t="inlineStr"/>
      <c r="H921" s="16" t="inlineStr">
        <is>
          <t>500672</t>
        </is>
      </c>
      <c r="I921" s="27">
        <f>IFERROR(IF(INDEX(Stocks!$G$2:$G$2139,MATCH(A921,Stocks!$E$2:$E$2139,0))="","No","Yes"),"No")</f>
        <v/>
      </c>
    </row>
    <row r="922">
      <c r="A922" s="16" t="inlineStr">
        <is>
          <t>INE111B01023</t>
        </is>
      </c>
      <c r="B922" s="16" t="inlineStr">
        <is>
          <t>63MOONS</t>
        </is>
      </c>
      <c r="C922" s="16" t="inlineStr">
        <is>
          <t>63 Moons Technologies Ltd.</t>
        </is>
      </c>
      <c r="D922" s="16" t="inlineStr">
        <is>
          <t>IT Consulting &amp; Software</t>
        </is>
      </c>
      <c r="E922" s="16" t="inlineStr">
        <is>
          <t>Software &amp; Services</t>
        </is>
      </c>
      <c r="F922" s="17" t="n">
        <v>4038.78</v>
      </c>
      <c r="G922" s="16" t="inlineStr">
        <is>
          <t>63MOONS</t>
        </is>
      </c>
      <c r="H922" s="16" t="inlineStr">
        <is>
          <t>526881</t>
        </is>
      </c>
      <c r="I922" s="27">
        <f>IFERROR(IF(INDEX(Stocks!$G$2:$G$2139,MATCH(A922,Stocks!$E$2:$E$2139,0))="","No","Yes"),"No")</f>
        <v/>
      </c>
    </row>
    <row r="923">
      <c r="A923" s="16" t="inlineStr">
        <is>
          <t>INE766P01016</t>
        </is>
      </c>
      <c r="B923" s="16" t="inlineStr">
        <is>
          <t>MAHLOG</t>
        </is>
      </c>
      <c r="C923" s="16" t="inlineStr">
        <is>
          <t>Mahindra Logistics Ltd.</t>
        </is>
      </c>
      <c r="D923" s="16" t="inlineStr">
        <is>
          <t>Warehousing &amp; Logistics</t>
        </is>
      </c>
      <c r="E923" s="16" t="inlineStr">
        <is>
          <t>Transportation</t>
        </is>
      </c>
      <c r="F923" s="17" t="n">
        <v>4024.21</v>
      </c>
      <c r="G923" s="16" t="inlineStr">
        <is>
          <t>MAHLOG</t>
        </is>
      </c>
      <c r="H923" s="16" t="inlineStr">
        <is>
          <t>540768</t>
        </is>
      </c>
      <c r="I923" s="27">
        <f>IFERROR(IF(INDEX(Stocks!$G$2:$G$2139,MATCH(A923,Stocks!$E$2:$E$2139,0))="","No","Yes"),"No")</f>
        <v/>
      </c>
    </row>
    <row r="924">
      <c r="A924" s="16" t="inlineStr">
        <is>
          <t>INE539A01019</t>
        </is>
      </c>
      <c r="B924" s="16" t="inlineStr">
        <is>
          <t>GHCL</t>
        </is>
      </c>
      <c r="C924" s="16" t="inlineStr">
        <is>
          <t>GHCL Ltd.</t>
        </is>
      </c>
      <c r="D924" s="16" t="inlineStr">
        <is>
          <t>Commodity Chemicals</t>
        </is>
      </c>
      <c r="E924" s="16" t="inlineStr">
        <is>
          <t>Chemicals &amp; Petrochemicals</t>
        </is>
      </c>
      <c r="F924" s="17" t="n">
        <v>4022.43</v>
      </c>
      <c r="G924" s="16" t="inlineStr">
        <is>
          <t>GHCL</t>
        </is>
      </c>
      <c r="H924" s="16" t="inlineStr">
        <is>
          <t>500171</t>
        </is>
      </c>
      <c r="I924" s="27">
        <f>IFERROR(IF(INDEX(Stocks!$G$2:$G$2139,MATCH(A924,Stocks!$E$2:$E$2139,0))="","No","Yes"),"No")</f>
        <v/>
      </c>
    </row>
    <row r="925">
      <c r="A925" s="16" t="inlineStr">
        <is>
          <t>INE758C01029</t>
        </is>
      </c>
      <c r="B925" s="16" t="inlineStr">
        <is>
          <t>AHLUCONT</t>
        </is>
      </c>
      <c r="C925" s="16" t="inlineStr">
        <is>
          <t>Ahluwalia Contracts (India) Ltd.</t>
        </is>
      </c>
      <c r="D925" s="16" t="inlineStr">
        <is>
          <t>Construction &amp; Engineering</t>
        </is>
      </c>
      <c r="E925" s="16" t="inlineStr">
        <is>
          <t>Cement and Construction</t>
        </is>
      </c>
      <c r="F925" s="17" t="n">
        <v>4012.89</v>
      </c>
      <c r="G925" s="16" t="inlineStr">
        <is>
          <t>AHLUCONT</t>
        </is>
      </c>
      <c r="H925" s="16" t="inlineStr">
        <is>
          <t>532811</t>
        </is>
      </c>
      <c r="I925" s="27">
        <f>IFERROR(IF(INDEX(Stocks!$G$2:$G$2139,MATCH(A925,Stocks!$E$2:$E$2139,0))="","No","Yes"),"No")</f>
        <v/>
      </c>
    </row>
    <row r="926">
      <c r="A926" s="16" t="inlineStr">
        <is>
          <t>INE421C01016</t>
        </is>
      </c>
      <c r="B926" s="16" t="inlineStr">
        <is>
          <t>TVSSRICHAK</t>
        </is>
      </c>
      <c r="C926" s="16" t="inlineStr">
        <is>
          <t>TVS Srichakra Ltd.</t>
        </is>
      </c>
      <c r="D926" s="16" t="inlineStr">
        <is>
          <t>Auto Tyres &amp; Rubber Products</t>
        </is>
      </c>
      <c r="E926" s="16" t="inlineStr">
        <is>
          <t>Automobiles &amp; Auto Components</t>
        </is>
      </c>
      <c r="F926" s="17" t="n">
        <v>4010.35</v>
      </c>
      <c r="G926" s="16" t="inlineStr">
        <is>
          <t>TVSSRICHAK</t>
        </is>
      </c>
      <c r="H926" s="16" t="inlineStr">
        <is>
          <t>509243</t>
        </is>
      </c>
      <c r="I926" s="27">
        <f>IFERROR(IF(INDEX(Stocks!$G$2:$G$2139,MATCH(A926,Stocks!$E$2:$E$2139,0))="","No","Yes"),"No")</f>
        <v/>
      </c>
    </row>
    <row r="927">
      <c r="A927" s="16" t="inlineStr">
        <is>
          <t>INE225D01027</t>
        </is>
      </c>
      <c r="B927" s="16" t="inlineStr">
        <is>
          <t>SYMPHONY</t>
        </is>
      </c>
      <c r="C927" s="16" t="inlineStr">
        <is>
          <t>Symphony Ltd.</t>
        </is>
      </c>
      <c r="D927" s="16" t="inlineStr">
        <is>
          <t>Consumer Electronics</t>
        </is>
      </c>
      <c r="E927" s="16" t="inlineStr">
        <is>
          <t>Consumer Durables</t>
        </is>
      </c>
      <c r="F927" s="17" t="n">
        <v>3985.34</v>
      </c>
      <c r="G927" s="16" t="inlineStr">
        <is>
          <t>SYMPHONY</t>
        </is>
      </c>
      <c r="H927" s="16" t="inlineStr">
        <is>
          <t>517385</t>
        </is>
      </c>
      <c r="I927" s="27">
        <f>IFERROR(IF(INDEX(Stocks!$G$2:$G$2139,MATCH(A927,Stocks!$E$2:$E$2139,0))="","No","Yes"),"No")</f>
        <v/>
      </c>
    </row>
    <row r="928">
      <c r="A928" s="16" t="inlineStr">
        <is>
          <t>INE399K01017</t>
        </is>
      </c>
      <c r="B928" s="16" t="inlineStr">
        <is>
          <t>RTNPOWER</t>
        </is>
      </c>
      <c r="C928" s="16" t="inlineStr">
        <is>
          <t>RattanIndia Power Ltd.</t>
        </is>
      </c>
      <c r="D928" s="16" t="inlineStr">
        <is>
          <t>Power - Electric Utilities</t>
        </is>
      </c>
      <c r="E928" s="16" t="inlineStr">
        <is>
          <t>Utilities</t>
        </is>
      </c>
      <c r="F928" s="17" t="n">
        <v>3952.4</v>
      </c>
      <c r="G928" s="16" t="inlineStr">
        <is>
          <t>RTNPOWER</t>
        </is>
      </c>
      <c r="H928" s="16" t="inlineStr">
        <is>
          <t>533122</t>
        </is>
      </c>
      <c r="I928" s="27">
        <f>IFERROR(IF(INDEX(Stocks!$G$2:$G$2139,MATCH(A928,Stocks!$E$2:$E$2139,0))="","No","Yes"),"No")</f>
        <v/>
      </c>
    </row>
    <row r="929">
      <c r="A929" s="16" t="inlineStr">
        <is>
          <t>INE244O01017</t>
        </is>
      </c>
      <c r="B929" s="16" t="inlineStr">
        <is>
          <t>UNIPARTS</t>
        </is>
      </c>
      <c r="C929" s="16" t="inlineStr">
        <is>
          <t>Uniparts India Ltd.</t>
        </is>
      </c>
      <c r="D929" s="16" t="inlineStr">
        <is>
          <t>Heavy Electrical Equipment</t>
        </is>
      </c>
      <c r="E929" s="16" t="inlineStr">
        <is>
          <t>General Industrials</t>
        </is>
      </c>
      <c r="F929" s="17" t="n">
        <v>3947.3</v>
      </c>
      <c r="G929" s="16" t="inlineStr">
        <is>
          <t>UNIPARTS</t>
        </is>
      </c>
      <c r="H929" s="16" t="inlineStr">
        <is>
          <t>543689</t>
        </is>
      </c>
      <c r="I929" s="27">
        <f>IFERROR(IF(INDEX(Stocks!$G$2:$G$2139,MATCH(A929,Stocks!$E$2:$E$2139,0))="","No","Yes"),"No")</f>
        <v/>
      </c>
    </row>
    <row r="930">
      <c r="A930" s="16" t="inlineStr">
        <is>
          <t>INE731F01037</t>
        </is>
      </c>
      <c r="B930" s="16" t="inlineStr">
        <is>
          <t>WELSPLSOL</t>
        </is>
      </c>
      <c r="C930" s="16" t="inlineStr">
        <is>
          <t>Welspun Specialty Solutions Ltd.</t>
        </is>
      </c>
      <c r="D930" s="16" t="inlineStr">
        <is>
          <t>Iron &amp; Steel/Interm.Products</t>
        </is>
      </c>
      <c r="E930" s="16" t="inlineStr">
        <is>
          <t>Metals &amp; Mining</t>
        </is>
      </c>
      <c r="F930" s="17" t="n">
        <v>3943.86</v>
      </c>
      <c r="G930" s="16" t="inlineStr"/>
      <c r="H930" s="16" t="inlineStr">
        <is>
          <t>500365</t>
        </is>
      </c>
      <c r="I930" s="27">
        <f>IFERROR(IF(INDEX(Stocks!$G$2:$G$2139,MATCH(A930,Stocks!$E$2:$E$2139,0))="","No","Yes"),"No")</f>
        <v/>
      </c>
    </row>
    <row r="931">
      <c r="A931" s="16" t="inlineStr">
        <is>
          <t>INE767A01016</t>
        </is>
      </c>
      <c r="B931" s="16" t="inlineStr">
        <is>
          <t>AARTIDRUGS</t>
        </is>
      </c>
      <c r="C931" s="16" t="inlineStr">
        <is>
          <t>Aarti Drugs Ltd.</t>
        </is>
      </c>
      <c r="D931" s="16" t="inlineStr">
        <is>
          <t>Pharmaceuticals</t>
        </is>
      </c>
      <c r="E931" s="16" t="inlineStr">
        <is>
          <t>Pharmaceuticals &amp; Biotechnology</t>
        </is>
      </c>
      <c r="F931" s="17" t="n">
        <v>3939.67</v>
      </c>
      <c r="G931" s="16" t="inlineStr">
        <is>
          <t>AARTIDRUGS</t>
        </is>
      </c>
      <c r="H931" s="16" t="inlineStr">
        <is>
          <t>524348</t>
        </is>
      </c>
      <c r="I931" s="27">
        <f>IFERROR(IF(INDEX(Stocks!$G$2:$G$2139,MATCH(A931,Stocks!$E$2:$E$2139,0))="","No","Yes"),"No")</f>
        <v/>
      </c>
    </row>
    <row r="932">
      <c r="A932" s="16" t="inlineStr">
        <is>
          <t>INE0GK401011</t>
        </is>
      </c>
      <c r="B932" s="16" t="inlineStr">
        <is>
          <t>TATVA</t>
        </is>
      </c>
      <c r="C932" s="16" t="inlineStr">
        <is>
          <t>Tatva Chintan Pharma Chem Ltd.</t>
        </is>
      </c>
      <c r="D932" s="16" t="inlineStr">
        <is>
          <t>Specialty Chemicals</t>
        </is>
      </c>
      <c r="E932" s="16" t="inlineStr">
        <is>
          <t>Chemicals &amp; Petrochemicals</t>
        </is>
      </c>
      <c r="F932" s="17" t="n">
        <v>3926.36</v>
      </c>
      <c r="G932" s="16" t="inlineStr">
        <is>
          <t>TATVA</t>
        </is>
      </c>
      <c r="H932" s="16" t="inlineStr">
        <is>
          <t>543321</t>
        </is>
      </c>
      <c r="I932" s="27">
        <f>IFERROR(IF(INDEX(Stocks!$G$2:$G$2139,MATCH(A932,Stocks!$E$2:$E$2139,0))="","No","Yes"),"No")</f>
        <v/>
      </c>
    </row>
    <row r="933">
      <c r="A933" s="16" t="inlineStr">
        <is>
          <t>INE358U01012</t>
        </is>
      </c>
      <c r="B933" s="16" t="inlineStr">
        <is>
          <t>ZOTA</t>
        </is>
      </c>
      <c r="C933" s="16" t="inlineStr">
        <is>
          <t>Zota Healthcare Ltd.</t>
        </is>
      </c>
      <c r="D933" s="16" t="inlineStr">
        <is>
          <t>Pharmaceuticals</t>
        </is>
      </c>
      <c r="E933" s="16" t="inlineStr">
        <is>
          <t>Pharmaceuticals &amp; Biotechnology</t>
        </is>
      </c>
      <c r="F933" s="17" t="n">
        <v>3921.8</v>
      </c>
      <c r="G933" s="16" t="inlineStr">
        <is>
          <t>ZOTA</t>
        </is>
      </c>
      <c r="H933" s="16" t="inlineStr"/>
      <c r="I933" s="27">
        <f>IFERROR(IF(INDEX(Stocks!$G$2:$G$2139,MATCH(A933,Stocks!$E$2:$E$2139,0))="","No","Yes"),"No")</f>
        <v/>
      </c>
    </row>
    <row r="934">
      <c r="A934" s="16" t="inlineStr">
        <is>
          <t>INE250A01039</t>
        </is>
      </c>
      <c r="B934" s="16" t="inlineStr">
        <is>
          <t>KIRLOSIND</t>
        </is>
      </c>
      <c r="C934" s="16" t="inlineStr">
        <is>
          <t>Kirloskar Industries Ltd.</t>
        </is>
      </c>
      <c r="D934" s="16" t="inlineStr">
        <is>
          <t>Other Industrial Products</t>
        </is>
      </c>
      <c r="E934" s="16" t="inlineStr">
        <is>
          <t>General Industrials</t>
        </is>
      </c>
      <c r="F934" s="17" t="n">
        <v>3921.66</v>
      </c>
      <c r="G934" s="16" t="inlineStr">
        <is>
          <t>KIRLOSIND</t>
        </is>
      </c>
      <c r="H934" s="16" t="inlineStr">
        <is>
          <t>500243</t>
        </is>
      </c>
      <c r="I934" s="27">
        <f>IFERROR(IF(INDEX(Stocks!$G$2:$G$2139,MATCH(A934,Stocks!$E$2:$E$2139,0))="","No","Yes"),"No")</f>
        <v/>
      </c>
    </row>
    <row r="935">
      <c r="A935" s="16" t="inlineStr">
        <is>
          <t>INE094I01018</t>
        </is>
      </c>
      <c r="B935" s="16" t="inlineStr">
        <is>
          <t>KOLTEPATIL</t>
        </is>
      </c>
      <c r="C935" s="16" t="inlineStr">
        <is>
          <t>Kolte-Patil Developers Ltd.</t>
        </is>
      </c>
      <c r="D935" s="16" t="inlineStr">
        <is>
          <t>Realty</t>
        </is>
      </c>
      <c r="E935" s="16" t="inlineStr">
        <is>
          <t>Realty</t>
        </is>
      </c>
      <c r="F935" s="17" t="n">
        <v>3918.33</v>
      </c>
      <c r="G935" s="16" t="inlineStr">
        <is>
          <t>KOLTEPATIL</t>
        </is>
      </c>
      <c r="H935" s="16" t="inlineStr">
        <is>
          <t>532924</t>
        </is>
      </c>
      <c r="I935" s="27">
        <f>IFERROR(IF(INDEX(Stocks!$G$2:$G$2139,MATCH(A935,Stocks!$E$2:$E$2139,0))="","No","Yes"),"No")</f>
        <v/>
      </c>
    </row>
    <row r="936">
      <c r="A936" s="16" t="inlineStr">
        <is>
          <t>INE295D01020</t>
        </is>
      </c>
      <c r="B936" s="16" t="inlineStr">
        <is>
          <t>NACLIND</t>
        </is>
      </c>
      <c r="C936" s="16" t="inlineStr">
        <is>
          <t>NACL Industries Ltd.</t>
        </is>
      </c>
      <c r="D936" s="16" t="inlineStr">
        <is>
          <t>Agrochemicals</t>
        </is>
      </c>
      <c r="E936" s="16" t="inlineStr">
        <is>
          <t>Chemicals &amp; Petrochemicals</t>
        </is>
      </c>
      <c r="F936" s="17" t="n">
        <v>3908.12</v>
      </c>
      <c r="G936" s="16" t="inlineStr">
        <is>
          <t>NACLIND</t>
        </is>
      </c>
      <c r="H936" s="16" t="inlineStr">
        <is>
          <t>524709</t>
        </is>
      </c>
      <c r="I936" s="27">
        <f>IFERROR(IF(INDEX(Stocks!$G$2:$G$2139,MATCH(A936,Stocks!$E$2:$E$2139,0))="","No","Yes"),"No")</f>
        <v/>
      </c>
    </row>
    <row r="937">
      <c r="A937" s="16" t="inlineStr">
        <is>
          <t>INE0ILV01024</t>
        </is>
      </c>
      <c r="B937" s="16" t="inlineStr">
        <is>
          <t>CAPILLARY</t>
        </is>
      </c>
      <c r="C937" s="16" t="inlineStr">
        <is>
          <t>Capillary Technologies India Ltd.</t>
        </is>
      </c>
      <c r="D937" s="16" t="inlineStr">
        <is>
          <t>IT Software Products</t>
        </is>
      </c>
      <c r="E937" s="16" t="inlineStr">
        <is>
          <t>Software &amp; Services</t>
        </is>
      </c>
      <c r="F937" s="17" t="n">
        <v>3900.24</v>
      </c>
      <c r="G937" s="16" t="inlineStr">
        <is>
          <t>CAPILLARY</t>
        </is>
      </c>
      <c r="H937" s="16" t="inlineStr">
        <is>
          <t>544614</t>
        </is>
      </c>
      <c r="I937" s="27">
        <f>IFERROR(IF(INDEX(Stocks!$G$2:$G$2139,MATCH(A937,Stocks!$E$2:$E$2139,0))="","No","Yes"),"No")</f>
        <v/>
      </c>
    </row>
    <row r="938">
      <c r="A938" s="16" t="inlineStr">
        <is>
          <t>INE325D01025</t>
        </is>
      </c>
      <c r="B938" s="16" t="inlineStr">
        <is>
          <t>SINDHUTRAD</t>
        </is>
      </c>
      <c r="C938" s="16" t="inlineStr">
        <is>
          <t>Sindhu Trade Links Ltd.</t>
        </is>
      </c>
      <c r="D938" s="16" t="inlineStr">
        <is>
          <t>Diversified</t>
        </is>
      </c>
      <c r="E938" s="16" t="inlineStr">
        <is>
          <t>Diversified</t>
        </is>
      </c>
      <c r="F938" s="17" t="n">
        <v>3898</v>
      </c>
      <c r="G938" s="16" t="inlineStr">
        <is>
          <t>SINDHUTRAD</t>
        </is>
      </c>
      <c r="H938" s="16" t="inlineStr">
        <is>
          <t>532029</t>
        </is>
      </c>
      <c r="I938" s="27">
        <f>IFERROR(IF(INDEX(Stocks!$G$2:$G$2139,MATCH(A938,Stocks!$E$2:$E$2139,0))="","No","Yes"),"No")</f>
        <v/>
      </c>
    </row>
    <row r="939">
      <c r="A939" s="16" t="inlineStr">
        <is>
          <t>INE925R01014</t>
        </is>
      </c>
      <c r="B939" s="16" t="inlineStr">
        <is>
          <t>CMSINFO</t>
        </is>
      </c>
      <c r="C939" s="16" t="inlineStr">
        <is>
          <t>CMS Info Systems Ltd.</t>
        </is>
      </c>
      <c r="D939" s="16" t="inlineStr">
        <is>
          <t>Other Financial Services</t>
        </is>
      </c>
      <c r="E939" s="16" t="inlineStr">
        <is>
          <t>Banking and Finance</t>
        </is>
      </c>
      <c r="F939" s="17" t="n">
        <v>3896.9</v>
      </c>
      <c r="G939" s="16" t="inlineStr">
        <is>
          <t>CMSINFO</t>
        </is>
      </c>
      <c r="H939" s="16" t="inlineStr">
        <is>
          <t>543441</t>
        </is>
      </c>
      <c r="I939" s="27">
        <f>IFERROR(IF(INDEX(Stocks!$G$2:$G$2139,MATCH(A939,Stocks!$E$2:$E$2139,0))="","No","Yes"),"No")</f>
        <v/>
      </c>
    </row>
    <row r="940">
      <c r="A940" s="16" t="inlineStr">
        <is>
          <t>INE332H01014</t>
        </is>
      </c>
      <c r="B940" s="16" t="inlineStr">
        <is>
          <t>INDOTECH</t>
        </is>
      </c>
      <c r="C940" s="16" t="inlineStr">
        <is>
          <t>Indo Tech Transformers Ltd.</t>
        </is>
      </c>
      <c r="D940" s="16" t="inlineStr">
        <is>
          <t>Heavy Electrical Equipment</t>
        </is>
      </c>
      <c r="E940" s="16" t="inlineStr">
        <is>
          <t>General Industrials</t>
        </is>
      </c>
      <c r="F940" s="17" t="n">
        <v>3890.21</v>
      </c>
      <c r="G940" s="16" t="inlineStr">
        <is>
          <t>INDOTECH</t>
        </is>
      </c>
      <c r="H940" s="16" t="inlineStr">
        <is>
          <t>532717</t>
        </is>
      </c>
      <c r="I940" s="27">
        <f>IFERROR(IF(INDEX(Stocks!$G$2:$G$2139,MATCH(A940,Stocks!$E$2:$E$2139,0))="","No","Yes"),"No")</f>
        <v/>
      </c>
    </row>
    <row r="941">
      <c r="A941" s="16" t="inlineStr">
        <is>
          <t>INE270A01029</t>
        </is>
      </c>
      <c r="B941" s="16" t="inlineStr">
        <is>
          <t>ALOKINDS</t>
        </is>
      </c>
      <c r="C941" s="16" t="inlineStr">
        <is>
          <t>Alok Industries Ltd.</t>
        </is>
      </c>
      <c r="D941" s="16" t="inlineStr">
        <is>
          <t>Textiles</t>
        </is>
      </c>
      <c r="E941" s="16" t="inlineStr">
        <is>
          <t>Textiles Apparels &amp; Accessories</t>
        </is>
      </c>
      <c r="F941" s="17" t="n">
        <v>3887.78</v>
      </c>
      <c r="G941" s="16" t="inlineStr">
        <is>
          <t>ALOKINDS</t>
        </is>
      </c>
      <c r="H941" s="16" t="inlineStr">
        <is>
          <t>521070</t>
        </is>
      </c>
      <c r="I941" s="27">
        <f>IFERROR(IF(INDEX(Stocks!$G$2:$G$2139,MATCH(A941,Stocks!$E$2:$E$2139,0))="","No","Yes"),"No")</f>
        <v/>
      </c>
    </row>
    <row r="942">
      <c r="A942" s="16" t="inlineStr">
        <is>
          <t>INE056I01025</t>
        </is>
      </c>
      <c r="B942" s="16" t="inlineStr">
        <is>
          <t>REFEX</t>
        </is>
      </c>
      <c r="C942" s="16" t="inlineStr">
        <is>
          <t>Refex Industries Ltd.</t>
        </is>
      </c>
      <c r="D942" s="16" t="inlineStr">
        <is>
          <t>Industrial Gases</t>
        </is>
      </c>
      <c r="E942" s="16" t="inlineStr">
        <is>
          <t>General Industrials</t>
        </is>
      </c>
      <c r="F942" s="17" t="n">
        <v>3877.39</v>
      </c>
      <c r="G942" s="16" t="inlineStr">
        <is>
          <t>REFEX</t>
        </is>
      </c>
      <c r="H942" s="16" t="inlineStr">
        <is>
          <t>532884</t>
        </is>
      </c>
      <c r="I942" s="27">
        <f>IFERROR(IF(INDEX(Stocks!$G$2:$G$2139,MATCH(A942,Stocks!$E$2:$E$2139,0))="","No","Yes"),"No")</f>
        <v/>
      </c>
    </row>
    <row r="943">
      <c r="A943" s="16" t="inlineStr">
        <is>
          <t>INE351A01035</t>
        </is>
      </c>
      <c r="B943" s="16" t="inlineStr">
        <is>
          <t>UNICHEMLAB</t>
        </is>
      </c>
      <c r="C943" s="16" t="inlineStr">
        <is>
          <t>Unichem Laboratories Ltd.</t>
        </is>
      </c>
      <c r="D943" s="16" t="inlineStr">
        <is>
          <t>Pharmaceuticals</t>
        </is>
      </c>
      <c r="E943" s="16" t="inlineStr">
        <is>
          <t>Pharmaceuticals &amp; Biotechnology</t>
        </is>
      </c>
      <c r="F943" s="17" t="n">
        <v>3873.73</v>
      </c>
      <c r="G943" s="16" t="inlineStr">
        <is>
          <t>UNICHEMLAB</t>
        </is>
      </c>
      <c r="H943" s="16" t="inlineStr">
        <is>
          <t>506690</t>
        </is>
      </c>
      <c r="I943" s="27">
        <f>IFERROR(IF(INDEX(Stocks!$G$2:$G$2139,MATCH(A943,Stocks!$E$2:$E$2139,0))="","No","Yes"),"No")</f>
        <v/>
      </c>
    </row>
    <row r="944">
      <c r="A944" s="16" t="inlineStr">
        <is>
          <t>INE349Y01013</t>
        </is>
      </c>
      <c r="B944" s="16" t="inlineStr">
        <is>
          <t>IDEAFORGE</t>
        </is>
      </c>
      <c r="C944" s="16" t="inlineStr">
        <is>
          <t>ideaForge Technology Ltd.</t>
        </is>
      </c>
      <c r="D944" s="16" t="inlineStr">
        <is>
          <t>Aerospace &amp; Defence</t>
        </is>
      </c>
      <c r="E944" s="16" t="inlineStr">
        <is>
          <t>General Industrials</t>
        </is>
      </c>
      <c r="F944" s="17" t="n">
        <v>3862.6</v>
      </c>
      <c r="G944" s="16" t="inlineStr">
        <is>
          <t>IDEAFORGE</t>
        </is>
      </c>
      <c r="H944" s="16" t="inlineStr">
        <is>
          <t>543932</t>
        </is>
      </c>
      <c r="I944" s="27">
        <f>IFERROR(IF(INDEX(Stocks!$G$2:$G$2139,MATCH(A944,Stocks!$E$2:$E$2139,0))="","No","Yes"),"No")</f>
        <v/>
      </c>
    </row>
    <row r="945">
      <c r="A945" s="16" t="inlineStr">
        <is>
          <t>INE758D01027</t>
        </is>
      </c>
      <c r="B945" s="16" t="inlineStr">
        <is>
          <t>DHENUBUILD</t>
        </is>
      </c>
      <c r="C945" s="16" t="inlineStr">
        <is>
          <t>Dhenu Buildcon Infra Ltd.</t>
        </is>
      </c>
      <c r="D945" s="16" t="inlineStr">
        <is>
          <t>Finance (including NBFCs)</t>
        </is>
      </c>
      <c r="E945" s="16" t="inlineStr">
        <is>
          <t>Banking and Finance</t>
        </is>
      </c>
      <c r="F945" s="17" t="n">
        <v>3856.97</v>
      </c>
      <c r="G945" s="16" t="inlineStr"/>
      <c r="H945" s="16" t="inlineStr">
        <is>
          <t>501945</t>
        </is>
      </c>
      <c r="I945" s="27">
        <f>IFERROR(IF(INDEX(Stocks!$G$2:$G$2139,MATCH(A945,Stocks!$E$2:$E$2139,0))="","No","Yes"),"No")</f>
        <v/>
      </c>
    </row>
    <row r="946">
      <c r="A946" s="16" t="inlineStr">
        <is>
          <t>INE052V01019</t>
        </is>
      </c>
      <c r="B946" s="16" t="inlineStr">
        <is>
          <t>CIANAGRO</t>
        </is>
      </c>
      <c r="C946" s="16" t="inlineStr">
        <is>
          <t>CIAN Agro Industries &amp; Infrastructure Ltd.</t>
        </is>
      </c>
      <c r="D946" s="16" t="inlineStr">
        <is>
          <t>Edible Oils</t>
        </is>
      </c>
      <c r="E946" s="16" t="inlineStr">
        <is>
          <t>FMCG</t>
        </is>
      </c>
      <c r="F946" s="17" t="n">
        <v>3850.72</v>
      </c>
      <c r="G946" s="16" t="inlineStr"/>
      <c r="H946" s="16" t="inlineStr">
        <is>
          <t>519477</t>
        </is>
      </c>
      <c r="I946" s="27">
        <f>IFERROR(IF(INDEX(Stocks!$G$2:$G$2139,MATCH(A946,Stocks!$E$2:$E$2139,0))="","No","Yes"),"No")</f>
        <v/>
      </c>
    </row>
    <row r="947">
      <c r="A947" s="16" t="inlineStr">
        <is>
          <t>INE0JPD01013</t>
        </is>
      </c>
      <c r="B947" s="16" t="inlineStr">
        <is>
          <t>SANATHAN</t>
        </is>
      </c>
      <c r="C947" s="16" t="inlineStr">
        <is>
          <t>Sanathan Textiles Ltd.</t>
        </is>
      </c>
      <c r="D947" s="16" t="inlineStr">
        <is>
          <t>Textiles</t>
        </is>
      </c>
      <c r="E947" s="16" t="inlineStr">
        <is>
          <t>Textiles Apparels &amp; Accessories</t>
        </is>
      </c>
      <c r="F947" s="17" t="n">
        <v>3850.52</v>
      </c>
      <c r="G947" s="16" t="inlineStr">
        <is>
          <t>SANATHAN</t>
        </is>
      </c>
      <c r="H947" s="16" t="inlineStr">
        <is>
          <t>544314</t>
        </is>
      </c>
      <c r="I947" s="27">
        <f>IFERROR(IF(INDEX(Stocks!$G$2:$G$2139,MATCH(A947,Stocks!$E$2:$E$2139,0))="","No","Yes"),"No")</f>
        <v/>
      </c>
    </row>
    <row r="948">
      <c r="A948" s="16" t="inlineStr">
        <is>
          <t>INE834M01019</t>
        </is>
      </c>
      <c r="B948" s="16" t="inlineStr">
        <is>
          <t>RTNINDIA</t>
        </is>
      </c>
      <c r="C948" s="16" t="inlineStr">
        <is>
          <t>RattanIndia Enterprises Ltd.</t>
        </is>
      </c>
      <c r="D948" s="16" t="inlineStr">
        <is>
          <t>Power - Electric Utilities</t>
        </is>
      </c>
      <c r="E948" s="16" t="inlineStr">
        <is>
          <t>Utilities</t>
        </is>
      </c>
      <c r="F948" s="17" t="n">
        <v>3845.47</v>
      </c>
      <c r="G948" s="16" t="inlineStr">
        <is>
          <t>RTNINDIA</t>
        </is>
      </c>
      <c r="H948" s="16" t="inlineStr">
        <is>
          <t>534597</t>
        </is>
      </c>
      <c r="I948" s="27">
        <f>IFERROR(IF(INDEX(Stocks!$G$2:$G$2139,MATCH(A948,Stocks!$E$2:$E$2139,0))="","No","Yes"),"No")</f>
        <v/>
      </c>
    </row>
    <row r="949">
      <c r="A949" s="16" t="inlineStr">
        <is>
          <t>INE0XAD01024</t>
        </is>
      </c>
      <c r="B949" s="16" t="inlineStr">
        <is>
          <t>MIDWESTLTD</t>
        </is>
      </c>
      <c r="C949" s="16" t="inlineStr">
        <is>
          <t>Midwest Ltd.</t>
        </is>
      </c>
      <c r="D949" s="16" t="inlineStr">
        <is>
          <t>Construction Materials</t>
        </is>
      </c>
      <c r="E949" s="16" t="inlineStr">
        <is>
          <t>Cement and Construction</t>
        </is>
      </c>
      <c r="F949" s="17" t="n">
        <v>3840.64</v>
      </c>
      <c r="G949" s="16" t="inlineStr">
        <is>
          <t>MIDWESTLTD</t>
        </is>
      </c>
      <c r="H949" s="16" t="inlineStr">
        <is>
          <t>544587</t>
        </is>
      </c>
      <c r="I949" s="27">
        <f>IFERROR(IF(INDEX(Stocks!$G$2:$G$2139,MATCH(A949,Stocks!$E$2:$E$2139,0))="","No","Yes"),"No")</f>
        <v/>
      </c>
    </row>
    <row r="950">
      <c r="A950" s="16" t="inlineStr">
        <is>
          <t>INE455I01029</t>
        </is>
      </c>
      <c r="B950" s="16" t="inlineStr">
        <is>
          <t>KSCL</t>
        </is>
      </c>
      <c r="C950" s="16" t="inlineStr">
        <is>
          <t>Kaveri Seed Company Ltd.</t>
        </is>
      </c>
      <c r="D950" s="16" t="inlineStr">
        <is>
          <t>Other Agricultural Products</t>
        </is>
      </c>
      <c r="E950" s="16" t="inlineStr">
        <is>
          <t>Food, Beverages &amp; Tobacco</t>
        </is>
      </c>
      <c r="F950" s="17" t="n">
        <v>3827.58</v>
      </c>
      <c r="G950" s="16" t="inlineStr">
        <is>
          <t>KSCL</t>
        </is>
      </c>
      <c r="H950" s="16" t="inlineStr">
        <is>
          <t>532899</t>
        </is>
      </c>
      <c r="I950" s="27">
        <f>IFERROR(IF(INDEX(Stocks!$G$2:$G$2139,MATCH(A950,Stocks!$E$2:$E$2139,0))="","No","Yes"),"No")</f>
        <v/>
      </c>
    </row>
    <row r="951">
      <c r="A951" s="16" t="inlineStr">
        <is>
          <t>INE142Z01019</t>
        </is>
      </c>
      <c r="B951" s="16" t="inlineStr">
        <is>
          <t>ORIENTELEC</t>
        </is>
      </c>
      <c r="C951" s="16" t="inlineStr">
        <is>
          <t>Orient Electric Ltd.</t>
        </is>
      </c>
      <c r="D951" s="16" t="inlineStr">
        <is>
          <t>Consumer Electronics</t>
        </is>
      </c>
      <c r="E951" s="16" t="inlineStr">
        <is>
          <t>Consumer Durables</t>
        </is>
      </c>
      <c r="F951" s="17" t="n">
        <v>3823.3</v>
      </c>
      <c r="G951" s="16" t="inlineStr">
        <is>
          <t>ORIENTELEC</t>
        </is>
      </c>
      <c r="H951" s="16" t="inlineStr">
        <is>
          <t>541301</t>
        </is>
      </c>
      <c r="I951" s="27">
        <f>IFERROR(IF(INDEX(Stocks!$G$2:$G$2139,MATCH(A951,Stocks!$E$2:$E$2139,0))="","No","Yes"),"No")</f>
        <v/>
      </c>
    </row>
    <row r="952">
      <c r="A952" s="16" t="inlineStr">
        <is>
          <t>INE193E01025</t>
        </is>
      </c>
      <c r="B952" s="16" t="inlineStr">
        <is>
          <t>BAJAJELEC</t>
        </is>
      </c>
      <c r="C952" s="16" t="inlineStr">
        <is>
          <t>Bajaj Electricals Ltd.</t>
        </is>
      </c>
      <c r="D952" s="16" t="inlineStr">
        <is>
          <t>Household Appliances</t>
        </is>
      </c>
      <c r="E952" s="16" t="inlineStr">
        <is>
          <t>Consumer Durables</t>
        </is>
      </c>
      <c r="F952" s="17" t="n">
        <v>3821.23</v>
      </c>
      <c r="G952" s="16" t="inlineStr">
        <is>
          <t>BAJAJELEC</t>
        </is>
      </c>
      <c r="H952" s="16" t="inlineStr">
        <is>
          <t>500031</t>
        </is>
      </c>
      <c r="I952" s="27">
        <f>IFERROR(IF(INDEX(Stocks!$G$2:$G$2139,MATCH(A952,Stocks!$E$2:$E$2139,0))="","No","Yes"),"No")</f>
        <v/>
      </c>
    </row>
    <row r="953">
      <c r="A953" s="16" t="inlineStr">
        <is>
          <t>INE132H01018</t>
        </is>
      </c>
      <c r="B953" s="16" t="inlineStr">
        <is>
          <t>AURIONPRO</t>
        </is>
      </c>
      <c r="C953" s="16" t="inlineStr">
        <is>
          <t>Aurionpro Solutions Ltd.</t>
        </is>
      </c>
      <c r="D953" s="16" t="inlineStr">
        <is>
          <t>IT Software Products</t>
        </is>
      </c>
      <c r="E953" s="16" t="inlineStr">
        <is>
          <t>Software &amp; Services</t>
        </is>
      </c>
      <c r="F953" s="17" t="n">
        <v>3811.4</v>
      </c>
      <c r="G953" s="16" t="inlineStr">
        <is>
          <t>AURIONPRO</t>
        </is>
      </c>
      <c r="H953" s="16" t="inlineStr">
        <is>
          <t>532668</t>
        </is>
      </c>
      <c r="I953" s="27">
        <f>IFERROR(IF(INDEX(Stocks!$G$2:$G$2139,MATCH(A953,Stocks!$E$2:$E$2139,0))="","No","Yes"),"No")</f>
        <v/>
      </c>
    </row>
    <row r="954">
      <c r="A954" s="16" t="inlineStr">
        <is>
          <t>INE461C01038</t>
        </is>
      </c>
      <c r="B954" s="16" t="inlineStr">
        <is>
          <t>GREENPLY</t>
        </is>
      </c>
      <c r="C954" s="16" t="inlineStr">
        <is>
          <t>Greenply Industries Ltd.</t>
        </is>
      </c>
      <c r="D954" s="16" t="inlineStr">
        <is>
          <t>Forest Products</t>
        </is>
      </c>
      <c r="E954" s="16" t="inlineStr">
        <is>
          <t>Forest Materials</t>
        </is>
      </c>
      <c r="F954" s="17" t="n">
        <v>3805.76</v>
      </c>
      <c r="G954" s="16" t="inlineStr">
        <is>
          <t>GREENPLY</t>
        </is>
      </c>
      <c r="H954" s="16" t="inlineStr">
        <is>
          <t>526797</t>
        </is>
      </c>
      <c r="I954" s="27">
        <f>IFERROR(IF(INDEX(Stocks!$G$2:$G$2139,MATCH(A954,Stocks!$E$2:$E$2139,0))="","No","Yes"),"No")</f>
        <v/>
      </c>
    </row>
    <row r="955">
      <c r="A955" s="16" t="inlineStr">
        <is>
          <t>INE989A01032</t>
        </is>
      </c>
      <c r="B955" s="16" t="inlineStr">
        <is>
          <t>SANGHVIMOV</t>
        </is>
      </c>
      <c r="C955" s="16" t="inlineStr">
        <is>
          <t>Sanghvi Movers Ltd.</t>
        </is>
      </c>
      <c r="D955" s="16" t="inlineStr">
        <is>
          <t>Transport Related Services</t>
        </is>
      </c>
      <c r="E955" s="16" t="inlineStr">
        <is>
          <t>Transportation</t>
        </is>
      </c>
      <c r="F955" s="17" t="n">
        <v>3802.42</v>
      </c>
      <c r="G955" s="16" t="inlineStr">
        <is>
          <t>SANGHVIMOV</t>
        </is>
      </c>
      <c r="H955" s="16" t="inlineStr">
        <is>
          <t>530073</t>
        </is>
      </c>
      <c r="I955" s="27">
        <f>IFERROR(IF(INDEX(Stocks!$G$2:$G$2139,MATCH(A955,Stocks!$E$2:$E$2139,0))="","No","Yes"),"No")</f>
        <v/>
      </c>
    </row>
    <row r="956">
      <c r="A956" s="16" t="inlineStr">
        <is>
          <t>INE12NJ01018</t>
        </is>
      </c>
      <c r="B956" s="16" t="inlineStr">
        <is>
          <t>SAMBHV</t>
        </is>
      </c>
      <c r="C956" s="16" t="inlineStr">
        <is>
          <t>Sambhv Steel Tubes Ltd.</t>
        </is>
      </c>
      <c r="D956" s="16" t="inlineStr">
        <is>
          <t>Iron &amp; Steel Products</t>
        </is>
      </c>
      <c r="E956" s="16" t="inlineStr">
        <is>
          <t>Metals &amp; Mining</t>
        </is>
      </c>
      <c r="F956" s="17" t="n">
        <v>3792.13</v>
      </c>
      <c r="G956" s="16" t="inlineStr">
        <is>
          <t>SAMBHV</t>
        </is>
      </c>
      <c r="H956" s="16" t="inlineStr">
        <is>
          <t>544430</t>
        </is>
      </c>
      <c r="I956" s="27">
        <f>IFERROR(IF(INDEX(Stocks!$G$2:$G$2139,MATCH(A956,Stocks!$E$2:$E$2139,0))="","No","Yes"),"No")</f>
        <v/>
      </c>
    </row>
    <row r="957">
      <c r="A957" s="16" t="inlineStr">
        <is>
          <t>INE753U01022</t>
        </is>
      </c>
      <c r="B957" s="16" t="inlineStr">
        <is>
          <t>DIVGIITTS</t>
        </is>
      </c>
      <c r="C957" s="16" t="inlineStr">
        <is>
          <t>Divgi Torqtransfer Systems Ltd.</t>
        </is>
      </c>
      <c r="D957" s="16" t="inlineStr">
        <is>
          <t>Auto Parts &amp; Equipment</t>
        </is>
      </c>
      <c r="E957" s="16" t="inlineStr">
        <is>
          <t>Automobiles &amp; Auto Components</t>
        </is>
      </c>
      <c r="F957" s="17" t="n">
        <v>3779.43</v>
      </c>
      <c r="G957" s="16" t="inlineStr">
        <is>
          <t>DIVGIITTS</t>
        </is>
      </c>
      <c r="H957" s="16" t="inlineStr">
        <is>
          <t>543812</t>
        </is>
      </c>
      <c r="I957" s="27">
        <f>IFERROR(IF(INDEX(Stocks!$G$2:$G$2139,MATCH(A957,Stocks!$E$2:$E$2139,0))="","No","Yes"),"No")</f>
        <v/>
      </c>
    </row>
    <row r="958">
      <c r="A958" s="16" t="inlineStr">
        <is>
          <t>INE278H01035</t>
        </is>
      </c>
      <c r="B958" s="16" t="inlineStr">
        <is>
          <t>SANDHAR</t>
        </is>
      </c>
      <c r="C958" s="16" t="inlineStr">
        <is>
          <t>Sandhar Technologies Ltd.</t>
        </is>
      </c>
      <c r="D958" s="16" t="inlineStr">
        <is>
          <t>Auto Parts &amp; Equipment</t>
        </is>
      </c>
      <c r="E958" s="16" t="inlineStr">
        <is>
          <t>Automobiles &amp; Auto Components</t>
        </is>
      </c>
      <c r="F958" s="17" t="n">
        <v>3755.9</v>
      </c>
      <c r="G958" s="16" t="inlineStr">
        <is>
          <t>SANDHAR</t>
        </is>
      </c>
      <c r="H958" s="16" t="inlineStr">
        <is>
          <t>541163</t>
        </is>
      </c>
      <c r="I958" s="27">
        <f>IFERROR(IF(INDEX(Stocks!$G$2:$G$2139,MATCH(A958,Stocks!$E$2:$E$2139,0))="","No","Yes"),"No")</f>
        <v/>
      </c>
    </row>
    <row r="959">
      <c r="A959" s="16" t="inlineStr">
        <is>
          <t>INE0EK901012</t>
        </is>
      </c>
      <c r="B959" s="16" t="inlineStr">
        <is>
          <t>TARC</t>
        </is>
      </c>
      <c r="C959" s="16" t="inlineStr">
        <is>
          <t>TARC Ltd.</t>
        </is>
      </c>
      <c r="D959" s="16" t="inlineStr">
        <is>
          <t>Realty</t>
        </is>
      </c>
      <c r="E959" s="16" t="inlineStr">
        <is>
          <t>Realty</t>
        </is>
      </c>
      <c r="F959" s="17" t="n">
        <v>3747.43</v>
      </c>
      <c r="G959" s="16" t="inlineStr">
        <is>
          <t>TARC</t>
        </is>
      </c>
      <c r="H959" s="16" t="inlineStr">
        <is>
          <t>543249</t>
        </is>
      </c>
      <c r="I959" s="27">
        <f>IFERROR(IF(INDEX(Stocks!$G$2:$G$2139,MATCH(A959,Stocks!$E$2:$E$2139,0))="","No","Yes"),"No")</f>
        <v/>
      </c>
    </row>
    <row r="960">
      <c r="A960" s="16" t="inlineStr">
        <is>
          <t>INE633B01018</t>
        </is>
      </c>
      <c r="B960" s="16" t="inlineStr">
        <is>
          <t>POLYPLEX</t>
        </is>
      </c>
      <c r="C960" s="16" t="inlineStr">
        <is>
          <t>Polyplex Corporation Ltd.</t>
        </is>
      </c>
      <c r="D960" s="16" t="inlineStr">
        <is>
          <t>Containers &amp; Packaging</t>
        </is>
      </c>
      <c r="E960" s="16" t="inlineStr">
        <is>
          <t>Commercial Services &amp; Supplies</t>
        </is>
      </c>
      <c r="F960" s="17" t="n">
        <v>3738.85</v>
      </c>
      <c r="G960" s="16" t="inlineStr">
        <is>
          <t>POLYPLEX</t>
        </is>
      </c>
      <c r="H960" s="16" t="inlineStr">
        <is>
          <t>524051</t>
        </is>
      </c>
      <c r="I960" s="27">
        <f>IFERROR(IF(INDEX(Stocks!$G$2:$G$2139,MATCH(A960,Stocks!$E$2:$E$2139,0))="","No","Yes"),"No")</f>
        <v/>
      </c>
    </row>
    <row r="961">
      <c r="A961" s="16" t="inlineStr">
        <is>
          <t>INE822C01015</t>
        </is>
      </c>
      <c r="B961" s="16" t="inlineStr">
        <is>
          <t>TCPLPACK</t>
        </is>
      </c>
      <c r="C961" s="16" t="inlineStr">
        <is>
          <t>TCPL Packaging Ltd.</t>
        </is>
      </c>
      <c r="D961" s="16" t="inlineStr">
        <is>
          <t>Containers &amp; Packaging</t>
        </is>
      </c>
      <c r="E961" s="16" t="inlineStr">
        <is>
          <t>Commercial Services &amp; Supplies</t>
        </is>
      </c>
      <c r="F961" s="17" t="n">
        <v>3723.63</v>
      </c>
      <c r="G961" s="16" t="inlineStr">
        <is>
          <t>TCPLPACK</t>
        </is>
      </c>
      <c r="H961" s="16" t="inlineStr">
        <is>
          <t>523301</t>
        </is>
      </c>
      <c r="I961" s="27">
        <f>IFERROR(IF(INDEX(Stocks!$G$2:$G$2139,MATCH(A961,Stocks!$E$2:$E$2139,0))="","No","Yes"),"No")</f>
        <v/>
      </c>
    </row>
    <row r="962">
      <c r="A962" s="16" t="inlineStr">
        <is>
          <t>INE01EO01010</t>
        </is>
      </c>
      <c r="B962" s="16" t="inlineStr">
        <is>
          <t>SPECTRUM</t>
        </is>
      </c>
      <c r="C962" s="16" t="inlineStr">
        <is>
          <t>Spectrum Electrical Industries Ltd.</t>
        </is>
      </c>
      <c r="D962" s="16" t="inlineStr">
        <is>
          <t>Other Electrical Equipment/Products</t>
        </is>
      </c>
      <c r="E962" s="16" t="inlineStr">
        <is>
          <t>Consumer Durables</t>
        </is>
      </c>
      <c r="F962" s="17" t="n">
        <v>3721.66</v>
      </c>
      <c r="G962" s="16" t="inlineStr">
        <is>
          <t>SPECTRUM</t>
        </is>
      </c>
      <c r="H962" s="16" t="inlineStr">
        <is>
          <t>544386</t>
        </is>
      </c>
      <c r="I962" s="27">
        <f>IFERROR(IF(INDEX(Stocks!$G$2:$G$2139,MATCH(A962,Stocks!$E$2:$E$2139,0))="","No","Yes"),"No")</f>
        <v/>
      </c>
    </row>
    <row r="963">
      <c r="A963" s="16" t="inlineStr">
        <is>
          <t>INE932X01026</t>
        </is>
      </c>
      <c r="B963" s="16" t="inlineStr">
        <is>
          <t>SHAREINDIA</t>
        </is>
      </c>
      <c r="C963" s="16" t="inlineStr">
        <is>
          <t>Share India Securities Ltd.</t>
        </is>
      </c>
      <c r="D963" s="16" t="inlineStr">
        <is>
          <t>Capital Markets</t>
        </is>
      </c>
      <c r="E963" s="16" t="inlineStr">
        <is>
          <t>Banking and Finance</t>
        </is>
      </c>
      <c r="F963" s="17" t="n">
        <v>3720.64</v>
      </c>
      <c r="G963" s="16" t="inlineStr">
        <is>
          <t>SHAREINDIA</t>
        </is>
      </c>
      <c r="H963" s="16" t="inlineStr">
        <is>
          <t>540725</t>
        </is>
      </c>
      <c r="I963" s="27">
        <f>IFERROR(IF(INDEX(Stocks!$G$2:$G$2139,MATCH(A963,Stocks!$E$2:$E$2139,0))="","No","Yes"),"No")</f>
        <v/>
      </c>
    </row>
    <row r="964">
      <c r="A964" s="16" t="inlineStr">
        <is>
          <t>INE576I01022</t>
        </is>
      </c>
      <c r="B964" s="16" t="inlineStr">
        <is>
          <t>JKIL</t>
        </is>
      </c>
      <c r="C964" s="16" t="inlineStr">
        <is>
          <t>J Kumar Infraprojects Ltd.</t>
        </is>
      </c>
      <c r="D964" s="16" t="inlineStr">
        <is>
          <t>Construction &amp; Engineering</t>
        </is>
      </c>
      <c r="E964" s="16" t="inlineStr">
        <is>
          <t>Cement and Construction</t>
        </is>
      </c>
      <c r="F964" s="17" t="n">
        <v>3687.56</v>
      </c>
      <c r="G964" s="16" t="inlineStr">
        <is>
          <t>JKIL</t>
        </is>
      </c>
      <c r="H964" s="16" t="inlineStr">
        <is>
          <t>532940</t>
        </is>
      </c>
      <c r="I964" s="27">
        <f>IFERROR(IF(INDEX(Stocks!$G$2:$G$2139,MATCH(A964,Stocks!$E$2:$E$2139,0))="","No","Yes"),"No")</f>
        <v/>
      </c>
    </row>
    <row r="965">
      <c r="A965" s="16" t="inlineStr">
        <is>
          <t>INE567L01025</t>
        </is>
      </c>
      <c r="B965" s="16" t="inlineStr">
        <is>
          <t>LORDSMARK</t>
        </is>
      </c>
      <c r="C965" s="16" t="inlineStr">
        <is>
          <t>Lords Mark Industries Ltd.</t>
        </is>
      </c>
      <c r="D965" s="16" t="inlineStr">
        <is>
          <t>Other Financial Services</t>
        </is>
      </c>
      <c r="E965" s="16" t="inlineStr">
        <is>
          <t>Banking and Finance</t>
        </is>
      </c>
      <c r="F965" s="17" t="n">
        <v>3685.59</v>
      </c>
      <c r="G965" s="16" t="inlineStr"/>
      <c r="H965" s="16" t="inlineStr">
        <is>
          <t>501261</t>
        </is>
      </c>
      <c r="I965" s="27">
        <f>IFERROR(IF(INDEX(Stocks!$G$2:$G$2139,MATCH(A965,Stocks!$E$2:$E$2139,0))="","No","Yes"),"No")</f>
        <v/>
      </c>
    </row>
    <row r="966">
      <c r="A966" s="16" t="inlineStr">
        <is>
          <t>INE884A01027</t>
        </is>
      </c>
      <c r="B966" s="16" t="inlineStr">
        <is>
          <t>VAIBHAVGBL</t>
        </is>
      </c>
      <c r="C966" s="16" t="inlineStr">
        <is>
          <t>Vaibhav Global Ltd.</t>
        </is>
      </c>
      <c r="D966" s="16" t="inlineStr">
        <is>
          <t>Other Apparels &amp; Accessories</t>
        </is>
      </c>
      <c r="E966" s="16" t="inlineStr">
        <is>
          <t>Textiles Apparels &amp; Accessories</t>
        </is>
      </c>
      <c r="F966" s="17" t="n">
        <v>3666.47</v>
      </c>
      <c r="G966" s="16" t="inlineStr">
        <is>
          <t>VAIBHAVGBL</t>
        </is>
      </c>
      <c r="H966" s="16" t="inlineStr">
        <is>
          <t>532156</t>
        </is>
      </c>
      <c r="I966" s="27">
        <f>IFERROR(IF(INDEX(Stocks!$G$2:$G$2139,MATCH(A966,Stocks!$E$2:$E$2139,0))="","No","Yes"),"No")</f>
        <v/>
      </c>
    </row>
    <row r="967">
      <c r="A967" s="16" t="inlineStr">
        <is>
          <t>INE0MWH01014</t>
        </is>
      </c>
      <c r="B967" s="16" t="inlineStr">
        <is>
          <t>TRUALT</t>
        </is>
      </c>
      <c r="C967" s="16" t="inlineStr">
        <is>
          <t>TruAlt Bioenergy Ltd.</t>
        </is>
      </c>
      <c r="D967" s="16" t="inlineStr">
        <is>
          <t>Sugar</t>
        </is>
      </c>
      <c r="E967" s="16" t="inlineStr">
        <is>
          <t>Food, Beverages &amp; Tobacco</t>
        </is>
      </c>
      <c r="F967" s="17" t="n">
        <v>3646.63</v>
      </c>
      <c r="G967" s="16" t="inlineStr">
        <is>
          <t>TRUALT</t>
        </is>
      </c>
      <c r="H967" s="16" t="inlineStr">
        <is>
          <t>544545</t>
        </is>
      </c>
      <c r="I967" s="27">
        <f>IFERROR(IF(INDEX(Stocks!$G$2:$G$2139,MATCH(A967,Stocks!$E$2:$E$2139,0))="","No","Yes"),"No")</f>
        <v/>
      </c>
    </row>
    <row r="968">
      <c r="A968" s="16" t="inlineStr">
        <is>
          <t>INE063E01061</t>
        </is>
      </c>
      <c r="B968" s="16" t="inlineStr">
        <is>
          <t>POCL</t>
        </is>
      </c>
      <c r="C968" s="16" t="inlineStr">
        <is>
          <t>Pondy Oxides &amp; Chemicals Ltd.</t>
        </is>
      </c>
      <c r="D968" s="16" t="inlineStr">
        <is>
          <t>Other Non-Ferrous Metals</t>
        </is>
      </c>
      <c r="E968" s="16" t="inlineStr">
        <is>
          <t>Metals &amp; Mining</t>
        </is>
      </c>
      <c r="F968" s="17" t="n">
        <v>3644.57</v>
      </c>
      <c r="G968" s="16" t="inlineStr">
        <is>
          <t>POCL</t>
        </is>
      </c>
      <c r="H968" s="16" t="inlineStr">
        <is>
          <t>532626</t>
        </is>
      </c>
      <c r="I968" s="27">
        <f>IFERROR(IF(INDEX(Stocks!$G$2:$G$2139,MATCH(A968,Stocks!$E$2:$E$2139,0))="","No","Yes"),"No")</f>
        <v/>
      </c>
    </row>
    <row r="969">
      <c r="A969" s="16" t="inlineStr">
        <is>
          <t>INE415I01015</t>
        </is>
      </c>
      <c r="B969" s="16" t="inlineStr">
        <is>
          <t>KIRIINDUS</t>
        </is>
      </c>
      <c r="C969" s="16" t="inlineStr">
        <is>
          <t>Kiri Industries Ltd.</t>
        </is>
      </c>
      <c r="D969" s="16" t="inlineStr">
        <is>
          <t>Dyes &amp; Pigments</t>
        </is>
      </c>
      <c r="E969" s="16" t="inlineStr">
        <is>
          <t>Chemicals &amp; Petrochemicals</t>
        </is>
      </c>
      <c r="F969" s="17" t="n">
        <v>3643.54</v>
      </c>
      <c r="G969" s="16" t="inlineStr">
        <is>
          <t>KIRIINDUS</t>
        </is>
      </c>
      <c r="H969" s="16" t="inlineStr">
        <is>
          <t>532967</t>
        </is>
      </c>
      <c r="I969" s="27">
        <f>IFERROR(IF(INDEX(Stocks!$G$2:$G$2139,MATCH(A969,Stocks!$E$2:$E$2139,0))="","No","Yes"),"No")</f>
        <v/>
      </c>
    </row>
    <row r="970">
      <c r="A970" s="16" t="inlineStr">
        <is>
          <t>INE578A01017</t>
        </is>
      </c>
      <c r="B970" s="16" t="inlineStr">
        <is>
          <t>HEIDELBERG</t>
        </is>
      </c>
      <c r="C970" s="16" t="inlineStr">
        <is>
          <t>Heidelberg Cement India Ltd.</t>
        </is>
      </c>
      <c r="D970" s="16" t="inlineStr">
        <is>
          <t>Cement &amp; Cement Products</t>
        </is>
      </c>
      <c r="E970" s="16" t="inlineStr">
        <is>
          <t>Cement and Construction</t>
        </is>
      </c>
      <c r="F970" s="17" t="n">
        <v>3629.66</v>
      </c>
      <c r="G970" s="16" t="inlineStr">
        <is>
          <t>HEIDELBERG</t>
        </is>
      </c>
      <c r="H970" s="16" t="inlineStr">
        <is>
          <t>500292</t>
        </is>
      </c>
      <c r="I970" s="27">
        <f>IFERROR(IF(INDEX(Stocks!$G$2:$G$2139,MATCH(A970,Stocks!$E$2:$E$2139,0))="","No","Yes"),"No")</f>
        <v/>
      </c>
    </row>
    <row r="971">
      <c r="A971" s="16" t="inlineStr">
        <is>
          <t>INE764D01017</t>
        </is>
      </c>
      <c r="B971" s="16" t="inlineStr">
        <is>
          <t>VSTTILLERS</t>
        </is>
      </c>
      <c r="C971" s="16" t="inlineStr">
        <is>
          <t>VST Tillers Tractors Ltd.</t>
        </is>
      </c>
      <c r="D971" s="16" t="inlineStr">
        <is>
          <t>Commercial Vehicles</t>
        </is>
      </c>
      <c r="E971" s="16" t="inlineStr">
        <is>
          <t>Automobiles &amp; Auto Components</t>
        </is>
      </c>
      <c r="F971" s="17" t="n">
        <v>3619.51</v>
      </c>
      <c r="G971" s="16" t="inlineStr">
        <is>
          <t>VSTTILLERS</t>
        </is>
      </c>
      <c r="H971" s="16" t="inlineStr">
        <is>
          <t>531266</t>
        </is>
      </c>
      <c r="I971" s="27">
        <f>IFERROR(IF(INDEX(Stocks!$G$2:$G$2139,MATCH(A971,Stocks!$E$2:$E$2139,0))="","No","Yes"),"No")</f>
        <v/>
      </c>
    </row>
    <row r="972">
      <c r="A972" s="16" t="inlineStr">
        <is>
          <t>INE0S3G01027</t>
        </is>
      </c>
      <c r="B972" s="16" t="inlineStr">
        <is>
          <t>PACEDIGITK</t>
        </is>
      </c>
      <c r="C972" s="16" t="inlineStr">
        <is>
          <t>Pace Digitek Ltd.</t>
        </is>
      </c>
      <c r="D972" s="16" t="inlineStr">
        <is>
          <t>Telecom Cables</t>
        </is>
      </c>
      <c r="E972" s="16" t="inlineStr">
        <is>
          <t>Telecommunications Equipment</t>
        </is>
      </c>
      <c r="F972" s="17" t="n">
        <v>3617.45</v>
      </c>
      <c r="G972" s="16" t="inlineStr">
        <is>
          <t>PACEDIGITK</t>
        </is>
      </c>
      <c r="H972" s="16" t="inlineStr">
        <is>
          <t>544550</t>
        </is>
      </c>
      <c r="I972" s="27">
        <f>IFERROR(IF(INDEX(Stocks!$G$2:$G$2139,MATCH(A972,Stocks!$E$2:$E$2139,0))="","No","Yes"),"No")</f>
        <v/>
      </c>
    </row>
    <row r="973">
      <c r="A973" s="16" t="inlineStr">
        <is>
          <t>INE365D01021</t>
        </is>
      </c>
      <c r="B973" s="16" t="inlineStr">
        <is>
          <t>ASHIANA</t>
        </is>
      </c>
      <c r="C973" s="16" t="inlineStr">
        <is>
          <t>Ashiana Housing Ltd.</t>
        </is>
      </c>
      <c r="D973" s="16" t="inlineStr">
        <is>
          <t>Realty</t>
        </is>
      </c>
      <c r="E973" s="16" t="inlineStr">
        <is>
          <t>Realty</t>
        </is>
      </c>
      <c r="F973" s="17" t="n">
        <v>3614.37</v>
      </c>
      <c r="G973" s="16" t="inlineStr">
        <is>
          <t>ASHIANA</t>
        </is>
      </c>
      <c r="H973" s="16" t="inlineStr">
        <is>
          <t>523716</t>
        </is>
      </c>
      <c r="I973" s="27">
        <f>IFERROR(IF(INDEX(Stocks!$G$2:$G$2139,MATCH(A973,Stocks!$E$2:$E$2139,0))="","No","Yes"),"No")</f>
        <v/>
      </c>
    </row>
    <row r="974">
      <c r="A974" s="16" t="inlineStr">
        <is>
          <t>INE0AJG01018</t>
        </is>
      </c>
      <c r="B974" s="16" t="inlineStr">
        <is>
          <t>HEMIPROP</t>
        </is>
      </c>
      <c r="C974" s="16" t="inlineStr">
        <is>
          <t>Hemisphere Properties India Ltd.</t>
        </is>
      </c>
      <c r="D974" s="16" t="inlineStr">
        <is>
          <t>Realty</t>
        </is>
      </c>
      <c r="E974" s="16" t="inlineStr">
        <is>
          <t>Realty</t>
        </is>
      </c>
      <c r="F974" s="17" t="n">
        <v>3606.68</v>
      </c>
      <c r="G974" s="16" t="inlineStr">
        <is>
          <t>HEMIPROP</t>
        </is>
      </c>
      <c r="H974" s="16" t="inlineStr">
        <is>
          <t>543242</t>
        </is>
      </c>
      <c r="I974" s="27">
        <f>IFERROR(IF(INDEX(Stocks!$G$2:$G$2139,MATCH(A974,Stocks!$E$2:$E$2139,0))="","No","Yes"),"No")</f>
        <v/>
      </c>
    </row>
    <row r="975">
      <c r="A975" s="16" t="inlineStr">
        <is>
          <t>INE391J01032</t>
        </is>
      </c>
      <c r="B975" s="16" t="inlineStr">
        <is>
          <t>JTLIND</t>
        </is>
      </c>
      <c r="C975" s="16" t="inlineStr">
        <is>
          <t>JTL Industries Ltd.</t>
        </is>
      </c>
      <c r="D975" s="16" t="inlineStr">
        <is>
          <t>Iron &amp; Steel Products</t>
        </is>
      </c>
      <c r="E975" s="16" t="inlineStr">
        <is>
          <t>Metals &amp; Mining</t>
        </is>
      </c>
      <c r="F975" s="17" t="n">
        <v>3603.38</v>
      </c>
      <c r="G975" s="16" t="inlineStr">
        <is>
          <t>JTLIND</t>
        </is>
      </c>
      <c r="H975" s="16" t="inlineStr">
        <is>
          <t>534600</t>
        </is>
      </c>
      <c r="I975" s="27">
        <f>IFERROR(IF(INDEX(Stocks!$G$2:$G$2139,MATCH(A975,Stocks!$E$2:$E$2139,0))="","No","Yes"),"No")</f>
        <v/>
      </c>
    </row>
    <row r="976">
      <c r="A976" s="16" t="inlineStr">
        <is>
          <t>INE189B01011</t>
        </is>
      </c>
      <c r="B976" s="16" t="inlineStr">
        <is>
          <t>STYRENIX</t>
        </is>
      </c>
      <c r="C976" s="16" t="inlineStr">
        <is>
          <t>Styrenix Performance Materials Ltd.</t>
        </is>
      </c>
      <c r="D976" s="16" t="inlineStr">
        <is>
          <t>Specialty Chemicals</t>
        </is>
      </c>
      <c r="E976" s="16" t="inlineStr">
        <is>
          <t>Chemicals &amp; Petrochemicals</t>
        </is>
      </c>
      <c r="F976" s="17" t="n">
        <v>3593.09</v>
      </c>
      <c r="G976" s="16" t="inlineStr">
        <is>
          <t>STYRENIX</t>
        </is>
      </c>
      <c r="H976" s="16" t="inlineStr">
        <is>
          <t>506222</t>
        </is>
      </c>
      <c r="I976" s="27">
        <f>IFERROR(IF(INDEX(Stocks!$G$2:$G$2139,MATCH(A976,Stocks!$E$2:$E$2139,0))="","No","Yes"),"No")</f>
        <v/>
      </c>
    </row>
    <row r="977">
      <c r="A977" s="16" t="inlineStr">
        <is>
          <t>INE229H01012</t>
        </is>
      </c>
      <c r="B977" s="16" t="inlineStr">
        <is>
          <t>NITINSPIN</t>
        </is>
      </c>
      <c r="C977" s="16" t="inlineStr">
        <is>
          <t>Nitin Spinners Ltd.</t>
        </is>
      </c>
      <c r="D977" s="16" t="inlineStr">
        <is>
          <t>Textiles</t>
        </is>
      </c>
      <c r="E977" s="16" t="inlineStr">
        <is>
          <t>Textiles Apparels &amp; Accessories</t>
        </is>
      </c>
      <c r="F977" s="17" t="n">
        <v>3592.74</v>
      </c>
      <c r="G977" s="16" t="inlineStr">
        <is>
          <t>NITINSPIN</t>
        </is>
      </c>
      <c r="H977" s="16" t="inlineStr">
        <is>
          <t>532698</t>
        </is>
      </c>
      <c r="I977" s="27">
        <f>IFERROR(IF(INDEX(Stocks!$G$2:$G$2139,MATCH(A977,Stocks!$E$2:$E$2139,0))="","No","Yes"),"No")</f>
        <v/>
      </c>
    </row>
    <row r="978">
      <c r="A978" s="16" t="inlineStr">
        <is>
          <t>INE0FFK01017</t>
        </is>
      </c>
      <c r="B978" s="16" t="inlineStr">
        <is>
          <t>NPST</t>
        </is>
      </c>
      <c r="C978" s="16" t="inlineStr">
        <is>
          <t>Network People Services Technologies Ltd.</t>
        </is>
      </c>
      <c r="D978" s="16" t="inlineStr">
        <is>
          <t>Misc. Commercial Services</t>
        </is>
      </c>
      <c r="E978" s="16" t="inlineStr">
        <is>
          <t>Commercial Services &amp; Supplies</t>
        </is>
      </c>
      <c r="F978" s="17" t="n">
        <v>3586.02</v>
      </c>
      <c r="G978" s="16" t="inlineStr">
        <is>
          <t>NPST</t>
        </is>
      </c>
      <c r="H978" s="16" t="inlineStr">
        <is>
          <t>544396</t>
        </is>
      </c>
      <c r="I978" s="27">
        <f>IFERROR(IF(INDEX(Stocks!$G$2:$G$2139,MATCH(A978,Stocks!$E$2:$E$2139,0))="","No","Yes"),"No")</f>
        <v/>
      </c>
    </row>
    <row r="979">
      <c r="A979" s="16" t="inlineStr">
        <is>
          <t>INE050H01012</t>
        </is>
      </c>
      <c r="B979" s="16" t="inlineStr">
        <is>
          <t>RML</t>
        </is>
      </c>
      <c r="C979" s="16" t="inlineStr">
        <is>
          <t>Rane (Madras) Ltd.</t>
        </is>
      </c>
      <c r="D979" s="16" t="inlineStr">
        <is>
          <t>Auto Parts &amp; Equipment</t>
        </is>
      </c>
      <c r="E979" s="16" t="inlineStr">
        <is>
          <t>Automobiles &amp; Auto Components</t>
        </is>
      </c>
      <c r="F979" s="17" t="n">
        <v>3581.49</v>
      </c>
      <c r="G979" s="16" t="inlineStr">
        <is>
          <t>RML</t>
        </is>
      </c>
      <c r="H979" s="16" t="inlineStr">
        <is>
          <t>532661</t>
        </is>
      </c>
      <c r="I979" s="27">
        <f>IFERROR(IF(INDEX(Stocks!$G$2:$G$2139,MATCH(A979,Stocks!$E$2:$E$2139,0))="","No","Yes"),"No")</f>
        <v/>
      </c>
    </row>
    <row r="980">
      <c r="A980" s="16" t="inlineStr">
        <is>
          <t>INE294Z01018</t>
        </is>
      </c>
      <c r="B980" s="16" t="inlineStr">
        <is>
          <t>ANUP</t>
        </is>
      </c>
      <c r="C980" s="16" t="inlineStr">
        <is>
          <t>The Anup Engineering Ltd.</t>
        </is>
      </c>
      <c r="D980" s="16" t="inlineStr">
        <is>
          <t>Industrial Machinery</t>
        </is>
      </c>
      <c r="E980" s="16" t="inlineStr">
        <is>
          <t>General Industrials</t>
        </is>
      </c>
      <c r="F980" s="17" t="n">
        <v>3577.23</v>
      </c>
      <c r="G980" s="16" t="inlineStr">
        <is>
          <t>ANUP</t>
        </is>
      </c>
      <c r="H980" s="16" t="inlineStr">
        <is>
          <t>542460</t>
        </is>
      </c>
      <c r="I980" s="27">
        <f>IFERROR(IF(INDEX(Stocks!$G$2:$G$2139,MATCH(A980,Stocks!$E$2:$E$2139,0))="","No","Yes"),"No")</f>
        <v/>
      </c>
    </row>
    <row r="981">
      <c r="A981" s="16" t="inlineStr">
        <is>
          <t>INE863B01029</t>
        </is>
      </c>
      <c r="B981" s="16" t="inlineStr">
        <is>
          <t>PREMEXPLN</t>
        </is>
      </c>
      <c r="C981" s="16" t="inlineStr">
        <is>
          <t>Premier Explosives Ltd.</t>
        </is>
      </c>
      <c r="D981" s="16" t="inlineStr">
        <is>
          <t>Other Industrial Products</t>
        </is>
      </c>
      <c r="E981" s="16" t="inlineStr">
        <is>
          <t>General Industrials</t>
        </is>
      </c>
      <c r="F981" s="17" t="n">
        <v>3569.74</v>
      </c>
      <c r="G981" s="16" t="inlineStr">
        <is>
          <t>PREMEXPLN</t>
        </is>
      </c>
      <c r="H981" s="16" t="inlineStr">
        <is>
          <t>526247</t>
        </is>
      </c>
      <c r="I981" s="27">
        <f>IFERROR(IF(INDEX(Stocks!$G$2:$G$2139,MATCH(A981,Stocks!$E$2:$E$2139,0))="","No","Yes"),"No")</f>
        <v/>
      </c>
    </row>
    <row r="982">
      <c r="A982" s="16" t="inlineStr">
        <is>
          <t>INE495A01022</t>
        </is>
      </c>
      <c r="B982" s="16" t="inlineStr">
        <is>
          <t>DALMIASUG</t>
        </is>
      </c>
      <c r="C982" s="16" t="inlineStr">
        <is>
          <t>Dalmia Bharat Sugar and Industries Ltd.</t>
        </is>
      </c>
      <c r="D982" s="16" t="inlineStr">
        <is>
          <t>Sugar</t>
        </is>
      </c>
      <c r="E982" s="16" t="inlineStr">
        <is>
          <t>Food, Beverages &amp; Tobacco</t>
        </is>
      </c>
      <c r="F982" s="17" t="n">
        <v>3549.59</v>
      </c>
      <c r="G982" s="16" t="inlineStr">
        <is>
          <t>DALMIASUG</t>
        </is>
      </c>
      <c r="H982" s="16" t="inlineStr">
        <is>
          <t>500097</t>
        </is>
      </c>
      <c r="I982" s="27">
        <f>IFERROR(IF(INDEX(Stocks!$G$2:$G$2139,MATCH(A982,Stocks!$E$2:$E$2139,0))="","No","Yes"),"No")</f>
        <v/>
      </c>
    </row>
    <row r="983">
      <c r="A983" s="16" t="inlineStr">
        <is>
          <t>INE978A01027</t>
        </is>
      </c>
      <c r="B983" s="16" t="inlineStr">
        <is>
          <t>HERITGFOOD</t>
        </is>
      </c>
      <c r="C983" s="16" t="inlineStr">
        <is>
          <t>Heritage Foods Ltd.</t>
        </is>
      </c>
      <c r="D983" s="16" t="inlineStr">
        <is>
          <t>Packaged Foods</t>
        </is>
      </c>
      <c r="E983" s="16" t="inlineStr">
        <is>
          <t>FMCG</t>
        </is>
      </c>
      <c r="F983" s="17" t="n">
        <v>3548.06</v>
      </c>
      <c r="G983" s="16" t="inlineStr">
        <is>
          <t>HERITGFOOD</t>
        </is>
      </c>
      <c r="H983" s="16" t="inlineStr">
        <is>
          <t>519552</t>
        </is>
      </c>
      <c r="I983" s="27">
        <f>IFERROR(IF(INDEX(Stocks!$G$2:$G$2139,MATCH(A983,Stocks!$E$2:$E$2139,0))="","No","Yes"),"No")</f>
        <v/>
      </c>
    </row>
    <row r="984">
      <c r="A984" s="16" t="inlineStr">
        <is>
          <t>INE710A01016</t>
        </is>
      </c>
      <c r="B984" s="16" t="inlineStr">
        <is>
          <t>VSTIND</t>
        </is>
      </c>
      <c r="C984" s="16" t="inlineStr">
        <is>
          <t>VST Industries Ltd.</t>
        </is>
      </c>
      <c r="D984" s="16" t="inlineStr">
        <is>
          <t>Cigarettes-Tobacco Products</t>
        </is>
      </c>
      <c r="E984" s="16" t="inlineStr">
        <is>
          <t>Food, Beverages &amp; Tobacco</t>
        </is>
      </c>
      <c r="F984" s="17" t="n">
        <v>3535.66</v>
      </c>
      <c r="G984" s="16" t="inlineStr">
        <is>
          <t>VSTIND</t>
        </is>
      </c>
      <c r="H984" s="16" t="inlineStr">
        <is>
          <t>509966</t>
        </is>
      </c>
      <c r="I984" s="27">
        <f>IFERROR(IF(INDEX(Stocks!$G$2:$G$2139,MATCH(A984,Stocks!$E$2:$E$2139,0))="","No","Yes"),"No")</f>
        <v/>
      </c>
    </row>
    <row r="985">
      <c r="A985" s="16" t="inlineStr">
        <is>
          <t>INE150G01020</t>
        </is>
      </c>
      <c r="B985" s="16" t="inlineStr">
        <is>
          <t>LUXIND</t>
        </is>
      </c>
      <c r="C985" s="16" t="inlineStr">
        <is>
          <t>Lux Industries Ltd.</t>
        </is>
      </c>
      <c r="D985" s="16" t="inlineStr">
        <is>
          <t>Other Apparels &amp; Accessories</t>
        </is>
      </c>
      <c r="E985" s="16" t="inlineStr">
        <is>
          <t>Textiles Apparels &amp; Accessories</t>
        </is>
      </c>
      <c r="F985" s="17" t="n">
        <v>3533.73</v>
      </c>
      <c r="G985" s="16" t="inlineStr">
        <is>
          <t>LUXIND</t>
        </is>
      </c>
      <c r="H985" s="16" t="inlineStr">
        <is>
          <t>539542</t>
        </is>
      </c>
      <c r="I985" s="27">
        <f>IFERROR(IF(INDEX(Stocks!$G$2:$G$2139,MATCH(A985,Stocks!$E$2:$E$2139,0))="","No","Yes"),"No")</f>
        <v/>
      </c>
    </row>
    <row r="986">
      <c r="A986" s="16" t="inlineStr">
        <is>
          <t>INE1SY401010</t>
        </is>
      </c>
      <c r="B986" s="16" t="inlineStr">
        <is>
          <t>RAYMONDREL</t>
        </is>
      </c>
      <c r="C986" s="16" t="inlineStr">
        <is>
          <t>Raymond Realty Ltd.</t>
        </is>
      </c>
      <c r="D986" s="16" t="inlineStr">
        <is>
          <t>Realty</t>
        </is>
      </c>
      <c r="E986" s="16" t="inlineStr">
        <is>
          <t>Realty</t>
        </is>
      </c>
      <c r="F986" s="17" t="n">
        <v>3522.75</v>
      </c>
      <c r="G986" s="16" t="inlineStr">
        <is>
          <t>RAYMONDREL</t>
        </is>
      </c>
      <c r="H986" s="16" t="inlineStr">
        <is>
          <t>544420</t>
        </is>
      </c>
      <c r="I986" s="27">
        <f>IFERROR(IF(INDEX(Stocks!$G$2:$G$2139,MATCH(A986,Stocks!$E$2:$E$2139,0))="","No","Yes"),"No")</f>
        <v/>
      </c>
    </row>
    <row r="987">
      <c r="A987" s="16" t="inlineStr">
        <is>
          <t>INE050M01012</t>
        </is>
      </c>
      <c r="B987" s="16" t="inlineStr">
        <is>
          <t>VSSL</t>
        </is>
      </c>
      <c r="C987" s="16" t="inlineStr">
        <is>
          <t>Vardhman Special Steels Ltd.</t>
        </is>
      </c>
      <c r="D987" s="16" t="inlineStr">
        <is>
          <t>Iron &amp; Steel Products</t>
        </is>
      </c>
      <c r="E987" s="16" t="inlineStr">
        <is>
          <t>Metals &amp; Mining</t>
        </is>
      </c>
      <c r="F987" s="17" t="n">
        <v>3521.37</v>
      </c>
      <c r="G987" s="16" t="inlineStr">
        <is>
          <t>VSSL</t>
        </is>
      </c>
      <c r="H987" s="16" t="inlineStr">
        <is>
          <t>534392</t>
        </is>
      </c>
      <c r="I987" s="27">
        <f>IFERROR(IF(INDEX(Stocks!$G$2:$G$2139,MATCH(A987,Stocks!$E$2:$E$2139,0))="","No","Yes"),"No")</f>
        <v/>
      </c>
    </row>
    <row r="988">
      <c r="A988" s="16" t="inlineStr">
        <is>
          <t>INE634I01029</t>
        </is>
      </c>
      <c r="B988" s="16" t="inlineStr">
        <is>
          <t>KNRCON</t>
        </is>
      </c>
      <c r="C988" s="16" t="inlineStr">
        <is>
          <t>KNR Constructions Ltd.</t>
        </is>
      </c>
      <c r="D988" s="16" t="inlineStr">
        <is>
          <t>Construction &amp; Engineering</t>
        </is>
      </c>
      <c r="E988" s="16" t="inlineStr">
        <is>
          <t>Cement and Construction</t>
        </is>
      </c>
      <c r="F988" s="17" t="n">
        <v>3505.87</v>
      </c>
      <c r="G988" s="16" t="inlineStr">
        <is>
          <t>KNRCON</t>
        </is>
      </c>
      <c r="H988" s="16" t="inlineStr">
        <is>
          <t>532942</t>
        </is>
      </c>
      <c r="I988" s="27">
        <f>IFERROR(IF(INDEX(Stocks!$G$2:$G$2139,MATCH(A988,Stocks!$E$2:$E$2139,0))="","No","Yes"),"No")</f>
        <v/>
      </c>
    </row>
    <row r="989">
      <c r="A989" s="16" t="inlineStr">
        <is>
          <t>INE046W01019</t>
        </is>
      </c>
      <c r="B989" s="16" t="inlineStr">
        <is>
          <t>MUTHOOTMF</t>
        </is>
      </c>
      <c r="C989" s="16" t="inlineStr">
        <is>
          <t>Muthoot Microfin Ltd.</t>
        </is>
      </c>
      <c r="D989" s="16" t="inlineStr">
        <is>
          <t>Microfinance Institutions</t>
        </is>
      </c>
      <c r="E989" s="16" t="inlineStr">
        <is>
          <t>Banking and Finance</t>
        </is>
      </c>
      <c r="F989" s="17" t="n">
        <v>3500.03</v>
      </c>
      <c r="G989" s="16" t="inlineStr">
        <is>
          <t>MUTHOOTMF</t>
        </is>
      </c>
      <c r="H989" s="16" t="inlineStr">
        <is>
          <t>544055</t>
        </is>
      </c>
      <c r="I989" s="27">
        <f>IFERROR(IF(INDEX(Stocks!$G$2:$G$2139,MATCH(A989,Stocks!$E$2:$E$2139,0))="","No","Yes"),"No")</f>
        <v/>
      </c>
    </row>
    <row r="990">
      <c r="A990" s="16" t="inlineStr">
        <is>
          <t>INE0LLY01014</t>
        </is>
      </c>
      <c r="B990" s="16" t="inlineStr">
        <is>
          <t>EIEL</t>
        </is>
      </c>
      <c r="C990" s="16" t="inlineStr">
        <is>
          <t>Enviro Infra Engineers Ltd.</t>
        </is>
      </c>
      <c r="D990" s="16" t="inlineStr">
        <is>
          <t>Utilities:Non-Electrical</t>
        </is>
      </c>
      <c r="E990" s="16" t="inlineStr">
        <is>
          <t>Utilities</t>
        </is>
      </c>
      <c r="F990" s="17" t="n">
        <v>3496.03</v>
      </c>
      <c r="G990" s="16" t="inlineStr">
        <is>
          <t>EIEL</t>
        </is>
      </c>
      <c r="H990" s="16" t="inlineStr">
        <is>
          <t>544290</t>
        </is>
      </c>
      <c r="I990" s="27">
        <f>IFERROR(IF(INDEX(Stocks!$G$2:$G$2139,MATCH(A990,Stocks!$E$2:$E$2139,0))="","No","Yes"),"No")</f>
        <v/>
      </c>
    </row>
    <row r="991">
      <c r="A991" s="16" t="inlineStr">
        <is>
          <t>INE950I01011</t>
        </is>
      </c>
      <c r="B991" s="16" t="inlineStr">
        <is>
          <t>DBCORP</t>
        </is>
      </c>
      <c r="C991" s="16" t="inlineStr">
        <is>
          <t>DB Corp Ltd.</t>
        </is>
      </c>
      <c r="D991" s="16" t="inlineStr">
        <is>
          <t>Publishing</t>
        </is>
      </c>
      <c r="E991" s="16" t="inlineStr">
        <is>
          <t>Commercial Services &amp; Supplies</t>
        </is>
      </c>
      <c r="F991" s="17" t="n">
        <v>3487.55</v>
      </c>
      <c r="G991" s="16" t="inlineStr">
        <is>
          <t>DBCORP</t>
        </is>
      </c>
      <c r="H991" s="16" t="inlineStr">
        <is>
          <t>533151</t>
        </is>
      </c>
      <c r="I991" s="27">
        <f>IFERROR(IF(INDEX(Stocks!$G$2:$G$2139,MATCH(A991,Stocks!$E$2:$E$2139,0))="","No","Yes"),"No")</f>
        <v/>
      </c>
    </row>
    <row r="992">
      <c r="A992" s="16" t="inlineStr">
        <is>
          <t>INE185Q01025</t>
        </is>
      </c>
      <c r="B992" s="16" t="inlineStr">
        <is>
          <t>LUMINO</t>
        </is>
      </c>
      <c r="C992" s="16" t="inlineStr">
        <is>
          <t>Lumino Industries Ltd.</t>
        </is>
      </c>
      <c r="D992" s="16" t="inlineStr">
        <is>
          <t>Wires &amp; Cables</t>
        </is>
      </c>
      <c r="E992" s="16" t="inlineStr">
        <is>
          <t>Consumer Durables</t>
        </is>
      </c>
      <c r="F992" s="17" t="n">
        <v>3487.14</v>
      </c>
      <c r="G992" s="16" t="inlineStr">
        <is>
          <t>LUMINO</t>
        </is>
      </c>
      <c r="H992" s="16" t="inlineStr">
        <is>
          <t>544894</t>
        </is>
      </c>
      <c r="I992" s="27">
        <f>IFERROR(IF(INDEX(Stocks!$G$2:$G$2139,MATCH(A992,Stocks!$E$2:$E$2139,0))="","No","Yes"),"No")</f>
        <v/>
      </c>
    </row>
    <row r="993">
      <c r="A993" s="16" t="inlineStr">
        <is>
          <t>INE812G01025</t>
        </is>
      </c>
      <c r="B993" s="16" t="inlineStr">
        <is>
          <t>SMSPHARMA</t>
        </is>
      </c>
      <c r="C993" s="16" t="inlineStr">
        <is>
          <t>SMS Pharmaceuticals Ltd.</t>
        </is>
      </c>
      <c r="D993" s="16" t="inlineStr">
        <is>
          <t>Pharmaceuticals</t>
        </is>
      </c>
      <c r="E993" s="16" t="inlineStr">
        <is>
          <t>Pharmaceuticals &amp; Biotechnology</t>
        </is>
      </c>
      <c r="F993" s="17" t="n">
        <v>3479.59</v>
      </c>
      <c r="G993" s="16" t="inlineStr">
        <is>
          <t>SMSPHARMA</t>
        </is>
      </c>
      <c r="H993" s="16" t="inlineStr">
        <is>
          <t>532815</t>
        </is>
      </c>
      <c r="I993" s="27">
        <f>IFERROR(IF(INDEX(Stocks!$G$2:$G$2139,MATCH(A993,Stocks!$E$2:$E$2139,0))="","No","Yes"),"No")</f>
        <v/>
      </c>
    </row>
    <row r="994">
      <c r="A994" s="16" t="inlineStr">
        <is>
          <t>INE488V01015</t>
        </is>
      </c>
      <c r="B994" s="16" t="inlineStr">
        <is>
          <t>PSPPROJECT</t>
        </is>
      </c>
      <c r="C994" s="16" t="inlineStr">
        <is>
          <t>PSP Projects Ltd.</t>
        </is>
      </c>
      <c r="D994" s="16" t="inlineStr">
        <is>
          <t>Construction &amp; Engineering</t>
        </is>
      </c>
      <c r="E994" s="16" t="inlineStr">
        <is>
          <t>Cement and Construction</t>
        </is>
      </c>
      <c r="F994" s="17" t="n">
        <v>3470.64</v>
      </c>
      <c r="G994" s="16" t="inlineStr">
        <is>
          <t>PSPPROJECT</t>
        </is>
      </c>
      <c r="H994" s="16" t="inlineStr">
        <is>
          <t>540544</t>
        </is>
      </c>
      <c r="I994" s="27">
        <f>IFERROR(IF(INDEX(Stocks!$G$2:$G$2139,MATCH(A994,Stocks!$E$2:$E$2139,0))="","No","Yes"),"No")</f>
        <v/>
      </c>
    </row>
    <row r="995">
      <c r="A995" s="16" t="inlineStr">
        <is>
          <t>INE976R01033</t>
        </is>
      </c>
      <c r="B995" s="16" t="inlineStr">
        <is>
          <t>AGIIL</t>
        </is>
      </c>
      <c r="C995" s="16" t="inlineStr">
        <is>
          <t>AGI Infra Ltd.</t>
        </is>
      </c>
      <c r="D995" s="16" t="inlineStr">
        <is>
          <t>Realty</t>
        </is>
      </c>
      <c r="E995" s="16" t="inlineStr">
        <is>
          <t>Realty</t>
        </is>
      </c>
      <c r="F995" s="17" t="n">
        <v>3465.88</v>
      </c>
      <c r="G995" s="16" t="inlineStr">
        <is>
          <t>AGIIL</t>
        </is>
      </c>
      <c r="H995" s="16" t="inlineStr">
        <is>
          <t>539042</t>
        </is>
      </c>
      <c r="I995" s="27">
        <f>IFERROR(IF(INDEX(Stocks!$G$2:$G$2139,MATCH(A995,Stocks!$E$2:$E$2139,0))="","No","Yes"),"No")</f>
        <v/>
      </c>
    </row>
    <row r="996">
      <c r="A996" s="16" t="inlineStr">
        <is>
          <t>INE870D01012</t>
        </is>
      </c>
      <c r="B996" s="16" t="inlineStr">
        <is>
          <t>NFL</t>
        </is>
      </c>
      <c r="C996" s="16" t="inlineStr">
        <is>
          <t>National Fertilizers Ltd.</t>
        </is>
      </c>
      <c r="D996" s="16" t="inlineStr">
        <is>
          <t>Fertilizers</t>
        </is>
      </c>
      <c r="E996" s="16" t="inlineStr">
        <is>
          <t>Fertilizers</t>
        </is>
      </c>
      <c r="F996" s="17" t="n">
        <v>3459.07</v>
      </c>
      <c r="G996" s="16" t="inlineStr">
        <is>
          <t>NFL</t>
        </is>
      </c>
      <c r="H996" s="16" t="inlineStr">
        <is>
          <t>523630</t>
        </is>
      </c>
      <c r="I996" s="27">
        <f>IFERROR(IF(INDEX(Stocks!$G$2:$G$2139,MATCH(A996,Stocks!$E$2:$E$2139,0))="","No","Yes"),"No")</f>
        <v/>
      </c>
    </row>
    <row r="997">
      <c r="A997" s="16" t="inlineStr">
        <is>
          <t>INE816B01035</t>
        </is>
      </c>
      <c r="B997" s="16" t="inlineStr">
        <is>
          <t>FILATEX</t>
        </is>
      </c>
      <c r="C997" s="16" t="inlineStr">
        <is>
          <t>Filatex India Ltd.</t>
        </is>
      </c>
      <c r="D997" s="16" t="inlineStr">
        <is>
          <t>Textiles</t>
        </is>
      </c>
      <c r="E997" s="16" t="inlineStr">
        <is>
          <t>Textiles Apparels &amp; Accessories</t>
        </is>
      </c>
      <c r="F997" s="17" t="n">
        <v>3451.22</v>
      </c>
      <c r="G997" s="16" t="inlineStr">
        <is>
          <t>FILATEX</t>
        </is>
      </c>
      <c r="H997" s="16" t="inlineStr">
        <is>
          <t>526227</t>
        </is>
      </c>
      <c r="I997" s="27">
        <f>IFERROR(IF(INDEX(Stocks!$G$2:$G$2139,MATCH(A997,Stocks!$E$2:$E$2139,0))="","No","Yes"),"No")</f>
        <v/>
      </c>
    </row>
    <row r="998">
      <c r="A998" s="16" t="inlineStr">
        <is>
          <t>INE414D01027</t>
        </is>
      </c>
      <c r="B998" s="16" t="inlineStr">
        <is>
          <t>BHAGCHEM</t>
        </is>
      </c>
      <c r="C998" s="16" t="inlineStr">
        <is>
          <t>Bhagiradha Chemicals &amp; Industries Ltd.</t>
        </is>
      </c>
      <c r="D998" s="16" t="inlineStr">
        <is>
          <t>Agrochemicals</t>
        </is>
      </c>
      <c r="E998" s="16" t="inlineStr">
        <is>
          <t>Chemicals &amp; Petrochemicals</t>
        </is>
      </c>
      <c r="F998" s="17" t="n">
        <v>3431.04</v>
      </c>
      <c r="G998" s="16" t="inlineStr">
        <is>
          <t>BHAGCHEM</t>
        </is>
      </c>
      <c r="H998" s="16" t="inlineStr">
        <is>
          <t>531719</t>
        </is>
      </c>
      <c r="I998" s="27">
        <f>IFERROR(IF(INDEX(Stocks!$G$2:$G$2139,MATCH(A998,Stocks!$E$2:$E$2139,0))="","No","Yes"),"No")</f>
        <v/>
      </c>
    </row>
    <row r="999">
      <c r="A999" s="16" t="inlineStr">
        <is>
          <t>INE08U801020</t>
        </is>
      </c>
      <c r="B999" s="16" t="inlineStr">
        <is>
          <t>SAMHI</t>
        </is>
      </c>
      <c r="C999" s="16" t="inlineStr">
        <is>
          <t>Samhi Hotels Ltd.</t>
        </is>
      </c>
      <c r="D999" s="16" t="inlineStr">
        <is>
          <t>Hotels</t>
        </is>
      </c>
      <c r="E999" s="16" t="inlineStr">
        <is>
          <t>Hotels Restaurants &amp; Tourism</t>
        </is>
      </c>
      <c r="F999" s="17" t="n">
        <v>3424.12</v>
      </c>
      <c r="G999" s="16" t="inlineStr">
        <is>
          <t>SAMHI</t>
        </is>
      </c>
      <c r="H999" s="16" t="inlineStr">
        <is>
          <t>543984</t>
        </is>
      </c>
      <c r="I999" s="27">
        <f>IFERROR(IF(INDEX(Stocks!$G$2:$G$2139,MATCH(A999,Stocks!$E$2:$E$2139,0))="","No","Yes"),"No")</f>
        <v/>
      </c>
    </row>
    <row r="1000">
      <c r="A1000" s="16" t="inlineStr">
        <is>
          <t>INE552U01010</t>
        </is>
      </c>
      <c r="B1000" s="16" t="inlineStr">
        <is>
          <t>KPL</t>
        </is>
      </c>
      <c r="C1000" s="16" t="inlineStr">
        <is>
          <t>Kwality Pharmaceuticals Ltd.</t>
        </is>
      </c>
      <c r="D1000" s="16" t="inlineStr">
        <is>
          <t>Pharmaceuticals</t>
        </is>
      </c>
      <c r="E1000" s="16" t="inlineStr">
        <is>
          <t>Pharmaceuticals &amp; Biotechnology</t>
        </is>
      </c>
      <c r="F1000" s="17" t="n">
        <v>3417.82</v>
      </c>
      <c r="G1000" s="16" t="inlineStr"/>
      <c r="H1000" s="16" t="inlineStr">
        <is>
          <t>539997</t>
        </is>
      </c>
      <c r="I1000" s="27">
        <f>IFERROR(IF(INDEX(Stocks!$G$2:$G$2139,MATCH(A1000,Stocks!$E$2:$E$2139,0))="","No","Yes"),"No")</f>
        <v/>
      </c>
    </row>
    <row r="1001">
      <c r="A1001" s="16" t="inlineStr">
        <is>
          <t>INE066O01014</t>
        </is>
      </c>
      <c r="B1001" s="16" t="inlineStr">
        <is>
          <t>WONDERLA</t>
        </is>
      </c>
      <c r="C1001" s="16" t="inlineStr">
        <is>
          <t>Wonderla Holidays Ltd.</t>
        </is>
      </c>
      <c r="D1001" s="16" t="inlineStr">
        <is>
          <t>Other Leisure Facilities</t>
        </is>
      </c>
      <c r="E1001" s="16" t="inlineStr">
        <is>
          <t>Diversified Consumer Services</t>
        </is>
      </c>
      <c r="F1001" s="17" t="n">
        <v>3387.76</v>
      </c>
      <c r="G1001" s="16" t="inlineStr">
        <is>
          <t>WONDERLA</t>
        </is>
      </c>
      <c r="H1001" s="16" t="inlineStr">
        <is>
          <t>538268</t>
        </is>
      </c>
      <c r="I1001" s="27">
        <f>IFERROR(IF(INDEX(Stocks!$G$2:$G$2139,MATCH(A1001,Stocks!$E$2:$E$2139,0))="","No","Yes"),"No")</f>
        <v/>
      </c>
    </row>
    <row r="1002">
      <c r="A1002" s="16" t="inlineStr">
        <is>
          <t>INE0JA001018</t>
        </is>
      </c>
      <c r="B1002" s="16" t="inlineStr">
        <is>
          <t>VENUSPIPES</t>
        </is>
      </c>
      <c r="C1002" s="16" t="inlineStr">
        <is>
          <t>Venus Pipes &amp; Tubes Ltd.</t>
        </is>
      </c>
      <c r="D1002" s="16" t="inlineStr">
        <is>
          <t>Iron &amp; Steel Products</t>
        </is>
      </c>
      <c r="E1002" s="16" t="inlineStr">
        <is>
          <t>Metals &amp; Mining</t>
        </is>
      </c>
      <c r="F1002" s="17" t="n">
        <v>3378.8</v>
      </c>
      <c r="G1002" s="16" t="inlineStr">
        <is>
          <t>VENUSPIPES</t>
        </is>
      </c>
      <c r="H1002" s="16" t="inlineStr">
        <is>
          <t>543528</t>
        </is>
      </c>
      <c r="I1002" s="27">
        <f>IFERROR(IF(INDEX(Stocks!$G$2:$G$2139,MATCH(A1002,Stocks!$E$2:$E$2139,0))="","No","Yes"),"No")</f>
        <v/>
      </c>
    </row>
    <row r="1003">
      <c r="A1003" s="16" t="inlineStr">
        <is>
          <t>INE03CC01015</t>
        </is>
      </c>
      <c r="B1003" s="16" t="inlineStr">
        <is>
          <t>JUBLCPL</t>
        </is>
      </c>
      <c r="C1003" s="16" t="inlineStr">
        <is>
          <t>Jubilant Agri and Consumer Products Ltd.</t>
        </is>
      </c>
      <c r="D1003" s="16" t="inlineStr">
        <is>
          <t>Other Agricultural Products</t>
        </is>
      </c>
      <c r="E1003" s="16" t="inlineStr">
        <is>
          <t>Food, Beverages &amp; Tobacco</t>
        </is>
      </c>
      <c r="F1003" s="17" t="n">
        <v>3367.79</v>
      </c>
      <c r="G1003" s="16" t="inlineStr">
        <is>
          <t>JUBLCPL</t>
        </is>
      </c>
      <c r="H1003" s="16" t="inlineStr">
        <is>
          <t>544355</t>
        </is>
      </c>
      <c r="I1003" s="27">
        <f>IFERROR(IF(INDEX(Stocks!$G$2:$G$2139,MATCH(A1003,Stocks!$E$2:$E$2139,0))="","No","Yes"),"No")</f>
        <v/>
      </c>
    </row>
    <row r="1004">
      <c r="A1004" s="16" t="inlineStr">
        <is>
          <t>INE0RUV01018</t>
        </is>
      </c>
      <c r="B1004" s="16" t="inlineStr">
        <is>
          <t>AIMTRON</t>
        </is>
      </c>
      <c r="C1004" s="16" t="inlineStr">
        <is>
          <t>Aimtron Electronics Ltd.</t>
        </is>
      </c>
      <c r="D1004" s="16" t="inlineStr">
        <is>
          <t>Electronic Components</t>
        </is>
      </c>
      <c r="E1004" s="16" t="inlineStr">
        <is>
          <t>Commercial Services &amp; Supplies</t>
        </is>
      </c>
      <c r="F1004" s="17" t="n">
        <v>3366.9</v>
      </c>
      <c r="G1004" s="16" t="inlineStr">
        <is>
          <t>AIMTRON</t>
        </is>
      </c>
      <c r="H1004" s="16" t="inlineStr"/>
      <c r="I1004" s="27">
        <f>IFERROR(IF(INDEX(Stocks!$G$2:$G$2139,MATCH(A1004,Stocks!$E$2:$E$2139,0))="","No","Yes"),"No")</f>
        <v/>
      </c>
    </row>
    <row r="1005">
      <c r="A1005" s="16" t="inlineStr">
        <is>
          <t>INE818A01017</t>
        </is>
      </c>
      <c r="B1005" s="16" t="inlineStr">
        <is>
          <t>ANTELOPUS</t>
        </is>
      </c>
      <c r="C1005" s="16" t="inlineStr">
        <is>
          <t>Antelopus Selan Energy Ltd.</t>
        </is>
      </c>
      <c r="D1005" s="16" t="inlineStr">
        <is>
          <t>Exploration &amp; Production</t>
        </is>
      </c>
      <c r="E1005" s="16" t="inlineStr">
        <is>
          <t>Oil &amp; Gas</t>
        </is>
      </c>
      <c r="F1005" s="17" t="n">
        <v>3365.57</v>
      </c>
      <c r="G1005" s="16" t="inlineStr">
        <is>
          <t>ANTELOPUS</t>
        </is>
      </c>
      <c r="H1005" s="16" t="inlineStr">
        <is>
          <t>530075</t>
        </is>
      </c>
      <c r="I1005" s="27">
        <f>IFERROR(IF(INDEX(Stocks!$G$2:$G$2139,MATCH(A1005,Stocks!$E$2:$E$2139,0))="","No","Yes"),"No")</f>
        <v/>
      </c>
    </row>
    <row r="1006">
      <c r="A1006" s="16" t="inlineStr">
        <is>
          <t>INE643A01035</t>
        </is>
      </c>
      <c r="B1006" s="16" t="inlineStr">
        <is>
          <t>JTEKTINDIA</t>
        </is>
      </c>
      <c r="C1006" s="16" t="inlineStr">
        <is>
          <t>JTEKT India Ltd.</t>
        </is>
      </c>
      <c r="D1006" s="16" t="inlineStr">
        <is>
          <t>Auto Parts &amp; Equipment</t>
        </is>
      </c>
      <c r="E1006" s="16" t="inlineStr">
        <is>
          <t>Automobiles &amp; Auto Components</t>
        </is>
      </c>
      <c r="F1006" s="17" t="n">
        <v>3363.99</v>
      </c>
      <c r="G1006" s="16" t="inlineStr">
        <is>
          <t>JTEKTINDIA</t>
        </is>
      </c>
      <c r="H1006" s="16" t="inlineStr">
        <is>
          <t>520057</t>
        </is>
      </c>
      <c r="I1006" s="27">
        <f>IFERROR(IF(INDEX(Stocks!$G$2:$G$2139,MATCH(A1006,Stocks!$E$2:$E$2139,0))="","No","Yes"),"No")</f>
        <v/>
      </c>
    </row>
    <row r="1007">
      <c r="A1007" s="16" t="inlineStr">
        <is>
          <t>INE124E01038</t>
        </is>
      </c>
      <c r="B1007" s="16" t="inlineStr">
        <is>
          <t>STEELCAS</t>
        </is>
      </c>
      <c r="C1007" s="16" t="inlineStr">
        <is>
          <t>Steel Cast Ltd.</t>
        </is>
      </c>
      <c r="D1007" s="16" t="inlineStr">
        <is>
          <t>Castings &amp; Forgings</t>
        </is>
      </c>
      <c r="E1007" s="16" t="inlineStr">
        <is>
          <t>General Industrials</t>
        </is>
      </c>
      <c r="F1007" s="17" t="n">
        <v>3319.87</v>
      </c>
      <c r="G1007" s="16" t="inlineStr">
        <is>
          <t>STEELCAS</t>
        </is>
      </c>
      <c r="H1007" s="16" t="inlineStr">
        <is>
          <t>513517</t>
        </is>
      </c>
      <c r="I1007" s="27">
        <f>IFERROR(IF(INDEX(Stocks!$G$2:$G$2139,MATCH(A1007,Stocks!$E$2:$E$2139,0))="","No","Yes"),"No")</f>
        <v/>
      </c>
    </row>
    <row r="1008">
      <c r="A1008" s="16" t="inlineStr">
        <is>
          <t>INE0L9R01028</t>
        </is>
      </c>
      <c r="B1008" s="16" t="inlineStr">
        <is>
          <t>GOPAL</t>
        </is>
      </c>
      <c r="C1008" s="16" t="inlineStr">
        <is>
          <t>Gopal Snacks Ltd.</t>
        </is>
      </c>
      <c r="D1008" s="16" t="inlineStr">
        <is>
          <t>Packaged Foods</t>
        </is>
      </c>
      <c r="E1008" s="16" t="inlineStr">
        <is>
          <t>FMCG</t>
        </is>
      </c>
      <c r="F1008" s="17" t="n">
        <v>3304.92</v>
      </c>
      <c r="G1008" s="16" t="inlineStr">
        <is>
          <t>GOPAL</t>
        </is>
      </c>
      <c r="H1008" s="16" t="inlineStr">
        <is>
          <t>544140</t>
        </is>
      </c>
      <c r="I1008" s="27">
        <f>IFERROR(IF(INDEX(Stocks!$G$2:$G$2139,MATCH(A1008,Stocks!$E$2:$E$2139,0))="","No","Yes"),"No")</f>
        <v/>
      </c>
    </row>
    <row r="1009">
      <c r="A1009" s="16" t="inlineStr">
        <is>
          <t>INE0I0M01023</t>
        </is>
      </c>
      <c r="B1009" s="16" t="inlineStr">
        <is>
          <t>PRABHA</t>
        </is>
      </c>
      <c r="C1009" s="16" t="inlineStr">
        <is>
          <t>Prabha Energy Ltd.</t>
        </is>
      </c>
      <c r="D1009" s="16" t="inlineStr">
        <is>
          <t>Exploration &amp; Production</t>
        </is>
      </c>
      <c r="E1009" s="16" t="inlineStr">
        <is>
          <t>Oil &amp; Gas</t>
        </is>
      </c>
      <c r="F1009" s="17" t="n">
        <v>3300.54</v>
      </c>
      <c r="G1009" s="16" t="inlineStr">
        <is>
          <t>PRABHA</t>
        </is>
      </c>
      <c r="H1009" s="16" t="inlineStr">
        <is>
          <t>544379</t>
        </is>
      </c>
      <c r="I1009" s="27">
        <f>IFERROR(IF(INDEX(Stocks!$G$2:$G$2139,MATCH(A1009,Stocks!$E$2:$E$2139,0))="","No","Yes"),"No")</f>
        <v/>
      </c>
    </row>
    <row r="1010">
      <c r="A1010" s="16" t="inlineStr">
        <is>
          <t>INE116A01032</t>
        </is>
      </c>
      <c r="B1010" s="16" t="inlineStr">
        <is>
          <t>APCOTEXIND</t>
        </is>
      </c>
      <c r="C1010" s="16" t="inlineStr">
        <is>
          <t>Apcotex Industries Ltd.</t>
        </is>
      </c>
      <c r="D1010" s="16" t="inlineStr">
        <is>
          <t>Auto Tyres &amp; Rubber Products</t>
        </is>
      </c>
      <c r="E1010" s="16" t="inlineStr">
        <is>
          <t>Automobiles &amp; Auto Components</t>
        </is>
      </c>
      <c r="F1010" s="17" t="n">
        <v>3294.75</v>
      </c>
      <c r="G1010" s="16" t="inlineStr">
        <is>
          <t>APCOTEXIND</t>
        </is>
      </c>
      <c r="H1010" s="16" t="inlineStr">
        <is>
          <t>523694</t>
        </is>
      </c>
      <c r="I1010" s="27">
        <f>IFERROR(IF(INDEX(Stocks!$G$2:$G$2139,MATCH(A1010,Stocks!$E$2:$E$2139,0))="","No","Yes"),"No")</f>
        <v/>
      </c>
    </row>
    <row r="1011">
      <c r="A1011" s="16" t="inlineStr">
        <is>
          <t>INE11XY01018</t>
        </is>
      </c>
      <c r="B1011" s="16" t="inlineStr">
        <is>
          <t>CMLL</t>
        </is>
      </c>
      <c r="C1011" s="16" t="inlineStr">
        <is>
          <t>Caliber Mining and Logistics Ltd.</t>
        </is>
      </c>
      <c r="D1011" s="16" t="inlineStr">
        <is>
          <t>Diversified</t>
        </is>
      </c>
      <c r="E1011" s="16" t="inlineStr">
        <is>
          <t>Diversified</t>
        </is>
      </c>
      <c r="F1011" s="17" t="n">
        <v>3288.73</v>
      </c>
      <c r="G1011" s="16" t="inlineStr">
        <is>
          <t>CMLL</t>
        </is>
      </c>
      <c r="H1011" s="16" t="inlineStr">
        <is>
          <t>544833</t>
        </is>
      </c>
      <c r="I1011" s="27">
        <f>IFERROR(IF(INDEX(Stocks!$G$2:$G$2139,MATCH(A1011,Stocks!$E$2:$E$2139,0))="","No","Yes"),"No")</f>
        <v/>
      </c>
    </row>
    <row r="1012">
      <c r="A1012" s="16" t="inlineStr">
        <is>
          <t>INE139R01012</t>
        </is>
      </c>
      <c r="B1012" s="16" t="inlineStr">
        <is>
          <t>FUSION</t>
        </is>
      </c>
      <c r="C1012" s="16" t="inlineStr">
        <is>
          <t>Fusion Finance Ltd.</t>
        </is>
      </c>
      <c r="D1012" s="16" t="inlineStr">
        <is>
          <t>Microfinance Institutions</t>
        </is>
      </c>
      <c r="E1012" s="16" t="inlineStr">
        <is>
          <t>Banking and Finance</t>
        </is>
      </c>
      <c r="F1012" s="17" t="n">
        <v>3286.17</v>
      </c>
      <c r="G1012" s="16" t="inlineStr">
        <is>
          <t>FUSION</t>
        </is>
      </c>
      <c r="H1012" s="16" t="inlineStr">
        <is>
          <t>543652</t>
        </is>
      </c>
      <c r="I1012" s="27">
        <f>IFERROR(IF(INDEX(Stocks!$G$2:$G$2139,MATCH(A1012,Stocks!$E$2:$E$2139,0))="","No","Yes"),"No")</f>
        <v/>
      </c>
    </row>
    <row r="1013">
      <c r="A1013" s="16" t="inlineStr">
        <is>
          <t>INE837H01020</t>
        </is>
      </c>
      <c r="B1013" s="16" t="inlineStr">
        <is>
          <t>ADVENZYMES</t>
        </is>
      </c>
      <c r="C1013" s="16" t="inlineStr">
        <is>
          <t>Advanced Enzyme Technologies Ltd.</t>
        </is>
      </c>
      <c r="D1013" s="16" t="inlineStr">
        <is>
          <t>Biotechnology</t>
        </is>
      </c>
      <c r="E1013" s="16" t="inlineStr">
        <is>
          <t>Pharmaceuticals &amp; Biotechnology</t>
        </is>
      </c>
      <c r="F1013" s="17" t="n">
        <v>3283.14</v>
      </c>
      <c r="G1013" s="16" t="inlineStr">
        <is>
          <t>ADVENZYMES</t>
        </is>
      </c>
      <c r="H1013" s="16" t="inlineStr">
        <is>
          <t>540025</t>
        </is>
      </c>
      <c r="I1013" s="27">
        <f>IFERROR(IF(INDEX(Stocks!$G$2:$G$2139,MATCH(A1013,Stocks!$E$2:$E$2139,0))="","No","Yes"),"No")</f>
        <v/>
      </c>
    </row>
    <row r="1014">
      <c r="A1014" s="16" t="inlineStr">
        <is>
          <t>INE549H01021</t>
        </is>
      </c>
      <c r="B1014" s="16" t="inlineStr">
        <is>
          <t>ARSSBL</t>
        </is>
      </c>
      <c r="C1014" s="16" t="inlineStr">
        <is>
          <t>Anand Rathi Share &amp; Stock Brokers Ltd.</t>
        </is>
      </c>
      <c r="D1014" s="16" t="inlineStr">
        <is>
          <t>Capital Markets</t>
        </is>
      </c>
      <c r="E1014" s="16" t="inlineStr">
        <is>
          <t>Banking and Finance</t>
        </is>
      </c>
      <c r="F1014" s="17" t="n">
        <v>3248.23</v>
      </c>
      <c r="G1014" s="16" t="inlineStr">
        <is>
          <t>ARSSBL</t>
        </is>
      </c>
      <c r="H1014" s="16" t="inlineStr">
        <is>
          <t>544530</t>
        </is>
      </c>
      <c r="I1014" s="27">
        <f>IFERROR(IF(INDEX(Stocks!$G$2:$G$2139,MATCH(A1014,Stocks!$E$2:$E$2139,0))="","No","Yes"),"No")</f>
        <v/>
      </c>
    </row>
    <row r="1015">
      <c r="A1015" s="16" t="inlineStr">
        <is>
          <t>INE482D01024</t>
        </is>
      </c>
      <c r="B1015" s="16" t="inlineStr">
        <is>
          <t>CARYSIL</t>
        </is>
      </c>
      <c r="C1015" s="16" t="inlineStr">
        <is>
          <t>Carysil Ltd.</t>
        </is>
      </c>
      <c r="D1015" s="16" t="inlineStr">
        <is>
          <t>Household Products</t>
        </is>
      </c>
      <c r="E1015" s="16" t="inlineStr">
        <is>
          <t>Consumer Durables</t>
        </is>
      </c>
      <c r="F1015" s="17" t="n">
        <v>3244.73</v>
      </c>
      <c r="G1015" s="16" t="inlineStr">
        <is>
          <t>CARYSIL</t>
        </is>
      </c>
      <c r="H1015" s="16" t="inlineStr">
        <is>
          <t>524091</t>
        </is>
      </c>
      <c r="I1015" s="27">
        <f>IFERROR(IF(INDEX(Stocks!$G$2:$G$2139,MATCH(A1015,Stocks!$E$2:$E$2139,0))="","No","Yes"),"No")</f>
        <v/>
      </c>
    </row>
    <row r="1016">
      <c r="A1016" s="16" t="inlineStr">
        <is>
          <t>INE442H01029</t>
        </is>
      </c>
      <c r="B1016" s="16" t="inlineStr">
        <is>
          <t>ASHOKA</t>
        </is>
      </c>
      <c r="C1016" s="16" t="inlineStr">
        <is>
          <t>Ashoka Buildcon Ltd.</t>
        </is>
      </c>
      <c r="D1016" s="16" t="inlineStr">
        <is>
          <t>Roads &amp; Highways</t>
        </is>
      </c>
      <c r="E1016" s="16" t="inlineStr">
        <is>
          <t>Cement and Construction</t>
        </is>
      </c>
      <c r="F1016" s="17" t="n">
        <v>3243.76</v>
      </c>
      <c r="G1016" s="16" t="inlineStr">
        <is>
          <t>ASHOKA</t>
        </is>
      </c>
      <c r="H1016" s="16" t="inlineStr">
        <is>
          <t>533271</t>
        </is>
      </c>
      <c r="I1016" s="27">
        <f>IFERROR(IF(INDEX(Stocks!$G$2:$G$2139,MATCH(A1016,Stocks!$E$2:$E$2139,0))="","No","Yes"),"No")</f>
        <v/>
      </c>
    </row>
    <row r="1017">
      <c r="A1017" s="16" t="inlineStr">
        <is>
          <t>INE707A01012</t>
        </is>
      </c>
      <c r="B1017" s="16" t="inlineStr">
        <is>
          <t>VINDHYATEL</t>
        </is>
      </c>
      <c r="C1017" s="16" t="inlineStr">
        <is>
          <t>Vindhya Telelinks Ltd.</t>
        </is>
      </c>
      <c r="D1017" s="16" t="inlineStr">
        <is>
          <t>Construction &amp; Engineering</t>
        </is>
      </c>
      <c r="E1017" s="16" t="inlineStr">
        <is>
          <t>Cement and Construction</t>
        </is>
      </c>
      <c r="F1017" s="17" t="n">
        <v>3238.5</v>
      </c>
      <c r="G1017" s="16" t="inlineStr">
        <is>
          <t>VINDHYATEL</t>
        </is>
      </c>
      <c r="H1017" s="16" t="inlineStr">
        <is>
          <t>517015</t>
        </is>
      </c>
      <c r="I1017" s="27">
        <f>IFERROR(IF(INDEX(Stocks!$G$2:$G$2139,MATCH(A1017,Stocks!$E$2:$E$2139,0))="","No","Yes"),"No")</f>
        <v/>
      </c>
    </row>
    <row r="1018">
      <c r="A1018" s="16" t="inlineStr">
        <is>
          <t>INE855C01023</t>
        </is>
      </c>
      <c r="B1018" s="16" t="inlineStr">
        <is>
          <t>WEBELSOLAR</t>
        </is>
      </c>
      <c r="C1018" s="16" t="inlineStr">
        <is>
          <t>Websol Energy Systems Ltd.</t>
        </is>
      </c>
      <c r="D1018" s="16" t="inlineStr">
        <is>
          <t>Other Electrical Equipment/Products</t>
        </is>
      </c>
      <c r="E1018" s="16" t="inlineStr">
        <is>
          <t>Consumer Durables</t>
        </is>
      </c>
      <c r="F1018" s="17" t="n">
        <v>3235.82</v>
      </c>
      <c r="G1018" s="16" t="inlineStr">
        <is>
          <t>WEBELSOLAR</t>
        </is>
      </c>
      <c r="H1018" s="16" t="inlineStr">
        <is>
          <t>517498</t>
        </is>
      </c>
      <c r="I1018" s="27">
        <f>IFERROR(IF(INDEX(Stocks!$G$2:$G$2139,MATCH(A1018,Stocks!$E$2:$E$2139,0))="","No","Yes"),"No")</f>
        <v/>
      </c>
    </row>
    <row r="1019">
      <c r="A1019" s="16" t="inlineStr">
        <is>
          <t>INE440T01028</t>
        </is>
      </c>
      <c r="B1019" s="16" t="inlineStr">
        <is>
          <t>SEIL</t>
        </is>
      </c>
      <c r="C1019" s="16" t="inlineStr">
        <is>
          <t>Shanti Educational Initiatives Ltd.</t>
        </is>
      </c>
      <c r="D1019" s="16" t="inlineStr">
        <is>
          <t>Education</t>
        </is>
      </c>
      <c r="E1019" s="16" t="inlineStr">
        <is>
          <t>Diversified Consumer Services</t>
        </is>
      </c>
      <c r="F1019" s="17" t="n">
        <v>3234.83</v>
      </c>
      <c r="G1019" s="16" t="inlineStr"/>
      <c r="H1019" s="16" t="inlineStr">
        <is>
          <t>539921</t>
        </is>
      </c>
      <c r="I1019" s="27">
        <f>IFERROR(IF(INDEX(Stocks!$G$2:$G$2139,MATCH(A1019,Stocks!$E$2:$E$2139,0))="","No","Yes"),"No")</f>
        <v/>
      </c>
    </row>
    <row r="1020">
      <c r="A1020" s="16" t="inlineStr">
        <is>
          <t>INE266Y01019</t>
        </is>
      </c>
      <c r="B1020" s="16" t="inlineStr">
        <is>
          <t>DPABHUSHAN</t>
        </is>
      </c>
      <c r="C1020" s="16" t="inlineStr">
        <is>
          <t>D P Abhushan Ltd.</t>
        </is>
      </c>
      <c r="D1020" s="16" t="inlineStr">
        <is>
          <t>Gems &amp; Jewellery</t>
        </is>
      </c>
      <c r="E1020" s="16" t="inlineStr">
        <is>
          <t>Textiles Apparels &amp; Accessories</t>
        </is>
      </c>
      <c r="F1020" s="17" t="n">
        <v>3228.32</v>
      </c>
      <c r="G1020" s="16" t="inlineStr">
        <is>
          <t>DPABHUSHAN</t>
        </is>
      </c>
      <c r="H1020" s="16" t="inlineStr">
        <is>
          <t>544161</t>
        </is>
      </c>
      <c r="I1020" s="27">
        <f>IFERROR(IF(INDEX(Stocks!$G$2:$G$2139,MATCH(A1020,Stocks!$E$2:$E$2139,0))="","No","Yes"),"No")</f>
        <v/>
      </c>
    </row>
    <row r="1021">
      <c r="A1021" s="16" t="inlineStr">
        <is>
          <t>INE899L01030</t>
        </is>
      </c>
      <c r="B1021" s="16" t="inlineStr">
        <is>
          <t>UEL</t>
        </is>
      </c>
      <c r="C1021" s="16" t="inlineStr">
        <is>
          <t>Ujaas Energy Ltd.</t>
        </is>
      </c>
      <c r="D1021" s="16" t="inlineStr">
        <is>
          <t>Heavy Electrical Equipment</t>
        </is>
      </c>
      <c r="E1021" s="16" t="inlineStr">
        <is>
          <t>General Industrials</t>
        </is>
      </c>
      <c r="F1021" s="17" t="n">
        <v>3222.89</v>
      </c>
      <c r="G1021" s="16" t="inlineStr">
        <is>
          <t>UEL</t>
        </is>
      </c>
      <c r="H1021" s="16" t="inlineStr">
        <is>
          <t>533644</t>
        </is>
      </c>
      <c r="I1021" s="27">
        <f>IFERROR(IF(INDEX(Stocks!$G$2:$G$2139,MATCH(A1021,Stocks!$E$2:$E$2139,0))="","No","Yes"),"No")</f>
        <v/>
      </c>
    </row>
    <row r="1022">
      <c r="A1022" s="16" t="inlineStr">
        <is>
          <t>INE0L1C01019</t>
        </is>
      </c>
      <c r="B1022" s="16" t="inlineStr">
        <is>
          <t>KESAR</t>
        </is>
      </c>
      <c r="C1022" s="16" t="inlineStr">
        <is>
          <t>Kesar India Ltd.</t>
        </is>
      </c>
      <c r="D1022" s="16" t="inlineStr">
        <is>
          <t>Realty</t>
        </is>
      </c>
      <c r="E1022" s="16" t="inlineStr">
        <is>
          <t>Realty</t>
        </is>
      </c>
      <c r="F1022" s="17" t="n">
        <v>3219.78</v>
      </c>
      <c r="G1022" s="16" t="inlineStr"/>
      <c r="H1022" s="16" t="inlineStr">
        <is>
          <t>543542</t>
        </is>
      </c>
      <c r="I1022" s="27">
        <f>IFERROR(IF(INDEX(Stocks!$G$2:$G$2139,MATCH(A1022,Stocks!$E$2:$E$2139,0))="","No","Yes"),"No")</f>
        <v/>
      </c>
    </row>
    <row r="1023">
      <c r="A1023" s="16" t="inlineStr">
        <is>
          <t>INE760L01018</t>
        </is>
      </c>
      <c r="B1023" s="16" t="inlineStr">
        <is>
          <t>TBZ</t>
        </is>
      </c>
      <c r="C1023" s="16" t="inlineStr">
        <is>
          <t>Tribhovandas Bhimji Zaveri Ltd.</t>
        </is>
      </c>
      <c r="D1023" s="16" t="inlineStr">
        <is>
          <t>Gems &amp; Jewellery</t>
        </is>
      </c>
      <c r="E1023" s="16" t="inlineStr">
        <is>
          <t>Textiles Apparels &amp; Accessories</t>
        </is>
      </c>
      <c r="F1023" s="17" t="n">
        <v>3208.74</v>
      </c>
      <c r="G1023" s="16" t="inlineStr">
        <is>
          <t>TBZ</t>
        </is>
      </c>
      <c r="H1023" s="16" t="inlineStr">
        <is>
          <t>534369</t>
        </is>
      </c>
      <c r="I1023" s="27">
        <f>IFERROR(IF(INDEX(Stocks!$G$2:$G$2139,MATCH(A1023,Stocks!$E$2:$E$2139,0))="","No","Yes"),"No")</f>
        <v/>
      </c>
    </row>
    <row r="1024">
      <c r="A1024" s="16" t="inlineStr">
        <is>
          <t>INE681B01017</t>
        </is>
      </c>
      <c r="B1024" s="16" t="inlineStr">
        <is>
          <t>INDRAMEDCO</t>
        </is>
      </c>
      <c r="C1024" s="16" t="inlineStr">
        <is>
          <t>Indraprastha Medical Corporation Ltd.</t>
        </is>
      </c>
      <c r="D1024" s="16" t="inlineStr">
        <is>
          <t>Healthcare Facilities</t>
        </is>
      </c>
      <c r="E1024" s="16" t="inlineStr">
        <is>
          <t>Healthcare</t>
        </is>
      </c>
      <c r="F1024" s="17" t="n">
        <v>3205.8</v>
      </c>
      <c r="G1024" s="16" t="inlineStr">
        <is>
          <t>INDRAMEDCO</t>
        </is>
      </c>
      <c r="H1024" s="16" t="inlineStr">
        <is>
          <t>532150</t>
        </is>
      </c>
      <c r="I1024" s="27">
        <f>IFERROR(IF(INDEX(Stocks!$G$2:$G$2139,MATCH(A1024,Stocks!$E$2:$E$2139,0))="","No","Yes"),"No")</f>
        <v/>
      </c>
    </row>
    <row r="1025">
      <c r="A1025" s="16" t="inlineStr">
        <is>
          <t>INE206N01018</t>
        </is>
      </c>
      <c r="B1025" s="16" t="inlineStr">
        <is>
          <t>RELTD</t>
        </is>
      </c>
      <c r="C1025" s="16" t="inlineStr">
        <is>
          <t>Ravindra Energy Ltd.</t>
        </is>
      </c>
      <c r="D1025" s="16" t="inlineStr">
        <is>
          <t>Power - Electric Utilities</t>
        </is>
      </c>
      <c r="E1025" s="16" t="inlineStr">
        <is>
          <t>Utilities</t>
        </is>
      </c>
      <c r="F1025" s="17" t="n">
        <v>3204.19</v>
      </c>
      <c r="G1025" s="16" t="inlineStr">
        <is>
          <t>RELTD</t>
        </is>
      </c>
      <c r="H1025" s="16" t="inlineStr">
        <is>
          <t>504341</t>
        </is>
      </c>
      <c r="I1025" s="27">
        <f>IFERROR(IF(INDEX(Stocks!$G$2:$G$2139,MATCH(A1025,Stocks!$E$2:$E$2139,0))="","No","Yes"),"No")</f>
        <v/>
      </c>
    </row>
    <row r="1026">
      <c r="A1026" s="16" t="inlineStr">
        <is>
          <t>INE266D01021</t>
        </is>
      </c>
      <c r="B1026" s="16" t="inlineStr">
        <is>
          <t>GRAUWEIL</t>
        </is>
      </c>
      <c r="C1026" s="16" t="inlineStr">
        <is>
          <t>Grauer &amp; Weil (India) Ltd.</t>
        </is>
      </c>
      <c r="D1026" s="16" t="inlineStr">
        <is>
          <t>Commodity Chemicals</t>
        </is>
      </c>
      <c r="E1026" s="16" t="inlineStr">
        <is>
          <t>Chemicals &amp; Petrochemicals</t>
        </is>
      </c>
      <c r="F1026" s="17" t="n">
        <v>3199.72</v>
      </c>
      <c r="G1026" s="16" t="inlineStr"/>
      <c r="H1026" s="16" t="inlineStr">
        <is>
          <t>505710</t>
        </is>
      </c>
      <c r="I1026" s="27">
        <f>IFERROR(IF(INDEX(Stocks!$G$2:$G$2139,MATCH(A1026,Stocks!$E$2:$E$2139,0))="","No","Yes"),"No")</f>
        <v/>
      </c>
    </row>
    <row r="1027">
      <c r="A1027" s="16" t="inlineStr">
        <is>
          <t>INE040D01038</t>
        </is>
      </c>
      <c r="B1027" s="16" t="inlineStr">
        <is>
          <t>MAYURUNIQ</t>
        </is>
      </c>
      <c r="C1027" s="16" t="inlineStr">
        <is>
          <t>Mayur Uniquoters Ltd.</t>
        </is>
      </c>
      <c r="D1027" s="16" t="inlineStr">
        <is>
          <t>Textiles</t>
        </is>
      </c>
      <c r="E1027" s="16" t="inlineStr">
        <is>
          <t>Textiles Apparels &amp; Accessories</t>
        </is>
      </c>
      <c r="F1027" s="17" t="n">
        <v>3193.11</v>
      </c>
      <c r="G1027" s="16" t="inlineStr">
        <is>
          <t>MAYURUNIQ</t>
        </is>
      </c>
      <c r="H1027" s="16" t="inlineStr">
        <is>
          <t>522249</t>
        </is>
      </c>
      <c r="I1027" s="27">
        <f>IFERROR(IF(INDEX(Stocks!$G$2:$G$2139,MATCH(A1027,Stocks!$E$2:$E$2139,0))="","No","Yes"),"No")</f>
        <v/>
      </c>
    </row>
    <row r="1028">
      <c r="A1028" s="16" t="inlineStr">
        <is>
          <t>INE162A01010</t>
        </is>
      </c>
      <c r="B1028" s="16" t="inlineStr">
        <is>
          <t>GIPCL</t>
        </is>
      </c>
      <c r="C1028" s="16" t="inlineStr">
        <is>
          <t>Gujarat Industries Power Company Ltd.</t>
        </is>
      </c>
      <c r="D1028" s="16" t="inlineStr">
        <is>
          <t>Power - Electric Utilities</t>
        </is>
      </c>
      <c r="E1028" s="16" t="inlineStr">
        <is>
          <t>Utilities</t>
        </is>
      </c>
      <c r="F1028" s="17" t="n">
        <v>3184.72</v>
      </c>
      <c r="G1028" s="16" t="inlineStr">
        <is>
          <t>GIPCL</t>
        </is>
      </c>
      <c r="H1028" s="16" t="inlineStr">
        <is>
          <t>517300</t>
        </is>
      </c>
      <c r="I1028" s="27">
        <f>IFERROR(IF(INDEX(Stocks!$G$2:$G$2139,MATCH(A1028,Stocks!$E$2:$E$2139,0))="","No","Yes"),"No")</f>
        <v/>
      </c>
    </row>
    <row r="1029">
      <c r="A1029" s="16" t="inlineStr">
        <is>
          <t>INE0BYP01024</t>
        </is>
      </c>
      <c r="B1029" s="16" t="inlineStr">
        <is>
          <t>OSWALPUMPS</t>
        </is>
      </c>
      <c r="C1029" s="16" t="inlineStr">
        <is>
          <t>Oswal Pumps Ltd.</t>
        </is>
      </c>
      <c r="D1029" s="16" t="inlineStr">
        <is>
          <t>Compressors &amp; Pumps</t>
        </is>
      </c>
      <c r="E1029" s="16" t="inlineStr">
        <is>
          <t>General Industrials</t>
        </is>
      </c>
      <c r="F1029" s="17" t="n">
        <v>3183.02</v>
      </c>
      <c r="G1029" s="16" t="inlineStr">
        <is>
          <t>OSWALPUMPS</t>
        </is>
      </c>
      <c r="H1029" s="16" t="inlineStr">
        <is>
          <t>544418</t>
        </is>
      </c>
      <c r="I1029" s="27">
        <f>IFERROR(IF(INDEX(Stocks!$G$2:$G$2139,MATCH(A1029,Stocks!$E$2:$E$2139,0))="","No","Yes"),"No")</f>
        <v/>
      </c>
    </row>
    <row r="1030">
      <c r="A1030" s="16" t="inlineStr">
        <is>
          <t>INE683C01011</t>
        </is>
      </c>
      <c r="B1030" s="16" t="inlineStr">
        <is>
          <t>MAITHANALL</t>
        </is>
      </c>
      <c r="C1030" s="16" t="inlineStr">
        <is>
          <t>Maithan Alloys Ltd.</t>
        </is>
      </c>
      <c r="D1030" s="16" t="inlineStr">
        <is>
          <t>Iron &amp; Steel/Interm.Products</t>
        </is>
      </c>
      <c r="E1030" s="16" t="inlineStr">
        <is>
          <t>Metals &amp; Mining</t>
        </is>
      </c>
      <c r="F1030" s="17" t="n">
        <v>3174.77</v>
      </c>
      <c r="G1030" s="16" t="inlineStr">
        <is>
          <t>MAITHANALL</t>
        </is>
      </c>
      <c r="H1030" s="16" t="inlineStr">
        <is>
          <t>590078</t>
        </is>
      </c>
      <c r="I1030" s="27">
        <f>IFERROR(IF(INDEX(Stocks!$G$2:$G$2139,MATCH(A1030,Stocks!$E$2:$E$2139,0))="","No","Yes"),"No")</f>
        <v/>
      </c>
    </row>
    <row r="1031">
      <c r="A1031" s="16" t="inlineStr">
        <is>
          <t>INE922A01025</t>
        </is>
      </c>
      <c r="B1031" s="16" t="inlineStr">
        <is>
          <t>BEPL</t>
        </is>
      </c>
      <c r="C1031" s="16" t="inlineStr">
        <is>
          <t>Bhansali Engineering Polymers Ltd.</t>
        </is>
      </c>
      <c r="D1031" s="16" t="inlineStr">
        <is>
          <t>Specialty Chemicals</t>
        </is>
      </c>
      <c r="E1031" s="16" t="inlineStr">
        <is>
          <t>Chemicals &amp; Petrochemicals</t>
        </is>
      </c>
      <c r="F1031" s="17" t="n">
        <v>3172.95</v>
      </c>
      <c r="G1031" s="16" t="inlineStr">
        <is>
          <t>BEPL</t>
        </is>
      </c>
      <c r="H1031" s="16" t="inlineStr">
        <is>
          <t>500052</t>
        </is>
      </c>
      <c r="I1031" s="27">
        <f>IFERROR(IF(INDEX(Stocks!$G$2:$G$2139,MATCH(A1031,Stocks!$E$2:$E$2139,0))="","No","Yes"),"No")</f>
        <v/>
      </c>
    </row>
    <row r="1032">
      <c r="A1032" s="16" t="inlineStr">
        <is>
          <t>INE401H01017</t>
        </is>
      </c>
      <c r="B1032" s="16" t="inlineStr">
        <is>
          <t>KKCL</t>
        </is>
      </c>
      <c r="C1032" s="16" t="inlineStr">
        <is>
          <t>Kewal Kiran Clothing Ltd.</t>
        </is>
      </c>
      <c r="D1032" s="16" t="inlineStr">
        <is>
          <t>Other Apparels &amp; Accessories</t>
        </is>
      </c>
      <c r="E1032" s="16" t="inlineStr">
        <is>
          <t>Textiles Apparels &amp; Accessories</t>
        </is>
      </c>
      <c r="F1032" s="17" t="n">
        <v>3169.38</v>
      </c>
      <c r="G1032" s="16" t="inlineStr">
        <is>
          <t>KKCL</t>
        </is>
      </c>
      <c r="H1032" s="16" t="inlineStr">
        <is>
          <t>532732</t>
        </is>
      </c>
      <c r="I1032" s="27">
        <f>IFERROR(IF(INDEX(Stocks!$G$2:$G$2139,MATCH(A1032,Stocks!$E$2:$E$2139,0))="","No","Yes"),"No")</f>
        <v/>
      </c>
    </row>
    <row r="1033">
      <c r="A1033" s="16" t="inlineStr">
        <is>
          <t>INE450U01017</t>
        </is>
      </c>
      <c r="B1033" s="16" t="inlineStr">
        <is>
          <t>ROUTE</t>
        </is>
      </c>
      <c r="C1033" s="16" t="inlineStr">
        <is>
          <t>Route Mobile Ltd.</t>
        </is>
      </c>
      <c r="D1033" s="16" t="inlineStr">
        <is>
          <t>Internet Software &amp; Services</t>
        </is>
      </c>
      <c r="E1033" s="16" t="inlineStr">
        <is>
          <t>Software &amp; Services</t>
        </is>
      </c>
      <c r="F1033" s="17" t="n">
        <v>3159.92</v>
      </c>
      <c r="G1033" s="16" t="inlineStr">
        <is>
          <t>ROUTE</t>
        </is>
      </c>
      <c r="H1033" s="16" t="inlineStr">
        <is>
          <t>543228</t>
        </is>
      </c>
      <c r="I1033" s="27">
        <f>IFERROR(IF(INDEX(Stocks!$G$2:$G$2139,MATCH(A1033,Stocks!$E$2:$E$2139,0))="","No","Yes"),"No")</f>
        <v/>
      </c>
    </row>
    <row r="1034">
      <c r="A1034" s="16" t="inlineStr">
        <is>
          <t>INE310A01015</t>
        </is>
      </c>
      <c r="B1034" s="16" t="inlineStr">
        <is>
          <t>NILKAMAL</t>
        </is>
      </c>
      <c r="C1034" s="16" t="inlineStr">
        <is>
          <t>Nilkamal Ltd.</t>
        </is>
      </c>
      <c r="D1034" s="16" t="inlineStr">
        <is>
          <t>Plastic Products</t>
        </is>
      </c>
      <c r="E1034" s="16" t="inlineStr">
        <is>
          <t>General Industrials</t>
        </is>
      </c>
      <c r="F1034" s="17" t="n">
        <v>3158.35</v>
      </c>
      <c r="G1034" s="16" t="inlineStr">
        <is>
          <t>NILKAMAL</t>
        </is>
      </c>
      <c r="H1034" s="16" t="inlineStr">
        <is>
          <t>523385</t>
        </is>
      </c>
      <c r="I1034" s="27">
        <f>IFERROR(IF(INDEX(Stocks!$G$2:$G$2139,MATCH(A1034,Stocks!$E$2:$E$2139,0))="","No","Yes"),"No")</f>
        <v/>
      </c>
    </row>
    <row r="1035">
      <c r="A1035" s="16" t="inlineStr">
        <is>
          <t>INE0Q8P01029</t>
        </is>
      </c>
      <c r="B1035" s="16" t="inlineStr">
        <is>
          <t>BONDADA</t>
        </is>
      </c>
      <c r="C1035" s="16" t="inlineStr">
        <is>
          <t>Bondada Engineering Ltd.</t>
        </is>
      </c>
      <c r="D1035" s="16" t="inlineStr">
        <is>
          <t>Construction &amp; Engineering</t>
        </is>
      </c>
      <c r="E1035" s="16" t="inlineStr">
        <is>
          <t>Cement and Construction</t>
        </is>
      </c>
      <c r="F1035" s="17" t="n">
        <v>3151.93</v>
      </c>
      <c r="G1035" s="16" t="inlineStr"/>
      <c r="H1035" s="16" t="inlineStr">
        <is>
          <t>543971</t>
        </is>
      </c>
      <c r="I1035" s="27">
        <f>IFERROR(IF(INDEX(Stocks!$G$2:$G$2139,MATCH(A1035,Stocks!$E$2:$E$2139,0))="","No","Yes"),"No")</f>
        <v/>
      </c>
    </row>
    <row r="1036">
      <c r="A1036" s="16" t="inlineStr">
        <is>
          <t>INE24OJ01011</t>
        </is>
      </c>
      <c r="B1036" s="16" t="inlineStr">
        <is>
          <t>BUILDPRO</t>
        </is>
      </c>
      <c r="C1036" s="16" t="inlineStr">
        <is>
          <t>Shankara Buildpro Ltd.</t>
        </is>
      </c>
      <c r="D1036" s="16" t="inlineStr">
        <is>
          <t>Construction Materials</t>
        </is>
      </c>
      <c r="E1036" s="16" t="inlineStr">
        <is>
          <t>Cement and Construction</t>
        </is>
      </c>
      <c r="F1036" s="17" t="n">
        <v>3148.04</v>
      </c>
      <c r="G1036" s="16" t="inlineStr">
        <is>
          <t>BUILDPRO</t>
        </is>
      </c>
      <c r="H1036" s="16" t="inlineStr">
        <is>
          <t>544517</t>
        </is>
      </c>
      <c r="I1036" s="27">
        <f>IFERROR(IF(INDEX(Stocks!$G$2:$G$2139,MATCH(A1036,Stocks!$E$2:$E$2139,0))="","No","Yes"),"No")</f>
        <v/>
      </c>
    </row>
    <row r="1037">
      <c r="A1037" s="16" t="inlineStr">
        <is>
          <t>INE052A01021</t>
        </is>
      </c>
      <c r="B1037" s="16" t="inlineStr">
        <is>
          <t>WINDMACHIN</t>
        </is>
      </c>
      <c r="C1037" s="16" t="inlineStr">
        <is>
          <t>Windsor Machines Ltd.</t>
        </is>
      </c>
      <c r="D1037" s="16" t="inlineStr">
        <is>
          <t>Industrial Machinery</t>
        </is>
      </c>
      <c r="E1037" s="16" t="inlineStr">
        <is>
          <t>General Industrials</t>
        </is>
      </c>
      <c r="F1037" s="17" t="n">
        <v>3147.75</v>
      </c>
      <c r="G1037" s="16" t="inlineStr">
        <is>
          <t>WINDMACHIN</t>
        </is>
      </c>
      <c r="H1037" s="16" t="inlineStr">
        <is>
          <t>522029</t>
        </is>
      </c>
      <c r="I1037" s="27">
        <f>IFERROR(IF(INDEX(Stocks!$G$2:$G$2139,MATCH(A1037,Stocks!$E$2:$E$2139,0))="","No","Yes"),"No")</f>
        <v/>
      </c>
    </row>
    <row r="1038">
      <c r="A1038" s="16" t="inlineStr">
        <is>
          <t>INE926X01010</t>
        </is>
      </c>
      <c r="B1038" s="16" t="inlineStr">
        <is>
          <t>HGINFRA</t>
        </is>
      </c>
      <c r="C1038" s="16" t="inlineStr">
        <is>
          <t>HG Infra Engineering Ltd.</t>
        </is>
      </c>
      <c r="D1038" s="16" t="inlineStr">
        <is>
          <t>Construction &amp; Engineering</t>
        </is>
      </c>
      <c r="E1038" s="16" t="inlineStr">
        <is>
          <t>Cement and Construction</t>
        </is>
      </c>
      <c r="F1038" s="17" t="n">
        <v>3141.25</v>
      </c>
      <c r="G1038" s="16" t="inlineStr">
        <is>
          <t>HGINFRA</t>
        </is>
      </c>
      <c r="H1038" s="16" t="inlineStr">
        <is>
          <t>541019</t>
        </is>
      </c>
      <c r="I1038" s="27">
        <f>IFERROR(IF(INDEX(Stocks!$G$2:$G$2139,MATCH(A1038,Stocks!$E$2:$E$2139,0))="","No","Yes"),"No")</f>
        <v/>
      </c>
    </row>
    <row r="1039">
      <c r="A1039" s="16" t="inlineStr">
        <is>
          <t>INE883N01014</t>
        </is>
      </c>
      <c r="B1039" s="16" t="inlineStr">
        <is>
          <t>PARAGMILK</t>
        </is>
      </c>
      <c r="C1039" s="16" t="inlineStr">
        <is>
          <t>Parag Milk Foods Ltd.</t>
        </is>
      </c>
      <c r="D1039" s="16" t="inlineStr">
        <is>
          <t>Packaged Foods</t>
        </is>
      </c>
      <c r="E1039" s="16" t="inlineStr">
        <is>
          <t>FMCG</t>
        </is>
      </c>
      <c r="F1039" s="17" t="n">
        <v>3135.22</v>
      </c>
      <c r="G1039" s="16" t="inlineStr">
        <is>
          <t>PARAGMILK</t>
        </is>
      </c>
      <c r="H1039" s="16" t="inlineStr">
        <is>
          <t>539889</t>
        </is>
      </c>
      <c r="I1039" s="27">
        <f>IFERROR(IF(INDEX(Stocks!$G$2:$G$2139,MATCH(A1039,Stocks!$E$2:$E$2139,0))="","No","Yes"),"No")</f>
        <v/>
      </c>
    </row>
    <row r="1040">
      <c r="A1040" s="16" t="inlineStr">
        <is>
          <t>INE172N01012</t>
        </is>
      </c>
      <c r="B1040" s="16" t="inlineStr">
        <is>
          <t>IMAGICAA</t>
        </is>
      </c>
      <c r="C1040" s="16" t="inlineStr">
        <is>
          <t>Imagicaaworld Entertainment Ltd.</t>
        </is>
      </c>
      <c r="D1040" s="16" t="inlineStr">
        <is>
          <t>Other Leisure Facilities</t>
        </is>
      </c>
      <c r="E1040" s="16" t="inlineStr">
        <is>
          <t>Diversified Consumer Services</t>
        </is>
      </c>
      <c r="F1040" s="17" t="n">
        <v>3133.74</v>
      </c>
      <c r="G1040" s="16" t="inlineStr">
        <is>
          <t>IMAGICAA</t>
        </is>
      </c>
      <c r="H1040" s="16" t="inlineStr">
        <is>
          <t>539056</t>
        </is>
      </c>
      <c r="I1040" s="27">
        <f>IFERROR(IF(INDEX(Stocks!$G$2:$G$2139,MATCH(A1040,Stocks!$E$2:$E$2139,0))="","No","Yes"),"No")</f>
        <v/>
      </c>
    </row>
    <row r="1041">
      <c r="A1041" s="16" t="inlineStr">
        <is>
          <t>INE689W01016</t>
        </is>
      </c>
      <c r="B1041" s="16" t="inlineStr">
        <is>
          <t>PRINCEPIPE</t>
        </is>
      </c>
      <c r="C1041" s="16" t="inlineStr">
        <is>
          <t>Prince Pipes &amp; Fittings Ltd.</t>
        </is>
      </c>
      <c r="D1041" s="16" t="inlineStr">
        <is>
          <t>Plastic Products</t>
        </is>
      </c>
      <c r="E1041" s="16" t="inlineStr">
        <is>
          <t>General Industrials</t>
        </is>
      </c>
      <c r="F1041" s="17" t="n">
        <v>3128.88</v>
      </c>
      <c r="G1041" s="16" t="inlineStr">
        <is>
          <t>PRINCEPIPE</t>
        </is>
      </c>
      <c r="H1041" s="16" t="inlineStr">
        <is>
          <t>542907</t>
        </is>
      </c>
      <c r="I1041" s="27">
        <f>IFERROR(IF(INDEX(Stocks!$G$2:$G$2139,MATCH(A1041,Stocks!$E$2:$E$2139,0))="","No","Yes"),"No")</f>
        <v/>
      </c>
    </row>
    <row r="1042">
      <c r="A1042" s="16" t="inlineStr">
        <is>
          <t>INE342G01023</t>
        </is>
      </c>
      <c r="B1042" s="16" t="inlineStr">
        <is>
          <t>NIITMTS</t>
        </is>
      </c>
      <c r="C1042" s="16" t="inlineStr">
        <is>
          <t>NIIT Learning Systems Ltd.</t>
        </is>
      </c>
      <c r="D1042" s="16" t="inlineStr">
        <is>
          <t>Education</t>
        </is>
      </c>
      <c r="E1042" s="16" t="inlineStr">
        <is>
          <t>Diversified Consumer Services</t>
        </is>
      </c>
      <c r="F1042" s="17" t="n">
        <v>3118.04</v>
      </c>
      <c r="G1042" s="16" t="inlineStr">
        <is>
          <t>NIITMTS</t>
        </is>
      </c>
      <c r="H1042" s="16" t="inlineStr">
        <is>
          <t>543952</t>
        </is>
      </c>
      <c r="I1042" s="27">
        <f>IFERROR(IF(INDEX(Stocks!$G$2:$G$2139,MATCH(A1042,Stocks!$E$2:$E$2139,0))="","No","Yes"),"No")</f>
        <v/>
      </c>
    </row>
    <row r="1043">
      <c r="A1043" s="16" t="inlineStr">
        <is>
          <t>INE094B01013</t>
        </is>
      </c>
      <c r="B1043" s="16" t="inlineStr">
        <is>
          <t>ASHIKA</t>
        </is>
      </c>
      <c r="C1043" s="16" t="inlineStr">
        <is>
          <t>Ashika Global Securities Ltd.</t>
        </is>
      </c>
      <c r="D1043" s="16" t="inlineStr">
        <is>
          <t>Finance (including NBFCs)</t>
        </is>
      </c>
      <c r="E1043" s="16" t="inlineStr">
        <is>
          <t>Banking and Finance</t>
        </is>
      </c>
      <c r="F1043" s="17" t="n">
        <v>3111.96</v>
      </c>
      <c r="G1043" s="16" t="inlineStr"/>
      <c r="H1043" s="16" t="inlineStr">
        <is>
          <t>543766</t>
        </is>
      </c>
      <c r="I1043" s="27">
        <f>IFERROR(IF(INDEX(Stocks!$G$2:$G$2139,MATCH(A1043,Stocks!$E$2:$E$2139,0))="","No","Yes"),"No")</f>
        <v/>
      </c>
    </row>
    <row r="1044">
      <c r="A1044" s="16" t="inlineStr">
        <is>
          <t>INE445C01015</t>
        </is>
      </c>
      <c r="B1044" s="16" t="inlineStr">
        <is>
          <t>XPROINDIA</t>
        </is>
      </c>
      <c r="C1044" s="16" t="inlineStr">
        <is>
          <t>Xpro India Ltd.</t>
        </is>
      </c>
      <c r="D1044" s="16" t="inlineStr">
        <is>
          <t>Containers &amp; Packaging</t>
        </is>
      </c>
      <c r="E1044" s="16" t="inlineStr">
        <is>
          <t>Commercial Services &amp; Supplies</t>
        </is>
      </c>
      <c r="F1044" s="17" t="n">
        <v>3110.06</v>
      </c>
      <c r="G1044" s="16" t="inlineStr">
        <is>
          <t>XPROINDIA</t>
        </is>
      </c>
      <c r="H1044" s="16" t="inlineStr">
        <is>
          <t>590013</t>
        </is>
      </c>
      <c r="I1044" s="27">
        <f>IFERROR(IF(INDEX(Stocks!$G$2:$G$2139,MATCH(A1044,Stocks!$E$2:$E$2139,0))="","No","Yes"),"No")</f>
        <v/>
      </c>
    </row>
    <row r="1045">
      <c r="A1045" s="16" t="inlineStr">
        <is>
          <t>INE02PY01013</t>
        </is>
      </c>
      <c r="B1045" s="16" t="inlineStr">
        <is>
          <t>BOROLTD</t>
        </is>
      </c>
      <c r="C1045" s="16" t="inlineStr">
        <is>
          <t>Borosil Ltd.</t>
        </is>
      </c>
      <c r="D1045" s="16" t="inlineStr">
        <is>
          <t>Houseware</t>
        </is>
      </c>
      <c r="E1045" s="16" t="inlineStr">
        <is>
          <t>Consumer Durables</t>
        </is>
      </c>
      <c r="F1045" s="17" t="n">
        <v>3096.84</v>
      </c>
      <c r="G1045" s="16" t="inlineStr">
        <is>
          <t>BOROLTD</t>
        </is>
      </c>
      <c r="H1045" s="16" t="inlineStr">
        <is>
          <t>543212</t>
        </is>
      </c>
      <c r="I1045" s="27">
        <f>IFERROR(IF(INDEX(Stocks!$G$2:$G$2139,MATCH(A1045,Stocks!$E$2:$E$2139,0))="","No","Yes"),"No")</f>
        <v/>
      </c>
    </row>
    <row r="1046">
      <c r="A1046" s="16" t="inlineStr">
        <is>
          <t>INE915B01019</t>
        </is>
      </c>
      <c r="B1046" s="16" t="inlineStr">
        <is>
          <t>INDSWFTLAB</t>
        </is>
      </c>
      <c r="C1046" s="16" t="inlineStr">
        <is>
          <t>Ind-Swift Laboratories Ltd.</t>
        </is>
      </c>
      <c r="D1046" s="16" t="inlineStr">
        <is>
          <t>Pharmaceuticals</t>
        </is>
      </c>
      <c r="E1046" s="16" t="inlineStr">
        <is>
          <t>Pharmaceuticals &amp; Biotechnology</t>
        </is>
      </c>
      <c r="F1046" s="17" t="n">
        <v>3095.4</v>
      </c>
      <c r="G1046" s="16" t="inlineStr">
        <is>
          <t>INDSWFTLAB</t>
        </is>
      </c>
      <c r="H1046" s="16" t="inlineStr">
        <is>
          <t>532305</t>
        </is>
      </c>
      <c r="I1046" s="27">
        <f>IFERROR(IF(INDEX(Stocks!$G$2:$G$2139,MATCH(A1046,Stocks!$E$2:$E$2139,0))="","No","Yes"),"No")</f>
        <v/>
      </c>
    </row>
    <row r="1047">
      <c r="A1047" s="16" t="inlineStr">
        <is>
          <t>INE314H01012</t>
        </is>
      </c>
      <c r="B1047" s="16" t="inlineStr">
        <is>
          <t>TECHNVISN</t>
        </is>
      </c>
      <c r="C1047" s="16" t="inlineStr">
        <is>
          <t>TechNVision Ventures Ltd.</t>
        </is>
      </c>
      <c r="D1047" s="16" t="inlineStr">
        <is>
          <t>IT Consulting &amp; Software</t>
        </is>
      </c>
      <c r="E1047" s="16" t="inlineStr">
        <is>
          <t>Software &amp; Services</t>
        </is>
      </c>
      <c r="F1047" s="17" t="n">
        <v>3076.76</v>
      </c>
      <c r="G1047" s="16" t="inlineStr"/>
      <c r="H1047" s="16" t="inlineStr">
        <is>
          <t>501421</t>
        </is>
      </c>
      <c r="I1047" s="27">
        <f>IFERROR(IF(INDEX(Stocks!$G$2:$G$2139,MATCH(A1047,Stocks!$E$2:$E$2139,0))="","No","Yes"),"No")</f>
        <v/>
      </c>
    </row>
    <row r="1048">
      <c r="A1048" s="16" t="inlineStr">
        <is>
          <t>INE624Z01016</t>
        </is>
      </c>
      <c r="B1048" s="16" t="inlineStr">
        <is>
          <t>SOLARA</t>
        </is>
      </c>
      <c r="C1048" s="16" t="inlineStr">
        <is>
          <t>Solara Active Pharma Sciences Ltd.</t>
        </is>
      </c>
      <c r="D1048" s="16" t="inlineStr">
        <is>
          <t>Pharmaceuticals</t>
        </is>
      </c>
      <c r="E1048" s="16" t="inlineStr">
        <is>
          <t>Pharmaceuticals &amp; Biotechnology</t>
        </is>
      </c>
      <c r="F1048" s="17" t="n">
        <v>3071.63</v>
      </c>
      <c r="G1048" s="16" t="inlineStr">
        <is>
          <t>SOLARA</t>
        </is>
      </c>
      <c r="H1048" s="16" t="inlineStr">
        <is>
          <t>541540</t>
        </is>
      </c>
      <c r="I1048" s="27">
        <f>IFERROR(IF(INDEX(Stocks!$G$2:$G$2139,MATCH(A1048,Stocks!$E$2:$E$2139,0))="","No","Yes"),"No")</f>
        <v/>
      </c>
    </row>
    <row r="1049">
      <c r="A1049" s="16" t="inlineStr">
        <is>
          <t>INE202H01019</t>
        </is>
      </c>
      <c r="B1049" s="16" t="inlineStr">
        <is>
          <t>KERNEX</t>
        </is>
      </c>
      <c r="C1049" s="16" t="inlineStr">
        <is>
          <t>Kernex Microsystems (India) Ltd.</t>
        </is>
      </c>
      <c r="D1049" s="16" t="inlineStr">
        <is>
          <t>Transport Related Services</t>
        </is>
      </c>
      <c r="E1049" s="16" t="inlineStr">
        <is>
          <t>Transportation</t>
        </is>
      </c>
      <c r="F1049" s="17" t="n">
        <v>3053.21</v>
      </c>
      <c r="G1049" s="16" t="inlineStr">
        <is>
          <t>KERNEX</t>
        </is>
      </c>
      <c r="H1049" s="16" t="inlineStr">
        <is>
          <t>532686</t>
        </is>
      </c>
      <c r="I1049" s="27">
        <f>IFERROR(IF(INDEX(Stocks!$G$2:$G$2139,MATCH(A1049,Stocks!$E$2:$E$2139,0))="","No","Yes"),"No")</f>
        <v/>
      </c>
    </row>
    <row r="1050">
      <c r="A1050" s="16" t="inlineStr">
        <is>
          <t>INE01FR01028</t>
        </is>
      </c>
      <c r="B1050" s="16" t="inlineStr">
        <is>
          <t>STYLEBAAZA</t>
        </is>
      </c>
      <c r="C1050" s="16" t="inlineStr">
        <is>
          <t>Baazar Style Retail Ltd.</t>
        </is>
      </c>
      <c r="D1050" s="16" t="inlineStr">
        <is>
          <t>Department Stores</t>
        </is>
      </c>
      <c r="E1050" s="16" t="inlineStr">
        <is>
          <t>Retailing</t>
        </is>
      </c>
      <c r="F1050" s="17" t="n">
        <v>3046.6</v>
      </c>
      <c r="G1050" s="16" t="inlineStr">
        <is>
          <t>STYLEBAAZA</t>
        </is>
      </c>
      <c r="H1050" s="16" t="inlineStr">
        <is>
          <t>544243</t>
        </is>
      </c>
      <c r="I1050" s="27">
        <f>IFERROR(IF(INDEX(Stocks!$G$2:$G$2139,MATCH(A1050,Stocks!$E$2:$E$2139,0))="","No","Yes"),"No")</f>
        <v/>
      </c>
    </row>
    <row r="1051">
      <c r="A1051" s="16" t="inlineStr">
        <is>
          <t>INE506A01018</t>
        </is>
      </c>
      <c r="B1051" s="16" t="inlineStr">
        <is>
          <t>DREDGECORP</t>
        </is>
      </c>
      <c r="C1051" s="16" t="inlineStr">
        <is>
          <t>Dredging Corporation Of India Ltd.</t>
        </is>
      </c>
      <c r="D1051" s="16" t="inlineStr">
        <is>
          <t>Shipping</t>
        </is>
      </c>
      <c r="E1051" s="16" t="inlineStr">
        <is>
          <t>Transportation</t>
        </is>
      </c>
      <c r="F1051" s="17" t="n">
        <v>3045.56</v>
      </c>
      <c r="G1051" s="16" t="inlineStr">
        <is>
          <t>DREDGECORP</t>
        </is>
      </c>
      <c r="H1051" s="16" t="inlineStr">
        <is>
          <t>523618</t>
        </is>
      </c>
      <c r="I1051" s="27">
        <f>IFERROR(IF(INDEX(Stocks!$G$2:$G$2139,MATCH(A1051,Stocks!$E$2:$E$2139,0))="","No","Yes"),"No")</f>
        <v/>
      </c>
    </row>
    <row r="1052">
      <c r="A1052" s="16" t="inlineStr">
        <is>
          <t>INE164A01016</t>
        </is>
      </c>
      <c r="B1052" s="16" t="inlineStr">
        <is>
          <t>BALMLAWRIE</t>
        </is>
      </c>
      <c r="C1052" s="16" t="inlineStr">
        <is>
          <t>Balmer Lawrie &amp; Company Ltd.</t>
        </is>
      </c>
      <c r="D1052" s="16" t="inlineStr">
        <is>
          <t>Diversified</t>
        </is>
      </c>
      <c r="E1052" s="16" t="inlineStr">
        <is>
          <t>Diversified</t>
        </is>
      </c>
      <c r="F1052" s="17" t="n">
        <v>3043.53</v>
      </c>
      <c r="G1052" s="16" t="inlineStr">
        <is>
          <t>BALMLAWRIE</t>
        </is>
      </c>
      <c r="H1052" s="16" t="inlineStr">
        <is>
          <t>523319</t>
        </is>
      </c>
      <c r="I1052" s="27">
        <f>IFERROR(IF(INDEX(Stocks!$G$2:$G$2139,MATCH(A1052,Stocks!$E$2:$E$2139,0))="","No","Yes"),"No")</f>
        <v/>
      </c>
    </row>
    <row r="1053">
      <c r="A1053" s="16" t="inlineStr">
        <is>
          <t>INE227C01017</t>
        </is>
      </c>
      <c r="B1053" s="16" t="inlineStr">
        <is>
          <t>MMFL</t>
        </is>
      </c>
      <c r="C1053" s="16" t="inlineStr">
        <is>
          <t>M M Forgings Ltd.</t>
        </is>
      </c>
      <c r="D1053" s="16" t="inlineStr">
        <is>
          <t>Castings &amp; Forgings</t>
        </is>
      </c>
      <c r="E1053" s="16" t="inlineStr">
        <is>
          <t>General Industrials</t>
        </is>
      </c>
      <c r="F1053" s="17" t="n">
        <v>3042.22</v>
      </c>
      <c r="G1053" s="16" t="inlineStr">
        <is>
          <t>MMFL</t>
        </is>
      </c>
      <c r="H1053" s="16" t="inlineStr">
        <is>
          <t>522241</t>
        </is>
      </c>
      <c r="I1053" s="27">
        <f>IFERROR(IF(INDEX(Stocks!$G$2:$G$2139,MATCH(A1053,Stocks!$E$2:$E$2139,0))="","No","Yes"),"No")</f>
        <v/>
      </c>
    </row>
    <row r="1054">
      <c r="A1054" s="16" t="inlineStr">
        <is>
          <t>INE411H01032</t>
        </is>
      </c>
      <c r="B1054" s="16" t="inlineStr">
        <is>
          <t>RSYSTEMS</t>
        </is>
      </c>
      <c r="C1054" s="16" t="inlineStr">
        <is>
          <t>R Systems International Ltd.</t>
        </is>
      </c>
      <c r="D1054" s="16" t="inlineStr">
        <is>
          <t>IT Consulting &amp; Software</t>
        </is>
      </c>
      <c r="E1054" s="16" t="inlineStr">
        <is>
          <t>Software &amp; Services</t>
        </is>
      </c>
      <c r="F1054" s="17" t="n">
        <v>3034.92</v>
      </c>
      <c r="G1054" s="16" t="inlineStr">
        <is>
          <t>RSYSTEMS</t>
        </is>
      </c>
      <c r="H1054" s="16" t="inlineStr">
        <is>
          <t>532735</t>
        </is>
      </c>
      <c r="I1054" s="27">
        <f>IFERROR(IF(INDEX(Stocks!$G$2:$G$2139,MATCH(A1054,Stocks!$E$2:$E$2139,0))="","No","Yes"),"No")</f>
        <v/>
      </c>
    </row>
    <row r="1055">
      <c r="A1055" s="16" t="inlineStr">
        <is>
          <t>INE0V7W01012</t>
        </is>
      </c>
      <c r="B1055" s="16" t="inlineStr">
        <is>
          <t>CARRARO</t>
        </is>
      </c>
      <c r="C1055" s="16" t="inlineStr">
        <is>
          <t>Carraro India Ltd.</t>
        </is>
      </c>
      <c r="D1055" s="16" t="inlineStr">
        <is>
          <t>Commercial Vehicles</t>
        </is>
      </c>
      <c r="E1055" s="16" t="inlineStr">
        <is>
          <t>Automobiles &amp; Auto Components</t>
        </is>
      </c>
      <c r="F1055" s="17" t="n">
        <v>3033.88</v>
      </c>
      <c r="G1055" s="16" t="inlineStr">
        <is>
          <t>CARRARO</t>
        </is>
      </c>
      <c r="H1055" s="16" t="inlineStr">
        <is>
          <t>544320</t>
        </is>
      </c>
      <c r="I1055" s="27">
        <f>IFERROR(IF(INDEX(Stocks!$G$2:$G$2139,MATCH(A1055,Stocks!$E$2:$E$2139,0))="","No","Yes"),"No")</f>
        <v/>
      </c>
    </row>
    <row r="1056">
      <c r="A1056" s="16" t="inlineStr">
        <is>
          <t>INE039O01029</t>
        </is>
      </c>
      <c r="B1056" s="16" t="inlineStr">
        <is>
          <t>JASH</t>
        </is>
      </c>
      <c r="C1056" s="16" t="inlineStr">
        <is>
          <t>Jash Engineering Ltd.</t>
        </is>
      </c>
      <c r="D1056" s="16" t="inlineStr">
        <is>
          <t>Iron &amp; Steel Products</t>
        </is>
      </c>
      <c r="E1056" s="16" t="inlineStr">
        <is>
          <t>Metals &amp; Mining</t>
        </is>
      </c>
      <c r="F1056" s="17" t="n">
        <v>3023.82</v>
      </c>
      <c r="G1056" s="16" t="inlineStr">
        <is>
          <t>JASH</t>
        </is>
      </c>
      <c r="H1056" s="16" t="inlineStr">
        <is>
          <t>544402</t>
        </is>
      </c>
      <c r="I1056" s="27">
        <f>IFERROR(IF(INDEX(Stocks!$G$2:$G$2139,MATCH(A1056,Stocks!$E$2:$E$2139,0))="","No","Yes"),"No")</f>
        <v/>
      </c>
    </row>
    <row r="1057">
      <c r="A1057" s="16" t="inlineStr">
        <is>
          <t>INE347A01017</t>
        </is>
      </c>
      <c r="B1057" s="16" t="inlineStr">
        <is>
          <t>MANGLMCEM</t>
        </is>
      </c>
      <c r="C1057" s="16" t="inlineStr">
        <is>
          <t>Mangalam Cement Ltd.</t>
        </is>
      </c>
      <c r="D1057" s="16" t="inlineStr">
        <is>
          <t>Cement &amp; Cement Products</t>
        </is>
      </c>
      <c r="E1057" s="16" t="inlineStr">
        <is>
          <t>Cement and Construction</t>
        </is>
      </c>
      <c r="F1057" s="17" t="n">
        <v>3011.5</v>
      </c>
      <c r="G1057" s="16" t="inlineStr">
        <is>
          <t>MANGLMCEM</t>
        </is>
      </c>
      <c r="H1057" s="16" t="inlineStr">
        <is>
          <t>502157</t>
        </is>
      </c>
      <c r="I1057" s="27">
        <f>IFERROR(IF(INDEX(Stocks!$G$2:$G$2139,MATCH(A1057,Stocks!$E$2:$E$2139,0))="","No","Yes"),"No")</f>
        <v/>
      </c>
    </row>
    <row r="1058">
      <c r="A1058" s="16" t="inlineStr">
        <is>
          <t>INE305C01029</t>
        </is>
      </c>
      <c r="B1058" s="16" t="inlineStr">
        <is>
          <t>PANAMAPET</t>
        </is>
      </c>
      <c r="C1058" s="16" t="inlineStr">
        <is>
          <t>Panama Petrochem Ltd.</t>
        </is>
      </c>
      <c r="D1058" s="16" t="inlineStr">
        <is>
          <t>Refineries/Petro-Products</t>
        </is>
      </c>
      <c r="E1058" s="16" t="inlineStr">
        <is>
          <t>Oil &amp; Gas</t>
        </is>
      </c>
      <c r="F1058" s="17" t="n">
        <v>2997.16</v>
      </c>
      <c r="G1058" s="16" t="inlineStr">
        <is>
          <t>PANAMAPET</t>
        </is>
      </c>
      <c r="H1058" s="16" t="inlineStr">
        <is>
          <t>524820</t>
        </is>
      </c>
      <c r="I1058" s="27">
        <f>IFERROR(IF(INDEX(Stocks!$G$2:$G$2139,MATCH(A1058,Stocks!$E$2:$E$2139,0))="","No","Yes"),"No")</f>
        <v/>
      </c>
    </row>
    <row r="1059">
      <c r="A1059" s="16" t="inlineStr">
        <is>
          <t>INE903D01011</t>
        </is>
      </c>
      <c r="B1059" s="16" t="inlineStr">
        <is>
          <t>MONARCH</t>
        </is>
      </c>
      <c r="C1059" s="16" t="inlineStr">
        <is>
          <t>Monarch Networth Capital Ltd.</t>
        </is>
      </c>
      <c r="D1059" s="16" t="inlineStr">
        <is>
          <t>Capital Markets</t>
        </is>
      </c>
      <c r="E1059" s="16" t="inlineStr">
        <is>
          <t>Banking and Finance</t>
        </is>
      </c>
      <c r="F1059" s="17" t="n">
        <v>2997.06</v>
      </c>
      <c r="G1059" s="16" t="inlineStr">
        <is>
          <t>MONARCH</t>
        </is>
      </c>
      <c r="H1059" s="16" t="inlineStr">
        <is>
          <t>511551</t>
        </is>
      </c>
      <c r="I1059" s="27">
        <f>IFERROR(IF(INDEX(Stocks!$G$2:$G$2139,MATCH(A1059,Stocks!$E$2:$E$2139,0))="","No","Yes"),"No")</f>
        <v/>
      </c>
    </row>
    <row r="1060">
      <c r="A1060" s="16" t="inlineStr">
        <is>
          <t>INE579B01039</t>
        </is>
      </c>
      <c r="B1060" s="16" t="inlineStr">
        <is>
          <t>ELPROINTL</t>
        </is>
      </c>
      <c r="C1060" s="16" t="inlineStr">
        <is>
          <t>Elpro International Ltd.</t>
        </is>
      </c>
      <c r="D1060" s="16" t="inlineStr">
        <is>
          <t>Realty</t>
        </is>
      </c>
      <c r="E1060" s="16" t="inlineStr">
        <is>
          <t>Realty</t>
        </is>
      </c>
      <c r="F1060" s="17" t="n">
        <v>2965.88</v>
      </c>
      <c r="G1060" s="16" t="inlineStr"/>
      <c r="H1060" s="16" t="inlineStr">
        <is>
          <t>504000</t>
        </is>
      </c>
      <c r="I1060" s="27">
        <f>IFERROR(IF(INDEX(Stocks!$G$2:$G$2139,MATCH(A1060,Stocks!$E$2:$E$2139,0))="","No","Yes"),"No")</f>
        <v/>
      </c>
    </row>
    <row r="1061">
      <c r="A1061" s="16" t="inlineStr">
        <is>
          <t>INE182D01020</t>
        </is>
      </c>
      <c r="B1061" s="16" t="inlineStr">
        <is>
          <t>MARATHON</t>
        </is>
      </c>
      <c r="C1061" s="16" t="inlineStr">
        <is>
          <t>Marathon Nextgen Realty Ltd.</t>
        </is>
      </c>
      <c r="D1061" s="16" t="inlineStr">
        <is>
          <t>Realty</t>
        </is>
      </c>
      <c r="E1061" s="16" t="inlineStr">
        <is>
          <t>Realty</t>
        </is>
      </c>
      <c r="F1061" s="17" t="n">
        <v>2953.4</v>
      </c>
      <c r="G1061" s="16" t="inlineStr">
        <is>
          <t>MARATHON</t>
        </is>
      </c>
      <c r="H1061" s="16" t="inlineStr">
        <is>
          <t>503101</t>
        </is>
      </c>
      <c r="I1061" s="27">
        <f>IFERROR(IF(INDEX(Stocks!$G$2:$G$2139,MATCH(A1061,Stocks!$E$2:$E$2139,0))="","No","Yes"),"No")</f>
        <v/>
      </c>
    </row>
    <row r="1062">
      <c r="A1062" s="16" t="inlineStr">
        <is>
          <t>INE034S01021</t>
        </is>
      </c>
      <c r="B1062" s="16" t="inlineStr">
        <is>
          <t>ARVSMART</t>
        </is>
      </c>
      <c r="C1062" s="16" t="inlineStr">
        <is>
          <t>Arvind SmartSpaces Ltd.</t>
        </is>
      </c>
      <c r="D1062" s="16" t="inlineStr">
        <is>
          <t>Realty</t>
        </is>
      </c>
      <c r="E1062" s="16" t="inlineStr">
        <is>
          <t>Realty</t>
        </is>
      </c>
      <c r="F1062" s="17" t="n">
        <v>2946.95</v>
      </c>
      <c r="G1062" s="16" t="inlineStr">
        <is>
          <t>ARVSMART</t>
        </is>
      </c>
      <c r="H1062" s="16" t="inlineStr">
        <is>
          <t>539301</t>
        </is>
      </c>
      <c r="I1062" s="27">
        <f>IFERROR(IF(INDEX(Stocks!$G$2:$G$2139,MATCH(A1062,Stocks!$E$2:$E$2139,0))="","No","Yes"),"No")</f>
        <v/>
      </c>
    </row>
    <row r="1063">
      <c r="A1063" s="16" t="inlineStr">
        <is>
          <t>INE197D01010</t>
        </is>
      </c>
      <c r="B1063" s="16" t="inlineStr">
        <is>
          <t>JINDALPOLY</t>
        </is>
      </c>
      <c r="C1063" s="16" t="inlineStr">
        <is>
          <t>Jindal Poly Films Ltd.</t>
        </is>
      </c>
      <c r="D1063" s="16" t="inlineStr">
        <is>
          <t>Containers &amp; Packaging</t>
        </is>
      </c>
      <c r="E1063" s="16" t="inlineStr">
        <is>
          <t>Commercial Services &amp; Supplies</t>
        </is>
      </c>
      <c r="F1063" s="17" t="n">
        <v>2943.98</v>
      </c>
      <c r="G1063" s="16" t="inlineStr">
        <is>
          <t>JINDALPOLY</t>
        </is>
      </c>
      <c r="H1063" s="16" t="inlineStr">
        <is>
          <t>500227</t>
        </is>
      </c>
      <c r="I1063" s="27">
        <f>IFERROR(IF(INDEX(Stocks!$G$2:$G$2139,MATCH(A1063,Stocks!$E$2:$E$2139,0))="","No","Yes"),"No")</f>
        <v/>
      </c>
    </row>
    <row r="1064">
      <c r="A1064" s="16" t="inlineStr">
        <is>
          <t>INE023A01030</t>
        </is>
      </c>
      <c r="B1064" s="16" t="inlineStr">
        <is>
          <t>NSIL</t>
        </is>
      </c>
      <c r="C1064" s="16" t="inlineStr">
        <is>
          <t>Nalwa Sons Investments Ltd.</t>
        </is>
      </c>
      <c r="D1064" s="16" t="inlineStr">
        <is>
          <t>Finance (including NBFCs)</t>
        </is>
      </c>
      <c r="E1064" s="16" t="inlineStr">
        <is>
          <t>Banking and Finance</t>
        </is>
      </c>
      <c r="F1064" s="17" t="n">
        <v>2938.68</v>
      </c>
      <c r="G1064" s="16" t="inlineStr">
        <is>
          <t>NSIL</t>
        </is>
      </c>
      <c r="H1064" s="16" t="inlineStr">
        <is>
          <t>532256</t>
        </is>
      </c>
      <c r="I1064" s="27">
        <f>IFERROR(IF(INDEX(Stocks!$G$2:$G$2139,MATCH(A1064,Stocks!$E$2:$E$2139,0))="","No","Yes"),"No")</f>
        <v/>
      </c>
    </row>
    <row r="1065">
      <c r="A1065" s="16" t="inlineStr">
        <is>
          <t>INE045A01017</t>
        </is>
      </c>
      <c r="B1065" s="16" t="inlineStr">
        <is>
          <t>ADOR</t>
        </is>
      </c>
      <c r="C1065" s="16" t="inlineStr">
        <is>
          <t>Ador Welding Ltd.</t>
        </is>
      </c>
      <c r="D1065" s="16" t="inlineStr">
        <is>
          <t>Other Industrial Goods</t>
        </is>
      </c>
      <c r="E1065" s="16" t="inlineStr">
        <is>
          <t>General Industrials</t>
        </is>
      </c>
      <c r="F1065" s="17" t="n">
        <v>2913.92</v>
      </c>
      <c r="G1065" s="16" t="inlineStr">
        <is>
          <t>ADOR</t>
        </is>
      </c>
      <c r="H1065" s="16" t="inlineStr">
        <is>
          <t>517041</t>
        </is>
      </c>
      <c r="I1065" s="27">
        <f>IFERROR(IF(INDEX(Stocks!$G$2:$G$2139,MATCH(A1065,Stocks!$E$2:$E$2139,0))="","No","Yes"),"No")</f>
        <v/>
      </c>
    </row>
    <row r="1066">
      <c r="A1066" s="16" t="inlineStr">
        <is>
          <t>INE885H01029</t>
        </is>
      </c>
      <c r="B1066" s="16" t="inlineStr">
        <is>
          <t>SPORTKING</t>
        </is>
      </c>
      <c r="C1066" s="16" t="inlineStr">
        <is>
          <t>Sportking India Ltd.</t>
        </is>
      </c>
      <c r="D1066" s="16" t="inlineStr">
        <is>
          <t>Textiles</t>
        </is>
      </c>
      <c r="E1066" s="16" t="inlineStr">
        <is>
          <t>Textiles Apparels &amp; Accessories</t>
        </is>
      </c>
      <c r="F1066" s="17" t="n">
        <v>2912.74</v>
      </c>
      <c r="G1066" s="16" t="inlineStr">
        <is>
          <t>SPORTKING</t>
        </is>
      </c>
      <c r="H1066" s="16" t="inlineStr">
        <is>
          <t>539221</t>
        </is>
      </c>
      <c r="I1066" s="27">
        <f>IFERROR(IF(INDEX(Stocks!$G$2:$G$2139,MATCH(A1066,Stocks!$E$2:$E$2139,0))="","No","Yes"),"No")</f>
        <v/>
      </c>
    </row>
    <row r="1067">
      <c r="A1067" s="16" t="inlineStr">
        <is>
          <t>INE982B01027</t>
        </is>
      </c>
      <c r="B1067" s="16" t="inlineStr">
        <is>
          <t>ADFFOODS</t>
        </is>
      </c>
      <c r="C1067" s="16" t="inlineStr">
        <is>
          <t>ADF Foods Ltd.</t>
        </is>
      </c>
      <c r="D1067" s="16" t="inlineStr">
        <is>
          <t>Packaged Foods</t>
        </is>
      </c>
      <c r="E1067" s="16" t="inlineStr">
        <is>
          <t>FMCG</t>
        </is>
      </c>
      <c r="F1067" s="17" t="n">
        <v>2909.19</v>
      </c>
      <c r="G1067" s="16" t="inlineStr">
        <is>
          <t>ADFFOODS</t>
        </is>
      </c>
      <c r="H1067" s="16" t="inlineStr">
        <is>
          <t>519183</t>
        </is>
      </c>
      <c r="I1067" s="27">
        <f>IFERROR(IF(INDEX(Stocks!$G$2:$G$2139,MATCH(A1067,Stocks!$E$2:$E$2139,0))="","No","Yes"),"No")</f>
        <v/>
      </c>
    </row>
    <row r="1068">
      <c r="A1068" s="16" t="inlineStr">
        <is>
          <t>INE495C01010</t>
        </is>
      </c>
      <c r="B1068" s="16" t="inlineStr">
        <is>
          <t>SANGAMIND</t>
        </is>
      </c>
      <c r="C1068" s="16" t="inlineStr">
        <is>
          <t>Sangam (India) Ltd.</t>
        </is>
      </c>
      <c r="D1068" s="16" t="inlineStr">
        <is>
          <t>Textiles</t>
        </is>
      </c>
      <c r="E1068" s="16" t="inlineStr">
        <is>
          <t>Textiles Apparels &amp; Accessories</t>
        </is>
      </c>
      <c r="F1068" s="17" t="n">
        <v>2908.27</v>
      </c>
      <c r="G1068" s="16" t="inlineStr">
        <is>
          <t>SANGAMIND</t>
        </is>
      </c>
      <c r="H1068" s="16" t="inlineStr">
        <is>
          <t>514234</t>
        </is>
      </c>
      <c r="I1068" s="27">
        <f>IFERROR(IF(INDEX(Stocks!$G$2:$G$2139,MATCH(A1068,Stocks!$E$2:$E$2139,0))="","No","Yes"),"No")</f>
        <v/>
      </c>
    </row>
    <row r="1069">
      <c r="A1069" s="16" t="inlineStr">
        <is>
          <t>INE0NLT01010</t>
        </is>
      </c>
      <c r="B1069" s="16" t="inlineStr">
        <is>
          <t>BLSE</t>
        </is>
      </c>
      <c r="C1069" s="16" t="inlineStr">
        <is>
          <t>BLS E-Services Ltd.</t>
        </is>
      </c>
      <c r="D1069" s="16" t="inlineStr">
        <is>
          <t>Misc. Commercial Services</t>
        </is>
      </c>
      <c r="E1069" s="16" t="inlineStr">
        <is>
          <t>Commercial Services &amp; Supplies</t>
        </is>
      </c>
      <c r="F1069" s="17" t="n">
        <v>2907.86</v>
      </c>
      <c r="G1069" s="16" t="inlineStr">
        <is>
          <t>BLSE</t>
        </is>
      </c>
      <c r="H1069" s="16" t="inlineStr">
        <is>
          <t>544107</t>
        </is>
      </c>
      <c r="I1069" s="27">
        <f>IFERROR(IF(INDEX(Stocks!$G$2:$G$2139,MATCH(A1069,Stocks!$E$2:$E$2139,0))="","No","Yes"),"No")</f>
        <v/>
      </c>
    </row>
    <row r="1070">
      <c r="A1070" s="16" t="inlineStr">
        <is>
          <t>INE060A01024</t>
        </is>
      </c>
      <c r="B1070" s="16" t="inlineStr">
        <is>
          <t>NAVNETEDUL</t>
        </is>
      </c>
      <c r="C1070" s="16" t="inlineStr">
        <is>
          <t>Navneet Education Ltd.</t>
        </is>
      </c>
      <c r="D1070" s="16" t="inlineStr">
        <is>
          <t>Publishing</t>
        </is>
      </c>
      <c r="E1070" s="16" t="inlineStr">
        <is>
          <t>Commercial Services &amp; Supplies</t>
        </is>
      </c>
      <c r="F1070" s="17" t="n">
        <v>2902.54</v>
      </c>
      <c r="G1070" s="16" t="inlineStr">
        <is>
          <t>NAVNETEDUL</t>
        </is>
      </c>
      <c r="H1070" s="16" t="inlineStr">
        <is>
          <t>508989</t>
        </is>
      </c>
      <c r="I1070" s="27">
        <f>IFERROR(IF(INDEX(Stocks!$G$2:$G$2139,MATCH(A1070,Stocks!$E$2:$E$2139,0))="","No","Yes"),"No")</f>
        <v/>
      </c>
    </row>
    <row r="1071">
      <c r="A1071" s="16" t="inlineStr">
        <is>
          <t>INE713R01022</t>
        </is>
      </c>
      <c r="B1071" s="16" t="inlineStr">
        <is>
          <t>GSPCROP</t>
        </is>
      </c>
      <c r="C1071" s="16" t="inlineStr">
        <is>
          <t>GSP Crop Science Ltd.</t>
        </is>
      </c>
      <c r="D1071" s="16" t="inlineStr">
        <is>
          <t>Agrochemicals</t>
        </is>
      </c>
      <c r="E1071" s="16" t="inlineStr">
        <is>
          <t>Chemicals &amp; Petrochemicals</t>
        </is>
      </c>
      <c r="F1071" s="17" t="n">
        <v>2880.68</v>
      </c>
      <c r="G1071" s="16" t="inlineStr">
        <is>
          <t>GSPCROP</t>
        </is>
      </c>
      <c r="H1071" s="16" t="inlineStr">
        <is>
          <t>544733</t>
        </is>
      </c>
      <c r="I1071" s="27">
        <f>IFERROR(IF(INDEX(Stocks!$G$2:$G$2139,MATCH(A1071,Stocks!$E$2:$E$2139,0))="","No","Yes"),"No")</f>
        <v/>
      </c>
    </row>
    <row r="1072">
      <c r="A1072" s="16" t="inlineStr">
        <is>
          <t>INE163A01018</t>
        </is>
      </c>
      <c r="B1072" s="16" t="inlineStr">
        <is>
          <t>NOCIL</t>
        </is>
      </c>
      <c r="C1072" s="16" t="inlineStr">
        <is>
          <t>NOCIL Ltd.</t>
        </is>
      </c>
      <c r="D1072" s="16" t="inlineStr">
        <is>
          <t>Specialty Chemicals</t>
        </is>
      </c>
      <c r="E1072" s="16" t="inlineStr">
        <is>
          <t>Chemicals &amp; Petrochemicals</t>
        </is>
      </c>
      <c r="F1072" s="17" t="n">
        <v>2880.18</v>
      </c>
      <c r="G1072" s="16" t="inlineStr">
        <is>
          <t>NOCIL</t>
        </is>
      </c>
      <c r="H1072" s="16" t="inlineStr">
        <is>
          <t>500730</t>
        </is>
      </c>
      <c r="I1072" s="27">
        <f>IFERROR(IF(INDEX(Stocks!$G$2:$G$2139,MATCH(A1072,Stocks!$E$2:$E$2139,0))="","No","Yes"),"No")</f>
        <v/>
      </c>
    </row>
    <row r="1073">
      <c r="A1073" s="16" t="inlineStr">
        <is>
          <t>INE615I01010</t>
        </is>
      </c>
      <c r="B1073" s="16" t="inlineStr">
        <is>
          <t>GLOBUSSPR</t>
        </is>
      </c>
      <c r="C1073" s="16" t="inlineStr">
        <is>
          <t>Globus Spirits Ltd.</t>
        </is>
      </c>
      <c r="D1073" s="16" t="inlineStr">
        <is>
          <t>Breweries &amp; Distilleries</t>
        </is>
      </c>
      <c r="E1073" s="16" t="inlineStr">
        <is>
          <t>Food, Beverages &amp; Tobacco</t>
        </is>
      </c>
      <c r="F1073" s="17" t="n">
        <v>2876.51</v>
      </c>
      <c r="G1073" s="16" t="inlineStr">
        <is>
          <t>GLOBUSSPR</t>
        </is>
      </c>
      <c r="H1073" s="16" t="inlineStr">
        <is>
          <t>533104</t>
        </is>
      </c>
      <c r="I1073" s="27">
        <f>IFERROR(IF(INDEX(Stocks!$G$2:$G$2139,MATCH(A1073,Stocks!$E$2:$E$2139,0))="","No","Yes"),"No")</f>
        <v/>
      </c>
    </row>
    <row r="1074">
      <c r="A1074" s="16" t="inlineStr">
        <is>
          <t>INE0Q3R01026</t>
        </is>
      </c>
      <c r="B1074" s="16" t="inlineStr">
        <is>
          <t>SUNCLAY</t>
        </is>
      </c>
      <c r="C1074" s="16" t="inlineStr">
        <is>
          <t>Sundaram-Clayton Ltd.</t>
        </is>
      </c>
      <c r="D1074" s="16" t="inlineStr">
        <is>
          <t>Auto Parts &amp; Equipment</t>
        </is>
      </c>
      <c r="E1074" s="16" t="inlineStr">
        <is>
          <t>Automobiles &amp; Auto Components</t>
        </is>
      </c>
      <c r="F1074" s="17" t="n">
        <v>2875.71</v>
      </c>
      <c r="G1074" s="16" t="inlineStr">
        <is>
          <t>SUNCLAY</t>
        </is>
      </c>
      <c r="H1074" s="16" t="inlineStr">
        <is>
          <t>544066</t>
        </is>
      </c>
      <c r="I1074" s="27">
        <f>IFERROR(IF(INDEX(Stocks!$G$2:$G$2139,MATCH(A1074,Stocks!$E$2:$E$2139,0))="","No","Yes"),"No")</f>
        <v/>
      </c>
    </row>
    <row r="1075">
      <c r="A1075" s="16" t="inlineStr">
        <is>
          <t>INE00M901018</t>
        </is>
      </c>
      <c r="B1075" s="16" t="inlineStr">
        <is>
          <t>INTERARCH</t>
        </is>
      </c>
      <c r="C1075" s="16" t="inlineStr">
        <is>
          <t>Interarch Building Solutions Ltd.</t>
        </is>
      </c>
      <c r="D1075" s="16" t="inlineStr">
        <is>
          <t>Construction &amp; Engineering</t>
        </is>
      </c>
      <c r="E1075" s="16" t="inlineStr">
        <is>
          <t>Cement and Construction</t>
        </is>
      </c>
      <c r="F1075" s="17" t="n">
        <v>2870.71</v>
      </c>
      <c r="G1075" s="16" t="inlineStr">
        <is>
          <t>INTERARCH</t>
        </is>
      </c>
      <c r="H1075" s="16" t="inlineStr">
        <is>
          <t>544232</t>
        </is>
      </c>
      <c r="I1075" s="27">
        <f>IFERROR(IF(INDEX(Stocks!$G$2:$G$2139,MATCH(A1075,Stocks!$E$2:$E$2139,0))="","No","Yes"),"No")</f>
        <v/>
      </c>
    </row>
    <row r="1076">
      <c r="A1076" s="16" t="inlineStr">
        <is>
          <t>INE426A01027</t>
        </is>
      </c>
      <c r="B1076" s="16" t="inlineStr">
        <is>
          <t>ALEMBICLTD</t>
        </is>
      </c>
      <c r="C1076" s="16" t="inlineStr">
        <is>
          <t>Alembic Ltd.</t>
        </is>
      </c>
      <c r="D1076" s="16" t="inlineStr">
        <is>
          <t>Pharmaceuticals</t>
        </is>
      </c>
      <c r="E1076" s="16" t="inlineStr">
        <is>
          <t>Pharmaceuticals &amp; Biotechnology</t>
        </is>
      </c>
      <c r="F1076" s="17" t="n">
        <v>2860.81</v>
      </c>
      <c r="G1076" s="16" t="inlineStr">
        <is>
          <t>ALEMBICLTD</t>
        </is>
      </c>
      <c r="H1076" s="16" t="inlineStr">
        <is>
          <t>506235</t>
        </is>
      </c>
      <c r="I1076" s="27">
        <f>IFERROR(IF(INDEX(Stocks!$G$2:$G$2139,MATCH(A1076,Stocks!$E$2:$E$2139,0))="","No","Yes"),"No")</f>
        <v/>
      </c>
    </row>
    <row r="1077">
      <c r="A1077" s="16" t="inlineStr">
        <is>
          <t>INE886D01026</t>
        </is>
      </c>
      <c r="B1077" s="16" t="inlineStr">
        <is>
          <t>EFCIL</t>
        </is>
      </c>
      <c r="C1077" s="16" t="inlineStr">
        <is>
          <t>EFC (I) Ltd.</t>
        </is>
      </c>
      <c r="D1077" s="16" t="inlineStr">
        <is>
          <t>Realty</t>
        </is>
      </c>
      <c r="E1077" s="16" t="inlineStr">
        <is>
          <t>Realty</t>
        </is>
      </c>
      <c r="F1077" s="17" t="n">
        <v>2858.91</v>
      </c>
      <c r="G1077" s="16" t="inlineStr">
        <is>
          <t>EFCIL</t>
        </is>
      </c>
      <c r="H1077" s="16" t="inlineStr">
        <is>
          <t>512008</t>
        </is>
      </c>
      <c r="I1077" s="27">
        <f>IFERROR(IF(INDEX(Stocks!$G$2:$G$2139,MATCH(A1077,Stocks!$E$2:$E$2139,0))="","No","Yes"),"No")</f>
        <v/>
      </c>
    </row>
    <row r="1078">
      <c r="A1078" s="16" t="inlineStr">
        <is>
          <t>INE0N2P01017</t>
        </is>
      </c>
      <c r="B1078" s="16" t="inlineStr">
        <is>
          <t>RISHABH</t>
        </is>
      </c>
      <c r="C1078" s="16" t="inlineStr">
        <is>
          <t>Rishabh Instruments Ltd.</t>
        </is>
      </c>
      <c r="D1078" s="16" t="inlineStr">
        <is>
          <t>Other Electrical Equipment/Products</t>
        </is>
      </c>
      <c r="E1078" s="16" t="inlineStr">
        <is>
          <t>Consumer Durables</t>
        </is>
      </c>
      <c r="F1078" s="17" t="n">
        <v>2857.58</v>
      </c>
      <c r="G1078" s="16" t="inlineStr">
        <is>
          <t>RISHABH</t>
        </is>
      </c>
      <c r="H1078" s="16" t="inlineStr">
        <is>
          <t>543977</t>
        </is>
      </c>
      <c r="I1078" s="27">
        <f>IFERROR(IF(INDEX(Stocks!$G$2:$G$2139,MATCH(A1078,Stocks!$E$2:$E$2139,0))="","No","Yes"),"No")</f>
        <v/>
      </c>
    </row>
    <row r="1079">
      <c r="A1079" s="16" t="inlineStr">
        <is>
          <t>INE231F01020</t>
        </is>
      </c>
      <c r="B1079" s="16" t="inlineStr">
        <is>
          <t>SASKEN</t>
        </is>
      </c>
      <c r="C1079" s="16" t="inlineStr">
        <is>
          <t>Sasken Technologies Ltd.</t>
        </is>
      </c>
      <c r="D1079" s="16" t="inlineStr">
        <is>
          <t>IT Consulting &amp; Software</t>
        </is>
      </c>
      <c r="E1079" s="16" t="inlineStr">
        <is>
          <t>Software &amp; Services</t>
        </is>
      </c>
      <c r="F1079" s="17" t="n">
        <v>2857.04</v>
      </c>
      <c r="G1079" s="16" t="inlineStr">
        <is>
          <t>SASKEN</t>
        </is>
      </c>
      <c r="H1079" s="16" t="inlineStr">
        <is>
          <t>532663</t>
        </is>
      </c>
      <c r="I1079" s="27">
        <f>IFERROR(IF(INDEX(Stocks!$G$2:$G$2139,MATCH(A1079,Stocks!$E$2:$E$2139,0))="","No","Yes"),"No")</f>
        <v/>
      </c>
    </row>
    <row r="1080">
      <c r="A1080" s="16" t="inlineStr">
        <is>
          <t>INE579C01029</t>
        </is>
      </c>
      <c r="B1080" s="16" t="inlineStr">
        <is>
          <t>VIMTALABS</t>
        </is>
      </c>
      <c r="C1080" s="16" t="inlineStr">
        <is>
          <t>Vimta Labs Ltd.</t>
        </is>
      </c>
      <c r="D1080" s="16" t="inlineStr">
        <is>
          <t>Healthcare Services</t>
        </is>
      </c>
      <c r="E1080" s="16" t="inlineStr">
        <is>
          <t>Healthcare</t>
        </is>
      </c>
      <c r="F1080" s="17" t="n">
        <v>2840.52</v>
      </c>
      <c r="G1080" s="16" t="inlineStr">
        <is>
          <t>VIMTALABS</t>
        </is>
      </c>
      <c r="H1080" s="16" t="inlineStr">
        <is>
          <t>524394</t>
        </is>
      </c>
      <c r="I1080" s="27">
        <f>IFERROR(IF(INDEX(Stocks!$G$2:$G$2139,MATCH(A1080,Stocks!$E$2:$E$2139,0))="","No","Yes"),"No")</f>
        <v/>
      </c>
    </row>
    <row r="1081">
      <c r="A1081" s="16" t="inlineStr">
        <is>
          <t>INE0HR601026</t>
        </is>
      </c>
      <c r="B1081" s="16" t="inlineStr">
        <is>
          <t>DDEVPLSTIK</t>
        </is>
      </c>
      <c r="C1081" s="16" t="inlineStr">
        <is>
          <t>Ddev Plastiks Industries Ltd.</t>
        </is>
      </c>
      <c r="D1081" s="16" t="inlineStr">
        <is>
          <t>Plastic Products</t>
        </is>
      </c>
      <c r="E1081" s="16" t="inlineStr">
        <is>
          <t>General Industrials</t>
        </is>
      </c>
      <c r="F1081" s="17" t="n">
        <v>2825.01</v>
      </c>
      <c r="G1081" s="16" t="inlineStr">
        <is>
          <t>DDEVPLSTIK</t>
        </is>
      </c>
      <c r="H1081" s="16" t="inlineStr">
        <is>
          <t>543547</t>
        </is>
      </c>
      <c r="I1081" s="27">
        <f>IFERROR(IF(INDEX(Stocks!$G$2:$G$2139,MATCH(A1081,Stocks!$E$2:$E$2139,0))="","No","Yes"),"No")</f>
        <v/>
      </c>
    </row>
    <row r="1082">
      <c r="A1082" s="16" t="inlineStr">
        <is>
          <t>INE614A01028</t>
        </is>
      </c>
      <c r="B1082" s="16" t="inlineStr">
        <is>
          <t>RAMCOIND</t>
        </is>
      </c>
      <c r="C1082" s="16" t="inlineStr">
        <is>
          <t>Ramco Industries Ltd.</t>
        </is>
      </c>
      <c r="D1082" s="16" t="inlineStr">
        <is>
          <t>Construction Materials</t>
        </is>
      </c>
      <c r="E1082" s="16" t="inlineStr">
        <is>
          <t>Cement and Construction</t>
        </is>
      </c>
      <c r="F1082" s="17" t="n">
        <v>2807.15</v>
      </c>
      <c r="G1082" s="16" t="inlineStr">
        <is>
          <t>RAMCOIND</t>
        </is>
      </c>
      <c r="H1082" s="16" t="inlineStr">
        <is>
          <t>532369</t>
        </is>
      </c>
      <c r="I1082" s="27">
        <f>IFERROR(IF(INDEX(Stocks!$G$2:$G$2139,MATCH(A1082,Stocks!$E$2:$E$2139,0))="","No","Yes"),"No")</f>
        <v/>
      </c>
    </row>
    <row r="1083">
      <c r="A1083" s="16" t="inlineStr">
        <is>
          <t>INE0S4R01014</t>
        </is>
      </c>
      <c r="B1083" s="16" t="inlineStr">
        <is>
          <t>CRIZAC</t>
        </is>
      </c>
      <c r="C1083" s="16" t="inlineStr">
        <is>
          <t>Crizac Ltd.</t>
        </is>
      </c>
      <c r="D1083" s="16" t="inlineStr">
        <is>
          <t>Education</t>
        </is>
      </c>
      <c r="E1083" s="16" t="inlineStr">
        <is>
          <t>Diversified Consumer Services</t>
        </is>
      </c>
      <c r="F1083" s="17" t="n">
        <v>2804.79</v>
      </c>
      <c r="G1083" s="16" t="inlineStr">
        <is>
          <t>CRIZAC</t>
        </is>
      </c>
      <c r="H1083" s="16" t="inlineStr">
        <is>
          <t>544439</t>
        </is>
      </c>
      <c r="I1083" s="27">
        <f>IFERROR(IF(INDEX(Stocks!$G$2:$G$2139,MATCH(A1083,Stocks!$E$2:$E$2139,0))="","No","Yes"),"No")</f>
        <v/>
      </c>
    </row>
    <row r="1084">
      <c r="A1084" s="16" t="inlineStr">
        <is>
          <t>INE529A01010</t>
        </is>
      </c>
      <c r="B1084" s="16" t="inlineStr">
        <is>
          <t>FMGOETZE</t>
        </is>
      </c>
      <c r="C1084" s="16" t="inlineStr">
        <is>
          <t>Federal-Mogul Goetze (India) Ltd.</t>
        </is>
      </c>
      <c r="D1084" s="16" t="inlineStr">
        <is>
          <t>Auto Parts &amp; Equipment</t>
        </is>
      </c>
      <c r="E1084" s="16" t="inlineStr">
        <is>
          <t>Automobiles &amp; Auto Components</t>
        </is>
      </c>
      <c r="F1084" s="17" t="n">
        <v>2789.67</v>
      </c>
      <c r="G1084" s="16" t="inlineStr">
        <is>
          <t>FMGOETZE</t>
        </is>
      </c>
      <c r="H1084" s="16" t="inlineStr">
        <is>
          <t>505744</t>
        </is>
      </c>
      <c r="I1084" s="27">
        <f>IFERROR(IF(INDEX(Stocks!$G$2:$G$2139,MATCH(A1084,Stocks!$E$2:$E$2139,0))="","No","Yes"),"No")</f>
        <v/>
      </c>
    </row>
    <row r="1085">
      <c r="A1085" s="16" t="inlineStr">
        <is>
          <t>INE393P01035</t>
        </is>
      </c>
      <c r="B1085" s="16" t="inlineStr">
        <is>
          <t>DIAMONDYD</t>
        </is>
      </c>
      <c r="C1085" s="16" t="inlineStr">
        <is>
          <t>Prataap Snacks Ltd.</t>
        </is>
      </c>
      <c r="D1085" s="16" t="inlineStr">
        <is>
          <t>Packaged Foods</t>
        </is>
      </c>
      <c r="E1085" s="16" t="inlineStr">
        <is>
          <t>FMCG</t>
        </is>
      </c>
      <c r="F1085" s="17" t="n">
        <v>2771.81</v>
      </c>
      <c r="G1085" s="16" t="inlineStr">
        <is>
          <t>DIAMONDYD</t>
        </is>
      </c>
      <c r="H1085" s="16" t="inlineStr">
        <is>
          <t>540724</t>
        </is>
      </c>
      <c r="I1085" s="27">
        <f>IFERROR(IF(INDEX(Stocks!$G$2:$G$2139,MATCH(A1085,Stocks!$E$2:$E$2139,0))="","No","Yes"),"No")</f>
        <v/>
      </c>
    </row>
    <row r="1086">
      <c r="A1086" s="16" t="inlineStr">
        <is>
          <t>INE00IN01015</t>
        </is>
      </c>
      <c r="B1086" s="16" t="inlineStr">
        <is>
          <t>STOVEKRAFT</t>
        </is>
      </c>
      <c r="C1086" s="16" t="inlineStr">
        <is>
          <t>Stove Kraft Ltd.</t>
        </is>
      </c>
      <c r="D1086" s="16" t="inlineStr">
        <is>
          <t>Household Appliances</t>
        </is>
      </c>
      <c r="E1086" s="16" t="inlineStr">
        <is>
          <t>Consumer Durables</t>
        </is>
      </c>
      <c r="F1086" s="17" t="n">
        <v>2756.35</v>
      </c>
      <c r="G1086" s="16" t="inlineStr">
        <is>
          <t>STOVEKRAFT</t>
        </is>
      </c>
      <c r="H1086" s="16" t="inlineStr">
        <is>
          <t>543260</t>
        </is>
      </c>
      <c r="I1086" s="27">
        <f>IFERROR(IF(INDEX(Stocks!$G$2:$G$2139,MATCH(A1086,Stocks!$E$2:$E$2139,0))="","No","Yes"),"No")</f>
        <v/>
      </c>
    </row>
    <row r="1087">
      <c r="A1087" s="16" t="inlineStr">
        <is>
          <t>INE1DV401010</t>
        </is>
      </c>
      <c r="B1087" s="16" t="inlineStr">
        <is>
          <t>MONOLITH</t>
        </is>
      </c>
      <c r="C1087" s="16" t="inlineStr">
        <is>
          <t>Monolithisch India Ltd.</t>
        </is>
      </c>
      <c r="D1087" s="16" t="inlineStr">
        <is>
          <t>Electrodes &amp; Refractories</t>
        </is>
      </c>
      <c r="E1087" s="16" t="inlineStr">
        <is>
          <t>General Industrials</t>
        </is>
      </c>
      <c r="F1087" s="17" t="n">
        <v>2751.02</v>
      </c>
      <c r="G1087" s="16" t="inlineStr">
        <is>
          <t>MONOLITH</t>
        </is>
      </c>
      <c r="H1087" s="16" t="inlineStr"/>
      <c r="I1087" s="27">
        <f>IFERROR(IF(INDEX(Stocks!$G$2:$G$2139,MATCH(A1087,Stocks!$E$2:$E$2139,0))="","No","Yes"),"No")</f>
        <v/>
      </c>
    </row>
    <row r="1088">
      <c r="A1088" s="16" t="inlineStr">
        <is>
          <t>INE425Y01011</t>
        </is>
      </c>
      <c r="B1088" s="16" t="inlineStr">
        <is>
          <t>RPSGVENT</t>
        </is>
      </c>
      <c r="C1088" s="16" t="inlineStr">
        <is>
          <t>RPSG Ventures Ltd.</t>
        </is>
      </c>
      <c r="D1088" s="16" t="inlineStr">
        <is>
          <t>IT Consulting &amp; Software</t>
        </is>
      </c>
      <c r="E1088" s="16" t="inlineStr">
        <is>
          <t>Software &amp; Services</t>
        </is>
      </c>
      <c r="F1088" s="17" t="n">
        <v>2750.8</v>
      </c>
      <c r="G1088" s="16" t="inlineStr">
        <is>
          <t>RPSGVENT</t>
        </is>
      </c>
      <c r="H1088" s="16" t="inlineStr">
        <is>
          <t>542333</t>
        </is>
      </c>
      <c r="I1088" s="27">
        <f>IFERROR(IF(INDEX(Stocks!$G$2:$G$2139,MATCH(A1088,Stocks!$E$2:$E$2139,0))="","No","Yes"),"No")</f>
        <v/>
      </c>
    </row>
    <row r="1089">
      <c r="A1089" s="16" t="inlineStr">
        <is>
          <t>INE475B01022</t>
        </is>
      </c>
      <c r="B1089" s="16" t="inlineStr">
        <is>
          <t>HIKAL</t>
        </is>
      </c>
      <c r="C1089" s="16" t="inlineStr">
        <is>
          <t>Hikal Ltd.</t>
        </is>
      </c>
      <c r="D1089" s="16" t="inlineStr">
        <is>
          <t>Pharmaceuticals</t>
        </is>
      </c>
      <c r="E1089" s="16" t="inlineStr">
        <is>
          <t>Pharmaceuticals &amp; Biotechnology</t>
        </is>
      </c>
      <c r="F1089" s="17" t="n">
        <v>2740.98</v>
      </c>
      <c r="G1089" s="16" t="inlineStr">
        <is>
          <t>HIKAL</t>
        </is>
      </c>
      <c r="H1089" s="16" t="inlineStr">
        <is>
          <t>524735</t>
        </is>
      </c>
      <c r="I1089" s="27">
        <f>IFERROR(IF(INDEX(Stocks!$G$2:$G$2139,MATCH(A1089,Stocks!$E$2:$E$2139,0))="","No","Yes"),"No")</f>
        <v/>
      </c>
    </row>
    <row r="1090">
      <c r="A1090" s="16" t="inlineStr">
        <is>
          <t>INE552D01024</t>
        </is>
      </c>
      <c r="B1090" s="16" t="inlineStr">
        <is>
          <t>CONFIPET</t>
        </is>
      </c>
      <c r="C1090" s="16" t="inlineStr">
        <is>
          <t>Confidence Petroleum India Ltd.</t>
        </is>
      </c>
      <c r="D1090" s="16" t="inlineStr">
        <is>
          <t>Oil Marketing &amp; Distribution</t>
        </is>
      </c>
      <c r="E1090" s="16" t="inlineStr">
        <is>
          <t>Oil &amp; Gas</t>
        </is>
      </c>
      <c r="F1090" s="17" t="n">
        <v>2740.32</v>
      </c>
      <c r="G1090" s="16" t="inlineStr">
        <is>
          <t>CONFIPET</t>
        </is>
      </c>
      <c r="H1090" s="16" t="inlineStr">
        <is>
          <t>526829</t>
        </is>
      </c>
      <c r="I1090" s="27">
        <f>IFERROR(IF(INDEX(Stocks!$G$2:$G$2139,MATCH(A1090,Stocks!$E$2:$E$2139,0))="","No","Yes"),"No")</f>
        <v/>
      </c>
    </row>
    <row r="1091">
      <c r="A1091" s="16" t="inlineStr">
        <is>
          <t>INE382M01027</t>
        </is>
      </c>
      <c r="B1091" s="16" t="inlineStr">
        <is>
          <t>UFBL</t>
        </is>
      </c>
      <c r="C1091" s="16" t="inlineStr">
        <is>
          <t>United Foodbrands Ltd.</t>
        </is>
      </c>
      <c r="D1091" s="16" t="inlineStr">
        <is>
          <t>Restaurants</t>
        </is>
      </c>
      <c r="E1091" s="16" t="inlineStr">
        <is>
          <t>Hotels Restaurants &amp; Tourism</t>
        </is>
      </c>
      <c r="F1091" s="17" t="n">
        <v>2739.61</v>
      </c>
      <c r="G1091" s="16" t="inlineStr">
        <is>
          <t>UFBL</t>
        </is>
      </c>
      <c r="H1091" s="16" t="inlineStr">
        <is>
          <t>543283</t>
        </is>
      </c>
      <c r="I1091" s="27">
        <f>IFERROR(IF(INDEX(Stocks!$G$2:$G$2139,MATCH(A1091,Stocks!$E$2:$E$2139,0))="","No","Yes"),"No")</f>
        <v/>
      </c>
    </row>
    <row r="1092">
      <c r="A1092" s="16" t="inlineStr">
        <is>
          <t>INE385W01011</t>
        </is>
      </c>
      <c r="B1092" s="16" t="inlineStr">
        <is>
          <t>DCAL</t>
        </is>
      </c>
      <c r="C1092" s="16" t="inlineStr">
        <is>
          <t>Dishman Carbogen Amcis Ltd.</t>
        </is>
      </c>
      <c r="D1092" s="16" t="inlineStr">
        <is>
          <t>Pharmaceuticals</t>
        </is>
      </c>
      <c r="E1092" s="16" t="inlineStr">
        <is>
          <t>Pharmaceuticals &amp; Biotechnology</t>
        </is>
      </c>
      <c r="F1092" s="17" t="n">
        <v>2733.98</v>
      </c>
      <c r="G1092" s="16" t="inlineStr">
        <is>
          <t>DCAL</t>
        </is>
      </c>
      <c r="H1092" s="16" t="inlineStr">
        <is>
          <t>540701</t>
        </is>
      </c>
      <c r="I1092" s="27">
        <f>IFERROR(IF(INDEX(Stocks!$G$2:$G$2139,MATCH(A1092,Stocks!$E$2:$E$2139,0))="","No","Yes"),"No")</f>
        <v/>
      </c>
    </row>
    <row r="1093">
      <c r="A1093" s="16" t="inlineStr">
        <is>
          <t>INE079J01017</t>
        </is>
      </c>
      <c r="B1093" s="16" t="inlineStr">
        <is>
          <t>GATEWAY</t>
        </is>
      </c>
      <c r="C1093" s="16" t="inlineStr">
        <is>
          <t>Gateway Distriparks Ltd.</t>
        </is>
      </c>
      <c r="D1093" s="16" t="inlineStr">
        <is>
          <t>Warehousing &amp; Logistics</t>
        </is>
      </c>
      <c r="E1093" s="16" t="inlineStr">
        <is>
          <t>Transportation</t>
        </is>
      </c>
      <c r="F1093" s="17" t="n">
        <v>2732.55</v>
      </c>
      <c r="G1093" s="16" t="inlineStr">
        <is>
          <t>GATEWAY</t>
        </is>
      </c>
      <c r="H1093" s="16" t="inlineStr">
        <is>
          <t>543489</t>
        </is>
      </c>
      <c r="I1093" s="27">
        <f>IFERROR(IF(INDEX(Stocks!$G$2:$G$2139,MATCH(A1093,Stocks!$E$2:$E$2139,0))="","No","Yes"),"No")</f>
        <v/>
      </c>
    </row>
    <row r="1094">
      <c r="A1094" s="16" t="inlineStr">
        <is>
          <t>INE317W01030</t>
        </is>
      </c>
      <c r="B1094" s="16" t="inlineStr">
        <is>
          <t>COLAB</t>
        </is>
      </c>
      <c r="C1094" s="16" t="inlineStr">
        <is>
          <t>Colab Platforms Ltd.</t>
        </is>
      </c>
      <c r="D1094" s="16" t="inlineStr">
        <is>
          <t>Other Financial Services</t>
        </is>
      </c>
      <c r="E1094" s="16" t="inlineStr">
        <is>
          <t>Banking and Finance</t>
        </is>
      </c>
      <c r="F1094" s="17" t="n">
        <v>2727.48</v>
      </c>
      <c r="G1094" s="16" t="inlineStr"/>
      <c r="H1094" s="16" t="inlineStr">
        <is>
          <t>542866</t>
        </is>
      </c>
      <c r="I1094" s="27">
        <f>IFERROR(IF(INDEX(Stocks!$G$2:$G$2139,MATCH(A1094,Stocks!$E$2:$E$2139,0))="","No","Yes"),"No")</f>
        <v/>
      </c>
    </row>
    <row r="1095">
      <c r="A1095" s="16" t="inlineStr">
        <is>
          <t>INE08KJ01020</t>
        </is>
      </c>
      <c r="B1095" s="16" t="inlineStr">
        <is>
          <t>MUFIN</t>
        </is>
      </c>
      <c r="C1095" s="16" t="inlineStr">
        <is>
          <t>Mufin Green Finance Ltd.</t>
        </is>
      </c>
      <c r="D1095" s="16" t="inlineStr">
        <is>
          <t>Finance (including NBFCs)</t>
        </is>
      </c>
      <c r="E1095" s="16" t="inlineStr">
        <is>
          <t>Banking and Finance</t>
        </is>
      </c>
      <c r="F1095" s="17" t="n">
        <v>2725.92</v>
      </c>
      <c r="G1095" s="16" t="inlineStr">
        <is>
          <t>MUFIN</t>
        </is>
      </c>
      <c r="H1095" s="16" t="inlineStr">
        <is>
          <t>542774</t>
        </is>
      </c>
      <c r="I1095" s="27">
        <f>IFERROR(IF(INDEX(Stocks!$G$2:$G$2139,MATCH(A1095,Stocks!$E$2:$E$2139,0))="","No","Yes"),"No")</f>
        <v/>
      </c>
    </row>
    <row r="1096">
      <c r="A1096" s="16" t="inlineStr">
        <is>
          <t>INE00GK01023</t>
        </is>
      </c>
      <c r="B1096" s="16" t="inlineStr">
        <is>
          <t>YASHHV</t>
        </is>
      </c>
      <c r="C1096" s="16" t="inlineStr">
        <is>
          <t>Yash Highvoltage Ltd.</t>
        </is>
      </c>
      <c r="D1096" s="16" t="inlineStr">
        <is>
          <t>Heavy Electrical Equipment</t>
        </is>
      </c>
      <c r="E1096" s="16" t="inlineStr">
        <is>
          <t>General Industrials</t>
        </is>
      </c>
      <c r="F1096" s="17" t="n">
        <v>2719.81</v>
      </c>
      <c r="G1096" s="16" t="inlineStr"/>
      <c r="H1096" s="16" t="inlineStr">
        <is>
          <t>544310</t>
        </is>
      </c>
      <c r="I1096" s="27">
        <f>IFERROR(IF(INDEX(Stocks!$G$2:$G$2139,MATCH(A1096,Stocks!$E$2:$E$2139,0))="","No","Yes"),"No")</f>
        <v/>
      </c>
    </row>
    <row r="1097">
      <c r="A1097" s="16" t="inlineStr">
        <is>
          <t>INE244B01030</t>
        </is>
      </c>
      <c r="B1097" s="16" t="inlineStr">
        <is>
          <t>PATELENG</t>
        </is>
      </c>
      <c r="C1097" s="16" t="inlineStr">
        <is>
          <t>Patel Engineering Ltd.</t>
        </is>
      </c>
      <c r="D1097" s="16" t="inlineStr">
        <is>
          <t>Construction &amp; Engineering</t>
        </is>
      </c>
      <c r="E1097" s="16" t="inlineStr">
        <is>
          <t>Cement and Construction</t>
        </is>
      </c>
      <c r="F1097" s="17" t="n">
        <v>2706.56</v>
      </c>
      <c r="G1097" s="16" t="inlineStr">
        <is>
          <t>PATELENG</t>
        </is>
      </c>
      <c r="H1097" s="16" t="inlineStr">
        <is>
          <t>531120</t>
        </is>
      </c>
      <c r="I1097" s="27">
        <f>IFERROR(IF(INDEX(Stocks!$G$2:$G$2139,MATCH(A1097,Stocks!$E$2:$E$2139,0))="","No","Yes"),"No")</f>
        <v/>
      </c>
    </row>
    <row r="1098">
      <c r="A1098" s="16" t="inlineStr">
        <is>
          <t>INE920A01037</t>
        </is>
      </c>
      <c r="B1098" s="16" t="inlineStr">
        <is>
          <t>DOLPHIN</t>
        </is>
      </c>
      <c r="C1098" s="16" t="inlineStr">
        <is>
          <t>Dolphin Offshore Enterprises (India) Ltd.</t>
        </is>
      </c>
      <c r="D1098" s="16" t="inlineStr">
        <is>
          <t>Oil Equipment &amp; Services</t>
        </is>
      </c>
      <c r="E1098" s="16" t="inlineStr">
        <is>
          <t>Oil &amp; Gas</t>
        </is>
      </c>
      <c r="F1098" s="17" t="n">
        <v>2696.31</v>
      </c>
      <c r="G1098" s="16" t="inlineStr">
        <is>
          <t>DOLPHIN</t>
        </is>
      </c>
      <c r="H1098" s="16" t="inlineStr">
        <is>
          <t>522261</t>
        </is>
      </c>
      <c r="I1098" s="27">
        <f>IFERROR(IF(INDEX(Stocks!$G$2:$G$2139,MATCH(A1098,Stocks!$E$2:$E$2139,0))="","No","Yes"),"No")</f>
        <v/>
      </c>
    </row>
    <row r="1099">
      <c r="A1099" s="16" t="inlineStr">
        <is>
          <t>INE198501012</t>
        </is>
      </c>
      <c r="B1099" s="16" t="inlineStr">
        <is>
          <t>EUROPRATIK</t>
        </is>
      </c>
      <c r="C1099" s="16" t="inlineStr">
        <is>
          <t>Euro Pratik Sales Ltd.</t>
        </is>
      </c>
      <c r="D1099" s="16" t="inlineStr">
        <is>
          <t>Furniture-Furnishing</t>
        </is>
      </c>
      <c r="E1099" s="16" t="inlineStr">
        <is>
          <t>Diversified Consumer Services</t>
        </is>
      </c>
      <c r="F1099" s="17" t="n">
        <v>2695.52</v>
      </c>
      <c r="G1099" s="16" t="inlineStr">
        <is>
          <t>EUROPRATIK</t>
        </is>
      </c>
      <c r="H1099" s="16" t="inlineStr">
        <is>
          <t>544519</t>
        </is>
      </c>
      <c r="I1099" s="27">
        <f>IFERROR(IF(INDEX(Stocks!$G$2:$G$2139,MATCH(A1099,Stocks!$E$2:$E$2139,0))="","No","Yes"),"No")</f>
        <v/>
      </c>
    </row>
    <row r="1100">
      <c r="A1100" s="16" t="inlineStr">
        <is>
          <t>INE212I01016</t>
        </is>
      </c>
      <c r="B1100" s="16" t="inlineStr">
        <is>
          <t>SPAL</t>
        </is>
      </c>
      <c r="C1100" s="16" t="inlineStr">
        <is>
          <t>S P Apparels Ltd.</t>
        </is>
      </c>
      <c r="D1100" s="16" t="inlineStr">
        <is>
          <t>Other Apparels &amp; Accessories</t>
        </is>
      </c>
      <c r="E1100" s="16" t="inlineStr">
        <is>
          <t>Textiles Apparels &amp; Accessories</t>
        </is>
      </c>
      <c r="F1100" s="17" t="n">
        <v>2692.63</v>
      </c>
      <c r="G1100" s="16" t="inlineStr">
        <is>
          <t>SPAL</t>
        </is>
      </c>
      <c r="H1100" s="16" t="inlineStr">
        <is>
          <t>540048</t>
        </is>
      </c>
      <c r="I1100" s="27">
        <f>IFERROR(IF(INDEX(Stocks!$G$2:$G$2139,MATCH(A1100,Stocks!$E$2:$E$2139,0))="","No","Yes"),"No")</f>
        <v/>
      </c>
    </row>
    <row r="1101">
      <c r="A1101" s="16" t="inlineStr">
        <is>
          <t>INE488A01050</t>
        </is>
      </c>
      <c r="B1101" s="16" t="inlineStr">
        <is>
          <t>CHEMPLASTS</t>
        </is>
      </c>
      <c r="C1101" s="16" t="inlineStr">
        <is>
          <t>Chemplast Sanmar Ltd.</t>
        </is>
      </c>
      <c r="D1101" s="16" t="inlineStr">
        <is>
          <t>Specialty Chemicals</t>
        </is>
      </c>
      <c r="E1101" s="16" t="inlineStr">
        <is>
          <t>Chemicals &amp; Petrochemicals</t>
        </is>
      </c>
      <c r="F1101" s="17" t="n">
        <v>2692.45</v>
      </c>
      <c r="G1101" s="16" t="inlineStr">
        <is>
          <t>CHEMPLASTS</t>
        </is>
      </c>
      <c r="H1101" s="16" t="inlineStr">
        <is>
          <t>543336</t>
        </is>
      </c>
      <c r="I1101" s="27">
        <f>IFERROR(IF(INDEX(Stocks!$G$2:$G$2139,MATCH(A1101,Stocks!$E$2:$E$2139,0))="","No","Yes"),"No")</f>
        <v/>
      </c>
    </row>
    <row r="1102">
      <c r="A1102" s="16" t="inlineStr">
        <is>
          <t>INE703H01016</t>
        </is>
      </c>
      <c r="B1102" s="16" t="inlineStr">
        <is>
          <t>HUBTOWN</t>
        </is>
      </c>
      <c r="C1102" s="16" t="inlineStr">
        <is>
          <t>Hubtown Ltd.</t>
        </is>
      </c>
      <c r="D1102" s="16" t="inlineStr">
        <is>
          <t>Realty</t>
        </is>
      </c>
      <c r="E1102" s="16" t="inlineStr">
        <is>
          <t>Realty</t>
        </is>
      </c>
      <c r="F1102" s="17" t="n">
        <v>2689.4</v>
      </c>
      <c r="G1102" s="16" t="inlineStr">
        <is>
          <t>HUBTOWN</t>
        </is>
      </c>
      <c r="H1102" s="16" t="inlineStr">
        <is>
          <t>532799</t>
        </is>
      </c>
      <c r="I1102" s="27">
        <f>IFERROR(IF(INDEX(Stocks!$G$2:$G$2139,MATCH(A1102,Stocks!$E$2:$E$2139,0))="","No","Yes"),"No")</f>
        <v/>
      </c>
    </row>
    <row r="1103">
      <c r="A1103" s="16" t="inlineStr">
        <is>
          <t>INE845D01014</t>
        </is>
      </c>
      <c r="B1103" s="16" t="inlineStr">
        <is>
          <t>GANECOS</t>
        </is>
      </c>
      <c r="C1103" s="16" t="inlineStr">
        <is>
          <t>Ganesha Ecosphere Ltd.</t>
        </is>
      </c>
      <c r="D1103" s="16" t="inlineStr">
        <is>
          <t>Textiles</t>
        </is>
      </c>
      <c r="E1103" s="16" t="inlineStr">
        <is>
          <t>Textiles Apparels &amp; Accessories</t>
        </is>
      </c>
      <c r="F1103" s="17" t="n">
        <v>2679.33</v>
      </c>
      <c r="G1103" s="16" t="inlineStr">
        <is>
          <t>GANECOS</t>
        </is>
      </c>
      <c r="H1103" s="16" t="inlineStr">
        <is>
          <t>514167</t>
        </is>
      </c>
      <c r="I1103" s="27">
        <f>IFERROR(IF(INDEX(Stocks!$G$2:$G$2139,MATCH(A1103,Stocks!$E$2:$E$2139,0))="","No","Yes"),"No")</f>
        <v/>
      </c>
    </row>
    <row r="1104">
      <c r="A1104" s="16" t="inlineStr">
        <is>
          <t>INE126J01016</t>
        </is>
      </c>
      <c r="B1104" s="16" t="inlineStr">
        <is>
          <t>APOLLOPIPE</t>
        </is>
      </c>
      <c r="C1104" s="16" t="inlineStr">
        <is>
          <t>Apollo Pipes Ltd.</t>
        </is>
      </c>
      <c r="D1104" s="16" t="inlineStr">
        <is>
          <t>Plastic Products</t>
        </is>
      </c>
      <c r="E1104" s="16" t="inlineStr">
        <is>
          <t>General Industrials</t>
        </is>
      </c>
      <c r="F1104" s="17" t="n">
        <v>2665.36</v>
      </c>
      <c r="G1104" s="16" t="inlineStr">
        <is>
          <t>APOLLOPIPE</t>
        </is>
      </c>
      <c r="H1104" s="16" t="inlineStr">
        <is>
          <t>531761</t>
        </is>
      </c>
      <c r="I1104" s="27">
        <f>IFERROR(IF(INDEX(Stocks!$G$2:$G$2139,MATCH(A1104,Stocks!$E$2:$E$2139,0))="","No","Yes"),"No")</f>
        <v/>
      </c>
    </row>
    <row r="1105">
      <c r="A1105" s="16" t="inlineStr">
        <is>
          <t>INE876N01018</t>
        </is>
      </c>
      <c r="B1105" s="16" t="inlineStr">
        <is>
          <t>ORIENTCEM</t>
        </is>
      </c>
      <c r="C1105" s="16" t="inlineStr">
        <is>
          <t>Orient Cement Ltd.</t>
        </is>
      </c>
      <c r="D1105" s="16" t="inlineStr">
        <is>
          <t>Cement &amp; Cement Products</t>
        </is>
      </c>
      <c r="E1105" s="16" t="inlineStr">
        <is>
          <t>Cement and Construction</t>
        </is>
      </c>
      <c r="F1105" s="17" t="n">
        <v>2664.4</v>
      </c>
      <c r="G1105" s="16" t="inlineStr">
        <is>
          <t>ORIENTCEM</t>
        </is>
      </c>
      <c r="H1105" s="16" t="inlineStr">
        <is>
          <t>535754</t>
        </is>
      </c>
      <c r="I1105" s="27">
        <f>IFERROR(IF(INDEX(Stocks!$G$2:$G$2139,MATCH(A1105,Stocks!$E$2:$E$2139,0))="","No","Yes"),"No")</f>
        <v/>
      </c>
    </row>
    <row r="1106">
      <c r="A1106" s="16" t="inlineStr">
        <is>
          <t>INE520G01024</t>
        </is>
      </c>
      <c r="B1106" s="16" t="inlineStr">
        <is>
          <t>AXISOL</t>
        </is>
      </c>
      <c r="C1106" s="16" t="inlineStr">
        <is>
          <t>Axis Solutions Ltd.</t>
        </is>
      </c>
      <c r="D1106" s="16" t="inlineStr">
        <is>
          <t>IT Consulting &amp; Software</t>
        </is>
      </c>
      <c r="E1106" s="16" t="inlineStr">
        <is>
          <t>Software &amp; Services</t>
        </is>
      </c>
      <c r="F1106" s="17" t="n">
        <v>2631.45</v>
      </c>
      <c r="G1106" s="16" t="inlineStr"/>
      <c r="H1106" s="16" t="inlineStr">
        <is>
          <t>511144</t>
        </is>
      </c>
      <c r="I1106" s="27">
        <f>IFERROR(IF(INDEX(Stocks!$G$2:$G$2139,MATCH(A1106,Stocks!$E$2:$E$2139,0))="","No","Yes"),"No")</f>
        <v/>
      </c>
    </row>
    <row r="1107">
      <c r="A1107" s="16" t="inlineStr">
        <is>
          <t>INE092B01025</t>
        </is>
      </c>
      <c r="B1107" s="16" t="inlineStr">
        <is>
          <t>INDNIPPON</t>
        </is>
      </c>
      <c r="C1107" s="16" t="inlineStr">
        <is>
          <t>India Nippon Electricals Ltd.</t>
        </is>
      </c>
      <c r="D1107" s="16" t="inlineStr">
        <is>
          <t>Auto Parts &amp; Equipment</t>
        </is>
      </c>
      <c r="E1107" s="16" t="inlineStr">
        <is>
          <t>Automobiles &amp; Auto Components</t>
        </is>
      </c>
      <c r="F1107" s="17" t="n">
        <v>2620.01</v>
      </c>
      <c r="G1107" s="16" t="inlineStr">
        <is>
          <t>INDNIPPON</t>
        </is>
      </c>
      <c r="H1107" s="16" t="inlineStr">
        <is>
          <t>532240</t>
        </is>
      </c>
      <c r="I1107" s="27">
        <f>IFERROR(IF(INDEX(Stocks!$G$2:$G$2139,MATCH(A1107,Stocks!$E$2:$E$2139,0))="","No","Yes"),"No")</f>
        <v/>
      </c>
    </row>
    <row r="1108">
      <c r="A1108" s="16" t="inlineStr">
        <is>
          <t>INE717W01049</t>
        </is>
      </c>
      <c r="B1108" s="16" t="inlineStr">
        <is>
          <t>GANDHAR</t>
        </is>
      </c>
      <c r="C1108" s="16" t="inlineStr">
        <is>
          <t>Gandhar Oil Refinery (India) Ltd.</t>
        </is>
      </c>
      <c r="D1108" s="16" t="inlineStr">
        <is>
          <t>Refineries/Petro-Products</t>
        </is>
      </c>
      <c r="E1108" s="16" t="inlineStr">
        <is>
          <t>Oil &amp; Gas</t>
        </is>
      </c>
      <c r="F1108" s="17" t="n">
        <v>2619.26</v>
      </c>
      <c r="G1108" s="16" t="inlineStr">
        <is>
          <t>GANDHAR</t>
        </is>
      </c>
      <c r="H1108" s="16" t="inlineStr">
        <is>
          <t>544029</t>
        </is>
      </c>
      <c r="I1108" s="27">
        <f>IFERROR(IF(INDEX(Stocks!$G$2:$G$2139,MATCH(A1108,Stocks!$E$2:$E$2139,0))="","No","Yes"),"No")</f>
        <v/>
      </c>
    </row>
    <row r="1109">
      <c r="A1109" s="16" t="inlineStr">
        <is>
          <t>INE1AG301022</t>
        </is>
      </c>
      <c r="B1109" s="16" t="inlineStr">
        <is>
          <t>GKENERGY</t>
        </is>
      </c>
      <c r="C1109" s="16" t="inlineStr">
        <is>
          <t>GK Energy Ltd.</t>
        </is>
      </c>
      <c r="D1109" s="16" t="inlineStr">
        <is>
          <t>Compressors &amp; Pumps</t>
        </is>
      </c>
      <c r="E1109" s="16" t="inlineStr">
        <is>
          <t>General Industrials</t>
        </is>
      </c>
      <c r="F1109" s="17" t="n">
        <v>2615.53</v>
      </c>
      <c r="G1109" s="16" t="inlineStr">
        <is>
          <t>GKENERGY</t>
        </is>
      </c>
      <c r="H1109" s="16" t="inlineStr">
        <is>
          <t>544525</t>
        </is>
      </c>
      <c r="I1109" s="27">
        <f>IFERROR(IF(INDEX(Stocks!$G$2:$G$2139,MATCH(A1109,Stocks!$E$2:$E$2139,0))="","No","Yes"),"No")</f>
        <v/>
      </c>
    </row>
    <row r="1110">
      <c r="A1110" s="16" t="inlineStr">
        <is>
          <t>INE735W01017</t>
        </is>
      </c>
      <c r="B1110" s="16" t="inlineStr">
        <is>
          <t>UTKARSHBNK</t>
        </is>
      </c>
      <c r="C1110" s="16" t="inlineStr">
        <is>
          <t>Utkarsh Small Finance Bank Ltd.</t>
        </is>
      </c>
      <c r="D1110" s="16" t="inlineStr">
        <is>
          <t>Microfinance Institutions</t>
        </is>
      </c>
      <c r="E1110" s="16" t="inlineStr">
        <is>
          <t>Banking and Finance</t>
        </is>
      </c>
      <c r="F1110" s="17" t="n">
        <v>2590.99</v>
      </c>
      <c r="G1110" s="16" t="inlineStr">
        <is>
          <t>UTKARSHBNK</t>
        </is>
      </c>
      <c r="H1110" s="16" t="inlineStr">
        <is>
          <t>543942</t>
        </is>
      </c>
      <c r="I1110" s="27">
        <f>IFERROR(IF(INDEX(Stocks!$G$2:$G$2139,MATCH(A1110,Stocks!$E$2:$E$2139,0))="","No","Yes"),"No")</f>
        <v/>
      </c>
    </row>
    <row r="1111">
      <c r="A1111" s="16" t="inlineStr">
        <is>
          <t>INE464A01036</t>
        </is>
      </c>
      <c r="B1111" s="16" t="inlineStr">
        <is>
          <t>BBL</t>
        </is>
      </c>
      <c r="C1111" s="16" t="inlineStr">
        <is>
          <t>Bharat Bijlee Ltd.</t>
        </is>
      </c>
      <c r="D1111" s="16" t="inlineStr">
        <is>
          <t>Other Electrical Equipment/Products</t>
        </is>
      </c>
      <c r="E1111" s="16" t="inlineStr">
        <is>
          <t>Consumer Durables</t>
        </is>
      </c>
      <c r="F1111" s="17" t="n">
        <v>2587.62</v>
      </c>
      <c r="G1111" s="16" t="inlineStr">
        <is>
          <t>BBL</t>
        </is>
      </c>
      <c r="H1111" s="16" t="inlineStr">
        <is>
          <t>503960</t>
        </is>
      </c>
      <c r="I1111" s="27">
        <f>IFERROR(IF(INDEX(Stocks!$G$2:$G$2139,MATCH(A1111,Stocks!$E$2:$E$2139,0))="","No","Yes"),"No")</f>
        <v/>
      </c>
    </row>
    <row r="1112">
      <c r="A1112" s="16" t="inlineStr">
        <is>
          <t>INE725E01024</t>
        </is>
      </c>
      <c r="B1112" s="16" t="inlineStr">
        <is>
          <t>ORISSAMINE</t>
        </is>
      </c>
      <c r="C1112" s="16" t="inlineStr">
        <is>
          <t>The Orissa Minerals Development Company Ltd.</t>
        </is>
      </c>
      <c r="D1112" s="16" t="inlineStr">
        <is>
          <t>Coal &amp; Mining</t>
        </is>
      </c>
      <c r="E1112" s="16" t="inlineStr">
        <is>
          <t>Metals &amp; Mining</t>
        </is>
      </c>
      <c r="F1112" s="17" t="n">
        <v>2587.02</v>
      </c>
      <c r="G1112" s="16" t="inlineStr">
        <is>
          <t>ORISSAMINE</t>
        </is>
      </c>
      <c r="H1112" s="16" t="inlineStr">
        <is>
          <t>590086</t>
        </is>
      </c>
      <c r="I1112" s="27">
        <f>IFERROR(IF(INDEX(Stocks!$G$2:$G$2139,MATCH(A1112,Stocks!$E$2:$E$2139,0))="","No","Yes"),"No")</f>
        <v/>
      </c>
    </row>
    <row r="1113">
      <c r="A1113" s="16" t="inlineStr">
        <is>
          <t>INE484C01030</t>
        </is>
      </c>
      <c r="B1113" s="16" t="inlineStr">
        <is>
          <t>VEEDOL</t>
        </is>
      </c>
      <c r="C1113" s="16" t="inlineStr">
        <is>
          <t>Veedol Corporation Ltd.</t>
        </is>
      </c>
      <c r="D1113" s="16" t="inlineStr">
        <is>
          <t>Oil Marketing &amp; Distribution</t>
        </is>
      </c>
      <c r="E1113" s="16" t="inlineStr">
        <is>
          <t>Oil &amp; Gas</t>
        </is>
      </c>
      <c r="F1113" s="17" t="n">
        <v>2573.18</v>
      </c>
      <c r="G1113" s="16" t="inlineStr">
        <is>
          <t>VEEDOL</t>
        </is>
      </c>
      <c r="H1113" s="16" t="inlineStr">
        <is>
          <t>590005</t>
        </is>
      </c>
      <c r="I1113" s="27">
        <f>IFERROR(IF(INDEX(Stocks!$G$2:$G$2139,MATCH(A1113,Stocks!$E$2:$E$2139,0))="","No","Yes"),"No")</f>
        <v/>
      </c>
    </row>
    <row r="1114">
      <c r="A1114" s="16" t="inlineStr">
        <is>
          <t>INE602G01020</t>
        </is>
      </c>
      <c r="B1114" s="16" t="inlineStr">
        <is>
          <t>KITEX</t>
        </is>
      </c>
      <c r="C1114" s="16" t="inlineStr">
        <is>
          <t>Kitex Garments Ltd.</t>
        </is>
      </c>
      <c r="D1114" s="16" t="inlineStr">
        <is>
          <t>Other Apparels &amp; Accessories</t>
        </is>
      </c>
      <c r="E1114" s="16" t="inlineStr">
        <is>
          <t>Textiles Apparels &amp; Accessories</t>
        </is>
      </c>
      <c r="F1114" s="17" t="n">
        <v>2570.56</v>
      </c>
      <c r="G1114" s="16" t="inlineStr">
        <is>
          <t>KITEX</t>
        </is>
      </c>
      <c r="H1114" s="16" t="inlineStr">
        <is>
          <t>521248</t>
        </is>
      </c>
      <c r="I1114" s="27">
        <f>IFERROR(IF(INDEX(Stocks!$G$2:$G$2139,MATCH(A1114,Stocks!$E$2:$E$2139,0))="","No","Yes"),"No")</f>
        <v/>
      </c>
    </row>
    <row r="1115">
      <c r="A1115" s="16" t="inlineStr">
        <is>
          <t>INE00Y201027</t>
        </is>
      </c>
      <c r="B1115" s="16" t="inlineStr">
        <is>
          <t>FLAIR</t>
        </is>
      </c>
      <c r="C1115" s="16" t="inlineStr">
        <is>
          <t>Flair Writing Industries Ltd</t>
        </is>
      </c>
      <c r="D1115" s="16" t="inlineStr">
        <is>
          <t>Commodity Printing/Stationery</t>
        </is>
      </c>
      <c r="E1115" s="16" t="inlineStr">
        <is>
          <t>Commercial Services &amp; Supplies</t>
        </is>
      </c>
      <c r="F1115" s="17" t="n">
        <v>2568.59</v>
      </c>
      <c r="G1115" s="16" t="inlineStr">
        <is>
          <t>FLAIR</t>
        </is>
      </c>
      <c r="H1115" s="16" t="inlineStr">
        <is>
          <t>544030</t>
        </is>
      </c>
      <c r="I1115" s="27">
        <f>IFERROR(IF(INDEX(Stocks!$G$2:$G$2139,MATCH(A1115,Stocks!$E$2:$E$2139,0))="","No","Yes"),"No")</f>
        <v/>
      </c>
    </row>
    <row r="1116">
      <c r="A1116" s="16" t="inlineStr">
        <is>
          <t>INE488B01017</t>
        </is>
      </c>
      <c r="B1116" s="16" t="inlineStr">
        <is>
          <t>TASTYBITE</t>
        </is>
      </c>
      <c r="C1116" s="16" t="inlineStr">
        <is>
          <t>Tasty Bite Eatables Ltd.</t>
        </is>
      </c>
      <c r="D1116" s="16" t="inlineStr">
        <is>
          <t>Packaged Foods</t>
        </is>
      </c>
      <c r="E1116" s="16" t="inlineStr">
        <is>
          <t>FMCG</t>
        </is>
      </c>
      <c r="F1116" s="17" t="n">
        <v>2561.38</v>
      </c>
      <c r="G1116" s="16" t="inlineStr">
        <is>
          <t>TASTYBITE</t>
        </is>
      </c>
      <c r="H1116" s="16" t="inlineStr">
        <is>
          <t>519091</t>
        </is>
      </c>
      <c r="I1116" s="27">
        <f>IFERROR(IF(INDEX(Stocks!$G$2:$G$2139,MATCH(A1116,Stocks!$E$2:$E$2139,0))="","No","Yes"),"No")</f>
        <v/>
      </c>
    </row>
    <row r="1117">
      <c r="A1117" s="16" t="inlineStr">
        <is>
          <t>INE449A01011</t>
        </is>
      </c>
      <c r="B1117" s="16" t="inlineStr">
        <is>
          <t>AUTOAXLES</t>
        </is>
      </c>
      <c r="C1117" s="16" t="inlineStr">
        <is>
          <t>Automotive Axles Ltd.</t>
        </is>
      </c>
      <c r="D1117" s="16" t="inlineStr">
        <is>
          <t>Auto Parts &amp; Equipment</t>
        </is>
      </c>
      <c r="E1117" s="16" t="inlineStr">
        <is>
          <t>Automobiles &amp; Auto Components</t>
        </is>
      </c>
      <c r="F1117" s="17" t="n">
        <v>2551.96</v>
      </c>
      <c r="G1117" s="16" t="inlineStr">
        <is>
          <t>AUTOAXLES</t>
        </is>
      </c>
      <c r="H1117" s="16" t="inlineStr">
        <is>
          <t>505010</t>
        </is>
      </c>
      <c r="I1117" s="27">
        <f>IFERROR(IF(INDEX(Stocks!$G$2:$G$2139,MATCH(A1117,Stocks!$E$2:$E$2139,0))="","No","Yes"),"No")</f>
        <v/>
      </c>
    </row>
    <row r="1118">
      <c r="A1118" s="16" t="inlineStr">
        <is>
          <t>INE02A801020</t>
        </is>
      </c>
      <c r="B1118" s="16" t="inlineStr">
        <is>
          <t>ROSSARI</t>
        </is>
      </c>
      <c r="C1118" s="16" t="inlineStr">
        <is>
          <t>Rossari Biotech Ltd.</t>
        </is>
      </c>
      <c r="D1118" s="16" t="inlineStr">
        <is>
          <t>Specialty Chemicals</t>
        </is>
      </c>
      <c r="E1118" s="16" t="inlineStr">
        <is>
          <t>Chemicals &amp; Petrochemicals</t>
        </is>
      </c>
      <c r="F1118" s="17" t="n">
        <v>2549.51</v>
      </c>
      <c r="G1118" s="16" t="inlineStr">
        <is>
          <t>ROSSARI</t>
        </is>
      </c>
      <c r="H1118" s="16" t="inlineStr">
        <is>
          <t>543213</t>
        </is>
      </c>
      <c r="I1118" s="27">
        <f>IFERROR(IF(INDEX(Stocks!$G$2:$G$2139,MATCH(A1118,Stocks!$E$2:$E$2139,0))="","No","Yes"),"No")</f>
        <v/>
      </c>
    </row>
    <row r="1119">
      <c r="A1119" s="16" t="inlineStr">
        <is>
          <t>INE456Z01021</t>
        </is>
      </c>
      <c r="B1119" s="16" t="inlineStr">
        <is>
          <t>MEDIASSIST</t>
        </is>
      </c>
      <c r="C1119" s="16" t="inlineStr">
        <is>
          <t>Medi Assist Healthcare Services Ltd.</t>
        </is>
      </c>
      <c r="D1119" s="16" t="inlineStr">
        <is>
          <t>Healthcare Services</t>
        </is>
      </c>
      <c r="E1119" s="16" t="inlineStr">
        <is>
          <t>Healthcare</t>
        </is>
      </c>
      <c r="F1119" s="17" t="n">
        <v>2542.48</v>
      </c>
      <c r="G1119" s="16" t="inlineStr">
        <is>
          <t>MEDIASSIST</t>
        </is>
      </c>
      <c r="H1119" s="16" t="inlineStr">
        <is>
          <t>544088</t>
        </is>
      </c>
      <c r="I1119" s="27">
        <f>IFERROR(IF(INDEX(Stocks!$G$2:$G$2139,MATCH(A1119,Stocks!$E$2:$E$2139,0))="","No","Yes"),"No")</f>
        <v/>
      </c>
    </row>
    <row r="1120">
      <c r="A1120" s="16" t="inlineStr">
        <is>
          <t>INE934C01018</t>
        </is>
      </c>
      <c r="B1120" s="16" t="inlineStr">
        <is>
          <t>DRAGARWQ</t>
        </is>
      </c>
      <c r="C1120" s="16" t="inlineStr">
        <is>
          <t>Dr. Agarwal's Eye Hospital Ltd.</t>
        </is>
      </c>
      <c r="D1120" s="16" t="inlineStr">
        <is>
          <t>Healthcare Facilities</t>
        </is>
      </c>
      <c r="E1120" s="16" t="inlineStr">
        <is>
          <t>Healthcare</t>
        </is>
      </c>
      <c r="F1120" s="17" t="n">
        <v>2534.43</v>
      </c>
      <c r="G1120" s="16" t="inlineStr"/>
      <c r="H1120" s="16" t="inlineStr">
        <is>
          <t>526783</t>
        </is>
      </c>
      <c r="I1120" s="27">
        <f>IFERROR(IF(INDEX(Stocks!$G$2:$G$2139,MATCH(A1120,Stocks!$E$2:$E$2139,0))="","No","Yes"),"No")</f>
        <v/>
      </c>
    </row>
    <row r="1121">
      <c r="A1121" s="16" t="inlineStr">
        <is>
          <t>INE637C01025</t>
        </is>
      </c>
      <c r="B1121" s="16" t="inlineStr">
        <is>
          <t>POKARNA</t>
        </is>
      </c>
      <c r="C1121" s="16" t="inlineStr">
        <is>
          <t>Pokarna Ltd.</t>
        </is>
      </c>
      <c r="D1121" s="16" t="inlineStr">
        <is>
          <t>Construction Materials</t>
        </is>
      </c>
      <c r="E1121" s="16" t="inlineStr">
        <is>
          <t>Cement and Construction</t>
        </is>
      </c>
      <c r="F1121" s="17" t="n">
        <v>2533.49</v>
      </c>
      <c r="G1121" s="16" t="inlineStr">
        <is>
          <t>POKARNA</t>
        </is>
      </c>
      <c r="H1121" s="16" t="inlineStr">
        <is>
          <t>532486</t>
        </is>
      </c>
      <c r="I1121" s="27">
        <f>IFERROR(IF(INDEX(Stocks!$G$2:$G$2139,MATCH(A1121,Stocks!$E$2:$E$2139,0))="","No","Yes"),"No")</f>
        <v/>
      </c>
    </row>
    <row r="1122">
      <c r="A1122" s="16" t="inlineStr">
        <is>
          <t>INE451D01029</t>
        </is>
      </c>
      <c r="B1122" s="16" t="inlineStr">
        <is>
          <t>RAJRATAN</t>
        </is>
      </c>
      <c r="C1122" s="16" t="inlineStr">
        <is>
          <t>Rajratan Global Wire Ltd.</t>
        </is>
      </c>
      <c r="D1122" s="16" t="inlineStr">
        <is>
          <t>Auto Parts &amp; Equipment</t>
        </is>
      </c>
      <c r="E1122" s="16" t="inlineStr">
        <is>
          <t>Automobiles &amp; Auto Components</t>
        </is>
      </c>
      <c r="F1122" s="17" t="n">
        <v>2530.17</v>
      </c>
      <c r="G1122" s="16" t="inlineStr">
        <is>
          <t>RAJRATAN</t>
        </is>
      </c>
      <c r="H1122" s="16" t="inlineStr">
        <is>
          <t>517522</t>
        </is>
      </c>
      <c r="I1122" s="27">
        <f>IFERROR(IF(INDEX(Stocks!$G$2:$G$2139,MATCH(A1122,Stocks!$E$2:$E$2139,0))="","No","Yes"),"No")</f>
        <v/>
      </c>
    </row>
    <row r="1123">
      <c r="A1123" s="16" t="inlineStr">
        <is>
          <t>INE187D01029</t>
        </is>
      </c>
      <c r="B1123" s="16" t="inlineStr">
        <is>
          <t>TALBROAUTO</t>
        </is>
      </c>
      <c r="C1123" s="16" t="inlineStr">
        <is>
          <t>Talbros Automotive Components Ltd.</t>
        </is>
      </c>
      <c r="D1123" s="16" t="inlineStr">
        <is>
          <t>Auto Parts &amp; Equipment</t>
        </is>
      </c>
      <c r="E1123" s="16" t="inlineStr">
        <is>
          <t>Automobiles &amp; Auto Components</t>
        </is>
      </c>
      <c r="F1123" s="17" t="n">
        <v>2516.97</v>
      </c>
      <c r="G1123" s="16" t="inlineStr">
        <is>
          <t>TALBROAUTO</t>
        </is>
      </c>
      <c r="H1123" s="16" t="inlineStr">
        <is>
          <t>505160</t>
        </is>
      </c>
      <c r="I1123" s="27">
        <f>IFERROR(IF(INDEX(Stocks!$G$2:$G$2139,MATCH(A1123,Stocks!$E$2:$E$2139,0))="","No","Yes"),"No")</f>
        <v/>
      </c>
    </row>
    <row r="1124">
      <c r="A1124" s="16" t="inlineStr">
        <is>
          <t>INE276G01015</t>
        </is>
      </c>
      <c r="B1124" s="16" t="inlineStr">
        <is>
          <t>ASIANENE</t>
        </is>
      </c>
      <c r="C1124" s="16" t="inlineStr">
        <is>
          <t>Asian Energy Services Ltd.</t>
        </is>
      </c>
      <c r="D1124" s="16" t="inlineStr">
        <is>
          <t>Oil Equipment &amp; Services</t>
        </is>
      </c>
      <c r="E1124" s="16" t="inlineStr">
        <is>
          <t>Oil &amp; Gas</t>
        </is>
      </c>
      <c r="F1124" s="17" t="n">
        <v>2515.38</v>
      </c>
      <c r="G1124" s="16" t="inlineStr">
        <is>
          <t>ASIANENE</t>
        </is>
      </c>
      <c r="H1124" s="16" t="inlineStr">
        <is>
          <t>530355</t>
        </is>
      </c>
      <c r="I1124" s="27">
        <f>IFERROR(IF(INDEX(Stocks!$G$2:$G$2139,MATCH(A1124,Stocks!$E$2:$E$2139,0))="","No","Yes"),"No")</f>
        <v/>
      </c>
    </row>
    <row r="1125">
      <c r="A1125" s="16" t="inlineStr">
        <is>
          <t>INE076B01028</t>
        </is>
      </c>
      <c r="B1125" s="16" t="inlineStr">
        <is>
          <t>SIYSIL</t>
        </is>
      </c>
      <c r="C1125" s="16" t="inlineStr">
        <is>
          <t>Siyaram Silk Mills Ltd.</t>
        </is>
      </c>
      <c r="D1125" s="16" t="inlineStr">
        <is>
          <t>Textiles</t>
        </is>
      </c>
      <c r="E1125" s="16" t="inlineStr">
        <is>
          <t>Textiles Apparels &amp; Accessories</t>
        </is>
      </c>
      <c r="F1125" s="17" t="n">
        <v>2507.38</v>
      </c>
      <c r="G1125" s="16" t="inlineStr">
        <is>
          <t>SIYSIL</t>
        </is>
      </c>
      <c r="H1125" s="16" t="inlineStr">
        <is>
          <t>503811</t>
        </is>
      </c>
      <c r="I1125" s="27">
        <f>IFERROR(IF(INDEX(Stocks!$G$2:$G$2139,MATCH(A1125,Stocks!$E$2:$E$2139,0))="","No","Yes"),"No")</f>
        <v/>
      </c>
    </row>
    <row r="1126">
      <c r="A1126" s="16" t="inlineStr">
        <is>
          <t>INE750A01020</t>
        </is>
      </c>
      <c r="B1126" s="16" t="inlineStr">
        <is>
          <t>ORIENTHOT</t>
        </is>
      </c>
      <c r="C1126" s="16" t="inlineStr">
        <is>
          <t>Oriental Hotels Ltd.</t>
        </is>
      </c>
      <c r="D1126" s="16" t="inlineStr">
        <is>
          <t>Hotels</t>
        </is>
      </c>
      <c r="E1126" s="16" t="inlineStr">
        <is>
          <t>Hotels Restaurants &amp; Tourism</t>
        </is>
      </c>
      <c r="F1126" s="17" t="n">
        <v>2499.14</v>
      </c>
      <c r="G1126" s="16" t="inlineStr">
        <is>
          <t>ORIENTHOT</t>
        </is>
      </c>
      <c r="H1126" s="16" t="inlineStr">
        <is>
          <t>500314</t>
        </is>
      </c>
      <c r="I1126" s="27">
        <f>IFERROR(IF(INDEX(Stocks!$G$2:$G$2139,MATCH(A1126,Stocks!$E$2:$E$2139,0))="","No","Yes"),"No")</f>
        <v/>
      </c>
    </row>
    <row r="1127">
      <c r="A1127" s="16" t="inlineStr">
        <is>
          <t>INE209A01019</t>
        </is>
      </c>
      <c r="B1127" s="16" t="inlineStr">
        <is>
          <t>SUNDROP</t>
        </is>
      </c>
      <c r="C1127" s="16" t="inlineStr">
        <is>
          <t>Sundrop Brands Ltd.</t>
        </is>
      </c>
      <c r="D1127" s="16" t="inlineStr">
        <is>
          <t>Edible Oils</t>
        </is>
      </c>
      <c r="E1127" s="16" t="inlineStr">
        <is>
          <t>FMCG</t>
        </is>
      </c>
      <c r="F1127" s="17" t="n">
        <v>2497.42</v>
      </c>
      <c r="G1127" s="16" t="inlineStr">
        <is>
          <t>SUNDROP</t>
        </is>
      </c>
      <c r="H1127" s="16" t="inlineStr">
        <is>
          <t>500215</t>
        </is>
      </c>
      <c r="I1127" s="27">
        <f>IFERROR(IF(INDEX(Stocks!$G$2:$G$2139,MATCH(A1127,Stocks!$E$2:$E$2139,0))="","No","Yes"),"No")</f>
        <v/>
      </c>
    </row>
    <row r="1128">
      <c r="A1128" s="16" t="inlineStr">
        <is>
          <t>INE771F01041</t>
        </is>
      </c>
      <c r="B1128" s="16" t="inlineStr">
        <is>
          <t>FISCHER</t>
        </is>
      </c>
      <c r="C1128" s="16" t="inlineStr">
        <is>
          <t>Fischer Medical Ventures Ltd.</t>
        </is>
      </c>
      <c r="D1128" s="16" t="inlineStr">
        <is>
          <t>Commodity Chemicals</t>
        </is>
      </c>
      <c r="E1128" s="16" t="inlineStr">
        <is>
          <t>Chemicals &amp; Petrochemicals</t>
        </is>
      </c>
      <c r="F1128" s="17" t="n">
        <v>2496.44</v>
      </c>
      <c r="G1128" s="16" t="inlineStr">
        <is>
          <t>FISCHER</t>
        </is>
      </c>
      <c r="H1128" s="16" t="inlineStr">
        <is>
          <t>524743</t>
        </is>
      </c>
      <c r="I1128" s="27">
        <f>IFERROR(IF(INDEX(Stocks!$G$2:$G$2139,MATCH(A1128,Stocks!$E$2:$E$2139,0))="","No","Yes"),"No")</f>
        <v/>
      </c>
    </row>
    <row r="1129">
      <c r="A1129" s="16" t="inlineStr">
        <is>
          <t>INE792Z01011</t>
        </is>
      </c>
      <c r="B1129" s="16" t="inlineStr">
        <is>
          <t>SIRCA</t>
        </is>
      </c>
      <c r="C1129" s="16" t="inlineStr">
        <is>
          <t>Sirca Paints India Ltd.</t>
        </is>
      </c>
      <c r="D1129" s="16" t="inlineStr">
        <is>
          <t>Paints</t>
        </is>
      </c>
      <c r="E1129" s="16" t="inlineStr">
        <is>
          <t>Consumer Durables</t>
        </is>
      </c>
      <c r="F1129" s="17" t="n">
        <v>2494.62</v>
      </c>
      <c r="G1129" s="16" t="inlineStr">
        <is>
          <t>SIRCA</t>
        </is>
      </c>
      <c r="H1129" s="16" t="inlineStr">
        <is>
          <t>543686</t>
        </is>
      </c>
      <c r="I1129" s="27">
        <f>IFERROR(IF(INDEX(Stocks!$G$2:$G$2139,MATCH(A1129,Stocks!$E$2:$E$2139,0))="","No","Yes"),"No")</f>
        <v/>
      </c>
    </row>
    <row r="1130">
      <c r="A1130" s="16" t="inlineStr">
        <is>
          <t>INE800H01010</t>
        </is>
      </c>
      <c r="B1130" s="16" t="inlineStr">
        <is>
          <t>OMAXE</t>
        </is>
      </c>
      <c r="C1130" s="16" t="inlineStr">
        <is>
          <t>Omaxe Ltd.</t>
        </is>
      </c>
      <c r="D1130" s="16" t="inlineStr">
        <is>
          <t>Realty</t>
        </is>
      </c>
      <c r="E1130" s="16" t="inlineStr">
        <is>
          <t>Realty</t>
        </is>
      </c>
      <c r="F1130" s="17" t="n">
        <v>2494.4</v>
      </c>
      <c r="G1130" s="16" t="inlineStr">
        <is>
          <t>OMAXE</t>
        </is>
      </c>
      <c r="H1130" s="16" t="inlineStr">
        <is>
          <t>532880</t>
        </is>
      </c>
      <c r="I1130" s="27">
        <f>IFERROR(IF(INDEX(Stocks!$G$2:$G$2139,MATCH(A1130,Stocks!$E$2:$E$2139,0))="","No","Yes"),"No")</f>
        <v/>
      </c>
    </row>
    <row r="1131">
      <c r="A1131" s="16" t="inlineStr">
        <is>
          <t>INE0OAF01028</t>
        </is>
      </c>
      <c r="B1131" s="16" t="inlineStr">
        <is>
          <t>JNKINDIA</t>
        </is>
      </c>
      <c r="C1131" s="16" t="inlineStr">
        <is>
          <t>JNK India Ltd.</t>
        </is>
      </c>
      <c r="D1131" s="16" t="inlineStr">
        <is>
          <t>Other Industrial Products</t>
        </is>
      </c>
      <c r="E1131" s="16" t="inlineStr">
        <is>
          <t>General Industrials</t>
        </is>
      </c>
      <c r="F1131" s="17" t="n">
        <v>2490.23</v>
      </c>
      <c r="G1131" s="16" t="inlineStr">
        <is>
          <t>JNKINDIA</t>
        </is>
      </c>
      <c r="H1131" s="16" t="inlineStr">
        <is>
          <t>544167</t>
        </is>
      </c>
      <c r="I1131" s="27">
        <f>IFERROR(IF(INDEX(Stocks!$G$2:$G$2139,MATCH(A1131,Stocks!$E$2:$E$2139,0))="","No","Yes"),"No")</f>
        <v/>
      </c>
    </row>
    <row r="1132">
      <c r="A1132" s="16" t="inlineStr">
        <is>
          <t>INE777F01014</t>
        </is>
      </c>
      <c r="B1132" s="16" t="inlineStr">
        <is>
          <t>EXICOM</t>
        </is>
      </c>
      <c r="C1132" s="16" t="inlineStr">
        <is>
          <t>Exicom Tele-Systems Ltd.</t>
        </is>
      </c>
      <c r="D1132" s="16" t="inlineStr">
        <is>
          <t>Power - Electric Utilities</t>
        </is>
      </c>
      <c r="E1132" s="16" t="inlineStr">
        <is>
          <t>Utilities</t>
        </is>
      </c>
      <c r="F1132" s="17" t="n">
        <v>2473.53</v>
      </c>
      <c r="G1132" s="16" t="inlineStr">
        <is>
          <t>EXICOM</t>
        </is>
      </c>
      <c r="H1132" s="16" t="inlineStr">
        <is>
          <t>544133</t>
        </is>
      </c>
      <c r="I1132" s="27">
        <f>IFERROR(IF(INDEX(Stocks!$G$2:$G$2139,MATCH(A1132,Stocks!$E$2:$E$2139,0))="","No","Yes"),"No")</f>
        <v/>
      </c>
    </row>
    <row r="1133">
      <c r="A1133" s="16" t="inlineStr">
        <is>
          <t>INE498Q01014</t>
        </is>
      </c>
      <c r="B1133" s="16" t="inlineStr">
        <is>
          <t>VINCOFE</t>
        </is>
      </c>
      <c r="C1133" s="16" t="inlineStr">
        <is>
          <t>Vintage Coffee And Beverages Ltd.</t>
        </is>
      </c>
      <c r="D1133" s="16" t="inlineStr">
        <is>
          <t>Commodity Trading  &amp; Distribution</t>
        </is>
      </c>
      <c r="E1133" s="16" t="inlineStr">
        <is>
          <t>Commercial Services &amp; Supplies</t>
        </is>
      </c>
      <c r="F1133" s="17" t="n">
        <v>2464.84</v>
      </c>
      <c r="G1133" s="16" t="inlineStr">
        <is>
          <t>VINCOFE</t>
        </is>
      </c>
      <c r="H1133" s="16" t="inlineStr">
        <is>
          <t>538920</t>
        </is>
      </c>
      <c r="I1133" s="27">
        <f>IFERROR(IF(INDEX(Stocks!$G$2:$G$2139,MATCH(A1133,Stocks!$E$2:$E$2139,0))="","No","Yes"),"No")</f>
        <v/>
      </c>
    </row>
    <row r="1134">
      <c r="A1134" s="16" t="inlineStr">
        <is>
          <t>INE351Y01019</t>
        </is>
      </c>
      <c r="B1134" s="16" t="inlineStr">
        <is>
          <t>BETA</t>
        </is>
      </c>
      <c r="C1134" s="16" t="inlineStr">
        <is>
          <t>Beta Drugs Ltd.</t>
        </is>
      </c>
      <c r="D1134" s="16" t="inlineStr">
        <is>
          <t>Pharmaceuticals</t>
        </is>
      </c>
      <c r="E1134" s="16" t="inlineStr">
        <is>
          <t>Pharmaceuticals &amp; Biotechnology</t>
        </is>
      </c>
      <c r="F1134" s="17" t="n">
        <v>2459.41</v>
      </c>
      <c r="G1134" s="16" t="inlineStr">
        <is>
          <t>BETA</t>
        </is>
      </c>
      <c r="H1134" s="16" t="inlineStr">
        <is>
          <t>531481</t>
        </is>
      </c>
      <c r="I1134" s="27">
        <f>IFERROR(IF(INDEX(Stocks!$G$2:$G$2139,MATCH(A1134,Stocks!$E$2:$E$2139,0))="","No","Yes"),"No")</f>
        <v/>
      </c>
    </row>
    <row r="1135">
      <c r="A1135" s="16" t="inlineStr">
        <is>
          <t>INE343B01030</t>
        </is>
      </c>
      <c r="B1135" s="16" t="inlineStr">
        <is>
          <t>RAJESHEXPO</t>
        </is>
      </c>
      <c r="C1135" s="16" t="inlineStr">
        <is>
          <t>Rajesh Exports Ltd.</t>
        </is>
      </c>
      <c r="D1135" s="16" t="inlineStr">
        <is>
          <t>Gems &amp; Jewellery</t>
        </is>
      </c>
      <c r="E1135" s="16" t="inlineStr">
        <is>
          <t>Textiles Apparels &amp; Accessories</t>
        </is>
      </c>
      <c r="F1135" s="17" t="n">
        <v>2451.25</v>
      </c>
      <c r="G1135" s="16" t="inlineStr">
        <is>
          <t>RAJESHEXPO</t>
        </is>
      </c>
      <c r="H1135" s="16" t="inlineStr">
        <is>
          <t>531500</t>
        </is>
      </c>
      <c r="I1135" s="27">
        <f>IFERROR(IF(INDEX(Stocks!$G$2:$G$2139,MATCH(A1135,Stocks!$E$2:$E$2139,0))="","No","Yes"),"No")</f>
        <v/>
      </c>
    </row>
    <row r="1136">
      <c r="A1136" s="16" t="inlineStr">
        <is>
          <t>INE0OUT01019</t>
        </is>
      </c>
      <c r="B1136" s="16" t="inlineStr">
        <is>
          <t>ORIANA</t>
        </is>
      </c>
      <c r="C1136" s="16" t="inlineStr">
        <is>
          <t>Oriana Power Ltd.</t>
        </is>
      </c>
      <c r="D1136" s="16" t="inlineStr">
        <is>
          <t>Green &amp; Renewable Energy</t>
        </is>
      </c>
      <c r="E1136" s="16" t="inlineStr">
        <is>
          <t>Utilities</t>
        </is>
      </c>
      <c r="F1136" s="17" t="n">
        <v>2449.89</v>
      </c>
      <c r="G1136" s="16" t="inlineStr">
        <is>
          <t>ORIANA</t>
        </is>
      </c>
      <c r="H1136" s="16" t="inlineStr"/>
      <c r="I1136" s="27">
        <f>IFERROR(IF(INDEX(Stocks!$G$2:$G$2139,MATCH(A1136,Stocks!$E$2:$E$2139,0))="","No","Yes"),"No")</f>
        <v/>
      </c>
    </row>
    <row r="1137">
      <c r="A1137" s="16" t="inlineStr">
        <is>
          <t>INE345A01011</t>
        </is>
      </c>
      <c r="B1137" s="16" t="inlineStr">
        <is>
          <t>HINDOILEXP</t>
        </is>
      </c>
      <c r="C1137" s="16" t="inlineStr">
        <is>
          <t>Hindustan Oil Exploration Company Ltd.</t>
        </is>
      </c>
      <c r="D1137" s="16" t="inlineStr">
        <is>
          <t>Exploration &amp; Production</t>
        </is>
      </c>
      <c r="E1137" s="16" t="inlineStr">
        <is>
          <t>Oil &amp; Gas</t>
        </is>
      </c>
      <c r="F1137" s="17" t="n">
        <v>2446.5</v>
      </c>
      <c r="G1137" s="16" t="inlineStr">
        <is>
          <t>HINDOILEXP</t>
        </is>
      </c>
      <c r="H1137" s="16" t="inlineStr">
        <is>
          <t>500186</t>
        </is>
      </c>
      <c r="I1137" s="27">
        <f>IFERROR(IF(INDEX(Stocks!$G$2:$G$2139,MATCH(A1137,Stocks!$E$2:$E$2139,0))="","No","Yes"),"No")</f>
        <v/>
      </c>
    </row>
    <row r="1138">
      <c r="A1138" s="16" t="inlineStr">
        <is>
          <t>INE751B01018</t>
        </is>
      </c>
      <c r="B1138" s="16" t="inlineStr">
        <is>
          <t>PIXTRANS</t>
        </is>
      </c>
      <c r="C1138" s="16" t="inlineStr">
        <is>
          <t>Pix Transmissions Ltd.</t>
        </is>
      </c>
      <c r="D1138" s="16" t="inlineStr">
        <is>
          <t>Auto Tyres &amp; Rubber Products</t>
        </is>
      </c>
      <c r="E1138" s="16" t="inlineStr">
        <is>
          <t>Automobiles &amp; Auto Components</t>
        </is>
      </c>
      <c r="F1138" s="17" t="n">
        <v>2441.23</v>
      </c>
      <c r="G1138" s="16" t="inlineStr">
        <is>
          <t>PIXTRANS</t>
        </is>
      </c>
      <c r="H1138" s="16" t="inlineStr">
        <is>
          <t>500333</t>
        </is>
      </c>
      <c r="I1138" s="27">
        <f>IFERROR(IF(INDEX(Stocks!$G$2:$G$2139,MATCH(A1138,Stocks!$E$2:$E$2139,0))="","No","Yes"),"No")</f>
        <v/>
      </c>
    </row>
    <row r="1139">
      <c r="A1139" s="16" t="inlineStr">
        <is>
          <t>INE836B01017</t>
        </is>
      </c>
      <c r="B1139" s="16" t="inlineStr">
        <is>
          <t>SATIN</t>
        </is>
      </c>
      <c r="C1139" s="16" t="inlineStr">
        <is>
          <t>Satin Creditcare Network Ltd.</t>
        </is>
      </c>
      <c r="D1139" s="16" t="inlineStr">
        <is>
          <t>Microfinance Institutions</t>
        </is>
      </c>
      <c r="E1139" s="16" t="inlineStr">
        <is>
          <t>Banking and Finance</t>
        </is>
      </c>
      <c r="F1139" s="17" t="n">
        <v>2438.65</v>
      </c>
      <c r="G1139" s="16" t="inlineStr">
        <is>
          <t>SATIN</t>
        </is>
      </c>
      <c r="H1139" s="16" t="inlineStr">
        <is>
          <t>539404</t>
        </is>
      </c>
      <c r="I1139" s="27">
        <f>IFERROR(IF(INDEX(Stocks!$G$2:$G$2139,MATCH(A1139,Stocks!$E$2:$E$2139,0))="","No","Yes"),"No")</f>
        <v/>
      </c>
    </row>
    <row r="1140">
      <c r="A1140" s="16" t="inlineStr">
        <is>
          <t>INE07K301024</t>
        </is>
      </c>
      <c r="B1140" s="16" t="inlineStr">
        <is>
          <t>ZAGGLE</t>
        </is>
      </c>
      <c r="C1140" s="16" t="inlineStr">
        <is>
          <t>Zaggle Prepaid Ocean Services Ltd.</t>
        </is>
      </c>
      <c r="D1140" s="16" t="inlineStr">
        <is>
          <t>IT Software Products</t>
        </is>
      </c>
      <c r="E1140" s="16" t="inlineStr">
        <is>
          <t>Software &amp; Services</t>
        </is>
      </c>
      <c r="F1140" s="17" t="n">
        <v>2430.6</v>
      </c>
      <c r="G1140" s="16" t="inlineStr">
        <is>
          <t>ZAGGLE</t>
        </is>
      </c>
      <c r="H1140" s="16" t="inlineStr">
        <is>
          <t>543985</t>
        </is>
      </c>
      <c r="I1140" s="27">
        <f>IFERROR(IF(INDEX(Stocks!$G$2:$G$2139,MATCH(A1140,Stocks!$E$2:$E$2139,0))="","No","Yes"),"No")</f>
        <v/>
      </c>
    </row>
    <row r="1141">
      <c r="A1141" s="16" t="inlineStr">
        <is>
          <t>INE858F01012</t>
        </is>
      </c>
      <c r="B1141" s="16" t="inlineStr">
        <is>
          <t>NITCO</t>
        </is>
      </c>
      <c r="C1141" s="16" t="inlineStr">
        <is>
          <t>Nitco Ltd.</t>
        </is>
      </c>
      <c r="D1141" s="16" t="inlineStr">
        <is>
          <t>Ceramics</t>
        </is>
      </c>
      <c r="E1141" s="16" t="inlineStr">
        <is>
          <t>Consumer Durables</t>
        </is>
      </c>
      <c r="F1141" s="17" t="n">
        <v>2427.26</v>
      </c>
      <c r="G1141" s="16" t="inlineStr">
        <is>
          <t>NITCO</t>
        </is>
      </c>
      <c r="H1141" s="16" t="inlineStr">
        <is>
          <t>532722</t>
        </is>
      </c>
      <c r="I1141" s="27">
        <f>IFERROR(IF(INDEX(Stocks!$G$2:$G$2139,MATCH(A1141,Stocks!$E$2:$E$2139,0))="","No","Yes"),"No")</f>
        <v/>
      </c>
    </row>
    <row r="1142">
      <c r="A1142" s="16" t="inlineStr">
        <is>
          <t>INE873D01024</t>
        </is>
      </c>
      <c r="B1142" s="16" t="inlineStr">
        <is>
          <t>INDOCO</t>
        </is>
      </c>
      <c r="C1142" s="16" t="inlineStr">
        <is>
          <t>Indoco Remedies Ltd.</t>
        </is>
      </c>
      <c r="D1142" s="16" t="inlineStr">
        <is>
          <t>Pharmaceuticals</t>
        </is>
      </c>
      <c r="E1142" s="16" t="inlineStr">
        <is>
          <t>Pharmaceuticals &amp; Biotechnology</t>
        </is>
      </c>
      <c r="F1142" s="17" t="n">
        <v>2423.06</v>
      </c>
      <c r="G1142" s="16" t="inlineStr">
        <is>
          <t>INDOCO</t>
        </is>
      </c>
      <c r="H1142" s="16" t="inlineStr">
        <is>
          <t>532612</t>
        </is>
      </c>
      <c r="I1142" s="27">
        <f>IFERROR(IF(INDEX(Stocks!$G$2:$G$2139,MATCH(A1142,Stocks!$E$2:$E$2139,0))="","No","Yes"),"No")</f>
        <v/>
      </c>
    </row>
    <row r="1143">
      <c r="A1143" s="16" t="inlineStr">
        <is>
          <t>INE757A01017</t>
        </is>
      </c>
      <c r="B1143" s="16" t="inlineStr">
        <is>
          <t>COSMOFIRST</t>
        </is>
      </c>
      <c r="C1143" s="16" t="inlineStr">
        <is>
          <t>Cosmo First Ltd.</t>
        </is>
      </c>
      <c r="D1143" s="16" t="inlineStr">
        <is>
          <t>Containers &amp; Packaging</t>
        </is>
      </c>
      <c r="E1143" s="16" t="inlineStr">
        <is>
          <t>Commercial Services &amp; Supplies</t>
        </is>
      </c>
      <c r="F1143" s="17" t="n">
        <v>2414.58</v>
      </c>
      <c r="G1143" s="16" t="inlineStr">
        <is>
          <t>COSMOFIRST</t>
        </is>
      </c>
      <c r="H1143" s="16" t="inlineStr">
        <is>
          <t>508814</t>
        </is>
      </c>
      <c r="I1143" s="27">
        <f>IFERROR(IF(INDEX(Stocks!$G$2:$G$2139,MATCH(A1143,Stocks!$E$2:$E$2139,0))="","No","Yes"),"No")</f>
        <v/>
      </c>
    </row>
    <row r="1144">
      <c r="A1144" s="16" t="inlineStr">
        <is>
          <t>INE874I01013</t>
        </is>
      </c>
      <c r="B1144" s="16" t="inlineStr">
        <is>
          <t>RAMKY</t>
        </is>
      </c>
      <c r="C1144" s="16" t="inlineStr">
        <is>
          <t>Ramky Infrastructure Ltd.</t>
        </is>
      </c>
      <c r="D1144" s="16" t="inlineStr">
        <is>
          <t>Construction &amp; Engineering</t>
        </is>
      </c>
      <c r="E1144" s="16" t="inlineStr">
        <is>
          <t>Cement and Construction</t>
        </is>
      </c>
      <c r="F1144" s="17" t="n">
        <v>2403.93</v>
      </c>
      <c r="G1144" s="16" t="inlineStr">
        <is>
          <t>RAMKY</t>
        </is>
      </c>
      <c r="H1144" s="16" t="inlineStr">
        <is>
          <t>533262</t>
        </is>
      </c>
      <c r="I1144" s="27">
        <f>IFERROR(IF(INDEX(Stocks!$G$2:$G$2139,MATCH(A1144,Stocks!$E$2:$E$2139,0))="","No","Yes"),"No")</f>
        <v/>
      </c>
    </row>
    <row r="1145">
      <c r="A1145" s="16" t="inlineStr">
        <is>
          <t>INE0RYC01010</t>
        </is>
      </c>
      <c r="B1145" s="16" t="inlineStr">
        <is>
          <t>STALLION</t>
        </is>
      </c>
      <c r="C1145" s="16" t="inlineStr">
        <is>
          <t>Stallion India Fluorochemicals Ltd.</t>
        </is>
      </c>
      <c r="D1145" s="16" t="inlineStr">
        <is>
          <t>Specialty Chemicals</t>
        </is>
      </c>
      <c r="E1145" s="16" t="inlineStr">
        <is>
          <t>Chemicals &amp; Petrochemicals</t>
        </is>
      </c>
      <c r="F1145" s="17" t="n">
        <v>2399.26</v>
      </c>
      <c r="G1145" s="16" t="inlineStr">
        <is>
          <t>STALLION</t>
        </is>
      </c>
      <c r="H1145" s="16" t="inlineStr">
        <is>
          <t>544342</t>
        </is>
      </c>
      <c r="I1145" s="27">
        <f>IFERROR(IF(INDEX(Stocks!$G$2:$G$2139,MATCH(A1145,Stocks!$E$2:$E$2139,0))="","No","Yes"),"No")</f>
        <v/>
      </c>
    </row>
    <row r="1146">
      <c r="A1146" s="16" t="inlineStr">
        <is>
          <t>INE988S01028</t>
        </is>
      </c>
      <c r="B1146" s="16" t="inlineStr">
        <is>
          <t>PARKHOTELS</t>
        </is>
      </c>
      <c r="C1146" s="16" t="inlineStr">
        <is>
          <t>Apeejay Surrendra Park Hotels Ltd.</t>
        </is>
      </c>
      <c r="D1146" s="16" t="inlineStr">
        <is>
          <t>Hotels</t>
        </is>
      </c>
      <c r="E1146" s="16" t="inlineStr">
        <is>
          <t>Hotels Restaurants &amp; Tourism</t>
        </is>
      </c>
      <c r="F1146" s="17" t="n">
        <v>2393.63</v>
      </c>
      <c r="G1146" s="16" t="inlineStr">
        <is>
          <t>PARKHOTELS</t>
        </is>
      </c>
      <c r="H1146" s="16" t="inlineStr">
        <is>
          <t>544111</t>
        </is>
      </c>
      <c r="I1146" s="27">
        <f>IFERROR(IF(INDEX(Stocks!$G$2:$G$2139,MATCH(A1146,Stocks!$E$2:$E$2139,0))="","No","Yes"),"No")</f>
        <v/>
      </c>
    </row>
    <row r="1147">
      <c r="A1147" s="16" t="inlineStr">
        <is>
          <t>INE415B01044</t>
        </is>
      </c>
      <c r="B1147" s="16" t="inlineStr">
        <is>
          <t>MARSONS</t>
        </is>
      </c>
      <c r="C1147" s="16" t="inlineStr">
        <is>
          <t>Marsons Ltd.</t>
        </is>
      </c>
      <c r="D1147" s="16" t="inlineStr">
        <is>
          <t>Heavy Electrical Equipment</t>
        </is>
      </c>
      <c r="E1147" s="16" t="inlineStr">
        <is>
          <t>General Industrials</t>
        </is>
      </c>
      <c r="F1147" s="17" t="n">
        <v>2366.38</v>
      </c>
      <c r="G1147" s="16" t="inlineStr"/>
      <c r="H1147" s="16" t="inlineStr">
        <is>
          <t>517467</t>
        </is>
      </c>
      <c r="I1147" s="27">
        <f>IFERROR(IF(INDEX(Stocks!$G$2:$G$2139,MATCH(A1147,Stocks!$E$2:$E$2139,0))="","No","Yes"),"No")</f>
        <v/>
      </c>
    </row>
    <row r="1148">
      <c r="A1148" s="16" t="inlineStr">
        <is>
          <t>INE934S01014</t>
        </is>
      </c>
      <c r="B1148" s="16" t="inlineStr">
        <is>
          <t>GNA</t>
        </is>
      </c>
      <c r="C1148" s="16" t="inlineStr">
        <is>
          <t>GNA Axles Ltd.</t>
        </is>
      </c>
      <c r="D1148" s="16" t="inlineStr">
        <is>
          <t>Auto Parts &amp; Equipment</t>
        </is>
      </c>
      <c r="E1148" s="16" t="inlineStr">
        <is>
          <t>Automobiles &amp; Auto Components</t>
        </is>
      </c>
      <c r="F1148" s="17" t="n">
        <v>2365.7</v>
      </c>
      <c r="G1148" s="16" t="inlineStr">
        <is>
          <t>GNA</t>
        </is>
      </c>
      <c r="H1148" s="16" t="inlineStr">
        <is>
          <t>540124</t>
        </is>
      </c>
      <c r="I1148" s="27">
        <f>IFERROR(IF(INDEX(Stocks!$G$2:$G$2139,MATCH(A1148,Stocks!$E$2:$E$2139,0))="","No","Yes"),"No")</f>
        <v/>
      </c>
    </row>
    <row r="1149">
      <c r="A1149" s="16" t="inlineStr">
        <is>
          <t>INE600Y01019</t>
        </is>
      </c>
      <c r="B1149" s="16" t="inlineStr">
        <is>
          <t>DYCL</t>
        </is>
      </c>
      <c r="C1149" s="16" t="inlineStr">
        <is>
          <t>Dynamic Cables Ltd.</t>
        </is>
      </c>
      <c r="D1149" s="16" t="inlineStr">
        <is>
          <t>Wires &amp; Cables</t>
        </is>
      </c>
      <c r="E1149" s="16" t="inlineStr">
        <is>
          <t>Consumer Durables</t>
        </is>
      </c>
      <c r="F1149" s="17" t="n">
        <v>2364.3</v>
      </c>
      <c r="G1149" s="16" t="inlineStr">
        <is>
          <t>DYCL</t>
        </is>
      </c>
      <c r="H1149" s="16" t="inlineStr">
        <is>
          <t>540795</t>
        </is>
      </c>
      <c r="I1149" s="27">
        <f>IFERROR(IF(INDEX(Stocks!$G$2:$G$2139,MATCH(A1149,Stocks!$E$2:$E$2139,0))="","No","Yes"),"No")</f>
        <v/>
      </c>
    </row>
    <row r="1150">
      <c r="A1150" s="16" t="inlineStr">
        <is>
          <t>INE0H5O01029</t>
        </is>
      </c>
      <c r="B1150" s="16" t="inlineStr">
        <is>
          <t>WINDLAS</t>
        </is>
      </c>
      <c r="C1150" s="16" t="inlineStr">
        <is>
          <t>Windlas Biotech Ltd.</t>
        </is>
      </c>
      <c r="D1150" s="16" t="inlineStr">
        <is>
          <t>Pharmaceuticals</t>
        </is>
      </c>
      <c r="E1150" s="16" t="inlineStr">
        <is>
          <t>Pharmaceuticals &amp; Biotechnology</t>
        </is>
      </c>
      <c r="F1150" s="17" t="n">
        <v>2364.02</v>
      </c>
      <c r="G1150" s="16" t="inlineStr">
        <is>
          <t>WINDLAS</t>
        </is>
      </c>
      <c r="H1150" s="16" t="inlineStr">
        <is>
          <t>543329</t>
        </is>
      </c>
      <c r="I1150" s="27">
        <f>IFERROR(IF(INDEX(Stocks!$G$2:$G$2139,MATCH(A1150,Stocks!$E$2:$E$2139,0))="","No","Yes"),"No")</f>
        <v/>
      </c>
    </row>
    <row r="1151">
      <c r="A1151" s="16" t="inlineStr">
        <is>
          <t>INE0ALI01010</t>
        </is>
      </c>
      <c r="B1151" s="16" t="inlineStr">
        <is>
          <t>ADVAIT</t>
        </is>
      </c>
      <c r="C1151" s="16" t="inlineStr">
        <is>
          <t>Advait Energy Transitions Ltd.</t>
        </is>
      </c>
      <c r="D1151" s="16" t="inlineStr">
        <is>
          <t>Wires &amp; Cables</t>
        </is>
      </c>
      <c r="E1151" s="16" t="inlineStr">
        <is>
          <t>Consumer Durables</t>
        </is>
      </c>
      <c r="F1151" s="17" t="n">
        <v>2362.77</v>
      </c>
      <c r="G1151" s="16" t="inlineStr">
        <is>
          <t>ADVAIT</t>
        </is>
      </c>
      <c r="H1151" s="16" t="inlineStr">
        <is>
          <t>543230</t>
        </is>
      </c>
      <c r="I1151" s="27">
        <f>IFERROR(IF(INDEX(Stocks!$G$2:$G$2139,MATCH(A1151,Stocks!$E$2:$E$2139,0))="","No","Yes"),"No")</f>
        <v/>
      </c>
    </row>
    <row r="1152">
      <c r="A1152" s="16" t="inlineStr">
        <is>
          <t>INE384A01010</t>
        </is>
      </c>
      <c r="B1152" s="16" t="inlineStr">
        <is>
          <t>RANEHOLDIN</t>
        </is>
      </c>
      <c r="C1152" s="16" t="inlineStr">
        <is>
          <t>Rane Holdings Ltd.</t>
        </is>
      </c>
      <c r="D1152" s="16" t="inlineStr">
        <is>
          <t>Holding Companies</t>
        </is>
      </c>
      <c r="E1152" s="16" t="inlineStr">
        <is>
          <t>Diversified</t>
        </is>
      </c>
      <c r="F1152" s="17" t="n">
        <v>2357.41</v>
      </c>
      <c r="G1152" s="16" t="inlineStr">
        <is>
          <t>RANEHOLDIN</t>
        </is>
      </c>
      <c r="H1152" s="16" t="inlineStr">
        <is>
          <t>505800</t>
        </is>
      </c>
      <c r="I1152" s="27">
        <f>IFERROR(IF(INDEX(Stocks!$G$2:$G$2139,MATCH(A1152,Stocks!$E$2:$E$2139,0))="","No","Yes"),"No")</f>
        <v/>
      </c>
    </row>
    <row r="1153">
      <c r="A1153" s="16" t="inlineStr">
        <is>
          <t>INE155D01018</t>
        </is>
      </c>
      <c r="B1153" s="16" t="inlineStr">
        <is>
          <t>SELECTRIC</t>
        </is>
      </c>
      <c r="C1153" s="16" t="inlineStr">
        <is>
          <t>Schneider Electric President Systems Ltd.</t>
        </is>
      </c>
      <c r="D1153" s="16" t="inlineStr">
        <is>
          <t>Industrial Machinery</t>
        </is>
      </c>
      <c r="E1153" s="16" t="inlineStr">
        <is>
          <t>General Industrials</t>
        </is>
      </c>
      <c r="F1153" s="17" t="n">
        <v>2350.13</v>
      </c>
      <c r="G1153" s="16" t="inlineStr"/>
      <c r="H1153" s="16" t="inlineStr">
        <is>
          <t>544786</t>
        </is>
      </c>
      <c r="I1153" s="27">
        <f>IFERROR(IF(INDEX(Stocks!$G$2:$G$2139,MATCH(A1153,Stocks!$E$2:$E$2139,0))="","No","Yes"),"No")</f>
        <v/>
      </c>
    </row>
    <row r="1154">
      <c r="A1154" s="16" t="inlineStr">
        <is>
          <t>INE893J01029</t>
        </is>
      </c>
      <c r="B1154" s="16" t="inlineStr">
        <is>
          <t>MOLDTKPAC</t>
        </is>
      </c>
      <c r="C1154" s="16" t="inlineStr">
        <is>
          <t>Mold-Tek Packaging Ltd.</t>
        </is>
      </c>
      <c r="D1154" s="16" t="inlineStr">
        <is>
          <t>Containers &amp; Packaging</t>
        </is>
      </c>
      <c r="E1154" s="16" t="inlineStr">
        <is>
          <t>Commercial Services &amp; Supplies</t>
        </is>
      </c>
      <c r="F1154" s="17" t="n">
        <v>2348.12</v>
      </c>
      <c r="G1154" s="16" t="inlineStr">
        <is>
          <t>MOLDTKPAC</t>
        </is>
      </c>
      <c r="H1154" s="16" t="inlineStr">
        <is>
          <t>533080</t>
        </is>
      </c>
      <c r="I1154" s="27">
        <f>IFERROR(IF(INDEX(Stocks!$G$2:$G$2139,MATCH(A1154,Stocks!$E$2:$E$2139,0))="","No","Yes"),"No")</f>
        <v/>
      </c>
    </row>
    <row r="1155">
      <c r="A1155" s="16" t="inlineStr">
        <is>
          <t>INE0MB501011</t>
        </is>
      </c>
      <c r="B1155" s="16" t="inlineStr">
        <is>
          <t>JGCHEM</t>
        </is>
      </c>
      <c r="C1155" s="16" t="inlineStr">
        <is>
          <t>J G Chemicals Ltd.</t>
        </is>
      </c>
      <c r="D1155" s="16" t="inlineStr">
        <is>
          <t>Specialty Chemicals</t>
        </is>
      </c>
      <c r="E1155" s="16" t="inlineStr">
        <is>
          <t>Chemicals &amp; Petrochemicals</t>
        </is>
      </c>
      <c r="F1155" s="17" t="n">
        <v>2343.92</v>
      </c>
      <c r="G1155" s="16" t="inlineStr">
        <is>
          <t>JGCHEM</t>
        </is>
      </c>
      <c r="H1155" s="16" t="inlineStr">
        <is>
          <t>544138</t>
        </is>
      </c>
      <c r="I1155" s="27">
        <f>IFERROR(IF(INDEX(Stocks!$G$2:$G$2139,MATCH(A1155,Stocks!$E$2:$E$2139,0))="","No","Yes"),"No")</f>
        <v/>
      </c>
    </row>
    <row r="1156">
      <c r="A1156" s="16" t="inlineStr">
        <is>
          <t>INE032A01023</t>
        </is>
      </c>
      <c r="B1156" s="16" t="inlineStr">
        <is>
          <t>BOMDYEING</t>
        </is>
      </c>
      <c r="C1156" s="16" t="inlineStr">
        <is>
          <t>Bombay Dyeing &amp; Manufacturing Company Ltd.</t>
        </is>
      </c>
      <c r="D1156" s="16" t="inlineStr">
        <is>
          <t>Textiles</t>
        </is>
      </c>
      <c r="E1156" s="16" t="inlineStr">
        <is>
          <t>Textiles Apparels &amp; Accessories</t>
        </is>
      </c>
      <c r="F1156" s="17" t="n">
        <v>2343.55</v>
      </c>
      <c r="G1156" s="16" t="inlineStr">
        <is>
          <t>BOMDYEING</t>
        </is>
      </c>
      <c r="H1156" s="16" t="inlineStr">
        <is>
          <t>500020</t>
        </is>
      </c>
      <c r="I1156" s="27">
        <f>IFERROR(IF(INDEX(Stocks!$G$2:$G$2139,MATCH(A1156,Stocks!$E$2:$E$2139,0))="","No","Yes"),"No")</f>
        <v/>
      </c>
    </row>
    <row r="1157">
      <c r="A1157" s="16" t="inlineStr">
        <is>
          <t>INE398A01010</t>
        </is>
      </c>
      <c r="B1157" s="16" t="inlineStr">
        <is>
          <t>VENKEYS</t>
        </is>
      </c>
      <c r="C1157" s="16" t="inlineStr">
        <is>
          <t>Venky's (India) Ltd.</t>
        </is>
      </c>
      <c r="D1157" s="16" t="inlineStr">
        <is>
          <t>Packaged Foods</t>
        </is>
      </c>
      <c r="E1157" s="16" t="inlineStr">
        <is>
          <t>FMCG</t>
        </is>
      </c>
      <c r="F1157" s="17" t="n">
        <v>2337.93</v>
      </c>
      <c r="G1157" s="16" t="inlineStr">
        <is>
          <t>VENKEYS</t>
        </is>
      </c>
      <c r="H1157" s="16" t="inlineStr">
        <is>
          <t>523261</t>
        </is>
      </c>
      <c r="I1157" s="27">
        <f>IFERROR(IF(INDEX(Stocks!$G$2:$G$2139,MATCH(A1157,Stocks!$E$2:$E$2139,0))="","No","Yes"),"No")</f>
        <v/>
      </c>
    </row>
    <row r="1158">
      <c r="A1158" s="16" t="inlineStr">
        <is>
          <t>INE0IQ001011</t>
        </is>
      </c>
      <c r="B1158" s="16" t="inlineStr">
        <is>
          <t>VERANDA</t>
        </is>
      </c>
      <c r="C1158" s="16" t="inlineStr">
        <is>
          <t>Veranda Learning Solutions Ltd.</t>
        </is>
      </c>
      <c r="D1158" s="16" t="inlineStr">
        <is>
          <t>IT Training Services</t>
        </is>
      </c>
      <c r="E1158" s="16" t="inlineStr">
        <is>
          <t>Software &amp; Services</t>
        </is>
      </c>
      <c r="F1158" s="17" t="n">
        <v>2337.76</v>
      </c>
      <c r="G1158" s="16" t="inlineStr">
        <is>
          <t>VERANDA</t>
        </is>
      </c>
      <c r="H1158" s="16" t="inlineStr">
        <is>
          <t>543514</t>
        </is>
      </c>
      <c r="I1158" s="27">
        <f>IFERROR(IF(INDEX(Stocks!$G$2:$G$2139,MATCH(A1158,Stocks!$E$2:$E$2139,0))="","No","Yes"),"No")</f>
        <v/>
      </c>
    </row>
    <row r="1159">
      <c r="A1159" s="16" t="inlineStr">
        <is>
          <t>INE922B01023</t>
        </is>
      </c>
      <c r="B1159" s="16" t="inlineStr">
        <is>
          <t>PANACEABIO</t>
        </is>
      </c>
      <c r="C1159" s="16" t="inlineStr">
        <is>
          <t>Panacea Biotec Ltd.</t>
        </is>
      </c>
      <c r="D1159" s="16" t="inlineStr">
        <is>
          <t>Biotechnology</t>
        </is>
      </c>
      <c r="E1159" s="16" t="inlineStr">
        <is>
          <t>Pharmaceuticals &amp; Biotechnology</t>
        </is>
      </c>
      <c r="F1159" s="17" t="n">
        <v>2335.18</v>
      </c>
      <c r="G1159" s="16" t="inlineStr">
        <is>
          <t>PANACEABIO</t>
        </is>
      </c>
      <c r="H1159" s="16" t="inlineStr">
        <is>
          <t>531349</t>
        </is>
      </c>
      <c r="I1159" s="27">
        <f>IFERROR(IF(INDEX(Stocks!$G$2:$G$2139,MATCH(A1159,Stocks!$E$2:$E$2139,0))="","No","Yes"),"No")</f>
        <v/>
      </c>
    </row>
    <row r="1160">
      <c r="A1160" s="16" t="inlineStr">
        <is>
          <t>INE036A01016</t>
        </is>
      </c>
      <c r="B1160" s="16" t="inlineStr">
        <is>
          <t>RELINFRA</t>
        </is>
      </c>
      <c r="C1160" s="16" t="inlineStr">
        <is>
          <t>Reliance Infrastructure Ltd.</t>
        </is>
      </c>
      <c r="D1160" s="16" t="inlineStr">
        <is>
          <t>Power - Electric Utilities</t>
        </is>
      </c>
      <c r="E1160" s="16" t="inlineStr">
        <is>
          <t>Utilities</t>
        </is>
      </c>
      <c r="F1160" s="17" t="n">
        <v>2330.02</v>
      </c>
      <c r="G1160" s="16" t="inlineStr">
        <is>
          <t>RELINFRA</t>
        </is>
      </c>
      <c r="H1160" s="16" t="inlineStr">
        <is>
          <t>500390</t>
        </is>
      </c>
      <c r="I1160" s="27">
        <f>IFERROR(IF(INDEX(Stocks!$G$2:$G$2139,MATCH(A1160,Stocks!$E$2:$E$2139,0))="","No","Yes"),"No")</f>
        <v/>
      </c>
    </row>
    <row r="1161">
      <c r="A1161" s="16" t="inlineStr">
        <is>
          <t>INE0MLS01022</t>
        </is>
      </c>
      <c r="B1161" s="16" t="inlineStr">
        <is>
          <t>EPACKPEB</t>
        </is>
      </c>
      <c r="C1161" s="16" t="inlineStr">
        <is>
          <t>EPack Prefab Technologies Ltd.</t>
        </is>
      </c>
      <c r="D1161" s="16" t="inlineStr">
        <is>
          <t>Construction &amp; Engineering</t>
        </is>
      </c>
      <c r="E1161" s="16" t="inlineStr">
        <is>
          <t>Cement and Construction</t>
        </is>
      </c>
      <c r="F1161" s="17" t="n">
        <v>2325.68</v>
      </c>
      <c r="G1161" s="16" t="inlineStr">
        <is>
          <t>EPACKPEB</t>
        </is>
      </c>
      <c r="H1161" s="16" t="inlineStr">
        <is>
          <t>544540</t>
        </is>
      </c>
      <c r="I1161" s="27">
        <f>IFERROR(IF(INDEX(Stocks!$G$2:$G$2139,MATCH(A1161,Stocks!$E$2:$E$2139,0))="","No","Yes"),"No")</f>
        <v/>
      </c>
    </row>
    <row r="1162">
      <c r="A1162" s="16" t="inlineStr">
        <is>
          <t>INE0QRL01017</t>
        </is>
      </c>
      <c r="B1162" s="16" t="inlineStr">
        <is>
          <t>ARKADE</t>
        </is>
      </c>
      <c r="C1162" s="16" t="inlineStr">
        <is>
          <t>Arkade Developers Ltd.</t>
        </is>
      </c>
      <c r="D1162" s="16" t="inlineStr">
        <is>
          <t>Realty</t>
        </is>
      </c>
      <c r="E1162" s="16" t="inlineStr">
        <is>
          <t>Realty</t>
        </is>
      </c>
      <c r="F1162" s="17" t="n">
        <v>2324.88</v>
      </c>
      <c r="G1162" s="16" t="inlineStr">
        <is>
          <t>ARKADE</t>
        </is>
      </c>
      <c r="H1162" s="16" t="inlineStr">
        <is>
          <t>544261</t>
        </is>
      </c>
      <c r="I1162" s="27">
        <f>IFERROR(IF(INDEX(Stocks!$G$2:$G$2139,MATCH(A1162,Stocks!$E$2:$E$2139,0))="","No","Yes"),"No")</f>
        <v/>
      </c>
    </row>
    <row r="1163">
      <c r="A1163" s="16" t="inlineStr">
        <is>
          <t>INE298G01035</t>
        </is>
      </c>
      <c r="B1163" s="16" t="inlineStr">
        <is>
          <t>AJMERA</t>
        </is>
      </c>
      <c r="C1163" s="16" t="inlineStr">
        <is>
          <t>Ajmera Realty &amp; Infra India Ltd.</t>
        </is>
      </c>
      <c r="D1163" s="16" t="inlineStr">
        <is>
          <t>Realty</t>
        </is>
      </c>
      <c r="E1163" s="16" t="inlineStr">
        <is>
          <t>Realty</t>
        </is>
      </c>
      <c r="F1163" s="17" t="n">
        <v>2317.46</v>
      </c>
      <c r="G1163" s="16" t="inlineStr">
        <is>
          <t>AJMERA</t>
        </is>
      </c>
      <c r="H1163" s="16" t="inlineStr">
        <is>
          <t>513349</t>
        </is>
      </c>
      <c r="I1163" s="27">
        <f>IFERROR(IF(INDEX(Stocks!$G$2:$G$2139,MATCH(A1163,Stocks!$E$2:$E$2139,0))="","No","Yes"),"No")</f>
        <v/>
      </c>
    </row>
    <row r="1164">
      <c r="A1164" s="16" t="inlineStr">
        <is>
          <t>INE461D01028</t>
        </is>
      </c>
      <c r="B1164" s="16" t="inlineStr">
        <is>
          <t>HLEGLAS</t>
        </is>
      </c>
      <c r="C1164" s="16" t="inlineStr">
        <is>
          <t>HLE Glascoat Ltd.</t>
        </is>
      </c>
      <c r="D1164" s="16" t="inlineStr">
        <is>
          <t>Industrial Machinery</t>
        </is>
      </c>
      <c r="E1164" s="16" t="inlineStr">
        <is>
          <t>General Industrials</t>
        </is>
      </c>
      <c r="F1164" s="17" t="n">
        <v>2317.36</v>
      </c>
      <c r="G1164" s="16" t="inlineStr">
        <is>
          <t>HLEGLAS</t>
        </is>
      </c>
      <c r="H1164" s="16" t="inlineStr">
        <is>
          <t>522215</t>
        </is>
      </c>
      <c r="I1164" s="27">
        <f>IFERROR(IF(INDEX(Stocks!$G$2:$G$2139,MATCH(A1164,Stocks!$E$2:$E$2139,0))="","No","Yes"),"No")</f>
        <v/>
      </c>
    </row>
    <row r="1165">
      <c r="A1165" s="16" t="inlineStr">
        <is>
          <t>INE128A01029</t>
        </is>
      </c>
      <c r="B1165" s="16" t="inlineStr">
        <is>
          <t>EVEREADY</t>
        </is>
      </c>
      <c r="C1165" s="16" t="inlineStr">
        <is>
          <t>Eveready Industries India Ltd.</t>
        </is>
      </c>
      <c r="D1165" s="16" t="inlineStr">
        <is>
          <t>Household Products</t>
        </is>
      </c>
      <c r="E1165" s="16" t="inlineStr">
        <is>
          <t>Consumer Durables</t>
        </is>
      </c>
      <c r="F1165" s="17" t="n">
        <v>2310.73</v>
      </c>
      <c r="G1165" s="16" t="inlineStr">
        <is>
          <t>EVEREADY</t>
        </is>
      </c>
      <c r="H1165" s="16" t="inlineStr">
        <is>
          <t>531508</t>
        </is>
      </c>
      <c r="I1165" s="27">
        <f>IFERROR(IF(INDEX(Stocks!$G$2:$G$2139,MATCH(A1165,Stocks!$E$2:$E$2139,0))="","No","Yes"),"No")</f>
        <v/>
      </c>
    </row>
    <row r="1166">
      <c r="A1166" s="16" t="inlineStr">
        <is>
          <t>INE007B01023</t>
        </is>
      </c>
      <c r="B1166" s="16" t="inlineStr">
        <is>
          <t>GEOJITFSL</t>
        </is>
      </c>
      <c r="C1166" s="16" t="inlineStr">
        <is>
          <t>Geojit Financial Services Ltd.</t>
        </is>
      </c>
      <c r="D1166" s="16" t="inlineStr">
        <is>
          <t>Capital Markets</t>
        </is>
      </c>
      <c r="E1166" s="16" t="inlineStr">
        <is>
          <t>Banking and Finance</t>
        </is>
      </c>
      <c r="F1166" s="17" t="n">
        <v>2308.1</v>
      </c>
      <c r="G1166" s="16" t="inlineStr">
        <is>
          <t>GEOJITFSL</t>
        </is>
      </c>
      <c r="H1166" s="16" t="inlineStr">
        <is>
          <t>532285</t>
        </is>
      </c>
      <c r="I1166" s="27">
        <f>IFERROR(IF(INDEX(Stocks!$G$2:$G$2139,MATCH(A1166,Stocks!$E$2:$E$2139,0))="","No","Yes"),"No")</f>
        <v/>
      </c>
    </row>
    <row r="1167">
      <c r="A1167" s="16" t="inlineStr">
        <is>
          <t>INE121N01019</t>
        </is>
      </c>
      <c r="B1167" s="16" t="inlineStr">
        <is>
          <t>THEJO</t>
        </is>
      </c>
      <c r="C1167" s="16" t="inlineStr">
        <is>
          <t>Thejo Engineering Ltd.</t>
        </is>
      </c>
      <c r="D1167" s="16" t="inlineStr">
        <is>
          <t>Industrial Machinery</t>
        </is>
      </c>
      <c r="E1167" s="16" t="inlineStr">
        <is>
          <t>General Industrials</t>
        </is>
      </c>
      <c r="F1167" s="17" t="n">
        <v>2305.55</v>
      </c>
      <c r="G1167" s="16" t="inlineStr">
        <is>
          <t>THEJO</t>
        </is>
      </c>
      <c r="H1167" s="16" t="inlineStr"/>
      <c r="I1167" s="27">
        <f>IFERROR(IF(INDEX(Stocks!$G$2:$G$2139,MATCH(A1167,Stocks!$E$2:$E$2139,0))="","No","Yes"),"No")</f>
        <v/>
      </c>
    </row>
    <row r="1168">
      <c r="A1168" s="16" t="inlineStr">
        <is>
          <t>INE246B01019</t>
        </is>
      </c>
      <c r="B1168" s="16" t="inlineStr">
        <is>
          <t>RAMCOSYS</t>
        </is>
      </c>
      <c r="C1168" s="16" t="inlineStr">
        <is>
          <t>Ramco Systems Ltd.</t>
        </is>
      </c>
      <c r="D1168" s="16" t="inlineStr">
        <is>
          <t>IT Consulting &amp; Software</t>
        </is>
      </c>
      <c r="E1168" s="16" t="inlineStr">
        <is>
          <t>Software &amp; Services</t>
        </is>
      </c>
      <c r="F1168" s="17" t="n">
        <v>2297.91</v>
      </c>
      <c r="G1168" s="16" t="inlineStr">
        <is>
          <t>RAMCOSYS</t>
        </is>
      </c>
      <c r="H1168" s="16" t="inlineStr">
        <is>
          <t>532370</t>
        </is>
      </c>
      <c r="I1168" s="27">
        <f>IFERROR(IF(INDEX(Stocks!$G$2:$G$2139,MATCH(A1168,Stocks!$E$2:$E$2139,0))="","No","Yes"),"No")</f>
        <v/>
      </c>
    </row>
    <row r="1169">
      <c r="A1169" s="16" t="inlineStr">
        <is>
          <t>INE0H9F01037</t>
        </is>
      </c>
      <c r="B1169" s="16" t="inlineStr">
        <is>
          <t>SAIPARENT</t>
        </is>
      </c>
      <c r="C1169" s="16" t="inlineStr">
        <is>
          <t>Sai Parenterals Ltd.</t>
        </is>
      </c>
      <c r="D1169" s="16" t="inlineStr">
        <is>
          <t>Pharmaceuticals</t>
        </is>
      </c>
      <c r="E1169" s="16" t="inlineStr">
        <is>
          <t>Pharmaceuticals &amp; Biotechnology</t>
        </is>
      </c>
      <c r="F1169" s="17" t="n">
        <v>2295.33</v>
      </c>
      <c r="G1169" s="16" t="inlineStr">
        <is>
          <t>SAIPARENT</t>
        </is>
      </c>
      <c r="H1169" s="16" t="inlineStr">
        <is>
          <t>544742</t>
        </is>
      </c>
      <c r="I1169" s="27">
        <f>IFERROR(IF(INDEX(Stocks!$G$2:$G$2139,MATCH(A1169,Stocks!$E$2:$E$2139,0))="","No","Yes"),"No")</f>
        <v/>
      </c>
    </row>
    <row r="1170">
      <c r="A1170" s="16" t="inlineStr">
        <is>
          <t>INE17QZ01016</t>
        </is>
      </c>
      <c r="B1170" s="16" t="inlineStr">
        <is>
          <t>KNACK</t>
        </is>
      </c>
      <c r="C1170" s="16" t="inlineStr">
        <is>
          <t>Knack Packaging Ltd.</t>
        </is>
      </c>
      <c r="D1170" s="16" t="inlineStr">
        <is>
          <t>Containers &amp; Packaging</t>
        </is>
      </c>
      <c r="E1170" s="16" t="inlineStr">
        <is>
          <t>Commercial Services &amp; Supplies</t>
        </is>
      </c>
      <c r="F1170" s="17" t="n">
        <v>2291.9</v>
      </c>
      <c r="G1170" s="16" t="inlineStr">
        <is>
          <t>KNACK</t>
        </is>
      </c>
      <c r="H1170" s="16" t="inlineStr">
        <is>
          <t>544814</t>
        </is>
      </c>
      <c r="I1170" s="27">
        <f>IFERROR(IF(INDEX(Stocks!$G$2:$G$2139,MATCH(A1170,Stocks!$E$2:$E$2139,0))="","No","Yes"),"No")</f>
        <v/>
      </c>
    </row>
    <row r="1171">
      <c r="A1171" s="16" t="inlineStr">
        <is>
          <t>INE932A01024</t>
        </is>
      </c>
      <c r="B1171" s="16" t="inlineStr">
        <is>
          <t>PENIND</t>
        </is>
      </c>
      <c r="C1171" s="16" t="inlineStr">
        <is>
          <t>Pennar Industries Ltd.</t>
        </is>
      </c>
      <c r="D1171" s="16" t="inlineStr">
        <is>
          <t>Iron &amp; Steel/Interm.Products</t>
        </is>
      </c>
      <c r="E1171" s="16" t="inlineStr">
        <is>
          <t>Metals &amp; Mining</t>
        </is>
      </c>
      <c r="F1171" s="17" t="n">
        <v>2288.15</v>
      </c>
      <c r="G1171" s="16" t="inlineStr">
        <is>
          <t>PENIND</t>
        </is>
      </c>
      <c r="H1171" s="16" t="inlineStr">
        <is>
          <t>513228</t>
        </is>
      </c>
      <c r="I1171" s="27">
        <f>IFERROR(IF(INDEX(Stocks!$G$2:$G$2139,MATCH(A1171,Stocks!$E$2:$E$2139,0))="","No","Yes"),"No")</f>
        <v/>
      </c>
    </row>
    <row r="1172">
      <c r="A1172" s="16" t="inlineStr">
        <is>
          <t>INE355A01028</t>
        </is>
      </c>
      <c r="B1172" s="16" t="inlineStr">
        <is>
          <t>SOMANYCERA</t>
        </is>
      </c>
      <c r="C1172" s="16" t="inlineStr">
        <is>
          <t>Somany Ceramics Ltd.</t>
        </is>
      </c>
      <c r="D1172" s="16" t="inlineStr">
        <is>
          <t>Ceramics</t>
        </is>
      </c>
      <c r="E1172" s="16" t="inlineStr">
        <is>
          <t>Consumer Durables</t>
        </is>
      </c>
      <c r="F1172" s="17" t="n">
        <v>2285.85</v>
      </c>
      <c r="G1172" s="16" t="inlineStr">
        <is>
          <t>SOMANYCERA</t>
        </is>
      </c>
      <c r="H1172" s="16" t="inlineStr">
        <is>
          <t>531548</t>
        </is>
      </c>
      <c r="I1172" s="27">
        <f>IFERROR(IF(INDEX(Stocks!$G$2:$G$2139,MATCH(A1172,Stocks!$E$2:$E$2139,0))="","No","Yes"),"No")</f>
        <v/>
      </c>
    </row>
    <row r="1173">
      <c r="A1173" s="16" t="inlineStr">
        <is>
          <t>INE551C01044</t>
        </is>
      </c>
      <c r="B1173" s="16" t="inlineStr">
        <is>
          <t>SHUKRAPHAR</t>
        </is>
      </c>
      <c r="C1173" s="16" t="inlineStr">
        <is>
          <t>Shukra Pharmaceuticals Ltd.</t>
        </is>
      </c>
      <c r="D1173" s="16" t="inlineStr">
        <is>
          <t>Pharmaceuticals</t>
        </is>
      </c>
      <c r="E1173" s="16" t="inlineStr">
        <is>
          <t>Pharmaceuticals &amp; Biotechnology</t>
        </is>
      </c>
      <c r="F1173" s="17" t="n">
        <v>2284.24</v>
      </c>
      <c r="G1173" s="16" t="inlineStr"/>
      <c r="H1173" s="16" t="inlineStr">
        <is>
          <t>524632</t>
        </is>
      </c>
      <c r="I1173" s="27">
        <f>IFERROR(IF(INDEX(Stocks!$G$2:$G$2139,MATCH(A1173,Stocks!$E$2:$E$2139,0))="","No","Yes"),"No")</f>
        <v/>
      </c>
    </row>
    <row r="1174">
      <c r="A1174" s="16" t="inlineStr">
        <is>
          <t>INE18UN01038</t>
        </is>
      </c>
      <c r="B1174" s="16" t="inlineStr">
        <is>
          <t>GAJA</t>
        </is>
      </c>
      <c r="C1174" s="16" t="inlineStr">
        <is>
          <t>Gaja Alternative Asset Management Ltd.</t>
        </is>
      </c>
      <c r="D1174" s="16" t="inlineStr">
        <is>
          <t>Asset Management Cos.</t>
        </is>
      </c>
      <c r="E1174" s="16" t="inlineStr">
        <is>
          <t>Banking and Finance</t>
        </is>
      </c>
      <c r="F1174" s="17" t="n">
        <v>2271.67</v>
      </c>
      <c r="G1174" s="16" t="inlineStr">
        <is>
          <t>GAJA</t>
        </is>
      </c>
      <c r="H1174" s="16" t="inlineStr">
        <is>
          <t>544885</t>
        </is>
      </c>
      <c r="I1174" s="27">
        <f>IFERROR(IF(INDEX(Stocks!$G$2:$G$2139,MATCH(A1174,Stocks!$E$2:$E$2139,0))="","No","Yes"),"No")</f>
        <v/>
      </c>
    </row>
    <row r="1175">
      <c r="A1175" s="16" t="inlineStr">
        <is>
          <t>INE029L01018</t>
        </is>
      </c>
      <c r="B1175" s="16" t="inlineStr">
        <is>
          <t>KICL</t>
        </is>
      </c>
      <c r="C1175" s="16" t="inlineStr">
        <is>
          <t>Kalyani Investment Company Ltd.</t>
        </is>
      </c>
      <c r="D1175" s="16" t="inlineStr">
        <is>
          <t>Investment Companies</t>
        </is>
      </c>
      <c r="E1175" s="16" t="inlineStr">
        <is>
          <t>Others</t>
        </is>
      </c>
      <c r="F1175" s="17" t="n">
        <v>2271.27</v>
      </c>
      <c r="G1175" s="16" t="inlineStr">
        <is>
          <t>KICL</t>
        </is>
      </c>
      <c r="H1175" s="16" t="inlineStr">
        <is>
          <t>533302</t>
        </is>
      </c>
      <c r="I1175" s="27">
        <f>IFERROR(IF(INDEX(Stocks!$G$2:$G$2139,MATCH(A1175,Stocks!$E$2:$E$2139,0))="","No","Yes"),"No")</f>
        <v/>
      </c>
    </row>
    <row r="1176">
      <c r="A1176" s="16" t="inlineStr">
        <is>
          <t>INE411B01019</t>
        </is>
      </c>
      <c r="B1176" s="16" t="inlineStr">
        <is>
          <t>VENUSREM</t>
        </is>
      </c>
      <c r="C1176" s="16" t="inlineStr">
        <is>
          <t>Venus Remedies Ltd.</t>
        </is>
      </c>
      <c r="D1176" s="16" t="inlineStr">
        <is>
          <t>Pharmaceuticals</t>
        </is>
      </c>
      <c r="E1176" s="16" t="inlineStr">
        <is>
          <t>Pharmaceuticals &amp; Biotechnology</t>
        </is>
      </c>
      <c r="F1176" s="17" t="n">
        <v>2264.9</v>
      </c>
      <c r="G1176" s="16" t="inlineStr">
        <is>
          <t>VENUSREM</t>
        </is>
      </c>
      <c r="H1176" s="16" t="inlineStr">
        <is>
          <t>526953</t>
        </is>
      </c>
      <c r="I1176" s="27">
        <f>IFERROR(IF(INDEX(Stocks!$G$2:$G$2139,MATCH(A1176,Stocks!$E$2:$E$2139,0))="","No","Yes"),"No")</f>
        <v/>
      </c>
    </row>
    <row r="1177">
      <c r="A1177" s="16" t="inlineStr">
        <is>
          <t>INE0P9J01013</t>
        </is>
      </c>
      <c r="B1177" s="16" t="inlineStr">
        <is>
          <t>AMIC</t>
        </is>
      </c>
      <c r="C1177" s="16" t="inlineStr">
        <is>
          <t>AMIC Forging Ltd.</t>
        </is>
      </c>
      <c r="D1177" s="16" t="inlineStr">
        <is>
          <t>Castings &amp; Forgings</t>
        </is>
      </c>
      <c r="E1177" s="16" t="inlineStr">
        <is>
          <t>General Industrials</t>
        </is>
      </c>
      <c r="F1177" s="17" t="n">
        <v>2258.1</v>
      </c>
      <c r="G1177" s="16" t="inlineStr"/>
      <c r="H1177" s="16" t="inlineStr">
        <is>
          <t>544037</t>
        </is>
      </c>
      <c r="I1177" s="27">
        <f>IFERROR(IF(INDEX(Stocks!$G$2:$G$2139,MATCH(A1177,Stocks!$E$2:$E$2139,0))="","No","Yes"),"No")</f>
        <v/>
      </c>
    </row>
    <row r="1178">
      <c r="A1178" s="16" t="inlineStr">
        <is>
          <t>INE622Q01027</t>
        </is>
      </c>
      <c r="B1178" s="16" t="inlineStr">
        <is>
          <t>MOBAVENUE</t>
        </is>
      </c>
      <c r="C1178" s="16" t="inlineStr">
        <is>
          <t>Mobavenue AI Tech Ltd.</t>
        </is>
      </c>
      <c r="D1178" s="16" t="inlineStr">
        <is>
          <t>Education</t>
        </is>
      </c>
      <c r="E1178" s="16" t="inlineStr">
        <is>
          <t>Diversified Consumer Services</t>
        </is>
      </c>
      <c r="F1178" s="17" t="n">
        <v>2257.12</v>
      </c>
      <c r="G1178" s="16" t="inlineStr"/>
      <c r="H1178" s="16" t="inlineStr">
        <is>
          <t>539682</t>
        </is>
      </c>
      <c r="I1178" s="27">
        <f>IFERROR(IF(INDEX(Stocks!$G$2:$G$2139,MATCH(A1178,Stocks!$E$2:$E$2139,0))="","No","Yes"),"No")</f>
        <v/>
      </c>
    </row>
    <row r="1179">
      <c r="A1179" s="16" t="inlineStr">
        <is>
          <t>INE732S01012</t>
        </is>
      </c>
      <c r="B1179" s="16" t="inlineStr">
        <is>
          <t>SAKAR</t>
        </is>
      </c>
      <c r="C1179" s="16" t="inlineStr">
        <is>
          <t>Sakar Healthcare Ltd.</t>
        </is>
      </c>
      <c r="D1179" s="16" t="inlineStr">
        <is>
          <t>Pharmaceuticals</t>
        </is>
      </c>
      <c r="E1179" s="16" t="inlineStr">
        <is>
          <t>Pharmaceuticals &amp; Biotechnology</t>
        </is>
      </c>
      <c r="F1179" s="17" t="n">
        <v>2255.92</v>
      </c>
      <c r="G1179" s="16" t="inlineStr">
        <is>
          <t>SAKAR</t>
        </is>
      </c>
      <c r="H1179" s="16" t="inlineStr"/>
      <c r="I1179" s="27">
        <f>IFERROR(IF(INDEX(Stocks!$G$2:$G$2139,MATCH(A1179,Stocks!$E$2:$E$2139,0))="","No","Yes"),"No")</f>
        <v/>
      </c>
    </row>
    <row r="1180">
      <c r="A1180" s="16" t="inlineStr">
        <is>
          <t>INE879K01018</t>
        </is>
      </c>
      <c r="B1180" s="16" t="inlineStr">
        <is>
          <t>KMCSHIL</t>
        </is>
      </c>
      <c r="C1180" s="16" t="inlineStr">
        <is>
          <t>KMC Speciality Hospitals (India) Ltd.</t>
        </is>
      </c>
      <c r="D1180" s="16" t="inlineStr">
        <is>
          <t>Healthcare Facilities</t>
        </is>
      </c>
      <c r="E1180" s="16" t="inlineStr">
        <is>
          <t>Healthcare</t>
        </is>
      </c>
      <c r="F1180" s="17" t="n">
        <v>2254.65</v>
      </c>
      <c r="G1180" s="16" t="inlineStr"/>
      <c r="H1180" s="16" t="inlineStr">
        <is>
          <t>524520</t>
        </is>
      </c>
      <c r="I1180" s="27">
        <f>IFERROR(IF(INDEX(Stocks!$G$2:$G$2139,MATCH(A1180,Stocks!$E$2:$E$2139,0))="","No","Yes"),"No")</f>
        <v/>
      </c>
    </row>
    <row r="1181">
      <c r="A1181" s="16" t="inlineStr">
        <is>
          <t>INE603A01013</t>
        </is>
      </c>
      <c r="B1181" s="16" t="inlineStr">
        <is>
          <t>PRAKASH</t>
        </is>
      </c>
      <c r="C1181" s="16" t="inlineStr">
        <is>
          <t>Prakash Industries Ltd.</t>
        </is>
      </c>
      <c r="D1181" s="16" t="inlineStr">
        <is>
          <t>Iron &amp; Steel/Interm.Products</t>
        </is>
      </c>
      <c r="E1181" s="16" t="inlineStr">
        <is>
          <t>Metals &amp; Mining</t>
        </is>
      </c>
      <c r="F1181" s="17" t="n">
        <v>2249.8</v>
      </c>
      <c r="G1181" s="16" t="inlineStr">
        <is>
          <t>PRAKASH</t>
        </is>
      </c>
      <c r="H1181" s="16" t="inlineStr">
        <is>
          <t>506022</t>
        </is>
      </c>
      <c r="I1181" s="27">
        <f>IFERROR(IF(INDEX(Stocks!$G$2:$G$2139,MATCH(A1181,Stocks!$E$2:$E$2139,0))="","No","Yes"),"No")</f>
        <v/>
      </c>
    </row>
    <row r="1182">
      <c r="A1182" s="16" t="inlineStr">
        <is>
          <t>INE03NU01014</t>
        </is>
      </c>
      <c r="B1182" s="16" t="inlineStr">
        <is>
          <t>BRIGHOTEL</t>
        </is>
      </c>
      <c r="C1182" s="16" t="inlineStr">
        <is>
          <t>Brigade Hotel Ventures Ltd.</t>
        </is>
      </c>
      <c r="D1182" s="16" t="inlineStr">
        <is>
          <t>Hotels</t>
        </is>
      </c>
      <c r="E1182" s="16" t="inlineStr">
        <is>
          <t>Hotels Restaurants &amp; Tourism</t>
        </is>
      </c>
      <c r="F1182" s="17" t="n">
        <v>2248.29</v>
      </c>
      <c r="G1182" s="16" t="inlineStr">
        <is>
          <t>BRIGHOTEL</t>
        </is>
      </c>
      <c r="H1182" s="16" t="inlineStr">
        <is>
          <t>544457</t>
        </is>
      </c>
      <c r="I1182" s="27">
        <f>IFERROR(IF(INDEX(Stocks!$G$2:$G$2139,MATCH(A1182,Stocks!$E$2:$E$2139,0))="","No","Yes"),"No")</f>
        <v/>
      </c>
    </row>
    <row r="1183">
      <c r="A1183" s="16" t="inlineStr">
        <is>
          <t>INE612J01015</t>
        </is>
      </c>
      <c r="B1183" s="16" t="inlineStr">
        <is>
          <t>REPCOHOME</t>
        </is>
      </c>
      <c r="C1183" s="16" t="inlineStr">
        <is>
          <t>Repco Home Finance Ltd.</t>
        </is>
      </c>
      <c r="D1183" s="16" t="inlineStr">
        <is>
          <t>Housing Finance</t>
        </is>
      </c>
      <c r="E1183" s="16" t="inlineStr">
        <is>
          <t>Banking and Finance</t>
        </is>
      </c>
      <c r="F1183" s="17" t="n">
        <v>2244.39</v>
      </c>
      <c r="G1183" s="16" t="inlineStr">
        <is>
          <t>REPCOHOME</t>
        </is>
      </c>
      <c r="H1183" s="16" t="inlineStr">
        <is>
          <t>535322</t>
        </is>
      </c>
      <c r="I1183" s="27">
        <f>IFERROR(IF(INDEX(Stocks!$G$2:$G$2139,MATCH(A1183,Stocks!$E$2:$E$2139,0))="","No","Yes"),"No")</f>
        <v/>
      </c>
    </row>
    <row r="1184">
      <c r="A1184" s="16" t="inlineStr">
        <is>
          <t>INE338F01015</t>
        </is>
      </c>
      <c r="B1184" s="16" t="inlineStr">
        <is>
          <t>KLBRENG-B</t>
        </is>
      </c>
      <c r="C1184" s="16" t="inlineStr">
        <is>
          <t>Kilburn Engineering Ltd.</t>
        </is>
      </c>
      <c r="D1184" s="16" t="inlineStr">
        <is>
          <t>Industrial Machinery</t>
        </is>
      </c>
      <c r="E1184" s="16" t="inlineStr">
        <is>
          <t>General Industrials</t>
        </is>
      </c>
      <c r="F1184" s="17" t="n">
        <v>2223.15</v>
      </c>
      <c r="G1184" s="16" t="inlineStr"/>
      <c r="H1184" s="16" t="inlineStr">
        <is>
          <t>522101</t>
        </is>
      </c>
      <c r="I1184" s="27">
        <f>IFERROR(IF(INDEX(Stocks!$G$2:$G$2139,MATCH(A1184,Stocks!$E$2:$E$2139,0))="","No","Yes"),"No")</f>
        <v/>
      </c>
    </row>
    <row r="1185">
      <c r="A1185" s="16" t="inlineStr">
        <is>
          <t>INE0N0J01014</t>
        </is>
      </c>
      <c r="B1185" s="16" t="inlineStr">
        <is>
          <t>CNCRD</t>
        </is>
      </c>
      <c r="C1185" s="16" t="inlineStr">
        <is>
          <t>Concord Control Systems Ltd.</t>
        </is>
      </c>
      <c r="D1185" s="16" t="inlineStr">
        <is>
          <t>Electronic Components</t>
        </is>
      </c>
      <c r="E1185" s="16" t="inlineStr">
        <is>
          <t>Commercial Services &amp; Supplies</t>
        </is>
      </c>
      <c r="F1185" s="17" t="n">
        <v>2222.04</v>
      </c>
      <c r="G1185" s="16" t="inlineStr"/>
      <c r="H1185" s="16" t="inlineStr">
        <is>
          <t>543619</t>
        </is>
      </c>
      <c r="I1185" s="27">
        <f>IFERROR(IF(INDEX(Stocks!$G$2:$G$2139,MATCH(A1185,Stocks!$E$2:$E$2139,0))="","No","Yes"),"No")</f>
        <v/>
      </c>
    </row>
    <row r="1186">
      <c r="A1186" s="16" t="inlineStr">
        <is>
          <t>INE0Q7P01013</t>
        </is>
      </c>
      <c r="B1186" s="16" t="inlineStr">
        <is>
          <t>KODYTECH</t>
        </is>
      </c>
      <c r="C1186" s="16" t="inlineStr">
        <is>
          <t>Kody Technolab Ltd.</t>
        </is>
      </c>
      <c r="D1186" s="16" t="inlineStr">
        <is>
          <t>IT Consulting &amp; Software</t>
        </is>
      </c>
      <c r="E1186" s="16" t="inlineStr">
        <is>
          <t>Software &amp; Services</t>
        </is>
      </c>
      <c r="F1186" s="17" t="n">
        <v>2219.22</v>
      </c>
      <c r="G1186" s="16" t="inlineStr">
        <is>
          <t>KODYTECH</t>
        </is>
      </c>
      <c r="H1186" s="16" t="inlineStr"/>
      <c r="I1186" s="27">
        <f>IFERROR(IF(INDEX(Stocks!$G$2:$G$2139,MATCH(A1186,Stocks!$E$2:$E$2139,0))="","No","Yes"),"No")</f>
        <v/>
      </c>
    </row>
    <row r="1187">
      <c r="A1187" s="16" t="inlineStr">
        <is>
          <t>INE175A01038</t>
        </is>
      </c>
      <c r="B1187" s="16" t="inlineStr">
        <is>
          <t>JISLJALEQS</t>
        </is>
      </c>
      <c r="C1187" s="16" t="inlineStr">
        <is>
          <t>Jain Irrigation Systems Ltd.</t>
        </is>
      </c>
      <c r="D1187" s="16" t="inlineStr">
        <is>
          <t>Plastic Products</t>
        </is>
      </c>
      <c r="E1187" s="16" t="inlineStr">
        <is>
          <t>General Industrials</t>
        </is>
      </c>
      <c r="F1187" s="17" t="n">
        <v>2206</v>
      </c>
      <c r="G1187" s="16" t="inlineStr">
        <is>
          <t>JISLJALEQS</t>
        </is>
      </c>
      <c r="H1187" s="16" t="inlineStr">
        <is>
          <t>500219</t>
        </is>
      </c>
      <c r="I1187" s="27">
        <f>IFERROR(IF(INDEX(Stocks!$G$2:$G$2139,MATCH(A1187,Stocks!$E$2:$E$2139,0))="","No","Yes"),"No")</f>
        <v/>
      </c>
    </row>
    <row r="1188">
      <c r="A1188" s="16" t="inlineStr">
        <is>
          <t>INE392H01026</t>
        </is>
      </c>
      <c r="B1188" s="16" t="inlineStr">
        <is>
          <t>KETOMOTORS</t>
        </is>
      </c>
      <c r="C1188" s="16" t="inlineStr">
        <is>
          <t>Keto Motors Ltd.</t>
        </is>
      </c>
      <c r="D1188" s="16" t="inlineStr">
        <is>
          <t>Department Stores</t>
        </is>
      </c>
      <c r="E1188" s="16" t="inlineStr">
        <is>
          <t>Retailing</t>
        </is>
      </c>
      <c r="F1188" s="17" t="n">
        <v>2189.46</v>
      </c>
      <c r="G1188" s="16" t="inlineStr"/>
      <c r="H1188" s="16" t="inlineStr">
        <is>
          <t>537392</t>
        </is>
      </c>
      <c r="I1188" s="27">
        <f>IFERROR(IF(INDEX(Stocks!$G$2:$G$2139,MATCH(A1188,Stocks!$E$2:$E$2139,0))="","No","Yes"),"No")</f>
        <v/>
      </c>
    </row>
    <row r="1189">
      <c r="A1189" s="16" t="inlineStr">
        <is>
          <t>INE07O001026</t>
        </is>
      </c>
      <c r="B1189" s="16" t="inlineStr">
        <is>
          <t>EASEMYTRIP</t>
        </is>
      </c>
      <c r="C1189" s="16" t="inlineStr">
        <is>
          <t>Easy Trip Planners Ltd.</t>
        </is>
      </c>
      <c r="D1189" s="16" t="inlineStr">
        <is>
          <t>Travel Support Services</t>
        </is>
      </c>
      <c r="E1189" s="16" t="inlineStr">
        <is>
          <t>Diversified Consumer Services</t>
        </is>
      </c>
      <c r="F1189" s="17" t="n">
        <v>2182.11</v>
      </c>
      <c r="G1189" s="16" t="inlineStr">
        <is>
          <t>EASEMYTRIP</t>
        </is>
      </c>
      <c r="H1189" s="16" t="inlineStr">
        <is>
          <t>543272</t>
        </is>
      </c>
      <c r="I1189" s="27">
        <f>IFERROR(IF(INDEX(Stocks!$G$2:$G$2139,MATCH(A1189,Stocks!$E$2:$E$2139,0))="","No","Yes"),"No")</f>
        <v/>
      </c>
    </row>
    <row r="1190">
      <c r="A1190" s="16" t="inlineStr">
        <is>
          <t>INE04AK01028</t>
        </is>
      </c>
      <c r="B1190" s="16" t="inlineStr">
        <is>
          <t>SBC</t>
        </is>
      </c>
      <c r="C1190" s="16" t="inlineStr">
        <is>
          <t>SBC Exports Ltd.</t>
        </is>
      </c>
      <c r="D1190" s="16" t="inlineStr">
        <is>
          <t>Other Apparels &amp; Accessories</t>
        </is>
      </c>
      <c r="E1190" s="16" t="inlineStr">
        <is>
          <t>Textiles Apparels &amp; Accessories</t>
        </is>
      </c>
      <c r="F1190" s="17" t="n">
        <v>2179.05</v>
      </c>
      <c r="G1190" s="16" t="inlineStr">
        <is>
          <t>SBC</t>
        </is>
      </c>
      <c r="H1190" s="16" t="inlineStr">
        <is>
          <t>542725</t>
        </is>
      </c>
      <c r="I1190" s="27">
        <f>IFERROR(IF(INDEX(Stocks!$G$2:$G$2139,MATCH(A1190,Stocks!$E$2:$E$2139,0))="","No","Yes"),"No")</f>
        <v/>
      </c>
    </row>
    <row r="1191">
      <c r="A1191" s="16" t="inlineStr">
        <is>
          <t>INE05CZ01011</t>
        </is>
      </c>
      <c r="B1191" s="16" t="inlineStr">
        <is>
          <t>RATNAVEER</t>
        </is>
      </c>
      <c r="C1191" s="16" t="inlineStr">
        <is>
          <t>Ratnaveer Precision Engineering Ltd.</t>
        </is>
      </c>
      <c r="D1191" s="16" t="inlineStr">
        <is>
          <t>Iron &amp; Steel Products</t>
        </is>
      </c>
      <c r="E1191" s="16" t="inlineStr">
        <is>
          <t>Metals &amp; Mining</t>
        </is>
      </c>
      <c r="F1191" s="17" t="n">
        <v>2176.73</v>
      </c>
      <c r="G1191" s="16" t="inlineStr">
        <is>
          <t>RATNAVEER</t>
        </is>
      </c>
      <c r="H1191" s="16" t="inlineStr">
        <is>
          <t>543978</t>
        </is>
      </c>
      <c r="I1191" s="27">
        <f>IFERROR(IF(INDEX(Stocks!$G$2:$G$2139,MATCH(A1191,Stocks!$E$2:$E$2139,0))="","No","Yes"),"No")</f>
        <v/>
      </c>
    </row>
    <row r="1192">
      <c r="A1192" s="16" t="inlineStr">
        <is>
          <t>INE0R4701017</t>
        </is>
      </c>
      <c r="B1192" s="16" t="inlineStr">
        <is>
          <t>ALPEXSOLAR</t>
        </is>
      </c>
      <c r="C1192" s="16" t="inlineStr">
        <is>
          <t>Alpex Solar Ltd.</t>
        </is>
      </c>
      <c r="D1192" s="16" t="inlineStr">
        <is>
          <t>Power - Electric Utilities</t>
        </is>
      </c>
      <c r="E1192" s="16" t="inlineStr">
        <is>
          <t>Utilities</t>
        </is>
      </c>
      <c r="F1192" s="17" t="n">
        <v>2176.42</v>
      </c>
      <c r="G1192" s="16" t="inlineStr">
        <is>
          <t>ALPEXSOLAR</t>
        </is>
      </c>
      <c r="H1192" s="16" t="inlineStr"/>
      <c r="I1192" s="27">
        <f>IFERROR(IF(INDEX(Stocks!$G$2:$G$2139,MATCH(A1192,Stocks!$E$2:$E$2139,0))="","No","Yes"),"No")</f>
        <v/>
      </c>
    </row>
    <row r="1193">
      <c r="A1193" s="16" t="inlineStr">
        <is>
          <t>INE109C01017</t>
        </is>
      </c>
      <c r="B1193" s="16" t="inlineStr">
        <is>
          <t>ARMANFIN</t>
        </is>
      </c>
      <c r="C1193" s="16" t="inlineStr">
        <is>
          <t>Arman Financial Services Ltd.</t>
        </is>
      </c>
      <c r="D1193" s="16" t="inlineStr">
        <is>
          <t>Finance (including NBFCs)</t>
        </is>
      </c>
      <c r="E1193" s="16" t="inlineStr">
        <is>
          <t>Banking and Finance</t>
        </is>
      </c>
      <c r="F1193" s="17" t="n">
        <v>2175.83</v>
      </c>
      <c r="G1193" s="16" t="inlineStr">
        <is>
          <t>ARMANFIN</t>
        </is>
      </c>
      <c r="H1193" s="16" t="inlineStr">
        <is>
          <t>531179</t>
        </is>
      </c>
      <c r="I1193" s="27">
        <f>IFERROR(IF(INDEX(Stocks!$G$2:$G$2139,MATCH(A1193,Stocks!$E$2:$E$2139,0))="","No","Yes"),"No")</f>
        <v/>
      </c>
    </row>
    <row r="1194">
      <c r="A1194" s="16" t="inlineStr">
        <is>
          <t>INE903A01025</t>
        </is>
      </c>
      <c r="B1194" s="16" t="inlineStr">
        <is>
          <t>JAYKAY</t>
        </is>
      </c>
      <c r="C1194" s="16" t="inlineStr">
        <is>
          <t>Jaykay Enterprises Ltd.</t>
        </is>
      </c>
      <c r="D1194" s="16" t="inlineStr">
        <is>
          <t>Aerospace &amp; Defence</t>
        </is>
      </c>
      <c r="E1194" s="16" t="inlineStr">
        <is>
          <t>General Industrials</t>
        </is>
      </c>
      <c r="F1194" s="17" t="n">
        <v>2160.46</v>
      </c>
      <c r="G1194" s="16" t="inlineStr">
        <is>
          <t>JAYKAY</t>
        </is>
      </c>
      <c r="H1194" s="16" t="inlineStr">
        <is>
          <t>500306</t>
        </is>
      </c>
      <c r="I1194" s="27">
        <f>IFERROR(IF(INDEX(Stocks!$G$2:$G$2139,MATCH(A1194,Stocks!$E$2:$E$2139,0))="","No","Yes"),"No")</f>
        <v/>
      </c>
    </row>
    <row r="1195">
      <c r="A1195" s="16" t="inlineStr">
        <is>
          <t>INE927X01018</t>
        </is>
      </c>
      <c r="B1195" s="16" t="inlineStr">
        <is>
          <t>ELCIDIN</t>
        </is>
      </c>
      <c r="C1195" s="16" t="inlineStr">
        <is>
          <t>Elcid Investments Ltd.</t>
        </is>
      </c>
      <c r="D1195" s="16" t="inlineStr">
        <is>
          <t>Misc. Commercial Services</t>
        </is>
      </c>
      <c r="E1195" s="16" t="inlineStr">
        <is>
          <t>Commercial Services &amp; Supplies</t>
        </is>
      </c>
      <c r="F1195" s="17" t="n">
        <v>2152</v>
      </c>
      <c r="G1195" s="16" t="inlineStr"/>
      <c r="H1195" s="16" t="inlineStr">
        <is>
          <t>503681</t>
        </is>
      </c>
      <c r="I1195" s="27">
        <f>IFERROR(IF(INDEX(Stocks!$G$2:$G$2139,MATCH(A1195,Stocks!$E$2:$E$2139,0))="","No","Yes"),"No")</f>
        <v/>
      </c>
    </row>
    <row r="1196">
      <c r="A1196" s="16" t="inlineStr">
        <is>
          <t>INE074B01023</t>
        </is>
      </c>
      <c r="B1196" s="16" t="inlineStr">
        <is>
          <t>PARACABLES</t>
        </is>
      </c>
      <c r="C1196" s="16" t="inlineStr">
        <is>
          <t>Paramount Communications Ltd.</t>
        </is>
      </c>
      <c r="D1196" s="16" t="inlineStr">
        <is>
          <t>Wires &amp; Cables</t>
        </is>
      </c>
      <c r="E1196" s="16" t="inlineStr">
        <is>
          <t>Consumer Durables</t>
        </is>
      </c>
      <c r="F1196" s="17" t="n">
        <v>2143.75</v>
      </c>
      <c r="G1196" s="16" t="inlineStr">
        <is>
          <t>PARACABLES</t>
        </is>
      </c>
      <c r="H1196" s="16" t="inlineStr">
        <is>
          <t>530555</t>
        </is>
      </c>
      <c r="I1196" s="27">
        <f>IFERROR(IF(INDEX(Stocks!$G$2:$G$2139,MATCH(A1196,Stocks!$E$2:$E$2139,0))="","No","Yes"),"No")</f>
        <v/>
      </c>
    </row>
    <row r="1197">
      <c r="A1197" s="16" t="inlineStr">
        <is>
          <t>INE059B01024</t>
        </is>
      </c>
      <c r="B1197" s="16" t="inlineStr">
        <is>
          <t>SIMPLEXINF</t>
        </is>
      </c>
      <c r="C1197" s="16" t="inlineStr">
        <is>
          <t>Simplex Infrastructures Ltd.</t>
        </is>
      </c>
      <c r="D1197" s="16" t="inlineStr">
        <is>
          <t>Construction &amp; Engineering</t>
        </is>
      </c>
      <c r="E1197" s="16" t="inlineStr">
        <is>
          <t>Cement and Construction</t>
        </is>
      </c>
      <c r="F1197" s="17" t="n">
        <v>2139.53</v>
      </c>
      <c r="G1197" s="16" t="inlineStr">
        <is>
          <t>SIMPLEXINF</t>
        </is>
      </c>
      <c r="H1197" s="16" t="inlineStr">
        <is>
          <t>523838</t>
        </is>
      </c>
      <c r="I1197" s="27">
        <f>IFERROR(IF(INDEX(Stocks!$G$2:$G$2139,MATCH(A1197,Stocks!$E$2:$E$2139,0))="","No","Yes"),"No")</f>
        <v/>
      </c>
    </row>
    <row r="1198">
      <c r="A1198" s="16" t="inlineStr">
        <is>
          <t>INE818W01011</t>
        </is>
      </c>
      <c r="B1198" s="16" t="inlineStr">
        <is>
          <t>ESAFSFB</t>
        </is>
      </c>
      <c r="C1198" s="16" t="inlineStr">
        <is>
          <t>ESAF Small Finance Bank Ltd.</t>
        </is>
      </c>
      <c r="D1198" s="16" t="inlineStr">
        <is>
          <t>Microfinance Institutions</t>
        </is>
      </c>
      <c r="E1198" s="16" t="inlineStr">
        <is>
          <t>Banking and Finance</t>
        </is>
      </c>
      <c r="F1198" s="17" t="n">
        <v>2137.21</v>
      </c>
      <c r="G1198" s="16" t="inlineStr">
        <is>
          <t>ESAFSFB</t>
        </is>
      </c>
      <c r="H1198" s="16" t="inlineStr">
        <is>
          <t>544020</t>
        </is>
      </c>
      <c r="I1198" s="27">
        <f>IFERROR(IF(INDEX(Stocks!$G$2:$G$2139,MATCH(A1198,Stocks!$E$2:$E$2139,0))="","No","Yes"),"No")</f>
        <v/>
      </c>
    </row>
    <row r="1199">
      <c r="A1199" s="16" t="inlineStr">
        <is>
          <t>INE625X01026</t>
        </is>
      </c>
      <c r="B1199" s="16" t="inlineStr">
        <is>
          <t>SILVERTUC</t>
        </is>
      </c>
      <c r="C1199" s="16" t="inlineStr">
        <is>
          <t>Silver Touch Technologies Ltd.</t>
        </is>
      </c>
      <c r="D1199" s="16" t="inlineStr">
        <is>
          <t>IT Consulting &amp; Software</t>
        </is>
      </c>
      <c r="E1199" s="16" t="inlineStr">
        <is>
          <t>Software &amp; Services</t>
        </is>
      </c>
      <c r="F1199" s="17" t="n">
        <v>2130.03</v>
      </c>
      <c r="G1199" s="16" t="inlineStr">
        <is>
          <t>SILVERTUC</t>
        </is>
      </c>
      <c r="H1199" s="16" t="inlineStr">
        <is>
          <t>543525</t>
        </is>
      </c>
      <c r="I1199" s="27">
        <f>IFERROR(IF(INDEX(Stocks!$G$2:$G$2139,MATCH(A1199,Stocks!$E$2:$E$2139,0))="","No","Yes"),"No")</f>
        <v/>
      </c>
    </row>
    <row r="1200">
      <c r="A1200" s="16" t="inlineStr">
        <is>
          <t>INE0OV601013</t>
        </is>
      </c>
      <c r="B1200" s="16" t="inlineStr">
        <is>
          <t>EMSLIMITED</t>
        </is>
      </c>
      <c r="C1200" s="16" t="inlineStr">
        <is>
          <t>EMS Ltd.</t>
        </is>
      </c>
      <c r="D1200" s="16" t="inlineStr">
        <is>
          <t>Waste Management</t>
        </is>
      </c>
      <c r="E1200" s="16" t="inlineStr">
        <is>
          <t>Utilities</t>
        </is>
      </c>
      <c r="F1200" s="17" t="n">
        <v>2127.11</v>
      </c>
      <c r="G1200" s="16" t="inlineStr">
        <is>
          <t>EMSLIMITED</t>
        </is>
      </c>
      <c r="H1200" s="16" t="inlineStr">
        <is>
          <t>543983</t>
        </is>
      </c>
      <c r="I1200" s="27">
        <f>IFERROR(IF(INDEX(Stocks!$G$2:$G$2139,MATCH(A1200,Stocks!$E$2:$E$2139,0))="","No","Yes"),"No")</f>
        <v/>
      </c>
    </row>
    <row r="1201">
      <c r="A1201" s="16" t="inlineStr">
        <is>
          <t>INE0KQN01018</t>
        </is>
      </c>
      <c r="B1201" s="16" t="inlineStr">
        <is>
          <t>BAJEL</t>
        </is>
      </c>
      <c r="C1201" s="16" t="inlineStr">
        <is>
          <t>Bajel Projects Ltd.</t>
        </is>
      </c>
      <c r="D1201" s="16" t="inlineStr">
        <is>
          <t>Heavy Electrical Equipment</t>
        </is>
      </c>
      <c r="E1201" s="16" t="inlineStr">
        <is>
          <t>General Industrials</t>
        </is>
      </c>
      <c r="F1201" s="17" t="n">
        <v>2126.74</v>
      </c>
      <c r="G1201" s="16" t="inlineStr">
        <is>
          <t>BAJEL</t>
        </is>
      </c>
      <c r="H1201" s="16" t="inlineStr">
        <is>
          <t>544042</t>
        </is>
      </c>
      <c r="I1201" s="27">
        <f>IFERROR(IF(INDEX(Stocks!$G$2:$G$2139,MATCH(A1201,Stocks!$E$2:$E$2139,0))="","No","Yes"),"No")</f>
        <v/>
      </c>
    </row>
    <row r="1202">
      <c r="A1202" s="16" t="inlineStr">
        <is>
          <t>INE586V01016</t>
        </is>
      </c>
      <c r="B1202" s="16" t="inlineStr">
        <is>
          <t>TCIEXP</t>
        </is>
      </c>
      <c r="C1202" s="16" t="inlineStr">
        <is>
          <t>TCI Express Ltd.</t>
        </is>
      </c>
      <c r="D1202" s="16" t="inlineStr">
        <is>
          <t>Warehousing &amp; Logistics</t>
        </is>
      </c>
      <c r="E1202" s="16" t="inlineStr">
        <is>
          <t>Transportation</t>
        </is>
      </c>
      <c r="F1202" s="17" t="n">
        <v>2125.58</v>
      </c>
      <c r="G1202" s="16" t="inlineStr">
        <is>
          <t>TCIEXP</t>
        </is>
      </c>
      <c r="H1202" s="16" t="inlineStr">
        <is>
          <t>540212</t>
        </is>
      </c>
      <c r="I1202" s="27">
        <f>IFERROR(IF(INDEX(Stocks!$G$2:$G$2139,MATCH(A1202,Stocks!$E$2:$E$2139,0))="","No","Yes"),"No")</f>
        <v/>
      </c>
    </row>
    <row r="1203">
      <c r="A1203" s="16" t="inlineStr">
        <is>
          <t>INE077F01035</t>
        </is>
      </c>
      <c r="B1203" s="16" t="inlineStr">
        <is>
          <t>GOCLCORP</t>
        </is>
      </c>
      <c r="C1203" s="16" t="inlineStr">
        <is>
          <t>GOCL Corporation Ltd.</t>
        </is>
      </c>
      <c r="D1203" s="16" t="inlineStr">
        <is>
          <t>Oil Marketing &amp; Distribution</t>
        </is>
      </c>
      <c r="E1203" s="16" t="inlineStr">
        <is>
          <t>Oil &amp; Gas</t>
        </is>
      </c>
      <c r="F1203" s="17" t="n">
        <v>2118.98</v>
      </c>
      <c r="G1203" s="16" t="inlineStr">
        <is>
          <t>GOCLCORP</t>
        </is>
      </c>
      <c r="H1203" s="16" t="inlineStr">
        <is>
          <t>506480</t>
        </is>
      </c>
      <c r="I1203" s="27">
        <f>IFERROR(IF(INDEX(Stocks!$G$2:$G$2139,MATCH(A1203,Stocks!$E$2:$E$2139,0))="","No","Yes"),"No")</f>
        <v/>
      </c>
    </row>
    <row r="1204">
      <c r="A1204" s="16" t="inlineStr">
        <is>
          <t>INE438E01032</t>
        </is>
      </c>
      <c r="B1204" s="16" t="inlineStr">
        <is>
          <t>SIKA</t>
        </is>
      </c>
      <c r="C1204" s="16" t="inlineStr">
        <is>
          <t>Sika Interplant Systems Ltd.</t>
        </is>
      </c>
      <c r="D1204" s="16" t="inlineStr">
        <is>
          <t>Aerospace &amp; Defence</t>
        </is>
      </c>
      <c r="E1204" s="16" t="inlineStr">
        <is>
          <t>General Industrials</t>
        </is>
      </c>
      <c r="F1204" s="17" t="n">
        <v>2118.71</v>
      </c>
      <c r="G1204" s="16" t="inlineStr"/>
      <c r="H1204" s="16" t="inlineStr">
        <is>
          <t>523606</t>
        </is>
      </c>
      <c r="I1204" s="27">
        <f>IFERROR(IF(INDEX(Stocks!$G$2:$G$2139,MATCH(A1204,Stocks!$E$2:$E$2139,0))="","No","Yes"),"No")</f>
        <v/>
      </c>
    </row>
    <row r="1205">
      <c r="A1205" s="16" t="inlineStr">
        <is>
          <t>INE559R01029</t>
        </is>
      </c>
      <c r="B1205" s="16" t="inlineStr">
        <is>
          <t>LANDMARK</t>
        </is>
      </c>
      <c r="C1205" s="16" t="inlineStr">
        <is>
          <t>Landmark Cars Ltd.</t>
        </is>
      </c>
      <c r="D1205" s="16" t="inlineStr">
        <is>
          <t>Specialty Retail</t>
        </is>
      </c>
      <c r="E1205" s="16" t="inlineStr">
        <is>
          <t>Retailing</t>
        </is>
      </c>
      <c r="F1205" s="17" t="n">
        <v>2115.33</v>
      </c>
      <c r="G1205" s="16" t="inlineStr">
        <is>
          <t>LANDMARK</t>
        </is>
      </c>
      <c r="H1205" s="16" t="inlineStr">
        <is>
          <t>543714</t>
        </is>
      </c>
      <c r="I1205" s="27">
        <f>IFERROR(IF(INDEX(Stocks!$G$2:$G$2139,MATCH(A1205,Stocks!$E$2:$E$2139,0))="","No","Yes"),"No")</f>
        <v/>
      </c>
    </row>
    <row r="1206">
      <c r="A1206" s="16" t="inlineStr">
        <is>
          <t>INE0VTV01012</t>
        </is>
      </c>
      <c r="B1206" s="16" t="inlineStr">
        <is>
          <t>ANONDITA</t>
        </is>
      </c>
      <c r="C1206" s="16" t="inlineStr">
        <is>
          <t>Anondita Medicare Ltd.</t>
        </is>
      </c>
      <c r="D1206" s="16" t="inlineStr">
        <is>
          <t>Personal Products</t>
        </is>
      </c>
      <c r="E1206" s="16" t="inlineStr">
        <is>
          <t>FMCG</t>
        </is>
      </c>
      <c r="F1206" s="17" t="n">
        <v>2113.12</v>
      </c>
      <c r="G1206" s="16" t="inlineStr">
        <is>
          <t>ANONDITA</t>
        </is>
      </c>
      <c r="H1206" s="16" t="inlineStr"/>
      <c r="I1206" s="27">
        <f>IFERROR(IF(INDEX(Stocks!$G$2:$G$2139,MATCH(A1206,Stocks!$E$2:$E$2139,0))="","No","Yes"),"No")</f>
        <v/>
      </c>
    </row>
    <row r="1207">
      <c r="A1207" s="16" t="inlineStr">
        <is>
          <t>INE00HZ01011</t>
        </is>
      </c>
      <c r="B1207" s="16" t="inlineStr">
        <is>
          <t>BNAGROCHEM</t>
        </is>
      </c>
      <c r="C1207" s="16" t="inlineStr">
        <is>
          <t>BN Agrochem Ltd.</t>
        </is>
      </c>
      <c r="D1207" s="16" t="inlineStr">
        <is>
          <t>Edible Oils</t>
        </is>
      </c>
      <c r="E1207" s="16" t="inlineStr">
        <is>
          <t>FMCG</t>
        </is>
      </c>
      <c r="F1207" s="17" t="n">
        <v>2112.38</v>
      </c>
      <c r="G1207" s="16" t="inlineStr"/>
      <c r="H1207" s="16" t="inlineStr">
        <is>
          <t>526125</t>
        </is>
      </c>
      <c r="I1207" s="27">
        <f>IFERROR(IF(INDEX(Stocks!$G$2:$G$2139,MATCH(A1207,Stocks!$E$2:$E$2139,0))="","No","Yes"),"No")</f>
        <v/>
      </c>
    </row>
    <row r="1208">
      <c r="A1208" s="16" t="inlineStr">
        <is>
          <t>INE451L01014</t>
        </is>
      </c>
      <c r="B1208" s="16" t="inlineStr">
        <is>
          <t>MAHASTEEL</t>
        </is>
      </c>
      <c r="C1208" s="16" t="inlineStr">
        <is>
          <t>Mahamaya Steel Industries Ltd.</t>
        </is>
      </c>
      <c r="D1208" s="16" t="inlineStr">
        <is>
          <t>Iron &amp; Steel Products</t>
        </is>
      </c>
      <c r="E1208" s="16" t="inlineStr">
        <is>
          <t>Metals &amp; Mining</t>
        </is>
      </c>
      <c r="F1208" s="17" t="n">
        <v>2107.71</v>
      </c>
      <c r="G1208" s="16" t="inlineStr">
        <is>
          <t>MAHASTEEL</t>
        </is>
      </c>
      <c r="H1208" s="16" t="inlineStr">
        <is>
          <t>513554</t>
        </is>
      </c>
      <c r="I1208" s="27">
        <f>IFERROR(IF(INDEX(Stocks!$G$2:$G$2139,MATCH(A1208,Stocks!$E$2:$E$2139,0))="","No","Yes"),"No")</f>
        <v/>
      </c>
    </row>
    <row r="1209">
      <c r="A1209" s="16" t="inlineStr">
        <is>
          <t>INE194R01017</t>
        </is>
      </c>
      <c r="B1209" s="16" t="inlineStr">
        <is>
          <t>FREDUN</t>
        </is>
      </c>
      <c r="C1209" s="16" t="inlineStr">
        <is>
          <t>Fredun Pharmaceuticals Ltd.</t>
        </is>
      </c>
      <c r="D1209" s="16" t="inlineStr">
        <is>
          <t>Pharmaceuticals</t>
        </is>
      </c>
      <c r="E1209" s="16" t="inlineStr">
        <is>
          <t>Pharmaceuticals &amp; Biotechnology</t>
        </is>
      </c>
      <c r="F1209" s="17" t="n">
        <v>2105.75</v>
      </c>
      <c r="G1209" s="16" t="inlineStr"/>
      <c r="H1209" s="16" t="inlineStr">
        <is>
          <t>539730</t>
        </is>
      </c>
      <c r="I1209" s="27">
        <f>IFERROR(IF(INDEX(Stocks!$G$2:$G$2139,MATCH(A1209,Stocks!$E$2:$E$2139,0))="","No","Yes"),"No")</f>
        <v/>
      </c>
    </row>
    <row r="1210">
      <c r="A1210" s="16" t="inlineStr">
        <is>
          <t>INE075D01018</t>
        </is>
      </c>
      <c r="B1210" s="16" t="inlineStr">
        <is>
          <t>GMBREW</t>
        </is>
      </c>
      <c r="C1210" s="16" t="inlineStr">
        <is>
          <t>G M Breweries Ltd.</t>
        </is>
      </c>
      <c r="D1210" s="16" t="inlineStr">
        <is>
          <t>Breweries &amp; Distilleries</t>
        </is>
      </c>
      <c r="E1210" s="16" t="inlineStr">
        <is>
          <t>Food, Beverages &amp; Tobacco</t>
        </is>
      </c>
      <c r="F1210" s="17" t="n">
        <v>2101.57</v>
      </c>
      <c r="G1210" s="16" t="inlineStr">
        <is>
          <t>GMBREW</t>
        </is>
      </c>
      <c r="H1210" s="16" t="inlineStr">
        <is>
          <t>507488</t>
        </is>
      </c>
      <c r="I1210" s="27">
        <f>IFERROR(IF(INDEX(Stocks!$G$2:$G$2139,MATCH(A1210,Stocks!$E$2:$E$2139,0))="","No","Yes"),"No")</f>
        <v/>
      </c>
    </row>
    <row r="1211">
      <c r="A1211" s="16" t="inlineStr">
        <is>
          <t>INE1B3L01017</t>
        </is>
      </c>
      <c r="B1211" s="16" t="inlineStr">
        <is>
          <t>SHRINGARMS</t>
        </is>
      </c>
      <c r="C1211" s="16" t="inlineStr">
        <is>
          <t>Shringar House of Mangalsutra Ltd.</t>
        </is>
      </c>
      <c r="D1211" s="16" t="inlineStr">
        <is>
          <t>Gems &amp; Jewellery</t>
        </is>
      </c>
      <c r="E1211" s="16" t="inlineStr">
        <is>
          <t>Textiles Apparels &amp; Accessories</t>
        </is>
      </c>
      <c r="F1211" s="17" t="n">
        <v>2101.35</v>
      </c>
      <c r="G1211" s="16" t="inlineStr">
        <is>
          <t>SHRINGARMS</t>
        </is>
      </c>
      <c r="H1211" s="16" t="inlineStr">
        <is>
          <t>544512</t>
        </is>
      </c>
      <c r="I1211" s="27">
        <f>IFERROR(IF(INDEX(Stocks!$G$2:$G$2139,MATCH(A1211,Stocks!$E$2:$E$2139,0))="","No","Yes"),"No")</f>
        <v/>
      </c>
    </row>
    <row r="1212">
      <c r="A1212" s="16" t="inlineStr">
        <is>
          <t>INE985S01024</t>
        </is>
      </c>
      <c r="B1212" s="16" t="inlineStr">
        <is>
          <t>TEAMLEASE</t>
        </is>
      </c>
      <c r="C1212" s="16" t="inlineStr">
        <is>
          <t>TeamLease Services Ltd.</t>
        </is>
      </c>
      <c r="D1212" s="16" t="inlineStr">
        <is>
          <t>Misc. Commercial Services</t>
        </is>
      </c>
      <c r="E1212" s="16" t="inlineStr">
        <is>
          <t>Commercial Services &amp; Supplies</t>
        </is>
      </c>
      <c r="F1212" s="17" t="n">
        <v>2097.12</v>
      </c>
      <c r="G1212" s="16" t="inlineStr">
        <is>
          <t>TEAMLEASE</t>
        </is>
      </c>
      <c r="H1212" s="16" t="inlineStr">
        <is>
          <t>539658</t>
        </is>
      </c>
      <c r="I1212" s="27">
        <f>IFERROR(IF(INDEX(Stocks!$G$2:$G$2139,MATCH(A1212,Stocks!$E$2:$E$2139,0))="","No","Yes"),"No")</f>
        <v/>
      </c>
    </row>
    <row r="1213">
      <c r="A1213" s="16" t="inlineStr">
        <is>
          <t>INE805C01028</t>
        </is>
      </c>
      <c r="B1213" s="16" t="inlineStr">
        <is>
          <t>KCP</t>
        </is>
      </c>
      <c r="C1213" s="16" t="inlineStr">
        <is>
          <t>KCP Ltd.</t>
        </is>
      </c>
      <c r="D1213" s="16" t="inlineStr">
        <is>
          <t>Cement &amp; Cement Products</t>
        </is>
      </c>
      <c r="E1213" s="16" t="inlineStr">
        <is>
          <t>Cement and Construction</t>
        </is>
      </c>
      <c r="F1213" s="17" t="n">
        <v>2093.42</v>
      </c>
      <c r="G1213" s="16" t="inlineStr">
        <is>
          <t>KCP</t>
        </is>
      </c>
      <c r="H1213" s="16" t="inlineStr">
        <is>
          <t>590066</t>
        </is>
      </c>
      <c r="I1213" s="27">
        <f>IFERROR(IF(INDEX(Stocks!$G$2:$G$2139,MATCH(A1213,Stocks!$E$2:$E$2139,0))="","No","Yes"),"No")</f>
        <v/>
      </c>
    </row>
    <row r="1214">
      <c r="A1214" s="16" t="inlineStr">
        <is>
          <t>INE500L01026</t>
        </is>
      </c>
      <c r="B1214" s="16" t="inlineStr">
        <is>
          <t>SHK</t>
        </is>
      </c>
      <c r="C1214" s="16" t="inlineStr">
        <is>
          <t>S H Kelkar &amp; Company Ltd.</t>
        </is>
      </c>
      <c r="D1214" s="16" t="inlineStr">
        <is>
          <t>Personal Products</t>
        </is>
      </c>
      <c r="E1214" s="16" t="inlineStr">
        <is>
          <t>FMCG</t>
        </is>
      </c>
      <c r="F1214" s="17" t="n">
        <v>2088.35</v>
      </c>
      <c r="G1214" s="16" t="inlineStr">
        <is>
          <t>SHK</t>
        </is>
      </c>
      <c r="H1214" s="16" t="inlineStr">
        <is>
          <t>539450</t>
        </is>
      </c>
      <c r="I1214" s="27">
        <f>IFERROR(IF(INDEX(Stocks!$G$2:$G$2139,MATCH(A1214,Stocks!$E$2:$E$2139,0))="","No","Yes"),"No")</f>
        <v/>
      </c>
    </row>
    <row r="1215">
      <c r="A1215" s="16" t="inlineStr">
        <is>
          <t>INE586B01026</t>
        </is>
      </c>
      <c r="B1215" s="16" t="inlineStr">
        <is>
          <t>TAJGVK</t>
        </is>
      </c>
      <c r="C1215" s="16" t="inlineStr">
        <is>
          <t>Taj GVK Hotels &amp; Resorts Ltd.</t>
        </is>
      </c>
      <c r="D1215" s="16" t="inlineStr">
        <is>
          <t>Hotels</t>
        </is>
      </c>
      <c r="E1215" s="16" t="inlineStr">
        <is>
          <t>Hotels Restaurants &amp; Tourism</t>
        </is>
      </c>
      <c r="F1215" s="17" t="n">
        <v>2085.14</v>
      </c>
      <c r="G1215" s="16" t="inlineStr">
        <is>
          <t>TAJGVK</t>
        </is>
      </c>
      <c r="H1215" s="16" t="inlineStr">
        <is>
          <t>532390</t>
        </is>
      </c>
      <c r="I1215" s="27">
        <f>IFERROR(IF(INDEX(Stocks!$G$2:$G$2139,MATCH(A1215,Stocks!$E$2:$E$2139,0))="","No","Yes"),"No")</f>
        <v/>
      </c>
    </row>
    <row r="1216">
      <c r="A1216" s="16" t="inlineStr">
        <is>
          <t>INE809Q01020</t>
        </is>
      </c>
      <c r="B1216" s="16" t="inlineStr">
        <is>
          <t>GHVINFRA</t>
        </is>
      </c>
      <c r="C1216" s="16" t="inlineStr">
        <is>
          <t>GHV Infra Projects Ltd.</t>
        </is>
      </c>
      <c r="D1216" s="16" t="inlineStr">
        <is>
          <t>IT Consulting &amp; Software</t>
        </is>
      </c>
      <c r="E1216" s="16" t="inlineStr">
        <is>
          <t>Software &amp; Services</t>
        </is>
      </c>
      <c r="F1216" s="17" t="n">
        <v>2082.61</v>
      </c>
      <c r="G1216" s="16" t="inlineStr"/>
      <c r="H1216" s="16" t="inlineStr">
        <is>
          <t>505504</t>
        </is>
      </c>
      <c r="I1216" s="27">
        <f>IFERROR(IF(INDEX(Stocks!$G$2:$G$2139,MATCH(A1216,Stocks!$E$2:$E$2139,0))="","No","Yes"),"No")</f>
        <v/>
      </c>
    </row>
    <row r="1217">
      <c r="A1217" s="16" t="inlineStr">
        <is>
          <t>INE045B01015</t>
        </is>
      </c>
      <c r="B1217" s="16" t="inlineStr">
        <is>
          <t>NELCO</t>
        </is>
      </c>
      <c r="C1217" s="16" t="inlineStr">
        <is>
          <t>Nelco Ltd.</t>
        </is>
      </c>
      <c r="D1217" s="16" t="inlineStr">
        <is>
          <t>IT Networking Equipment</t>
        </is>
      </c>
      <c r="E1217" s="16" t="inlineStr">
        <is>
          <t>Hardware Technology &amp; Equipment</t>
        </is>
      </c>
      <c r="F1217" s="17" t="n">
        <v>2079.33</v>
      </c>
      <c r="G1217" s="16" t="inlineStr">
        <is>
          <t>NELCO</t>
        </is>
      </c>
      <c r="H1217" s="16" t="inlineStr">
        <is>
          <t>504112</t>
        </is>
      </c>
      <c r="I1217" s="27">
        <f>IFERROR(IF(INDEX(Stocks!$G$2:$G$2139,MATCH(A1217,Stocks!$E$2:$E$2139,0))="","No","Yes"),"No")</f>
        <v/>
      </c>
    </row>
    <row r="1218">
      <c r="A1218" s="16" t="inlineStr">
        <is>
          <t>INE0U4101014</t>
        </is>
      </c>
      <c r="B1218" s="16" t="inlineStr">
        <is>
          <t>BLUSPRING</t>
        </is>
      </c>
      <c r="C1218" s="16" t="inlineStr">
        <is>
          <t>Bluspring Enterprises Ltd.</t>
        </is>
      </c>
      <c r="D1218" s="16" t="inlineStr">
        <is>
          <t>Misc. Commercial Services</t>
        </is>
      </c>
      <c r="E1218" s="16" t="inlineStr">
        <is>
          <t>Commercial Services &amp; Supplies</t>
        </is>
      </c>
      <c r="F1218" s="17" t="n">
        <v>2077.48</v>
      </c>
      <c r="G1218" s="16" t="inlineStr">
        <is>
          <t>BLUSPRING</t>
        </is>
      </c>
      <c r="H1218" s="16" t="inlineStr">
        <is>
          <t>544414</t>
        </is>
      </c>
      <c r="I1218" s="27">
        <f>IFERROR(IF(INDEX(Stocks!$G$2:$G$2139,MATCH(A1218,Stocks!$E$2:$E$2139,0))="","No","Yes"),"No")</f>
        <v/>
      </c>
    </row>
    <row r="1219">
      <c r="A1219" s="16" t="inlineStr">
        <is>
          <t>INE149O01018</t>
        </is>
      </c>
      <c r="B1219" s="16" t="inlineStr">
        <is>
          <t>NIBE</t>
        </is>
      </c>
      <c r="C1219" s="16" t="inlineStr">
        <is>
          <t>NIBE Ltd.</t>
        </is>
      </c>
      <c r="D1219" s="16" t="inlineStr">
        <is>
          <t>Aerospace &amp; Defence</t>
        </is>
      </c>
      <c r="E1219" s="16" t="inlineStr">
        <is>
          <t>General Industrials</t>
        </is>
      </c>
      <c r="F1219" s="17" t="n">
        <v>2071.97</v>
      </c>
      <c r="G1219" s="16" t="inlineStr">
        <is>
          <t>NIBE</t>
        </is>
      </c>
      <c r="H1219" s="16" t="inlineStr">
        <is>
          <t>535136</t>
        </is>
      </c>
      <c r="I1219" s="27">
        <f>IFERROR(IF(INDEX(Stocks!$G$2:$G$2139,MATCH(A1219,Stocks!$E$2:$E$2139,0))="","No","Yes"),"No")</f>
        <v/>
      </c>
    </row>
    <row r="1220">
      <c r="A1220" s="16" t="inlineStr">
        <is>
          <t>INE219W01012</t>
        </is>
      </c>
      <c r="B1220" s="16" t="inlineStr">
        <is>
          <t>MODINSU</t>
        </is>
      </c>
      <c r="C1220" s="16" t="inlineStr">
        <is>
          <t>Modern Insulators Ltd.</t>
        </is>
      </c>
      <c r="D1220" s="16" t="inlineStr">
        <is>
          <t>Other Electrical Equipment/Products</t>
        </is>
      </c>
      <c r="E1220" s="16" t="inlineStr">
        <is>
          <t>Consumer Durables</t>
        </is>
      </c>
      <c r="F1220" s="17" t="n">
        <v>2063.49</v>
      </c>
      <c r="G1220" s="16" t="inlineStr"/>
      <c r="H1220" s="16" t="inlineStr">
        <is>
          <t>515008</t>
        </is>
      </c>
      <c r="I1220" s="27">
        <f>IFERROR(IF(INDEX(Stocks!$G$2:$G$2139,MATCH(A1220,Stocks!$E$2:$E$2139,0))="","No","Yes"),"No")</f>
        <v/>
      </c>
    </row>
    <row r="1221">
      <c r="A1221" s="16" t="inlineStr">
        <is>
          <t>INE634A01018</t>
        </is>
      </c>
      <c r="B1221" s="16" t="inlineStr">
        <is>
          <t>HONDAPOWER</t>
        </is>
      </c>
      <c r="C1221" s="16" t="inlineStr">
        <is>
          <t>Honda India Power Products Ltd.</t>
        </is>
      </c>
      <c r="D1221" s="16" t="inlineStr">
        <is>
          <t>Industrial Machinery</t>
        </is>
      </c>
      <c r="E1221" s="16" t="inlineStr">
        <is>
          <t>General Industrials</t>
        </is>
      </c>
      <c r="F1221" s="17" t="n">
        <v>2053.57</v>
      </c>
      <c r="G1221" s="16" t="inlineStr">
        <is>
          <t>HONDAPOWER</t>
        </is>
      </c>
      <c r="H1221" s="16" t="inlineStr">
        <is>
          <t>522064</t>
        </is>
      </c>
      <c r="I1221" s="27">
        <f>IFERROR(IF(INDEX(Stocks!$G$2:$G$2139,MATCH(A1221,Stocks!$E$2:$E$2139,0))="","No","Yes"),"No")</f>
        <v/>
      </c>
    </row>
    <row r="1222">
      <c r="A1222" s="16" t="inlineStr">
        <is>
          <t>INE667G01023</t>
        </is>
      </c>
      <c r="B1222" s="16" t="inlineStr">
        <is>
          <t>SAKSOFT</t>
        </is>
      </c>
      <c r="C1222" s="16" t="inlineStr">
        <is>
          <t>Saksoft Ltd.</t>
        </is>
      </c>
      <c r="D1222" s="16" t="inlineStr">
        <is>
          <t>IT Consulting &amp; Software</t>
        </is>
      </c>
      <c r="E1222" s="16" t="inlineStr">
        <is>
          <t>Software &amp; Services</t>
        </is>
      </c>
      <c r="F1222" s="17" t="n">
        <v>2048.98</v>
      </c>
      <c r="G1222" s="16" t="inlineStr">
        <is>
          <t>SAKSOFT</t>
        </is>
      </c>
      <c r="H1222" s="16" t="inlineStr">
        <is>
          <t>590051</t>
        </is>
      </c>
      <c r="I1222" s="27">
        <f>IFERROR(IF(INDEX(Stocks!$G$2:$G$2139,MATCH(A1222,Stocks!$E$2:$E$2139,0))="","No","Yes"),"No")</f>
        <v/>
      </c>
    </row>
    <row r="1223">
      <c r="A1223" s="16" t="inlineStr">
        <is>
          <t>INE782E01017</t>
        </is>
      </c>
      <c r="B1223" s="16" t="inlineStr">
        <is>
          <t>HESTERBIO</t>
        </is>
      </c>
      <c r="C1223" s="16" t="inlineStr">
        <is>
          <t>Hester Biosciences Ltd.</t>
        </is>
      </c>
      <c r="D1223" s="16" t="inlineStr">
        <is>
          <t>Pharmaceuticals</t>
        </is>
      </c>
      <c r="E1223" s="16" t="inlineStr">
        <is>
          <t>Pharmaceuticals &amp; Biotechnology</t>
        </is>
      </c>
      <c r="F1223" s="17" t="n">
        <v>2046.25</v>
      </c>
      <c r="G1223" s="16" t="inlineStr">
        <is>
          <t>HESTERBIO</t>
        </is>
      </c>
      <c r="H1223" s="16" t="inlineStr">
        <is>
          <t>524669</t>
        </is>
      </c>
      <c r="I1223" s="27">
        <f>IFERROR(IF(INDEX(Stocks!$G$2:$G$2139,MATCH(A1223,Stocks!$E$2:$E$2139,0))="","No","Yes"),"No")</f>
        <v/>
      </c>
    </row>
    <row r="1224">
      <c r="A1224" s="16" t="inlineStr">
        <is>
          <t>INE0YHV01011</t>
        </is>
      </c>
      <c r="B1224" s="16" t="inlineStr">
        <is>
          <t>OBSCP</t>
        </is>
      </c>
      <c r="C1224" s="16" t="inlineStr">
        <is>
          <t>OBSC Perfection Ltd.</t>
        </is>
      </c>
      <c r="D1224" s="16" t="inlineStr">
        <is>
          <t>Auto Parts &amp; Equipment</t>
        </is>
      </c>
      <c r="E1224" s="16" t="inlineStr">
        <is>
          <t>Automobiles &amp; Auto Components</t>
        </is>
      </c>
      <c r="F1224" s="17" t="n">
        <v>2043.61</v>
      </c>
      <c r="G1224" s="16" t="inlineStr">
        <is>
          <t>OBSCP</t>
        </is>
      </c>
      <c r="H1224" s="16" t="inlineStr"/>
      <c r="I1224" s="27">
        <f>IFERROR(IF(INDEX(Stocks!$G$2:$G$2139,MATCH(A1224,Stocks!$E$2:$E$2139,0))="","No","Yes"),"No")</f>
        <v/>
      </c>
    </row>
    <row r="1225">
      <c r="A1225" s="16" t="inlineStr">
        <is>
          <t>INE243D01012</t>
        </is>
      </c>
      <c r="B1225" s="16" t="inlineStr">
        <is>
          <t>BFUTILITIE</t>
        </is>
      </c>
      <c r="C1225" s="16" t="inlineStr">
        <is>
          <t>BF Utilities Ltd.</t>
        </is>
      </c>
      <c r="D1225" s="16" t="inlineStr">
        <is>
          <t>Power - Electric Utilities</t>
        </is>
      </c>
      <c r="E1225" s="16" t="inlineStr">
        <is>
          <t>Utilities</t>
        </is>
      </c>
      <c r="F1225" s="17" t="n">
        <v>2043.28</v>
      </c>
      <c r="G1225" s="16" t="inlineStr">
        <is>
          <t>BFUTILITIE</t>
        </is>
      </c>
      <c r="H1225" s="16" t="inlineStr">
        <is>
          <t>532430</t>
        </is>
      </c>
      <c r="I1225" s="27">
        <f>IFERROR(IF(INDEX(Stocks!$G$2:$G$2139,MATCH(A1225,Stocks!$E$2:$E$2139,0))="","No","Yes"),"No")</f>
        <v/>
      </c>
    </row>
    <row r="1226">
      <c r="A1226" s="16" t="inlineStr">
        <is>
          <t>INE323C01030</t>
        </is>
      </c>
      <c r="B1226" s="16" t="inlineStr">
        <is>
          <t>INDIANHUME</t>
        </is>
      </c>
      <c r="C1226" s="16" t="inlineStr">
        <is>
          <t>Indian Hume Pipe Company Ltd.</t>
        </is>
      </c>
      <c r="D1226" s="16" t="inlineStr">
        <is>
          <t>Cement &amp; Cement Products</t>
        </is>
      </c>
      <c r="E1226" s="16" t="inlineStr">
        <is>
          <t>Cement and Construction</t>
        </is>
      </c>
      <c r="F1226" s="17" t="n">
        <v>2043</v>
      </c>
      <c r="G1226" s="16" t="inlineStr">
        <is>
          <t>INDIANHUME</t>
        </is>
      </c>
      <c r="H1226" s="16" t="inlineStr">
        <is>
          <t>504741</t>
        </is>
      </c>
      <c r="I1226" s="27">
        <f>IFERROR(IF(INDEX(Stocks!$G$2:$G$2139,MATCH(A1226,Stocks!$E$2:$E$2139,0))="","No","Yes"),"No")</f>
        <v/>
      </c>
    </row>
    <row r="1227">
      <c r="A1227" s="16" t="inlineStr">
        <is>
          <t>INE002E01010</t>
        </is>
      </c>
      <c r="B1227" s="16" t="inlineStr">
        <is>
          <t>SAPL</t>
        </is>
      </c>
      <c r="C1227" s="16" t="inlineStr">
        <is>
          <t>SAR Auto Products Ltd.</t>
        </is>
      </c>
      <c r="D1227" s="16" t="inlineStr">
        <is>
          <t>Auto Parts &amp; Equipment</t>
        </is>
      </c>
      <c r="E1227" s="16" t="inlineStr">
        <is>
          <t>Automobiles &amp; Auto Components</t>
        </is>
      </c>
      <c r="F1227" s="17" t="n">
        <v>2033.05</v>
      </c>
      <c r="G1227" s="16" t="inlineStr"/>
      <c r="H1227" s="16" t="inlineStr">
        <is>
          <t>538992</t>
        </is>
      </c>
      <c r="I1227" s="27">
        <f>IFERROR(IF(INDEX(Stocks!$G$2:$G$2139,MATCH(A1227,Stocks!$E$2:$E$2139,0))="","No","Yes"),"No")</f>
        <v/>
      </c>
    </row>
    <row r="1228">
      <c r="A1228" s="16" t="inlineStr">
        <is>
          <t>INE068L01024</t>
        </is>
      </c>
      <c r="B1228" s="16" t="inlineStr">
        <is>
          <t>CANTABIL</t>
        </is>
      </c>
      <c r="C1228" s="16" t="inlineStr">
        <is>
          <t>Cantabil Retail India Ltd.</t>
        </is>
      </c>
      <c r="D1228" s="16" t="inlineStr">
        <is>
          <t>Other Apparels &amp; Accessories</t>
        </is>
      </c>
      <c r="E1228" s="16" t="inlineStr">
        <is>
          <t>Textiles Apparels &amp; Accessories</t>
        </is>
      </c>
      <c r="F1228" s="17" t="n">
        <v>2032.82</v>
      </c>
      <c r="G1228" s="16" t="inlineStr">
        <is>
          <t>CANTABIL</t>
        </is>
      </c>
      <c r="H1228" s="16" t="inlineStr">
        <is>
          <t>533267</t>
        </is>
      </c>
      <c r="I1228" s="27">
        <f>IFERROR(IF(INDEX(Stocks!$G$2:$G$2139,MATCH(A1228,Stocks!$E$2:$E$2139,0))="","No","Yes"),"No")</f>
        <v/>
      </c>
    </row>
    <row r="1229">
      <c r="A1229" s="16" t="inlineStr">
        <is>
          <t>INE08NE01025</t>
        </is>
      </c>
      <c r="B1229" s="16" t="inlineStr">
        <is>
          <t>SANSTAR</t>
        </is>
      </c>
      <c r="C1229" s="16" t="inlineStr">
        <is>
          <t>Sanstar Ltd.</t>
        </is>
      </c>
      <c r="D1229" s="16" t="inlineStr">
        <is>
          <t>Other Food &amp; Beverages</t>
        </is>
      </c>
      <c r="E1229" s="16" t="inlineStr">
        <is>
          <t>Food, Beverages &amp; Tobacco</t>
        </is>
      </c>
      <c r="F1229" s="17" t="n">
        <v>2028.56</v>
      </c>
      <c r="G1229" s="16" t="inlineStr">
        <is>
          <t>SANSTAR</t>
        </is>
      </c>
      <c r="H1229" s="16" t="inlineStr">
        <is>
          <t>544217</t>
        </is>
      </c>
      <c r="I1229" s="27">
        <f>IFERROR(IF(INDEX(Stocks!$G$2:$G$2139,MATCH(A1229,Stocks!$E$2:$E$2139,0))="","No","Yes"),"No")</f>
        <v/>
      </c>
    </row>
    <row r="1230">
      <c r="A1230" s="16" t="inlineStr">
        <is>
          <t>INE0KKN01029</t>
        </is>
      </c>
      <c r="B1230" s="16" t="inlineStr">
        <is>
          <t>RHETAN</t>
        </is>
      </c>
      <c r="C1230" s="16" t="inlineStr">
        <is>
          <t>Rhetan TMT Ltd.</t>
        </is>
      </c>
      <c r="D1230" s="16" t="inlineStr">
        <is>
          <t>Iron &amp; Steel Products</t>
        </is>
      </c>
      <c r="E1230" s="16" t="inlineStr">
        <is>
          <t>Metals &amp; Mining</t>
        </is>
      </c>
      <c r="F1230" s="17" t="n">
        <v>2025.66</v>
      </c>
      <c r="G1230" s="16" t="inlineStr">
        <is>
          <t>RHETAN</t>
        </is>
      </c>
      <c r="H1230" s="16" t="inlineStr">
        <is>
          <t>543590</t>
        </is>
      </c>
      <c r="I1230" s="27">
        <f>IFERROR(IF(INDEX(Stocks!$G$2:$G$2139,MATCH(A1230,Stocks!$E$2:$E$2139,0))="","No","Yes"),"No")</f>
        <v/>
      </c>
    </row>
    <row r="1231">
      <c r="A1231" s="16" t="inlineStr">
        <is>
          <t>INE900B01029</t>
        </is>
      </c>
      <c r="B1231" s="16" t="inlineStr">
        <is>
          <t>KABRAEXTRU</t>
        </is>
      </c>
      <c r="C1231" s="16" t="inlineStr">
        <is>
          <t>Kabra Extrusion Technik Ltd.</t>
        </is>
      </c>
      <c r="D1231" s="16" t="inlineStr">
        <is>
          <t>Industrial Machinery</t>
        </is>
      </c>
      <c r="E1231" s="16" t="inlineStr">
        <is>
          <t>General Industrials</t>
        </is>
      </c>
      <c r="F1231" s="17" t="n">
        <v>2025.45</v>
      </c>
      <c r="G1231" s="16" t="inlineStr">
        <is>
          <t>KABRAEXTRU</t>
        </is>
      </c>
      <c r="H1231" s="16" t="inlineStr">
        <is>
          <t>524109</t>
        </is>
      </c>
      <c r="I1231" s="27">
        <f>IFERROR(IF(INDEX(Stocks!$G$2:$G$2139,MATCH(A1231,Stocks!$E$2:$E$2139,0))="","No","Yes"),"No")</f>
        <v/>
      </c>
    </row>
    <row r="1232">
      <c r="A1232" s="16" t="inlineStr">
        <is>
          <t>INE004A01022</t>
        </is>
      </c>
      <c r="B1232" s="16" t="inlineStr">
        <is>
          <t>PROTEAN</t>
        </is>
      </c>
      <c r="C1232" s="16" t="inlineStr">
        <is>
          <t>Protean eGov Technologies Ltd.</t>
        </is>
      </c>
      <c r="D1232" s="16" t="inlineStr">
        <is>
          <t>IT Consulting &amp; Software</t>
        </is>
      </c>
      <c r="E1232" s="16" t="inlineStr">
        <is>
          <t>Software &amp; Services</t>
        </is>
      </c>
      <c r="F1232" s="17" t="n">
        <v>2016.03</v>
      </c>
      <c r="G1232" s="16" t="inlineStr">
        <is>
          <t>PROTEAN</t>
        </is>
      </c>
      <c r="H1232" s="16" t="inlineStr">
        <is>
          <t>544021</t>
        </is>
      </c>
      <c r="I1232" s="27">
        <f>IFERROR(IF(INDEX(Stocks!$G$2:$G$2139,MATCH(A1232,Stocks!$E$2:$E$2139,0))="","No","Yes"),"No")</f>
        <v/>
      </c>
    </row>
    <row r="1233">
      <c r="A1233" s="16" t="inlineStr">
        <is>
          <t>INE05TO01019</t>
        </is>
      </c>
      <c r="B1233" s="16" t="inlineStr">
        <is>
          <t>AEROPLANE</t>
        </is>
      </c>
      <c r="C1233" s="16" t="inlineStr">
        <is>
          <t>Amir Chand Jagdish Kumar (Exports) Ltd.</t>
        </is>
      </c>
      <c r="D1233" s="16" t="inlineStr">
        <is>
          <t>Other Agricultural Products</t>
        </is>
      </c>
      <c r="E1233" s="16" t="inlineStr">
        <is>
          <t>Food, Beverages &amp; Tobacco</t>
        </is>
      </c>
      <c r="F1233" s="17" t="n">
        <v>2011.9</v>
      </c>
      <c r="G1233" s="16" t="inlineStr">
        <is>
          <t>AEROPLANE</t>
        </is>
      </c>
      <c r="H1233" s="16" t="inlineStr">
        <is>
          <t>544743</t>
        </is>
      </c>
      <c r="I1233" s="27">
        <f>IFERROR(IF(INDEX(Stocks!$G$2:$G$2139,MATCH(A1233,Stocks!$E$2:$E$2139,0))="","No","Yes"),"No")</f>
        <v/>
      </c>
    </row>
    <row r="1234">
      <c r="A1234" s="16" t="inlineStr">
        <is>
          <t>INE806C01018</t>
        </is>
      </c>
      <c r="B1234" s="16" t="inlineStr">
        <is>
          <t>TIL</t>
        </is>
      </c>
      <c r="C1234" s="16" t="inlineStr">
        <is>
          <t>TIL Ltd.</t>
        </is>
      </c>
      <c r="D1234" s="16" t="inlineStr">
        <is>
          <t>Transport Related Services</t>
        </is>
      </c>
      <c r="E1234" s="16" t="inlineStr">
        <is>
          <t>Transportation</t>
        </is>
      </c>
      <c r="F1234" s="17" t="n">
        <v>2008.4</v>
      </c>
      <c r="G1234" s="16" t="inlineStr">
        <is>
          <t>TIL</t>
        </is>
      </c>
      <c r="H1234" s="16" t="inlineStr">
        <is>
          <t>505196</t>
        </is>
      </c>
      <c r="I1234" s="27">
        <f>IFERROR(IF(INDEX(Stocks!$G$2:$G$2139,MATCH(A1234,Stocks!$E$2:$E$2139,0))="","No","Yes"),"No")</f>
        <v/>
      </c>
    </row>
    <row r="1235">
      <c r="A1235" s="16" t="inlineStr">
        <is>
          <t>INE752G01015</t>
        </is>
      </c>
      <c r="B1235" s="16" t="inlineStr">
        <is>
          <t>MSPL</t>
        </is>
      </c>
      <c r="C1235" s="16" t="inlineStr">
        <is>
          <t>MSP Steel &amp; Power Ltd.</t>
        </is>
      </c>
      <c r="D1235" s="16" t="inlineStr">
        <is>
          <t>Iron &amp; Steel/Interm.Products</t>
        </is>
      </c>
      <c r="E1235" s="16" t="inlineStr">
        <is>
          <t>Metals &amp; Mining</t>
        </is>
      </c>
      <c r="F1235" s="17" t="n">
        <v>2006.46</v>
      </c>
      <c r="G1235" s="16" t="inlineStr">
        <is>
          <t>MSPL</t>
        </is>
      </c>
      <c r="H1235" s="16" t="inlineStr">
        <is>
          <t>532650</t>
        </is>
      </c>
      <c r="I1235" s="27">
        <f>IFERROR(IF(INDEX(Stocks!$G$2:$G$2139,MATCH(A1235,Stocks!$E$2:$E$2139,0))="","No","Yes"),"No")</f>
        <v/>
      </c>
    </row>
    <row r="1236">
      <c r="A1236" s="16" t="inlineStr">
        <is>
          <t>INE229C01021</t>
        </is>
      </c>
      <c r="B1236" s="16" t="inlineStr">
        <is>
          <t>SAGCEM</t>
        </is>
      </c>
      <c r="C1236" s="16" t="inlineStr">
        <is>
          <t>Sagar Cements Ltd.</t>
        </is>
      </c>
      <c r="D1236" s="16" t="inlineStr">
        <is>
          <t>Cement &amp; Cement Products</t>
        </is>
      </c>
      <c r="E1236" s="16" t="inlineStr">
        <is>
          <t>Cement and Construction</t>
        </is>
      </c>
      <c r="F1236" s="17" t="n">
        <v>1997.99</v>
      </c>
      <c r="G1236" s="16" t="inlineStr">
        <is>
          <t>SAGCEM</t>
        </is>
      </c>
      <c r="H1236" s="16" t="inlineStr">
        <is>
          <t>502090</t>
        </is>
      </c>
      <c r="I1236" s="27">
        <f>IFERROR(IF(INDEX(Stocks!$G$2:$G$2139,MATCH(A1236,Stocks!$E$2:$E$2139,0))="","No","Yes"),"No")</f>
        <v/>
      </c>
    </row>
    <row r="1237">
      <c r="A1237" s="16" t="inlineStr">
        <is>
          <t>INE0OWZ01020</t>
        </is>
      </c>
      <c r="B1237" s="16" t="inlineStr">
        <is>
          <t>MVELECTRO</t>
        </is>
      </c>
      <c r="C1237" s="16" t="inlineStr">
        <is>
          <t>MV Electrosystems Ltd.</t>
        </is>
      </c>
      <c r="D1237" s="16" t="inlineStr">
        <is>
          <t>Electronic Components</t>
        </is>
      </c>
      <c r="E1237" s="16" t="inlineStr">
        <is>
          <t>Commercial Services &amp; Supplies</t>
        </is>
      </c>
      <c r="F1237" s="17" t="n">
        <v>1990.82</v>
      </c>
      <c r="G1237" s="16" t="inlineStr">
        <is>
          <t>MVELECTRO</t>
        </is>
      </c>
      <c r="H1237" s="16" t="inlineStr">
        <is>
          <t>544851</t>
        </is>
      </c>
      <c r="I1237" s="27">
        <f>IFERROR(IF(INDEX(Stocks!$G$2:$G$2139,MATCH(A1237,Stocks!$E$2:$E$2139,0))="","No","Yes"),"No")</f>
        <v/>
      </c>
    </row>
    <row r="1238">
      <c r="A1238" s="16" t="inlineStr">
        <is>
          <t>INE0LGX01024</t>
        </is>
      </c>
      <c r="B1238" s="16" t="inlineStr">
        <is>
          <t>INA</t>
        </is>
      </c>
      <c r="C1238" s="16" t="inlineStr">
        <is>
          <t>Insolation Energy Ltd</t>
        </is>
      </c>
      <c r="D1238" s="16" t="inlineStr">
        <is>
          <t>Power - Electric Utilities</t>
        </is>
      </c>
      <c r="E1238" s="16" t="inlineStr">
        <is>
          <t>Utilities</t>
        </is>
      </c>
      <c r="F1238" s="17" t="n">
        <v>1990.24</v>
      </c>
      <c r="G1238" s="16" t="inlineStr"/>
      <c r="H1238" s="16" t="inlineStr">
        <is>
          <t>543620</t>
        </is>
      </c>
      <c r="I1238" s="27">
        <f>IFERROR(IF(INDEX(Stocks!$G$2:$G$2139,MATCH(A1238,Stocks!$E$2:$E$2139,0))="","No","Yes"),"No")</f>
        <v/>
      </c>
    </row>
    <row r="1239">
      <c r="A1239" s="16" t="inlineStr">
        <is>
          <t>INE052I01032</t>
        </is>
      </c>
      <c r="B1239" s="16" t="inlineStr">
        <is>
          <t>CAMLINFINE</t>
        </is>
      </c>
      <c r="C1239" s="16" t="inlineStr">
        <is>
          <t>Camlin Fine Sciences Ltd.</t>
        </is>
      </c>
      <c r="D1239" s="16" t="inlineStr">
        <is>
          <t>Specialty Chemicals</t>
        </is>
      </c>
      <c r="E1239" s="16" t="inlineStr">
        <is>
          <t>Chemicals &amp; Petrochemicals</t>
        </is>
      </c>
      <c r="F1239" s="17" t="n">
        <v>1980.99</v>
      </c>
      <c r="G1239" s="16" t="inlineStr">
        <is>
          <t>CAMLINFINE</t>
        </is>
      </c>
      <c r="H1239" s="16" t="inlineStr">
        <is>
          <t>532834</t>
        </is>
      </c>
      <c r="I1239" s="27">
        <f>IFERROR(IF(INDEX(Stocks!$G$2:$G$2139,MATCH(A1239,Stocks!$E$2:$E$2139,0))="","No","Yes"),"No")</f>
        <v/>
      </c>
    </row>
    <row r="1240">
      <c r="A1240" s="16" t="inlineStr">
        <is>
          <t>INE06ZD01017</t>
        </is>
      </c>
      <c r="B1240" s="16" t="inlineStr">
        <is>
          <t>SHANTIGOLD</t>
        </is>
      </c>
      <c r="C1240" s="16" t="inlineStr">
        <is>
          <t>Shanti Gold International Ltd.</t>
        </is>
      </c>
      <c r="D1240" s="16" t="inlineStr">
        <is>
          <t>Gems &amp; Jewellery</t>
        </is>
      </c>
      <c r="E1240" s="16" t="inlineStr">
        <is>
          <t>Textiles Apparels &amp; Accessories</t>
        </is>
      </c>
      <c r="F1240" s="17" t="n">
        <v>1967.14</v>
      </c>
      <c r="G1240" s="16" t="inlineStr">
        <is>
          <t>SHANTIGOLD</t>
        </is>
      </c>
      <c r="H1240" s="16" t="inlineStr">
        <is>
          <t>544459</t>
        </is>
      </c>
      <c r="I1240" s="27">
        <f>IFERROR(IF(INDEX(Stocks!$G$2:$G$2139,MATCH(A1240,Stocks!$E$2:$E$2139,0))="","No","Yes"),"No")</f>
        <v/>
      </c>
    </row>
    <row r="1241">
      <c r="A1241" s="16" t="inlineStr">
        <is>
          <t>INE0OLS01010</t>
        </is>
      </c>
      <c r="B1241" s="16" t="inlineStr">
        <is>
          <t>VINYAS</t>
        </is>
      </c>
      <c r="C1241" s="16" t="inlineStr">
        <is>
          <t>Vinyas Innovative Technologies Ltd.</t>
        </is>
      </c>
      <c r="D1241" s="16" t="inlineStr">
        <is>
          <t>Electronic Components</t>
        </is>
      </c>
      <c r="E1241" s="16" t="inlineStr">
        <is>
          <t>Commercial Services &amp; Supplies</t>
        </is>
      </c>
      <c r="F1241" s="17" t="n">
        <v>1962.4</v>
      </c>
      <c r="G1241" s="16" t="inlineStr">
        <is>
          <t>VINYAS</t>
        </is>
      </c>
      <c r="H1241" s="16" t="inlineStr"/>
      <c r="I1241" s="27">
        <f>IFERROR(IF(INDEX(Stocks!$G$2:$G$2139,MATCH(A1241,Stocks!$E$2:$E$2139,0))="","No","Yes"),"No")</f>
        <v/>
      </c>
    </row>
    <row r="1242">
      <c r="A1242" s="16" t="inlineStr">
        <is>
          <t>INE338D01028</t>
        </is>
      </c>
      <c r="B1242" s="16" t="inlineStr">
        <is>
          <t>BODALCHEM</t>
        </is>
      </c>
      <c r="C1242" s="16" t="inlineStr">
        <is>
          <t>Bodal Chemicals Ltd.</t>
        </is>
      </c>
      <c r="D1242" s="16" t="inlineStr">
        <is>
          <t>Dyes &amp; Pigments</t>
        </is>
      </c>
      <c r="E1242" s="16" t="inlineStr">
        <is>
          <t>Chemicals &amp; Petrochemicals</t>
        </is>
      </c>
      <c r="F1242" s="17" t="n">
        <v>1959.94</v>
      </c>
      <c r="G1242" s="16" t="inlineStr">
        <is>
          <t>BODALCHEM</t>
        </is>
      </c>
      <c r="H1242" s="16" t="inlineStr">
        <is>
          <t>524370</t>
        </is>
      </c>
      <c r="I1242" s="27">
        <f>IFERROR(IF(INDEX(Stocks!$G$2:$G$2139,MATCH(A1242,Stocks!$E$2:$E$2139,0))="","No","Yes"),"No")</f>
        <v/>
      </c>
    </row>
    <row r="1243">
      <c r="A1243" s="16" t="inlineStr">
        <is>
          <t>INE495S01016</t>
        </is>
      </c>
      <c r="B1243" s="16" t="inlineStr">
        <is>
          <t>HPL</t>
        </is>
      </c>
      <c r="C1243" s="16" t="inlineStr">
        <is>
          <t>HPL Electric &amp; Power Ltd.</t>
        </is>
      </c>
      <c r="D1243" s="16" t="inlineStr">
        <is>
          <t>Consumer Electronics</t>
        </is>
      </c>
      <c r="E1243" s="16" t="inlineStr">
        <is>
          <t>Consumer Durables</t>
        </is>
      </c>
      <c r="F1243" s="17" t="n">
        <v>1955.7</v>
      </c>
      <c r="G1243" s="16" t="inlineStr">
        <is>
          <t>HPL</t>
        </is>
      </c>
      <c r="H1243" s="16" t="inlineStr">
        <is>
          <t>540136</t>
        </is>
      </c>
      <c r="I1243" s="27">
        <f>IFERROR(IF(INDEX(Stocks!$G$2:$G$2139,MATCH(A1243,Stocks!$E$2:$E$2139,0))="","No","Yes"),"No")</f>
        <v/>
      </c>
    </row>
    <row r="1244">
      <c r="A1244" s="16" t="inlineStr">
        <is>
          <t>INE838B01021</t>
        </is>
      </c>
      <c r="B1244" s="16" t="inlineStr">
        <is>
          <t>BHARATRAS</t>
        </is>
      </c>
      <c r="C1244" s="16" t="inlineStr">
        <is>
          <t>Bharat Rasayan Ltd.</t>
        </is>
      </c>
      <c r="D1244" s="16" t="inlineStr">
        <is>
          <t>Agrochemicals</t>
        </is>
      </c>
      <c r="E1244" s="16" t="inlineStr">
        <is>
          <t>Chemicals &amp; Petrochemicals</t>
        </is>
      </c>
      <c r="F1244" s="17" t="n">
        <v>1947.66</v>
      </c>
      <c r="G1244" s="16" t="inlineStr">
        <is>
          <t>BHARATRAS</t>
        </is>
      </c>
      <c r="H1244" s="16" t="inlineStr">
        <is>
          <t>590021</t>
        </is>
      </c>
      <c r="I1244" s="27">
        <f>IFERROR(IF(INDEX(Stocks!$G$2:$G$2139,MATCH(A1244,Stocks!$E$2:$E$2139,0))="","No","Yes"),"No")</f>
        <v/>
      </c>
    </row>
    <row r="1245">
      <c r="A1245" s="16" t="inlineStr">
        <is>
          <t>INE304A01026</t>
        </is>
      </c>
      <c r="B1245" s="16" t="inlineStr">
        <is>
          <t>MUKANDLTD</t>
        </is>
      </c>
      <c r="C1245" s="16" t="inlineStr">
        <is>
          <t>Mukand Ltd.</t>
        </is>
      </c>
      <c r="D1245" s="16" t="inlineStr">
        <is>
          <t>Iron &amp; Steel/Interm.Products</t>
        </is>
      </c>
      <c r="E1245" s="16" t="inlineStr">
        <is>
          <t>Metals &amp; Mining</t>
        </is>
      </c>
      <c r="F1245" s="17" t="n">
        <v>1942.6</v>
      </c>
      <c r="G1245" s="16" t="inlineStr">
        <is>
          <t>MUKANDLTD</t>
        </is>
      </c>
      <c r="H1245" s="16" t="inlineStr">
        <is>
          <t>500460</t>
        </is>
      </c>
      <c r="I1245" s="27">
        <f>IFERROR(IF(INDEX(Stocks!$G$2:$G$2139,MATCH(A1245,Stocks!$E$2:$E$2139,0))="","No","Yes"),"No")</f>
        <v/>
      </c>
    </row>
    <row r="1246">
      <c r="A1246" s="16" t="inlineStr">
        <is>
          <t>INE08ZM01014</t>
        </is>
      </c>
      <c r="B1246" s="16" t="inlineStr">
        <is>
          <t>GREENPANEL</t>
        </is>
      </c>
      <c r="C1246" s="16" t="inlineStr">
        <is>
          <t>Greenpanel Industries Ltd.</t>
        </is>
      </c>
      <c r="D1246" s="16" t="inlineStr">
        <is>
          <t>Forest Products</t>
        </is>
      </c>
      <c r="E1246" s="16" t="inlineStr">
        <is>
          <t>Forest Materials</t>
        </is>
      </c>
      <c r="F1246" s="17" t="n">
        <v>1941.44</v>
      </c>
      <c r="G1246" s="16" t="inlineStr">
        <is>
          <t>GREENPANEL</t>
        </is>
      </c>
      <c r="H1246" s="16" t="inlineStr">
        <is>
          <t>542857</t>
        </is>
      </c>
      <c r="I1246" s="27">
        <f>IFERROR(IF(INDEX(Stocks!$G$2:$G$2139,MATCH(A1246,Stocks!$E$2:$E$2139,0))="","No","Yes"),"No")</f>
        <v/>
      </c>
    </row>
    <row r="1247">
      <c r="A1247" s="16" t="inlineStr">
        <is>
          <t>INE777X01017</t>
        </is>
      </c>
      <c r="B1247" s="16" t="inlineStr">
        <is>
          <t>AAYUSHBULL</t>
        </is>
      </c>
      <c r="C1247" s="16" t="inlineStr">
        <is>
          <t>Aayush Art and Bullion Ltd.</t>
        </is>
      </c>
      <c r="D1247" s="16" t="inlineStr">
        <is>
          <t>Textiles</t>
        </is>
      </c>
      <c r="E1247" s="16" t="inlineStr">
        <is>
          <t>Textiles Apparels &amp; Accessories</t>
        </is>
      </c>
      <c r="F1247" s="17" t="n">
        <v>1941.13</v>
      </c>
      <c r="G1247" s="16" t="inlineStr"/>
      <c r="H1247" s="16" t="inlineStr">
        <is>
          <t>540718</t>
        </is>
      </c>
      <c r="I1247" s="27">
        <f>IFERROR(IF(INDEX(Stocks!$G$2:$G$2139,MATCH(A1247,Stocks!$E$2:$E$2139,0))="","No","Yes"),"No")</f>
        <v/>
      </c>
    </row>
    <row r="1248">
      <c r="A1248" s="16" t="inlineStr">
        <is>
          <t>INE111F01024</t>
        </is>
      </c>
      <c r="B1248" s="16" t="inlineStr">
        <is>
          <t>PAUSHAKLTD</t>
        </is>
      </c>
      <c r="C1248" s="16" t="inlineStr">
        <is>
          <t>Paushak Ltd.</t>
        </is>
      </c>
      <c r="D1248" s="16" t="inlineStr">
        <is>
          <t>Specialty Chemicals</t>
        </is>
      </c>
      <c r="E1248" s="16" t="inlineStr">
        <is>
          <t>Chemicals &amp; Petrochemicals</t>
        </is>
      </c>
      <c r="F1248" s="17" t="n">
        <v>1936.8</v>
      </c>
      <c r="G1248" s="16" t="inlineStr">
        <is>
          <t>PAUSHAKLTD</t>
        </is>
      </c>
      <c r="H1248" s="16" t="inlineStr">
        <is>
          <t>532742</t>
        </is>
      </c>
      <c r="I1248" s="27">
        <f>IFERROR(IF(INDEX(Stocks!$G$2:$G$2139,MATCH(A1248,Stocks!$E$2:$E$2139,0))="","No","Yes"),"No")</f>
        <v/>
      </c>
    </row>
    <row r="1249">
      <c r="A1249" s="16" t="inlineStr">
        <is>
          <t>INE312C01025</t>
        </is>
      </c>
      <c r="B1249" s="16" t="inlineStr">
        <is>
          <t>SYNCOMF</t>
        </is>
      </c>
      <c r="C1249" s="16" t="inlineStr">
        <is>
          <t>Syncom Formulation (India) Ltd.</t>
        </is>
      </c>
      <c r="D1249" s="16" t="inlineStr">
        <is>
          <t>Pharmaceuticals</t>
        </is>
      </c>
      <c r="E1249" s="16" t="inlineStr">
        <is>
          <t>Pharmaceuticals &amp; Biotechnology</t>
        </is>
      </c>
      <c r="F1249" s="17" t="n">
        <v>1934.52</v>
      </c>
      <c r="G1249" s="16" t="inlineStr">
        <is>
          <t>SYNCOMF</t>
        </is>
      </c>
      <c r="H1249" s="16" t="inlineStr">
        <is>
          <t>524470</t>
        </is>
      </c>
      <c r="I1249" s="27">
        <f>IFERROR(IF(INDEX(Stocks!$G$2:$G$2139,MATCH(A1249,Stocks!$E$2:$E$2139,0))="","No","Yes"),"No")</f>
        <v/>
      </c>
    </row>
    <row r="1250">
      <c r="A1250" s="16" t="inlineStr">
        <is>
          <t>INE059D01020</t>
        </is>
      </c>
      <c r="B1250" s="16" t="inlineStr">
        <is>
          <t>LAOPALA</t>
        </is>
      </c>
      <c r="C1250" s="16" t="inlineStr">
        <is>
          <t>La Opala RG Ltd.</t>
        </is>
      </c>
      <c r="D1250" s="16" t="inlineStr">
        <is>
          <t>Houseware</t>
        </is>
      </c>
      <c r="E1250" s="16" t="inlineStr">
        <is>
          <t>Consumer Durables</t>
        </is>
      </c>
      <c r="F1250" s="17" t="n">
        <v>1930.29</v>
      </c>
      <c r="G1250" s="16" t="inlineStr">
        <is>
          <t>LAOPALA</t>
        </is>
      </c>
      <c r="H1250" s="16" t="inlineStr">
        <is>
          <t>526947</t>
        </is>
      </c>
      <c r="I1250" s="27">
        <f>IFERROR(IF(INDEX(Stocks!$G$2:$G$2139,MATCH(A1250,Stocks!$E$2:$E$2139,0))="","No","Yes"),"No")</f>
        <v/>
      </c>
    </row>
    <row r="1251">
      <c r="A1251" s="16" t="inlineStr">
        <is>
          <t>INE0NJ001013</t>
        </is>
      </c>
      <c r="B1251" s="16" t="inlineStr">
        <is>
          <t>CFF</t>
        </is>
      </c>
      <c r="C1251" s="16" t="inlineStr">
        <is>
          <t>CFF Fluid Control Ltd.</t>
        </is>
      </c>
      <c r="D1251" s="16" t="inlineStr">
        <is>
          <t>Aerospace &amp; Defence</t>
        </is>
      </c>
      <c r="E1251" s="16" t="inlineStr">
        <is>
          <t>General Industrials</t>
        </is>
      </c>
      <c r="F1251" s="17" t="n">
        <v>1926.57</v>
      </c>
      <c r="G1251" s="16" t="inlineStr"/>
      <c r="H1251" s="16" t="inlineStr">
        <is>
          <t>543920</t>
        </is>
      </c>
      <c r="I1251" s="27">
        <f>IFERROR(IF(INDEX(Stocks!$G$2:$G$2139,MATCH(A1251,Stocks!$E$2:$E$2139,0))="","No","Yes"),"No")</f>
        <v/>
      </c>
    </row>
    <row r="1252">
      <c r="A1252" s="16" t="inlineStr">
        <is>
          <t>INE275B01026</t>
        </is>
      </c>
      <c r="B1252" s="16" t="inlineStr">
        <is>
          <t>HUHTAMAKI</t>
        </is>
      </c>
      <c r="C1252" s="16" t="inlineStr">
        <is>
          <t>Huhtamaki India Ltd.</t>
        </is>
      </c>
      <c r="D1252" s="16" t="inlineStr">
        <is>
          <t>Containers &amp; Packaging</t>
        </is>
      </c>
      <c r="E1252" s="16" t="inlineStr">
        <is>
          <t>Commercial Services &amp; Supplies</t>
        </is>
      </c>
      <c r="F1252" s="17" t="n">
        <v>1925.81</v>
      </c>
      <c r="G1252" s="16" t="inlineStr">
        <is>
          <t>HUHTAMAKI</t>
        </is>
      </c>
      <c r="H1252" s="16" t="inlineStr">
        <is>
          <t>509820</t>
        </is>
      </c>
      <c r="I1252" s="27">
        <f>IFERROR(IF(INDEX(Stocks!$G$2:$G$2139,MATCH(A1252,Stocks!$E$2:$E$2139,0))="","No","Yes"),"No")</f>
        <v/>
      </c>
    </row>
    <row r="1253">
      <c r="A1253" s="16" t="inlineStr">
        <is>
          <t>INE742C01031</t>
        </is>
      </c>
      <c r="B1253" s="16" t="inlineStr">
        <is>
          <t>JINDRILL</t>
        </is>
      </c>
      <c r="C1253" s="16" t="inlineStr">
        <is>
          <t>Jindal Drilling &amp; Industries Ltd.</t>
        </is>
      </c>
      <c r="D1253" s="16" t="inlineStr">
        <is>
          <t>Exploration &amp; Production</t>
        </is>
      </c>
      <c r="E1253" s="16" t="inlineStr">
        <is>
          <t>Oil &amp; Gas</t>
        </is>
      </c>
      <c r="F1253" s="17" t="n">
        <v>1921.59</v>
      </c>
      <c r="G1253" s="16" t="inlineStr">
        <is>
          <t>JINDRILL</t>
        </is>
      </c>
      <c r="H1253" s="16" t="inlineStr">
        <is>
          <t>511034</t>
        </is>
      </c>
      <c r="I1253" s="27">
        <f>IFERROR(IF(INDEX(Stocks!$G$2:$G$2139,MATCH(A1253,Stocks!$E$2:$E$2139,0))="","No","Yes"),"No")</f>
        <v/>
      </c>
    </row>
    <row r="1254">
      <c r="A1254" s="16" t="inlineStr">
        <is>
          <t>INE096B01018</t>
        </is>
      </c>
      <c r="B1254" s="16" t="inlineStr">
        <is>
          <t>NUCLEUS</t>
        </is>
      </c>
      <c r="C1254" s="16" t="inlineStr">
        <is>
          <t>Nucleus Software Exports Ltd.</t>
        </is>
      </c>
      <c r="D1254" s="16" t="inlineStr">
        <is>
          <t>IT Consulting &amp; Software</t>
        </is>
      </c>
      <c r="E1254" s="16" t="inlineStr">
        <is>
          <t>Software &amp; Services</t>
        </is>
      </c>
      <c r="F1254" s="17" t="n">
        <v>1919.51</v>
      </c>
      <c r="G1254" s="16" t="inlineStr">
        <is>
          <t>NUCLEUS</t>
        </is>
      </c>
      <c r="H1254" s="16" t="inlineStr">
        <is>
          <t>531209</t>
        </is>
      </c>
      <c r="I1254" s="27">
        <f>IFERROR(IF(INDEX(Stocks!$G$2:$G$2139,MATCH(A1254,Stocks!$E$2:$E$2139,0))="","No","Yes"),"No")</f>
        <v/>
      </c>
    </row>
    <row r="1255">
      <c r="A1255" s="16" t="inlineStr">
        <is>
          <t>INE572J01011</t>
        </is>
      </c>
      <c r="B1255" s="16" t="inlineStr">
        <is>
          <t>SPANDANA</t>
        </is>
      </c>
      <c r="C1255" s="16" t="inlineStr">
        <is>
          <t>Spandana Sphoorty Financial Ltd.</t>
        </is>
      </c>
      <c r="D1255" s="16" t="inlineStr">
        <is>
          <t>Microfinance Institutions</t>
        </is>
      </c>
      <c r="E1255" s="16" t="inlineStr">
        <is>
          <t>Banking and Finance</t>
        </is>
      </c>
      <c r="F1255" s="17" t="n">
        <v>1917.82</v>
      </c>
      <c r="G1255" s="16" t="inlineStr">
        <is>
          <t>SPANDANA</t>
        </is>
      </c>
      <c r="H1255" s="16" t="inlineStr">
        <is>
          <t>542759</t>
        </is>
      </c>
      <c r="I1255" s="27">
        <f>IFERROR(IF(INDEX(Stocks!$G$2:$G$2139,MATCH(A1255,Stocks!$E$2:$E$2139,0))="","No","Yes"),"No")</f>
        <v/>
      </c>
    </row>
    <row r="1256">
      <c r="A1256" s="16" t="inlineStr">
        <is>
          <t>INE14UN01029</t>
        </is>
      </c>
      <c r="B1256" s="16" t="inlineStr">
        <is>
          <t>VIDYAWIRES</t>
        </is>
      </c>
      <c r="C1256" s="16" t="inlineStr">
        <is>
          <t>Vidya Wires Ltd.</t>
        </is>
      </c>
      <c r="D1256" s="16" t="inlineStr">
        <is>
          <t>Other Electrical Equipment/Products</t>
        </is>
      </c>
      <c r="E1256" s="16" t="inlineStr">
        <is>
          <t>Consumer Durables</t>
        </is>
      </c>
      <c r="F1256" s="17" t="n">
        <v>1917</v>
      </c>
      <c r="G1256" s="16" t="inlineStr">
        <is>
          <t>VIDYAWIRES</t>
        </is>
      </c>
      <c r="H1256" s="16" t="inlineStr">
        <is>
          <t>544633</t>
        </is>
      </c>
      <c r="I1256" s="27">
        <f>IFERROR(IF(INDEX(Stocks!$G$2:$G$2139,MATCH(A1256,Stocks!$E$2:$E$2139,0))="","No","Yes"),"No")</f>
        <v/>
      </c>
    </row>
    <row r="1257">
      <c r="A1257" s="16" t="inlineStr">
        <is>
          <t>INE1EEM01017</t>
        </is>
      </c>
      <c r="B1257" s="16" t="inlineStr">
        <is>
          <t>BLEL</t>
        </is>
      </c>
      <c r="C1257" s="16" t="inlineStr">
        <is>
          <t>Behari Lal Engineering Ltd.</t>
        </is>
      </c>
      <c r="D1257" s="16" t="inlineStr">
        <is>
          <t>Iron &amp; Steel/Interm.Products</t>
        </is>
      </c>
      <c r="E1257" s="16" t="inlineStr">
        <is>
          <t>Metals &amp; Mining</t>
        </is>
      </c>
      <c r="F1257" s="17" t="n">
        <v>1916.94</v>
      </c>
      <c r="G1257" s="16" t="inlineStr">
        <is>
          <t>BLEL</t>
        </is>
      </c>
      <c r="H1257" s="16" t="inlineStr">
        <is>
          <t>544870</t>
        </is>
      </c>
      <c r="I1257" s="27">
        <f>IFERROR(IF(INDEX(Stocks!$G$2:$G$2139,MATCH(A1257,Stocks!$E$2:$E$2139,0))="","No","Yes"),"No")</f>
        <v/>
      </c>
    </row>
    <row r="1258">
      <c r="A1258" s="16" t="inlineStr">
        <is>
          <t>INE155Z01011</t>
        </is>
      </c>
      <c r="B1258" s="16" t="inlineStr">
        <is>
          <t>MACPOWER</t>
        </is>
      </c>
      <c r="C1258" s="16" t="inlineStr">
        <is>
          <t>Macpower CNC Machines Ltd.</t>
        </is>
      </c>
      <c r="D1258" s="16" t="inlineStr">
        <is>
          <t>Industrial Machinery</t>
        </is>
      </c>
      <c r="E1258" s="16" t="inlineStr">
        <is>
          <t>General Industrials</t>
        </is>
      </c>
      <c r="F1258" s="17" t="n">
        <v>1905.7</v>
      </c>
      <c r="G1258" s="16" t="inlineStr">
        <is>
          <t>MACPOWER</t>
        </is>
      </c>
      <c r="H1258" s="16" t="inlineStr"/>
      <c r="I1258" s="27">
        <f>IFERROR(IF(INDEX(Stocks!$G$2:$G$2139,MATCH(A1258,Stocks!$E$2:$E$2139,0))="","No","Yes"),"No")</f>
        <v/>
      </c>
    </row>
    <row r="1259">
      <c r="A1259" s="16" t="inlineStr">
        <is>
          <t>INE156A01020</t>
        </is>
      </c>
      <c r="B1259" s="16" t="inlineStr">
        <is>
          <t>INDORAMA</t>
        </is>
      </c>
      <c r="C1259" s="16" t="inlineStr">
        <is>
          <t>Indo Rama Synthetics (India) Ltd.</t>
        </is>
      </c>
      <c r="D1259" s="16" t="inlineStr">
        <is>
          <t>Textiles</t>
        </is>
      </c>
      <c r="E1259" s="16" t="inlineStr">
        <is>
          <t>Textiles Apparels &amp; Accessories</t>
        </is>
      </c>
      <c r="F1259" s="17" t="n">
        <v>1905.08</v>
      </c>
      <c r="G1259" s="16" t="inlineStr">
        <is>
          <t>INDORAMA</t>
        </is>
      </c>
      <c r="H1259" s="16" t="inlineStr">
        <is>
          <t>500207</t>
        </is>
      </c>
      <c r="I1259" s="27">
        <f>IFERROR(IF(INDEX(Stocks!$G$2:$G$2139,MATCH(A1259,Stocks!$E$2:$E$2139,0))="","No","Yes"),"No")</f>
        <v/>
      </c>
    </row>
    <row r="1260">
      <c r="A1260" s="16" t="inlineStr">
        <is>
          <t>INE926B01016</t>
        </is>
      </c>
      <c r="B1260" s="16" t="inlineStr">
        <is>
          <t>GRANDOAK</t>
        </is>
      </c>
      <c r="C1260" s="16" t="inlineStr">
        <is>
          <t>Grand Oak Canyons Distillery Ltd.</t>
        </is>
      </c>
      <c r="D1260" s="16" t="inlineStr">
        <is>
          <t>Finance (including NBFCs)</t>
        </is>
      </c>
      <c r="E1260" s="16" t="inlineStr">
        <is>
          <t>Banking and Finance</t>
        </is>
      </c>
      <c r="F1260" s="17" t="n">
        <v>1903.27</v>
      </c>
      <c r="G1260" s="16" t="inlineStr"/>
      <c r="H1260" s="16" t="inlineStr">
        <is>
          <t>523862</t>
        </is>
      </c>
      <c r="I1260" s="27">
        <f>IFERROR(IF(INDEX(Stocks!$G$2:$G$2139,MATCH(A1260,Stocks!$E$2:$E$2139,0))="","No","Yes"),"No")</f>
        <v/>
      </c>
    </row>
    <row r="1261">
      <c r="A1261" s="16" t="inlineStr">
        <is>
          <t>INE0I0T01010</t>
        </is>
      </c>
      <c r="B1261" s="16" t="inlineStr">
        <is>
          <t>VOEPL</t>
        </is>
      </c>
      <c r="C1261" s="16" t="inlineStr">
        <is>
          <t>Virtuoso Optoelectronics Ltd.</t>
        </is>
      </c>
      <c r="D1261" s="16" t="inlineStr">
        <is>
          <t>Other Electrical Equipment/Products</t>
        </is>
      </c>
      <c r="E1261" s="16" t="inlineStr">
        <is>
          <t>Consumer Durables</t>
        </is>
      </c>
      <c r="F1261" s="17" t="n">
        <v>1899.74</v>
      </c>
      <c r="G1261" s="16" t="inlineStr"/>
      <c r="H1261" s="16" t="inlineStr">
        <is>
          <t>543597</t>
        </is>
      </c>
      <c r="I1261" s="27">
        <f>IFERROR(IF(INDEX(Stocks!$G$2:$G$2139,MATCH(A1261,Stocks!$E$2:$E$2139,0))="","No","Yes"),"No")</f>
        <v/>
      </c>
    </row>
    <row r="1262">
      <c r="A1262" s="16" t="inlineStr">
        <is>
          <t>INE338A01024</t>
        </is>
      </c>
      <c r="B1262" s="16" t="inlineStr">
        <is>
          <t>TIRUMALCHM</t>
        </is>
      </c>
      <c r="C1262" s="16" t="inlineStr">
        <is>
          <t>Thirumalai Chemicals Ltd.</t>
        </is>
      </c>
      <c r="D1262" s="16" t="inlineStr">
        <is>
          <t>Commodity Chemicals</t>
        </is>
      </c>
      <c r="E1262" s="16" t="inlineStr">
        <is>
          <t>Chemicals &amp; Petrochemicals</t>
        </is>
      </c>
      <c r="F1262" s="17" t="n">
        <v>1894.97</v>
      </c>
      <c r="G1262" s="16" t="inlineStr">
        <is>
          <t>TIRUMALCHM</t>
        </is>
      </c>
      <c r="H1262" s="16" t="inlineStr">
        <is>
          <t>500412</t>
        </is>
      </c>
      <c r="I1262" s="27">
        <f>IFERROR(IF(INDEX(Stocks!$G$2:$G$2139,MATCH(A1262,Stocks!$E$2:$E$2139,0))="","No","Yes"),"No")</f>
        <v/>
      </c>
    </row>
    <row r="1263">
      <c r="A1263" s="16" t="inlineStr">
        <is>
          <t>INE0OWC01011</t>
        </is>
      </c>
      <c r="B1263" s="16" t="inlineStr">
        <is>
          <t>KHAZANCHI</t>
        </is>
      </c>
      <c r="C1263" s="16" t="inlineStr">
        <is>
          <t>Khazanchi Jewellers Ltd.</t>
        </is>
      </c>
      <c r="D1263" s="16" t="inlineStr">
        <is>
          <t>Gems &amp; Jewellery</t>
        </is>
      </c>
      <c r="E1263" s="16" t="inlineStr">
        <is>
          <t>Textiles Apparels &amp; Accessories</t>
        </is>
      </c>
      <c r="F1263" s="17" t="n">
        <v>1889.67</v>
      </c>
      <c r="G1263" s="16" t="inlineStr"/>
      <c r="H1263" s="16" t="inlineStr">
        <is>
          <t>543953</t>
        </is>
      </c>
      <c r="I1263" s="27">
        <f>IFERROR(IF(INDEX(Stocks!$G$2:$G$2139,MATCH(A1263,Stocks!$E$2:$E$2139,0))="","No","Yes"),"No")</f>
        <v/>
      </c>
    </row>
    <row r="1264">
      <c r="A1264" s="16" t="inlineStr">
        <is>
          <t>INE0KL801015</t>
        </is>
      </c>
      <c r="B1264" s="16" t="inlineStr">
        <is>
          <t>DCXINDIA</t>
        </is>
      </c>
      <c r="C1264" s="16" t="inlineStr">
        <is>
          <t>DCX Systems Ltd.</t>
        </is>
      </c>
      <c r="D1264" s="16" t="inlineStr">
        <is>
          <t>Aerospace &amp; Defence</t>
        </is>
      </c>
      <c r="E1264" s="16" t="inlineStr">
        <is>
          <t>General Industrials</t>
        </is>
      </c>
      <c r="F1264" s="17" t="n">
        <v>1880.54</v>
      </c>
      <c r="G1264" s="16" t="inlineStr">
        <is>
          <t>DCXINDIA</t>
        </is>
      </c>
      <c r="H1264" s="16" t="inlineStr">
        <is>
          <t>543650</t>
        </is>
      </c>
      <c r="I1264" s="27">
        <f>IFERROR(IF(INDEX(Stocks!$G$2:$G$2139,MATCH(A1264,Stocks!$E$2:$E$2139,0))="","No","Yes"),"No")</f>
        <v/>
      </c>
    </row>
    <row r="1265">
      <c r="A1265" s="16" t="inlineStr">
        <is>
          <t>INE108V01019</t>
        </is>
      </c>
      <c r="B1265" s="16" t="inlineStr">
        <is>
          <t>AWFIS</t>
        </is>
      </c>
      <c r="C1265" s="16" t="inlineStr">
        <is>
          <t>Awfis Space Solutions Ltd</t>
        </is>
      </c>
      <c r="D1265" s="16" t="inlineStr">
        <is>
          <t>Special Consumer Services</t>
        </is>
      </c>
      <c r="E1265" s="16" t="inlineStr">
        <is>
          <t>Diversified Consumer Services</t>
        </is>
      </c>
      <c r="F1265" s="17" t="n">
        <v>1866.37</v>
      </c>
      <c r="G1265" s="16" t="inlineStr">
        <is>
          <t>AWFIS</t>
        </is>
      </c>
      <c r="H1265" s="16" t="inlineStr">
        <is>
          <t>544181</t>
        </is>
      </c>
      <c r="I1265" s="27">
        <f>IFERROR(IF(INDEX(Stocks!$G$2:$G$2139,MATCH(A1265,Stocks!$E$2:$E$2139,0))="","No","Yes"),"No")</f>
        <v/>
      </c>
    </row>
    <row r="1266">
      <c r="A1266" s="16" t="inlineStr">
        <is>
          <t>INE418H01029</t>
        </is>
      </c>
      <c r="B1266" s="16" t="inlineStr">
        <is>
          <t>ALLCARGO</t>
        </is>
      </c>
      <c r="C1266" s="16" t="inlineStr">
        <is>
          <t>Allcargo Logistics Ltd.</t>
        </is>
      </c>
      <c r="D1266" s="16" t="inlineStr">
        <is>
          <t>Warehousing &amp; Logistics</t>
        </is>
      </c>
      <c r="E1266" s="16" t="inlineStr">
        <is>
          <t>Transportation</t>
        </is>
      </c>
      <c r="F1266" s="17" t="n">
        <v>1863.24</v>
      </c>
      <c r="G1266" s="16" t="inlineStr">
        <is>
          <t>ALLCARGO</t>
        </is>
      </c>
      <c r="H1266" s="16" t="inlineStr">
        <is>
          <t>532749</t>
        </is>
      </c>
      <c r="I1266" s="27">
        <f>IFERROR(IF(INDEX(Stocks!$G$2:$G$2139,MATCH(A1266,Stocks!$E$2:$E$2139,0))="","No","Yes"),"No")</f>
        <v/>
      </c>
    </row>
    <row r="1267">
      <c r="A1267" s="16" t="inlineStr">
        <is>
          <t>INE982F01036</t>
        </is>
      </c>
      <c r="B1267" s="16" t="inlineStr">
        <is>
          <t>HATHWAY</t>
        </is>
      </c>
      <c r="C1267" s="16" t="inlineStr">
        <is>
          <t>Hathway Cable &amp; Datacom Ltd.</t>
        </is>
      </c>
      <c r="D1267" s="16" t="inlineStr">
        <is>
          <t>Broadcasting &amp; Cable TV</t>
        </is>
      </c>
      <c r="E1267" s="16" t="inlineStr">
        <is>
          <t>Media</t>
        </is>
      </c>
      <c r="F1267" s="17" t="n">
        <v>1862.15</v>
      </c>
      <c r="G1267" s="16" t="inlineStr">
        <is>
          <t>HATHWAY</t>
        </is>
      </c>
      <c r="H1267" s="16" t="inlineStr">
        <is>
          <t>533162</t>
        </is>
      </c>
      <c r="I1267" s="27">
        <f>IFERROR(IF(INDEX(Stocks!$G$2:$G$2139,MATCH(A1267,Stocks!$E$2:$E$2139,0))="","No","Yes"),"No")</f>
        <v/>
      </c>
    </row>
    <row r="1268">
      <c r="A1268" s="16" t="inlineStr">
        <is>
          <t>INE1B3501014</t>
        </is>
      </c>
      <c r="B1268" s="16" t="inlineStr">
        <is>
          <t>ZELIO</t>
        </is>
      </c>
      <c r="C1268" s="16" t="inlineStr">
        <is>
          <t>Zelio E-Mobility Ltd.</t>
        </is>
      </c>
      <c r="D1268" s="16" t="inlineStr">
        <is>
          <t>2/3 Wheelers</t>
        </is>
      </c>
      <c r="E1268" s="16" t="inlineStr">
        <is>
          <t>Automobiles &amp; Auto Components</t>
        </is>
      </c>
      <c r="F1268" s="17" t="n">
        <v>1858.87</v>
      </c>
      <c r="G1268" s="16" t="inlineStr"/>
      <c r="H1268" s="16" t="inlineStr">
        <is>
          <t>544563</t>
        </is>
      </c>
      <c r="I1268" s="27">
        <f>IFERROR(IF(INDEX(Stocks!$G$2:$G$2139,MATCH(A1268,Stocks!$E$2:$E$2139,0))="","No","Yes"),"No")</f>
        <v/>
      </c>
    </row>
    <row r="1269">
      <c r="A1269" s="16" t="inlineStr">
        <is>
          <t>INE1SRC01010</t>
        </is>
      </c>
      <c r="B1269" s="16" t="inlineStr">
        <is>
          <t>MILLWORKS</t>
        </is>
      </c>
      <c r="C1269" s="16" t="inlineStr">
        <is>
          <t>Millworks Technologies Ltd.</t>
        </is>
      </c>
      <c r="D1269" s="16" t="inlineStr">
        <is>
          <t>Industrial Machinery</t>
        </is>
      </c>
      <c r="E1269" s="16" t="inlineStr">
        <is>
          <t>General Industrials</t>
        </is>
      </c>
      <c r="F1269" s="17" t="n">
        <v>1857.92</v>
      </c>
      <c r="G1269" s="16" t="inlineStr"/>
      <c r="H1269" s="16" t="inlineStr">
        <is>
          <t>544826</t>
        </is>
      </c>
      <c r="I1269" s="27">
        <f>IFERROR(IF(INDEX(Stocks!$G$2:$G$2139,MATCH(A1269,Stocks!$E$2:$E$2139,0))="","No","Yes"),"No")</f>
        <v/>
      </c>
    </row>
    <row r="1270">
      <c r="A1270" s="16" t="inlineStr">
        <is>
          <t>INE704B01017</t>
        </is>
      </c>
      <c r="B1270" s="16" t="inlineStr">
        <is>
          <t>RACLGEAR</t>
        </is>
      </c>
      <c r="C1270" s="16" t="inlineStr">
        <is>
          <t>Racl Geartech Ltd.</t>
        </is>
      </c>
      <c r="D1270" s="16" t="inlineStr">
        <is>
          <t>Auto Parts &amp; Equipment</t>
        </is>
      </c>
      <c r="E1270" s="16" t="inlineStr">
        <is>
          <t>Automobiles &amp; Auto Components</t>
        </is>
      </c>
      <c r="F1270" s="17" t="n">
        <v>1857.92</v>
      </c>
      <c r="G1270" s="16" t="inlineStr">
        <is>
          <t>RACLGEAR</t>
        </is>
      </c>
      <c r="H1270" s="16" t="inlineStr">
        <is>
          <t>520073</t>
        </is>
      </c>
      <c r="I1270" s="27">
        <f>IFERROR(IF(INDEX(Stocks!$G$2:$G$2139,MATCH(A1270,Stocks!$E$2:$E$2139,0))="","No","Yes"),"No")</f>
        <v/>
      </c>
    </row>
    <row r="1271">
      <c r="A1271" s="16" t="inlineStr">
        <is>
          <t>INE170I01016</t>
        </is>
      </c>
      <c r="B1271" s="16" t="inlineStr">
        <is>
          <t>HGS</t>
        </is>
      </c>
      <c r="C1271" s="16" t="inlineStr">
        <is>
          <t>Hinduja Global Solutions Ltd.</t>
        </is>
      </c>
      <c r="D1271" s="16" t="inlineStr">
        <is>
          <t>BPO/KPO</t>
        </is>
      </c>
      <c r="E1271" s="16" t="inlineStr">
        <is>
          <t>Software &amp; Services</t>
        </is>
      </c>
      <c r="F1271" s="17" t="n">
        <v>1857.32</v>
      </c>
      <c r="G1271" s="16" t="inlineStr">
        <is>
          <t>HGS</t>
        </is>
      </c>
      <c r="H1271" s="16" t="inlineStr">
        <is>
          <t>532859</t>
        </is>
      </c>
      <c r="I1271" s="27">
        <f>IFERROR(IF(INDEX(Stocks!$G$2:$G$2139,MATCH(A1271,Stocks!$E$2:$E$2139,0))="","No","Yes"),"No")</f>
        <v/>
      </c>
    </row>
    <row r="1272">
      <c r="A1272" s="16" t="inlineStr">
        <is>
          <t>INE0PB301013</t>
        </is>
      </c>
      <c r="B1272" s="16" t="inlineStr">
        <is>
          <t>SCILAL</t>
        </is>
      </c>
      <c r="C1272" s="16" t="inlineStr">
        <is>
          <t>Shipping Corporation of India Land And Assets Ltd.</t>
        </is>
      </c>
      <c r="D1272" s="16" t="inlineStr">
        <is>
          <t>Realty</t>
        </is>
      </c>
      <c r="E1272" s="16" t="inlineStr">
        <is>
          <t>Realty</t>
        </is>
      </c>
      <c r="F1272" s="17" t="n">
        <v>1852.48</v>
      </c>
      <c r="G1272" s="16" t="inlineStr">
        <is>
          <t>SCILAL</t>
        </is>
      </c>
      <c r="H1272" s="16" t="inlineStr">
        <is>
          <t>544142</t>
        </is>
      </c>
      <c r="I1272" s="27">
        <f>IFERROR(IF(INDEX(Stocks!$G$2:$G$2139,MATCH(A1272,Stocks!$E$2:$E$2139,0))="","No","Yes"),"No")</f>
        <v/>
      </c>
    </row>
    <row r="1273">
      <c r="A1273" s="16" t="inlineStr">
        <is>
          <t>INE015C01016</t>
        </is>
      </c>
      <c r="B1273" s="16" t="inlineStr">
        <is>
          <t>TINNARUBR</t>
        </is>
      </c>
      <c r="C1273" s="16" t="inlineStr">
        <is>
          <t>Tinna Rubber and Infrastructure Ltd.</t>
        </is>
      </c>
      <c r="D1273" s="16" t="inlineStr">
        <is>
          <t>Specialty Chemicals</t>
        </is>
      </c>
      <c r="E1273" s="16" t="inlineStr">
        <is>
          <t>Chemicals &amp; Petrochemicals</t>
        </is>
      </c>
      <c r="F1273" s="17" t="n">
        <v>1852.38</v>
      </c>
      <c r="G1273" s="16" t="inlineStr">
        <is>
          <t>TINNARUBR</t>
        </is>
      </c>
      <c r="H1273" s="16" t="inlineStr">
        <is>
          <t>530475</t>
        </is>
      </c>
      <c r="I1273" s="27">
        <f>IFERROR(IF(INDEX(Stocks!$G$2:$G$2139,MATCH(A1273,Stocks!$E$2:$E$2139,0))="","No","Yes"),"No")</f>
        <v/>
      </c>
    </row>
    <row r="1274">
      <c r="A1274" s="16" t="inlineStr">
        <is>
          <t>INE264T01014</t>
        </is>
      </c>
      <c r="B1274" s="16" t="inlineStr">
        <is>
          <t>CAPACITE</t>
        </is>
      </c>
      <c r="C1274" s="16" t="inlineStr">
        <is>
          <t>Capacit'e Infraprojects Ltd.</t>
        </is>
      </c>
      <c r="D1274" s="16" t="inlineStr">
        <is>
          <t>Construction &amp; Engineering</t>
        </is>
      </c>
      <c r="E1274" s="16" t="inlineStr">
        <is>
          <t>Cement and Construction</t>
        </is>
      </c>
      <c r="F1274" s="17" t="n">
        <v>1829.31</v>
      </c>
      <c r="G1274" s="16" t="inlineStr">
        <is>
          <t>CAPACITE</t>
        </is>
      </c>
      <c r="H1274" s="16" t="inlineStr">
        <is>
          <t>540710</t>
        </is>
      </c>
      <c r="I1274" s="27">
        <f>IFERROR(IF(INDEX(Stocks!$G$2:$G$2139,MATCH(A1274,Stocks!$E$2:$E$2139,0))="","No","Yes"),"No")</f>
        <v/>
      </c>
    </row>
    <row r="1275">
      <c r="A1275" s="16" t="inlineStr">
        <is>
          <t>INE193B01039</t>
        </is>
      </c>
      <c r="B1275" s="16" t="inlineStr">
        <is>
          <t>AYMSYNTEX</t>
        </is>
      </c>
      <c r="C1275" s="16" t="inlineStr">
        <is>
          <t>AYM Syntex Ltd.</t>
        </is>
      </c>
      <c r="D1275" s="16" t="inlineStr">
        <is>
          <t>Textiles</t>
        </is>
      </c>
      <c r="E1275" s="16" t="inlineStr">
        <is>
          <t>Textiles Apparels &amp; Accessories</t>
        </is>
      </c>
      <c r="F1275" s="17" t="n">
        <v>1826.54</v>
      </c>
      <c r="G1275" s="16" t="inlineStr">
        <is>
          <t>AYMSYNTEX</t>
        </is>
      </c>
      <c r="H1275" s="16" t="inlineStr">
        <is>
          <t>508933</t>
        </is>
      </c>
      <c r="I1275" s="27">
        <f>IFERROR(IF(INDEX(Stocks!$G$2:$G$2139,MATCH(A1275,Stocks!$E$2:$E$2139,0))="","No","Yes"),"No")</f>
        <v/>
      </c>
    </row>
    <row r="1276">
      <c r="A1276" s="16" t="inlineStr">
        <is>
          <t>INE985W01018</t>
        </is>
      </c>
      <c r="B1276" s="16" t="inlineStr">
        <is>
          <t>CNL</t>
        </is>
      </c>
      <c r="C1276" s="16" t="inlineStr">
        <is>
          <t>Creative Newtech Ltd.</t>
        </is>
      </c>
      <c r="D1276" s="16" t="inlineStr">
        <is>
          <t>Internet &amp; Catalogue Retail</t>
        </is>
      </c>
      <c r="E1276" s="16" t="inlineStr">
        <is>
          <t>Retailing</t>
        </is>
      </c>
      <c r="F1276" s="17" t="n">
        <v>1825.28</v>
      </c>
      <c r="G1276" s="16" t="inlineStr">
        <is>
          <t>CNL</t>
        </is>
      </c>
      <c r="H1276" s="16" t="inlineStr">
        <is>
          <t>544631</t>
        </is>
      </c>
      <c r="I1276" s="27">
        <f>IFERROR(IF(INDEX(Stocks!$G$2:$G$2139,MATCH(A1276,Stocks!$E$2:$E$2139,0))="","No","Yes"),"No")</f>
        <v/>
      </c>
    </row>
    <row r="1277">
      <c r="A1277" s="16" t="inlineStr">
        <is>
          <t>INE0G5901015</t>
        </is>
      </c>
      <c r="B1277" s="16" t="inlineStr">
        <is>
          <t>EPACK</t>
        </is>
      </c>
      <c r="C1277" s="16" t="inlineStr">
        <is>
          <t>EPACK Durables Ltd.</t>
        </is>
      </c>
      <c r="D1277" s="16" t="inlineStr">
        <is>
          <t>Consumer Electronics</t>
        </is>
      </c>
      <c r="E1277" s="16" t="inlineStr">
        <is>
          <t>Consumer Durables</t>
        </is>
      </c>
      <c r="F1277" s="17" t="n">
        <v>1821.32</v>
      </c>
      <c r="G1277" s="16" t="inlineStr">
        <is>
          <t>EPACK</t>
        </is>
      </c>
      <c r="H1277" s="16" t="inlineStr">
        <is>
          <t>544095</t>
        </is>
      </c>
      <c r="I1277" s="27">
        <f>IFERROR(IF(INDEX(Stocks!$G$2:$G$2139,MATCH(A1277,Stocks!$E$2:$E$2139,0))="","No","Yes"),"No")</f>
        <v/>
      </c>
    </row>
    <row r="1278">
      <c r="A1278" s="16" t="inlineStr">
        <is>
          <t>INE08LI01020</t>
        </is>
      </c>
      <c r="B1278" s="16" t="inlineStr">
        <is>
          <t>KRSNAA</t>
        </is>
      </c>
      <c r="C1278" s="16" t="inlineStr">
        <is>
          <t>Krsnaa Diagnostics Ltd.</t>
        </is>
      </c>
      <c r="D1278" s="16" t="inlineStr">
        <is>
          <t>Healthcare Services</t>
        </is>
      </c>
      <c r="E1278" s="16" t="inlineStr">
        <is>
          <t>Healthcare</t>
        </is>
      </c>
      <c r="F1278" s="17" t="n">
        <v>1816.57</v>
      </c>
      <c r="G1278" s="16" t="inlineStr">
        <is>
          <t>KRSNAA</t>
        </is>
      </c>
      <c r="H1278" s="16" t="inlineStr">
        <is>
          <t>543328</t>
        </is>
      </c>
      <c r="I1278" s="27">
        <f>IFERROR(IF(INDEX(Stocks!$G$2:$G$2139,MATCH(A1278,Stocks!$E$2:$E$2139,0))="","No","Yes"),"No")</f>
        <v/>
      </c>
    </row>
    <row r="1279">
      <c r="A1279" s="16" t="inlineStr">
        <is>
          <t>INE276C01014</t>
        </is>
      </c>
      <c r="B1279" s="16" t="inlineStr">
        <is>
          <t>EIHAHOTELS</t>
        </is>
      </c>
      <c r="C1279" s="16" t="inlineStr">
        <is>
          <t>EIH Associated Hotels Ltd.</t>
        </is>
      </c>
      <c r="D1279" s="16" t="inlineStr">
        <is>
          <t>Hotels</t>
        </is>
      </c>
      <c r="E1279" s="16" t="inlineStr">
        <is>
          <t>Hotels Restaurants &amp; Tourism</t>
        </is>
      </c>
      <c r="F1279" s="17" t="n">
        <v>1813.77</v>
      </c>
      <c r="G1279" s="16" t="inlineStr">
        <is>
          <t>EIHAHOTELS</t>
        </is>
      </c>
      <c r="H1279" s="16" t="inlineStr">
        <is>
          <t>523127</t>
        </is>
      </c>
      <c r="I1279" s="27">
        <f>IFERROR(IF(INDEX(Stocks!$G$2:$G$2139,MATCH(A1279,Stocks!$E$2:$E$2139,0))="","No","Yes"),"No")</f>
        <v/>
      </c>
    </row>
    <row r="1280">
      <c r="A1280" s="16" t="inlineStr">
        <is>
          <t>INE192H01020</t>
        </is>
      </c>
      <c r="B1280" s="16" t="inlineStr">
        <is>
          <t>GRMOVER</t>
        </is>
      </c>
      <c r="C1280" s="16" t="inlineStr">
        <is>
          <t>GRM Overseas Ltd.</t>
        </is>
      </c>
      <c r="D1280" s="16" t="inlineStr">
        <is>
          <t>Other Agricultural Products</t>
        </is>
      </c>
      <c r="E1280" s="16" t="inlineStr">
        <is>
          <t>Food, Beverages &amp; Tobacco</t>
        </is>
      </c>
      <c r="F1280" s="17" t="n">
        <v>1813.71</v>
      </c>
      <c r="G1280" s="16" t="inlineStr">
        <is>
          <t>GRMOVER</t>
        </is>
      </c>
      <c r="H1280" s="16" t="inlineStr">
        <is>
          <t>531449</t>
        </is>
      </c>
      <c r="I1280" s="27">
        <f>IFERROR(IF(INDEX(Stocks!$G$2:$G$2139,MATCH(A1280,Stocks!$E$2:$E$2139,0))="","No","Yes"),"No")</f>
        <v/>
      </c>
    </row>
    <row r="1281">
      <c r="A1281" s="16" t="inlineStr">
        <is>
          <t>INE598D01035</t>
        </is>
      </c>
      <c r="B1281" s="16" t="inlineStr">
        <is>
          <t>ALGOQUANT</t>
        </is>
      </c>
      <c r="C1281" s="16" t="inlineStr">
        <is>
          <t>Algoquant Fintech Ltd.</t>
        </is>
      </c>
      <c r="D1281" s="16" t="inlineStr">
        <is>
          <t>Other Financial Services</t>
        </is>
      </c>
      <c r="E1281" s="16" t="inlineStr">
        <is>
          <t>Banking and Finance</t>
        </is>
      </c>
      <c r="F1281" s="17" t="n">
        <v>1813.07</v>
      </c>
      <c r="G1281" s="16" t="inlineStr">
        <is>
          <t>ALGOQUANT</t>
        </is>
      </c>
      <c r="H1281" s="16" t="inlineStr">
        <is>
          <t>505725</t>
        </is>
      </c>
      <c r="I1281" s="27">
        <f>IFERROR(IF(INDEX(Stocks!$G$2:$G$2139,MATCH(A1281,Stocks!$E$2:$E$2139,0))="","No","Yes"),"No")</f>
        <v/>
      </c>
    </row>
    <row r="1282">
      <c r="A1282" s="16" t="inlineStr">
        <is>
          <t>INE425B01027</t>
        </is>
      </c>
      <c r="B1282" s="16" t="inlineStr">
        <is>
          <t>BCG</t>
        </is>
      </c>
      <c r="C1282" s="16" t="inlineStr">
        <is>
          <t>Brightcom Group Ltd.</t>
        </is>
      </c>
      <c r="D1282" s="16" t="inlineStr">
        <is>
          <t>Internet Software &amp; Services</t>
        </is>
      </c>
      <c r="E1282" s="16" t="inlineStr">
        <is>
          <t>Software &amp; Services</t>
        </is>
      </c>
      <c r="F1282" s="17" t="n">
        <v>1812.63</v>
      </c>
      <c r="G1282" s="16" t="inlineStr">
        <is>
          <t>BCG</t>
        </is>
      </c>
      <c r="H1282" s="16" t="inlineStr">
        <is>
          <t>532368</t>
        </is>
      </c>
      <c r="I1282" s="27">
        <f>IFERROR(IF(INDEX(Stocks!$G$2:$G$2139,MATCH(A1282,Stocks!$E$2:$E$2139,0))="","No","Yes"),"No")</f>
        <v/>
      </c>
    </row>
    <row r="1283">
      <c r="A1283" s="16" t="inlineStr">
        <is>
          <t>INE071D01033</t>
        </is>
      </c>
      <c r="B1283" s="16" t="inlineStr">
        <is>
          <t>MENONBE</t>
        </is>
      </c>
      <c r="C1283" s="16" t="inlineStr">
        <is>
          <t>Menon Bearings Ltd.</t>
        </is>
      </c>
      <c r="D1283" s="16" t="inlineStr">
        <is>
          <t>Auto Parts &amp; Equipment</t>
        </is>
      </c>
      <c r="E1283" s="16" t="inlineStr">
        <is>
          <t>Automobiles &amp; Auto Components</t>
        </is>
      </c>
      <c r="F1283" s="17" t="n">
        <v>1801.13</v>
      </c>
      <c r="G1283" s="16" t="inlineStr">
        <is>
          <t>MENONBE</t>
        </is>
      </c>
      <c r="H1283" s="16" t="inlineStr">
        <is>
          <t>523828</t>
        </is>
      </c>
      <c r="I1283" s="27">
        <f>IFERROR(IF(INDEX(Stocks!$G$2:$G$2139,MATCH(A1283,Stocks!$E$2:$E$2139,0))="","No","Yes"),"No")</f>
        <v/>
      </c>
    </row>
    <row r="1284">
      <c r="A1284" s="16" t="inlineStr">
        <is>
          <t>INE631E01024</t>
        </is>
      </c>
      <c r="B1284" s="16" t="inlineStr">
        <is>
          <t>SPICELOUNG</t>
        </is>
      </c>
      <c r="C1284" s="16" t="inlineStr">
        <is>
          <t>Spice Lounge Food Works Ltd.</t>
        </is>
      </c>
      <c r="D1284" s="16" t="inlineStr">
        <is>
          <t>Other Financial Services</t>
        </is>
      </c>
      <c r="E1284" s="16" t="inlineStr">
        <is>
          <t>Banking and Finance</t>
        </is>
      </c>
      <c r="F1284" s="17" t="n">
        <v>1800.67</v>
      </c>
      <c r="G1284" s="16" t="inlineStr"/>
      <c r="H1284" s="16" t="inlineStr">
        <is>
          <t>539895</t>
        </is>
      </c>
      <c r="I1284" s="27">
        <f>IFERROR(IF(INDEX(Stocks!$G$2:$G$2139,MATCH(A1284,Stocks!$E$2:$E$2139,0))="","No","Yes"),"No")</f>
        <v/>
      </c>
    </row>
    <row r="1285">
      <c r="A1285" s="16" t="inlineStr">
        <is>
          <t>INE070I01018</t>
        </is>
      </c>
      <c r="B1285" s="16" t="inlineStr">
        <is>
          <t>INSECTICID</t>
        </is>
      </c>
      <c r="C1285" s="16" t="inlineStr">
        <is>
          <t>Insecticides (India) Ltd.</t>
        </is>
      </c>
      <c r="D1285" s="16" t="inlineStr">
        <is>
          <t>Agrochemicals</t>
        </is>
      </c>
      <c r="E1285" s="16" t="inlineStr">
        <is>
          <t>Chemicals &amp; Petrochemicals</t>
        </is>
      </c>
      <c r="F1285" s="17" t="n">
        <v>1799.55</v>
      </c>
      <c r="G1285" s="16" t="inlineStr">
        <is>
          <t>INSECTICID</t>
        </is>
      </c>
      <c r="H1285" s="16" t="inlineStr">
        <is>
          <t>532851</t>
        </is>
      </c>
      <c r="I1285" s="27">
        <f>IFERROR(IF(INDEX(Stocks!$G$2:$G$2139,MATCH(A1285,Stocks!$E$2:$E$2139,0))="","No","Yes"),"No")</f>
        <v/>
      </c>
    </row>
    <row r="1286">
      <c r="A1286" s="16" t="inlineStr">
        <is>
          <t>INE782X01033</t>
        </is>
      </c>
      <c r="B1286" s="16" t="inlineStr">
        <is>
          <t>SERVOTECH</t>
        </is>
      </c>
      <c r="C1286" s="16" t="inlineStr">
        <is>
          <t>Servotech Renewable Power System Ltd.</t>
        </is>
      </c>
      <c r="D1286" s="16" t="inlineStr">
        <is>
          <t>Other Electrical Equipment/Products</t>
        </is>
      </c>
      <c r="E1286" s="16" t="inlineStr">
        <is>
          <t>Consumer Durables</t>
        </is>
      </c>
      <c r="F1286" s="17" t="n">
        <v>1798.18</v>
      </c>
      <c r="G1286" s="16" t="inlineStr">
        <is>
          <t>SERVOTECH</t>
        </is>
      </c>
      <c r="H1286" s="16" t="inlineStr"/>
      <c r="I1286" s="27">
        <f>IFERROR(IF(INDEX(Stocks!$G$2:$G$2139,MATCH(A1286,Stocks!$E$2:$E$2139,0))="","No","Yes"),"No")</f>
        <v/>
      </c>
    </row>
    <row r="1287">
      <c r="A1287" s="16" t="inlineStr">
        <is>
          <t>INE887E01022</t>
        </is>
      </c>
      <c r="B1287" s="16" t="inlineStr">
        <is>
          <t>NGLFINE</t>
        </is>
      </c>
      <c r="C1287" s="16" t="inlineStr">
        <is>
          <t>NGL Fine - Chem Ltd.</t>
        </is>
      </c>
      <c r="D1287" s="16" t="inlineStr">
        <is>
          <t>Pharmaceuticals</t>
        </is>
      </c>
      <c r="E1287" s="16" t="inlineStr">
        <is>
          <t>Pharmaceuticals &amp; Biotechnology</t>
        </is>
      </c>
      <c r="F1287" s="17" t="n">
        <v>1796.25</v>
      </c>
      <c r="G1287" s="16" t="inlineStr">
        <is>
          <t>NGLFINE</t>
        </is>
      </c>
      <c r="H1287" s="16" t="inlineStr">
        <is>
          <t>524774</t>
        </is>
      </c>
      <c r="I1287" s="27">
        <f>IFERROR(IF(INDEX(Stocks!$G$2:$G$2139,MATCH(A1287,Stocks!$E$2:$E$2139,0))="","No","Yes"),"No")</f>
        <v/>
      </c>
    </row>
    <row r="1288">
      <c r="A1288" s="16" t="inlineStr">
        <is>
          <t>INE737E01011</t>
        </is>
      </c>
      <c r="B1288" s="16" t="inlineStr">
        <is>
          <t>KSSMART</t>
        </is>
      </c>
      <c r="C1288" s="16" t="inlineStr">
        <is>
          <t>KS Smart Technologies Ltd.</t>
        </is>
      </c>
      <c r="D1288" s="16" t="inlineStr">
        <is>
          <t>Paper &amp; Paper Products</t>
        </is>
      </c>
      <c r="E1288" s="16" t="inlineStr">
        <is>
          <t>Commercial Services &amp; Supplies</t>
        </is>
      </c>
      <c r="F1288" s="17" t="n">
        <v>1795.75</v>
      </c>
      <c r="G1288" s="16" t="inlineStr"/>
      <c r="H1288" s="16" t="inlineStr">
        <is>
          <t>516038</t>
        </is>
      </c>
      <c r="I1288" s="27">
        <f>IFERROR(IF(INDEX(Stocks!$G$2:$G$2139,MATCH(A1288,Stocks!$E$2:$E$2139,0))="","No","Yes"),"No")</f>
        <v/>
      </c>
    </row>
    <row r="1289">
      <c r="A1289" s="16" t="inlineStr">
        <is>
          <t>INE150C01029</t>
        </is>
      </c>
      <c r="B1289" s="16" t="inlineStr">
        <is>
          <t>TITANBIO</t>
        </is>
      </c>
      <c r="C1289" s="16" t="inlineStr">
        <is>
          <t>Titan Biotech Ltd.</t>
        </is>
      </c>
      <c r="D1289" s="16" t="inlineStr">
        <is>
          <t>Specialty Chemicals</t>
        </is>
      </c>
      <c r="E1289" s="16" t="inlineStr">
        <is>
          <t>Chemicals &amp; Petrochemicals</t>
        </is>
      </c>
      <c r="F1289" s="17" t="n">
        <v>1793.43</v>
      </c>
      <c r="G1289" s="16" t="inlineStr"/>
      <c r="H1289" s="16" t="inlineStr">
        <is>
          <t>524717</t>
        </is>
      </c>
      <c r="I1289" s="27">
        <f>IFERROR(IF(INDEX(Stocks!$G$2:$G$2139,MATCH(A1289,Stocks!$E$2:$E$2139,0))="","No","Yes"),"No")</f>
        <v/>
      </c>
    </row>
    <row r="1290">
      <c r="A1290" s="16" t="inlineStr">
        <is>
          <t>INE144Z01023</t>
        </is>
      </c>
      <c r="B1290" s="16" t="inlineStr">
        <is>
          <t>TARSONS</t>
        </is>
      </c>
      <c r="C1290" s="16" t="inlineStr">
        <is>
          <t>Tarsons Products Ltd.</t>
        </is>
      </c>
      <c r="D1290" s="16" t="inlineStr">
        <is>
          <t>Medical Equipment</t>
        </is>
      </c>
      <c r="E1290" s="16" t="inlineStr">
        <is>
          <t>Healthcare</t>
        </is>
      </c>
      <c r="F1290" s="17" t="n">
        <v>1785.34</v>
      </c>
      <c r="G1290" s="16" t="inlineStr">
        <is>
          <t>TARSONS</t>
        </is>
      </c>
      <c r="H1290" s="16" t="inlineStr">
        <is>
          <t>543399</t>
        </is>
      </c>
      <c r="I1290" s="27">
        <f>IFERROR(IF(INDEX(Stocks!$G$2:$G$2139,MATCH(A1290,Stocks!$E$2:$E$2139,0))="","No","Yes"),"No")</f>
        <v/>
      </c>
    </row>
    <row r="1291">
      <c r="A1291" s="16" t="inlineStr">
        <is>
          <t>INE0PX301025</t>
        </is>
      </c>
      <c r="B1291" s="16" t="inlineStr">
        <is>
          <t>SKYWAYS</t>
        </is>
      </c>
      <c r="C1291" s="16" t="inlineStr">
        <is>
          <t>Skyways Air Services Ltd.</t>
        </is>
      </c>
      <c r="D1291" s="16" t="inlineStr">
        <is>
          <t>Warehousing &amp; Logistics</t>
        </is>
      </c>
      <c r="E1291" s="16" t="inlineStr">
        <is>
          <t>Transportation</t>
        </is>
      </c>
      <c r="F1291" s="17" t="n">
        <v>1783.66</v>
      </c>
      <c r="G1291" s="16" t="inlineStr">
        <is>
          <t>SKYWAYS</t>
        </is>
      </c>
      <c r="H1291" s="16" t="inlineStr">
        <is>
          <t>544890</t>
        </is>
      </c>
      <c r="I1291" s="27">
        <f>IFERROR(IF(INDEX(Stocks!$G$2:$G$2139,MATCH(A1291,Stocks!$E$2:$E$2139,0))="","No","Yes"),"No")</f>
        <v/>
      </c>
    </row>
    <row r="1292">
      <c r="A1292" s="16" t="inlineStr">
        <is>
          <t>INE0JR601024</t>
        </is>
      </c>
      <c r="B1292" s="16" t="inlineStr">
        <is>
          <t>YATRA</t>
        </is>
      </c>
      <c r="C1292" s="16" t="inlineStr">
        <is>
          <t>Yatra Online Ltd.</t>
        </is>
      </c>
      <c r="D1292" s="16" t="inlineStr">
        <is>
          <t>Travel Support Services</t>
        </is>
      </c>
      <c r="E1292" s="16" t="inlineStr">
        <is>
          <t>Diversified Consumer Services</t>
        </is>
      </c>
      <c r="F1292" s="17" t="n">
        <v>1780.84</v>
      </c>
      <c r="G1292" s="16" t="inlineStr">
        <is>
          <t>YATRA</t>
        </is>
      </c>
      <c r="H1292" s="16" t="inlineStr">
        <is>
          <t>543992</t>
        </is>
      </c>
      <c r="I1292" s="27">
        <f>IFERROR(IF(INDEX(Stocks!$G$2:$G$2139,MATCH(A1292,Stocks!$E$2:$E$2139,0))="","No","Yes"),"No")</f>
        <v/>
      </c>
    </row>
    <row r="1293">
      <c r="A1293" s="16" t="inlineStr">
        <is>
          <t>INE542Z01028</t>
        </is>
      </c>
      <c r="B1293" s="16" t="inlineStr">
        <is>
          <t>KAPSTON</t>
        </is>
      </c>
      <c r="C1293" s="16" t="inlineStr">
        <is>
          <t>Kapston Services Ltd.</t>
        </is>
      </c>
      <c r="D1293" s="16" t="inlineStr">
        <is>
          <t>Misc. Commercial Services</t>
        </is>
      </c>
      <c r="E1293" s="16" t="inlineStr">
        <is>
          <t>Commercial Services &amp; Supplies</t>
        </is>
      </c>
      <c r="F1293" s="17" t="n">
        <v>1777.39</v>
      </c>
      <c r="G1293" s="16" t="inlineStr">
        <is>
          <t>KAPSTON</t>
        </is>
      </c>
      <c r="H1293" s="16" t="inlineStr"/>
      <c r="I1293" s="27">
        <f>IFERROR(IF(INDEX(Stocks!$G$2:$G$2139,MATCH(A1293,Stocks!$E$2:$E$2139,0))="","No","Yes"),"No")</f>
        <v/>
      </c>
    </row>
    <row r="1294">
      <c r="A1294" s="16" t="inlineStr">
        <is>
          <t>INE184O01015</t>
        </is>
      </c>
      <c r="B1294" s="16" t="inlineStr">
        <is>
          <t>DIFFNKG</t>
        </is>
      </c>
      <c r="C1294" s="16" t="inlineStr">
        <is>
          <t>Diffusion Engineers Ltd.</t>
        </is>
      </c>
      <c r="D1294" s="16" t="inlineStr">
        <is>
          <t>Other Industrial Goods</t>
        </is>
      </c>
      <c r="E1294" s="16" t="inlineStr">
        <is>
          <t>General Industrials</t>
        </is>
      </c>
      <c r="F1294" s="17" t="n">
        <v>1777.37</v>
      </c>
      <c r="G1294" s="16" t="inlineStr">
        <is>
          <t>DIFFNKG</t>
        </is>
      </c>
      <c r="H1294" s="16" t="inlineStr">
        <is>
          <t>544264</t>
        </is>
      </c>
      <c r="I1294" s="27">
        <f>IFERROR(IF(INDEX(Stocks!$G$2:$G$2139,MATCH(A1294,Stocks!$E$2:$E$2139,0))="","No","Yes"),"No")</f>
        <v/>
      </c>
    </row>
    <row r="1295">
      <c r="A1295" s="16" t="inlineStr">
        <is>
          <t>INE661I01014</t>
        </is>
      </c>
      <c r="B1295" s="16" t="inlineStr">
        <is>
          <t>BGRENERGY</t>
        </is>
      </c>
      <c r="C1295" s="16" t="inlineStr">
        <is>
          <t>BGR Energy Systems Ltd.</t>
        </is>
      </c>
      <c r="D1295" s="16" t="inlineStr">
        <is>
          <t>Power - Electric Utilities</t>
        </is>
      </c>
      <c r="E1295" s="16" t="inlineStr">
        <is>
          <t>Utilities</t>
        </is>
      </c>
      <c r="F1295" s="17" t="n">
        <v>1777.05</v>
      </c>
      <c r="G1295" s="16" t="inlineStr">
        <is>
          <t>BGRENERGY</t>
        </is>
      </c>
      <c r="H1295" s="16" t="inlineStr">
        <is>
          <t>532930</t>
        </is>
      </c>
      <c r="I1295" s="27">
        <f>IFERROR(IF(INDEX(Stocks!$G$2:$G$2139,MATCH(A1295,Stocks!$E$2:$E$2139,0))="","No","Yes"),"No")</f>
        <v/>
      </c>
    </row>
    <row r="1296">
      <c r="A1296" s="16" t="inlineStr">
        <is>
          <t>INE362A01016</t>
        </is>
      </c>
      <c r="B1296" s="16" t="inlineStr">
        <is>
          <t>PVP</t>
        </is>
      </c>
      <c r="C1296" s="16" t="inlineStr">
        <is>
          <t>PVP Ventures Ltd.</t>
        </is>
      </c>
      <c r="D1296" s="16" t="inlineStr">
        <is>
          <t>Realty</t>
        </is>
      </c>
      <c r="E1296" s="16" t="inlineStr">
        <is>
          <t>Realty</t>
        </is>
      </c>
      <c r="F1296" s="17" t="n">
        <v>1769.18</v>
      </c>
      <c r="G1296" s="16" t="inlineStr">
        <is>
          <t>PVP</t>
        </is>
      </c>
      <c r="H1296" s="16" t="inlineStr">
        <is>
          <t>517556</t>
        </is>
      </c>
      <c r="I1296" s="27">
        <f>IFERROR(IF(INDEX(Stocks!$G$2:$G$2139,MATCH(A1296,Stocks!$E$2:$E$2139,0))="","No","Yes"),"No")</f>
        <v/>
      </c>
    </row>
    <row r="1297">
      <c r="A1297" s="16" t="inlineStr">
        <is>
          <t>INE878K01010</t>
        </is>
      </c>
      <c r="B1297" s="16" t="inlineStr">
        <is>
          <t>BFINVEST</t>
        </is>
      </c>
      <c r="C1297" s="16" t="inlineStr">
        <is>
          <t>BF Investment Ltd.</t>
        </is>
      </c>
      <c r="D1297" s="16" t="inlineStr">
        <is>
          <t>Holding Companies</t>
        </is>
      </c>
      <c r="E1297" s="16" t="inlineStr">
        <is>
          <t>Diversified</t>
        </is>
      </c>
      <c r="F1297" s="17" t="n">
        <v>1767.93</v>
      </c>
      <c r="G1297" s="16" t="inlineStr">
        <is>
          <t>BFINVEST</t>
        </is>
      </c>
      <c r="H1297" s="16" t="inlineStr">
        <is>
          <t>533303</t>
        </is>
      </c>
      <c r="I1297" s="27">
        <f>IFERROR(IF(INDEX(Stocks!$G$2:$G$2139,MATCH(A1297,Stocks!$E$2:$E$2139,0))="","No","Yes"),"No")</f>
        <v/>
      </c>
    </row>
    <row r="1298">
      <c r="A1298" s="16" t="inlineStr">
        <is>
          <t>INE209B01025</t>
        </is>
      </c>
      <c r="B1298" s="16" t="inlineStr">
        <is>
          <t>RICOAUTO</t>
        </is>
      </c>
      <c r="C1298" s="16" t="inlineStr">
        <is>
          <t>Rico Auto Industries Ltd.</t>
        </is>
      </c>
      <c r="D1298" s="16" t="inlineStr">
        <is>
          <t>Auto Parts &amp; Equipment</t>
        </is>
      </c>
      <c r="E1298" s="16" t="inlineStr">
        <is>
          <t>Automobiles &amp; Auto Components</t>
        </is>
      </c>
      <c r="F1298" s="17" t="n">
        <v>1764.93</v>
      </c>
      <c r="G1298" s="16" t="inlineStr">
        <is>
          <t>RICOAUTO</t>
        </is>
      </c>
      <c r="H1298" s="16" t="inlineStr">
        <is>
          <t>520008</t>
        </is>
      </c>
      <c r="I1298" s="27">
        <f>IFERROR(IF(INDEX(Stocks!$G$2:$G$2139,MATCH(A1298,Stocks!$E$2:$E$2139,0))="","No","Yes"),"No")</f>
        <v/>
      </c>
    </row>
    <row r="1299">
      <c r="A1299" s="16" t="inlineStr">
        <is>
          <t>INE0BJS01011</t>
        </is>
      </c>
      <c r="B1299" s="16" t="inlineStr">
        <is>
          <t>GOCOLORS</t>
        </is>
      </c>
      <c r="C1299" s="16" t="inlineStr">
        <is>
          <t>Go Fashion (India) Ltd.</t>
        </is>
      </c>
      <c r="D1299" s="16" t="inlineStr">
        <is>
          <t>Other Apparels &amp; Accessories</t>
        </is>
      </c>
      <c r="E1299" s="16" t="inlineStr">
        <is>
          <t>Textiles Apparels &amp; Accessories</t>
        </is>
      </c>
      <c r="F1299" s="17" t="n">
        <v>1764.2</v>
      </c>
      <c r="G1299" s="16" t="inlineStr">
        <is>
          <t>GOCOLORS</t>
        </is>
      </c>
      <c r="H1299" s="16" t="inlineStr">
        <is>
          <t>543401</t>
        </is>
      </c>
      <c r="I1299" s="27">
        <f>IFERROR(IF(INDEX(Stocks!$G$2:$G$2139,MATCH(A1299,Stocks!$E$2:$E$2139,0))="","No","Yes"),"No")</f>
        <v/>
      </c>
    </row>
    <row r="1300">
      <c r="A1300" s="16" t="inlineStr">
        <is>
          <t>INE716F01012</t>
        </is>
      </c>
      <c r="B1300" s="16" t="inlineStr">
        <is>
          <t>INDOKEM</t>
        </is>
      </c>
      <c r="C1300" s="16" t="inlineStr">
        <is>
          <t>Indokem Ltd.</t>
        </is>
      </c>
      <c r="D1300" s="16" t="inlineStr">
        <is>
          <t>Specialty Chemicals</t>
        </is>
      </c>
      <c r="E1300" s="16" t="inlineStr">
        <is>
          <t>Chemicals &amp; Petrochemicals</t>
        </is>
      </c>
      <c r="F1300" s="17" t="n">
        <v>1763.66</v>
      </c>
      <c r="G1300" s="16" t="inlineStr"/>
      <c r="H1300" s="16" t="inlineStr">
        <is>
          <t>504092</t>
        </is>
      </c>
      <c r="I1300" s="27">
        <f>IFERROR(IF(INDEX(Stocks!$G$2:$G$2139,MATCH(A1300,Stocks!$E$2:$E$2139,0))="","No","Yes"),"No")</f>
        <v/>
      </c>
    </row>
    <row r="1301">
      <c r="A1301" s="16" t="inlineStr">
        <is>
          <t>INE0XNF01022</t>
        </is>
      </c>
      <c r="B1301" s="16" t="inlineStr">
        <is>
          <t>ARDEE</t>
        </is>
      </c>
      <c r="C1301" s="16" t="inlineStr">
        <is>
          <t>Ardee Industries Ltd.</t>
        </is>
      </c>
      <c r="D1301" s="16" t="inlineStr">
        <is>
          <t>Other Non-Ferrous Metals</t>
        </is>
      </c>
      <c r="E1301" s="16" t="inlineStr">
        <is>
          <t>Metals &amp; Mining</t>
        </is>
      </c>
      <c r="F1301" s="17" t="n">
        <v>1754.41</v>
      </c>
      <c r="G1301" s="16" t="inlineStr">
        <is>
          <t>ARDEE</t>
        </is>
      </c>
      <c r="H1301" s="16" t="inlineStr">
        <is>
          <t>544860</t>
        </is>
      </c>
      <c r="I1301" s="27">
        <f>IFERROR(IF(INDEX(Stocks!$G$2:$G$2139,MATCH(A1301,Stocks!$E$2:$E$2139,0))="","No","Yes"),"No")</f>
        <v/>
      </c>
    </row>
    <row r="1302">
      <c r="A1302" s="16" t="inlineStr">
        <is>
          <t>INE959C01023</t>
        </is>
      </c>
      <c r="B1302" s="16" t="inlineStr">
        <is>
          <t>OAL</t>
        </is>
      </c>
      <c r="C1302" s="16" t="inlineStr">
        <is>
          <t>Oriental Aromatics Ltd.</t>
        </is>
      </c>
      <c r="D1302" s="16" t="inlineStr">
        <is>
          <t>Specialty Chemicals</t>
        </is>
      </c>
      <c r="E1302" s="16" t="inlineStr">
        <is>
          <t>Chemicals &amp; Petrochemicals</t>
        </is>
      </c>
      <c r="F1302" s="17" t="n">
        <v>1749.65</v>
      </c>
      <c r="G1302" s="16" t="inlineStr">
        <is>
          <t>OAL</t>
        </is>
      </c>
      <c r="H1302" s="16" t="inlineStr">
        <is>
          <t>500078</t>
        </is>
      </c>
      <c r="I1302" s="27">
        <f>IFERROR(IF(INDEX(Stocks!$G$2:$G$2139,MATCH(A1302,Stocks!$E$2:$E$2139,0))="","No","Yes"),"No")</f>
        <v/>
      </c>
    </row>
    <row r="1303">
      <c r="A1303" s="16" t="inlineStr">
        <is>
          <t>INE204A01010</t>
        </is>
      </c>
      <c r="B1303" s="16" t="inlineStr">
        <is>
          <t>IGPL</t>
        </is>
      </c>
      <c r="C1303" s="16" t="inlineStr">
        <is>
          <t>I G Petrochemicals Ltd.</t>
        </is>
      </c>
      <c r="D1303" s="16" t="inlineStr">
        <is>
          <t>Petrochemicals</t>
        </is>
      </c>
      <c r="E1303" s="16" t="inlineStr">
        <is>
          <t>Chemicals &amp; Petrochemicals</t>
        </is>
      </c>
      <c r="F1303" s="17" t="n">
        <v>1747.3</v>
      </c>
      <c r="G1303" s="16" t="inlineStr">
        <is>
          <t>IGPL</t>
        </is>
      </c>
      <c r="H1303" s="16" t="inlineStr">
        <is>
          <t>500199</t>
        </is>
      </c>
      <c r="I1303" s="27">
        <f>IFERROR(IF(INDEX(Stocks!$G$2:$G$2139,MATCH(A1303,Stocks!$E$2:$E$2139,0))="","No","Yes"),"No")</f>
        <v/>
      </c>
    </row>
    <row r="1304">
      <c r="A1304" s="16" t="inlineStr">
        <is>
          <t>INE070D01027</t>
        </is>
      </c>
      <c r="B1304" s="16" t="inlineStr">
        <is>
          <t>JAICORPLTD</t>
        </is>
      </c>
      <c r="C1304" s="16" t="inlineStr">
        <is>
          <t>Jai Corp Ltd.</t>
        </is>
      </c>
      <c r="D1304" s="16" t="inlineStr">
        <is>
          <t>Plastic Products</t>
        </is>
      </c>
      <c r="E1304" s="16" t="inlineStr">
        <is>
          <t>General Industrials</t>
        </is>
      </c>
      <c r="F1304" s="17" t="n">
        <v>1746.63</v>
      </c>
      <c r="G1304" s="16" t="inlineStr">
        <is>
          <t>JAICORPLTD</t>
        </is>
      </c>
      <c r="H1304" s="16" t="inlineStr">
        <is>
          <t>512237</t>
        </is>
      </c>
      <c r="I1304" s="27">
        <f>IFERROR(IF(INDEX(Stocks!$G$2:$G$2139,MATCH(A1304,Stocks!$E$2:$E$2139,0))="","No","Yes"),"No")</f>
        <v/>
      </c>
    </row>
    <row r="1305">
      <c r="A1305" s="16" t="inlineStr">
        <is>
          <t>INE560A01023</t>
        </is>
      </c>
      <c r="B1305" s="16" t="inlineStr">
        <is>
          <t>INDIAGLYCO</t>
        </is>
      </c>
      <c r="C1305" s="16" t="inlineStr">
        <is>
          <t>India Glycols Ltd.</t>
        </is>
      </c>
      <c r="D1305" s="16" t="inlineStr">
        <is>
          <t>Commodity Chemicals</t>
        </is>
      </c>
      <c r="E1305" s="16" t="inlineStr">
        <is>
          <t>Chemicals &amp; Petrochemicals</t>
        </is>
      </c>
      <c r="F1305" s="17" t="n">
        <v>1745.38</v>
      </c>
      <c r="G1305" s="16" t="inlineStr">
        <is>
          <t>INDIAGLYCO</t>
        </is>
      </c>
      <c r="H1305" s="16" t="inlineStr">
        <is>
          <t>500201</t>
        </is>
      </c>
      <c r="I1305" s="27">
        <f>IFERROR(IF(INDEX(Stocks!$G$2:$G$2139,MATCH(A1305,Stocks!$E$2:$E$2139,0))="","No","Yes"),"No")</f>
        <v/>
      </c>
    </row>
    <row r="1306">
      <c r="A1306" s="16" t="inlineStr">
        <is>
          <t>INE131C01011</t>
        </is>
      </c>
      <c r="B1306" s="16" t="inlineStr">
        <is>
          <t>DISAQ</t>
        </is>
      </c>
      <c r="C1306" s="16" t="inlineStr">
        <is>
          <t>Disa India Ltd.</t>
        </is>
      </c>
      <c r="D1306" s="16" t="inlineStr">
        <is>
          <t>Industrial Machinery</t>
        </is>
      </c>
      <c r="E1306" s="16" t="inlineStr">
        <is>
          <t>General Industrials</t>
        </is>
      </c>
      <c r="F1306" s="17" t="n">
        <v>1744.89</v>
      </c>
      <c r="G1306" s="16" t="inlineStr"/>
      <c r="H1306" s="16" t="inlineStr">
        <is>
          <t>500068</t>
        </is>
      </c>
      <c r="I1306" s="27">
        <f>IFERROR(IF(INDEX(Stocks!$G$2:$G$2139,MATCH(A1306,Stocks!$E$2:$E$2139,0))="","No","Yes"),"No")</f>
        <v/>
      </c>
    </row>
    <row r="1307">
      <c r="A1307" s="16" t="inlineStr">
        <is>
          <t>INE632C01026</t>
        </is>
      </c>
      <c r="B1307" s="16" t="inlineStr">
        <is>
          <t>VIDHIING</t>
        </is>
      </c>
      <c r="C1307" s="16" t="inlineStr">
        <is>
          <t>Vidhi Specialty Food Ingredients Ltd.</t>
        </is>
      </c>
      <c r="D1307" s="16" t="inlineStr">
        <is>
          <t>Specialty Chemicals</t>
        </is>
      </c>
      <c r="E1307" s="16" t="inlineStr">
        <is>
          <t>Chemicals &amp; Petrochemicals</t>
        </is>
      </c>
      <c r="F1307" s="17" t="n">
        <v>1736.84</v>
      </c>
      <c r="G1307" s="16" t="inlineStr">
        <is>
          <t>VIDHIING</t>
        </is>
      </c>
      <c r="H1307" s="16" t="inlineStr">
        <is>
          <t>531717</t>
        </is>
      </c>
      <c r="I1307" s="27">
        <f>IFERROR(IF(INDEX(Stocks!$G$2:$G$2139,MATCH(A1307,Stocks!$E$2:$E$2139,0))="","No","Yes"),"No")</f>
        <v/>
      </c>
    </row>
    <row r="1308">
      <c r="A1308" s="16" t="inlineStr">
        <is>
          <t>INE877V01027</t>
        </is>
      </c>
      <c r="B1308" s="16" t="inlineStr">
        <is>
          <t>SURAKSHA</t>
        </is>
      </c>
      <c r="C1308" s="16" t="inlineStr">
        <is>
          <t>Suraksha Diagnostic Ltd.</t>
        </is>
      </c>
      <c r="D1308" s="16" t="inlineStr">
        <is>
          <t>Healthcare Services</t>
        </is>
      </c>
      <c r="E1308" s="16" t="inlineStr">
        <is>
          <t>Healthcare</t>
        </is>
      </c>
      <c r="F1308" s="17" t="n">
        <v>1731.43</v>
      </c>
      <c r="G1308" s="16" t="inlineStr">
        <is>
          <t>SURAKSHA</t>
        </is>
      </c>
      <c r="H1308" s="16" t="inlineStr">
        <is>
          <t>544293</t>
        </is>
      </c>
      <c r="I1308" s="27">
        <f>IFERROR(IF(INDEX(Stocks!$G$2:$G$2139,MATCH(A1308,Stocks!$E$2:$E$2139,0))="","No","Yes"),"No")</f>
        <v/>
      </c>
    </row>
    <row r="1309">
      <c r="A1309" s="16" t="inlineStr">
        <is>
          <t>INE560K01014</t>
        </is>
      </c>
      <c r="B1309" s="16" t="inlineStr">
        <is>
          <t>PFS</t>
        </is>
      </c>
      <c r="C1309" s="16" t="inlineStr">
        <is>
          <t>PTC India Financial Services Ltd.</t>
        </is>
      </c>
      <c r="D1309" s="16" t="inlineStr">
        <is>
          <t>Finance (including NBFCs)</t>
        </is>
      </c>
      <c r="E1309" s="16" t="inlineStr">
        <is>
          <t>Banking and Finance</t>
        </is>
      </c>
      <c r="F1309" s="17" t="n">
        <v>1730.31</v>
      </c>
      <c r="G1309" s="16" t="inlineStr">
        <is>
          <t>PFS</t>
        </is>
      </c>
      <c r="H1309" s="16" t="inlineStr">
        <is>
          <t>533344</t>
        </is>
      </c>
      <c r="I1309" s="27">
        <f>IFERROR(IF(INDEX(Stocks!$G$2:$G$2139,MATCH(A1309,Stocks!$E$2:$E$2139,0))="","No","Yes"),"No")</f>
        <v/>
      </c>
    </row>
    <row r="1310">
      <c r="A1310" s="16" t="inlineStr">
        <is>
          <t>INE898S01029</t>
        </is>
      </c>
      <c r="B1310" s="16" t="inlineStr">
        <is>
          <t>AURUM</t>
        </is>
      </c>
      <c r="C1310" s="16" t="inlineStr">
        <is>
          <t>Aurum Proptech Ltd.</t>
        </is>
      </c>
      <c r="D1310" s="16" t="inlineStr">
        <is>
          <t>IT Consulting &amp; Software</t>
        </is>
      </c>
      <c r="E1310" s="16" t="inlineStr">
        <is>
          <t>Software &amp; Services</t>
        </is>
      </c>
      <c r="F1310" s="17" t="n">
        <v>1729.89</v>
      </c>
      <c r="G1310" s="16" t="inlineStr">
        <is>
          <t>AURUM</t>
        </is>
      </c>
      <c r="H1310" s="16" t="inlineStr">
        <is>
          <t>539289</t>
        </is>
      </c>
      <c r="I1310" s="27">
        <f>IFERROR(IF(INDEX(Stocks!$G$2:$G$2139,MATCH(A1310,Stocks!$E$2:$E$2139,0))="","No","Yes"),"No")</f>
        <v/>
      </c>
    </row>
    <row r="1311">
      <c r="A1311" s="16" t="inlineStr">
        <is>
          <t>INE039D01014</t>
        </is>
      </c>
      <c r="B1311" s="16" t="inlineStr">
        <is>
          <t>HYPERSOFT</t>
        </is>
      </c>
      <c r="C1311" s="16" t="inlineStr">
        <is>
          <t>Hypersoft Technologies Ltd.</t>
        </is>
      </c>
      <c r="D1311" s="16" t="inlineStr">
        <is>
          <t>IT Consulting &amp; Software</t>
        </is>
      </c>
      <c r="E1311" s="16" t="inlineStr">
        <is>
          <t>Software &amp; Services</t>
        </is>
      </c>
      <c r="F1311" s="17" t="n">
        <v>1721.97</v>
      </c>
      <c r="G1311" s="16" t="inlineStr"/>
      <c r="H1311" s="16" t="inlineStr">
        <is>
          <t>539724</t>
        </is>
      </c>
      <c r="I1311" s="27">
        <f>IFERROR(IF(INDEX(Stocks!$G$2:$G$2139,MATCH(A1311,Stocks!$E$2:$E$2139,0))="","No","Yes"),"No")</f>
        <v/>
      </c>
    </row>
    <row r="1312">
      <c r="A1312" s="16" t="inlineStr">
        <is>
          <t>INE07OG01012</t>
        </is>
      </c>
      <c r="B1312" s="16" t="inlineStr">
        <is>
          <t>NDRAUTO</t>
        </is>
      </c>
      <c r="C1312" s="16" t="inlineStr">
        <is>
          <t>NDR Auto Components Ltd.</t>
        </is>
      </c>
      <c r="D1312" s="16" t="inlineStr">
        <is>
          <t>Auto Parts &amp; Equipment</t>
        </is>
      </c>
      <c r="E1312" s="16" t="inlineStr">
        <is>
          <t>Automobiles &amp; Auto Components</t>
        </is>
      </c>
      <c r="F1312" s="17" t="n">
        <v>1720.75</v>
      </c>
      <c r="G1312" s="16" t="inlineStr">
        <is>
          <t>NDRAUTO</t>
        </is>
      </c>
      <c r="H1312" s="16" t="inlineStr">
        <is>
          <t>543214</t>
        </is>
      </c>
      <c r="I1312" s="27">
        <f>IFERROR(IF(INDEX(Stocks!$G$2:$G$2139,MATCH(A1312,Stocks!$E$2:$E$2139,0))="","No","Yes"),"No")</f>
        <v/>
      </c>
    </row>
    <row r="1313">
      <c r="A1313" s="16" t="inlineStr">
        <is>
          <t>INE533A01012</t>
        </is>
      </c>
      <c r="B1313" s="16" t="inlineStr">
        <is>
          <t>GOODYEAR</t>
        </is>
      </c>
      <c r="C1313" s="16" t="inlineStr">
        <is>
          <t>Goodyear India Ltd.</t>
        </is>
      </c>
      <c r="D1313" s="16" t="inlineStr">
        <is>
          <t>Auto Tyres &amp; Rubber Products</t>
        </is>
      </c>
      <c r="E1313" s="16" t="inlineStr">
        <is>
          <t>Automobiles &amp; Auto Components</t>
        </is>
      </c>
      <c r="F1313" s="17" t="n">
        <v>1712</v>
      </c>
      <c r="G1313" s="16" t="inlineStr"/>
      <c r="H1313" s="16" t="inlineStr">
        <is>
          <t>500168</t>
        </is>
      </c>
      <c r="I1313" s="27">
        <f>IFERROR(IF(INDEX(Stocks!$G$2:$G$2139,MATCH(A1313,Stocks!$E$2:$E$2139,0))="","No","Yes"),"No")</f>
        <v/>
      </c>
    </row>
    <row r="1314">
      <c r="A1314" s="16" t="inlineStr">
        <is>
          <t>INE103C01036</t>
        </is>
      </c>
      <c r="B1314" s="16" t="inlineStr">
        <is>
          <t>SMCGLOBAL</t>
        </is>
      </c>
      <c r="C1314" s="16" t="inlineStr">
        <is>
          <t>SMC Global Securities Ltd.</t>
        </is>
      </c>
      <c r="D1314" s="16" t="inlineStr">
        <is>
          <t>Capital Markets</t>
        </is>
      </c>
      <c r="E1314" s="16" t="inlineStr">
        <is>
          <t>Banking and Finance</t>
        </is>
      </c>
      <c r="F1314" s="17" t="n">
        <v>1701.38</v>
      </c>
      <c r="G1314" s="16" t="inlineStr">
        <is>
          <t>SMCGLOBAL</t>
        </is>
      </c>
      <c r="H1314" s="16" t="inlineStr">
        <is>
          <t>543263</t>
        </is>
      </c>
      <c r="I1314" s="27">
        <f>IFERROR(IF(INDEX(Stocks!$G$2:$G$2139,MATCH(A1314,Stocks!$E$2:$E$2139,0))="","No","Yes"),"No")</f>
        <v/>
      </c>
    </row>
    <row r="1315">
      <c r="A1315" s="16" t="inlineStr">
        <is>
          <t>INE0CT101020</t>
        </is>
      </c>
      <c r="B1315" s="16" t="inlineStr">
        <is>
          <t>MOL</t>
        </is>
      </c>
      <c r="C1315" s="16" t="inlineStr">
        <is>
          <t>Meghmani Organics Ltd.</t>
        </is>
      </c>
      <c r="D1315" s="16" t="inlineStr">
        <is>
          <t>Agrochemicals</t>
        </is>
      </c>
      <c r="E1315" s="16" t="inlineStr">
        <is>
          <t>Chemicals &amp; Petrochemicals</t>
        </is>
      </c>
      <c r="F1315" s="17" t="n">
        <v>1695.26</v>
      </c>
      <c r="G1315" s="16" t="inlineStr">
        <is>
          <t>MOL</t>
        </is>
      </c>
      <c r="H1315" s="16" t="inlineStr">
        <is>
          <t>543331</t>
        </is>
      </c>
      <c r="I1315" s="27">
        <f>IFERROR(IF(INDEX(Stocks!$G$2:$G$2139,MATCH(A1315,Stocks!$E$2:$E$2139,0))="","No","Yes"),"No")</f>
        <v/>
      </c>
    </row>
    <row r="1316">
      <c r="A1316" s="16" t="inlineStr">
        <is>
          <t>INE793A01012</t>
        </is>
      </c>
      <c r="B1316" s="16" t="inlineStr">
        <is>
          <t>ACCELYA</t>
        </is>
      </c>
      <c r="C1316" s="16" t="inlineStr">
        <is>
          <t>Accelya Solutions India Ltd.</t>
        </is>
      </c>
      <c r="D1316" s="16" t="inlineStr">
        <is>
          <t>IT Consulting &amp; Software</t>
        </is>
      </c>
      <c r="E1316" s="16" t="inlineStr">
        <is>
          <t>Software &amp; Services</t>
        </is>
      </c>
      <c r="F1316" s="17" t="n">
        <v>1688.16</v>
      </c>
      <c r="G1316" s="16" t="inlineStr">
        <is>
          <t>ACCELYA</t>
        </is>
      </c>
      <c r="H1316" s="16" t="inlineStr">
        <is>
          <t>532268</t>
        </is>
      </c>
      <c r="I1316" s="27">
        <f>IFERROR(IF(INDEX(Stocks!$G$2:$G$2139,MATCH(A1316,Stocks!$E$2:$E$2139,0))="","No","Yes"),"No")</f>
        <v/>
      </c>
    </row>
    <row r="1317">
      <c r="A1317" s="16" t="inlineStr">
        <is>
          <t>INE0YU901016</t>
        </is>
      </c>
      <c r="B1317" s="16" t="inlineStr">
        <is>
          <t>DANISH</t>
        </is>
      </c>
      <c r="C1317" s="16" t="inlineStr">
        <is>
          <t>Danish Power Ltd.</t>
        </is>
      </c>
      <c r="D1317" s="16" t="inlineStr">
        <is>
          <t>Heavy Electrical Equipment</t>
        </is>
      </c>
      <c r="E1317" s="16" t="inlineStr">
        <is>
          <t>General Industrials</t>
        </is>
      </c>
      <c r="F1317" s="17" t="n">
        <v>1681.86</v>
      </c>
      <c r="G1317" s="16" t="inlineStr">
        <is>
          <t>DANISH</t>
        </is>
      </c>
      <c r="H1317" s="16" t="inlineStr"/>
      <c r="I1317" s="27">
        <f>IFERROR(IF(INDEX(Stocks!$G$2:$G$2139,MATCH(A1317,Stocks!$E$2:$E$2139,0))="","No","Yes"),"No")</f>
        <v/>
      </c>
    </row>
    <row r="1318">
      <c r="A1318" s="16" t="inlineStr">
        <is>
          <t>INE127T01021</t>
        </is>
      </c>
      <c r="B1318" s="16" t="inlineStr">
        <is>
          <t>KPEL</t>
        </is>
      </c>
      <c r="C1318" s="16" t="inlineStr">
        <is>
          <t>K P Energy Ltd.</t>
        </is>
      </c>
      <c r="D1318" s="16" t="inlineStr">
        <is>
          <t>Power - Electric Utilities</t>
        </is>
      </c>
      <c r="E1318" s="16" t="inlineStr">
        <is>
          <t>Utilities</t>
        </is>
      </c>
      <c r="F1318" s="17" t="n">
        <v>1676.78</v>
      </c>
      <c r="G1318" s="16" t="inlineStr">
        <is>
          <t>KPEL</t>
        </is>
      </c>
      <c r="H1318" s="16" t="inlineStr">
        <is>
          <t>539686</t>
        </is>
      </c>
      <c r="I1318" s="27">
        <f>IFERROR(IF(INDEX(Stocks!$G$2:$G$2139,MATCH(A1318,Stocks!$E$2:$E$2139,0))="","No","Yes"),"No")</f>
        <v/>
      </c>
    </row>
    <row r="1319">
      <c r="A1319" s="16" t="inlineStr">
        <is>
          <t>INE153A01019</t>
        </is>
      </c>
      <c r="B1319" s="16" t="inlineStr">
        <is>
          <t>MTNL</t>
        </is>
      </c>
      <c r="C1319" s="16" t="inlineStr">
        <is>
          <t>Mahanagar Telephone Nigam Ltd.</t>
        </is>
      </c>
      <c r="D1319" s="16" t="inlineStr">
        <is>
          <t>Telecom Services</t>
        </is>
      </c>
      <c r="E1319" s="16" t="inlineStr">
        <is>
          <t>Telecom Services</t>
        </is>
      </c>
      <c r="F1319" s="17" t="n">
        <v>1672.65</v>
      </c>
      <c r="G1319" s="16" t="inlineStr">
        <is>
          <t>MTNL</t>
        </is>
      </c>
      <c r="H1319" s="16" t="inlineStr">
        <is>
          <t>500108</t>
        </is>
      </c>
      <c r="I1319" s="27">
        <f>IFERROR(IF(INDEX(Stocks!$G$2:$G$2139,MATCH(A1319,Stocks!$E$2:$E$2139,0))="","No","Yes"),"No")</f>
        <v/>
      </c>
    </row>
    <row r="1320">
      <c r="A1320" s="16" t="inlineStr">
        <is>
          <t>INE0LRY01011</t>
        </is>
      </c>
      <c r="B1320" s="16" t="inlineStr">
        <is>
          <t>QUADFUTURE</t>
        </is>
      </c>
      <c r="C1320" s="16" t="inlineStr">
        <is>
          <t>Quadrant Future Tek Ltd.</t>
        </is>
      </c>
      <c r="D1320" s="16" t="inlineStr">
        <is>
          <t>Wires &amp; Cables</t>
        </is>
      </c>
      <c r="E1320" s="16" t="inlineStr">
        <is>
          <t>Consumer Durables</t>
        </is>
      </c>
      <c r="F1320" s="17" t="n">
        <v>1671.6</v>
      </c>
      <c r="G1320" s="16" t="inlineStr">
        <is>
          <t>QUADFUTURE</t>
        </is>
      </c>
      <c r="H1320" s="16" t="inlineStr">
        <is>
          <t>544336</t>
        </is>
      </c>
      <c r="I1320" s="27">
        <f>IFERROR(IF(INDEX(Stocks!$G$2:$G$2139,MATCH(A1320,Stocks!$E$2:$E$2139,0))="","No","Yes"),"No")</f>
        <v/>
      </c>
    </row>
    <row r="1321">
      <c r="A1321" s="16" t="inlineStr">
        <is>
          <t>INE00Q601028</t>
        </is>
      </c>
      <c r="B1321" s="16" t="inlineStr">
        <is>
          <t>STUDDS</t>
        </is>
      </c>
      <c r="C1321" s="16" t="inlineStr">
        <is>
          <t>Studds Accessories Ltd.</t>
        </is>
      </c>
      <c r="D1321" s="16" t="inlineStr">
        <is>
          <t>Auto Parts &amp; Equipment</t>
        </is>
      </c>
      <c r="E1321" s="16" t="inlineStr">
        <is>
          <t>Automobiles &amp; Auto Components</t>
        </is>
      </c>
      <c r="F1321" s="17" t="n">
        <v>1669.37</v>
      </c>
      <c r="G1321" s="16" t="inlineStr">
        <is>
          <t>STUDDS</t>
        </is>
      </c>
      <c r="H1321" s="16" t="inlineStr">
        <is>
          <t>544599</t>
        </is>
      </c>
      <c r="I1321" s="27">
        <f>IFERROR(IF(INDEX(Stocks!$G$2:$G$2139,MATCH(A1321,Stocks!$E$2:$E$2139,0))="","No","Yes"),"No")</f>
        <v/>
      </c>
    </row>
    <row r="1322">
      <c r="A1322" s="16" t="inlineStr">
        <is>
          <t>INE0JVO01026</t>
        </is>
      </c>
      <c r="B1322" s="16" t="inlineStr">
        <is>
          <t>GARUDA</t>
        </is>
      </c>
      <c r="C1322" s="16" t="inlineStr">
        <is>
          <t>Garuda Construction and Engineering Ltd.</t>
        </is>
      </c>
      <c r="D1322" s="16" t="inlineStr">
        <is>
          <t>Construction &amp; Engineering</t>
        </is>
      </c>
      <c r="E1322" s="16" t="inlineStr">
        <is>
          <t>Cement and Construction</t>
        </is>
      </c>
      <c r="F1322" s="17" t="n">
        <v>1662.93</v>
      </c>
      <c r="G1322" s="16" t="inlineStr">
        <is>
          <t>GARUDA</t>
        </is>
      </c>
      <c r="H1322" s="16" t="inlineStr">
        <is>
          <t>544271</t>
        </is>
      </c>
      <c r="I1322" s="27">
        <f>IFERROR(IF(INDEX(Stocks!$G$2:$G$2139,MATCH(A1322,Stocks!$E$2:$E$2139,0))="","No","Yes"),"No")</f>
        <v/>
      </c>
    </row>
    <row r="1323">
      <c r="A1323" s="16" t="inlineStr">
        <is>
          <t>INE803D01021</t>
        </is>
      </c>
      <c r="B1323" s="16" t="inlineStr">
        <is>
          <t>INDOBORAX</t>
        </is>
      </c>
      <c r="C1323" s="16" t="inlineStr">
        <is>
          <t>Indo Borax &amp; Chemicals Ltd.</t>
        </is>
      </c>
      <c r="D1323" s="16" t="inlineStr">
        <is>
          <t>Commodity Chemicals</t>
        </is>
      </c>
      <c r="E1323" s="16" t="inlineStr">
        <is>
          <t>Chemicals &amp; Petrochemicals</t>
        </is>
      </c>
      <c r="F1323" s="17" t="n">
        <v>1652.31</v>
      </c>
      <c r="G1323" s="16" t="inlineStr">
        <is>
          <t>INDOBORAX</t>
        </is>
      </c>
      <c r="H1323" s="16" t="inlineStr">
        <is>
          <t>524342</t>
        </is>
      </c>
      <c r="I1323" s="27">
        <f>IFERROR(IF(INDEX(Stocks!$G$2:$G$2139,MATCH(A1323,Stocks!$E$2:$E$2139,0))="","No","Yes"),"No")</f>
        <v/>
      </c>
    </row>
    <row r="1324">
      <c r="A1324" s="16" t="inlineStr">
        <is>
          <t>INE597J01018</t>
        </is>
      </c>
      <c r="B1324" s="16" t="inlineStr">
        <is>
          <t>SHALBY</t>
        </is>
      </c>
      <c r="C1324" s="16" t="inlineStr">
        <is>
          <t>Shalby Ltd.</t>
        </is>
      </c>
      <c r="D1324" s="16" t="inlineStr">
        <is>
          <t>Healthcare Facilities</t>
        </is>
      </c>
      <c r="E1324" s="16" t="inlineStr">
        <is>
          <t>Healthcare</t>
        </is>
      </c>
      <c r="F1324" s="17" t="n">
        <v>1649.42</v>
      </c>
      <c r="G1324" s="16" t="inlineStr">
        <is>
          <t>SHALBY</t>
        </is>
      </c>
      <c r="H1324" s="16" t="inlineStr">
        <is>
          <t>540797</t>
        </is>
      </c>
      <c r="I1324" s="27">
        <f>IFERROR(IF(INDEX(Stocks!$G$2:$G$2139,MATCH(A1324,Stocks!$E$2:$E$2139,0))="","No","Yes"),"No")</f>
        <v/>
      </c>
    </row>
    <row r="1325">
      <c r="A1325" s="16" t="inlineStr">
        <is>
          <t>INE0LOJ01019</t>
        </is>
      </c>
      <c r="B1325" s="16" t="inlineStr">
        <is>
          <t>IKIO</t>
        </is>
      </c>
      <c r="C1325" s="16" t="inlineStr">
        <is>
          <t>IKIO Technologies Ltd.</t>
        </is>
      </c>
      <c r="D1325" s="16" t="inlineStr">
        <is>
          <t>Consumer Electronics</t>
        </is>
      </c>
      <c r="E1325" s="16" t="inlineStr">
        <is>
          <t>Consumer Durables</t>
        </is>
      </c>
      <c r="F1325" s="17" t="n">
        <v>1640.98</v>
      </c>
      <c r="G1325" s="16" t="inlineStr">
        <is>
          <t>IKIO</t>
        </is>
      </c>
      <c r="H1325" s="16" t="inlineStr">
        <is>
          <t>543923</t>
        </is>
      </c>
      <c r="I1325" s="27">
        <f>IFERROR(IF(INDEX(Stocks!$G$2:$G$2139,MATCH(A1325,Stocks!$E$2:$E$2139,0))="","No","Yes"),"No")</f>
        <v/>
      </c>
    </row>
    <row r="1326">
      <c r="A1326" s="16" t="inlineStr">
        <is>
          <t>INE363A01022</t>
        </is>
      </c>
      <c r="B1326" s="16" t="inlineStr">
        <is>
          <t>ASIANHOTNR</t>
        </is>
      </c>
      <c r="C1326" s="16" t="inlineStr">
        <is>
          <t>Asian Hotels (North) Ltd.</t>
        </is>
      </c>
      <c r="D1326" s="16" t="inlineStr">
        <is>
          <t>Hotels</t>
        </is>
      </c>
      <c r="E1326" s="16" t="inlineStr">
        <is>
          <t>Hotels Restaurants &amp; Tourism</t>
        </is>
      </c>
      <c r="F1326" s="17" t="n">
        <v>1640.31</v>
      </c>
      <c r="G1326" s="16" t="inlineStr">
        <is>
          <t>ASIANHOTNR</t>
        </is>
      </c>
      <c r="H1326" s="16" t="inlineStr">
        <is>
          <t>500023</t>
        </is>
      </c>
      <c r="I1326" s="27">
        <f>IFERROR(IF(INDEX(Stocks!$G$2:$G$2139,MATCH(A1326,Stocks!$E$2:$E$2139,0))="","No","Yes"),"No")</f>
        <v/>
      </c>
    </row>
    <row r="1327">
      <c r="A1327" s="16" t="inlineStr">
        <is>
          <t>INE1RDG01013</t>
        </is>
      </c>
      <c r="B1327" s="16" t="inlineStr">
        <is>
          <t>PNGSREVA</t>
        </is>
      </c>
      <c r="C1327" s="16" t="inlineStr">
        <is>
          <t>PNGS Reva Diamond Jewellery Ltd.</t>
        </is>
      </c>
      <c r="D1327" s="16" t="inlineStr">
        <is>
          <t>Gems &amp; Jewellery</t>
        </is>
      </c>
      <c r="E1327" s="16" t="inlineStr">
        <is>
          <t>Textiles Apparels &amp; Accessories</t>
        </is>
      </c>
      <c r="F1327" s="17" t="n">
        <v>1636.75</v>
      </c>
      <c r="G1327" s="16" t="inlineStr">
        <is>
          <t>PNGSREVA</t>
        </is>
      </c>
      <c r="H1327" s="16" t="inlineStr">
        <is>
          <t>544718</t>
        </is>
      </c>
      <c r="I1327" s="27">
        <f>IFERROR(IF(INDEX(Stocks!$G$2:$G$2139,MATCH(A1327,Stocks!$E$2:$E$2139,0))="","No","Yes"),"No")</f>
        <v/>
      </c>
    </row>
    <row r="1328">
      <c r="A1328" s="16" t="inlineStr">
        <is>
          <t>INE274C01019</t>
        </is>
      </c>
      <c r="B1328" s="16" t="inlineStr">
        <is>
          <t>WENDT</t>
        </is>
      </c>
      <c r="C1328" s="16" t="inlineStr">
        <is>
          <t>Wendt (India) Ltd.</t>
        </is>
      </c>
      <c r="D1328" s="16" t="inlineStr">
        <is>
          <t>Abrasives &amp; Bearings</t>
        </is>
      </c>
      <c r="E1328" s="16" t="inlineStr">
        <is>
          <t>General Industrials</t>
        </is>
      </c>
      <c r="F1328" s="17" t="n">
        <v>1632</v>
      </c>
      <c r="G1328" s="16" t="inlineStr">
        <is>
          <t>WENDT</t>
        </is>
      </c>
      <c r="H1328" s="16" t="inlineStr">
        <is>
          <t>505412</t>
        </is>
      </c>
      <c r="I1328" s="27">
        <f>IFERROR(IF(INDEX(Stocks!$G$2:$G$2139,MATCH(A1328,Stocks!$E$2:$E$2139,0))="","No","Yes"),"No")</f>
        <v/>
      </c>
    </row>
    <row r="1329">
      <c r="A1329" s="16" t="inlineStr">
        <is>
          <t>INE0FRK01020</t>
        </is>
      </c>
      <c r="B1329" s="16" t="inlineStr">
        <is>
          <t>MOTISONS</t>
        </is>
      </c>
      <c r="C1329" s="16" t="inlineStr">
        <is>
          <t>Motisons Jewellers Ltd.</t>
        </is>
      </c>
      <c r="D1329" s="16" t="inlineStr">
        <is>
          <t>Gems &amp; Jewellery</t>
        </is>
      </c>
      <c r="E1329" s="16" t="inlineStr">
        <is>
          <t>Textiles Apparels &amp; Accessories</t>
        </is>
      </c>
      <c r="F1329" s="17" t="n">
        <v>1622.39</v>
      </c>
      <c r="G1329" s="16" t="inlineStr">
        <is>
          <t>MOTISONS</t>
        </is>
      </c>
      <c r="H1329" s="16" t="inlineStr">
        <is>
          <t>544053</t>
        </is>
      </c>
      <c r="I1329" s="27">
        <f>IFERROR(IF(INDEX(Stocks!$G$2:$G$2139,MATCH(A1329,Stocks!$E$2:$E$2139,0))="","No","Yes"),"No")</f>
        <v/>
      </c>
    </row>
    <row r="1330">
      <c r="A1330" s="16" t="inlineStr">
        <is>
          <t>INE349W01017</t>
        </is>
      </c>
      <c r="B1330" s="16" t="inlineStr">
        <is>
          <t>AVADHSUGAR</t>
        </is>
      </c>
      <c r="C1330" s="16" t="inlineStr">
        <is>
          <t>Avadh Sugar &amp; Energy Ltd.</t>
        </is>
      </c>
      <c r="D1330" s="16" t="inlineStr">
        <is>
          <t>Sugar</t>
        </is>
      </c>
      <c r="E1330" s="16" t="inlineStr">
        <is>
          <t>Food, Beverages &amp; Tobacco</t>
        </is>
      </c>
      <c r="F1330" s="17" t="n">
        <v>1620.49</v>
      </c>
      <c r="G1330" s="16" t="inlineStr">
        <is>
          <t>AVADHSUGAR</t>
        </is>
      </c>
      <c r="H1330" s="16" t="inlineStr">
        <is>
          <t>540649</t>
        </is>
      </c>
      <c r="I1330" s="27">
        <f>IFERROR(IF(INDEX(Stocks!$G$2:$G$2139,MATCH(A1330,Stocks!$E$2:$E$2139,0))="","No","Yes"),"No")</f>
        <v/>
      </c>
    </row>
    <row r="1331">
      <c r="A1331" s="16" t="inlineStr">
        <is>
          <t>INE428Q01011</t>
        </is>
      </c>
      <c r="B1331" s="16" t="inlineStr">
        <is>
          <t>SURYODAY</t>
        </is>
      </c>
      <c r="C1331" s="16" t="inlineStr">
        <is>
          <t>Suryoday Small Finance Bank Ltd.</t>
        </is>
      </c>
      <c r="D1331" s="16" t="inlineStr">
        <is>
          <t>Microfinance Institutions</t>
        </is>
      </c>
      <c r="E1331" s="16" t="inlineStr">
        <is>
          <t>Banking and Finance</t>
        </is>
      </c>
      <c r="F1331" s="17" t="n">
        <v>1616.45</v>
      </c>
      <c r="G1331" s="16" t="inlineStr">
        <is>
          <t>SURYODAY</t>
        </is>
      </c>
      <c r="H1331" s="16" t="inlineStr">
        <is>
          <t>543279</t>
        </is>
      </c>
      <c r="I1331" s="27">
        <f>IFERROR(IF(INDEX(Stocks!$G$2:$G$2139,MATCH(A1331,Stocks!$E$2:$E$2139,0))="","No","Yes"),"No")</f>
        <v/>
      </c>
    </row>
    <row r="1332">
      <c r="A1332" s="16" t="inlineStr">
        <is>
          <t>INE200D01020</t>
        </is>
      </c>
      <c r="B1332" s="16" t="inlineStr">
        <is>
          <t>MMWL</t>
        </is>
      </c>
      <c r="C1332" s="16" t="inlineStr">
        <is>
          <t>Media Matrix Worldwide Ltd.</t>
        </is>
      </c>
      <c r="D1332" s="16" t="inlineStr">
        <is>
          <t>Advertising &amp; Media</t>
        </is>
      </c>
      <c r="E1332" s="16" t="inlineStr">
        <is>
          <t>Media</t>
        </is>
      </c>
      <c r="F1332" s="17" t="n">
        <v>1615.29</v>
      </c>
      <c r="G1332" s="16" t="inlineStr"/>
      <c r="H1332" s="16" t="inlineStr">
        <is>
          <t>512267</t>
        </is>
      </c>
      <c r="I1332" s="27">
        <f>IFERROR(IF(INDEX(Stocks!$G$2:$G$2139,MATCH(A1332,Stocks!$E$2:$E$2139,0))="","No","Yes"),"No")</f>
        <v/>
      </c>
    </row>
    <row r="1333">
      <c r="A1333" s="16" t="inlineStr">
        <is>
          <t>INE525F01025</t>
        </is>
      </c>
      <c r="B1333" s="16" t="inlineStr">
        <is>
          <t>BLIL</t>
        </is>
      </c>
      <c r="C1333" s="16" t="inlineStr">
        <is>
          <t>Balmer Lawrie Investments Ltd.</t>
        </is>
      </c>
      <c r="D1333" s="16" t="inlineStr">
        <is>
          <t>Finance (including NBFCs)</t>
        </is>
      </c>
      <c r="E1333" s="16" t="inlineStr">
        <is>
          <t>Banking and Finance</t>
        </is>
      </c>
      <c r="F1333" s="17" t="n">
        <v>1610.86</v>
      </c>
      <c r="G1333" s="16" t="inlineStr"/>
      <c r="H1333" s="16" t="inlineStr">
        <is>
          <t>532485</t>
        </is>
      </c>
      <c r="I1333" s="27">
        <f>IFERROR(IF(INDEX(Stocks!$G$2:$G$2139,MATCH(A1333,Stocks!$E$2:$E$2139,0))="","No","Yes"),"No")</f>
        <v/>
      </c>
    </row>
    <row r="1334">
      <c r="A1334" s="16" t="inlineStr">
        <is>
          <t>INE893C01032</t>
        </is>
      </c>
      <c r="B1334" s="16" t="inlineStr">
        <is>
          <t>BGDL</t>
        </is>
      </c>
      <c r="C1334" s="16" t="inlineStr">
        <is>
          <t>Bharat Global Developers Ltd.</t>
        </is>
      </c>
      <c r="D1334" s="16" t="inlineStr">
        <is>
          <t>Computer Hardware</t>
        </is>
      </c>
      <c r="E1334" s="16" t="inlineStr">
        <is>
          <t>Hardware Technology &amp; Equipment</t>
        </is>
      </c>
      <c r="F1334" s="17" t="n">
        <v>1608</v>
      </c>
      <c r="G1334" s="16" t="inlineStr"/>
      <c r="H1334" s="16" t="inlineStr">
        <is>
          <t>521238</t>
        </is>
      </c>
      <c r="I1334" s="27">
        <f>IFERROR(IF(INDEX(Stocks!$G$2:$G$2139,MATCH(A1334,Stocks!$E$2:$E$2139,0))="","No","Yes"),"No")</f>
        <v/>
      </c>
    </row>
    <row r="1335">
      <c r="A1335" s="16" t="inlineStr">
        <is>
          <t>INE065D01027</t>
        </is>
      </c>
      <c r="B1335" s="16" t="inlineStr">
        <is>
          <t>AEROENTER</t>
        </is>
      </c>
      <c r="C1335" s="16" t="inlineStr">
        <is>
          <t>Aeroflex Enterprises Ltd.</t>
        </is>
      </c>
      <c r="D1335" s="16" t="inlineStr">
        <is>
          <t>Iron &amp; Steel Products</t>
        </is>
      </c>
      <c r="E1335" s="16" t="inlineStr">
        <is>
          <t>Metals &amp; Mining</t>
        </is>
      </c>
      <c r="F1335" s="17" t="n">
        <v>1604.78</v>
      </c>
      <c r="G1335" s="16" t="inlineStr">
        <is>
          <t>AEROENTER</t>
        </is>
      </c>
      <c r="H1335" s="16" t="inlineStr">
        <is>
          <t>511076</t>
        </is>
      </c>
      <c r="I1335" s="27">
        <f>IFERROR(IF(INDEX(Stocks!$G$2:$G$2139,MATCH(A1335,Stocks!$E$2:$E$2139,0))="","No","Yes"),"No")</f>
        <v/>
      </c>
    </row>
    <row r="1336">
      <c r="A1336" s="16" t="inlineStr">
        <is>
          <t>INE618L01018</t>
        </is>
      </c>
      <c r="B1336" s="16" t="inlineStr">
        <is>
          <t>5PAISA</t>
        </is>
      </c>
      <c r="C1336" s="16" t="inlineStr">
        <is>
          <t>5Paisa Capital Ltd.</t>
        </is>
      </c>
      <c r="D1336" s="16" t="inlineStr">
        <is>
          <t>Capital Markets</t>
        </is>
      </c>
      <c r="E1336" s="16" t="inlineStr">
        <is>
          <t>Banking and Finance</t>
        </is>
      </c>
      <c r="F1336" s="17" t="n">
        <v>1603.84</v>
      </c>
      <c r="G1336" s="16" t="inlineStr">
        <is>
          <t>5PAISA</t>
        </is>
      </c>
      <c r="H1336" s="16" t="inlineStr">
        <is>
          <t>540776</t>
        </is>
      </c>
      <c r="I1336" s="27">
        <f>IFERROR(IF(INDEX(Stocks!$G$2:$G$2139,MATCH(A1336,Stocks!$E$2:$E$2139,0))="","No","Yes"),"No")</f>
        <v/>
      </c>
    </row>
    <row r="1337">
      <c r="A1337" s="16" t="inlineStr">
        <is>
          <t>INE722H01024</t>
        </is>
      </c>
      <c r="B1337" s="16" t="inlineStr">
        <is>
          <t>RGL</t>
        </is>
      </c>
      <c r="C1337" s="16" t="inlineStr">
        <is>
          <t>Renaissance Global Ltd.</t>
        </is>
      </c>
      <c r="D1337" s="16" t="inlineStr">
        <is>
          <t>Gems &amp; Jewellery</t>
        </is>
      </c>
      <c r="E1337" s="16" t="inlineStr">
        <is>
          <t>Textiles Apparels &amp; Accessories</t>
        </is>
      </c>
      <c r="F1337" s="17" t="n">
        <v>1603</v>
      </c>
      <c r="G1337" s="16" t="inlineStr">
        <is>
          <t>RGL</t>
        </is>
      </c>
      <c r="H1337" s="16" t="inlineStr">
        <is>
          <t>532923</t>
        </is>
      </c>
      <c r="I1337" s="27">
        <f>IFERROR(IF(INDEX(Stocks!$G$2:$G$2139,MATCH(A1337,Stocks!$E$2:$E$2139,0))="","No","Yes"),"No")</f>
        <v/>
      </c>
    </row>
    <row r="1338">
      <c r="A1338" s="16" t="inlineStr">
        <is>
          <t>INE250K01012</t>
        </is>
      </c>
      <c r="B1338" s="16" t="inlineStr">
        <is>
          <t>DLINKINDIA</t>
        </is>
      </c>
      <c r="C1338" s="16" t="inlineStr">
        <is>
          <t>D-Link (India) Ltd.</t>
        </is>
      </c>
      <c r="D1338" s="16" t="inlineStr">
        <is>
          <t>IT Networking Equipment</t>
        </is>
      </c>
      <c r="E1338" s="16" t="inlineStr">
        <is>
          <t>Hardware Technology &amp; Equipment</t>
        </is>
      </c>
      <c r="F1338" s="17" t="n">
        <v>1601.8</v>
      </c>
      <c r="G1338" s="16" t="inlineStr">
        <is>
          <t>DLINKINDIA</t>
        </is>
      </c>
      <c r="H1338" s="16" t="inlineStr">
        <is>
          <t>533146</t>
        </is>
      </c>
      <c r="I1338" s="27">
        <f>IFERROR(IF(INDEX(Stocks!$G$2:$G$2139,MATCH(A1338,Stocks!$E$2:$E$2139,0))="","No","Yes"),"No")</f>
        <v/>
      </c>
    </row>
    <row r="1339">
      <c r="A1339" s="16" t="inlineStr">
        <is>
          <t>INE851I01011</t>
        </is>
      </c>
      <c r="B1339" s="16" t="inlineStr">
        <is>
          <t>UDS</t>
        </is>
      </c>
      <c r="C1339" s="16" t="inlineStr">
        <is>
          <t>Updater Services Ltd.</t>
        </is>
      </c>
      <c r="D1339" s="16" t="inlineStr">
        <is>
          <t>Misc. Commercial Services</t>
        </is>
      </c>
      <c r="E1339" s="16" t="inlineStr">
        <is>
          <t>Commercial Services &amp; Supplies</t>
        </is>
      </c>
      <c r="F1339" s="17" t="n">
        <v>1600.38</v>
      </c>
      <c r="G1339" s="16" t="inlineStr">
        <is>
          <t>UDS</t>
        </is>
      </c>
      <c r="H1339" s="16" t="inlineStr">
        <is>
          <t>543996</t>
        </is>
      </c>
      <c r="I1339" s="27">
        <f>IFERROR(IF(INDEX(Stocks!$G$2:$G$2139,MATCH(A1339,Stocks!$E$2:$E$2139,0))="","No","Yes"),"No")</f>
        <v/>
      </c>
    </row>
    <row r="1340">
      <c r="A1340" s="16" t="inlineStr">
        <is>
          <t>INE048B01035</t>
        </is>
      </c>
      <c r="B1340" s="16" t="inlineStr">
        <is>
          <t>JAGSNPHARM</t>
        </is>
      </c>
      <c r="C1340" s="16" t="inlineStr">
        <is>
          <t>Jagsonpal Pharmaceuticals Ltd.</t>
        </is>
      </c>
      <c r="D1340" s="16" t="inlineStr">
        <is>
          <t>Pharmaceuticals</t>
        </is>
      </c>
      <c r="E1340" s="16" t="inlineStr">
        <is>
          <t>Pharmaceuticals &amp; Biotechnology</t>
        </is>
      </c>
      <c r="F1340" s="17" t="n">
        <v>1596.56</v>
      </c>
      <c r="G1340" s="16" t="inlineStr">
        <is>
          <t>JAGSNPHARM</t>
        </is>
      </c>
      <c r="H1340" s="16" t="inlineStr">
        <is>
          <t>507789</t>
        </is>
      </c>
      <c r="I1340" s="27">
        <f>IFERROR(IF(INDEX(Stocks!$G$2:$G$2139,MATCH(A1340,Stocks!$E$2:$E$2139,0))="","No","Yes"),"No")</f>
        <v/>
      </c>
    </row>
    <row r="1341">
      <c r="A1341" s="16" t="inlineStr">
        <is>
          <t>INE0D6701023</t>
        </is>
      </c>
      <c r="B1341" s="16" t="inlineStr">
        <is>
          <t>IPL</t>
        </is>
      </c>
      <c r="C1341" s="16" t="inlineStr">
        <is>
          <t>India Pesticides Ltd.</t>
        </is>
      </c>
      <c r="D1341" s="16" t="inlineStr">
        <is>
          <t>Agrochemicals</t>
        </is>
      </c>
      <c r="E1341" s="16" t="inlineStr">
        <is>
          <t>Chemicals &amp; Petrochemicals</t>
        </is>
      </c>
      <c r="F1341" s="17" t="n">
        <v>1593.17</v>
      </c>
      <c r="G1341" s="16" t="inlineStr">
        <is>
          <t>IPL</t>
        </is>
      </c>
      <c r="H1341" s="16" t="inlineStr">
        <is>
          <t>543311</t>
        </is>
      </c>
      <c r="I1341" s="27">
        <f>IFERROR(IF(INDEX(Stocks!$G$2:$G$2139,MATCH(A1341,Stocks!$E$2:$E$2139,0))="","No","Yes"),"No")</f>
        <v/>
      </c>
    </row>
    <row r="1342">
      <c r="A1342" s="16" t="inlineStr">
        <is>
          <t>INE344S01016</t>
        </is>
      </c>
      <c r="B1342" s="16" t="inlineStr">
        <is>
          <t>INFOBEAN</t>
        </is>
      </c>
      <c r="C1342" s="16" t="inlineStr">
        <is>
          <t>InfoBeans Technologies Ltd.</t>
        </is>
      </c>
      <c r="D1342" s="16" t="inlineStr">
        <is>
          <t>IT Consulting &amp; Software</t>
        </is>
      </c>
      <c r="E1342" s="16" t="inlineStr">
        <is>
          <t>Software &amp; Services</t>
        </is>
      </c>
      <c r="F1342" s="17" t="n">
        <v>1571.52</v>
      </c>
      <c r="G1342" s="16" t="inlineStr">
        <is>
          <t>INFOBEAN</t>
        </is>
      </c>
      <c r="H1342" s="16" t="inlineStr">
        <is>
          <t>543644</t>
        </is>
      </c>
      <c r="I1342" s="27">
        <f>IFERROR(IF(INDEX(Stocks!$G$2:$G$2139,MATCH(A1342,Stocks!$E$2:$E$2139,0))="","No","Yes"),"No")</f>
        <v/>
      </c>
    </row>
    <row r="1343">
      <c r="A1343" s="16" t="inlineStr">
        <is>
          <t>INE01R501028</t>
        </is>
      </c>
      <c r="B1343" s="16" t="inlineStr">
        <is>
          <t>VIKRAN</t>
        </is>
      </c>
      <c r="C1343" s="16" t="inlineStr">
        <is>
          <t>Vikran Engineering Ltd.</t>
        </is>
      </c>
      <c r="D1343" s="16" t="inlineStr">
        <is>
          <t>Heavy Electrical Equipment</t>
        </is>
      </c>
      <c r="E1343" s="16" t="inlineStr">
        <is>
          <t>General Industrials</t>
        </is>
      </c>
      <c r="F1343" s="17" t="n">
        <v>1567.33</v>
      </c>
      <c r="G1343" s="16" t="inlineStr">
        <is>
          <t>VIKRAN</t>
        </is>
      </c>
      <c r="H1343" s="16" t="inlineStr">
        <is>
          <t>544496</t>
        </is>
      </c>
      <c r="I1343" s="27">
        <f>IFERROR(IF(INDEX(Stocks!$G$2:$G$2139,MATCH(A1343,Stocks!$E$2:$E$2139,0))="","No","Yes"),"No")</f>
        <v/>
      </c>
    </row>
    <row r="1344">
      <c r="A1344" s="16" t="inlineStr">
        <is>
          <t>INE519C01017</t>
        </is>
      </c>
      <c r="B1344" s="16" t="inlineStr">
        <is>
          <t>SUMMITSEC</t>
        </is>
      </c>
      <c r="C1344" s="16" t="inlineStr">
        <is>
          <t>Summit Securities Ltd.</t>
        </is>
      </c>
      <c r="D1344" s="16" t="inlineStr">
        <is>
          <t>Investment Companies</t>
        </is>
      </c>
      <c r="E1344" s="16" t="inlineStr">
        <is>
          <t>Others</t>
        </is>
      </c>
      <c r="F1344" s="17" t="n">
        <v>1563.54</v>
      </c>
      <c r="G1344" s="16" t="inlineStr">
        <is>
          <t>SUMMITSEC</t>
        </is>
      </c>
      <c r="H1344" s="16" t="inlineStr">
        <is>
          <t>533306</t>
        </is>
      </c>
      <c r="I1344" s="27">
        <f>IFERROR(IF(INDEX(Stocks!$G$2:$G$2139,MATCH(A1344,Stocks!$E$2:$E$2139,0))="","No","Yes"),"No")</f>
        <v/>
      </c>
    </row>
    <row r="1345">
      <c r="A1345" s="16" t="inlineStr">
        <is>
          <t>INE898Q01015</t>
        </is>
      </c>
      <c r="B1345" s="16" t="inlineStr">
        <is>
          <t>MIIL</t>
        </is>
      </c>
      <c r="C1345" s="16" t="inlineStr">
        <is>
          <t>Meghna Infracon Infrastructure Ltd.</t>
        </is>
      </c>
      <c r="D1345" s="16" t="inlineStr">
        <is>
          <t>Finance (including NBFCs)</t>
        </is>
      </c>
      <c r="E1345" s="16" t="inlineStr">
        <is>
          <t>Banking and Finance</t>
        </is>
      </c>
      <c r="F1345" s="17" t="n">
        <v>1560.64</v>
      </c>
      <c r="G1345" s="16" t="inlineStr"/>
      <c r="H1345" s="16" t="inlineStr">
        <is>
          <t>538668</t>
        </is>
      </c>
      <c r="I1345" s="27">
        <f>IFERROR(IF(INDEX(Stocks!$G$2:$G$2139,MATCH(A1345,Stocks!$E$2:$E$2139,0))="","No","Yes"),"No")</f>
        <v/>
      </c>
    </row>
    <row r="1346">
      <c r="A1346" s="16" t="inlineStr">
        <is>
          <t>INE910C01018</t>
        </is>
      </c>
      <c r="B1346" s="16" t="inlineStr">
        <is>
          <t>TTKHLTCARE</t>
        </is>
      </c>
      <c r="C1346" s="16" t="inlineStr">
        <is>
          <t>TTK Healthcare Ltd.</t>
        </is>
      </c>
      <c r="D1346" s="16" t="inlineStr">
        <is>
          <t>Diversified</t>
        </is>
      </c>
      <c r="E1346" s="16" t="inlineStr">
        <is>
          <t>Diversified</t>
        </is>
      </c>
      <c r="F1346" s="17" t="n">
        <v>1554.62</v>
      </c>
      <c r="G1346" s="16" t="inlineStr">
        <is>
          <t>TTKHLTCARE</t>
        </is>
      </c>
      <c r="H1346" s="16" t="inlineStr">
        <is>
          <t>507747</t>
        </is>
      </c>
      <c r="I1346" s="27">
        <f>IFERROR(IF(INDEX(Stocks!$G$2:$G$2139,MATCH(A1346,Stocks!$E$2:$E$2139,0))="","No","Yes"),"No")</f>
        <v/>
      </c>
    </row>
    <row r="1347">
      <c r="A1347" s="16" t="inlineStr">
        <is>
          <t>INE613C01026</t>
        </is>
      </c>
      <c r="B1347" s="16" t="inlineStr">
        <is>
          <t>MCLOUD</t>
        </is>
      </c>
      <c r="C1347" s="16" t="inlineStr">
        <is>
          <t>Magellanic Cloud Ltd.</t>
        </is>
      </c>
      <c r="D1347" s="16" t="inlineStr">
        <is>
          <t>IT Consulting &amp; Software</t>
        </is>
      </c>
      <c r="E1347" s="16" t="inlineStr">
        <is>
          <t>Software &amp; Services</t>
        </is>
      </c>
      <c r="F1347" s="17" t="n">
        <v>1548.66</v>
      </c>
      <c r="G1347" s="16" t="inlineStr">
        <is>
          <t>MCLOUD</t>
        </is>
      </c>
      <c r="H1347" s="16" t="inlineStr">
        <is>
          <t>538891</t>
        </is>
      </c>
      <c r="I1347" s="27">
        <f>IFERROR(IF(INDEX(Stocks!$G$2:$G$2139,MATCH(A1347,Stocks!$E$2:$E$2139,0))="","No","Yes"),"No")</f>
        <v/>
      </c>
    </row>
    <row r="1348">
      <c r="A1348" s="16" t="inlineStr">
        <is>
          <t>INE08N601015</t>
        </is>
      </c>
      <c r="B1348" s="16" t="inlineStr">
        <is>
          <t>MBEL</t>
        </is>
      </c>
      <c r="C1348" s="16" t="inlineStr">
        <is>
          <t>M &amp; B Engineering Ltd.</t>
        </is>
      </c>
      <c r="D1348" s="16" t="inlineStr">
        <is>
          <t>Iron &amp; Steel Products</t>
        </is>
      </c>
      <c r="E1348" s="16" t="inlineStr">
        <is>
          <t>Metals &amp; Mining</t>
        </is>
      </c>
      <c r="F1348" s="17" t="n">
        <v>1544.2</v>
      </c>
      <c r="G1348" s="16" t="inlineStr">
        <is>
          <t>MBEL</t>
        </is>
      </c>
      <c r="H1348" s="16" t="inlineStr">
        <is>
          <t>544470</t>
        </is>
      </c>
      <c r="I1348" s="27">
        <f>IFERROR(IF(INDEX(Stocks!$G$2:$G$2139,MATCH(A1348,Stocks!$E$2:$E$2139,0))="","No","Yes"),"No")</f>
        <v/>
      </c>
    </row>
    <row r="1349">
      <c r="A1349" s="16" t="inlineStr">
        <is>
          <t>INE727B01026</t>
        </is>
      </c>
      <c r="B1349" s="16" t="inlineStr">
        <is>
          <t>GENESYS</t>
        </is>
      </c>
      <c r="C1349" s="16" t="inlineStr">
        <is>
          <t>Genesys International Corporation Ltd.</t>
        </is>
      </c>
      <c r="D1349" s="16" t="inlineStr">
        <is>
          <t>IT Consulting &amp; Software</t>
        </is>
      </c>
      <c r="E1349" s="16" t="inlineStr">
        <is>
          <t>Software &amp; Services</t>
        </is>
      </c>
      <c r="F1349" s="17" t="n">
        <v>1543.77</v>
      </c>
      <c r="G1349" s="16" t="inlineStr">
        <is>
          <t>GENESYS</t>
        </is>
      </c>
      <c r="H1349" s="16" t="inlineStr">
        <is>
          <t>506109</t>
        </is>
      </c>
      <c r="I1349" s="27">
        <f>IFERROR(IF(INDEX(Stocks!$G$2:$G$2139,MATCH(A1349,Stocks!$E$2:$E$2139,0))="","No","Yes"),"No")</f>
        <v/>
      </c>
    </row>
    <row r="1350">
      <c r="A1350" s="16" t="inlineStr">
        <is>
          <t>INE106T01025</t>
        </is>
      </c>
      <c r="B1350" s="16" t="inlineStr">
        <is>
          <t>HITECH</t>
        </is>
      </c>
      <c r="C1350" s="16" t="inlineStr">
        <is>
          <t>Hi-Tech Pipes Ltd.</t>
        </is>
      </c>
      <c r="D1350" s="16" t="inlineStr">
        <is>
          <t>Iron &amp; Steel Products</t>
        </is>
      </c>
      <c r="E1350" s="16" t="inlineStr">
        <is>
          <t>Metals &amp; Mining</t>
        </is>
      </c>
      <c r="F1350" s="17" t="n">
        <v>1538.95</v>
      </c>
      <c r="G1350" s="16" t="inlineStr">
        <is>
          <t>HITECH</t>
        </is>
      </c>
      <c r="H1350" s="16" t="inlineStr">
        <is>
          <t>543411</t>
        </is>
      </c>
      <c r="I1350" s="27">
        <f>IFERROR(IF(INDEX(Stocks!$G$2:$G$2139,MATCH(A1350,Stocks!$E$2:$E$2139,0))="","No","Yes"),"No")</f>
        <v/>
      </c>
    </row>
    <row r="1351">
      <c r="A1351" s="16" t="inlineStr">
        <is>
          <t>INE480C01038</t>
        </is>
      </c>
      <c r="B1351" s="16" t="inlineStr">
        <is>
          <t>SDBL</t>
        </is>
      </c>
      <c r="C1351" s="16" t="inlineStr">
        <is>
          <t>Som Distilleries &amp; Breweries Ltd.</t>
        </is>
      </c>
      <c r="D1351" s="16" t="inlineStr">
        <is>
          <t>Breweries &amp; Distilleries</t>
        </is>
      </c>
      <c r="E1351" s="16" t="inlineStr">
        <is>
          <t>Food, Beverages &amp; Tobacco</t>
        </is>
      </c>
      <c r="F1351" s="17" t="n">
        <v>1538.47</v>
      </c>
      <c r="G1351" s="16" t="inlineStr">
        <is>
          <t>SDBL</t>
        </is>
      </c>
      <c r="H1351" s="16" t="inlineStr">
        <is>
          <t>507514</t>
        </is>
      </c>
      <c r="I1351" s="27">
        <f>IFERROR(IF(INDEX(Stocks!$G$2:$G$2139,MATCH(A1351,Stocks!$E$2:$E$2139,0))="","No","Yes"),"No")</f>
        <v/>
      </c>
    </row>
    <row r="1352">
      <c r="A1352" s="16" t="inlineStr">
        <is>
          <t>INE712K01011</t>
        </is>
      </c>
      <c r="B1352" s="16" t="inlineStr">
        <is>
          <t>SHREEPUSHK</t>
        </is>
      </c>
      <c r="C1352" s="16" t="inlineStr">
        <is>
          <t>Shree Pushkar Chemicals &amp; Fertilisers Ltd.</t>
        </is>
      </c>
      <c r="D1352" s="16" t="inlineStr">
        <is>
          <t>Dyes &amp; Pigments</t>
        </is>
      </c>
      <c r="E1352" s="16" t="inlineStr">
        <is>
          <t>Chemicals &amp; Petrochemicals</t>
        </is>
      </c>
      <c r="F1352" s="17" t="n">
        <v>1536.85</v>
      </c>
      <c r="G1352" s="16" t="inlineStr">
        <is>
          <t>SHREEPUSHK</t>
        </is>
      </c>
      <c r="H1352" s="16" t="inlineStr">
        <is>
          <t>539334</t>
        </is>
      </c>
      <c r="I1352" s="27">
        <f>IFERROR(IF(INDEX(Stocks!$G$2:$G$2139,MATCH(A1352,Stocks!$E$2:$E$2139,0))="","No","Yes"),"No")</f>
        <v/>
      </c>
    </row>
    <row r="1353">
      <c r="A1353" s="16" t="inlineStr">
        <is>
          <t>INE207H01018</t>
        </is>
      </c>
      <c r="B1353" s="16" t="inlineStr">
        <is>
          <t>GNRL</t>
        </is>
      </c>
      <c r="C1353" s="16" t="inlineStr">
        <is>
          <t>Gujarat Natural Resources Ltd.</t>
        </is>
      </c>
      <c r="D1353" s="16" t="inlineStr">
        <is>
          <t>Exploration &amp; Production</t>
        </is>
      </c>
      <c r="E1353" s="16" t="inlineStr">
        <is>
          <t>Oil &amp; Gas</t>
        </is>
      </c>
      <c r="F1353" s="17" t="n">
        <v>1527.74</v>
      </c>
      <c r="G1353" s="16" t="inlineStr"/>
      <c r="H1353" s="16" t="inlineStr">
        <is>
          <t>513536</t>
        </is>
      </c>
      <c r="I1353" s="27">
        <f>IFERROR(IF(INDEX(Stocks!$G$2:$G$2139,MATCH(A1353,Stocks!$E$2:$E$2139,0))="","No","Yes"),"No")</f>
        <v/>
      </c>
    </row>
    <row r="1354">
      <c r="A1354" s="16" t="inlineStr">
        <is>
          <t>INE05AN01011</t>
        </is>
      </c>
      <c r="B1354" s="16" t="inlineStr">
        <is>
          <t>HINDWAREAP</t>
        </is>
      </c>
      <c r="C1354" s="16" t="inlineStr">
        <is>
          <t>Hindware Home Innovation Ltd.</t>
        </is>
      </c>
      <c r="D1354" s="16" t="inlineStr">
        <is>
          <t>Household Appliances</t>
        </is>
      </c>
      <c r="E1354" s="16" t="inlineStr">
        <is>
          <t>Consumer Durables</t>
        </is>
      </c>
      <c r="F1354" s="17" t="n">
        <v>1527.47</v>
      </c>
      <c r="G1354" s="16" t="inlineStr">
        <is>
          <t>HINDWAREAP</t>
        </is>
      </c>
      <c r="H1354" s="16" t="inlineStr">
        <is>
          <t>542905</t>
        </is>
      </c>
      <c r="I1354" s="27">
        <f>IFERROR(IF(INDEX(Stocks!$G$2:$G$2139,MATCH(A1354,Stocks!$E$2:$E$2139,0))="","No","Yes"),"No")</f>
        <v/>
      </c>
    </row>
    <row r="1355">
      <c r="A1355" s="16" t="inlineStr">
        <is>
          <t>INE937A01023</t>
        </is>
      </c>
      <c r="B1355" s="16" t="inlineStr">
        <is>
          <t>SPMLINFRA</t>
        </is>
      </c>
      <c r="C1355" s="16" t="inlineStr">
        <is>
          <t>SPML Infra Ltd.</t>
        </is>
      </c>
      <c r="D1355" s="16" t="inlineStr">
        <is>
          <t>Construction &amp; Engineering</t>
        </is>
      </c>
      <c r="E1355" s="16" t="inlineStr">
        <is>
          <t>Cement and Construction</t>
        </is>
      </c>
      <c r="F1355" s="17" t="n">
        <v>1526.56</v>
      </c>
      <c r="G1355" s="16" t="inlineStr">
        <is>
          <t>SPMLINFRA</t>
        </is>
      </c>
      <c r="H1355" s="16" t="inlineStr">
        <is>
          <t>500402</t>
        </is>
      </c>
      <c r="I1355" s="27">
        <f>IFERROR(IF(INDEX(Stocks!$G$2:$G$2139,MATCH(A1355,Stocks!$E$2:$E$2139,0))="","No","Yes"),"No")</f>
        <v/>
      </c>
    </row>
    <row r="1356">
      <c r="A1356" s="16" t="inlineStr">
        <is>
          <t>INE737D01021</t>
        </is>
      </c>
      <c r="B1356" s="16" t="inlineStr">
        <is>
          <t>MODISONLTD</t>
        </is>
      </c>
      <c r="C1356" s="16" t="inlineStr">
        <is>
          <t>Modison Ltd.</t>
        </is>
      </c>
      <c r="D1356" s="16" t="inlineStr">
        <is>
          <t>Other Electrical Equipment/Products</t>
        </is>
      </c>
      <c r="E1356" s="16" t="inlineStr">
        <is>
          <t>Consumer Durables</t>
        </is>
      </c>
      <c r="F1356" s="17" t="n">
        <v>1524.99</v>
      </c>
      <c r="G1356" s="16" t="inlineStr">
        <is>
          <t>MODISONLTD</t>
        </is>
      </c>
      <c r="H1356" s="16" t="inlineStr">
        <is>
          <t>506261</t>
        </is>
      </c>
      <c r="I1356" s="27">
        <f>IFERROR(IF(INDEX(Stocks!$G$2:$G$2139,MATCH(A1356,Stocks!$E$2:$E$2139,0))="","No","Yes"),"No")</f>
        <v/>
      </c>
    </row>
    <row r="1357">
      <c r="A1357" s="16" t="inlineStr">
        <is>
          <t>INE572D01014</t>
        </is>
      </c>
      <c r="B1357" s="16" t="inlineStr">
        <is>
          <t>FRONTSP</t>
        </is>
      </c>
      <c r="C1357" s="16" t="inlineStr">
        <is>
          <t>Frontier Springs Ltd.</t>
        </is>
      </c>
      <c r="D1357" s="16" t="inlineStr">
        <is>
          <t>Auto Parts &amp; Equipment</t>
        </is>
      </c>
      <c r="E1357" s="16" t="inlineStr">
        <is>
          <t>Automobiles &amp; Auto Components</t>
        </is>
      </c>
      <c r="F1357" s="17" t="n">
        <v>1522.01</v>
      </c>
      <c r="G1357" s="16" t="inlineStr"/>
      <c r="H1357" s="16" t="inlineStr">
        <is>
          <t>522195</t>
        </is>
      </c>
      <c r="I1357" s="27">
        <f>IFERROR(IF(INDEX(Stocks!$G$2:$G$2139,MATCH(A1357,Stocks!$E$2:$E$2139,0))="","No","Yes"),"No")</f>
        <v/>
      </c>
    </row>
    <row r="1358">
      <c r="A1358" s="16" t="inlineStr">
        <is>
          <t>INE313L01016</t>
        </is>
      </c>
      <c r="B1358" s="16" t="inlineStr">
        <is>
          <t>RSL</t>
        </is>
      </c>
      <c r="C1358" s="16" t="inlineStr">
        <is>
          <t>Rajputana Stainless Ltd.</t>
        </is>
      </c>
      <c r="D1358" s="16" t="inlineStr">
        <is>
          <t>Iron &amp; Steel Products</t>
        </is>
      </c>
      <c r="E1358" s="16" t="inlineStr">
        <is>
          <t>Metals &amp; Mining</t>
        </is>
      </c>
      <c r="F1358" s="17" t="n">
        <v>1516.75</v>
      </c>
      <c r="G1358" s="16" t="inlineStr">
        <is>
          <t>RSL</t>
        </is>
      </c>
      <c r="H1358" s="16" t="inlineStr">
        <is>
          <t>544731</t>
        </is>
      </c>
      <c r="I1358" s="27">
        <f>IFERROR(IF(INDEX(Stocks!$G$2:$G$2139,MATCH(A1358,Stocks!$E$2:$E$2139,0))="","No","Yes"),"No")</f>
        <v/>
      </c>
    </row>
    <row r="1359">
      <c r="A1359" s="16" t="inlineStr">
        <is>
          <t>INE0J5601015</t>
        </is>
      </c>
      <c r="B1359" s="16" t="inlineStr">
        <is>
          <t>KRISHNADEF</t>
        </is>
      </c>
      <c r="C1359" s="16" t="inlineStr">
        <is>
          <t>Krishna Defence and Allied Industries Ltd.</t>
        </is>
      </c>
      <c r="D1359" s="16" t="inlineStr">
        <is>
          <t>Aerospace &amp; Defence</t>
        </is>
      </c>
      <c r="E1359" s="16" t="inlineStr">
        <is>
          <t>General Industrials</t>
        </is>
      </c>
      <c r="F1359" s="17" t="n">
        <v>1514.5</v>
      </c>
      <c r="G1359" s="16" t="inlineStr">
        <is>
          <t>KRISHNADEF</t>
        </is>
      </c>
      <c r="H1359" s="16" t="inlineStr"/>
      <c r="I1359" s="27">
        <f>IFERROR(IF(INDEX(Stocks!$G$2:$G$2139,MATCH(A1359,Stocks!$E$2:$E$2139,0))="","No","Yes"),"No")</f>
        <v/>
      </c>
    </row>
    <row r="1360">
      <c r="A1360" s="16" t="inlineStr">
        <is>
          <t>INE0HLU01028</t>
        </is>
      </c>
      <c r="B1360" s="16" t="inlineStr">
        <is>
          <t>MOBIKWIK</t>
        </is>
      </c>
      <c r="C1360" s="16" t="inlineStr">
        <is>
          <t>One Mobikwik Systems Ltd.</t>
        </is>
      </c>
      <c r="D1360" s="16" t="inlineStr">
        <is>
          <t>Internet Software &amp; Services</t>
        </is>
      </c>
      <c r="E1360" s="16" t="inlineStr">
        <is>
          <t>Software &amp; Services</t>
        </is>
      </c>
      <c r="F1360" s="17" t="n">
        <v>1512.89</v>
      </c>
      <c r="G1360" s="16" t="inlineStr">
        <is>
          <t>MOBIKWIK</t>
        </is>
      </c>
      <c r="H1360" s="16" t="inlineStr">
        <is>
          <t>544305</t>
        </is>
      </c>
      <c r="I1360" s="27">
        <f>IFERROR(IF(INDEX(Stocks!$G$2:$G$2139,MATCH(A1360,Stocks!$E$2:$E$2139,0))="","No","Yes"),"No")</f>
        <v/>
      </c>
    </row>
    <row r="1361">
      <c r="A1361" s="16" t="inlineStr">
        <is>
          <t>INE124G01033</t>
        </is>
      </c>
      <c r="B1361" s="16" t="inlineStr">
        <is>
          <t>DELTACORP</t>
        </is>
      </c>
      <c r="C1361" s="16" t="inlineStr">
        <is>
          <t>Delta Corp Ltd.</t>
        </is>
      </c>
      <c r="D1361" s="16" t="inlineStr">
        <is>
          <t>Other Leisure Facilities</t>
        </is>
      </c>
      <c r="E1361" s="16" t="inlineStr">
        <is>
          <t>Diversified Consumer Services</t>
        </is>
      </c>
      <c r="F1361" s="17" t="n">
        <v>1502.73</v>
      </c>
      <c r="G1361" s="16" t="inlineStr">
        <is>
          <t>DELTACORP</t>
        </is>
      </c>
      <c r="H1361" s="16" t="inlineStr">
        <is>
          <t>532848</t>
        </is>
      </c>
      <c r="I1361" s="27">
        <f>IFERROR(IF(INDEX(Stocks!$G$2:$G$2139,MATCH(A1361,Stocks!$E$2:$E$2139,0))="","No","Yes"),"No")</f>
        <v/>
      </c>
    </row>
    <row r="1362">
      <c r="A1362" s="16" t="inlineStr">
        <is>
          <t>INE419D01026</t>
        </is>
      </c>
      <c r="B1362" s="16" t="inlineStr">
        <is>
          <t>CLSEL</t>
        </is>
      </c>
      <c r="C1362" s="16" t="inlineStr">
        <is>
          <t>Chaman Lal Setia Exports Ltd.</t>
        </is>
      </c>
      <c r="D1362" s="16" t="inlineStr">
        <is>
          <t>Other Agricultural Products</t>
        </is>
      </c>
      <c r="E1362" s="16" t="inlineStr">
        <is>
          <t>Food, Beverages &amp; Tobacco</t>
        </is>
      </c>
      <c r="F1362" s="17" t="n">
        <v>1501.22</v>
      </c>
      <c r="G1362" s="16" t="inlineStr">
        <is>
          <t>CLSEL</t>
        </is>
      </c>
      <c r="H1362" s="16" t="inlineStr">
        <is>
          <t>530307</t>
        </is>
      </c>
      <c r="I1362" s="27">
        <f>IFERROR(IF(INDEX(Stocks!$G$2:$G$2139,MATCH(A1362,Stocks!$E$2:$E$2139,0))="","No","Yes"),"No")</f>
        <v/>
      </c>
    </row>
    <row r="1363">
      <c r="A1363" s="16" t="inlineStr">
        <is>
          <t>INE840Y01029</t>
        </is>
      </c>
      <c r="B1363" s="16" t="inlineStr">
        <is>
          <t>ONEPOINT</t>
        </is>
      </c>
      <c r="C1363" s="16" t="inlineStr">
        <is>
          <t>One Point One Solutions Ltd.</t>
        </is>
      </c>
      <c r="D1363" s="16" t="inlineStr">
        <is>
          <t>BPO/KPO</t>
        </is>
      </c>
      <c r="E1363" s="16" t="inlineStr">
        <is>
          <t>Software &amp; Services</t>
        </is>
      </c>
      <c r="F1363" s="17" t="n">
        <v>1500.14</v>
      </c>
      <c r="G1363" s="16" t="inlineStr">
        <is>
          <t>ONEPOINT</t>
        </is>
      </c>
      <c r="H1363" s="16" t="inlineStr">
        <is>
          <t>544748</t>
        </is>
      </c>
      <c r="I1363" s="27">
        <f>IFERROR(IF(INDEX(Stocks!$G$2:$G$2139,MATCH(A1363,Stocks!$E$2:$E$2139,0))="","No","Yes"),"No")</f>
        <v/>
      </c>
    </row>
    <row r="1364">
      <c r="A1364" s="16" t="inlineStr">
        <is>
          <t>INE325C01035</t>
        </is>
      </c>
      <c r="B1364" s="16" t="inlineStr">
        <is>
          <t>DOLLAR</t>
        </is>
      </c>
      <c r="C1364" s="16" t="inlineStr">
        <is>
          <t>Dollar Industries Ltd.</t>
        </is>
      </c>
      <c r="D1364" s="16" t="inlineStr">
        <is>
          <t>Other Apparels &amp; Accessories</t>
        </is>
      </c>
      <c r="E1364" s="16" t="inlineStr">
        <is>
          <t>Textiles Apparels &amp; Accessories</t>
        </is>
      </c>
      <c r="F1364" s="17" t="n">
        <v>1498.72</v>
      </c>
      <c r="G1364" s="16" t="inlineStr">
        <is>
          <t>DOLLAR</t>
        </is>
      </c>
      <c r="H1364" s="16" t="inlineStr">
        <is>
          <t>541403</t>
        </is>
      </c>
      <c r="I1364" s="27">
        <f>IFERROR(IF(INDEX(Stocks!$G$2:$G$2139,MATCH(A1364,Stocks!$E$2:$E$2139,0))="","No","Yes"),"No")</f>
        <v/>
      </c>
    </row>
    <row r="1365">
      <c r="A1365" s="16" t="inlineStr">
        <is>
          <t>INE373T01047</t>
        </is>
      </c>
      <c r="B1365" s="16" t="inlineStr">
        <is>
          <t>BLUECLOUDS</t>
        </is>
      </c>
      <c r="C1365" s="16" t="inlineStr">
        <is>
          <t>Blue Cloud Softech Solutions Ltd.</t>
        </is>
      </c>
      <c r="D1365" s="16" t="inlineStr">
        <is>
          <t>IT Software Products</t>
        </is>
      </c>
      <c r="E1365" s="16" t="inlineStr">
        <is>
          <t>Software &amp; Services</t>
        </is>
      </c>
      <c r="F1365" s="17" t="n">
        <v>1498.63</v>
      </c>
      <c r="G1365" s="16" t="inlineStr"/>
      <c r="H1365" s="16" t="inlineStr">
        <is>
          <t>539607</t>
        </is>
      </c>
      <c r="I1365" s="27">
        <f>IFERROR(IF(INDEX(Stocks!$G$2:$G$2139,MATCH(A1365,Stocks!$E$2:$E$2139,0))="","No","Yes"),"No")</f>
        <v/>
      </c>
    </row>
    <row r="1366">
      <c r="A1366" s="16" t="inlineStr">
        <is>
          <t>INE0FMZ01045</t>
        </is>
      </c>
      <c r="B1366" s="16" t="inlineStr">
        <is>
          <t>SHREEREF</t>
        </is>
      </c>
      <c r="C1366" s="16" t="inlineStr">
        <is>
          <t>Shree Refrigerations Ltd.</t>
        </is>
      </c>
      <c r="D1366" s="16" t="inlineStr">
        <is>
          <t>Consumer Electronics</t>
        </is>
      </c>
      <c r="E1366" s="16" t="inlineStr">
        <is>
          <t>Consumer Durables</t>
        </is>
      </c>
      <c r="F1366" s="17" t="n">
        <v>1496.12</v>
      </c>
      <c r="G1366" s="16" t="inlineStr"/>
      <c r="H1366" s="16" t="inlineStr">
        <is>
          <t>544458</t>
        </is>
      </c>
      <c r="I1366" s="27">
        <f>IFERROR(IF(INDEX(Stocks!$G$2:$G$2139,MATCH(A1366,Stocks!$E$2:$E$2139,0))="","No","Yes"),"No")</f>
        <v/>
      </c>
    </row>
    <row r="1367">
      <c r="A1367" s="16" t="inlineStr">
        <is>
          <t>INE859A01011</t>
        </is>
      </c>
      <c r="B1367" s="16" t="inlineStr">
        <is>
          <t>PNBGILTS</t>
        </is>
      </c>
      <c r="C1367" s="16" t="inlineStr">
        <is>
          <t>PNB Gilts Ltd.</t>
        </is>
      </c>
      <c r="D1367" s="16" t="inlineStr">
        <is>
          <t>Finance (including NBFCs)</t>
        </is>
      </c>
      <c r="E1367" s="16" t="inlineStr">
        <is>
          <t>Banking and Finance</t>
        </is>
      </c>
      <c r="F1367" s="17" t="n">
        <v>1495.52</v>
      </c>
      <c r="G1367" s="16" t="inlineStr">
        <is>
          <t>PNBGILTS</t>
        </is>
      </c>
      <c r="H1367" s="16" t="inlineStr">
        <is>
          <t>532366</t>
        </is>
      </c>
      <c r="I1367" s="27">
        <f>IFERROR(IF(INDEX(Stocks!$G$2:$G$2139,MATCH(A1367,Stocks!$E$2:$E$2139,0))="","No","Yes"),"No")</f>
        <v/>
      </c>
    </row>
    <row r="1368">
      <c r="A1368" s="16" t="inlineStr">
        <is>
          <t>INE265B01019</t>
        </is>
      </c>
      <c r="B1368" s="16" t="inlineStr">
        <is>
          <t>NITTAGELA</t>
        </is>
      </c>
      <c r="C1368" s="16" t="inlineStr">
        <is>
          <t>Nitta Gelatin India Ltd.</t>
        </is>
      </c>
      <c r="D1368" s="16" t="inlineStr">
        <is>
          <t>Specialty Chemicals</t>
        </is>
      </c>
      <c r="E1368" s="16" t="inlineStr">
        <is>
          <t>Chemicals &amp; Petrochemicals</t>
        </is>
      </c>
      <c r="F1368" s="17" t="n">
        <v>1493.66</v>
      </c>
      <c r="G1368" s="16" t="inlineStr"/>
      <c r="H1368" s="16" t="inlineStr">
        <is>
          <t>506532</t>
        </is>
      </c>
      <c r="I1368" s="27">
        <f>IFERROR(IF(INDEX(Stocks!$G$2:$G$2139,MATCH(A1368,Stocks!$E$2:$E$2139,0))="","No","Yes"),"No")</f>
        <v/>
      </c>
    </row>
    <row r="1369">
      <c r="A1369" s="16" t="inlineStr">
        <is>
          <t>INE201A01024</t>
        </is>
      </c>
      <c r="B1369" s="16" t="inlineStr">
        <is>
          <t>MANALIPETC</t>
        </is>
      </c>
      <c r="C1369" s="16" t="inlineStr">
        <is>
          <t>Manali Petrochemicals Ltd.</t>
        </is>
      </c>
      <c r="D1369" s="16" t="inlineStr">
        <is>
          <t>Petrochemicals</t>
        </is>
      </c>
      <c r="E1369" s="16" t="inlineStr">
        <is>
          <t>Chemicals &amp; Petrochemicals</t>
        </is>
      </c>
      <c r="F1369" s="17" t="n">
        <v>1492.27</v>
      </c>
      <c r="G1369" s="16" t="inlineStr">
        <is>
          <t>MANALIPETC</t>
        </is>
      </c>
      <c r="H1369" s="16" t="inlineStr">
        <is>
          <t>500268</t>
        </is>
      </c>
      <c r="I1369" s="27">
        <f>IFERROR(IF(INDEX(Stocks!$G$2:$G$2139,MATCH(A1369,Stocks!$E$2:$E$2139,0))="","No","Yes"),"No")</f>
        <v/>
      </c>
    </row>
    <row r="1370">
      <c r="A1370" s="16" t="inlineStr">
        <is>
          <t>INE1G2W01011</t>
        </is>
      </c>
      <c r="B1370" s="16" t="inlineStr">
        <is>
          <t>QLINE</t>
        </is>
      </c>
      <c r="C1370" s="16" t="inlineStr">
        <is>
          <t>Q-Line Biotech Ltd.</t>
        </is>
      </c>
      <c r="D1370" s="16" t="inlineStr">
        <is>
          <t>Healthcare Supplies</t>
        </is>
      </c>
      <c r="E1370" s="16" t="inlineStr">
        <is>
          <t>Healthcare</t>
        </is>
      </c>
      <c r="F1370" s="17" t="n">
        <v>1492.07</v>
      </c>
      <c r="G1370" s="16" t="inlineStr">
        <is>
          <t>QLINE</t>
        </is>
      </c>
      <c r="H1370" s="16" t="inlineStr"/>
      <c r="I1370" s="27">
        <f>IFERROR(IF(INDEX(Stocks!$G$2:$G$2139,MATCH(A1370,Stocks!$E$2:$E$2139,0))="","No","Yes"),"No")</f>
        <v/>
      </c>
    </row>
    <row r="1371">
      <c r="A1371" s="16" t="inlineStr">
        <is>
          <t>INE022I01019</t>
        </is>
      </c>
      <c r="B1371" s="16" t="inlineStr">
        <is>
          <t>ASIANTILES</t>
        </is>
      </c>
      <c r="C1371" s="16" t="inlineStr">
        <is>
          <t>Asian Granito India Ltd.</t>
        </is>
      </c>
      <c r="D1371" s="16" t="inlineStr">
        <is>
          <t>Ceramics</t>
        </is>
      </c>
      <c r="E1371" s="16" t="inlineStr">
        <is>
          <t>Consumer Durables</t>
        </is>
      </c>
      <c r="F1371" s="17" t="n">
        <v>1490.08</v>
      </c>
      <c r="G1371" s="16" t="inlineStr">
        <is>
          <t>ASIANTILES</t>
        </is>
      </c>
      <c r="H1371" s="16" t="inlineStr">
        <is>
          <t>532888</t>
        </is>
      </c>
      <c r="I1371" s="27">
        <f>IFERROR(IF(INDEX(Stocks!$G$2:$G$2139,MATCH(A1371,Stocks!$E$2:$E$2139,0))="","No","Yes"),"No")</f>
        <v/>
      </c>
    </row>
    <row r="1372">
      <c r="A1372" s="16" t="inlineStr">
        <is>
          <t>INE221H01019</t>
        </is>
      </c>
      <c r="B1372" s="16" t="inlineStr">
        <is>
          <t>GTLINFRA</t>
        </is>
      </c>
      <c r="C1372" s="16" t="inlineStr">
        <is>
          <t>GTL Infrastructure Ltd.</t>
        </is>
      </c>
      <c r="D1372" s="16" t="inlineStr">
        <is>
          <t>Telecom Equipment</t>
        </is>
      </c>
      <c r="E1372" s="16" t="inlineStr">
        <is>
          <t>Telecommunications Equipment</t>
        </is>
      </c>
      <c r="F1372" s="17" t="n">
        <v>1485.89</v>
      </c>
      <c r="G1372" s="16" t="inlineStr">
        <is>
          <t>GTLINFRA</t>
        </is>
      </c>
      <c r="H1372" s="16" t="inlineStr">
        <is>
          <t>532775</t>
        </is>
      </c>
      <c r="I1372" s="27">
        <f>IFERROR(IF(INDEX(Stocks!$G$2:$G$2139,MATCH(A1372,Stocks!$E$2:$E$2139,0))="","No","Yes"),"No")</f>
        <v/>
      </c>
    </row>
    <row r="1373">
      <c r="A1373" s="16" t="inlineStr">
        <is>
          <t>INE173M01012</t>
        </is>
      </c>
      <c r="B1373" s="16" t="inlineStr">
        <is>
          <t>ONIXSOLAR</t>
        </is>
      </c>
      <c r="C1373" s="16" t="inlineStr">
        <is>
          <t>Onix Solar Energy Ltd.</t>
        </is>
      </c>
      <c r="D1373" s="16" t="inlineStr">
        <is>
          <t>Commodity Trading  &amp; Distribution</t>
        </is>
      </c>
      <c r="E1373" s="16" t="inlineStr">
        <is>
          <t>Commercial Services &amp; Supplies</t>
        </is>
      </c>
      <c r="F1373" s="17" t="n">
        <v>1484.3</v>
      </c>
      <c r="G1373" s="16" t="inlineStr"/>
      <c r="H1373" s="16" t="inlineStr">
        <is>
          <t>513119</t>
        </is>
      </c>
      <c r="I1373" s="27">
        <f>IFERROR(IF(INDEX(Stocks!$G$2:$G$2139,MATCH(A1373,Stocks!$E$2:$E$2139,0))="","No","Yes"),"No")</f>
        <v/>
      </c>
    </row>
    <row r="1374">
      <c r="A1374" s="16" t="inlineStr">
        <is>
          <t>INE048C01025</t>
        </is>
      </c>
      <c r="B1374" s="16" t="inlineStr">
        <is>
          <t>VHLTD</t>
        </is>
      </c>
      <c r="C1374" s="16" t="inlineStr">
        <is>
          <t>Viceroy Hotels Ltd.</t>
        </is>
      </c>
      <c r="D1374" s="16" t="inlineStr">
        <is>
          <t>Hotels</t>
        </is>
      </c>
      <c r="E1374" s="16" t="inlineStr">
        <is>
          <t>Hotels Restaurants &amp; Tourism</t>
        </is>
      </c>
      <c r="F1374" s="17" t="n">
        <v>1483.58</v>
      </c>
      <c r="G1374" s="16" t="inlineStr">
        <is>
          <t>VHLTD</t>
        </is>
      </c>
      <c r="H1374" s="16" t="inlineStr">
        <is>
          <t>523796</t>
        </is>
      </c>
      <c r="I1374" s="27">
        <f>IFERROR(IF(INDEX(Stocks!$G$2:$G$2139,MATCH(A1374,Stocks!$E$2:$E$2139,0))="","No","Yes"),"No")</f>
        <v/>
      </c>
    </row>
    <row r="1375">
      <c r="A1375" s="16" t="inlineStr">
        <is>
          <t>INE0Q5D01013</t>
        </is>
      </c>
      <c r="B1375" s="16" t="inlineStr">
        <is>
          <t>ACCENTMIC</t>
        </is>
      </c>
      <c r="C1375" s="16" t="inlineStr">
        <is>
          <t>Accent Microcell Ltd.</t>
        </is>
      </c>
      <c r="D1375" s="16" t="inlineStr">
        <is>
          <t>Pharmaceuticals</t>
        </is>
      </c>
      <c r="E1375" s="16" t="inlineStr">
        <is>
          <t>Pharmaceuticals &amp; Biotechnology</t>
        </is>
      </c>
      <c r="F1375" s="17" t="n">
        <v>1482.04</v>
      </c>
      <c r="G1375" s="16" t="inlineStr">
        <is>
          <t>ACCENTMIC</t>
        </is>
      </c>
      <c r="H1375" s="16" t="inlineStr"/>
      <c r="I1375" s="27">
        <f>IFERROR(IF(INDEX(Stocks!$G$2:$G$2139,MATCH(A1375,Stocks!$E$2:$E$2139,0))="","No","Yes"),"No")</f>
        <v/>
      </c>
    </row>
    <row r="1376">
      <c r="A1376" s="16" t="inlineStr">
        <is>
          <t>INE133Y01011</t>
        </is>
      </c>
      <c r="B1376" s="16" t="inlineStr">
        <is>
          <t>IFGLEXPOR</t>
        </is>
      </c>
      <c r="C1376" s="16" t="inlineStr">
        <is>
          <t>IFGL Refractories Ltd.</t>
        </is>
      </c>
      <c r="D1376" s="16" t="inlineStr">
        <is>
          <t>Electrodes &amp; Refractories</t>
        </is>
      </c>
      <c r="E1376" s="16" t="inlineStr">
        <is>
          <t>General Industrials</t>
        </is>
      </c>
      <c r="F1376" s="17" t="n">
        <v>1475.38</v>
      </c>
      <c r="G1376" s="16" t="inlineStr">
        <is>
          <t>IFGLEXPOR</t>
        </is>
      </c>
      <c r="H1376" s="16" t="inlineStr">
        <is>
          <t>540774</t>
        </is>
      </c>
      <c r="I1376" s="27">
        <f>IFERROR(IF(INDEX(Stocks!$G$2:$G$2139,MATCH(A1376,Stocks!$E$2:$E$2139,0))="","No","Yes"),"No")</f>
        <v/>
      </c>
    </row>
    <row r="1377">
      <c r="A1377" s="16" t="inlineStr">
        <is>
          <t>INE363L01045</t>
        </is>
      </c>
      <c r="B1377" s="16" t="inlineStr">
        <is>
          <t>BELDING</t>
        </is>
      </c>
      <c r="C1377" s="16" t="inlineStr">
        <is>
          <t>Belding India Ltd.</t>
        </is>
      </c>
      <c r="D1377" s="16" t="inlineStr">
        <is>
          <t>Aluminium and Aluminium Products</t>
        </is>
      </c>
      <c r="E1377" s="16" t="inlineStr">
        <is>
          <t>Metals &amp; Mining</t>
        </is>
      </c>
      <c r="F1377" s="17" t="n">
        <v>1474.74</v>
      </c>
      <c r="G1377" s="16" t="inlineStr"/>
      <c r="H1377" s="16" t="inlineStr">
        <is>
          <t>513307</t>
        </is>
      </c>
      <c r="I1377" s="27">
        <f>IFERROR(IF(INDEX(Stocks!$G$2:$G$2139,MATCH(A1377,Stocks!$E$2:$E$2139,0))="","No","Yes"),"No")</f>
        <v/>
      </c>
    </row>
    <row r="1378">
      <c r="A1378" s="16" t="inlineStr">
        <is>
          <t>INE784R01023</t>
        </is>
      </c>
      <c r="B1378" s="16" t="inlineStr">
        <is>
          <t>ARFIN</t>
        </is>
      </c>
      <c r="C1378" s="16" t="inlineStr">
        <is>
          <t>Arfin India Ltd.</t>
        </is>
      </c>
      <c r="D1378" s="16" t="inlineStr">
        <is>
          <t>Aluminium and Aluminium Products</t>
        </is>
      </c>
      <c r="E1378" s="16" t="inlineStr">
        <is>
          <t>Metals &amp; Mining</t>
        </is>
      </c>
      <c r="F1378" s="17" t="n">
        <v>1471.94</v>
      </c>
      <c r="G1378" s="16" t="inlineStr">
        <is>
          <t>ARFIN</t>
        </is>
      </c>
      <c r="H1378" s="16" t="inlineStr">
        <is>
          <t>539151</t>
        </is>
      </c>
      <c r="I1378" s="27">
        <f>IFERROR(IF(INDEX(Stocks!$G$2:$G$2139,MATCH(A1378,Stocks!$E$2:$E$2139,0))="","No","Yes"),"No")</f>
        <v/>
      </c>
    </row>
    <row r="1379">
      <c r="A1379" s="16" t="inlineStr">
        <is>
          <t>INE630A01024</t>
        </is>
      </c>
      <c r="B1379" s="16" t="inlineStr">
        <is>
          <t>SESHAPAPER</t>
        </is>
      </c>
      <c r="C1379" s="16" t="inlineStr">
        <is>
          <t>Seshasayee Paper &amp; Boards Ltd.</t>
        </is>
      </c>
      <c r="D1379" s="16" t="inlineStr">
        <is>
          <t>Paper &amp; Paper Products</t>
        </is>
      </c>
      <c r="E1379" s="16" t="inlineStr">
        <is>
          <t>Commercial Services &amp; Supplies</t>
        </is>
      </c>
      <c r="F1379" s="17" t="n">
        <v>1470.05</v>
      </c>
      <c r="G1379" s="16" t="inlineStr">
        <is>
          <t>SESHAPAPER</t>
        </is>
      </c>
      <c r="H1379" s="16" t="inlineStr">
        <is>
          <t>502450</t>
        </is>
      </c>
      <c r="I1379" s="27">
        <f>IFERROR(IF(INDEX(Stocks!$G$2:$G$2139,MATCH(A1379,Stocks!$E$2:$E$2139,0))="","No","Yes"),"No")</f>
        <v/>
      </c>
    </row>
    <row r="1380">
      <c r="A1380" s="16" t="inlineStr">
        <is>
          <t>INE225B01021</t>
        </is>
      </c>
      <c r="B1380" s="16" t="inlineStr">
        <is>
          <t>FERMENTA</t>
        </is>
      </c>
      <c r="C1380" s="16" t="inlineStr">
        <is>
          <t>Fermenta Biotech Ltd.</t>
        </is>
      </c>
      <c r="D1380" s="16" t="inlineStr">
        <is>
          <t>Pharmaceuticals</t>
        </is>
      </c>
      <c r="E1380" s="16" t="inlineStr">
        <is>
          <t>Pharmaceuticals &amp; Biotechnology</t>
        </is>
      </c>
      <c r="F1380" s="17" t="n">
        <v>1466.69</v>
      </c>
      <c r="G1380" s="16" t="inlineStr"/>
      <c r="H1380" s="16" t="inlineStr">
        <is>
          <t>506414</t>
        </is>
      </c>
      <c r="I1380" s="27">
        <f>IFERROR(IF(INDEX(Stocks!$G$2:$G$2139,MATCH(A1380,Stocks!$E$2:$E$2139,0))="","No","Yes"),"No")</f>
        <v/>
      </c>
    </row>
    <row r="1381">
      <c r="A1381" s="16" t="inlineStr">
        <is>
          <t>INE435C01024</t>
        </is>
      </c>
      <c r="B1381" s="16" t="inlineStr">
        <is>
          <t>TEXINFRA</t>
        </is>
      </c>
      <c r="C1381" s="16" t="inlineStr">
        <is>
          <t>Texmaco Infrastructure &amp; Holdings Ltd.</t>
        </is>
      </c>
      <c r="D1381" s="16" t="inlineStr">
        <is>
          <t>Realty</t>
        </is>
      </c>
      <c r="E1381" s="16" t="inlineStr">
        <is>
          <t>Realty</t>
        </is>
      </c>
      <c r="F1381" s="17" t="n">
        <v>1465.66</v>
      </c>
      <c r="G1381" s="16" t="inlineStr">
        <is>
          <t>TEXINFRA</t>
        </is>
      </c>
      <c r="H1381" s="16" t="inlineStr">
        <is>
          <t>505400</t>
        </is>
      </c>
      <c r="I1381" s="27">
        <f>IFERROR(IF(INDEX(Stocks!$G$2:$G$2139,MATCH(A1381,Stocks!$E$2:$E$2139,0))="","No","Yes"),"No")</f>
        <v/>
      </c>
    </row>
    <row r="1382">
      <c r="A1382" s="16" t="inlineStr">
        <is>
          <t>INE098F01031</t>
        </is>
      </c>
      <c r="B1382" s="16" t="inlineStr">
        <is>
          <t>AMRUTANJAN</t>
        </is>
      </c>
      <c r="C1382" s="16" t="inlineStr">
        <is>
          <t>Amrutanjan Health Care Ltd.</t>
        </is>
      </c>
      <c r="D1382" s="16" t="inlineStr">
        <is>
          <t>Pharmaceuticals</t>
        </is>
      </c>
      <c r="E1382" s="16" t="inlineStr">
        <is>
          <t>Pharmaceuticals &amp; Biotechnology</t>
        </is>
      </c>
      <c r="F1382" s="17" t="n">
        <v>1461.29</v>
      </c>
      <c r="G1382" s="16" t="inlineStr">
        <is>
          <t>AMRUTANJAN</t>
        </is>
      </c>
      <c r="H1382" s="16" t="inlineStr">
        <is>
          <t>590006</t>
        </is>
      </c>
      <c r="I1382" s="27">
        <f>IFERROR(IF(INDEX(Stocks!$G$2:$G$2139,MATCH(A1382,Stocks!$E$2:$E$2139,0))="","No","Yes"),"No")</f>
        <v/>
      </c>
    </row>
    <row r="1383">
      <c r="A1383" s="16" t="inlineStr">
        <is>
          <t>INE1WFC01025</t>
        </is>
      </c>
      <c r="B1383" s="16" t="inlineStr">
        <is>
          <t>SHANKESH</t>
        </is>
      </c>
      <c r="C1383" s="16" t="inlineStr">
        <is>
          <t>Shankesh Jewellers Ltd.</t>
        </is>
      </c>
      <c r="D1383" s="16" t="inlineStr">
        <is>
          <t>Gems &amp; Jewellery</t>
        </is>
      </c>
      <c r="E1383" s="16" t="inlineStr">
        <is>
          <t>Textiles Apparels &amp; Accessories</t>
        </is>
      </c>
      <c r="F1383" s="17" t="n">
        <v>1454.43</v>
      </c>
      <c r="G1383" s="16" t="inlineStr">
        <is>
          <t>SHANKESH</t>
        </is>
      </c>
      <c r="H1383" s="16" t="inlineStr">
        <is>
          <t>544882</t>
        </is>
      </c>
      <c r="I1383" s="27">
        <f>IFERROR(IF(INDEX(Stocks!$G$2:$G$2139,MATCH(A1383,Stocks!$E$2:$E$2139,0))="","No","Yes"),"No")</f>
        <v/>
      </c>
    </row>
    <row r="1384">
      <c r="A1384" s="16" t="inlineStr">
        <is>
          <t>INE147A01011</t>
        </is>
      </c>
      <c r="B1384" s="16" t="inlineStr">
        <is>
          <t>SPIC</t>
        </is>
      </c>
      <c r="C1384" s="16" t="inlineStr">
        <is>
          <t>Southern Petrochemicals Industries Corporation Ltd.</t>
        </is>
      </c>
      <c r="D1384" s="16" t="inlineStr">
        <is>
          <t>Fertilizers</t>
        </is>
      </c>
      <c r="E1384" s="16" t="inlineStr">
        <is>
          <t>Fertilizers</t>
        </is>
      </c>
      <c r="F1384" s="17" t="n">
        <v>1451.55</v>
      </c>
      <c r="G1384" s="16" t="inlineStr">
        <is>
          <t>SPIC</t>
        </is>
      </c>
      <c r="H1384" s="16" t="inlineStr">
        <is>
          <t>590030</t>
        </is>
      </c>
      <c r="I1384" s="27">
        <f>IFERROR(IF(INDEX(Stocks!$G$2:$G$2139,MATCH(A1384,Stocks!$E$2:$E$2139,0))="","No","Yes"),"No")</f>
        <v/>
      </c>
    </row>
    <row r="1385">
      <c r="A1385" s="16" t="inlineStr">
        <is>
          <t>INE1D0W01018</t>
        </is>
      </c>
      <c r="B1385" s="16" t="inlineStr">
        <is>
          <t>TECHNOCRAF</t>
        </is>
      </c>
      <c r="C1385" s="16" t="inlineStr">
        <is>
          <t>Technocraft Ventures Ltd.</t>
        </is>
      </c>
      <c r="D1385" s="16" t="inlineStr">
        <is>
          <t>Utilities:Non-Electrical</t>
        </is>
      </c>
      <c r="E1385" s="16" t="inlineStr">
        <is>
          <t>Utilities</t>
        </is>
      </c>
      <c r="F1385" s="17" t="n">
        <v>1449.98</v>
      </c>
      <c r="G1385" s="16" t="inlineStr">
        <is>
          <t>TECHNOCRAF</t>
        </is>
      </c>
      <c r="H1385" s="16" t="inlineStr">
        <is>
          <t>544864</t>
        </is>
      </c>
      <c r="I1385" s="27">
        <f>IFERROR(IF(INDEX(Stocks!$G$2:$G$2139,MATCH(A1385,Stocks!$E$2:$E$2139,0))="","No","Yes"),"No")</f>
        <v/>
      </c>
    </row>
    <row r="1386">
      <c r="A1386" s="16" t="inlineStr">
        <is>
          <t>INE278M01019</t>
        </is>
      </c>
      <c r="B1386" s="16" t="inlineStr">
        <is>
          <t>NAVKARCORP</t>
        </is>
      </c>
      <c r="C1386" s="16" t="inlineStr">
        <is>
          <t>Navkar Corporation Ltd.</t>
        </is>
      </c>
      <c r="D1386" s="16" t="inlineStr">
        <is>
          <t>Transport Related Services</t>
        </is>
      </c>
      <c r="E1386" s="16" t="inlineStr">
        <is>
          <t>Transportation</t>
        </is>
      </c>
      <c r="F1386" s="17" t="n">
        <v>1448.6</v>
      </c>
      <c r="G1386" s="16" t="inlineStr">
        <is>
          <t>NAVKARCORP</t>
        </is>
      </c>
      <c r="H1386" s="16" t="inlineStr">
        <is>
          <t>539332</t>
        </is>
      </c>
      <c r="I1386" s="27">
        <f>IFERROR(IF(INDEX(Stocks!$G$2:$G$2139,MATCH(A1386,Stocks!$E$2:$E$2139,0))="","No","Yes"),"No")</f>
        <v/>
      </c>
    </row>
    <row r="1387">
      <c r="A1387" s="16" t="inlineStr">
        <is>
          <t>INE0U4701011</t>
        </is>
      </c>
      <c r="B1387" s="16" t="inlineStr">
        <is>
          <t>DIGITIDE</t>
        </is>
      </c>
      <c r="C1387" s="16" t="inlineStr">
        <is>
          <t>Digitide Solutions Ltd.</t>
        </is>
      </c>
      <c r="D1387" s="16" t="inlineStr">
        <is>
          <t>IT Consulting &amp; Software</t>
        </is>
      </c>
      <c r="E1387" s="16" t="inlineStr">
        <is>
          <t>Software &amp; Services</t>
        </is>
      </c>
      <c r="F1387" s="17" t="n">
        <v>1447.19</v>
      </c>
      <c r="G1387" s="16" t="inlineStr">
        <is>
          <t>DIGITIDE</t>
        </is>
      </c>
      <c r="H1387" s="16" t="inlineStr">
        <is>
          <t>544413</t>
        </is>
      </c>
      <c r="I1387" s="27">
        <f>IFERROR(IF(INDEX(Stocks!$G$2:$G$2139,MATCH(A1387,Stocks!$E$2:$E$2139,0))="","No","Yes"),"No")</f>
        <v/>
      </c>
    </row>
    <row r="1388">
      <c r="A1388" s="16" t="inlineStr">
        <is>
          <t>INE503B01021</t>
        </is>
      </c>
      <c r="B1388" s="16" t="inlineStr">
        <is>
          <t>STEELXIND</t>
        </is>
      </c>
      <c r="C1388" s="16" t="inlineStr">
        <is>
          <t>Steel Exchange India Ltd.</t>
        </is>
      </c>
      <c r="D1388" s="16" t="inlineStr">
        <is>
          <t>Iron &amp; Steel/Interm.Products</t>
        </is>
      </c>
      <c r="E1388" s="16" t="inlineStr">
        <is>
          <t>Metals &amp; Mining</t>
        </is>
      </c>
      <c r="F1388" s="17" t="n">
        <v>1446.44</v>
      </c>
      <c r="G1388" s="16" t="inlineStr">
        <is>
          <t>STEELXIND</t>
        </is>
      </c>
      <c r="H1388" s="16" t="inlineStr">
        <is>
          <t>534748</t>
        </is>
      </c>
      <c r="I1388" s="27">
        <f>IFERROR(IF(INDEX(Stocks!$G$2:$G$2139,MATCH(A1388,Stocks!$E$2:$E$2139,0))="","No","Yes"),"No")</f>
        <v/>
      </c>
    </row>
    <row r="1389">
      <c r="A1389" s="16" t="inlineStr">
        <is>
          <t>INE0SCO01019</t>
        </is>
      </c>
      <c r="B1389" s="16" t="inlineStr">
        <is>
          <t>DPEL</t>
        </is>
      </c>
      <c r="C1389" s="16" t="inlineStr">
        <is>
          <t>Divine Power Energy Ltd.</t>
        </is>
      </c>
      <c r="D1389" s="16" t="inlineStr">
        <is>
          <t>Other Electrical Equipment/Products</t>
        </is>
      </c>
      <c r="E1389" s="16" t="inlineStr">
        <is>
          <t>Consumer Durables</t>
        </is>
      </c>
      <c r="F1389" s="17" t="n">
        <v>1444.86</v>
      </c>
      <c r="G1389" s="16" t="inlineStr">
        <is>
          <t>DPEL</t>
        </is>
      </c>
      <c r="H1389" s="16" t="inlineStr">
        <is>
          <t>523810</t>
        </is>
      </c>
      <c r="I1389" s="27">
        <f>IFERROR(IF(INDEX(Stocks!$G$2:$G$2139,MATCH(A1389,Stocks!$E$2:$E$2139,0))="","No","Yes"),"No")</f>
        <v/>
      </c>
    </row>
    <row r="1390">
      <c r="A1390" s="16" t="inlineStr">
        <is>
          <t>INE0QVH01025</t>
        </is>
      </c>
      <c r="B1390" s="16" t="inlineStr">
        <is>
          <t>KPGEL</t>
        </is>
      </c>
      <c r="C1390" s="16" t="inlineStr">
        <is>
          <t>KP Green Engineering Ltd.</t>
        </is>
      </c>
      <c r="D1390" s="16" t="inlineStr">
        <is>
          <t>Construction &amp; Engineering</t>
        </is>
      </c>
      <c r="E1390" s="16" t="inlineStr">
        <is>
          <t>Cement and Construction</t>
        </is>
      </c>
      <c r="F1390" s="17" t="n">
        <v>1442.5</v>
      </c>
      <c r="G1390" s="16" t="inlineStr"/>
      <c r="H1390" s="16" t="inlineStr">
        <is>
          <t>544150</t>
        </is>
      </c>
      <c r="I1390" s="27">
        <f>IFERROR(IF(INDEX(Stocks!$G$2:$G$2139,MATCH(A1390,Stocks!$E$2:$E$2139,0))="","No","Yes"),"No")</f>
        <v/>
      </c>
    </row>
    <row r="1391">
      <c r="A1391" s="16" t="inlineStr">
        <is>
          <t>INE199P01028</t>
        </is>
      </c>
      <c r="B1391" s="16" t="inlineStr">
        <is>
          <t>GCSL</t>
        </is>
      </c>
      <c r="C1391" s="16" t="inlineStr">
        <is>
          <t>Gretex Corporate Services Ltd.</t>
        </is>
      </c>
      <c r="D1391" s="16" t="inlineStr">
        <is>
          <t>Other Financial Services</t>
        </is>
      </c>
      <c r="E1391" s="16" t="inlineStr">
        <is>
          <t>Banking and Finance</t>
        </is>
      </c>
      <c r="F1391" s="17" t="n">
        <v>1437.84</v>
      </c>
      <c r="G1391" s="16" t="inlineStr">
        <is>
          <t>GCSL</t>
        </is>
      </c>
      <c r="H1391" s="16" t="inlineStr">
        <is>
          <t>543324</t>
        </is>
      </c>
      <c r="I1391" s="27">
        <f>IFERROR(IF(INDEX(Stocks!$G$2:$G$2139,MATCH(A1391,Stocks!$E$2:$E$2139,0))="","No","Yes"),"No")</f>
        <v/>
      </c>
    </row>
    <row r="1392">
      <c r="A1392" s="16" t="inlineStr">
        <is>
          <t>INE301D01026</t>
        </is>
      </c>
      <c r="B1392" s="16" t="inlineStr">
        <is>
          <t>RUBYMILLS</t>
        </is>
      </c>
      <c r="C1392" s="16" t="inlineStr">
        <is>
          <t>Ruby Mills Ltd.</t>
        </is>
      </c>
      <c r="D1392" s="16" t="inlineStr">
        <is>
          <t>Textiles</t>
        </is>
      </c>
      <c r="E1392" s="16" t="inlineStr">
        <is>
          <t>Textiles Apparels &amp; Accessories</t>
        </is>
      </c>
      <c r="F1392" s="17" t="n">
        <v>1432.24</v>
      </c>
      <c r="G1392" s="16" t="inlineStr">
        <is>
          <t>RUBYMILLS</t>
        </is>
      </c>
      <c r="H1392" s="16" t="inlineStr">
        <is>
          <t>503169</t>
        </is>
      </c>
      <c r="I1392" s="27">
        <f>IFERROR(IF(INDEX(Stocks!$G$2:$G$2139,MATCH(A1392,Stocks!$E$2:$E$2139,0))="","No","Yes"),"No")</f>
        <v/>
      </c>
    </row>
    <row r="1393">
      <c r="A1393" s="16" t="inlineStr">
        <is>
          <t>INE972A01020</t>
        </is>
      </c>
      <c r="B1393" s="16" t="inlineStr">
        <is>
          <t>KOTIC</t>
        </is>
      </c>
      <c r="C1393" s="16" t="inlineStr">
        <is>
          <t>Kothari Industrial Corporation Ltd.</t>
        </is>
      </c>
      <c r="D1393" s="16" t="inlineStr">
        <is>
          <t>Fertilizers</t>
        </is>
      </c>
      <c r="E1393" s="16" t="inlineStr">
        <is>
          <t>Fertilizers</t>
        </is>
      </c>
      <c r="F1393" s="17" t="n">
        <v>1431.83</v>
      </c>
      <c r="G1393" s="16" t="inlineStr"/>
      <c r="H1393" s="16" t="inlineStr">
        <is>
          <t>509732</t>
        </is>
      </c>
      <c r="I1393" s="27">
        <f>IFERROR(IF(INDEX(Stocks!$G$2:$G$2139,MATCH(A1393,Stocks!$E$2:$E$2139,0))="","No","Yes"),"No")</f>
        <v/>
      </c>
    </row>
    <row r="1394">
      <c r="A1394" s="16" t="inlineStr">
        <is>
          <t>INE760B01019</t>
        </is>
      </c>
      <c r="B1394" s="16" t="inlineStr">
        <is>
          <t>VALIANT</t>
        </is>
      </c>
      <c r="C1394" s="16" t="inlineStr">
        <is>
          <t>Valiant Communications Ltd.</t>
        </is>
      </c>
      <c r="D1394" s="16" t="inlineStr">
        <is>
          <t>Telecom Equipment</t>
        </is>
      </c>
      <c r="E1394" s="16" t="inlineStr">
        <is>
          <t>Telecommunications Equipment</t>
        </is>
      </c>
      <c r="F1394" s="17" t="n">
        <v>1425.91</v>
      </c>
      <c r="G1394" s="16" t="inlineStr"/>
      <c r="H1394" s="16" t="inlineStr">
        <is>
          <t>526775</t>
        </is>
      </c>
      <c r="I1394" s="27">
        <f>IFERROR(IF(INDEX(Stocks!$G$2:$G$2139,MATCH(A1394,Stocks!$E$2:$E$2139,0))="","No","Yes"),"No")</f>
        <v/>
      </c>
    </row>
    <row r="1395">
      <c r="A1395" s="16" t="inlineStr">
        <is>
          <t>INE795B01031</t>
        </is>
      </c>
      <c r="B1395" s="16" t="inlineStr">
        <is>
          <t>CITURGIA</t>
        </is>
      </c>
      <c r="C1395" s="16" t="inlineStr">
        <is>
          <t>Citurgia Biochemicals Ltd.</t>
        </is>
      </c>
      <c r="D1395" s="16" t="inlineStr">
        <is>
          <t>Commodity Chemicals</t>
        </is>
      </c>
      <c r="E1395" s="16" t="inlineStr">
        <is>
          <t>Chemicals &amp; Petrochemicals</t>
        </is>
      </c>
      <c r="F1395" s="17" t="n">
        <v>1421.35</v>
      </c>
      <c r="G1395" s="16" t="inlineStr"/>
      <c r="H1395" s="16" t="inlineStr">
        <is>
          <t>506373</t>
        </is>
      </c>
      <c r="I1395" s="27">
        <f>IFERROR(IF(INDEX(Stocks!$G$2:$G$2139,MATCH(A1395,Stocks!$E$2:$E$2139,0))="","No","Yes"),"No")</f>
        <v/>
      </c>
    </row>
    <row r="1396">
      <c r="A1396" s="16" t="inlineStr">
        <is>
          <t>INE016Q01014</t>
        </is>
      </c>
      <c r="B1396" s="16" t="inlineStr">
        <is>
          <t>CEINSYS</t>
        </is>
      </c>
      <c r="C1396" s="16" t="inlineStr">
        <is>
          <t>Ceinsys Tech Ltd.</t>
        </is>
      </c>
      <c r="D1396" s="16" t="inlineStr">
        <is>
          <t>IT Consulting &amp; Software</t>
        </is>
      </c>
      <c r="E1396" s="16" t="inlineStr">
        <is>
          <t>Software &amp; Services</t>
        </is>
      </c>
      <c r="F1396" s="17" t="n">
        <v>1419.58</v>
      </c>
      <c r="G1396" s="16" t="inlineStr"/>
      <c r="H1396" s="16" t="inlineStr">
        <is>
          <t>538734</t>
        </is>
      </c>
      <c r="I1396" s="27">
        <f>IFERROR(IF(INDEX(Stocks!$G$2:$G$2139,MATCH(A1396,Stocks!$E$2:$E$2139,0))="","No","Yes"),"No")</f>
        <v/>
      </c>
    </row>
    <row r="1397">
      <c r="A1397" s="16" t="inlineStr">
        <is>
          <t>INE711A01022</t>
        </is>
      </c>
      <c r="B1397" s="16" t="inlineStr">
        <is>
          <t>WALCHANNAG</t>
        </is>
      </c>
      <c r="C1397" s="16" t="inlineStr">
        <is>
          <t>Walchandnagar Industries Ltd.</t>
        </is>
      </c>
      <c r="D1397" s="16" t="inlineStr">
        <is>
          <t>Industrial Machinery</t>
        </is>
      </c>
      <c r="E1397" s="16" t="inlineStr">
        <is>
          <t>General Industrials</t>
        </is>
      </c>
      <c r="F1397" s="17" t="n">
        <v>1416.56</v>
      </c>
      <c r="G1397" s="16" t="inlineStr">
        <is>
          <t>WALCHANNAG</t>
        </is>
      </c>
      <c r="H1397" s="16" t="inlineStr">
        <is>
          <t>507410</t>
        </is>
      </c>
      <c r="I1397" s="27">
        <f>IFERROR(IF(INDEX(Stocks!$G$2:$G$2139,MATCH(A1397,Stocks!$E$2:$E$2139,0))="","No","Yes"),"No")</f>
        <v/>
      </c>
    </row>
    <row r="1398">
      <c r="A1398" s="16" t="inlineStr">
        <is>
          <t>INE390G01014</t>
        </is>
      </c>
      <c r="B1398" s="16" t="inlineStr">
        <is>
          <t>GPTINFRA</t>
        </is>
      </c>
      <c r="C1398" s="16" t="inlineStr">
        <is>
          <t>GPT Infraprojects Ltd.</t>
        </is>
      </c>
      <c r="D1398" s="16" t="inlineStr">
        <is>
          <t>Construction &amp; Engineering</t>
        </is>
      </c>
      <c r="E1398" s="16" t="inlineStr">
        <is>
          <t>Cement and Construction</t>
        </is>
      </c>
      <c r="F1398" s="17" t="n">
        <v>1416.55</v>
      </c>
      <c r="G1398" s="16" t="inlineStr">
        <is>
          <t>GPTINFRA</t>
        </is>
      </c>
      <c r="H1398" s="16" t="inlineStr">
        <is>
          <t>533761</t>
        </is>
      </c>
      <c r="I1398" s="27">
        <f>IFERROR(IF(INDEX(Stocks!$G$2:$G$2139,MATCH(A1398,Stocks!$E$2:$E$2139,0))="","No","Yes"),"No")</f>
        <v/>
      </c>
    </row>
    <row r="1399">
      <c r="A1399" s="16" t="inlineStr">
        <is>
          <t>INE24H301028</t>
        </is>
      </c>
      <c r="B1399" s="16" t="inlineStr">
        <is>
          <t>VIVIDEL</t>
        </is>
      </c>
      <c r="C1399" s="16" t="inlineStr">
        <is>
          <t>Vivid Electromech Ltd.</t>
        </is>
      </c>
      <c r="D1399" s="16" t="inlineStr">
        <is>
          <t>Electronic Components</t>
        </is>
      </c>
      <c r="E1399" s="16" t="inlineStr">
        <is>
          <t>Commercial Services &amp; Supplies</t>
        </is>
      </c>
      <c r="F1399" s="17" t="n">
        <v>1414.58</v>
      </c>
      <c r="G1399" s="16" t="inlineStr">
        <is>
          <t>VIVIDEL</t>
        </is>
      </c>
      <c r="H1399" s="16" t="inlineStr"/>
      <c r="I1399" s="27">
        <f>IFERROR(IF(INDEX(Stocks!$G$2:$G$2139,MATCH(A1399,Stocks!$E$2:$E$2139,0))="","No","Yes"),"No")</f>
        <v/>
      </c>
    </row>
    <row r="1400">
      <c r="A1400" s="16" t="inlineStr">
        <is>
          <t>INE724A01017</t>
        </is>
      </c>
      <c r="B1400" s="16" t="inlineStr">
        <is>
          <t>GYFTR</t>
        </is>
      </c>
      <c r="C1400" s="16" t="inlineStr">
        <is>
          <t>Gyftr Ltd.</t>
        </is>
      </c>
      <c r="D1400" s="16" t="inlineStr">
        <is>
          <t>Other Financial Services</t>
        </is>
      </c>
      <c r="E1400" s="16" t="inlineStr">
        <is>
          <t>Banking and Finance</t>
        </is>
      </c>
      <c r="F1400" s="17" t="n">
        <v>1411.73</v>
      </c>
      <c r="G1400" s="16" t="inlineStr"/>
      <c r="H1400" s="16" t="inlineStr">
        <is>
          <t>507912</t>
        </is>
      </c>
      <c r="I1400" s="27">
        <f>IFERROR(IF(INDEX(Stocks!$G$2:$G$2139,MATCH(A1400,Stocks!$E$2:$E$2139,0))="","No","Yes"),"No")</f>
        <v/>
      </c>
    </row>
    <row r="1401">
      <c r="A1401" s="16" t="inlineStr">
        <is>
          <t>INE1VXE01018</t>
        </is>
      </c>
      <c r="B1401" s="16" t="inlineStr">
        <is>
          <t>STLNETWORK</t>
        </is>
      </c>
      <c r="C1401" s="16" t="inlineStr">
        <is>
          <t>STL Networks Ltd.</t>
        </is>
      </c>
      <c r="D1401" s="16" t="inlineStr">
        <is>
          <t>Telecom Equipment</t>
        </is>
      </c>
      <c r="E1401" s="16" t="inlineStr">
        <is>
          <t>Telecommunications Equipment</t>
        </is>
      </c>
      <c r="F1401" s="17" t="n">
        <v>1409.17</v>
      </c>
      <c r="G1401" s="16" t="inlineStr">
        <is>
          <t>STLNETWORK</t>
        </is>
      </c>
      <c r="H1401" s="16" t="inlineStr">
        <is>
          <t>544395</t>
        </is>
      </c>
      <c r="I1401" s="27">
        <f>IFERROR(IF(INDEX(Stocks!$G$2:$G$2139,MATCH(A1401,Stocks!$E$2:$E$2139,0))="","No","Yes"),"No")</f>
        <v/>
      </c>
    </row>
    <row r="1402">
      <c r="A1402" s="16" t="inlineStr">
        <is>
          <t>INE0VN801010</t>
        </is>
      </c>
      <c r="B1402" s="16" t="inlineStr">
        <is>
          <t>RAJESH</t>
        </is>
      </c>
      <c r="C1402" s="16" t="inlineStr">
        <is>
          <t>Rajesh Power Services Ltd.</t>
        </is>
      </c>
      <c r="D1402" s="16" t="inlineStr">
        <is>
          <t>Power - Electric Utilities</t>
        </is>
      </c>
      <c r="E1402" s="16" t="inlineStr">
        <is>
          <t>Utilities</t>
        </is>
      </c>
      <c r="F1402" s="17" t="n">
        <v>1408.9</v>
      </c>
      <c r="G1402" s="16" t="inlineStr"/>
      <c r="H1402" s="16" t="inlineStr">
        <is>
          <t>544291</t>
        </is>
      </c>
      <c r="I1402" s="27">
        <f>IFERROR(IF(INDEX(Stocks!$G$2:$G$2139,MATCH(A1402,Stocks!$E$2:$E$2139,0))="","No","Yes"),"No")</f>
        <v/>
      </c>
    </row>
    <row r="1403">
      <c r="A1403" s="16" t="inlineStr">
        <is>
          <t>INE524T01011</t>
        </is>
      </c>
      <c r="B1403" s="16" t="inlineStr">
        <is>
          <t>TAALTECH</t>
        </is>
      </c>
      <c r="C1403" s="16" t="inlineStr">
        <is>
          <t>TAAL Tech Ltd.</t>
        </is>
      </c>
      <c r="D1403" s="16" t="inlineStr">
        <is>
          <t>Airlines</t>
        </is>
      </c>
      <c r="E1403" s="16" t="inlineStr">
        <is>
          <t>Transportation</t>
        </is>
      </c>
      <c r="F1403" s="17" t="n">
        <v>1404.33</v>
      </c>
      <c r="G1403" s="16" t="inlineStr"/>
      <c r="H1403" s="16" t="inlineStr">
        <is>
          <t>539956</t>
        </is>
      </c>
      <c r="I1403" s="27">
        <f>IFERROR(IF(INDEX(Stocks!$G$2:$G$2139,MATCH(A1403,Stocks!$E$2:$E$2139,0))="","No","Yes"),"No")</f>
        <v/>
      </c>
    </row>
    <row r="1404">
      <c r="A1404" s="16" t="inlineStr">
        <is>
          <t>INE201K01015</t>
        </is>
      </c>
      <c r="B1404" s="16" t="inlineStr">
        <is>
          <t>EXPLEOSOL</t>
        </is>
      </c>
      <c r="C1404" s="16" t="inlineStr">
        <is>
          <t>Expleo Solutions Ltd.</t>
        </is>
      </c>
      <c r="D1404" s="16" t="inlineStr">
        <is>
          <t>IT Consulting &amp; Software</t>
        </is>
      </c>
      <c r="E1404" s="16" t="inlineStr">
        <is>
          <t>Software &amp; Services</t>
        </is>
      </c>
      <c r="F1404" s="17" t="n">
        <v>1395.22</v>
      </c>
      <c r="G1404" s="16" t="inlineStr">
        <is>
          <t>EXPLEOSOL</t>
        </is>
      </c>
      <c r="H1404" s="16" t="inlineStr">
        <is>
          <t>533121</t>
        </is>
      </c>
      <c r="I1404" s="27">
        <f>IFERROR(IF(INDEX(Stocks!$G$2:$G$2139,MATCH(A1404,Stocks!$E$2:$E$2139,0))="","No","Yes"),"No")</f>
        <v/>
      </c>
    </row>
    <row r="1405">
      <c r="A1405" s="16" t="inlineStr">
        <is>
          <t>INE547E01014</t>
        </is>
      </c>
      <c r="B1405" s="16" t="inlineStr">
        <is>
          <t>IMPAL</t>
        </is>
      </c>
      <c r="C1405" s="16" t="inlineStr">
        <is>
          <t>India Motor Parts &amp; Accessories Ltd.</t>
        </is>
      </c>
      <c r="D1405" s="16" t="inlineStr">
        <is>
          <t>Commodity Trading  &amp; Distribution</t>
        </is>
      </c>
      <c r="E1405" s="16" t="inlineStr">
        <is>
          <t>Commercial Services &amp; Supplies</t>
        </is>
      </c>
      <c r="F1405" s="17" t="n">
        <v>1391.02</v>
      </c>
      <c r="G1405" s="16" t="inlineStr">
        <is>
          <t>IMPAL</t>
        </is>
      </c>
      <c r="H1405" s="16" t="inlineStr">
        <is>
          <t>590065</t>
        </is>
      </c>
      <c r="I1405" s="27">
        <f>IFERROR(IF(INDEX(Stocks!$G$2:$G$2139,MATCH(A1405,Stocks!$E$2:$E$2139,0))="","No","Yes"),"No")</f>
        <v/>
      </c>
    </row>
    <row r="1406">
      <c r="A1406" s="16" t="inlineStr">
        <is>
          <t>INE669R01026</t>
        </is>
      </c>
      <c r="B1406" s="16" t="inlineStr">
        <is>
          <t>ELITECON</t>
        </is>
      </c>
      <c r="C1406" s="16" t="inlineStr">
        <is>
          <t>Elitecon International Ltd.</t>
        </is>
      </c>
      <c r="D1406" s="16" t="inlineStr">
        <is>
          <t>Commodity Trading  &amp; Distribution</t>
        </is>
      </c>
      <c r="E1406" s="16" t="inlineStr">
        <is>
          <t>Commercial Services &amp; Supplies</t>
        </is>
      </c>
      <c r="F1406" s="17" t="n">
        <v>1389.1</v>
      </c>
      <c r="G1406" s="16" t="inlineStr"/>
      <c r="H1406" s="16" t="inlineStr">
        <is>
          <t>539533</t>
        </is>
      </c>
      <c r="I1406" s="27">
        <f>IFERROR(IF(INDEX(Stocks!$G$2:$G$2139,MATCH(A1406,Stocks!$E$2:$E$2139,0))="","No","Yes"),"No")</f>
        <v/>
      </c>
    </row>
    <row r="1407">
      <c r="A1407" s="16" t="inlineStr">
        <is>
          <t>INE312M01024</t>
        </is>
      </c>
      <c r="B1407" s="16" t="inlineStr">
        <is>
          <t>JOJO</t>
        </is>
      </c>
      <c r="C1407" s="16" t="inlineStr">
        <is>
          <t>JOJO Ltd.</t>
        </is>
      </c>
      <c r="D1407" s="16" t="inlineStr">
        <is>
          <t>Movies &amp; Entertainment</t>
        </is>
      </c>
      <c r="E1407" s="16" t="inlineStr">
        <is>
          <t>Media</t>
        </is>
      </c>
      <c r="F1407" s="17" t="n">
        <v>1387.85</v>
      </c>
      <c r="G1407" s="16" t="inlineStr"/>
      <c r="H1407" s="16" t="inlineStr">
        <is>
          <t>531910</t>
        </is>
      </c>
      <c r="I1407" s="27">
        <f>IFERROR(IF(INDEX(Stocks!$G$2:$G$2139,MATCH(A1407,Stocks!$E$2:$E$2139,0))="","No","Yes"),"No")</f>
        <v/>
      </c>
    </row>
    <row r="1408">
      <c r="A1408" s="16" t="inlineStr">
        <is>
          <t>INE488D01021</t>
        </is>
      </c>
      <c r="B1408" s="16" t="inlineStr">
        <is>
          <t>AVTNPL</t>
        </is>
      </c>
      <c r="C1408" s="16" t="inlineStr">
        <is>
          <t>AVT Natural Products Ltd.</t>
        </is>
      </c>
      <c r="D1408" s="16" t="inlineStr">
        <is>
          <t>Other Agricultural Products</t>
        </is>
      </c>
      <c r="E1408" s="16" t="inlineStr">
        <is>
          <t>Food, Beverages &amp; Tobacco</t>
        </is>
      </c>
      <c r="F1408" s="17" t="n">
        <v>1386.09</v>
      </c>
      <c r="G1408" s="16" t="inlineStr">
        <is>
          <t>AVTNPL</t>
        </is>
      </c>
      <c r="H1408" s="16" t="inlineStr">
        <is>
          <t>519105</t>
        </is>
      </c>
      <c r="I1408" s="27">
        <f>IFERROR(IF(INDEX(Stocks!$G$2:$G$2139,MATCH(A1408,Stocks!$E$2:$E$2139,0))="","No","Yes"),"No")</f>
        <v/>
      </c>
    </row>
    <row r="1409">
      <c r="A1409" s="16" t="inlineStr">
        <is>
          <t>INE1B3O01011</t>
        </is>
      </c>
      <c r="B1409" s="16" t="inlineStr">
        <is>
          <t>SUNSHINE</t>
        </is>
      </c>
      <c r="C1409" s="16" t="inlineStr">
        <is>
          <t>Sunshine Pictures Ltd.</t>
        </is>
      </c>
      <c r="D1409" s="16" t="inlineStr">
        <is>
          <t>Movies &amp; Entertainment</t>
        </is>
      </c>
      <c r="E1409" s="16" t="inlineStr">
        <is>
          <t>Media</t>
        </is>
      </c>
      <c r="F1409" s="17" t="n">
        <v>1375.06</v>
      </c>
      <c r="G1409" s="16" t="inlineStr">
        <is>
          <t>SUNSHINE</t>
        </is>
      </c>
      <c r="H1409" s="16" t="inlineStr">
        <is>
          <t>544881</t>
        </is>
      </c>
      <c r="I1409" s="27">
        <f>IFERROR(IF(INDEX(Stocks!$G$2:$G$2139,MATCH(A1409,Stocks!$E$2:$E$2139,0))="","No","Yes"),"No")</f>
        <v/>
      </c>
    </row>
    <row r="1410">
      <c r="A1410" s="16" t="inlineStr">
        <is>
          <t>INE384C01016</t>
        </is>
      </c>
      <c r="B1410" s="16" t="inlineStr">
        <is>
          <t>YUKEN</t>
        </is>
      </c>
      <c r="C1410" s="16" t="inlineStr">
        <is>
          <t>Yuken India Ltd.</t>
        </is>
      </c>
      <c r="D1410" s="16" t="inlineStr">
        <is>
          <t>Compressors &amp; Pumps</t>
        </is>
      </c>
      <c r="E1410" s="16" t="inlineStr">
        <is>
          <t>General Industrials</t>
        </is>
      </c>
      <c r="F1410" s="17" t="n">
        <v>1373.07</v>
      </c>
      <c r="G1410" s="16" t="inlineStr">
        <is>
          <t>YUKEN</t>
        </is>
      </c>
      <c r="H1410" s="16" t="inlineStr">
        <is>
          <t>522108</t>
        </is>
      </c>
      <c r="I1410" s="27">
        <f>IFERROR(IF(INDEX(Stocks!$G$2:$G$2139,MATCH(A1410,Stocks!$E$2:$E$2139,0))="","No","Yes"),"No")</f>
        <v/>
      </c>
    </row>
    <row r="1411">
      <c r="A1411" s="16" t="inlineStr">
        <is>
          <t>INE449C01025</t>
        </is>
      </c>
      <c r="B1411" s="16" t="inlineStr">
        <is>
          <t>ANDREWYU</t>
        </is>
      </c>
      <c r="C1411" s="16" t="inlineStr">
        <is>
          <t>Andrew Yule &amp; Company Ltd.</t>
        </is>
      </c>
      <c r="D1411" s="16" t="inlineStr">
        <is>
          <t>Tea &amp; Coffee</t>
        </is>
      </c>
      <c r="E1411" s="16" t="inlineStr">
        <is>
          <t>Food, Beverages &amp; Tobacco</t>
        </is>
      </c>
      <c r="F1411" s="17" t="n">
        <v>1368.57</v>
      </c>
      <c r="G1411" s="16" t="inlineStr"/>
      <c r="H1411" s="16" t="inlineStr">
        <is>
          <t>526173</t>
        </is>
      </c>
      <c r="I1411" s="27">
        <f>IFERROR(IF(INDEX(Stocks!$G$2:$G$2139,MATCH(A1411,Stocks!$E$2:$E$2139,0))="","No","Yes"),"No")</f>
        <v/>
      </c>
    </row>
    <row r="1412">
      <c r="A1412" s="16" t="inlineStr">
        <is>
          <t>INE0O6601022</t>
        </is>
      </c>
      <c r="B1412" s="16" t="inlineStr">
        <is>
          <t>KROSS</t>
        </is>
      </c>
      <c r="C1412" s="16" t="inlineStr">
        <is>
          <t>Kross Ltd.</t>
        </is>
      </c>
      <c r="D1412" s="16" t="inlineStr">
        <is>
          <t>Auto Parts &amp; Equipment</t>
        </is>
      </c>
      <c r="E1412" s="16" t="inlineStr">
        <is>
          <t>Automobiles &amp; Auto Components</t>
        </is>
      </c>
      <c r="F1412" s="17" t="n">
        <v>1364.83</v>
      </c>
      <c r="G1412" s="16" t="inlineStr">
        <is>
          <t>KROSS</t>
        </is>
      </c>
      <c r="H1412" s="16" t="inlineStr">
        <is>
          <t>544253</t>
        </is>
      </c>
      <c r="I1412" s="27">
        <f>IFERROR(IF(INDEX(Stocks!$G$2:$G$2139,MATCH(A1412,Stocks!$E$2:$E$2139,0))="","No","Yes"),"No")</f>
        <v/>
      </c>
    </row>
    <row r="1413">
      <c r="A1413" s="16" t="inlineStr">
        <is>
          <t>INE0V0W01025</t>
        </is>
      </c>
      <c r="B1413" s="16" t="inlineStr">
        <is>
          <t>GKSL</t>
        </is>
      </c>
      <c r="C1413" s="16" t="inlineStr">
        <is>
          <t>Gujarat Kidney and Super Speciality Ltd.</t>
        </is>
      </c>
      <c r="D1413" s="16" t="inlineStr">
        <is>
          <t>Healthcare Facilities</t>
        </is>
      </c>
      <c r="E1413" s="16" t="inlineStr">
        <is>
          <t>Healthcare</t>
        </is>
      </c>
      <c r="F1413" s="17" t="n">
        <v>1362.49</v>
      </c>
      <c r="G1413" s="16" t="inlineStr">
        <is>
          <t>GKSL</t>
        </is>
      </c>
      <c r="H1413" s="16" t="inlineStr">
        <is>
          <t>544666</t>
        </is>
      </c>
      <c r="I1413" s="27">
        <f>IFERROR(IF(INDEX(Stocks!$G$2:$G$2139,MATCH(A1413,Stocks!$E$2:$E$2139,0))="","No","Yes"),"No")</f>
        <v/>
      </c>
    </row>
    <row r="1414">
      <c r="A1414" s="16" t="inlineStr">
        <is>
          <t>INE500A01029</t>
        </is>
      </c>
      <c r="B1414" s="16" t="inlineStr">
        <is>
          <t>DCW</t>
        </is>
      </c>
      <c r="C1414" s="16" t="inlineStr">
        <is>
          <t>DCW Ltd.</t>
        </is>
      </c>
      <c r="D1414" s="16" t="inlineStr">
        <is>
          <t>Commodity Chemicals</t>
        </is>
      </c>
      <c r="E1414" s="16" t="inlineStr">
        <is>
          <t>Chemicals &amp; Petrochemicals</t>
        </is>
      </c>
      <c r="F1414" s="17" t="n">
        <v>1357.12</v>
      </c>
      <c r="G1414" s="16" t="inlineStr">
        <is>
          <t>DCW</t>
        </is>
      </c>
      <c r="H1414" s="16" t="inlineStr">
        <is>
          <t>500117</t>
        </is>
      </c>
      <c r="I1414" s="27">
        <f>IFERROR(IF(INDEX(Stocks!$G$2:$G$2139,MATCH(A1414,Stocks!$E$2:$E$2139,0))="","No","Yes"),"No")</f>
        <v/>
      </c>
    </row>
    <row r="1415">
      <c r="A1415" s="16" t="inlineStr">
        <is>
          <t>INE161A01038</t>
        </is>
      </c>
      <c r="B1415" s="16" t="inlineStr">
        <is>
          <t>NIITLTD</t>
        </is>
      </c>
      <c r="C1415" s="16" t="inlineStr">
        <is>
          <t>NIIT Ltd.</t>
        </is>
      </c>
      <c r="D1415" s="16" t="inlineStr">
        <is>
          <t>IT Training Services</t>
        </is>
      </c>
      <c r="E1415" s="16" t="inlineStr">
        <is>
          <t>Software &amp; Services</t>
        </is>
      </c>
      <c r="F1415" s="17" t="n">
        <v>1355.69</v>
      </c>
      <c r="G1415" s="16" t="inlineStr">
        <is>
          <t>NIITLTD</t>
        </is>
      </c>
      <c r="H1415" s="16" t="inlineStr">
        <is>
          <t>500304</t>
        </is>
      </c>
      <c r="I1415" s="27">
        <f>IFERROR(IF(INDEX(Stocks!$G$2:$G$2139,MATCH(A1415,Stocks!$E$2:$E$2139,0))="","No","Yes"),"No")</f>
        <v/>
      </c>
    </row>
    <row r="1416">
      <c r="A1416" s="16" t="inlineStr">
        <is>
          <t>INE411D01023</t>
        </is>
      </c>
      <c r="B1416" s="16" t="inlineStr">
        <is>
          <t>SKMEGGPROD</t>
        </is>
      </c>
      <c r="C1416" s="16" t="inlineStr">
        <is>
          <t>SKM Egg Products Export (India) Ltd.</t>
        </is>
      </c>
      <c r="D1416" s="16" t="inlineStr">
        <is>
          <t>Other Food &amp; Beverages</t>
        </is>
      </c>
      <c r="E1416" s="16" t="inlineStr">
        <is>
          <t>Food, Beverages &amp; Tobacco</t>
        </is>
      </c>
      <c r="F1416" s="17" t="n">
        <v>1353.89</v>
      </c>
      <c r="G1416" s="16" t="inlineStr">
        <is>
          <t>SKMEGGPROD</t>
        </is>
      </c>
      <c r="H1416" s="16" t="inlineStr">
        <is>
          <t>532143</t>
        </is>
      </c>
      <c r="I1416" s="27">
        <f>IFERROR(IF(INDEX(Stocks!$G$2:$G$2139,MATCH(A1416,Stocks!$E$2:$E$2139,0))="","No","Yes"),"No")</f>
        <v/>
      </c>
    </row>
    <row r="1417">
      <c r="A1417" s="16" t="inlineStr">
        <is>
          <t>INE848A01014</t>
        </is>
      </c>
      <c r="B1417" s="16" t="inlineStr">
        <is>
          <t>IZMO</t>
        </is>
      </c>
      <c r="C1417" s="16" t="inlineStr">
        <is>
          <t>IZMO Ltd.</t>
        </is>
      </c>
      <c r="D1417" s="16" t="inlineStr">
        <is>
          <t>IT Consulting &amp; Software</t>
        </is>
      </c>
      <c r="E1417" s="16" t="inlineStr">
        <is>
          <t>Software &amp; Services</t>
        </is>
      </c>
      <c r="F1417" s="17" t="n">
        <v>1351.9</v>
      </c>
      <c r="G1417" s="16" t="inlineStr">
        <is>
          <t>IZMO</t>
        </is>
      </c>
      <c r="H1417" s="16" t="inlineStr">
        <is>
          <t>532341</t>
        </is>
      </c>
      <c r="I1417" s="27">
        <f>IFERROR(IF(INDEX(Stocks!$G$2:$G$2139,MATCH(A1417,Stocks!$E$2:$E$2139,0))="","No","Yes"),"No")</f>
        <v/>
      </c>
    </row>
    <row r="1418">
      <c r="A1418" s="16" t="inlineStr">
        <is>
          <t>INE0GV601021</t>
        </is>
      </c>
      <c r="B1418" s="16" t="inlineStr">
        <is>
          <t>ALLTIME</t>
        </is>
      </c>
      <c r="C1418" s="16" t="inlineStr">
        <is>
          <t>All Time Plastics Ltd.</t>
        </is>
      </c>
      <c r="D1418" s="16" t="inlineStr">
        <is>
          <t>Houseware</t>
        </is>
      </c>
      <c r="E1418" s="16" t="inlineStr">
        <is>
          <t>Consumer Durables</t>
        </is>
      </c>
      <c r="F1418" s="17" t="n">
        <v>1349.98</v>
      </c>
      <c r="G1418" s="16" t="inlineStr">
        <is>
          <t>ALLTIME</t>
        </is>
      </c>
      <c r="H1418" s="16" t="inlineStr">
        <is>
          <t>544479</t>
        </is>
      </c>
      <c r="I1418" s="27">
        <f>IFERROR(IF(INDEX(Stocks!$G$2:$G$2139,MATCH(A1418,Stocks!$E$2:$E$2139,0))="","No","Yes"),"No")</f>
        <v/>
      </c>
    </row>
    <row r="1419">
      <c r="A1419" s="16" t="inlineStr">
        <is>
          <t>INE277B01014</t>
        </is>
      </c>
      <c r="B1419" s="16" t="inlineStr">
        <is>
          <t>PUNJABCHEM</t>
        </is>
      </c>
      <c r="C1419" s="16" t="inlineStr">
        <is>
          <t>Punjab Chemicals and Crop Protection Ltd.</t>
        </is>
      </c>
      <c r="D1419" s="16" t="inlineStr">
        <is>
          <t>Agrochemicals</t>
        </is>
      </c>
      <c r="E1419" s="16" t="inlineStr">
        <is>
          <t>Chemicals &amp; Petrochemicals</t>
        </is>
      </c>
      <c r="F1419" s="17" t="n">
        <v>1349.21</v>
      </c>
      <c r="G1419" s="16" t="inlineStr">
        <is>
          <t>PUNJABCHEM</t>
        </is>
      </c>
      <c r="H1419" s="16" t="inlineStr">
        <is>
          <t>506618</t>
        </is>
      </c>
      <c r="I1419" s="27">
        <f>IFERROR(IF(INDEX(Stocks!$G$2:$G$2139,MATCH(A1419,Stocks!$E$2:$E$2139,0))="","No","Yes"),"No")</f>
        <v/>
      </c>
    </row>
    <row r="1420">
      <c r="A1420" s="16" t="inlineStr">
        <is>
          <t>INE715B01021</t>
        </is>
      </c>
      <c r="B1420" s="16" t="inlineStr">
        <is>
          <t>ANDHRSUGAR</t>
        </is>
      </c>
      <c r="C1420" s="16" t="inlineStr">
        <is>
          <t>Andhra Sugars Ltd.</t>
        </is>
      </c>
      <c r="D1420" s="16" t="inlineStr">
        <is>
          <t>Commodity Chemicals</t>
        </is>
      </c>
      <c r="E1420" s="16" t="inlineStr">
        <is>
          <t>Chemicals &amp; Petrochemicals</t>
        </is>
      </c>
      <c r="F1420" s="17" t="n">
        <v>1348.71</v>
      </c>
      <c r="G1420" s="16" t="inlineStr">
        <is>
          <t>ANDHRSUGAR</t>
        </is>
      </c>
      <c r="H1420" s="16" t="inlineStr">
        <is>
          <t>590062</t>
        </is>
      </c>
      <c r="I1420" s="27">
        <f>IFERROR(IF(INDEX(Stocks!$G$2:$G$2139,MATCH(A1420,Stocks!$E$2:$E$2139,0))="","No","Yes"),"No")</f>
        <v/>
      </c>
    </row>
    <row r="1421">
      <c r="A1421" s="16" t="inlineStr">
        <is>
          <t>INE1YPB01014</t>
        </is>
      </c>
      <c r="B1421" s="16" t="inlineStr">
        <is>
          <t>AGL</t>
        </is>
      </c>
      <c r="C1421" s="16" t="inlineStr">
        <is>
          <t>Allcargo Global Ltd.</t>
        </is>
      </c>
      <c r="D1421" s="16" t="inlineStr">
        <is>
          <t>Warehousing &amp; Logistics</t>
        </is>
      </c>
      <c r="E1421" s="16" t="inlineStr">
        <is>
          <t>Transportation</t>
        </is>
      </c>
      <c r="F1421" s="17" t="n">
        <v>1345.43</v>
      </c>
      <c r="G1421" s="16" t="inlineStr"/>
      <c r="H1421" s="16" t="inlineStr">
        <is>
          <t>544602</t>
        </is>
      </c>
      <c r="I1421" s="27">
        <f>IFERROR(IF(INDEX(Stocks!$G$2:$G$2139,MATCH(A1421,Stocks!$E$2:$E$2139,0))="","No","Yes"),"No")</f>
        <v/>
      </c>
    </row>
    <row r="1422">
      <c r="A1422" s="16" t="inlineStr">
        <is>
          <t>INE417B01040</t>
        </is>
      </c>
      <c r="B1422" s="16" t="inlineStr">
        <is>
          <t>DSSL</t>
        </is>
      </c>
      <c r="C1422" s="16" t="inlineStr">
        <is>
          <t>Dynacons Systems &amp; Solutions Ltd.</t>
        </is>
      </c>
      <c r="D1422" s="16" t="inlineStr">
        <is>
          <t>IT Consulting &amp; Software</t>
        </is>
      </c>
      <c r="E1422" s="16" t="inlineStr">
        <is>
          <t>Software &amp; Services</t>
        </is>
      </c>
      <c r="F1422" s="17" t="n">
        <v>1341.34</v>
      </c>
      <c r="G1422" s="16" t="inlineStr">
        <is>
          <t>DSSL</t>
        </is>
      </c>
      <c r="H1422" s="16" t="inlineStr">
        <is>
          <t>532365</t>
        </is>
      </c>
      <c r="I1422" s="27">
        <f>IFERROR(IF(INDEX(Stocks!$G$2:$G$2139,MATCH(A1422,Stocks!$E$2:$E$2139,0))="","No","Yes"),"No")</f>
        <v/>
      </c>
    </row>
    <row r="1423">
      <c r="A1423" s="16" t="inlineStr">
        <is>
          <t>INE583D01011</t>
        </is>
      </c>
      <c r="B1423" s="16" t="inlineStr">
        <is>
          <t>UGROCAP</t>
        </is>
      </c>
      <c r="C1423" s="16" t="inlineStr">
        <is>
          <t>Ugro Capital Ltd.</t>
        </is>
      </c>
      <c r="D1423" s="16" t="inlineStr">
        <is>
          <t>Finance (including NBFCs)</t>
        </is>
      </c>
      <c r="E1423" s="16" t="inlineStr">
        <is>
          <t>Banking and Finance</t>
        </is>
      </c>
      <c r="F1423" s="17" t="n">
        <v>1340.91</v>
      </c>
      <c r="G1423" s="16" t="inlineStr">
        <is>
          <t>UGROCAP</t>
        </is>
      </c>
      <c r="H1423" s="16" t="inlineStr">
        <is>
          <t>511742</t>
        </is>
      </c>
      <c r="I1423" s="27">
        <f>IFERROR(IF(INDEX(Stocks!$G$2:$G$2139,MATCH(A1423,Stocks!$E$2:$E$2139,0))="","No","Yes"),"No")</f>
        <v/>
      </c>
    </row>
    <row r="1424">
      <c r="A1424" s="16" t="inlineStr">
        <is>
          <t>INE073G01016</t>
        </is>
      </c>
      <c r="B1424" s="16" t="inlineStr">
        <is>
          <t>ASALCBR</t>
        </is>
      </c>
      <c r="C1424" s="16" t="inlineStr">
        <is>
          <t>Associated Alcohols &amp; Breweries Ltd.</t>
        </is>
      </c>
      <c r="D1424" s="16" t="inlineStr">
        <is>
          <t>Breweries &amp; Distilleries</t>
        </is>
      </c>
      <c r="E1424" s="16" t="inlineStr">
        <is>
          <t>Food, Beverages &amp; Tobacco</t>
        </is>
      </c>
      <c r="F1424" s="17" t="n">
        <v>1340.6</v>
      </c>
      <c r="G1424" s="16" t="inlineStr">
        <is>
          <t>ASALCBR</t>
        </is>
      </c>
      <c r="H1424" s="16" t="inlineStr">
        <is>
          <t>507526</t>
        </is>
      </c>
      <c r="I1424" s="27">
        <f>IFERROR(IF(INDEX(Stocks!$G$2:$G$2139,MATCH(A1424,Stocks!$E$2:$E$2139,0))="","No","Yes"),"No")</f>
        <v/>
      </c>
    </row>
    <row r="1425">
      <c r="A1425" s="16" t="inlineStr">
        <is>
          <t>INE350H01032</t>
        </is>
      </c>
      <c r="B1425" s="16" t="inlineStr">
        <is>
          <t>BLKASHYAP</t>
        </is>
      </c>
      <c r="C1425" s="16" t="inlineStr">
        <is>
          <t>B L Kashyap &amp; Sons Ltd.</t>
        </is>
      </c>
      <c r="D1425" s="16" t="inlineStr">
        <is>
          <t>Construction &amp; Engineering</t>
        </is>
      </c>
      <c r="E1425" s="16" t="inlineStr">
        <is>
          <t>Cement and Construction</t>
        </is>
      </c>
      <c r="F1425" s="17" t="n">
        <v>1337.76</v>
      </c>
      <c r="G1425" s="16" t="inlineStr">
        <is>
          <t>BLKASHYAP</t>
        </is>
      </c>
      <c r="H1425" s="16" t="inlineStr">
        <is>
          <t>532719</t>
        </is>
      </c>
      <c r="I1425" s="27">
        <f>IFERROR(IF(INDEX(Stocks!$G$2:$G$2139,MATCH(A1425,Stocks!$E$2:$E$2139,0))="","No","Yes"),"No")</f>
        <v/>
      </c>
    </row>
    <row r="1426">
      <c r="A1426" s="16" t="inlineStr">
        <is>
          <t>INE947J01015</t>
        </is>
      </c>
      <c r="B1426" s="16" t="inlineStr">
        <is>
          <t>DEN</t>
        </is>
      </c>
      <c r="C1426" s="16" t="inlineStr">
        <is>
          <t>Den Networks Ltd.</t>
        </is>
      </c>
      <c r="D1426" s="16" t="inlineStr">
        <is>
          <t>Broadcasting &amp; Cable TV</t>
        </is>
      </c>
      <c r="E1426" s="16" t="inlineStr">
        <is>
          <t>Media</t>
        </is>
      </c>
      <c r="F1426" s="17" t="n">
        <v>1334.79</v>
      </c>
      <c r="G1426" s="16" t="inlineStr">
        <is>
          <t>DEN</t>
        </is>
      </c>
      <c r="H1426" s="16" t="inlineStr">
        <is>
          <t>533137</t>
        </is>
      </c>
      <c r="I1426" s="27">
        <f>IFERROR(IF(INDEX(Stocks!$G$2:$G$2139,MATCH(A1426,Stocks!$E$2:$E$2139,0))="","No","Yes"),"No")</f>
        <v/>
      </c>
    </row>
    <row r="1427">
      <c r="A1427" s="16" t="inlineStr">
        <is>
          <t>INE188B01013</t>
        </is>
      </c>
      <c r="B1427" s="16" t="inlineStr">
        <is>
          <t>IGARASHI</t>
        </is>
      </c>
      <c r="C1427" s="16" t="inlineStr">
        <is>
          <t>Igarashi Motors India Ltd.</t>
        </is>
      </c>
      <c r="D1427" s="16" t="inlineStr">
        <is>
          <t>Auto Parts &amp; Equipment</t>
        </is>
      </c>
      <c r="E1427" s="16" t="inlineStr">
        <is>
          <t>Automobiles &amp; Auto Components</t>
        </is>
      </c>
      <c r="F1427" s="17" t="n">
        <v>1330.61</v>
      </c>
      <c r="G1427" s="16" t="inlineStr">
        <is>
          <t>IGARASHI</t>
        </is>
      </c>
      <c r="H1427" s="16" t="inlineStr">
        <is>
          <t>517380</t>
        </is>
      </c>
      <c r="I1427" s="27">
        <f>IFERROR(IF(INDEX(Stocks!$G$2:$G$2139,MATCH(A1427,Stocks!$E$2:$E$2139,0))="","No","Yes"),"No")</f>
        <v/>
      </c>
    </row>
    <row r="1428">
      <c r="A1428" s="16" t="inlineStr">
        <is>
          <t>INE485A01015</t>
        </is>
      </c>
      <c r="B1428" s="16" t="inlineStr">
        <is>
          <t>CENTENKA</t>
        </is>
      </c>
      <c r="C1428" s="16" t="inlineStr">
        <is>
          <t>Century Enka Ltd.</t>
        </is>
      </c>
      <c r="D1428" s="16" t="inlineStr">
        <is>
          <t>Textiles</t>
        </is>
      </c>
      <c r="E1428" s="16" t="inlineStr">
        <is>
          <t>Textiles Apparels &amp; Accessories</t>
        </is>
      </c>
      <c r="F1428" s="17" t="n">
        <v>1330.48</v>
      </c>
      <c r="G1428" s="16" t="inlineStr">
        <is>
          <t>CENTENKA</t>
        </is>
      </c>
      <c r="H1428" s="16" t="inlineStr">
        <is>
          <t>500280</t>
        </is>
      </c>
      <c r="I1428" s="27">
        <f>IFERROR(IF(INDEX(Stocks!$G$2:$G$2139,MATCH(A1428,Stocks!$E$2:$E$2139,0))="","No","Yes"),"No")</f>
        <v/>
      </c>
    </row>
    <row r="1429">
      <c r="A1429" s="16" t="inlineStr">
        <is>
          <t>INE354C01027</t>
        </is>
      </c>
      <c r="B1429" s="16" t="inlineStr">
        <is>
          <t>BHAGERIA</t>
        </is>
      </c>
      <c r="C1429" s="16" t="inlineStr">
        <is>
          <t>Bhageria Industries Ltd.</t>
        </is>
      </c>
      <c r="D1429" s="16" t="inlineStr">
        <is>
          <t>Dyes &amp; Pigments</t>
        </is>
      </c>
      <c r="E1429" s="16" t="inlineStr">
        <is>
          <t>Chemicals &amp; Petrochemicals</t>
        </is>
      </c>
      <c r="F1429" s="17" t="n">
        <v>1329.62</v>
      </c>
      <c r="G1429" s="16" t="inlineStr">
        <is>
          <t>BHAGERIA</t>
        </is>
      </c>
      <c r="H1429" s="16" t="inlineStr">
        <is>
          <t>530803</t>
        </is>
      </c>
      <c r="I1429" s="27">
        <f>IFERROR(IF(INDEX(Stocks!$G$2:$G$2139,MATCH(A1429,Stocks!$E$2:$E$2139,0))="","No","Yes"),"No")</f>
        <v/>
      </c>
    </row>
    <row r="1430">
      <c r="A1430" s="16" t="inlineStr">
        <is>
          <t>INE415D01024</t>
        </is>
      </c>
      <c r="B1430" s="16" t="inlineStr">
        <is>
          <t>BHARATSE</t>
        </is>
      </c>
      <c r="C1430" s="16" t="inlineStr">
        <is>
          <t>Bharat Seats Ltd.</t>
        </is>
      </c>
      <c r="D1430" s="16" t="inlineStr">
        <is>
          <t>Auto Parts &amp; Equipment</t>
        </is>
      </c>
      <c r="E1430" s="16" t="inlineStr">
        <is>
          <t>Automobiles &amp; Auto Components</t>
        </is>
      </c>
      <c r="F1430" s="17" t="n">
        <v>1329.41</v>
      </c>
      <c r="G1430" s="16" t="inlineStr">
        <is>
          <t>BHARATSE</t>
        </is>
      </c>
      <c r="H1430" s="16" t="inlineStr">
        <is>
          <t>523229</t>
        </is>
      </c>
      <c r="I1430" s="27">
        <f>IFERROR(IF(INDEX(Stocks!$G$2:$G$2139,MATCH(A1430,Stocks!$E$2:$E$2139,0))="","No","Yes"),"No")</f>
        <v/>
      </c>
    </row>
    <row r="1431">
      <c r="A1431" s="16" t="inlineStr">
        <is>
          <t>INE0D0K01022</t>
        </is>
      </c>
      <c r="B1431" s="16" t="inlineStr">
        <is>
          <t>SIGACHI</t>
        </is>
      </c>
      <c r="C1431" s="16" t="inlineStr">
        <is>
          <t>Sigachi Industries Ltd.</t>
        </is>
      </c>
      <c r="D1431" s="16" t="inlineStr">
        <is>
          <t>Pharmaceuticals</t>
        </is>
      </c>
      <c r="E1431" s="16" t="inlineStr">
        <is>
          <t>Pharmaceuticals &amp; Biotechnology</t>
        </is>
      </c>
      <c r="F1431" s="17" t="n">
        <v>1327.47</v>
      </c>
      <c r="G1431" s="16" t="inlineStr">
        <is>
          <t>SIGACHI</t>
        </is>
      </c>
      <c r="H1431" s="16" t="inlineStr">
        <is>
          <t>543389</t>
        </is>
      </c>
      <c r="I1431" s="27">
        <f>IFERROR(IF(INDEX(Stocks!$G$2:$G$2139,MATCH(A1431,Stocks!$E$2:$E$2139,0))="","No","Yes"),"No")</f>
        <v/>
      </c>
    </row>
    <row r="1432">
      <c r="A1432" s="16" t="inlineStr">
        <is>
          <t>INE199G01027</t>
        </is>
      </c>
      <c r="B1432" s="16" t="inlineStr">
        <is>
          <t>JAGRAN</t>
        </is>
      </c>
      <c r="C1432" s="16" t="inlineStr">
        <is>
          <t>Jagran Prakashan Ltd.</t>
        </is>
      </c>
      <c r="D1432" s="16" t="inlineStr">
        <is>
          <t>Publishing</t>
        </is>
      </c>
      <c r="E1432" s="16" t="inlineStr">
        <is>
          <t>Commercial Services &amp; Supplies</t>
        </is>
      </c>
      <c r="F1432" s="17" t="n">
        <v>1327.26</v>
      </c>
      <c r="G1432" s="16" t="inlineStr">
        <is>
          <t>JAGRAN</t>
        </is>
      </c>
      <c r="H1432" s="16" t="inlineStr">
        <is>
          <t>532705</t>
        </is>
      </c>
      <c r="I1432" s="27">
        <f>IFERROR(IF(INDEX(Stocks!$G$2:$G$2139,MATCH(A1432,Stocks!$E$2:$E$2139,0))="","No","Yes"),"No")</f>
        <v/>
      </c>
    </row>
    <row r="1433">
      <c r="A1433" s="16" t="inlineStr">
        <is>
          <t>INE438K01021</t>
        </is>
      </c>
      <c r="B1433" s="16" t="inlineStr">
        <is>
          <t>KALAMANDIR</t>
        </is>
      </c>
      <c r="C1433" s="16" t="inlineStr">
        <is>
          <t>Sai Silks (Kalamandir) Ltd.</t>
        </is>
      </c>
      <c r="D1433" s="16" t="inlineStr">
        <is>
          <t>Other Apparels &amp; Accessories</t>
        </is>
      </c>
      <c r="E1433" s="16" t="inlineStr">
        <is>
          <t>Textiles Apparels &amp; Accessories</t>
        </is>
      </c>
      <c r="F1433" s="17" t="n">
        <v>1326.46</v>
      </c>
      <c r="G1433" s="16" t="inlineStr">
        <is>
          <t>KALAMANDIR</t>
        </is>
      </c>
      <c r="H1433" s="16" t="inlineStr">
        <is>
          <t>543989</t>
        </is>
      </c>
      <c r="I1433" s="27">
        <f>IFERROR(IF(INDEX(Stocks!$G$2:$G$2139,MATCH(A1433,Stocks!$E$2:$E$2139,0))="","No","Yes"),"No")</f>
        <v/>
      </c>
    </row>
    <row r="1434">
      <c r="A1434" s="16" t="inlineStr">
        <is>
          <t>INE664D01019</t>
        </is>
      </c>
      <c r="B1434" s="16" t="inlineStr">
        <is>
          <t>BENARAS</t>
        </is>
      </c>
      <c r="C1434" s="16" t="inlineStr">
        <is>
          <t>Benares Hotels Ltd.</t>
        </is>
      </c>
      <c r="D1434" s="16" t="inlineStr">
        <is>
          <t>Hotels</t>
        </is>
      </c>
      <c r="E1434" s="16" t="inlineStr">
        <is>
          <t>Hotels Restaurants &amp; Tourism</t>
        </is>
      </c>
      <c r="F1434" s="17" t="n">
        <v>1326</v>
      </c>
      <c r="G1434" s="16" t="inlineStr"/>
      <c r="H1434" s="16" t="inlineStr">
        <is>
          <t>509438</t>
        </is>
      </c>
      <c r="I1434" s="27">
        <f>IFERROR(IF(INDEX(Stocks!$G$2:$G$2139,MATCH(A1434,Stocks!$E$2:$E$2139,0))="","No","Yes"),"No")</f>
        <v/>
      </c>
    </row>
    <row r="1435">
      <c r="A1435" s="16" t="inlineStr">
        <is>
          <t>INE395U01014</t>
        </is>
      </c>
      <c r="B1435" s="16" t="inlineStr">
        <is>
          <t>NINSYS</t>
        </is>
      </c>
      <c r="C1435" s="16" t="inlineStr">
        <is>
          <t>Nintec Systems Ltd.</t>
        </is>
      </c>
      <c r="D1435" s="16" t="inlineStr">
        <is>
          <t>IT Consulting &amp; Software</t>
        </is>
      </c>
      <c r="E1435" s="16" t="inlineStr">
        <is>
          <t>Software &amp; Services</t>
        </is>
      </c>
      <c r="F1435" s="17" t="n">
        <v>1324</v>
      </c>
      <c r="G1435" s="16" t="inlineStr">
        <is>
          <t>NINSYS</t>
        </is>
      </c>
      <c r="H1435" s="16" t="inlineStr">
        <is>
          <t>539843</t>
        </is>
      </c>
      <c r="I1435" s="27">
        <f>IFERROR(IF(INDEX(Stocks!$G$2:$G$2139,MATCH(A1435,Stocks!$E$2:$E$2139,0))="","No","Yes"),"No")</f>
        <v/>
      </c>
    </row>
    <row r="1436">
      <c r="A1436" s="16" t="inlineStr">
        <is>
          <t>INE571B01036</t>
        </is>
      </c>
      <c r="B1436" s="16" t="inlineStr">
        <is>
          <t>JAYBARMARU</t>
        </is>
      </c>
      <c r="C1436" s="16" t="inlineStr">
        <is>
          <t>Jay Bharat Maruti Ltd.</t>
        </is>
      </c>
      <c r="D1436" s="16" t="inlineStr">
        <is>
          <t>Auto Parts &amp; Equipment</t>
        </is>
      </c>
      <c r="E1436" s="16" t="inlineStr">
        <is>
          <t>Automobiles &amp; Auto Components</t>
        </is>
      </c>
      <c r="F1436" s="17" t="n">
        <v>1323.79</v>
      </c>
      <c r="G1436" s="16" t="inlineStr">
        <is>
          <t>JAYBARMARU</t>
        </is>
      </c>
      <c r="H1436" s="16" t="inlineStr">
        <is>
          <t>520066</t>
        </is>
      </c>
      <c r="I1436" s="27">
        <f>IFERROR(IF(INDEX(Stocks!$G$2:$G$2139,MATCH(A1436,Stocks!$E$2:$E$2139,0))="","No","Yes"),"No")</f>
        <v/>
      </c>
    </row>
    <row r="1437">
      <c r="A1437" s="16" t="inlineStr">
        <is>
          <t>INE0RE001014</t>
        </is>
      </c>
      <c r="B1437" s="16" t="inlineStr">
        <is>
          <t>GALAPREC</t>
        </is>
      </c>
      <c r="C1437" s="16" t="inlineStr">
        <is>
          <t>Gala Precision Engineering Ltd.</t>
        </is>
      </c>
      <c r="D1437" s="16" t="inlineStr">
        <is>
          <t>Other Industrial Goods</t>
        </is>
      </c>
      <c r="E1437" s="16" t="inlineStr">
        <is>
          <t>General Industrials</t>
        </is>
      </c>
      <c r="F1437" s="17" t="n">
        <v>1312.38</v>
      </c>
      <c r="G1437" s="16" t="inlineStr">
        <is>
          <t>GALAPREC</t>
        </is>
      </c>
      <c r="H1437" s="16" t="inlineStr">
        <is>
          <t>544244</t>
        </is>
      </c>
      <c r="I1437" s="27">
        <f>IFERROR(IF(INDEX(Stocks!$G$2:$G$2139,MATCH(A1437,Stocks!$E$2:$E$2139,0))="","No","Yes"),"No")</f>
        <v/>
      </c>
    </row>
    <row r="1438">
      <c r="A1438" s="16" t="inlineStr">
        <is>
          <t>INE217L01019</t>
        </is>
      </c>
      <c r="B1438" s="16" t="inlineStr">
        <is>
          <t>SHRIRAMPPS</t>
        </is>
      </c>
      <c r="C1438" s="16" t="inlineStr">
        <is>
          <t>Shriram Properties Ltd.</t>
        </is>
      </c>
      <c r="D1438" s="16" t="inlineStr">
        <is>
          <t>Realty</t>
        </is>
      </c>
      <c r="E1438" s="16" t="inlineStr">
        <is>
          <t>Realty</t>
        </is>
      </c>
      <c r="F1438" s="17" t="n">
        <v>1312.33</v>
      </c>
      <c r="G1438" s="16" t="inlineStr">
        <is>
          <t>SHRIRAMPPS</t>
        </is>
      </c>
      <c r="H1438" s="16" t="inlineStr">
        <is>
          <t>543419</t>
        </is>
      </c>
      <c r="I1438" s="27">
        <f>IFERROR(IF(INDEX(Stocks!$G$2:$G$2139,MATCH(A1438,Stocks!$E$2:$E$2139,0))="","No","Yes"),"No")</f>
        <v/>
      </c>
    </row>
    <row r="1439">
      <c r="A1439" s="16" t="inlineStr">
        <is>
          <t>INE690J01011</t>
        </is>
      </c>
      <c r="B1439" s="16" t="inlineStr">
        <is>
          <t>INOVSYNTH</t>
        </is>
      </c>
      <c r="C1439" s="16" t="inlineStr">
        <is>
          <t>Innovassynth Technologies (India) Ltd.</t>
        </is>
      </c>
      <c r="D1439" s="16" t="inlineStr">
        <is>
          <t>Investment Companies</t>
        </is>
      </c>
      <c r="E1439" s="16" t="inlineStr">
        <is>
          <t>Others</t>
        </is>
      </c>
      <c r="F1439" s="17" t="n">
        <v>1311.66</v>
      </c>
      <c r="G1439" s="16" t="inlineStr"/>
      <c r="H1439" s="16" t="inlineStr">
        <is>
          <t>533315</t>
        </is>
      </c>
      <c r="I1439" s="27">
        <f>IFERROR(IF(INDEX(Stocks!$G$2:$G$2139,MATCH(A1439,Stocks!$E$2:$E$2139,0))="","No","Yes"),"No")</f>
        <v/>
      </c>
    </row>
    <row r="1440">
      <c r="A1440" s="16" t="inlineStr">
        <is>
          <t>INE0PA801013</t>
        </is>
      </c>
      <c r="B1440" s="16" t="inlineStr">
        <is>
          <t>GHCLTEXTIL</t>
        </is>
      </c>
      <c r="C1440" s="16" t="inlineStr">
        <is>
          <t>GHCL Textiles Ltd.</t>
        </is>
      </c>
      <c r="D1440" s="16" t="inlineStr">
        <is>
          <t>Textiles</t>
        </is>
      </c>
      <c r="E1440" s="16" t="inlineStr">
        <is>
          <t>Textiles Apparels &amp; Accessories</t>
        </is>
      </c>
      <c r="F1440" s="17" t="n">
        <v>1306.85</v>
      </c>
      <c r="G1440" s="16" t="inlineStr">
        <is>
          <t>GHCLTEXTIL</t>
        </is>
      </c>
      <c r="H1440" s="16" t="inlineStr">
        <is>
          <t>543918</t>
        </is>
      </c>
      <c r="I1440" s="27">
        <f>IFERROR(IF(INDEX(Stocks!$G$2:$G$2139,MATCH(A1440,Stocks!$E$2:$E$2139,0))="","No","Yes"),"No")</f>
        <v/>
      </c>
    </row>
    <row r="1441">
      <c r="A1441" s="16" t="inlineStr">
        <is>
          <t>INE0KGZ01021</t>
        </is>
      </c>
      <c r="B1441" s="16" t="inlineStr">
        <is>
          <t>SIGNPOST</t>
        </is>
      </c>
      <c r="C1441" s="16" t="inlineStr">
        <is>
          <t>Signpost India Ltd.</t>
        </is>
      </c>
      <c r="D1441" s="16" t="inlineStr">
        <is>
          <t>Advertising &amp; Media</t>
        </is>
      </c>
      <c r="E1441" s="16" t="inlineStr">
        <is>
          <t>Media</t>
        </is>
      </c>
      <c r="F1441" s="17" t="n">
        <v>1305.52</v>
      </c>
      <c r="G1441" s="16" t="inlineStr">
        <is>
          <t>SIGNPOST</t>
        </is>
      </c>
      <c r="H1441" s="16" t="inlineStr">
        <is>
          <t>544117</t>
        </is>
      </c>
      <c r="I1441" s="27">
        <f>IFERROR(IF(INDEX(Stocks!$G$2:$G$2139,MATCH(A1441,Stocks!$E$2:$E$2139,0))="","No","Yes"),"No")</f>
        <v/>
      </c>
    </row>
    <row r="1442">
      <c r="A1442" s="16" t="inlineStr">
        <is>
          <t>INE158B01016</t>
        </is>
      </c>
      <c r="B1442" s="16" t="inlineStr">
        <is>
          <t>EIMCOELECO</t>
        </is>
      </c>
      <c r="C1442" s="16" t="inlineStr">
        <is>
          <t>Eimco Elecon (India) Ltd.</t>
        </is>
      </c>
      <c r="D1442" s="16" t="inlineStr">
        <is>
          <t>Industrial Machinery</t>
        </is>
      </c>
      <c r="E1442" s="16" t="inlineStr">
        <is>
          <t>General Industrials</t>
        </is>
      </c>
      <c r="F1442" s="17" t="n">
        <v>1300.43</v>
      </c>
      <c r="G1442" s="16" t="inlineStr">
        <is>
          <t>EIMCOELECO</t>
        </is>
      </c>
      <c r="H1442" s="16" t="inlineStr">
        <is>
          <t>523708</t>
        </is>
      </c>
      <c r="I1442" s="27">
        <f>IFERROR(IF(INDEX(Stocks!$G$2:$G$2139,MATCH(A1442,Stocks!$E$2:$E$2139,0))="","No","Yes"),"No")</f>
        <v/>
      </c>
    </row>
    <row r="1443">
      <c r="A1443" s="16" t="inlineStr">
        <is>
          <t>INE830Q01018</t>
        </is>
      </c>
      <c r="B1443" s="16" t="inlineStr">
        <is>
          <t>MANAKCOAT</t>
        </is>
      </c>
      <c r="C1443" s="16" t="inlineStr">
        <is>
          <t>Manaksia Coated Metals &amp; Industries Ltd.</t>
        </is>
      </c>
      <c r="D1443" s="16" t="inlineStr">
        <is>
          <t>Iron &amp; Steel/Interm.Products</t>
        </is>
      </c>
      <c r="E1443" s="16" t="inlineStr">
        <is>
          <t>Metals &amp; Mining</t>
        </is>
      </c>
      <c r="F1443" s="17" t="n">
        <v>1298.8</v>
      </c>
      <c r="G1443" s="16" t="inlineStr">
        <is>
          <t>MANAKCOAT</t>
        </is>
      </c>
      <c r="H1443" s="16" t="inlineStr">
        <is>
          <t>539046</t>
        </is>
      </c>
      <c r="I1443" s="27">
        <f>IFERROR(IF(INDEX(Stocks!$G$2:$G$2139,MATCH(A1443,Stocks!$E$2:$E$2139,0))="","No","Yes"),"No")</f>
        <v/>
      </c>
    </row>
    <row r="1444">
      <c r="A1444" s="16" t="inlineStr">
        <is>
          <t>INE486R01017</t>
        </is>
      </c>
      <c r="B1444" s="16" t="inlineStr">
        <is>
          <t>GPTHEALTH</t>
        </is>
      </c>
      <c r="C1444" s="16" t="inlineStr">
        <is>
          <t>GPT Healthcare Ltd.</t>
        </is>
      </c>
      <c r="D1444" s="16" t="inlineStr">
        <is>
          <t>Healthcare Facilities</t>
        </is>
      </c>
      <c r="E1444" s="16" t="inlineStr">
        <is>
          <t>Healthcare</t>
        </is>
      </c>
      <c r="F1444" s="17" t="n">
        <v>1297.86</v>
      </c>
      <c r="G1444" s="16" t="inlineStr">
        <is>
          <t>GPTHEALTH</t>
        </is>
      </c>
      <c r="H1444" s="16" t="inlineStr">
        <is>
          <t>544131</t>
        </is>
      </c>
      <c r="I1444" s="27">
        <f>IFERROR(IF(INDEX(Stocks!$G$2:$G$2139,MATCH(A1444,Stocks!$E$2:$E$2139,0))="","No","Yes"),"No")</f>
        <v/>
      </c>
    </row>
    <row r="1445">
      <c r="A1445" s="16" t="inlineStr">
        <is>
          <t>INE369A01029</t>
        </is>
      </c>
      <c r="B1445" s="16" t="inlineStr">
        <is>
          <t>EXCELINDUS</t>
        </is>
      </c>
      <c r="C1445" s="16" t="inlineStr">
        <is>
          <t>Excel Industries Ltd.</t>
        </is>
      </c>
      <c r="D1445" s="16" t="inlineStr">
        <is>
          <t>Specialty Chemicals</t>
        </is>
      </c>
      <c r="E1445" s="16" t="inlineStr">
        <is>
          <t>Chemicals &amp; Petrochemicals</t>
        </is>
      </c>
      <c r="F1445" s="17" t="n">
        <v>1296.54</v>
      </c>
      <c r="G1445" s="16" t="inlineStr">
        <is>
          <t>EXCELINDUS</t>
        </is>
      </c>
      <c r="H1445" s="16" t="inlineStr">
        <is>
          <t>500650</t>
        </is>
      </c>
      <c r="I1445" s="27">
        <f>IFERROR(IF(INDEX(Stocks!$G$2:$G$2139,MATCH(A1445,Stocks!$E$2:$E$2139,0))="","No","Yes"),"No")</f>
        <v/>
      </c>
    </row>
    <row r="1446">
      <c r="A1446" s="16" t="inlineStr">
        <is>
          <t>INE0V9N01017</t>
        </is>
      </c>
      <c r="B1446" s="16" t="inlineStr">
        <is>
          <t>PRIZOR</t>
        </is>
      </c>
      <c r="C1446" s="16" t="inlineStr">
        <is>
          <t>Prizor Viztech Ltd.</t>
        </is>
      </c>
      <c r="D1446" s="16" t="inlineStr">
        <is>
          <t>Consumer Electronics</t>
        </is>
      </c>
      <c r="E1446" s="16" t="inlineStr">
        <is>
          <t>Consumer Durables</t>
        </is>
      </c>
      <c r="F1446" s="17" t="n">
        <v>1295.98</v>
      </c>
      <c r="G1446" s="16" t="inlineStr">
        <is>
          <t>PRIZOR</t>
        </is>
      </c>
      <c r="H1446" s="16" t="inlineStr"/>
      <c r="I1446" s="27">
        <f>IFERROR(IF(INDEX(Stocks!$G$2:$G$2139,MATCH(A1446,Stocks!$E$2:$E$2139,0))="","No","Yes"),"No")</f>
        <v/>
      </c>
    </row>
    <row r="1447">
      <c r="A1447" s="16" t="inlineStr">
        <is>
          <t>INE0TY101024</t>
        </is>
      </c>
      <c r="B1447" s="16" t="inlineStr">
        <is>
          <t>SOLARWORLD</t>
        </is>
      </c>
      <c r="C1447" s="16" t="inlineStr">
        <is>
          <t>Solarworld Energy Solutions Ltd.</t>
        </is>
      </c>
      <c r="D1447" s="16" t="inlineStr">
        <is>
          <t>Green &amp; Renewable Energy</t>
        </is>
      </c>
      <c r="E1447" s="16" t="inlineStr">
        <is>
          <t>Utilities</t>
        </is>
      </c>
      <c r="F1447" s="17" t="n">
        <v>1294.2</v>
      </c>
      <c r="G1447" s="16" t="inlineStr">
        <is>
          <t>SOLARWORLD</t>
        </is>
      </c>
      <c r="H1447" s="16" t="inlineStr">
        <is>
          <t>544532</t>
        </is>
      </c>
      <c r="I1447" s="27">
        <f>IFERROR(IF(INDEX(Stocks!$G$2:$G$2139,MATCH(A1447,Stocks!$E$2:$E$2139,0))="","No","Yes"),"No")</f>
        <v/>
      </c>
    </row>
    <row r="1448">
      <c r="A1448" s="16" t="inlineStr">
        <is>
          <t>INE124Y01028</t>
        </is>
      </c>
      <c r="B1448" s="16" t="inlineStr">
        <is>
          <t>PASHUPATI</t>
        </is>
      </c>
      <c r="C1448" s="16" t="inlineStr">
        <is>
          <t>Pashupati Cotspin Ltd.</t>
        </is>
      </c>
      <c r="D1448" s="16" t="inlineStr">
        <is>
          <t>Textiles</t>
        </is>
      </c>
      <c r="E1448" s="16" t="inlineStr">
        <is>
          <t>Textiles Apparels &amp; Accessories</t>
        </is>
      </c>
      <c r="F1448" s="17" t="n">
        <v>1293.34</v>
      </c>
      <c r="G1448" s="16" t="inlineStr">
        <is>
          <t>PASHUPATI</t>
        </is>
      </c>
      <c r="H1448" s="16" t="inlineStr">
        <is>
          <t>544448</t>
        </is>
      </c>
      <c r="I1448" s="27">
        <f>IFERROR(IF(INDEX(Stocks!$G$2:$G$2139,MATCH(A1448,Stocks!$E$2:$E$2139,0))="","No","Yes"),"No")</f>
        <v/>
      </c>
    </row>
    <row r="1449">
      <c r="A1449" s="16" t="inlineStr">
        <is>
          <t>INE951D01028</t>
        </is>
      </c>
      <c r="B1449" s="16" t="inlineStr">
        <is>
          <t>ATULAUTO</t>
        </is>
      </c>
      <c r="C1449" s="16" t="inlineStr">
        <is>
          <t>Atul Auto Ltd.</t>
        </is>
      </c>
      <c r="D1449" s="16" t="inlineStr">
        <is>
          <t>2/3 Wheelers</t>
        </is>
      </c>
      <c r="E1449" s="16" t="inlineStr">
        <is>
          <t>Automobiles &amp; Auto Components</t>
        </is>
      </c>
      <c r="F1449" s="17" t="n">
        <v>1290.85</v>
      </c>
      <c r="G1449" s="16" t="inlineStr">
        <is>
          <t>ATULAUTO</t>
        </is>
      </c>
      <c r="H1449" s="16" t="inlineStr">
        <is>
          <t>531795</t>
        </is>
      </c>
      <c r="I1449" s="27">
        <f>IFERROR(IF(INDEX(Stocks!$G$2:$G$2139,MATCH(A1449,Stocks!$E$2:$E$2139,0))="","No","Yes"),"No")</f>
        <v/>
      </c>
    </row>
    <row r="1450">
      <c r="A1450" s="16" t="inlineStr">
        <is>
          <t>INE435A01051</t>
        </is>
      </c>
      <c r="B1450" s="16" t="inlineStr">
        <is>
          <t>ANDHRAPAP</t>
        </is>
      </c>
      <c r="C1450" s="16" t="inlineStr">
        <is>
          <t>Andhra Paper Ltd.</t>
        </is>
      </c>
      <c r="D1450" s="16" t="inlineStr">
        <is>
          <t>Paper &amp; Paper Products</t>
        </is>
      </c>
      <c r="E1450" s="16" t="inlineStr">
        <is>
          <t>Commercial Services &amp; Supplies</t>
        </is>
      </c>
      <c r="F1450" s="17" t="n">
        <v>1281.59</v>
      </c>
      <c r="G1450" s="16" t="inlineStr">
        <is>
          <t>ANDHRAPAP</t>
        </is>
      </c>
      <c r="H1450" s="16" t="inlineStr">
        <is>
          <t>502330</t>
        </is>
      </c>
      <c r="I1450" s="27">
        <f>IFERROR(IF(INDEX(Stocks!$G$2:$G$2139,MATCH(A1450,Stocks!$E$2:$E$2139,0))="","No","Yes"),"No")</f>
        <v/>
      </c>
    </row>
    <row r="1451">
      <c r="A1451" s="16" t="inlineStr">
        <is>
          <t>INE831A01028</t>
        </is>
      </c>
      <c r="B1451" s="16" t="inlineStr">
        <is>
          <t>ONIDA</t>
        </is>
      </c>
      <c r="C1451" s="16" t="inlineStr">
        <is>
          <t>Onida Electronics Ltd.</t>
        </is>
      </c>
      <c r="D1451" s="16" t="inlineStr">
        <is>
          <t>Consumer Electronics</t>
        </is>
      </c>
      <c r="E1451" s="16" t="inlineStr">
        <is>
          <t>Consumer Durables</t>
        </is>
      </c>
      <c r="F1451" s="17" t="n">
        <v>1280.04</v>
      </c>
      <c r="G1451" s="16" t="inlineStr">
        <is>
          <t>ONIDA</t>
        </is>
      </c>
      <c r="H1451" s="16" t="inlineStr">
        <is>
          <t>500279</t>
        </is>
      </c>
      <c r="I1451" s="27">
        <f>IFERROR(IF(INDEX(Stocks!$G$2:$G$2139,MATCH(A1451,Stocks!$E$2:$E$2139,0))="","No","Yes"),"No")</f>
        <v/>
      </c>
    </row>
    <row r="1452">
      <c r="A1452" s="16" t="inlineStr">
        <is>
          <t>INE288301026</t>
        </is>
      </c>
      <c r="B1452" s="16" t="inlineStr">
        <is>
          <t>PPEL</t>
        </is>
      </c>
      <c r="C1452" s="16" t="inlineStr">
        <is>
          <t>Poojaa Precision Engg. Ltd.</t>
        </is>
      </c>
      <c r="D1452" s="16" t="inlineStr">
        <is>
          <t>Auto Parts &amp; Equipment</t>
        </is>
      </c>
      <c r="E1452" s="16" t="inlineStr">
        <is>
          <t>Automobiles &amp; Auto Components</t>
        </is>
      </c>
      <c r="F1452" s="17" t="n">
        <v>1279.07</v>
      </c>
      <c r="G1452" s="16" t="inlineStr"/>
      <c r="H1452" s="16" t="inlineStr">
        <is>
          <t>544844</t>
        </is>
      </c>
      <c r="I1452" s="27">
        <f>IFERROR(IF(INDEX(Stocks!$G$2:$G$2139,MATCH(A1452,Stocks!$E$2:$E$2139,0))="","No","Yes"),"No")</f>
        <v/>
      </c>
    </row>
    <row r="1453">
      <c r="A1453" s="16" t="inlineStr">
        <is>
          <t>INE646H01017</t>
        </is>
      </c>
      <c r="B1453" s="16" t="inlineStr">
        <is>
          <t>CAPITALSFB</t>
        </is>
      </c>
      <c r="C1453" s="16" t="inlineStr">
        <is>
          <t>Capital Small Finance Bank Ltd.</t>
        </is>
      </c>
      <c r="D1453" s="16" t="inlineStr">
        <is>
          <t>Microfinance Institutions</t>
        </is>
      </c>
      <c r="E1453" s="16" t="inlineStr">
        <is>
          <t>Banking and Finance</t>
        </is>
      </c>
      <c r="F1453" s="17" t="n">
        <v>1277.34</v>
      </c>
      <c r="G1453" s="16" t="inlineStr">
        <is>
          <t>CAPITALSFB</t>
        </is>
      </c>
      <c r="H1453" s="16" t="inlineStr">
        <is>
          <t>544120</t>
        </is>
      </c>
      <c r="I1453" s="27">
        <f>IFERROR(IF(INDEX(Stocks!$G$2:$G$2139,MATCH(A1453,Stocks!$E$2:$E$2139,0))="","No","Yes"),"No")</f>
        <v/>
      </c>
    </row>
    <row r="1454">
      <c r="A1454" s="16" t="inlineStr">
        <is>
          <t>INE405A01021</t>
        </is>
      </c>
      <c r="B1454" s="16" t="inlineStr">
        <is>
          <t>ULTRAMAR</t>
        </is>
      </c>
      <c r="C1454" s="16" t="inlineStr">
        <is>
          <t>Ultramarine &amp; Pigments Ltd.</t>
        </is>
      </c>
      <c r="D1454" s="16" t="inlineStr">
        <is>
          <t>Dyes &amp; Pigments</t>
        </is>
      </c>
      <c r="E1454" s="16" t="inlineStr">
        <is>
          <t>Chemicals &amp; Petrochemicals</t>
        </is>
      </c>
      <c r="F1454" s="17" t="n">
        <v>1275.16</v>
      </c>
      <c r="G1454" s="16" t="inlineStr"/>
      <c r="H1454" s="16" t="inlineStr">
        <is>
          <t>506685</t>
        </is>
      </c>
      <c r="I1454" s="27">
        <f>IFERROR(IF(INDEX(Stocks!$G$2:$G$2139,MATCH(A1454,Stocks!$E$2:$E$2139,0))="","No","Yes"),"No")</f>
        <v/>
      </c>
    </row>
    <row r="1455">
      <c r="A1455" s="16" t="inlineStr">
        <is>
          <t>INE958L01034</t>
        </is>
      </c>
      <c r="B1455" s="16" t="inlineStr">
        <is>
          <t>META</t>
        </is>
      </c>
      <c r="C1455" s="16" t="inlineStr">
        <is>
          <t>String Metaverse Ltd.</t>
        </is>
      </c>
      <c r="D1455" s="16" t="inlineStr">
        <is>
          <t>Internet Software &amp; Services</t>
        </is>
      </c>
      <c r="E1455" s="16" t="inlineStr">
        <is>
          <t>Software &amp; Services</t>
        </is>
      </c>
      <c r="F1455" s="17" t="n">
        <v>1275.06</v>
      </c>
      <c r="G1455" s="16" t="inlineStr"/>
      <c r="H1455" s="16" t="inlineStr">
        <is>
          <t>534535</t>
        </is>
      </c>
      <c r="I1455" s="27">
        <f>IFERROR(IF(INDEX(Stocks!$G$2:$G$2139,MATCH(A1455,Stocks!$E$2:$E$2139,0))="","No","Yes"),"No")</f>
        <v/>
      </c>
    </row>
    <row r="1456">
      <c r="A1456" s="16" t="inlineStr">
        <is>
          <t>INE155E01016</t>
        </is>
      </c>
      <c r="B1456" s="16" t="inlineStr">
        <is>
          <t>INVPRECQ</t>
        </is>
      </c>
      <c r="C1456" s="16" t="inlineStr">
        <is>
          <t>Investment &amp; Precision Castings Ltd.</t>
        </is>
      </c>
      <c r="D1456" s="16" t="inlineStr">
        <is>
          <t>Castings &amp; Forgings</t>
        </is>
      </c>
      <c r="E1456" s="16" t="inlineStr">
        <is>
          <t>General Industrials</t>
        </is>
      </c>
      <c r="F1456" s="17" t="n">
        <v>1275</v>
      </c>
      <c r="G1456" s="16" t="inlineStr"/>
      <c r="H1456" s="16" t="inlineStr">
        <is>
          <t>504786</t>
        </is>
      </c>
      <c r="I1456" s="27">
        <f>IFERROR(IF(INDEX(Stocks!$G$2:$G$2139,MATCH(A1456,Stocks!$E$2:$E$2139,0))="","No","Yes"),"No")</f>
        <v/>
      </c>
    </row>
    <row r="1457">
      <c r="A1457" s="16" t="inlineStr">
        <is>
          <t>INE17D601016</t>
        </is>
      </c>
      <c r="B1457" s="16" t="inlineStr">
        <is>
          <t>SAFEENTP</t>
        </is>
      </c>
      <c r="C1457" s="16" t="inlineStr">
        <is>
          <t>Safe Enterprises Retail Fixtures Ltd.</t>
        </is>
      </c>
      <c r="D1457" s="16" t="inlineStr">
        <is>
          <t>Misc. Commercial Services</t>
        </is>
      </c>
      <c r="E1457" s="16" t="inlineStr">
        <is>
          <t>Commercial Services &amp; Supplies</t>
        </is>
      </c>
      <c r="F1457" s="17" t="n">
        <v>1272.3</v>
      </c>
      <c r="G1457" s="16" t="inlineStr">
        <is>
          <t>SAFEENTP</t>
        </is>
      </c>
      <c r="H1457" s="16" t="inlineStr"/>
      <c r="I1457" s="27">
        <f>IFERROR(IF(INDEX(Stocks!$G$2:$G$2139,MATCH(A1457,Stocks!$E$2:$E$2139,0))="","No","Yes"),"No")</f>
        <v/>
      </c>
    </row>
    <row r="1458">
      <c r="A1458" s="16" t="inlineStr">
        <is>
          <t>INE0PT501018</t>
        </is>
      </c>
      <c r="B1458" s="16" t="inlineStr">
        <is>
          <t>PLATIND</t>
        </is>
      </c>
      <c r="C1458" s="16" t="inlineStr">
        <is>
          <t>Platinum Industries Ltd.</t>
        </is>
      </c>
      <c r="D1458" s="16" t="inlineStr">
        <is>
          <t>Specialty Chemicals</t>
        </is>
      </c>
      <c r="E1458" s="16" t="inlineStr">
        <is>
          <t>Chemicals &amp; Petrochemicals</t>
        </is>
      </c>
      <c r="F1458" s="17" t="n">
        <v>1271.73</v>
      </c>
      <c r="G1458" s="16" t="inlineStr">
        <is>
          <t>PLATIND</t>
        </is>
      </c>
      <c r="H1458" s="16" t="inlineStr">
        <is>
          <t>544134</t>
        </is>
      </c>
      <c r="I1458" s="27">
        <f>IFERROR(IF(INDEX(Stocks!$G$2:$G$2139,MATCH(A1458,Stocks!$E$2:$E$2139,0))="","No","Yes"),"No")</f>
        <v/>
      </c>
    </row>
    <row r="1459">
      <c r="A1459" s="16" t="inlineStr">
        <is>
          <t>INE433O01024</t>
        </is>
      </c>
      <c r="B1459" s="16" t="inlineStr">
        <is>
          <t>AIRLTD</t>
        </is>
      </c>
      <c r="C1459" s="16" t="inlineStr">
        <is>
          <t>Avishkar Infra Realty Ltd.</t>
        </is>
      </c>
      <c r="D1459" s="16" t="inlineStr">
        <is>
          <t>Realty</t>
        </is>
      </c>
      <c r="E1459" s="16" t="inlineStr">
        <is>
          <t>Realty</t>
        </is>
      </c>
      <c r="F1459" s="17" t="n">
        <v>1270.72</v>
      </c>
      <c r="G1459" s="16" t="inlineStr"/>
      <c r="H1459" s="16" t="inlineStr">
        <is>
          <t>508929</t>
        </is>
      </c>
      <c r="I1459" s="27">
        <f>IFERROR(IF(INDEX(Stocks!$G$2:$G$2139,MATCH(A1459,Stocks!$E$2:$E$2139,0))="","No","Yes"),"No")</f>
        <v/>
      </c>
    </row>
    <row r="1460">
      <c r="A1460" s="16" t="inlineStr">
        <is>
          <t>INE056801025</t>
        </is>
      </c>
      <c r="B1460" s="16" t="inlineStr">
        <is>
          <t>IVALUE</t>
        </is>
      </c>
      <c r="C1460" s="16" t="inlineStr">
        <is>
          <t>Ivalue Infosolutions Ltd.</t>
        </is>
      </c>
      <c r="D1460" s="16" t="inlineStr">
        <is>
          <t>IT Consulting &amp; Software</t>
        </is>
      </c>
      <c r="E1460" s="16" t="inlineStr">
        <is>
          <t>Software &amp; Services</t>
        </is>
      </c>
      <c r="F1460" s="17" t="n">
        <v>1260.76</v>
      </c>
      <c r="G1460" s="16" t="inlineStr">
        <is>
          <t>IVALUE</t>
        </is>
      </c>
      <c r="H1460" s="16" t="inlineStr">
        <is>
          <t>544523</t>
        </is>
      </c>
      <c r="I1460" s="27">
        <f>IFERROR(IF(INDEX(Stocks!$G$2:$G$2139,MATCH(A1460,Stocks!$E$2:$E$2139,0))="","No","Yes"),"No")</f>
        <v/>
      </c>
    </row>
    <row r="1461">
      <c r="A1461" s="16" t="inlineStr">
        <is>
          <t>INE142Q01026</t>
        </is>
      </c>
      <c r="B1461" s="16" t="inlineStr">
        <is>
          <t>SULA</t>
        </is>
      </c>
      <c r="C1461" s="16" t="inlineStr">
        <is>
          <t>Sula Vineyards Ltd.</t>
        </is>
      </c>
      <c r="D1461" s="16" t="inlineStr">
        <is>
          <t>Breweries &amp; Distilleries</t>
        </is>
      </c>
      <c r="E1461" s="16" t="inlineStr">
        <is>
          <t>Food, Beverages &amp; Tobacco</t>
        </is>
      </c>
      <c r="F1461" s="17" t="n">
        <v>1258.26</v>
      </c>
      <c r="G1461" s="16" t="inlineStr">
        <is>
          <t>SULA</t>
        </is>
      </c>
      <c r="H1461" s="16" t="inlineStr">
        <is>
          <t>543711</t>
        </is>
      </c>
      <c r="I1461" s="27">
        <f>IFERROR(IF(INDEX(Stocks!$G$2:$G$2139,MATCH(A1461,Stocks!$E$2:$E$2139,0))="","No","Yes"),"No")</f>
        <v/>
      </c>
    </row>
    <row r="1462">
      <c r="A1462" s="16" t="inlineStr">
        <is>
          <t>INE680A01011</t>
        </is>
      </c>
      <c r="B1462" s="16" t="inlineStr">
        <is>
          <t>DHANBANK</t>
        </is>
      </c>
      <c r="C1462" s="16" t="inlineStr">
        <is>
          <t>Dhanlaxmi Bank Ltd.</t>
        </is>
      </c>
      <c r="D1462" s="16" t="inlineStr">
        <is>
          <t>Banks</t>
        </is>
      </c>
      <c r="E1462" s="16" t="inlineStr">
        <is>
          <t>Banking and Finance</t>
        </is>
      </c>
      <c r="F1462" s="17" t="n">
        <v>1257.51</v>
      </c>
      <c r="G1462" s="16" t="inlineStr">
        <is>
          <t>DHANBANK</t>
        </is>
      </c>
      <c r="H1462" s="16" t="inlineStr">
        <is>
          <t>532180</t>
        </is>
      </c>
      <c r="I1462" s="27">
        <f>IFERROR(IF(INDEX(Stocks!$G$2:$G$2139,MATCH(A1462,Stocks!$E$2:$E$2139,0))="","No","Yes"),"No")</f>
        <v/>
      </c>
    </row>
    <row r="1463">
      <c r="A1463" s="16" t="inlineStr">
        <is>
          <t>INE994E01018</t>
        </is>
      </c>
      <c r="B1463" s="16" t="inlineStr">
        <is>
          <t>3BBLACKBIO</t>
        </is>
      </c>
      <c r="C1463" s="16" t="inlineStr">
        <is>
          <t>3B BlackBio Dx Ltd.</t>
        </is>
      </c>
      <c r="D1463" s="16" t="inlineStr">
        <is>
          <t>Agrochemicals</t>
        </is>
      </c>
      <c r="E1463" s="16" t="inlineStr">
        <is>
          <t>Chemicals &amp; Petrochemicals</t>
        </is>
      </c>
      <c r="F1463" s="17" t="n">
        <v>1257.24</v>
      </c>
      <c r="G1463" s="16" t="inlineStr"/>
      <c r="H1463" s="16" t="inlineStr">
        <is>
          <t>532067</t>
        </is>
      </c>
      <c r="I1463" s="27">
        <f>IFERROR(IF(INDEX(Stocks!$G$2:$G$2139,MATCH(A1463,Stocks!$E$2:$E$2139,0))="","No","Yes"),"No")</f>
        <v/>
      </c>
    </row>
    <row r="1464">
      <c r="A1464" s="16" t="inlineStr">
        <is>
          <t>INE881E01017</t>
        </is>
      </c>
      <c r="B1464" s="16" t="inlineStr">
        <is>
          <t>KELENRG</t>
        </is>
      </c>
      <c r="C1464" s="16" t="inlineStr">
        <is>
          <t>Keltech Energies Ltd.</t>
        </is>
      </c>
      <c r="D1464" s="16" t="inlineStr">
        <is>
          <t>Other Industrial Products</t>
        </is>
      </c>
      <c r="E1464" s="16" t="inlineStr">
        <is>
          <t>General Industrials</t>
        </is>
      </c>
      <c r="F1464" s="17" t="n">
        <v>1254.04</v>
      </c>
      <c r="G1464" s="16" t="inlineStr"/>
      <c r="H1464" s="16" t="inlineStr">
        <is>
          <t>506528</t>
        </is>
      </c>
      <c r="I1464" s="27">
        <f>IFERROR(IF(INDEX(Stocks!$G$2:$G$2139,MATCH(A1464,Stocks!$E$2:$E$2139,0))="","No","Yes"),"No")</f>
        <v/>
      </c>
    </row>
    <row r="1465">
      <c r="A1465" s="16" t="inlineStr">
        <is>
          <t>INE302D01024</t>
        </is>
      </c>
      <c r="B1465" s="16" t="inlineStr">
        <is>
          <t>RIR</t>
        </is>
      </c>
      <c r="C1465" s="16" t="inlineStr">
        <is>
          <t>RIR Power Electronics Ltd.</t>
        </is>
      </c>
      <c r="D1465" s="16" t="inlineStr">
        <is>
          <t>Electronic Components</t>
        </is>
      </c>
      <c r="E1465" s="16" t="inlineStr">
        <is>
          <t>Commercial Services &amp; Supplies</t>
        </is>
      </c>
      <c r="F1465" s="17" t="n">
        <v>1251.97</v>
      </c>
      <c r="G1465" s="16" t="inlineStr"/>
      <c r="H1465" s="16" t="inlineStr">
        <is>
          <t>517035</t>
        </is>
      </c>
      <c r="I1465" s="27">
        <f>IFERROR(IF(INDEX(Stocks!$G$2:$G$2139,MATCH(A1465,Stocks!$E$2:$E$2139,0))="","No","Yes"),"No")</f>
        <v/>
      </c>
    </row>
    <row r="1466">
      <c r="A1466" s="16" t="inlineStr">
        <is>
          <t>INE822G01016</t>
        </is>
      </c>
      <c r="B1466" s="16" t="inlineStr">
        <is>
          <t>ELECTHERM</t>
        </is>
      </c>
      <c r="C1466" s="16" t="inlineStr">
        <is>
          <t>Electrotherm (India) Ltd.</t>
        </is>
      </c>
      <c r="D1466" s="16" t="inlineStr">
        <is>
          <t>Iron &amp; Steel Products</t>
        </is>
      </c>
      <c r="E1466" s="16" t="inlineStr">
        <is>
          <t>Metals &amp; Mining</t>
        </is>
      </c>
      <c r="F1466" s="17" t="n">
        <v>1249.94</v>
      </c>
      <c r="G1466" s="16" t="inlineStr">
        <is>
          <t>ELECTHERM</t>
        </is>
      </c>
      <c r="H1466" s="16" t="inlineStr">
        <is>
          <t>526608</t>
        </is>
      </c>
      <c r="I1466" s="27">
        <f>IFERROR(IF(INDEX(Stocks!$G$2:$G$2139,MATCH(A1466,Stocks!$E$2:$E$2139,0))="","No","Yes"),"No")</f>
        <v/>
      </c>
    </row>
    <row r="1467">
      <c r="A1467" s="16" t="inlineStr">
        <is>
          <t>INE966A01022</t>
        </is>
      </c>
      <c r="B1467" s="16" t="inlineStr">
        <is>
          <t>DOLATALGO</t>
        </is>
      </c>
      <c r="C1467" s="16" t="inlineStr">
        <is>
          <t>Dolat Algotech Ltd.</t>
        </is>
      </c>
      <c r="D1467" s="16" t="inlineStr">
        <is>
          <t>Capital Markets</t>
        </is>
      </c>
      <c r="E1467" s="16" t="inlineStr">
        <is>
          <t>Banking and Finance</t>
        </is>
      </c>
      <c r="F1467" s="17" t="n">
        <v>1248.02</v>
      </c>
      <c r="G1467" s="16" t="inlineStr">
        <is>
          <t>DOLATALGO</t>
        </is>
      </c>
      <c r="H1467" s="16" t="inlineStr">
        <is>
          <t>505526</t>
        </is>
      </c>
      <c r="I1467" s="27">
        <f>IFERROR(IF(INDEX(Stocks!$G$2:$G$2139,MATCH(A1467,Stocks!$E$2:$E$2139,0))="","No","Yes"),"No")</f>
        <v/>
      </c>
    </row>
    <row r="1468">
      <c r="A1468" s="16" t="inlineStr">
        <is>
          <t>INE967G01019</t>
        </is>
      </c>
      <c r="B1468" s="16" t="inlineStr">
        <is>
          <t>ZSARACOM</t>
        </is>
      </c>
      <c r="C1468" s="16" t="inlineStr">
        <is>
          <t>Saraswati Commercial (India) Ltd.</t>
        </is>
      </c>
      <c r="D1468" s="16" t="inlineStr">
        <is>
          <t>Finance (including NBFCs)</t>
        </is>
      </c>
      <c r="E1468" s="16" t="inlineStr">
        <is>
          <t>Banking and Finance</t>
        </is>
      </c>
      <c r="F1468" s="17" t="n">
        <v>1248.01</v>
      </c>
      <c r="G1468" s="16" t="inlineStr"/>
      <c r="H1468" s="16" t="inlineStr">
        <is>
          <t>512020</t>
        </is>
      </c>
      <c r="I1468" s="27">
        <f>IFERROR(IF(INDEX(Stocks!$G$2:$G$2139,MATCH(A1468,Stocks!$E$2:$E$2139,0))="","No","Yes"),"No")</f>
        <v/>
      </c>
    </row>
    <row r="1469">
      <c r="A1469" s="16" t="inlineStr">
        <is>
          <t>INE754D01018</t>
        </is>
      </c>
      <c r="B1469" s="16" t="inlineStr">
        <is>
          <t>SOBME</t>
        </is>
      </c>
      <c r="C1469" s="16" t="inlineStr">
        <is>
          <t>Sobhagya Mercantile Ltd.</t>
        </is>
      </c>
      <c r="D1469" s="16" t="inlineStr">
        <is>
          <t>Misc. Commercial Services</t>
        </is>
      </c>
      <c r="E1469" s="16" t="inlineStr">
        <is>
          <t>Commercial Services &amp; Supplies</t>
        </is>
      </c>
      <c r="F1469" s="17" t="n">
        <v>1247.78</v>
      </c>
      <c r="G1469" s="16" t="inlineStr"/>
      <c r="H1469" s="16" t="inlineStr">
        <is>
          <t>512014</t>
        </is>
      </c>
      <c r="I1469" s="27">
        <f>IFERROR(IF(INDEX(Stocks!$G$2:$G$2139,MATCH(A1469,Stocks!$E$2:$E$2139,0))="","No","Yes"),"No")</f>
        <v/>
      </c>
    </row>
    <row r="1470">
      <c r="A1470" s="16" t="inlineStr">
        <is>
          <t>INE316L01019</t>
        </is>
      </c>
      <c r="B1470" s="16" t="inlineStr">
        <is>
          <t>BHARATWIRE</t>
        </is>
      </c>
      <c r="C1470" s="16" t="inlineStr">
        <is>
          <t>Bharat Wire Ropes Ltd.</t>
        </is>
      </c>
      <c r="D1470" s="16" t="inlineStr">
        <is>
          <t>Iron &amp; Steel Products</t>
        </is>
      </c>
      <c r="E1470" s="16" t="inlineStr">
        <is>
          <t>Metals &amp; Mining</t>
        </is>
      </c>
      <c r="F1470" s="17" t="n">
        <v>1247.17</v>
      </c>
      <c r="G1470" s="16" t="inlineStr">
        <is>
          <t>BHARATWIRE</t>
        </is>
      </c>
      <c r="H1470" s="16" t="inlineStr">
        <is>
          <t>539799</t>
        </is>
      </c>
      <c r="I1470" s="27">
        <f>IFERROR(IF(INDEX(Stocks!$G$2:$G$2139,MATCH(A1470,Stocks!$E$2:$E$2139,0))="","No","Yes"),"No")</f>
        <v/>
      </c>
    </row>
    <row r="1471">
      <c r="A1471" s="16" t="inlineStr">
        <is>
          <t>INE285B01017</t>
        </is>
      </c>
      <c r="B1471" s="16" t="inlineStr">
        <is>
          <t>SPICEJET</t>
        </is>
      </c>
      <c r="C1471" s="16" t="inlineStr">
        <is>
          <t>Spicejet Ltd.</t>
        </is>
      </c>
      <c r="D1471" s="16" t="inlineStr">
        <is>
          <t>Airlines</t>
        </is>
      </c>
      <c r="E1471" s="16" t="inlineStr">
        <is>
          <t>Transportation</t>
        </is>
      </c>
      <c r="F1471" s="17" t="n">
        <v>1247.08</v>
      </c>
      <c r="G1471" s="16" t="inlineStr"/>
      <c r="H1471" s="16" t="inlineStr">
        <is>
          <t>500285</t>
        </is>
      </c>
      <c r="I1471" s="27">
        <f>IFERROR(IF(INDEX(Stocks!$G$2:$G$2139,MATCH(A1471,Stocks!$E$2:$E$2139,0))="","No","Yes"),"No")</f>
        <v/>
      </c>
    </row>
    <row r="1472">
      <c r="A1472" s="16" t="inlineStr">
        <is>
          <t>INE405C01035</t>
        </is>
      </c>
      <c r="B1472" s="16" t="inlineStr">
        <is>
          <t>LINCOLN</t>
        </is>
      </c>
      <c r="C1472" s="16" t="inlineStr">
        <is>
          <t>Lincoln Pharmaceuticals Ltd.</t>
        </is>
      </c>
      <c r="D1472" s="16" t="inlineStr">
        <is>
          <t>Pharmaceuticals</t>
        </is>
      </c>
      <c r="E1472" s="16" t="inlineStr">
        <is>
          <t>Pharmaceuticals &amp; Biotechnology</t>
        </is>
      </c>
      <c r="F1472" s="17" t="n">
        <v>1243.44</v>
      </c>
      <c r="G1472" s="16" t="inlineStr">
        <is>
          <t>LINCOLN</t>
        </is>
      </c>
      <c r="H1472" s="16" t="inlineStr">
        <is>
          <t>531633</t>
        </is>
      </c>
      <c r="I1472" s="27">
        <f>IFERROR(IF(INDEX(Stocks!$G$2:$G$2139,MATCH(A1472,Stocks!$E$2:$E$2139,0))="","No","Yes"),"No")</f>
        <v/>
      </c>
    </row>
    <row r="1473">
      <c r="A1473" s="16" t="inlineStr">
        <is>
          <t>INE458B01036</t>
        </is>
      </c>
      <c r="B1473" s="16" t="inlineStr">
        <is>
          <t>BHAGYANGR</t>
        </is>
      </c>
      <c r="C1473" s="16" t="inlineStr">
        <is>
          <t>Bhagyanagar India Ltd.</t>
        </is>
      </c>
      <c r="D1473" s="16" t="inlineStr">
        <is>
          <t>Copper</t>
        </is>
      </c>
      <c r="E1473" s="16" t="inlineStr">
        <is>
          <t>Metals &amp; Mining</t>
        </is>
      </c>
      <c r="F1473" s="17" t="n">
        <v>1240.87</v>
      </c>
      <c r="G1473" s="16" t="inlineStr">
        <is>
          <t>BHAGYANGR</t>
        </is>
      </c>
      <c r="H1473" s="16" t="inlineStr">
        <is>
          <t>512296</t>
        </is>
      </c>
      <c r="I1473" s="27">
        <f>IFERROR(IF(INDEX(Stocks!$G$2:$G$2139,MATCH(A1473,Stocks!$E$2:$E$2139,0))="","No","Yes"),"No")</f>
        <v/>
      </c>
    </row>
    <row r="1474">
      <c r="A1474" s="16" t="inlineStr">
        <is>
          <t>INE497S01012</t>
        </is>
      </c>
      <c r="B1474" s="16" t="inlineStr">
        <is>
          <t>GODAVARIB</t>
        </is>
      </c>
      <c r="C1474" s="16" t="inlineStr">
        <is>
          <t>Godavari Biorefineries Ltd.</t>
        </is>
      </c>
      <c r="D1474" s="16" t="inlineStr">
        <is>
          <t>Specialty Chemicals</t>
        </is>
      </c>
      <c r="E1474" s="16" t="inlineStr">
        <is>
          <t>Chemicals &amp; Petrochemicals</t>
        </is>
      </c>
      <c r="F1474" s="17" t="n">
        <v>1236.92</v>
      </c>
      <c r="G1474" s="16" t="inlineStr">
        <is>
          <t>GODAVARIB</t>
        </is>
      </c>
      <c r="H1474" s="16" t="inlineStr">
        <is>
          <t>544279</t>
        </is>
      </c>
      <c r="I1474" s="27">
        <f>IFERROR(IF(INDEX(Stocks!$G$2:$G$2139,MATCH(A1474,Stocks!$E$2:$E$2139,0))="","No","Yes"),"No")</f>
        <v/>
      </c>
    </row>
    <row r="1475">
      <c r="A1475" s="16" t="inlineStr">
        <is>
          <t>INE563J01010</t>
        </is>
      </c>
      <c r="B1475" s="16" t="inlineStr">
        <is>
          <t>ASTEC</t>
        </is>
      </c>
      <c r="C1475" s="16" t="inlineStr">
        <is>
          <t>Astec Lifesciences Ltd.</t>
        </is>
      </c>
      <c r="D1475" s="16" t="inlineStr">
        <is>
          <t>Agrochemicals</t>
        </is>
      </c>
      <c r="E1475" s="16" t="inlineStr">
        <is>
          <t>Chemicals &amp; Petrochemicals</t>
        </is>
      </c>
      <c r="F1475" s="17" t="n">
        <v>1235.47</v>
      </c>
      <c r="G1475" s="16" t="inlineStr">
        <is>
          <t>ASTEC</t>
        </is>
      </c>
      <c r="H1475" s="16" t="inlineStr">
        <is>
          <t>533138</t>
        </is>
      </c>
      <c r="I1475" s="27">
        <f>IFERROR(IF(INDEX(Stocks!$G$2:$G$2139,MATCH(A1475,Stocks!$E$2:$E$2139,0))="","No","Yes"),"No")</f>
        <v/>
      </c>
    </row>
    <row r="1476">
      <c r="A1476" s="16" t="inlineStr">
        <is>
          <t>INE1SJO01012</t>
        </is>
      </c>
      <c r="B1476" s="16" t="inlineStr">
        <is>
          <t>RAMBHAJO</t>
        </is>
      </c>
      <c r="C1476" s="16" t="inlineStr">
        <is>
          <t>Advit Jewels Ltd.</t>
        </is>
      </c>
      <c r="D1476" s="16" t="inlineStr">
        <is>
          <t>Gems &amp; Jewellery</t>
        </is>
      </c>
      <c r="E1476" s="16" t="inlineStr">
        <is>
          <t>Textiles Apparels &amp; Accessories</t>
        </is>
      </c>
      <c r="F1476" s="17" t="n">
        <v>1230.82</v>
      </c>
      <c r="G1476" s="16" t="inlineStr">
        <is>
          <t>RAMBHAJO</t>
        </is>
      </c>
      <c r="H1476" s="16" t="inlineStr">
        <is>
          <t>544803</t>
        </is>
      </c>
      <c r="I1476" s="27">
        <f>IFERROR(IF(INDEX(Stocks!$G$2:$G$2139,MATCH(A1476,Stocks!$E$2:$E$2139,0))="","No","Yes"),"No")</f>
        <v/>
      </c>
    </row>
    <row r="1477">
      <c r="A1477" s="16" t="inlineStr">
        <is>
          <t>INE533D01032</t>
        </is>
      </c>
      <c r="B1477" s="16" t="inlineStr">
        <is>
          <t>RAJRILTD</t>
        </is>
      </c>
      <c r="C1477" s="16" t="inlineStr">
        <is>
          <t>Raj Rayon Industries Ltd.</t>
        </is>
      </c>
      <c r="D1477" s="16" t="inlineStr">
        <is>
          <t>Textiles</t>
        </is>
      </c>
      <c r="E1477" s="16" t="inlineStr">
        <is>
          <t>Textiles Apparels &amp; Accessories</t>
        </is>
      </c>
      <c r="F1477" s="17" t="n">
        <v>1228.39</v>
      </c>
      <c r="G1477" s="16" t="inlineStr">
        <is>
          <t>RAJRILTD</t>
        </is>
      </c>
      <c r="H1477" s="16" t="inlineStr">
        <is>
          <t>530699</t>
        </is>
      </c>
      <c r="I1477" s="27">
        <f>IFERROR(IF(INDEX(Stocks!$G$2:$G$2139,MATCH(A1477,Stocks!$E$2:$E$2139,0))="","No","Yes"),"No")</f>
        <v/>
      </c>
    </row>
    <row r="1478">
      <c r="A1478" s="16" t="inlineStr">
        <is>
          <t>INE570D01018</t>
        </is>
      </c>
      <c r="B1478" s="16" t="inlineStr">
        <is>
          <t>ARROWGREEN</t>
        </is>
      </c>
      <c r="C1478" s="16" t="inlineStr">
        <is>
          <t>Arrow Greentech Ltd.</t>
        </is>
      </c>
      <c r="D1478" s="16" t="inlineStr">
        <is>
          <t>Plastic Products</t>
        </is>
      </c>
      <c r="E1478" s="16" t="inlineStr">
        <is>
          <t>General Industrials</t>
        </is>
      </c>
      <c r="F1478" s="17" t="n">
        <v>1228.31</v>
      </c>
      <c r="G1478" s="16" t="inlineStr">
        <is>
          <t>ARROWGREEN</t>
        </is>
      </c>
      <c r="H1478" s="16" t="inlineStr">
        <is>
          <t>516064</t>
        </is>
      </c>
      <c r="I1478" s="27">
        <f>IFERROR(IF(INDEX(Stocks!$G$2:$G$2139,MATCH(A1478,Stocks!$E$2:$E$2139,0))="","No","Yes"),"No")</f>
        <v/>
      </c>
    </row>
    <row r="1479">
      <c r="A1479" s="16" t="inlineStr">
        <is>
          <t>INE835G01018</t>
        </is>
      </c>
      <c r="B1479" s="16" t="inlineStr">
        <is>
          <t>ALLDIGI</t>
        </is>
      </c>
      <c r="C1479" s="16" t="inlineStr">
        <is>
          <t>Alldigi Tech Ltd.</t>
        </is>
      </c>
      <c r="D1479" s="16" t="inlineStr">
        <is>
          <t>BPO/KPO</t>
        </is>
      </c>
      <c r="E1479" s="16" t="inlineStr">
        <is>
          <t>Software &amp; Services</t>
        </is>
      </c>
      <c r="F1479" s="17" t="n">
        <v>1227.98</v>
      </c>
      <c r="G1479" s="16" t="inlineStr">
        <is>
          <t>ALLDIGI</t>
        </is>
      </c>
      <c r="H1479" s="16" t="inlineStr">
        <is>
          <t>532633</t>
        </is>
      </c>
      <c r="I1479" s="27">
        <f>IFERROR(IF(INDEX(Stocks!$G$2:$G$2139,MATCH(A1479,Stocks!$E$2:$E$2139,0))="","No","Yes"),"No")</f>
        <v/>
      </c>
    </row>
    <row r="1480">
      <c r="A1480" s="16" t="inlineStr">
        <is>
          <t>INE535D01037</t>
        </is>
      </c>
      <c r="B1480" s="16" t="inlineStr">
        <is>
          <t>ROTO</t>
        </is>
      </c>
      <c r="C1480" s="16" t="inlineStr">
        <is>
          <t>Roto Pumps Ltd.</t>
        </is>
      </c>
      <c r="D1480" s="16" t="inlineStr">
        <is>
          <t>Compressors &amp; Pumps</t>
        </is>
      </c>
      <c r="E1480" s="16" t="inlineStr">
        <is>
          <t>General Industrials</t>
        </is>
      </c>
      <c r="F1480" s="17" t="n">
        <v>1225.46</v>
      </c>
      <c r="G1480" s="16" t="inlineStr">
        <is>
          <t>ROTO</t>
        </is>
      </c>
      <c r="H1480" s="16" t="inlineStr">
        <is>
          <t>517500</t>
        </is>
      </c>
      <c r="I1480" s="27">
        <f>IFERROR(IF(INDEX(Stocks!$G$2:$G$2139,MATCH(A1480,Stocks!$E$2:$E$2139,0))="","No","Yes"),"No")</f>
        <v/>
      </c>
    </row>
    <row r="1481">
      <c r="A1481" s="16" t="inlineStr">
        <is>
          <t>INE0NG701011</t>
        </is>
      </c>
      <c r="B1481" s="16" t="inlineStr">
        <is>
          <t>XTRANET</t>
        </is>
      </c>
      <c r="C1481" s="16" t="inlineStr">
        <is>
          <t>Xtranet Technologies Ltd.</t>
        </is>
      </c>
      <c r="D1481" s="16" t="inlineStr">
        <is>
          <t>IT Consulting &amp; Software</t>
        </is>
      </c>
      <c r="E1481" s="16" t="inlineStr">
        <is>
          <t>Software &amp; Services</t>
        </is>
      </c>
      <c r="F1481" s="17" t="n">
        <v>1224.74</v>
      </c>
      <c r="G1481" s="16" t="inlineStr">
        <is>
          <t>XTRANET</t>
        </is>
      </c>
      <c r="H1481" s="16" t="inlineStr">
        <is>
          <t>544838</t>
        </is>
      </c>
      <c r="I1481" s="27">
        <f>IFERROR(IF(INDEX(Stocks!$G$2:$G$2139,MATCH(A1481,Stocks!$E$2:$E$2139,0))="","No","Yes"),"No")</f>
        <v/>
      </c>
    </row>
    <row r="1482">
      <c r="A1482" s="16" t="inlineStr">
        <is>
          <t>INE828A01016</t>
        </is>
      </c>
      <c r="B1482" s="16" t="inlineStr">
        <is>
          <t>BIL</t>
        </is>
      </c>
      <c r="C1482" s="16" t="inlineStr">
        <is>
          <t>Bhartiya International Ltd.</t>
        </is>
      </c>
      <c r="D1482" s="16" t="inlineStr">
        <is>
          <t>Other Apparels &amp; Accessories</t>
        </is>
      </c>
      <c r="E1482" s="16" t="inlineStr">
        <is>
          <t>Textiles Apparels &amp; Accessories</t>
        </is>
      </c>
      <c r="F1482" s="17" t="n">
        <v>1217.46</v>
      </c>
      <c r="G1482" s="16" t="inlineStr">
        <is>
          <t>BIL</t>
        </is>
      </c>
      <c r="H1482" s="16" t="inlineStr">
        <is>
          <t>526666</t>
        </is>
      </c>
      <c r="I1482" s="27">
        <f>IFERROR(IF(INDEX(Stocks!$G$2:$G$2139,MATCH(A1482,Stocks!$E$2:$E$2139,0))="","No","Yes"),"No")</f>
        <v/>
      </c>
    </row>
    <row r="1483">
      <c r="A1483" s="16" t="inlineStr">
        <is>
          <t>INE963C01033</t>
        </is>
      </c>
      <c r="B1483" s="16" t="inlineStr">
        <is>
          <t>FAZE3Q</t>
        </is>
      </c>
      <c r="C1483" s="16" t="inlineStr">
        <is>
          <t>Faze Three Ltd.</t>
        </is>
      </c>
      <c r="D1483" s="16" t="inlineStr">
        <is>
          <t>Textiles</t>
        </is>
      </c>
      <c r="E1483" s="16" t="inlineStr">
        <is>
          <t>Textiles Apparels &amp; Accessories</t>
        </is>
      </c>
      <c r="F1483" s="17" t="n">
        <v>1215.01</v>
      </c>
      <c r="G1483" s="16" t="inlineStr">
        <is>
          <t>FAZE3Q</t>
        </is>
      </c>
      <c r="H1483" s="16" t="inlineStr">
        <is>
          <t>530079</t>
        </is>
      </c>
      <c r="I1483" s="27">
        <f>IFERROR(IF(INDEX(Stocks!$G$2:$G$2139,MATCH(A1483,Stocks!$E$2:$E$2139,0))="","No","Yes"),"No")</f>
        <v/>
      </c>
    </row>
    <row r="1484">
      <c r="A1484" s="16" t="inlineStr">
        <is>
          <t>INE01GN01025</t>
        </is>
      </c>
      <c r="B1484" s="16" t="inlineStr">
        <is>
          <t>IRISDOREME</t>
        </is>
      </c>
      <c r="C1484" s="16" t="inlineStr">
        <is>
          <t>IRIS Clothings Ltd.</t>
        </is>
      </c>
      <c r="D1484" s="16" t="inlineStr">
        <is>
          <t>Textiles</t>
        </is>
      </c>
      <c r="E1484" s="16" t="inlineStr">
        <is>
          <t>Textiles Apparels &amp; Accessories</t>
        </is>
      </c>
      <c r="F1484" s="17" t="n">
        <v>1210.13</v>
      </c>
      <c r="G1484" s="16" t="inlineStr">
        <is>
          <t>IRISDOREME</t>
        </is>
      </c>
      <c r="H1484" s="16" t="inlineStr"/>
      <c r="I1484" s="27">
        <f>IFERROR(IF(INDEX(Stocks!$G$2:$G$2139,MATCH(A1484,Stocks!$E$2:$E$2139,0))="","No","Yes"),"No")</f>
        <v/>
      </c>
    </row>
    <row r="1485">
      <c r="A1485" s="16" t="inlineStr">
        <is>
          <t>INE073V01015</t>
        </is>
      </c>
      <c r="B1485" s="16" t="inlineStr">
        <is>
          <t>COMSYN</t>
        </is>
      </c>
      <c r="C1485" s="16" t="inlineStr">
        <is>
          <t>Commercial Syn Bags Ltd.</t>
        </is>
      </c>
      <c r="D1485" s="16" t="inlineStr">
        <is>
          <t>Containers &amp; Packaging</t>
        </is>
      </c>
      <c r="E1485" s="16" t="inlineStr">
        <is>
          <t>Commercial Services &amp; Supplies</t>
        </is>
      </c>
      <c r="F1485" s="17" t="n">
        <v>1203.76</v>
      </c>
      <c r="G1485" s="16" t="inlineStr">
        <is>
          <t>COMSYN</t>
        </is>
      </c>
      <c r="H1485" s="16" t="inlineStr">
        <is>
          <t>539986</t>
        </is>
      </c>
      <c r="I1485" s="27">
        <f>IFERROR(IF(INDEX(Stocks!$G$2:$G$2139,MATCH(A1485,Stocks!$E$2:$E$2139,0))="","No","Yes"),"No")</f>
        <v/>
      </c>
    </row>
    <row r="1486">
      <c r="A1486" s="16" t="inlineStr">
        <is>
          <t>INE737G01016</t>
        </is>
      </c>
      <c r="B1486" s="16" t="inlineStr">
        <is>
          <t>HARAFIN</t>
        </is>
      </c>
      <c r="C1486" s="16" t="inlineStr">
        <is>
          <t>Haryana Financial Corporation</t>
        </is>
      </c>
      <c r="D1486" s="16" t="inlineStr">
        <is>
          <t>Financial Institutions</t>
        </is>
      </c>
      <c r="E1486" s="16" t="inlineStr">
        <is>
          <t>Banking and Finance</t>
        </is>
      </c>
      <c r="F1486" s="17" t="n">
        <v>1203.38</v>
      </c>
      <c r="G1486" s="16" t="inlineStr"/>
      <c r="H1486" s="16" t="inlineStr">
        <is>
          <t>530927</t>
        </is>
      </c>
      <c r="I1486" s="27">
        <f>IFERROR(IF(INDEX(Stocks!$G$2:$G$2139,MATCH(A1486,Stocks!$E$2:$E$2139,0))="","No","Yes"),"No")</f>
        <v/>
      </c>
    </row>
    <row r="1487">
      <c r="A1487" s="16" t="inlineStr">
        <is>
          <t>INE0ORA01015</t>
        </is>
      </c>
      <c r="B1487" s="16" t="inlineStr">
        <is>
          <t>COSMICCRF</t>
        </is>
      </c>
      <c r="C1487" s="16" t="inlineStr">
        <is>
          <t>Cosmic CRF Ltd.</t>
        </is>
      </c>
      <c r="D1487" s="16" t="inlineStr">
        <is>
          <t>Iron &amp; Steel Products</t>
        </is>
      </c>
      <c r="E1487" s="16" t="inlineStr">
        <is>
          <t>Metals &amp; Mining</t>
        </is>
      </c>
      <c r="F1487" s="17" t="n">
        <v>1198.71</v>
      </c>
      <c r="G1487" s="16" t="inlineStr"/>
      <c r="H1487" s="16" t="inlineStr">
        <is>
          <t>543928</t>
        </is>
      </c>
      <c r="I1487" s="27">
        <f>IFERROR(IF(INDEX(Stocks!$G$2:$G$2139,MATCH(A1487,Stocks!$E$2:$E$2139,0))="","No","Yes"),"No")</f>
        <v/>
      </c>
    </row>
    <row r="1488">
      <c r="A1488" s="16" t="inlineStr">
        <is>
          <t>INE184H01027</t>
        </is>
      </c>
      <c r="B1488" s="16" t="inlineStr">
        <is>
          <t>EKC</t>
        </is>
      </c>
      <c r="C1488" s="16" t="inlineStr">
        <is>
          <t>Everest Kanto Cylinder Ltd.</t>
        </is>
      </c>
      <c r="D1488" s="16" t="inlineStr">
        <is>
          <t>Other Industrial Products</t>
        </is>
      </c>
      <c r="E1488" s="16" t="inlineStr">
        <is>
          <t>General Industrials</t>
        </is>
      </c>
      <c r="F1488" s="17" t="n">
        <v>1194.11</v>
      </c>
      <c r="G1488" s="16" t="inlineStr">
        <is>
          <t>EKC</t>
        </is>
      </c>
      <c r="H1488" s="16" t="inlineStr">
        <is>
          <t>532684</t>
        </is>
      </c>
      <c r="I1488" s="27">
        <f>IFERROR(IF(INDEX(Stocks!$G$2:$G$2139,MATCH(A1488,Stocks!$E$2:$E$2139,0))="","No","Yes"),"No")</f>
        <v/>
      </c>
    </row>
    <row r="1489">
      <c r="A1489" s="16" t="inlineStr">
        <is>
          <t>INE148A01019</t>
        </is>
      </c>
      <c r="B1489" s="16" t="inlineStr">
        <is>
          <t>TNPETRO</t>
        </is>
      </c>
      <c r="C1489" s="16" t="inlineStr">
        <is>
          <t>Tamilnadu Petroproducts Ltd.</t>
        </is>
      </c>
      <c r="D1489" s="16" t="inlineStr">
        <is>
          <t>Commodity Chemicals</t>
        </is>
      </c>
      <c r="E1489" s="16" t="inlineStr">
        <is>
          <t>Chemicals &amp; Petrochemicals</t>
        </is>
      </c>
      <c r="F1489" s="17" t="n">
        <v>1193.92</v>
      </c>
      <c r="G1489" s="16" t="inlineStr">
        <is>
          <t>TNPETRO</t>
        </is>
      </c>
      <c r="H1489" s="16" t="inlineStr">
        <is>
          <t>500777</t>
        </is>
      </c>
      <c r="I1489" s="27">
        <f>IFERROR(IF(INDEX(Stocks!$G$2:$G$2139,MATCH(A1489,Stocks!$E$2:$E$2139,0))="","No","Yes"),"No")</f>
        <v/>
      </c>
    </row>
    <row r="1490">
      <c r="A1490" s="16" t="inlineStr">
        <is>
          <t>INE258R01028</t>
        </is>
      </c>
      <c r="B1490" s="16" t="inlineStr">
        <is>
          <t>PANORAMA</t>
        </is>
      </c>
      <c r="C1490" s="16" t="inlineStr">
        <is>
          <t>Panorama Studios International Ltd.</t>
        </is>
      </c>
      <c r="D1490" s="16" t="inlineStr">
        <is>
          <t>Movies &amp; Entertainment</t>
        </is>
      </c>
      <c r="E1490" s="16" t="inlineStr">
        <is>
          <t>Media</t>
        </is>
      </c>
      <c r="F1490" s="17" t="n">
        <v>1191.27</v>
      </c>
      <c r="G1490" s="16" t="inlineStr"/>
      <c r="H1490" s="16" t="inlineStr">
        <is>
          <t>539469</t>
        </is>
      </c>
      <c r="I1490" s="27">
        <f>IFERROR(IF(INDEX(Stocks!$G$2:$G$2139,MATCH(A1490,Stocks!$E$2:$E$2139,0))="","No","Yes"),"No")</f>
        <v/>
      </c>
    </row>
    <row r="1491">
      <c r="A1491" s="16" t="inlineStr">
        <is>
          <t>INE950M01013</t>
        </is>
      </c>
      <c r="B1491" s="16" t="inlineStr">
        <is>
          <t>MONTECARLO</t>
        </is>
      </c>
      <c r="C1491" s="16" t="inlineStr">
        <is>
          <t>Monte Carlo Fashions Ltd.</t>
        </is>
      </c>
      <c r="D1491" s="16" t="inlineStr">
        <is>
          <t>Other Apparels &amp; Accessories</t>
        </is>
      </c>
      <c r="E1491" s="16" t="inlineStr">
        <is>
          <t>Textiles Apparels &amp; Accessories</t>
        </is>
      </c>
      <c r="F1491" s="17" t="n">
        <v>1191.06</v>
      </c>
      <c r="G1491" s="16" t="inlineStr">
        <is>
          <t>MONTECARLO</t>
        </is>
      </c>
      <c r="H1491" s="16" t="inlineStr">
        <is>
          <t>538836</t>
        </is>
      </c>
      <c r="I1491" s="27">
        <f>IFERROR(IF(INDEX(Stocks!$G$2:$G$2139,MATCH(A1491,Stocks!$E$2:$E$2139,0))="","No","Yes"),"No")</f>
        <v/>
      </c>
    </row>
    <row r="1492">
      <c r="A1492" s="16" t="inlineStr">
        <is>
          <t>INE197A01024</t>
        </is>
      </c>
      <c r="B1492" s="16" t="inlineStr">
        <is>
          <t>JYOTISTRUC</t>
        </is>
      </c>
      <c r="C1492" s="16" t="inlineStr">
        <is>
          <t>Jyoti Structures Ltd.</t>
        </is>
      </c>
      <c r="D1492" s="16" t="inlineStr">
        <is>
          <t>Construction &amp; Engineering</t>
        </is>
      </c>
      <c r="E1492" s="16" t="inlineStr">
        <is>
          <t>Cement and Construction</t>
        </is>
      </c>
      <c r="F1492" s="17" t="n">
        <v>1190.82</v>
      </c>
      <c r="G1492" s="16" t="inlineStr">
        <is>
          <t>JYOTISTRUC</t>
        </is>
      </c>
      <c r="H1492" s="16" t="inlineStr">
        <is>
          <t>513250</t>
        </is>
      </c>
      <c r="I1492" s="27">
        <f>IFERROR(IF(INDEX(Stocks!$G$2:$G$2139,MATCH(A1492,Stocks!$E$2:$E$2139,0))="","No","Yes"),"No")</f>
        <v/>
      </c>
    </row>
    <row r="1493">
      <c r="A1493" s="16" t="inlineStr">
        <is>
          <t>INE284B01028</t>
        </is>
      </c>
      <c r="B1493" s="16" t="inlineStr">
        <is>
          <t>TGVSL</t>
        </is>
      </c>
      <c r="C1493" s="16" t="inlineStr">
        <is>
          <t>TGV SRAAC Ltd.</t>
        </is>
      </c>
      <c r="D1493" s="16" t="inlineStr">
        <is>
          <t>Commodity Chemicals</t>
        </is>
      </c>
      <c r="E1493" s="16" t="inlineStr">
        <is>
          <t>Chemicals &amp; Petrochemicals</t>
        </is>
      </c>
      <c r="F1493" s="17" t="n">
        <v>1179.06</v>
      </c>
      <c r="G1493" s="16" t="inlineStr"/>
      <c r="H1493" s="16" t="inlineStr">
        <is>
          <t>507753</t>
        </is>
      </c>
      <c r="I1493" s="27">
        <f>IFERROR(IF(INDEX(Stocks!$G$2:$G$2139,MATCH(A1493,Stocks!$E$2:$E$2139,0))="","No","Yes"),"No")</f>
        <v/>
      </c>
    </row>
    <row r="1494">
      <c r="A1494" s="16" t="inlineStr">
        <is>
          <t>INE484I01029</t>
        </is>
      </c>
      <c r="B1494" s="16" t="inlineStr">
        <is>
          <t>PRECAM</t>
        </is>
      </c>
      <c r="C1494" s="16" t="inlineStr">
        <is>
          <t>Precision Camshafts Ltd.</t>
        </is>
      </c>
      <c r="D1494" s="16" t="inlineStr">
        <is>
          <t>Auto Parts &amp; Equipment</t>
        </is>
      </c>
      <c r="E1494" s="16" t="inlineStr">
        <is>
          <t>Automobiles &amp; Auto Components</t>
        </is>
      </c>
      <c r="F1494" s="17" t="n">
        <v>1178.01</v>
      </c>
      <c r="G1494" s="16" t="inlineStr">
        <is>
          <t>PRECAM</t>
        </is>
      </c>
      <c r="H1494" s="16" t="inlineStr">
        <is>
          <t>539636</t>
        </is>
      </c>
      <c r="I1494" s="27">
        <f>IFERROR(IF(INDEX(Stocks!$G$2:$G$2139,MATCH(A1494,Stocks!$E$2:$E$2139,0))="","No","Yes"),"No")</f>
        <v/>
      </c>
    </row>
    <row r="1495">
      <c r="A1495" s="16" t="inlineStr">
        <is>
          <t>INE658G01014</t>
        </is>
      </c>
      <c r="B1495" s="16" t="inlineStr">
        <is>
          <t>SALSTEEL</t>
        </is>
      </c>
      <c r="C1495" s="16" t="inlineStr">
        <is>
          <t>SAL Steel Ltd.</t>
        </is>
      </c>
      <c r="D1495" s="16" t="inlineStr">
        <is>
          <t>Iron &amp; Steel/Interm.Products</t>
        </is>
      </c>
      <c r="E1495" s="16" t="inlineStr">
        <is>
          <t>Metals &amp; Mining</t>
        </is>
      </c>
      <c r="F1495" s="17" t="n">
        <v>1177.97</v>
      </c>
      <c r="G1495" s="16" t="inlineStr">
        <is>
          <t>SALSTEEL</t>
        </is>
      </c>
      <c r="H1495" s="16" t="inlineStr">
        <is>
          <t>532604</t>
        </is>
      </c>
      <c r="I1495" s="27">
        <f>IFERROR(IF(INDEX(Stocks!$G$2:$G$2139,MATCH(A1495,Stocks!$E$2:$E$2139,0))="","No","Yes"),"No")</f>
        <v/>
      </c>
    </row>
    <row r="1496">
      <c r="A1496" s="16" t="inlineStr">
        <is>
          <t>INE02L001032</t>
        </is>
      </c>
      <c r="B1496" s="16" t="inlineStr">
        <is>
          <t>BOROSCI</t>
        </is>
      </c>
      <c r="C1496" s="16" t="inlineStr">
        <is>
          <t>Borosil Scientific Ltd.</t>
        </is>
      </c>
      <c r="D1496" s="16" t="inlineStr">
        <is>
          <t>Containers &amp; Packaging</t>
        </is>
      </c>
      <c r="E1496" s="16" t="inlineStr">
        <is>
          <t>Commercial Services &amp; Supplies</t>
        </is>
      </c>
      <c r="F1496" s="17" t="n">
        <v>1175.58</v>
      </c>
      <c r="G1496" s="16" t="inlineStr">
        <is>
          <t>BOROSCI</t>
        </is>
      </c>
      <c r="H1496" s="16" t="inlineStr">
        <is>
          <t>544184</t>
        </is>
      </c>
      <c r="I1496" s="27">
        <f>IFERROR(IF(INDEX(Stocks!$G$2:$G$2139,MATCH(A1496,Stocks!$E$2:$E$2139,0))="","No","Yes"),"No")</f>
        <v/>
      </c>
    </row>
    <row r="1497">
      <c r="A1497" s="16" t="inlineStr">
        <is>
          <t>INE346W01013</t>
        </is>
      </c>
      <c r="B1497" s="16" t="inlineStr">
        <is>
          <t>APEX</t>
        </is>
      </c>
      <c r="C1497" s="16" t="inlineStr">
        <is>
          <t>Apex Frozen Foods Ltd.</t>
        </is>
      </c>
      <c r="D1497" s="16" t="inlineStr">
        <is>
          <t>Other Food &amp; Beverages</t>
        </is>
      </c>
      <c r="E1497" s="16" t="inlineStr">
        <is>
          <t>Food, Beverages &amp; Tobacco</t>
        </is>
      </c>
      <c r="F1497" s="17" t="n">
        <v>1172.34</v>
      </c>
      <c r="G1497" s="16" t="inlineStr">
        <is>
          <t>APEX</t>
        </is>
      </c>
      <c r="H1497" s="16" t="inlineStr">
        <is>
          <t>540692</t>
        </is>
      </c>
      <c r="I1497" s="27">
        <f>IFERROR(IF(INDEX(Stocks!$G$2:$G$2139,MATCH(A1497,Stocks!$E$2:$E$2139,0))="","No","Yes"),"No")</f>
        <v/>
      </c>
    </row>
    <row r="1498">
      <c r="A1498" s="16" t="inlineStr">
        <is>
          <t>INE0XBS01012</t>
        </is>
      </c>
      <c r="B1498" s="16" t="inlineStr">
        <is>
          <t>AIRFLOA</t>
        </is>
      </c>
      <c r="C1498" s="16" t="inlineStr">
        <is>
          <t>Airfloa Rail Technology Ltd.</t>
        </is>
      </c>
      <c r="D1498" s="16" t="inlineStr">
        <is>
          <t>Auto Parts &amp; Equipment</t>
        </is>
      </c>
      <c r="E1498" s="16" t="inlineStr">
        <is>
          <t>Automobiles &amp; Auto Components</t>
        </is>
      </c>
      <c r="F1498" s="17" t="n">
        <v>1167.82</v>
      </c>
      <c r="G1498" s="16" t="inlineStr"/>
      <c r="H1498" s="16" t="inlineStr">
        <is>
          <t>544516</t>
        </is>
      </c>
      <c r="I1498" s="27">
        <f>IFERROR(IF(INDEX(Stocks!$G$2:$G$2139,MATCH(A1498,Stocks!$E$2:$E$2139,0))="","No","Yes"),"No")</f>
        <v/>
      </c>
    </row>
    <row r="1499">
      <c r="A1499" s="16" t="inlineStr">
        <is>
          <t>INE520Y01019</t>
        </is>
      </c>
      <c r="B1499" s="16" t="inlineStr">
        <is>
          <t>ICEMAKE</t>
        </is>
      </c>
      <c r="C1499" s="16" t="inlineStr">
        <is>
          <t>ICE Make Refrigeration Ltd.</t>
        </is>
      </c>
      <c r="D1499" s="16" t="inlineStr">
        <is>
          <t>Industrial Machinery</t>
        </is>
      </c>
      <c r="E1499" s="16" t="inlineStr">
        <is>
          <t>General Industrials</t>
        </is>
      </c>
      <c r="F1499" s="17" t="n">
        <v>1165.49</v>
      </c>
      <c r="G1499" s="16" t="inlineStr">
        <is>
          <t>ICEMAKE</t>
        </is>
      </c>
      <c r="H1499" s="16" t="inlineStr"/>
      <c r="I1499" s="27">
        <f>IFERROR(IF(INDEX(Stocks!$G$2:$G$2139,MATCH(A1499,Stocks!$E$2:$E$2139,0))="","No","Yes"),"No")</f>
        <v/>
      </c>
    </row>
    <row r="1500">
      <c r="A1500" s="16" t="inlineStr">
        <is>
          <t>INE255D01024</t>
        </is>
      </c>
      <c r="B1500" s="16" t="inlineStr">
        <is>
          <t>GULPOLY</t>
        </is>
      </c>
      <c r="C1500" s="16" t="inlineStr">
        <is>
          <t>Gulshan Polyols Ltd.</t>
        </is>
      </c>
      <c r="D1500" s="16" t="inlineStr">
        <is>
          <t>Commodity Chemicals</t>
        </is>
      </c>
      <c r="E1500" s="16" t="inlineStr">
        <is>
          <t>Chemicals &amp; Petrochemicals</t>
        </is>
      </c>
      <c r="F1500" s="17" t="n">
        <v>1160.16</v>
      </c>
      <c r="G1500" s="16" t="inlineStr">
        <is>
          <t>GULPOLY</t>
        </is>
      </c>
      <c r="H1500" s="16" t="inlineStr">
        <is>
          <t>532457</t>
        </is>
      </c>
      <c r="I1500" s="27">
        <f>IFERROR(IF(INDEX(Stocks!$G$2:$G$2139,MATCH(A1500,Stocks!$E$2:$E$2139,0))="","No","Yes"),"No")</f>
        <v/>
      </c>
    </row>
    <row r="1501">
      <c r="A1501" s="16" t="inlineStr">
        <is>
          <t>INE02NC01014</t>
        </is>
      </c>
      <c r="B1501" s="16" t="inlineStr">
        <is>
          <t>FINOPB</t>
        </is>
      </c>
      <c r="C1501" s="16" t="inlineStr">
        <is>
          <t>Fino Payments Bank Ltd.</t>
        </is>
      </c>
      <c r="D1501" s="16" t="inlineStr">
        <is>
          <t>Microfinance Institutions</t>
        </is>
      </c>
      <c r="E1501" s="16" t="inlineStr">
        <is>
          <t>Banking and Finance</t>
        </is>
      </c>
      <c r="F1501" s="17" t="n">
        <v>1159.48</v>
      </c>
      <c r="G1501" s="16" t="inlineStr">
        <is>
          <t>FINOPB</t>
        </is>
      </c>
      <c r="H1501" s="16" t="inlineStr">
        <is>
          <t>543386</t>
        </is>
      </c>
      <c r="I1501" s="27">
        <f>IFERROR(IF(INDEX(Stocks!$G$2:$G$2139,MATCH(A1501,Stocks!$E$2:$E$2139,0))="","No","Yes"),"No")</f>
        <v/>
      </c>
    </row>
    <row r="1502">
      <c r="A1502" s="16" t="inlineStr">
        <is>
          <t>INE701A01023</t>
        </is>
      </c>
      <c r="B1502" s="16" t="inlineStr">
        <is>
          <t>VHL</t>
        </is>
      </c>
      <c r="C1502" s="16" t="inlineStr">
        <is>
          <t>Vardhman Holdings Ltd.</t>
        </is>
      </c>
      <c r="D1502" s="16" t="inlineStr">
        <is>
          <t>Finance (including NBFCs)</t>
        </is>
      </c>
      <c r="E1502" s="16" t="inlineStr">
        <is>
          <t>Banking and Finance</t>
        </is>
      </c>
      <c r="F1502" s="17" t="n">
        <v>1157.37</v>
      </c>
      <c r="G1502" s="16" t="inlineStr">
        <is>
          <t>VHL</t>
        </is>
      </c>
      <c r="H1502" s="16" t="inlineStr">
        <is>
          <t>500439</t>
        </is>
      </c>
      <c r="I1502" s="27">
        <f>IFERROR(IF(INDEX(Stocks!$G$2:$G$2139,MATCH(A1502,Stocks!$E$2:$E$2139,0))="","No","Yes"),"No")</f>
        <v/>
      </c>
    </row>
    <row r="1503">
      <c r="A1503" s="16" t="inlineStr">
        <is>
          <t>INE0DM401012</t>
        </is>
      </c>
      <c r="B1503" s="16" t="inlineStr">
        <is>
          <t>SHRIAHIMSA</t>
        </is>
      </c>
      <c r="C1503" s="16" t="inlineStr">
        <is>
          <t>Shri Ahimsa Naturals Ltd.</t>
        </is>
      </c>
      <c r="D1503" s="16" t="inlineStr">
        <is>
          <t>Tea &amp; Coffee</t>
        </is>
      </c>
      <c r="E1503" s="16" t="inlineStr">
        <is>
          <t>Food, Beverages &amp; Tobacco</t>
        </is>
      </c>
      <c r="F1503" s="17" t="n">
        <v>1155.9</v>
      </c>
      <c r="G1503" s="16" t="inlineStr">
        <is>
          <t>SHRIAHIMSA</t>
        </is>
      </c>
      <c r="H1503" s="16" t="inlineStr"/>
      <c r="I1503" s="27">
        <f>IFERROR(IF(INDEX(Stocks!$G$2:$G$2139,MATCH(A1503,Stocks!$E$2:$E$2139,0))="","No","Yes"),"No")</f>
        <v/>
      </c>
    </row>
    <row r="1504">
      <c r="A1504" s="16" t="inlineStr">
        <is>
          <t>INE07U701015</t>
        </is>
      </c>
      <c r="B1504" s="16" t="inlineStr">
        <is>
          <t>IRMENERGY</t>
        </is>
      </c>
      <c r="C1504" s="16" t="inlineStr">
        <is>
          <t>IRM Energy Ltd.</t>
        </is>
      </c>
      <c r="D1504" s="16" t="inlineStr">
        <is>
          <t>Utilities:Non-Electrical</t>
        </is>
      </c>
      <c r="E1504" s="16" t="inlineStr">
        <is>
          <t>Utilities</t>
        </is>
      </c>
      <c r="F1504" s="17" t="n">
        <v>1155.42</v>
      </c>
      <c r="G1504" s="16" t="inlineStr">
        <is>
          <t>IRMENERGY</t>
        </is>
      </c>
      <c r="H1504" s="16" t="inlineStr">
        <is>
          <t>544004</t>
        </is>
      </c>
      <c r="I1504" s="27">
        <f>IFERROR(IF(INDEX(Stocks!$G$2:$G$2139,MATCH(A1504,Stocks!$E$2:$E$2139,0))="","No","Yes"),"No")</f>
        <v/>
      </c>
    </row>
    <row r="1505">
      <c r="A1505" s="16" t="inlineStr">
        <is>
          <t>INE895B01021</t>
        </is>
      </c>
      <c r="B1505" s="16" t="inlineStr">
        <is>
          <t>RUPA</t>
        </is>
      </c>
      <c r="C1505" s="16" t="inlineStr">
        <is>
          <t>Rupa &amp; Company Ltd.</t>
        </is>
      </c>
      <c r="D1505" s="16" t="inlineStr">
        <is>
          <t>Other Apparels &amp; Accessories</t>
        </is>
      </c>
      <c r="E1505" s="16" t="inlineStr">
        <is>
          <t>Textiles Apparels &amp; Accessories</t>
        </is>
      </c>
      <c r="F1505" s="17" t="n">
        <v>1149.05</v>
      </c>
      <c r="G1505" s="16" t="inlineStr">
        <is>
          <t>RUPA</t>
        </is>
      </c>
      <c r="H1505" s="16" t="inlineStr">
        <is>
          <t>533552</t>
        </is>
      </c>
      <c r="I1505" s="27">
        <f>IFERROR(IF(INDEX(Stocks!$G$2:$G$2139,MATCH(A1505,Stocks!$E$2:$E$2139,0))="","No","Yes"),"No")</f>
        <v/>
      </c>
    </row>
    <row r="1506">
      <c r="A1506" s="16" t="inlineStr">
        <is>
          <t>INE374E01021</t>
        </is>
      </c>
      <c r="B1506" s="16" t="inlineStr">
        <is>
          <t>BMW</t>
        </is>
      </c>
      <c r="C1506" s="16" t="inlineStr">
        <is>
          <t>BMW Industries Ltd.</t>
        </is>
      </c>
      <c r="D1506" s="16" t="inlineStr">
        <is>
          <t>Iron &amp; Steel Products</t>
        </is>
      </c>
      <c r="E1506" s="16" t="inlineStr">
        <is>
          <t>Metals &amp; Mining</t>
        </is>
      </c>
      <c r="F1506" s="17" t="n">
        <v>1147.49</v>
      </c>
      <c r="G1506" s="16" t="inlineStr"/>
      <c r="H1506" s="16" t="inlineStr">
        <is>
          <t>542669</t>
        </is>
      </c>
      <c r="I1506" s="27">
        <f>IFERROR(IF(INDEX(Stocks!$G$2:$G$2139,MATCH(A1506,Stocks!$E$2:$E$2139,0))="","No","Yes"),"No")</f>
        <v/>
      </c>
    </row>
    <row r="1507">
      <c r="A1507" s="16" t="inlineStr">
        <is>
          <t>INE701G01012</t>
        </is>
      </c>
      <c r="B1507" s="16" t="inlineStr">
        <is>
          <t>AKCAPIT</t>
        </is>
      </c>
      <c r="C1507" s="16" t="inlineStr">
        <is>
          <t>AK Capital Services Ltd.</t>
        </is>
      </c>
      <c r="D1507" s="16" t="inlineStr">
        <is>
          <t>Finance (including NBFCs)</t>
        </is>
      </c>
      <c r="E1507" s="16" t="inlineStr">
        <is>
          <t>Banking and Finance</t>
        </is>
      </c>
      <c r="F1507" s="17" t="n">
        <v>1146.35</v>
      </c>
      <c r="G1507" s="16" t="inlineStr"/>
      <c r="H1507" s="16" t="inlineStr">
        <is>
          <t>530499</t>
        </is>
      </c>
      <c r="I1507" s="27">
        <f>IFERROR(IF(INDEX(Stocks!$G$2:$G$2139,MATCH(A1507,Stocks!$E$2:$E$2139,0))="","No","Yes"),"No")</f>
        <v/>
      </c>
    </row>
    <row r="1508">
      <c r="A1508" s="16" t="inlineStr">
        <is>
          <t>INE0JYY01029</t>
        </is>
      </c>
      <c r="B1508" s="16" t="inlineStr">
        <is>
          <t>MWL</t>
        </is>
      </c>
      <c r="C1508" s="16" t="inlineStr">
        <is>
          <t>Mangalam Worldwide Ltd.</t>
        </is>
      </c>
      <c r="D1508" s="16" t="inlineStr">
        <is>
          <t>Iron &amp; Steel Products</t>
        </is>
      </c>
      <c r="E1508" s="16" t="inlineStr">
        <is>
          <t>Metals &amp; Mining</t>
        </is>
      </c>
      <c r="F1508" s="17" t="n">
        <v>1145.26</v>
      </c>
      <c r="G1508" s="16" t="inlineStr">
        <is>
          <t>MWL</t>
        </is>
      </c>
      <c r="H1508" s="16" t="inlineStr">
        <is>
          <t>544764</t>
        </is>
      </c>
      <c r="I1508" s="27">
        <f>IFERROR(IF(INDEX(Stocks!$G$2:$G$2139,MATCH(A1508,Stocks!$E$2:$E$2139,0))="","No","Yes"),"No")</f>
        <v/>
      </c>
    </row>
    <row r="1509">
      <c r="A1509" s="16" t="inlineStr">
        <is>
          <t>INE0PRF01011</t>
        </is>
      </c>
      <c r="B1509" s="16" t="inlineStr">
        <is>
          <t>UNIHEALTH</t>
        </is>
      </c>
      <c r="C1509" s="16" t="inlineStr">
        <is>
          <t>Unihealth Hospitals Ltd.</t>
        </is>
      </c>
      <c r="D1509" s="16" t="inlineStr">
        <is>
          <t>Healthcare Services</t>
        </is>
      </c>
      <c r="E1509" s="16" t="inlineStr">
        <is>
          <t>Diversified Consumer Services</t>
        </is>
      </c>
      <c r="F1509" s="17" t="n">
        <v>1143.92</v>
      </c>
      <c r="G1509" s="16" t="inlineStr">
        <is>
          <t>UNIHEALTH</t>
        </is>
      </c>
      <c r="H1509" s="16" t="inlineStr"/>
      <c r="I1509" s="27">
        <f>IFERROR(IF(INDEX(Stocks!$G$2:$G$2139,MATCH(A1509,Stocks!$E$2:$E$2139,0))="","No","Yes"),"No")</f>
        <v/>
      </c>
    </row>
    <row r="1510">
      <c r="A1510" s="16" t="inlineStr">
        <is>
          <t>INE072A01029</t>
        </is>
      </c>
      <c r="B1510" s="16" t="inlineStr">
        <is>
          <t>INDIAHOMES</t>
        </is>
      </c>
      <c r="C1510" s="16" t="inlineStr">
        <is>
          <t>India Homes Ltd.</t>
        </is>
      </c>
      <c r="D1510" s="16" t="inlineStr">
        <is>
          <t>Iron &amp; Steel/Interm.Products</t>
        </is>
      </c>
      <c r="E1510" s="16" t="inlineStr">
        <is>
          <t>Metals &amp; Mining</t>
        </is>
      </c>
      <c r="F1510" s="17" t="n">
        <v>1143.29</v>
      </c>
      <c r="G1510" s="16" t="inlineStr"/>
      <c r="H1510" s="16" t="inlineStr">
        <is>
          <t>513361</t>
        </is>
      </c>
      <c r="I1510" s="27">
        <f>IFERROR(IF(INDEX(Stocks!$G$2:$G$2139,MATCH(A1510,Stocks!$E$2:$E$2139,0))="","No","Yes"),"No")</f>
        <v/>
      </c>
    </row>
    <row r="1511">
      <c r="A1511" s="16" t="inlineStr">
        <is>
          <t>INE794B01026</t>
        </is>
      </c>
      <c r="B1511" s="16" t="inlineStr">
        <is>
          <t>BALAJITELE</t>
        </is>
      </c>
      <c r="C1511" s="16" t="inlineStr">
        <is>
          <t>Balaji Telefilms Ltd.</t>
        </is>
      </c>
      <c r="D1511" s="16" t="inlineStr">
        <is>
          <t>Broadcasting &amp; Cable TV</t>
        </is>
      </c>
      <c r="E1511" s="16" t="inlineStr">
        <is>
          <t>Media</t>
        </is>
      </c>
      <c r="F1511" s="17" t="n">
        <v>1135.76</v>
      </c>
      <c r="G1511" s="16" t="inlineStr">
        <is>
          <t>BALAJITELE</t>
        </is>
      </c>
      <c r="H1511" s="16" t="inlineStr">
        <is>
          <t>532382</t>
        </is>
      </c>
      <c r="I1511" s="27">
        <f>IFERROR(IF(INDEX(Stocks!$G$2:$G$2139,MATCH(A1511,Stocks!$E$2:$E$2139,0))="","No","Yes"),"No")</f>
        <v/>
      </c>
    </row>
    <row r="1512">
      <c r="A1512" s="16" t="inlineStr">
        <is>
          <t>INE671K01027</t>
        </is>
      </c>
      <c r="B1512" s="16" t="inlineStr">
        <is>
          <t>SUNRAKSHAK</t>
        </is>
      </c>
      <c r="C1512" s="16" t="inlineStr">
        <is>
          <t>SunRakshakk Industries India Ltd.</t>
        </is>
      </c>
      <c r="D1512" s="16" t="inlineStr">
        <is>
          <t>Textiles</t>
        </is>
      </c>
      <c r="E1512" s="16" t="inlineStr">
        <is>
          <t>Textiles Apparels &amp; Accessories</t>
        </is>
      </c>
      <c r="F1512" s="17" t="n">
        <v>1135.31</v>
      </c>
      <c r="G1512" s="16" t="inlineStr"/>
      <c r="H1512" s="16" t="inlineStr">
        <is>
          <t>539300</t>
        </is>
      </c>
      <c r="I1512" s="27">
        <f>IFERROR(IF(INDEX(Stocks!$G$2:$G$2139,MATCH(A1512,Stocks!$E$2:$E$2139,0))="","No","Yes"),"No")</f>
        <v/>
      </c>
    </row>
    <row r="1513">
      <c r="A1513" s="16" t="inlineStr">
        <is>
          <t>INE0OLH01013</t>
        </is>
      </c>
      <c r="B1513" s="16" t="inlineStr">
        <is>
          <t>ROBU</t>
        </is>
      </c>
      <c r="C1513" s="16" t="inlineStr">
        <is>
          <t>Macfos Ltd.</t>
        </is>
      </c>
      <c r="D1513" s="16" t="inlineStr">
        <is>
          <t>Internet Software &amp; Services</t>
        </is>
      </c>
      <c r="E1513" s="16" t="inlineStr">
        <is>
          <t>Software &amp; Services</t>
        </is>
      </c>
      <c r="F1513" s="17" t="n">
        <v>1134.36</v>
      </c>
      <c r="G1513" s="16" t="inlineStr"/>
      <c r="H1513" s="16" t="inlineStr">
        <is>
          <t>543787</t>
        </is>
      </c>
      <c r="I1513" s="27">
        <f>IFERROR(IF(INDEX(Stocks!$G$2:$G$2139,MATCH(A1513,Stocks!$E$2:$E$2139,0))="","No","Yes"),"No")</f>
        <v/>
      </c>
    </row>
    <row r="1514">
      <c r="A1514" s="16" t="inlineStr">
        <is>
          <t>INE046A01015</t>
        </is>
      </c>
      <c r="B1514" s="16" t="inlineStr">
        <is>
          <t>RIIL</t>
        </is>
      </c>
      <c r="C1514" s="16" t="inlineStr">
        <is>
          <t>Reliance Industrial InfraStructure Ltd.</t>
        </is>
      </c>
      <c r="D1514" s="16" t="inlineStr">
        <is>
          <t>Construction &amp; Engineering</t>
        </is>
      </c>
      <c r="E1514" s="16" t="inlineStr">
        <is>
          <t>Cement and Construction</t>
        </is>
      </c>
      <c r="F1514" s="17" t="n">
        <v>1133.93</v>
      </c>
      <c r="G1514" s="16" t="inlineStr">
        <is>
          <t>RIIL</t>
        </is>
      </c>
      <c r="H1514" s="16" t="inlineStr">
        <is>
          <t>523445</t>
        </is>
      </c>
      <c r="I1514" s="27">
        <f>IFERROR(IF(INDEX(Stocks!$G$2:$G$2139,MATCH(A1514,Stocks!$E$2:$E$2139,0))="","No","Yes"),"No")</f>
        <v/>
      </c>
    </row>
    <row r="1515">
      <c r="A1515" s="16" t="inlineStr">
        <is>
          <t>INE869Y01028</t>
        </is>
      </c>
      <c r="B1515" s="16" t="inlineStr">
        <is>
          <t>TEMBO</t>
        </is>
      </c>
      <c r="C1515" s="16" t="inlineStr">
        <is>
          <t>Tembo Global Industries Ltd.</t>
        </is>
      </c>
      <c r="D1515" s="16" t="inlineStr">
        <is>
          <t>Iron &amp; Steel Products</t>
        </is>
      </c>
      <c r="E1515" s="16" t="inlineStr">
        <is>
          <t>Metals &amp; Mining</t>
        </is>
      </c>
      <c r="F1515" s="17" t="n">
        <v>1131.7</v>
      </c>
      <c r="G1515" s="16" t="inlineStr">
        <is>
          <t>TEMBO</t>
        </is>
      </c>
      <c r="H1515" s="16" t="inlineStr"/>
      <c r="I1515" s="27">
        <f>IFERROR(IF(INDEX(Stocks!$G$2:$G$2139,MATCH(A1515,Stocks!$E$2:$E$2139,0))="","No","Yes"),"No")</f>
        <v/>
      </c>
    </row>
    <row r="1516">
      <c r="A1516" s="16" t="inlineStr">
        <is>
          <t>INE866K01023</t>
        </is>
      </c>
      <c r="B1516" s="16" t="inlineStr">
        <is>
          <t>WAAREEINDO</t>
        </is>
      </c>
      <c r="C1516" s="16" t="inlineStr">
        <is>
          <t>Indosolar Ltd.</t>
        </is>
      </c>
      <c r="D1516" s="16" t="inlineStr">
        <is>
          <t>Other Electrical Equipment/Products</t>
        </is>
      </c>
      <c r="E1516" s="16" t="inlineStr">
        <is>
          <t>Consumer Durables</t>
        </is>
      </c>
      <c r="F1516" s="17" t="n">
        <v>1131.62</v>
      </c>
      <c r="G1516" s="16" t="inlineStr">
        <is>
          <t>WAAREEINDO</t>
        </is>
      </c>
      <c r="H1516" s="16" t="inlineStr">
        <is>
          <t>533257</t>
        </is>
      </c>
      <c r="I1516" s="27">
        <f>IFERROR(IF(INDEX(Stocks!$G$2:$G$2139,MATCH(A1516,Stocks!$E$2:$E$2139,0))="","No","Yes"),"No")</f>
        <v/>
      </c>
    </row>
    <row r="1517">
      <c r="A1517" s="16" t="inlineStr">
        <is>
          <t>INE800A01015</t>
        </is>
      </c>
      <c r="B1517" s="16" t="inlineStr">
        <is>
          <t>BIRLACABLE</t>
        </is>
      </c>
      <c r="C1517" s="16" t="inlineStr">
        <is>
          <t>Birla Cable Ltd.</t>
        </is>
      </c>
      <c r="D1517" s="16" t="inlineStr">
        <is>
          <t>Telecom Cables</t>
        </is>
      </c>
      <c r="E1517" s="16" t="inlineStr">
        <is>
          <t>Telecommunications Equipment</t>
        </is>
      </c>
      <c r="F1517" s="17" t="n">
        <v>1129.65</v>
      </c>
      <c r="G1517" s="16" t="inlineStr">
        <is>
          <t>BIRLACABLE</t>
        </is>
      </c>
      <c r="H1517" s="16" t="inlineStr">
        <is>
          <t>500060</t>
        </is>
      </c>
      <c r="I1517" s="27">
        <f>IFERROR(IF(INDEX(Stocks!$G$2:$G$2139,MATCH(A1517,Stocks!$E$2:$E$2139,0))="","No","Yes"),"No")</f>
        <v/>
      </c>
    </row>
    <row r="1518">
      <c r="A1518" s="16" t="inlineStr">
        <is>
          <t>INE062D01024</t>
        </is>
      </c>
      <c r="B1518" s="16" t="inlineStr">
        <is>
          <t>ALICON</t>
        </is>
      </c>
      <c r="C1518" s="16" t="inlineStr">
        <is>
          <t>Alicon Castalloy Ltd.</t>
        </is>
      </c>
      <c r="D1518" s="16" t="inlineStr">
        <is>
          <t>Auto Parts &amp; Equipment</t>
        </is>
      </c>
      <c r="E1518" s="16" t="inlineStr">
        <is>
          <t>Automobiles &amp; Auto Components</t>
        </is>
      </c>
      <c r="F1518" s="17" t="n">
        <v>1122.9</v>
      </c>
      <c r="G1518" s="16" t="inlineStr">
        <is>
          <t>ALICON</t>
        </is>
      </c>
      <c r="H1518" s="16" t="inlineStr">
        <is>
          <t>531147</t>
        </is>
      </c>
      <c r="I1518" s="27">
        <f>IFERROR(IF(INDEX(Stocks!$G$2:$G$2139,MATCH(A1518,Stocks!$E$2:$E$2139,0))="","No","Yes"),"No")</f>
        <v/>
      </c>
    </row>
    <row r="1519">
      <c r="A1519" s="16" t="inlineStr">
        <is>
          <t>INE082A01010</t>
        </is>
      </c>
      <c r="B1519" s="16" t="inlineStr">
        <is>
          <t>KOPRAN</t>
        </is>
      </c>
      <c r="C1519" s="16" t="inlineStr">
        <is>
          <t>Kopran Ltd.</t>
        </is>
      </c>
      <c r="D1519" s="16" t="inlineStr">
        <is>
          <t>Pharmaceuticals</t>
        </is>
      </c>
      <c r="E1519" s="16" t="inlineStr">
        <is>
          <t>Pharmaceuticals &amp; Biotechnology</t>
        </is>
      </c>
      <c r="F1519" s="17" t="n">
        <v>1122.83</v>
      </c>
      <c r="G1519" s="16" t="inlineStr">
        <is>
          <t>KOPRAN</t>
        </is>
      </c>
      <c r="H1519" s="16" t="inlineStr">
        <is>
          <t>524280</t>
        </is>
      </c>
      <c r="I1519" s="27">
        <f>IFERROR(IF(INDEX(Stocks!$G$2:$G$2139,MATCH(A1519,Stocks!$E$2:$E$2139,0))="","No","Yes"),"No")</f>
        <v/>
      </c>
    </row>
    <row r="1520">
      <c r="A1520" s="16" t="inlineStr">
        <is>
          <t>INE672B01032</t>
        </is>
      </c>
      <c r="B1520" s="16" t="inlineStr">
        <is>
          <t>MUNJALAU</t>
        </is>
      </c>
      <c r="C1520" s="16" t="inlineStr">
        <is>
          <t>Munjal Auto Industries Ltd.</t>
        </is>
      </c>
      <c r="D1520" s="16" t="inlineStr">
        <is>
          <t>Auto Parts &amp; Equipment</t>
        </is>
      </c>
      <c r="E1520" s="16" t="inlineStr">
        <is>
          <t>Automobiles &amp; Auto Components</t>
        </is>
      </c>
      <c r="F1520" s="17" t="n">
        <v>1122.8</v>
      </c>
      <c r="G1520" s="16" t="inlineStr">
        <is>
          <t>MUNJALAU</t>
        </is>
      </c>
      <c r="H1520" s="16" t="inlineStr">
        <is>
          <t>520059</t>
        </is>
      </c>
      <c r="I1520" s="27">
        <f>IFERROR(IF(INDEX(Stocks!$G$2:$G$2139,MATCH(A1520,Stocks!$E$2:$E$2139,0))="","No","Yes"),"No")</f>
        <v/>
      </c>
    </row>
    <row r="1521">
      <c r="A1521" s="16" t="inlineStr">
        <is>
          <t>INE577L01016</t>
        </is>
      </c>
      <c r="B1521" s="16" t="inlineStr">
        <is>
          <t>STEL</t>
        </is>
      </c>
      <c r="C1521" s="16" t="inlineStr">
        <is>
          <t>STEL Holdings Ltd.</t>
        </is>
      </c>
      <c r="D1521" s="16" t="inlineStr">
        <is>
          <t>Holding Companies</t>
        </is>
      </c>
      <c r="E1521" s="16" t="inlineStr">
        <is>
          <t>Diversified</t>
        </is>
      </c>
      <c r="F1521" s="17" t="n">
        <v>1121.9</v>
      </c>
      <c r="G1521" s="16" t="inlineStr">
        <is>
          <t>STEL</t>
        </is>
      </c>
      <c r="H1521" s="16" t="inlineStr">
        <is>
          <t>533316</t>
        </is>
      </c>
      <c r="I1521" s="27">
        <f>IFERROR(IF(INDEX(Stocks!$G$2:$G$2139,MATCH(A1521,Stocks!$E$2:$E$2139,0))="","No","Yes"),"No")</f>
        <v/>
      </c>
    </row>
    <row r="1522">
      <c r="A1522" s="16" t="inlineStr">
        <is>
          <t>INE0PXC01024</t>
        </is>
      </c>
      <c r="B1522" s="16" t="inlineStr">
        <is>
          <t>ETL</t>
        </is>
      </c>
      <c r="C1522" s="16" t="inlineStr">
        <is>
          <t>Emkay Tools Ltd.</t>
        </is>
      </c>
      <c r="D1522" s="16" t="inlineStr">
        <is>
          <t>Industrial Machinery</t>
        </is>
      </c>
      <c r="E1522" s="16" t="inlineStr">
        <is>
          <t>General Industrials</t>
        </is>
      </c>
      <c r="F1522" s="17" t="n">
        <v>1117.29</v>
      </c>
      <c r="G1522" s="16" t="inlineStr">
        <is>
          <t>ETL</t>
        </is>
      </c>
      <c r="H1522" s="16" t="inlineStr"/>
      <c r="I1522" s="27">
        <f>IFERROR(IF(INDEX(Stocks!$G$2:$G$2139,MATCH(A1522,Stocks!$E$2:$E$2139,0))="","No","Yes"),"No")</f>
        <v/>
      </c>
    </row>
    <row r="1523">
      <c r="A1523" s="16" t="inlineStr">
        <is>
          <t>INE295F01017</t>
        </is>
      </c>
      <c r="B1523" s="16" t="inlineStr">
        <is>
          <t>BUTTERFLY</t>
        </is>
      </c>
      <c r="C1523" s="16" t="inlineStr">
        <is>
          <t>Butterfly Gandhimathi Appliances Ltd.</t>
        </is>
      </c>
      <c r="D1523" s="16" t="inlineStr">
        <is>
          <t>Household Appliances</t>
        </is>
      </c>
      <c r="E1523" s="16" t="inlineStr">
        <is>
          <t>Consumer Durables</t>
        </is>
      </c>
      <c r="F1523" s="17" t="n">
        <v>1117.21</v>
      </c>
      <c r="G1523" s="16" t="inlineStr">
        <is>
          <t>BUTTERFLY</t>
        </is>
      </c>
      <c r="H1523" s="16" t="inlineStr">
        <is>
          <t>517421</t>
        </is>
      </c>
      <c r="I1523" s="27">
        <f>IFERROR(IF(INDEX(Stocks!$G$2:$G$2139,MATCH(A1523,Stocks!$E$2:$E$2139,0))="","No","Yes"),"No")</f>
        <v/>
      </c>
    </row>
    <row r="1524">
      <c r="A1524" s="16" t="inlineStr">
        <is>
          <t>INE06IJ01010</t>
        </is>
      </c>
      <c r="B1524" s="16" t="inlineStr">
        <is>
          <t>UTSSAV</t>
        </is>
      </c>
      <c r="C1524" s="16" t="inlineStr">
        <is>
          <t>Utssav CZ Gold Jewels Ltd.</t>
        </is>
      </c>
      <c r="D1524" s="16" t="inlineStr">
        <is>
          <t>Gems &amp; Jewellery</t>
        </is>
      </c>
      <c r="E1524" s="16" t="inlineStr">
        <is>
          <t>Textiles Apparels &amp; Accessories</t>
        </is>
      </c>
      <c r="F1524" s="17" t="n">
        <v>1115.4</v>
      </c>
      <c r="G1524" s="16" t="inlineStr">
        <is>
          <t>UTSSAV</t>
        </is>
      </c>
      <c r="H1524" s="16" t="inlineStr"/>
      <c r="I1524" s="27">
        <f>IFERROR(IF(INDEX(Stocks!$G$2:$G$2139,MATCH(A1524,Stocks!$E$2:$E$2139,0))="","No","Yes"),"No")</f>
        <v/>
      </c>
    </row>
    <row r="1525">
      <c r="A1525" s="16" t="inlineStr">
        <is>
          <t>INE00EV01017</t>
        </is>
      </c>
      <c r="B1525" s="16" t="inlineStr">
        <is>
          <t>HARIOMPIPE</t>
        </is>
      </c>
      <c r="C1525" s="16" t="inlineStr">
        <is>
          <t>Hariom Pipe Industries Ltd.</t>
        </is>
      </c>
      <c r="D1525" s="16" t="inlineStr">
        <is>
          <t>Iron &amp; Steel Products</t>
        </is>
      </c>
      <c r="E1525" s="16" t="inlineStr">
        <is>
          <t>Metals &amp; Mining</t>
        </is>
      </c>
      <c r="F1525" s="17" t="n">
        <v>1112.35</v>
      </c>
      <c r="G1525" s="16" t="inlineStr">
        <is>
          <t>HARIOMPIPE</t>
        </is>
      </c>
      <c r="H1525" s="16" t="inlineStr">
        <is>
          <t>543517</t>
        </is>
      </c>
      <c r="I1525" s="27">
        <f>IFERROR(IF(INDEX(Stocks!$G$2:$G$2139,MATCH(A1525,Stocks!$E$2:$E$2139,0))="","No","Yes"),"No")</f>
        <v/>
      </c>
    </row>
    <row r="1526">
      <c r="A1526" s="16" t="inlineStr">
        <is>
          <t>INE083B01024</t>
        </is>
      </c>
      <c r="B1526" s="16" t="inlineStr">
        <is>
          <t>THEMISMED</t>
        </is>
      </c>
      <c r="C1526" s="16" t="inlineStr">
        <is>
          <t>Themis Medicare Ltd.</t>
        </is>
      </c>
      <c r="D1526" s="16" t="inlineStr">
        <is>
          <t>Pharmaceuticals</t>
        </is>
      </c>
      <c r="E1526" s="16" t="inlineStr">
        <is>
          <t>Pharmaceuticals &amp; Biotechnology</t>
        </is>
      </c>
      <c r="F1526" s="17" t="n">
        <v>1109.07</v>
      </c>
      <c r="G1526" s="16" t="inlineStr">
        <is>
          <t>THEMISMED</t>
        </is>
      </c>
      <c r="H1526" s="16" t="inlineStr">
        <is>
          <t>530199</t>
        </is>
      </c>
      <c r="I1526" s="27">
        <f>IFERROR(IF(INDEX(Stocks!$G$2:$G$2139,MATCH(A1526,Stocks!$E$2:$E$2139,0))="","No","Yes"),"No")</f>
        <v/>
      </c>
    </row>
    <row r="1527">
      <c r="A1527" s="16" t="inlineStr">
        <is>
          <t>INE833A01016</t>
        </is>
      </c>
      <c r="B1527" s="16" t="inlineStr">
        <is>
          <t>ADCINDIA</t>
        </is>
      </c>
      <c r="C1527" s="16" t="inlineStr">
        <is>
          <t>ADC India Communications Ltd.</t>
        </is>
      </c>
      <c r="D1527" s="16" t="inlineStr">
        <is>
          <t>Telecom Equipment</t>
        </is>
      </c>
      <c r="E1527" s="16" t="inlineStr">
        <is>
          <t>Telecommunications Equipment</t>
        </is>
      </c>
      <c r="F1527" s="17" t="n">
        <v>1108.14</v>
      </c>
      <c r="G1527" s="16" t="inlineStr"/>
      <c r="H1527" s="16" t="inlineStr">
        <is>
          <t>523411</t>
        </is>
      </c>
      <c r="I1527" s="27">
        <f>IFERROR(IF(INDEX(Stocks!$G$2:$G$2139,MATCH(A1527,Stocks!$E$2:$E$2139,0))="","No","Yes"),"No")</f>
        <v/>
      </c>
    </row>
    <row r="1528">
      <c r="A1528" s="16" t="inlineStr">
        <is>
          <t>INE390H01020</t>
        </is>
      </c>
      <c r="B1528" s="16" t="inlineStr">
        <is>
          <t>KAMDHENU</t>
        </is>
      </c>
      <c r="C1528" s="16" t="inlineStr">
        <is>
          <t>Kamdhenu Ltd.</t>
        </is>
      </c>
      <c r="D1528" s="16" t="inlineStr">
        <is>
          <t>Iron &amp; Steel/Interm.Products</t>
        </is>
      </c>
      <c r="E1528" s="16" t="inlineStr">
        <is>
          <t>Metals &amp; Mining</t>
        </is>
      </c>
      <c r="F1528" s="17" t="n">
        <v>1106.11</v>
      </c>
      <c r="G1528" s="16" t="inlineStr">
        <is>
          <t>KAMDHENU</t>
        </is>
      </c>
      <c r="H1528" s="16" t="inlineStr">
        <is>
          <t>532741</t>
        </is>
      </c>
      <c r="I1528" s="27">
        <f>IFERROR(IF(INDEX(Stocks!$G$2:$G$2139,MATCH(A1528,Stocks!$E$2:$E$2139,0))="","No","Yes"),"No")</f>
        <v/>
      </c>
    </row>
    <row r="1529">
      <c r="A1529" s="16" t="inlineStr">
        <is>
          <t>INE0HLJ01013</t>
        </is>
      </c>
      <c r="B1529" s="16" t="inlineStr">
        <is>
          <t>SVRL</t>
        </is>
      </c>
      <c r="C1529" s="16" t="inlineStr">
        <is>
          <t>Shri Venkatesh Refineries Ltd.</t>
        </is>
      </c>
      <c r="D1529" s="16" t="inlineStr">
        <is>
          <t>Edible Oils</t>
        </is>
      </c>
      <c r="E1529" s="16" t="inlineStr">
        <is>
          <t>FMCG</t>
        </is>
      </c>
      <c r="F1529" s="17" t="n">
        <v>1103.75</v>
      </c>
      <c r="G1529" s="16" t="inlineStr"/>
      <c r="H1529" s="16" t="inlineStr">
        <is>
          <t>543373</t>
        </is>
      </c>
      <c r="I1529" s="27">
        <f>IFERROR(IF(INDEX(Stocks!$G$2:$G$2139,MATCH(A1529,Stocks!$E$2:$E$2139,0))="","No","Yes"),"No")</f>
        <v/>
      </c>
    </row>
    <row r="1530">
      <c r="A1530" s="16" t="inlineStr">
        <is>
          <t>INE232A01011</t>
        </is>
      </c>
      <c r="B1530" s="16" t="inlineStr">
        <is>
          <t>SHREDIGCEM</t>
        </is>
      </c>
      <c r="C1530" s="16" t="inlineStr">
        <is>
          <t>Shree Digvijay Cement Company Ltd.</t>
        </is>
      </c>
      <c r="D1530" s="16" t="inlineStr">
        <is>
          <t>Cement &amp; Cement Products</t>
        </is>
      </c>
      <c r="E1530" s="16" t="inlineStr">
        <is>
          <t>Cement and Construction</t>
        </is>
      </c>
      <c r="F1530" s="17" t="n">
        <v>1101.07</v>
      </c>
      <c r="G1530" s="16" t="inlineStr">
        <is>
          <t>SHREDIGCEM</t>
        </is>
      </c>
      <c r="H1530" s="16" t="inlineStr">
        <is>
          <t>502180</t>
        </is>
      </c>
      <c r="I1530" s="27">
        <f>IFERROR(IF(INDEX(Stocks!$G$2:$G$2139,MATCH(A1530,Stocks!$E$2:$E$2139,0))="","No","Yes"),"No")</f>
        <v/>
      </c>
    </row>
    <row r="1531">
      <c r="A1531" s="16" t="inlineStr">
        <is>
          <t>INE451C01013</t>
        </is>
      </c>
      <c r="B1531" s="16" t="inlineStr">
        <is>
          <t>ACGL</t>
        </is>
      </c>
      <c r="C1531" s="16" t="inlineStr">
        <is>
          <t>Automobile Corporation Of Goa Ltd.</t>
        </is>
      </c>
      <c r="D1531" s="16" t="inlineStr">
        <is>
          <t>Auto Parts &amp; Equipment</t>
        </is>
      </c>
      <c r="E1531" s="16" t="inlineStr">
        <is>
          <t>Automobiles &amp; Auto Components</t>
        </is>
      </c>
      <c r="F1531" s="17" t="n">
        <v>1100.09</v>
      </c>
      <c r="G1531" s="16" t="inlineStr"/>
      <c r="H1531" s="16" t="inlineStr">
        <is>
          <t>505036</t>
        </is>
      </c>
      <c r="I1531" s="27">
        <f>IFERROR(IF(INDEX(Stocks!$G$2:$G$2139,MATCH(A1531,Stocks!$E$2:$E$2139,0))="","No","Yes"),"No")</f>
        <v/>
      </c>
    </row>
    <row r="1532">
      <c r="A1532" s="16" t="inlineStr">
        <is>
          <t>INE0VCK01011</t>
        </is>
      </c>
      <c r="B1532" s="16" t="inlineStr">
        <is>
          <t>FLYSBS</t>
        </is>
      </c>
      <c r="C1532" s="16" t="inlineStr">
        <is>
          <t>FlySBS Aviation Ltd.</t>
        </is>
      </c>
      <c r="D1532" s="16" t="inlineStr">
        <is>
          <t>Airlines</t>
        </is>
      </c>
      <c r="E1532" s="16" t="inlineStr">
        <is>
          <t>Transportation</t>
        </is>
      </c>
      <c r="F1532" s="17" t="n">
        <v>1099.83</v>
      </c>
      <c r="G1532" s="16" t="inlineStr">
        <is>
          <t>FLYSBS</t>
        </is>
      </c>
      <c r="H1532" s="16" t="inlineStr"/>
      <c r="I1532" s="27">
        <f>IFERROR(IF(INDEX(Stocks!$G$2:$G$2139,MATCH(A1532,Stocks!$E$2:$E$2139,0))="","No","Yes"),"No")</f>
        <v/>
      </c>
    </row>
    <row r="1533">
      <c r="A1533" s="16" t="inlineStr">
        <is>
          <t>INE660C01027</t>
        </is>
      </c>
      <c r="B1533" s="16" t="inlineStr">
        <is>
          <t>CENTRUM</t>
        </is>
      </c>
      <c r="C1533" s="16" t="inlineStr">
        <is>
          <t>Centrum Capital Ltd.</t>
        </is>
      </c>
      <c r="D1533" s="16" t="inlineStr">
        <is>
          <t>Other Financial Services</t>
        </is>
      </c>
      <c r="E1533" s="16" t="inlineStr">
        <is>
          <t>Banking and Finance</t>
        </is>
      </c>
      <c r="F1533" s="17" t="n">
        <v>1097.8</v>
      </c>
      <c r="G1533" s="16" t="inlineStr">
        <is>
          <t>CENTRUM</t>
        </is>
      </c>
      <c r="H1533" s="16" t="inlineStr">
        <is>
          <t>501150</t>
        </is>
      </c>
      <c r="I1533" s="27">
        <f>IFERROR(IF(INDEX(Stocks!$G$2:$G$2139,MATCH(A1533,Stocks!$E$2:$E$2139,0))="","No","Yes"),"No")</f>
        <v/>
      </c>
    </row>
    <row r="1534">
      <c r="A1534" s="16" t="inlineStr">
        <is>
          <t>INE677D01037</t>
        </is>
      </c>
      <c r="B1534" s="16" t="inlineStr">
        <is>
          <t>MASTERTR</t>
        </is>
      </c>
      <c r="C1534" s="16" t="inlineStr">
        <is>
          <t>Master Trust Ltd.</t>
        </is>
      </c>
      <c r="D1534" s="16" t="inlineStr">
        <is>
          <t>Capital Markets</t>
        </is>
      </c>
      <c r="E1534" s="16" t="inlineStr">
        <is>
          <t>Banking and Finance</t>
        </is>
      </c>
      <c r="F1534" s="17" t="n">
        <v>1096.81</v>
      </c>
      <c r="G1534" s="16" t="inlineStr">
        <is>
          <t>MASTERTR</t>
        </is>
      </c>
      <c r="H1534" s="16" t="inlineStr">
        <is>
          <t>511768</t>
        </is>
      </c>
      <c r="I1534" s="27">
        <f>IFERROR(IF(INDEX(Stocks!$G$2:$G$2139,MATCH(A1534,Stocks!$E$2:$E$2139,0))="","No","Yes"),"No")</f>
        <v/>
      </c>
    </row>
    <row r="1535">
      <c r="A1535" s="16" t="inlineStr">
        <is>
          <t>INE0WO601020</t>
        </is>
      </c>
      <c r="B1535" s="16" t="inlineStr">
        <is>
          <t>LAXMIDENTL</t>
        </is>
      </c>
      <c r="C1535" s="16" t="inlineStr">
        <is>
          <t>Laxmi Dental Ltd.</t>
        </is>
      </c>
      <c r="D1535" s="16" t="inlineStr">
        <is>
          <t>Healthcare Supplies</t>
        </is>
      </c>
      <c r="E1535" s="16" t="inlineStr">
        <is>
          <t>Healthcare</t>
        </is>
      </c>
      <c r="F1535" s="17" t="n">
        <v>1095.86</v>
      </c>
      <c r="G1535" s="16" t="inlineStr">
        <is>
          <t>LAXMIDENTL</t>
        </is>
      </c>
      <c r="H1535" s="16" t="inlineStr">
        <is>
          <t>544339</t>
        </is>
      </c>
      <c r="I1535" s="27">
        <f>IFERROR(IF(INDEX(Stocks!$G$2:$G$2139,MATCH(A1535,Stocks!$E$2:$E$2139,0))="","No","Yes"),"No")</f>
        <v/>
      </c>
    </row>
    <row r="1536">
      <c r="A1536" s="16" t="inlineStr">
        <is>
          <t>INE041A01016</t>
        </is>
      </c>
      <c r="B1536" s="16" t="inlineStr">
        <is>
          <t>DHAMPURSUG</t>
        </is>
      </c>
      <c r="C1536" s="16" t="inlineStr">
        <is>
          <t>Dhampur Sugar Mills Ltd.</t>
        </is>
      </c>
      <c r="D1536" s="16" t="inlineStr">
        <is>
          <t>Sugar</t>
        </is>
      </c>
      <c r="E1536" s="16" t="inlineStr">
        <is>
          <t>Food, Beverages &amp; Tobacco</t>
        </is>
      </c>
      <c r="F1536" s="17" t="n">
        <v>1095.83</v>
      </c>
      <c r="G1536" s="16" t="inlineStr">
        <is>
          <t>DHAMPURSUG</t>
        </is>
      </c>
      <c r="H1536" s="16" t="inlineStr">
        <is>
          <t>500119</t>
        </is>
      </c>
      <c r="I1536" s="27">
        <f>IFERROR(IF(INDEX(Stocks!$G$2:$G$2139,MATCH(A1536,Stocks!$E$2:$E$2139,0))="","No","Yes"),"No")</f>
        <v/>
      </c>
    </row>
    <row r="1537">
      <c r="A1537" s="16" t="inlineStr">
        <is>
          <t>INE866R01028</t>
        </is>
      </c>
      <c r="B1537" s="16" t="inlineStr">
        <is>
          <t>MATRIMONY</t>
        </is>
      </c>
      <c r="C1537" s="16" t="inlineStr">
        <is>
          <t>Matrimony.com Ltd.</t>
        </is>
      </c>
      <c r="D1537" s="16" t="inlineStr">
        <is>
          <t>Internet Software &amp; Services</t>
        </is>
      </c>
      <c r="E1537" s="16" t="inlineStr">
        <is>
          <t>Software &amp; Services</t>
        </is>
      </c>
      <c r="F1537" s="17" t="n">
        <v>1094.89</v>
      </c>
      <c r="G1537" s="16" t="inlineStr">
        <is>
          <t>MATRIMONY</t>
        </is>
      </c>
      <c r="H1537" s="16" t="inlineStr">
        <is>
          <t>540704</t>
        </is>
      </c>
      <c r="I1537" s="27">
        <f>IFERROR(IF(INDEX(Stocks!$G$2:$G$2139,MATCH(A1537,Stocks!$E$2:$E$2139,0))="","No","Yes"),"No")</f>
        <v/>
      </c>
    </row>
    <row r="1538">
      <c r="A1538" s="16" t="inlineStr">
        <is>
          <t>INE524B01027</t>
        </is>
      </c>
      <c r="B1538" s="16" t="inlineStr">
        <is>
          <t>GANDHITUBE</t>
        </is>
      </c>
      <c r="C1538" s="16" t="inlineStr">
        <is>
          <t>Gandhi Special Tubes Ltd.</t>
        </is>
      </c>
      <c r="D1538" s="16" t="inlineStr">
        <is>
          <t>Iron &amp; Steel Products</t>
        </is>
      </c>
      <c r="E1538" s="16" t="inlineStr">
        <is>
          <t>Metals &amp; Mining</t>
        </is>
      </c>
      <c r="F1538" s="17" t="n">
        <v>1093.86</v>
      </c>
      <c r="G1538" s="16" t="inlineStr">
        <is>
          <t>GANDHITUBE</t>
        </is>
      </c>
      <c r="H1538" s="16" t="inlineStr">
        <is>
          <t>513108</t>
        </is>
      </c>
      <c r="I1538" s="27">
        <f>IFERROR(IF(INDEX(Stocks!$G$2:$G$2139,MATCH(A1538,Stocks!$E$2:$E$2139,0))="","No","Yes"),"No")</f>
        <v/>
      </c>
    </row>
    <row r="1539">
      <c r="A1539" s="16" t="inlineStr">
        <is>
          <t>INE0PPK01015</t>
        </is>
      </c>
      <c r="B1539" s="16" t="inlineStr">
        <is>
          <t>ORIENTTECH</t>
        </is>
      </c>
      <c r="C1539" s="16" t="inlineStr">
        <is>
          <t>Orient Technologies Ltd.</t>
        </is>
      </c>
      <c r="D1539" s="16" t="inlineStr">
        <is>
          <t>IT Consulting &amp; Software</t>
        </is>
      </c>
      <c r="E1539" s="16" t="inlineStr">
        <is>
          <t>Software &amp; Services</t>
        </is>
      </c>
      <c r="F1539" s="17" t="n">
        <v>1091.97</v>
      </c>
      <c r="G1539" s="16" t="inlineStr">
        <is>
          <t>ORIENTTECH</t>
        </is>
      </c>
      <c r="H1539" s="16" t="inlineStr">
        <is>
          <t>544235</t>
        </is>
      </c>
      <c r="I1539" s="27">
        <f>IFERROR(IF(INDEX(Stocks!$G$2:$G$2139,MATCH(A1539,Stocks!$E$2:$E$2139,0))="","No","Yes"),"No")</f>
        <v/>
      </c>
    </row>
    <row r="1540">
      <c r="A1540" s="16" t="inlineStr">
        <is>
          <t>INE557A01011</t>
        </is>
      </c>
      <c r="B1540" s="16" t="inlineStr">
        <is>
          <t>BIRLANU</t>
        </is>
      </c>
      <c r="C1540" s="16" t="inlineStr">
        <is>
          <t>BirlaNu Ltd.</t>
        </is>
      </c>
      <c r="D1540" s="16" t="inlineStr">
        <is>
          <t>Cement &amp; Cement Products</t>
        </is>
      </c>
      <c r="E1540" s="16" t="inlineStr">
        <is>
          <t>Cement and Construction</t>
        </is>
      </c>
      <c r="F1540" s="17" t="n">
        <v>1091.92</v>
      </c>
      <c r="G1540" s="16" t="inlineStr">
        <is>
          <t>BIRLANU</t>
        </is>
      </c>
      <c r="H1540" s="16" t="inlineStr">
        <is>
          <t>509675</t>
        </is>
      </c>
      <c r="I1540" s="27">
        <f>IFERROR(IF(INDEX(Stocks!$G$2:$G$2139,MATCH(A1540,Stocks!$E$2:$E$2139,0))="","No","Yes"),"No")</f>
        <v/>
      </c>
    </row>
    <row r="1541">
      <c r="A1541" s="16" t="inlineStr">
        <is>
          <t>INE999K01014</t>
        </is>
      </c>
      <c r="B1541" s="16" t="inlineStr">
        <is>
          <t>GREENPOWER</t>
        </is>
      </c>
      <c r="C1541" s="16" t="inlineStr">
        <is>
          <t>Orient Green Power Company Ltd.</t>
        </is>
      </c>
      <c r="D1541" s="16" t="inlineStr">
        <is>
          <t>Green &amp; Renewable Energy</t>
        </is>
      </c>
      <c r="E1541" s="16" t="inlineStr">
        <is>
          <t>Utilities</t>
        </is>
      </c>
      <c r="F1541" s="17" t="n">
        <v>1088.57</v>
      </c>
      <c r="G1541" s="16" t="inlineStr">
        <is>
          <t>GREENPOWER</t>
        </is>
      </c>
      <c r="H1541" s="16" t="inlineStr">
        <is>
          <t>533263</t>
        </is>
      </c>
      <c r="I1541" s="27">
        <f>IFERROR(IF(INDEX(Stocks!$G$2:$G$2139,MATCH(A1541,Stocks!$E$2:$E$2139,0))="","No","Yes"),"No")</f>
        <v/>
      </c>
    </row>
    <row r="1542">
      <c r="A1542" s="16" t="inlineStr">
        <is>
          <t>INE1ARD01016</t>
        </is>
      </c>
      <c r="B1542" s="16" t="inlineStr">
        <is>
          <t>SACHEEROME</t>
        </is>
      </c>
      <c r="C1542" s="16" t="inlineStr">
        <is>
          <t>Sacheerome Ltd.</t>
        </is>
      </c>
      <c r="D1542" s="16" t="inlineStr">
        <is>
          <t>Personal Products</t>
        </is>
      </c>
      <c r="E1542" s="16" t="inlineStr">
        <is>
          <t>FMCG</t>
        </is>
      </c>
      <c r="F1542" s="17" t="n">
        <v>1085.64</v>
      </c>
      <c r="G1542" s="16" t="inlineStr">
        <is>
          <t>SACHEEROME</t>
        </is>
      </c>
      <c r="H1542" s="16" t="inlineStr"/>
      <c r="I1542" s="27">
        <f>IFERROR(IF(INDEX(Stocks!$G$2:$G$2139,MATCH(A1542,Stocks!$E$2:$E$2139,0))="","No","Yes"),"No")</f>
        <v/>
      </c>
    </row>
    <row r="1543">
      <c r="A1543" s="16" t="inlineStr">
        <is>
          <t>INE0WKY01013</t>
        </is>
      </c>
      <c r="B1543" s="16" t="inlineStr">
        <is>
          <t>INDOSMC</t>
        </is>
      </c>
      <c r="C1543" s="16" t="inlineStr">
        <is>
          <t>INDO SMC Ltd.</t>
        </is>
      </c>
      <c r="D1543" s="16" t="inlineStr">
        <is>
          <t>Other Electrical Equipment/Products</t>
        </is>
      </c>
      <c r="E1543" s="16" t="inlineStr">
        <is>
          <t>Consumer Durables</t>
        </is>
      </c>
      <c r="F1543" s="17" t="n">
        <v>1082.2</v>
      </c>
      <c r="G1543" s="16" t="inlineStr"/>
      <c r="H1543" s="16" t="inlineStr">
        <is>
          <t>544681</t>
        </is>
      </c>
      <c r="I1543" s="27">
        <f>IFERROR(IF(INDEX(Stocks!$G$2:$G$2139,MATCH(A1543,Stocks!$E$2:$E$2139,0))="","No","Yes"),"No")</f>
        <v/>
      </c>
    </row>
    <row r="1544">
      <c r="A1544" s="16" t="inlineStr">
        <is>
          <t>INE411U01027</t>
        </is>
      </c>
      <c r="B1544" s="16" t="inlineStr">
        <is>
          <t>BAJAJHCARE</t>
        </is>
      </c>
      <c r="C1544" s="16" t="inlineStr">
        <is>
          <t>Bajaj Healthcare Ltd.</t>
        </is>
      </c>
      <c r="D1544" s="16" t="inlineStr">
        <is>
          <t>Pharmaceuticals</t>
        </is>
      </c>
      <c r="E1544" s="16" t="inlineStr">
        <is>
          <t>Pharmaceuticals &amp; Biotechnology</t>
        </is>
      </c>
      <c r="F1544" s="17" t="n">
        <v>1082.17</v>
      </c>
      <c r="G1544" s="16" t="inlineStr">
        <is>
          <t>BAJAJHCARE</t>
        </is>
      </c>
      <c r="H1544" s="16" t="inlineStr">
        <is>
          <t>539872</t>
        </is>
      </c>
      <c r="I1544" s="27">
        <f>IFERROR(IF(INDEX(Stocks!$G$2:$G$2139,MATCH(A1544,Stocks!$E$2:$E$2139,0))="","No","Yes"),"No")</f>
        <v/>
      </c>
    </row>
    <row r="1545">
      <c r="A1545" s="16" t="inlineStr">
        <is>
          <t>INE412G01024</t>
        </is>
      </c>
      <c r="B1545" s="16" t="inlineStr">
        <is>
          <t>BCLIND</t>
        </is>
      </c>
      <c r="C1545" s="16" t="inlineStr">
        <is>
          <t>BCL Industries Ltd.</t>
        </is>
      </c>
      <c r="D1545" s="16" t="inlineStr">
        <is>
          <t>Edible Oils</t>
        </is>
      </c>
      <c r="E1545" s="16" t="inlineStr">
        <is>
          <t>FMCG</t>
        </is>
      </c>
      <c r="F1545" s="17" t="n">
        <v>1080.89</v>
      </c>
      <c r="G1545" s="16" t="inlineStr">
        <is>
          <t>BCLIND</t>
        </is>
      </c>
      <c r="H1545" s="16" t="inlineStr">
        <is>
          <t>524332</t>
        </is>
      </c>
      <c r="I1545" s="27">
        <f>IFERROR(IF(INDEX(Stocks!$G$2:$G$2139,MATCH(A1545,Stocks!$E$2:$E$2139,0))="","No","Yes"),"No")</f>
        <v/>
      </c>
    </row>
    <row r="1546">
      <c r="A1546" s="16" t="inlineStr">
        <is>
          <t>INE107A01015</t>
        </is>
      </c>
      <c r="B1546" s="16" t="inlineStr">
        <is>
          <t>TNPL</t>
        </is>
      </c>
      <c r="C1546" s="16" t="inlineStr">
        <is>
          <t>Tamil Nadu Newsprint And Papers Ltd.</t>
        </is>
      </c>
      <c r="D1546" s="16" t="inlineStr">
        <is>
          <t>Paper &amp; Paper Products</t>
        </is>
      </c>
      <c r="E1546" s="16" t="inlineStr">
        <is>
          <t>Commercial Services &amp; Supplies</t>
        </is>
      </c>
      <c r="F1546" s="17" t="n">
        <v>1077.96</v>
      </c>
      <c r="G1546" s="16" t="inlineStr">
        <is>
          <t>TNPL</t>
        </is>
      </c>
      <c r="H1546" s="16" t="inlineStr">
        <is>
          <t>531426</t>
        </is>
      </c>
      <c r="I1546" s="27">
        <f>IFERROR(IF(INDEX(Stocks!$G$2:$G$2139,MATCH(A1546,Stocks!$E$2:$E$2139,0))="","No","Yes"),"No")</f>
        <v/>
      </c>
    </row>
    <row r="1547">
      <c r="A1547" s="16" t="inlineStr">
        <is>
          <t>INE137I01015</t>
        </is>
      </c>
      <c r="B1547" s="16" t="inlineStr">
        <is>
          <t>GRPLTD</t>
        </is>
      </c>
      <c r="C1547" s="16" t="inlineStr">
        <is>
          <t>GRP Ltd.</t>
        </is>
      </c>
      <c r="D1547" s="16" t="inlineStr">
        <is>
          <t>Auto Tyres &amp; Rubber Products</t>
        </is>
      </c>
      <c r="E1547" s="16" t="inlineStr">
        <is>
          <t>Automobiles &amp; Auto Components</t>
        </is>
      </c>
      <c r="F1547" s="17" t="n">
        <v>1073.59</v>
      </c>
      <c r="G1547" s="16" t="inlineStr">
        <is>
          <t>GRPLTD</t>
        </is>
      </c>
      <c r="H1547" s="16" t="inlineStr">
        <is>
          <t>509152</t>
        </is>
      </c>
      <c r="I1547" s="27">
        <f>IFERROR(IF(INDEX(Stocks!$G$2:$G$2139,MATCH(A1547,Stocks!$E$2:$E$2139,0))="","No","Yes"),"No")</f>
        <v/>
      </c>
    </row>
    <row r="1548">
      <c r="A1548" s="16" t="inlineStr">
        <is>
          <t>INE786F01031</t>
        </is>
      </c>
      <c r="B1548" s="16" t="inlineStr">
        <is>
          <t>UTTAMSUGAR</t>
        </is>
      </c>
      <c r="C1548" s="16" t="inlineStr">
        <is>
          <t>Uttam Sugar Mills Ltd.</t>
        </is>
      </c>
      <c r="D1548" s="16" t="inlineStr">
        <is>
          <t>Sugar</t>
        </is>
      </c>
      <c r="E1548" s="16" t="inlineStr">
        <is>
          <t>Food, Beverages &amp; Tobacco</t>
        </is>
      </c>
      <c r="F1548" s="17" t="n">
        <v>1072.44</v>
      </c>
      <c r="G1548" s="16" t="inlineStr">
        <is>
          <t>UTTAMSUGAR</t>
        </is>
      </c>
      <c r="H1548" s="16" t="inlineStr">
        <is>
          <t>532729</t>
        </is>
      </c>
      <c r="I1548" s="27">
        <f>IFERROR(IF(INDEX(Stocks!$G$2:$G$2139,MATCH(A1548,Stocks!$E$2:$E$2139,0))="","No","Yes"),"No")</f>
        <v/>
      </c>
    </row>
    <row r="1549">
      <c r="A1549" s="16" t="inlineStr">
        <is>
          <t>INE694A01020</t>
        </is>
      </c>
      <c r="B1549" s="16" t="inlineStr">
        <is>
          <t>UNITECH</t>
        </is>
      </c>
      <c r="C1549" s="16" t="inlineStr">
        <is>
          <t>Unitech Ltd.</t>
        </is>
      </c>
      <c r="D1549" s="16" t="inlineStr">
        <is>
          <t>Realty</t>
        </is>
      </c>
      <c r="E1549" s="16" t="inlineStr">
        <is>
          <t>Realty</t>
        </is>
      </c>
      <c r="F1549" s="17" t="n">
        <v>1067.45</v>
      </c>
      <c r="G1549" s="16" t="inlineStr">
        <is>
          <t>UNITECH</t>
        </is>
      </c>
      <c r="H1549" s="16" t="inlineStr">
        <is>
          <t>507878</t>
        </is>
      </c>
      <c r="I1549" s="27">
        <f>IFERROR(IF(INDEX(Stocks!$G$2:$G$2139,MATCH(A1549,Stocks!$E$2:$E$2139,0))="","No","Yes"),"No")</f>
        <v/>
      </c>
    </row>
    <row r="1550">
      <c r="A1550" s="16" t="inlineStr">
        <is>
          <t>INE127B01011</t>
        </is>
      </c>
      <c r="B1550" s="16" t="inlineStr">
        <is>
          <t>HITECHGEAR</t>
        </is>
      </c>
      <c r="C1550" s="16" t="inlineStr">
        <is>
          <t>The Hi-Tech Gears Ltd.</t>
        </is>
      </c>
      <c r="D1550" s="16" t="inlineStr">
        <is>
          <t>Auto Parts &amp; Equipment</t>
        </is>
      </c>
      <c r="E1550" s="16" t="inlineStr">
        <is>
          <t>Automobiles &amp; Auto Components</t>
        </is>
      </c>
      <c r="F1550" s="17" t="n">
        <v>1067.38</v>
      </c>
      <c r="G1550" s="16" t="inlineStr">
        <is>
          <t>HITECHGEAR</t>
        </is>
      </c>
      <c r="H1550" s="16" t="inlineStr">
        <is>
          <t>522073</t>
        </is>
      </c>
      <c r="I1550" s="27">
        <f>IFERROR(IF(INDEX(Stocks!$G$2:$G$2139,MATCH(A1550,Stocks!$E$2:$E$2139,0))="","No","Yes"),"No")</f>
        <v/>
      </c>
    </row>
    <row r="1551">
      <c r="A1551" s="16" t="inlineStr">
        <is>
          <t>INE0R6Z01013</t>
        </is>
      </c>
      <c r="B1551" s="16" t="inlineStr">
        <is>
          <t>SRM</t>
        </is>
      </c>
      <c r="C1551" s="16" t="inlineStr">
        <is>
          <t>SRM Contractors Ltd.</t>
        </is>
      </c>
      <c r="D1551" s="16" t="inlineStr">
        <is>
          <t>Construction &amp; Engineering</t>
        </is>
      </c>
      <c r="E1551" s="16" t="inlineStr">
        <is>
          <t>Cement and Construction</t>
        </is>
      </c>
      <c r="F1551" s="17" t="n">
        <v>1060.83</v>
      </c>
      <c r="G1551" s="16" t="inlineStr">
        <is>
          <t>SRM</t>
        </is>
      </c>
      <c r="H1551" s="16" t="inlineStr">
        <is>
          <t>544158</t>
        </is>
      </c>
      <c r="I1551" s="27">
        <f>IFERROR(IF(INDEX(Stocks!$G$2:$G$2139,MATCH(A1551,Stocks!$E$2:$E$2139,0))="","No","Yes"),"No")</f>
        <v/>
      </c>
    </row>
    <row r="1552">
      <c r="A1552" s="16" t="inlineStr">
        <is>
          <t>INE670O01013</t>
        </is>
      </c>
      <c r="B1552" s="16" t="inlineStr">
        <is>
          <t>ONEGLOBAL</t>
        </is>
      </c>
      <c r="C1552" s="16" t="inlineStr">
        <is>
          <t>One Global Service Provider Ltd.</t>
        </is>
      </c>
      <c r="D1552" s="16" t="inlineStr">
        <is>
          <t>Healthcare Services</t>
        </is>
      </c>
      <c r="E1552" s="16" t="inlineStr">
        <is>
          <t>Healthcare</t>
        </is>
      </c>
      <c r="F1552" s="17" t="n">
        <v>1060.11</v>
      </c>
      <c r="G1552" s="16" t="inlineStr"/>
      <c r="H1552" s="16" t="inlineStr">
        <is>
          <t>514330</t>
        </is>
      </c>
      <c r="I1552" s="27">
        <f>IFERROR(IF(INDEX(Stocks!$G$2:$G$2139,MATCH(A1552,Stocks!$E$2:$E$2139,0))="","No","Yes"),"No")</f>
        <v/>
      </c>
    </row>
    <row r="1553">
      <c r="A1553" s="16" t="inlineStr">
        <is>
          <t>INE620D01011</t>
        </is>
      </c>
      <c r="B1553" s="16" t="inlineStr">
        <is>
          <t>INDPRUD</t>
        </is>
      </c>
      <c r="C1553" s="16" t="inlineStr">
        <is>
          <t>Industrial &amp; Prudential Investment Company Ltd.</t>
        </is>
      </c>
      <c r="D1553" s="16" t="inlineStr">
        <is>
          <t>Investment Companies</t>
        </is>
      </c>
      <c r="E1553" s="16" t="inlineStr">
        <is>
          <t>Others</t>
        </is>
      </c>
      <c r="F1553" s="17" t="n">
        <v>1055.75</v>
      </c>
      <c r="G1553" s="16" t="inlineStr"/>
      <c r="H1553" s="16" t="inlineStr">
        <is>
          <t>501298</t>
        </is>
      </c>
      <c r="I1553" s="27">
        <f>IFERROR(IF(INDEX(Stocks!$G$2:$G$2139,MATCH(A1553,Stocks!$E$2:$E$2139,0))="","No","Yes"),"No")</f>
        <v/>
      </c>
    </row>
    <row r="1554">
      <c r="A1554" s="16" t="inlineStr">
        <is>
          <t>INE365Y01019</t>
        </is>
      </c>
      <c r="B1554" s="16" t="inlineStr">
        <is>
          <t>BPLPHARMA</t>
        </is>
      </c>
      <c r="C1554" s="16" t="inlineStr">
        <is>
          <t>Bharat Parenterals Ltd.</t>
        </is>
      </c>
      <c r="D1554" s="16" t="inlineStr">
        <is>
          <t>Pharmaceuticals</t>
        </is>
      </c>
      <c r="E1554" s="16" t="inlineStr">
        <is>
          <t>Pharmaceuticals &amp; Biotechnology</t>
        </is>
      </c>
      <c r="F1554" s="17" t="n">
        <v>1053.06</v>
      </c>
      <c r="G1554" s="16" t="inlineStr"/>
      <c r="H1554" s="16" t="inlineStr">
        <is>
          <t>541096</t>
        </is>
      </c>
      <c r="I1554" s="27">
        <f>IFERROR(IF(INDEX(Stocks!$G$2:$G$2139,MATCH(A1554,Stocks!$E$2:$E$2139,0))="","No","Yes"),"No")</f>
        <v/>
      </c>
    </row>
    <row r="1555">
      <c r="A1555" s="16" t="inlineStr">
        <is>
          <t>INE01BK01022</t>
        </is>
      </c>
      <c r="B1555" s="16" t="inlineStr">
        <is>
          <t>AWHCL</t>
        </is>
      </c>
      <c r="C1555" s="16" t="inlineStr">
        <is>
          <t>Antony Waste Handling Cell Ltd.</t>
        </is>
      </c>
      <c r="D1555" s="16" t="inlineStr">
        <is>
          <t>Waste Management</t>
        </is>
      </c>
      <c r="E1555" s="16" t="inlineStr">
        <is>
          <t>Utilities</t>
        </is>
      </c>
      <c r="F1555" s="17" t="n">
        <v>1052.41</v>
      </c>
      <c r="G1555" s="16" t="inlineStr">
        <is>
          <t>AWHCL</t>
        </is>
      </c>
      <c r="H1555" s="16" t="inlineStr">
        <is>
          <t>543254</t>
        </is>
      </c>
      <c r="I1555" s="27">
        <f>IFERROR(IF(INDEX(Stocks!$G$2:$G$2139,MATCH(A1555,Stocks!$E$2:$E$2139,0))="","No","Yes"),"No")</f>
        <v/>
      </c>
    </row>
    <row r="1556">
      <c r="A1556" s="16" t="inlineStr">
        <is>
          <t>INE0H9P01028</t>
        </is>
      </c>
      <c r="B1556" s="16" t="inlineStr">
        <is>
          <t>ARIS</t>
        </is>
      </c>
      <c r="C1556" s="16" t="inlineStr">
        <is>
          <t>Arisinfra Solutions Ltd.</t>
        </is>
      </c>
      <c r="D1556" s="16" t="inlineStr">
        <is>
          <t>Construction Materials</t>
        </is>
      </c>
      <c r="E1556" s="16" t="inlineStr">
        <is>
          <t>Cement and Construction</t>
        </is>
      </c>
      <c r="F1556" s="17" t="n">
        <v>1051.54</v>
      </c>
      <c r="G1556" s="16" t="inlineStr">
        <is>
          <t>ARIS</t>
        </is>
      </c>
      <c r="H1556" s="16" t="inlineStr">
        <is>
          <t>544419</t>
        </is>
      </c>
      <c r="I1556" s="27">
        <f>IFERROR(IF(INDEX(Stocks!$G$2:$G$2139,MATCH(A1556,Stocks!$E$2:$E$2139,0))="","No","Yes"),"No")</f>
        <v/>
      </c>
    </row>
    <row r="1557">
      <c r="A1557" s="16" t="inlineStr">
        <is>
          <t>INE998U01015</t>
        </is>
      </c>
      <c r="B1557" s="16" t="inlineStr">
        <is>
          <t>PCCL</t>
        </is>
      </c>
      <c r="C1557" s="16" t="inlineStr">
        <is>
          <t>Petro Carbon and Chemicals Ltd.</t>
        </is>
      </c>
      <c r="D1557" s="16" t="inlineStr">
        <is>
          <t>Petrochemicals</t>
        </is>
      </c>
      <c r="E1557" s="16" t="inlineStr">
        <is>
          <t>Chemicals &amp; Petrochemicals</t>
        </is>
      </c>
      <c r="F1557" s="17" t="n">
        <v>1050.12</v>
      </c>
      <c r="G1557" s="16" t="inlineStr">
        <is>
          <t>PCCL</t>
        </is>
      </c>
      <c r="H1557" s="16" t="inlineStr"/>
      <c r="I1557" s="27">
        <f>IFERROR(IF(INDEX(Stocks!$G$2:$G$2139,MATCH(A1557,Stocks!$E$2:$E$2139,0))="","No","Yes"),"No")</f>
        <v/>
      </c>
    </row>
    <row r="1558">
      <c r="A1558" s="16" t="inlineStr">
        <is>
          <t>INE414A01015</t>
        </is>
      </c>
      <c r="B1558" s="16" t="inlineStr">
        <is>
          <t>MADRASFERT</t>
        </is>
      </c>
      <c r="C1558" s="16" t="inlineStr">
        <is>
          <t>Madras Fertilizers Ltd.</t>
        </is>
      </c>
      <c r="D1558" s="16" t="inlineStr">
        <is>
          <t>Fertilizers</t>
        </is>
      </c>
      <c r="E1558" s="16" t="inlineStr">
        <is>
          <t>Fertilizers</t>
        </is>
      </c>
      <c r="F1558" s="17" t="n">
        <v>1049.09</v>
      </c>
      <c r="G1558" s="16" t="inlineStr">
        <is>
          <t>MADRASFERT</t>
        </is>
      </c>
      <c r="H1558" s="16" t="inlineStr">
        <is>
          <t>590134</t>
        </is>
      </c>
      <c r="I1558" s="27">
        <f>IFERROR(IF(INDEX(Stocks!$G$2:$G$2139,MATCH(A1558,Stocks!$E$2:$E$2139,0))="","No","Yes"),"No")</f>
        <v/>
      </c>
    </row>
    <row r="1559">
      <c r="A1559" s="16" t="inlineStr">
        <is>
          <t>INE0O5T01011</t>
        </is>
      </c>
      <c r="B1559" s="16" t="inlineStr">
        <is>
          <t>REMUS</t>
        </is>
      </c>
      <c r="C1559" s="16" t="inlineStr">
        <is>
          <t>Remus Pharmaceuticals Ltd.</t>
        </is>
      </c>
      <c r="D1559" s="16" t="inlineStr">
        <is>
          <t>Pharmaceuticals</t>
        </is>
      </c>
      <c r="E1559" s="16" t="inlineStr">
        <is>
          <t>Pharmaceuticals &amp; Biotechnology</t>
        </is>
      </c>
      <c r="F1559" s="17" t="n">
        <v>1048.83</v>
      </c>
      <c r="G1559" s="16" t="inlineStr">
        <is>
          <t>REMUS</t>
        </is>
      </c>
      <c r="H1559" s="16" t="inlineStr"/>
      <c r="I1559" s="27">
        <f>IFERROR(IF(INDEX(Stocks!$G$2:$G$2139,MATCH(A1559,Stocks!$E$2:$E$2139,0))="","No","Yes"),"No")</f>
        <v/>
      </c>
    </row>
    <row r="1560">
      <c r="A1560" s="16" t="inlineStr">
        <is>
          <t>INE147P01019</t>
        </is>
      </c>
      <c r="B1560" s="16" t="inlineStr">
        <is>
          <t>JPOLYINVST</t>
        </is>
      </c>
      <c r="C1560" s="16" t="inlineStr">
        <is>
          <t>Jindal Poly Investment &amp; Finance Company Ltd.</t>
        </is>
      </c>
      <c r="D1560" s="16" t="inlineStr">
        <is>
          <t>Other Financial Services</t>
        </is>
      </c>
      <c r="E1560" s="16" t="inlineStr">
        <is>
          <t>Banking and Finance</t>
        </is>
      </c>
      <c r="F1560" s="17" t="n">
        <v>1048.51</v>
      </c>
      <c r="G1560" s="16" t="inlineStr">
        <is>
          <t>JPOLYINVST</t>
        </is>
      </c>
      <c r="H1560" s="16" t="inlineStr">
        <is>
          <t>536773</t>
        </is>
      </c>
      <c r="I1560" s="27">
        <f>IFERROR(IF(INDEX(Stocks!$G$2:$G$2139,MATCH(A1560,Stocks!$E$2:$E$2139,0))="","No","Yes"),"No")</f>
        <v/>
      </c>
    </row>
    <row r="1561">
      <c r="A1561" s="16" t="inlineStr">
        <is>
          <t>INE887D01024</t>
        </is>
      </c>
      <c r="B1561" s="16" t="inlineStr">
        <is>
          <t>TCC</t>
        </is>
      </c>
      <c r="C1561" s="16" t="inlineStr">
        <is>
          <t>TCC Concept Ltd.</t>
        </is>
      </c>
      <c r="D1561" s="16" t="inlineStr">
        <is>
          <t>Commodity Trading  &amp; Distribution</t>
        </is>
      </c>
      <c r="E1561" s="16" t="inlineStr">
        <is>
          <t>Commercial Services &amp; Supplies</t>
        </is>
      </c>
      <c r="F1561" s="17" t="n">
        <v>1047.99</v>
      </c>
      <c r="G1561" s="16" t="inlineStr"/>
      <c r="H1561" s="16" t="inlineStr">
        <is>
          <t>512038</t>
        </is>
      </c>
      <c r="I1561" s="27">
        <f>IFERROR(IF(INDEX(Stocks!$G$2:$G$2139,MATCH(A1561,Stocks!$E$2:$E$2139,0))="","No","Yes"),"No")</f>
        <v/>
      </c>
    </row>
    <row r="1562">
      <c r="A1562" s="16" t="inlineStr">
        <is>
          <t>INE796G01012</t>
        </is>
      </c>
      <c r="B1562" s="16" t="inlineStr">
        <is>
          <t>JINDALPHOT</t>
        </is>
      </c>
      <c r="C1562" s="16" t="inlineStr">
        <is>
          <t>Jindal Photo Ltd.</t>
        </is>
      </c>
      <c r="D1562" s="16" t="inlineStr">
        <is>
          <t>Photographic Products</t>
        </is>
      </c>
      <c r="E1562" s="16" t="inlineStr">
        <is>
          <t>General Industrials</t>
        </is>
      </c>
      <c r="F1562" s="17" t="n">
        <v>1047.58</v>
      </c>
      <c r="G1562" s="16" t="inlineStr">
        <is>
          <t>JINDALPHOT</t>
        </is>
      </c>
      <c r="H1562" s="16" t="inlineStr">
        <is>
          <t>532624</t>
        </is>
      </c>
      <c r="I1562" s="27">
        <f>IFERROR(IF(INDEX(Stocks!$G$2:$G$2139,MATCH(A1562,Stocks!$E$2:$E$2139,0))="","No","Yes"),"No")</f>
        <v/>
      </c>
    </row>
    <row r="1563">
      <c r="A1563" s="16" t="inlineStr">
        <is>
          <t>INE290A01027</t>
        </is>
      </c>
      <c r="B1563" s="16" t="inlineStr">
        <is>
          <t>NAHARSPING</t>
        </is>
      </c>
      <c r="C1563" s="16" t="inlineStr">
        <is>
          <t>Nahar Spinning Mills Ltd.</t>
        </is>
      </c>
      <c r="D1563" s="16" t="inlineStr">
        <is>
          <t>Textiles</t>
        </is>
      </c>
      <c r="E1563" s="16" t="inlineStr">
        <is>
          <t>Textiles Apparels &amp; Accessories</t>
        </is>
      </c>
      <c r="F1563" s="17" t="n">
        <v>1045.17</v>
      </c>
      <c r="G1563" s="16" t="inlineStr">
        <is>
          <t>NAHARSPING</t>
        </is>
      </c>
      <c r="H1563" s="16" t="inlineStr">
        <is>
          <t>500296</t>
        </is>
      </c>
      <c r="I1563" s="27">
        <f>IFERROR(IF(INDEX(Stocks!$G$2:$G$2139,MATCH(A1563,Stocks!$E$2:$E$2139,0))="","No","Yes"),"No")</f>
        <v/>
      </c>
    </row>
    <row r="1564">
      <c r="A1564" s="16" t="inlineStr">
        <is>
          <t>INE0ECP01024</t>
        </is>
      </c>
      <c r="B1564" s="16" t="inlineStr">
        <is>
          <t>HMAAGRO</t>
        </is>
      </c>
      <c r="C1564" s="16" t="inlineStr">
        <is>
          <t>HMA Agro Industries Ltd.</t>
        </is>
      </c>
      <c r="D1564" s="16" t="inlineStr">
        <is>
          <t>Other Food &amp; Beverages</t>
        </is>
      </c>
      <c r="E1564" s="16" t="inlineStr">
        <is>
          <t>Food, Beverages &amp; Tobacco</t>
        </is>
      </c>
      <c r="F1564" s="17" t="n">
        <v>1043.6</v>
      </c>
      <c r="G1564" s="16" t="inlineStr">
        <is>
          <t>HMAAGRO</t>
        </is>
      </c>
      <c r="H1564" s="16" t="inlineStr">
        <is>
          <t>543929</t>
        </is>
      </c>
      <c r="I1564" s="27">
        <f>IFERROR(IF(INDEX(Stocks!$G$2:$G$2139,MATCH(A1564,Stocks!$E$2:$E$2139,0))="","No","Yes"),"No")</f>
        <v/>
      </c>
    </row>
    <row r="1565">
      <c r="A1565" s="16" t="inlineStr">
        <is>
          <t>INE577D01013</t>
        </is>
      </c>
      <c r="B1565" s="16" t="inlineStr">
        <is>
          <t>JYOTIRES</t>
        </is>
      </c>
      <c r="C1565" s="16" t="inlineStr">
        <is>
          <t>Jyoti Resins &amp; Adhesives Ltd.</t>
        </is>
      </c>
      <c r="D1565" s="16" t="inlineStr">
        <is>
          <t>Specialty Chemicals</t>
        </is>
      </c>
      <c r="E1565" s="16" t="inlineStr">
        <is>
          <t>Chemicals &amp; Petrochemicals</t>
        </is>
      </c>
      <c r="F1565" s="17" t="n">
        <v>1043.1</v>
      </c>
      <c r="G1565" s="16" t="inlineStr"/>
      <c r="H1565" s="16" t="inlineStr">
        <is>
          <t>514448</t>
        </is>
      </c>
      <c r="I1565" s="27">
        <f>IFERROR(IF(INDEX(Stocks!$G$2:$G$2139,MATCH(A1565,Stocks!$E$2:$E$2139,0))="","No","Yes"),"No")</f>
        <v/>
      </c>
    </row>
    <row r="1566">
      <c r="A1566" s="16" t="inlineStr">
        <is>
          <t>INE068B01017</t>
        </is>
      </c>
      <c r="B1566" s="16" t="inlineStr">
        <is>
          <t>SEKURITIND</t>
        </is>
      </c>
      <c r="C1566" s="16" t="inlineStr">
        <is>
          <t>Saint-Gobain Sekurit India Ltd.</t>
        </is>
      </c>
      <c r="D1566" s="16" t="inlineStr">
        <is>
          <t>Auto Parts &amp; Equipment</t>
        </is>
      </c>
      <c r="E1566" s="16" t="inlineStr">
        <is>
          <t>Automobiles &amp; Auto Components</t>
        </is>
      </c>
      <c r="F1566" s="17" t="n">
        <v>1042.25</v>
      </c>
      <c r="G1566" s="16" t="inlineStr"/>
      <c r="H1566" s="16" t="inlineStr">
        <is>
          <t>515043</t>
        </is>
      </c>
      <c r="I1566" s="27">
        <f>IFERROR(IF(INDEX(Stocks!$G$2:$G$2139,MATCH(A1566,Stocks!$E$2:$E$2139,0))="","No","Yes"),"No")</f>
        <v/>
      </c>
    </row>
    <row r="1567">
      <c r="A1567" s="16" t="inlineStr">
        <is>
          <t>INE0RFP01011</t>
        </is>
      </c>
      <c r="B1567" s="16" t="inlineStr">
        <is>
          <t>SSEGL</t>
        </is>
      </c>
      <c r="C1567" s="16" t="inlineStr">
        <is>
          <t>Sathlokhar Synergys E&amp;C Global Ltd.</t>
        </is>
      </c>
      <c r="D1567" s="16" t="inlineStr">
        <is>
          <t>Construction &amp; Engineering</t>
        </is>
      </c>
      <c r="E1567" s="16" t="inlineStr">
        <is>
          <t>Cement and Construction</t>
        </is>
      </c>
      <c r="F1567" s="17" t="n">
        <v>1040.7</v>
      </c>
      <c r="G1567" s="16" t="inlineStr">
        <is>
          <t>SSEGL</t>
        </is>
      </c>
      <c r="H1567" s="16" t="inlineStr"/>
      <c r="I1567" s="27">
        <f>IFERROR(IF(INDEX(Stocks!$G$2:$G$2139,MATCH(A1567,Stocks!$E$2:$E$2139,0))="","No","Yes"),"No")</f>
        <v/>
      </c>
    </row>
    <row r="1568">
      <c r="A1568" s="16" t="inlineStr">
        <is>
          <t>INE611A01016</t>
        </is>
      </c>
      <c r="B1568" s="16" t="inlineStr">
        <is>
          <t>RSWM</t>
        </is>
      </c>
      <c r="C1568" s="16" t="inlineStr">
        <is>
          <t>RSWM Ltd.</t>
        </is>
      </c>
      <c r="D1568" s="16" t="inlineStr">
        <is>
          <t>Textiles</t>
        </is>
      </c>
      <c r="E1568" s="16" t="inlineStr">
        <is>
          <t>Textiles Apparels &amp; Accessories</t>
        </is>
      </c>
      <c r="F1568" s="17" t="n">
        <v>1039.2</v>
      </c>
      <c r="G1568" s="16" t="inlineStr">
        <is>
          <t>RSWM</t>
        </is>
      </c>
      <c r="H1568" s="16" t="inlineStr">
        <is>
          <t>500350</t>
        </is>
      </c>
      <c r="I1568" s="27">
        <f>IFERROR(IF(INDEX(Stocks!$G$2:$G$2139,MATCH(A1568,Stocks!$E$2:$E$2139,0))="","No","Yes"),"No")</f>
        <v/>
      </c>
    </row>
    <row r="1569">
      <c r="A1569" s="16" t="inlineStr">
        <is>
          <t>INE964H01014</t>
        </is>
      </c>
      <c r="B1569" s="16" t="inlineStr">
        <is>
          <t>SEPC</t>
        </is>
      </c>
      <c r="C1569" s="16" t="inlineStr">
        <is>
          <t>SEPC Ltd.</t>
        </is>
      </c>
      <c r="D1569" s="16" t="inlineStr">
        <is>
          <t>Construction &amp; Engineering</t>
        </is>
      </c>
      <c r="E1569" s="16" t="inlineStr">
        <is>
          <t>Cement and Construction</t>
        </is>
      </c>
      <c r="F1569" s="17" t="n">
        <v>1030.55</v>
      </c>
      <c r="G1569" s="16" t="inlineStr">
        <is>
          <t>SEPC</t>
        </is>
      </c>
      <c r="H1569" s="16" t="inlineStr">
        <is>
          <t>532945</t>
        </is>
      </c>
      <c r="I1569" s="27">
        <f>IFERROR(IF(INDEX(Stocks!$G$2:$G$2139,MATCH(A1569,Stocks!$E$2:$E$2139,0))="","No","Yes"),"No")</f>
        <v/>
      </c>
    </row>
    <row r="1570">
      <c r="A1570" s="16" t="inlineStr">
        <is>
          <t>INE00ZE01026</t>
        </is>
      </c>
      <c r="B1570" s="16" t="inlineStr">
        <is>
          <t>AFSL</t>
        </is>
      </c>
      <c r="C1570" s="16" t="inlineStr">
        <is>
          <t>Abans Financial Services Ltd.</t>
        </is>
      </c>
      <c r="D1570" s="16" t="inlineStr">
        <is>
          <t>Finance (including NBFCs)</t>
        </is>
      </c>
      <c r="E1570" s="16" t="inlineStr">
        <is>
          <t>Banking and Finance</t>
        </is>
      </c>
      <c r="F1570" s="17" t="n">
        <v>1027.32</v>
      </c>
      <c r="G1570" s="16" t="inlineStr">
        <is>
          <t>AFSL</t>
        </is>
      </c>
      <c r="H1570" s="16" t="inlineStr">
        <is>
          <t>543712</t>
        </is>
      </c>
      <c r="I1570" s="27">
        <f>IFERROR(IF(INDEX(Stocks!$G$2:$G$2139,MATCH(A1570,Stocks!$E$2:$E$2139,0))="","No","Yes"),"No")</f>
        <v/>
      </c>
    </row>
    <row r="1571">
      <c r="A1571" s="16" t="inlineStr">
        <is>
          <t>INE511Y01018</t>
        </is>
      </c>
      <c r="B1571" s="16" t="inlineStr">
        <is>
          <t>MMP</t>
        </is>
      </c>
      <c r="C1571" s="16" t="inlineStr">
        <is>
          <t>MMP Industries Ltd.</t>
        </is>
      </c>
      <c r="D1571" s="16" t="inlineStr">
        <is>
          <t>Aluminium and Aluminium Products</t>
        </is>
      </c>
      <c r="E1571" s="16" t="inlineStr">
        <is>
          <t>Metals &amp; Mining</t>
        </is>
      </c>
      <c r="F1571" s="17" t="n">
        <v>1026.65</v>
      </c>
      <c r="G1571" s="16" t="inlineStr">
        <is>
          <t>MMP</t>
        </is>
      </c>
      <c r="H1571" s="16" t="inlineStr"/>
      <c r="I1571" s="27">
        <f>IFERROR(IF(INDEX(Stocks!$G$2:$G$2139,MATCH(A1571,Stocks!$E$2:$E$2139,0))="","No","Yes"),"No")</f>
        <v/>
      </c>
    </row>
    <row r="1572">
      <c r="A1572" s="16" t="inlineStr">
        <is>
          <t>INE284H01025</t>
        </is>
      </c>
      <c r="B1572" s="16" t="inlineStr">
        <is>
          <t>DAMCAPITAL</t>
        </is>
      </c>
      <c r="C1572" s="16" t="inlineStr">
        <is>
          <t>DAM Capital Advisors Ltd.</t>
        </is>
      </c>
      <c r="D1572" s="16" t="inlineStr">
        <is>
          <t>Capital Markets</t>
        </is>
      </c>
      <c r="E1572" s="16" t="inlineStr">
        <is>
          <t>Banking and Finance</t>
        </is>
      </c>
      <c r="F1572" s="17" t="n">
        <v>1024.24</v>
      </c>
      <c r="G1572" s="16" t="inlineStr">
        <is>
          <t>DAMCAPITAL</t>
        </is>
      </c>
      <c r="H1572" s="16" t="inlineStr">
        <is>
          <t>544316</t>
        </is>
      </c>
      <c r="I1572" s="27">
        <f>IFERROR(IF(INDEX(Stocks!$G$2:$G$2139,MATCH(A1572,Stocks!$E$2:$E$2139,0))="","No","Yes"),"No")</f>
        <v/>
      </c>
    </row>
    <row r="1573">
      <c r="A1573" s="16" t="inlineStr">
        <is>
          <t>INE559D01011</t>
        </is>
      </c>
      <c r="B1573" s="16" t="inlineStr">
        <is>
          <t>CREST</t>
        </is>
      </c>
      <c r="C1573" s="16" t="inlineStr">
        <is>
          <t>Crest Ventures Ltd.</t>
        </is>
      </c>
      <c r="D1573" s="16" t="inlineStr">
        <is>
          <t>Finance (including NBFCs)</t>
        </is>
      </c>
      <c r="E1573" s="16" t="inlineStr">
        <is>
          <t>Banking and Finance</t>
        </is>
      </c>
      <c r="F1573" s="17" t="n">
        <v>1021.35</v>
      </c>
      <c r="G1573" s="16" t="inlineStr">
        <is>
          <t>CREST</t>
        </is>
      </c>
      <c r="H1573" s="16" t="inlineStr">
        <is>
          <t>511413</t>
        </is>
      </c>
      <c r="I1573" s="27">
        <f>IFERROR(IF(INDEX(Stocks!$G$2:$G$2139,MATCH(A1573,Stocks!$E$2:$E$2139,0))="","No","Yes"),"No")</f>
        <v/>
      </c>
    </row>
    <row r="1574">
      <c r="A1574" s="16" t="inlineStr">
        <is>
          <t>INE02WG01024</t>
        </is>
      </c>
      <c r="B1574" s="16" t="inlineStr">
        <is>
          <t>WEL</t>
        </is>
      </c>
      <c r="C1574" s="16" t="inlineStr">
        <is>
          <t>Wonder Electricals Ltd.</t>
        </is>
      </c>
      <c r="D1574" s="16" t="inlineStr">
        <is>
          <t>Household Appliances</t>
        </is>
      </c>
      <c r="E1574" s="16" t="inlineStr">
        <is>
          <t>Consumer Durables</t>
        </is>
      </c>
      <c r="F1574" s="17" t="n">
        <v>1018.86</v>
      </c>
      <c r="G1574" s="16" t="inlineStr">
        <is>
          <t>WEL</t>
        </is>
      </c>
      <c r="H1574" s="16" t="inlineStr">
        <is>
          <t>543449</t>
        </is>
      </c>
      <c r="I1574" s="27">
        <f>IFERROR(IF(INDEX(Stocks!$G$2:$G$2139,MATCH(A1574,Stocks!$E$2:$E$2139,0))="","No","Yes"),"No")</f>
        <v/>
      </c>
    </row>
    <row r="1575">
      <c r="A1575" s="16" t="inlineStr">
        <is>
          <t>INE189I01024</t>
        </is>
      </c>
      <c r="B1575" s="16" t="inlineStr">
        <is>
          <t>NELCAST</t>
        </is>
      </c>
      <c r="C1575" s="16" t="inlineStr">
        <is>
          <t>Nelcast Ltd.</t>
        </is>
      </c>
      <c r="D1575" s="16" t="inlineStr">
        <is>
          <t>Castings &amp; Forgings</t>
        </is>
      </c>
      <c r="E1575" s="16" t="inlineStr">
        <is>
          <t>General Industrials</t>
        </is>
      </c>
      <c r="F1575" s="17" t="n">
        <v>1017.83</v>
      </c>
      <c r="G1575" s="16" t="inlineStr">
        <is>
          <t>NELCAST</t>
        </is>
      </c>
      <c r="H1575" s="16" t="inlineStr">
        <is>
          <t>532864</t>
        </is>
      </c>
      <c r="I1575" s="27">
        <f>IFERROR(IF(INDEX(Stocks!$G$2:$G$2139,MATCH(A1575,Stocks!$E$2:$E$2139,0))="","No","Yes"),"No")</f>
        <v/>
      </c>
    </row>
    <row r="1576">
      <c r="A1576" s="16" t="inlineStr">
        <is>
          <t>INE477B01010</t>
        </is>
      </c>
      <c r="B1576" s="16" t="inlineStr">
        <is>
          <t>DVL</t>
        </is>
      </c>
      <c r="C1576" s="16" t="inlineStr">
        <is>
          <t>Dhunseri Ventures Ltd.</t>
        </is>
      </c>
      <c r="D1576" s="16" t="inlineStr">
        <is>
          <t>Other Financial Services</t>
        </is>
      </c>
      <c r="E1576" s="16" t="inlineStr">
        <is>
          <t>Banking and Finance</t>
        </is>
      </c>
      <c r="F1576" s="17" t="n">
        <v>1015.89</v>
      </c>
      <c r="G1576" s="16" t="inlineStr">
        <is>
          <t>DVL</t>
        </is>
      </c>
      <c r="H1576" s="16" t="inlineStr">
        <is>
          <t>523736</t>
        </is>
      </c>
      <c r="I1576" s="27">
        <f>IFERROR(IF(INDEX(Stocks!$G$2:$G$2139,MATCH(A1576,Stocks!$E$2:$E$2139,0))="","No","Yes"),"No")</f>
        <v/>
      </c>
    </row>
    <row r="1577">
      <c r="A1577" s="16" t="inlineStr">
        <is>
          <t>INE0TO701015</t>
        </is>
      </c>
      <c r="B1577" s="16" t="inlineStr">
        <is>
          <t>MAMATA</t>
        </is>
      </c>
      <c r="C1577" s="16" t="inlineStr">
        <is>
          <t>Mamata Machinery Ltd.</t>
        </is>
      </c>
      <c r="D1577" s="16" t="inlineStr">
        <is>
          <t>Industrial Machinery</t>
        </is>
      </c>
      <c r="E1577" s="16" t="inlineStr">
        <is>
          <t>General Industrials</t>
        </is>
      </c>
      <c r="F1577" s="17" t="n">
        <v>1015.19</v>
      </c>
      <c r="G1577" s="16" t="inlineStr">
        <is>
          <t>MAMATA</t>
        </is>
      </c>
      <c r="H1577" s="16" t="inlineStr">
        <is>
          <t>544318</t>
        </is>
      </c>
      <c r="I1577" s="27">
        <f>IFERROR(IF(INDEX(Stocks!$G$2:$G$2139,MATCH(A1577,Stocks!$E$2:$E$2139,0))="","No","Yes"),"No")</f>
        <v/>
      </c>
    </row>
    <row r="1578">
      <c r="A1578" s="16" t="inlineStr">
        <is>
          <t>INE599F01020</t>
        </is>
      </c>
      <c r="B1578" s="16" t="inlineStr">
        <is>
          <t>FOSECOC</t>
        </is>
      </c>
      <c r="C1578" s="16" t="inlineStr">
        <is>
          <t>Foseco Crucible (India) Ltd.</t>
        </is>
      </c>
      <c r="D1578" s="16" t="inlineStr">
        <is>
          <t>Other Industrial Goods</t>
        </is>
      </c>
      <c r="E1578" s="16" t="inlineStr">
        <is>
          <t>General Industrials</t>
        </is>
      </c>
      <c r="F1578" s="17" t="n">
        <v>1012.73</v>
      </c>
      <c r="G1578" s="16" t="inlineStr"/>
      <c r="H1578" s="16" t="inlineStr">
        <is>
          <t>523160</t>
        </is>
      </c>
      <c r="I1578" s="27">
        <f>IFERROR(IF(INDEX(Stocks!$G$2:$G$2139,MATCH(A1578,Stocks!$E$2:$E$2139,0))="","No","Yes"),"No")</f>
        <v/>
      </c>
    </row>
    <row r="1579">
      <c r="A1579" s="16" t="inlineStr">
        <is>
          <t>INE734I01027</t>
        </is>
      </c>
      <c r="B1579" s="16" t="inlineStr">
        <is>
          <t>FINKURVE</t>
        </is>
      </c>
      <c r="C1579" s="16" t="inlineStr">
        <is>
          <t>Finkurve Financial Services Ltd.</t>
        </is>
      </c>
      <c r="D1579" s="16" t="inlineStr">
        <is>
          <t>Finance (including NBFCs)</t>
        </is>
      </c>
      <c r="E1579" s="16" t="inlineStr">
        <is>
          <t>Banking and Finance</t>
        </is>
      </c>
      <c r="F1579" s="17" t="n">
        <v>1012.71</v>
      </c>
      <c r="G1579" s="16" t="inlineStr">
        <is>
          <t>FINKURVE</t>
        </is>
      </c>
      <c r="H1579" s="16" t="inlineStr">
        <is>
          <t>508954</t>
        </is>
      </c>
      <c r="I1579" s="27">
        <f>IFERROR(IF(INDEX(Stocks!$G$2:$G$2139,MATCH(A1579,Stocks!$E$2:$E$2139,0))="","No","Yes"),"No")</f>
        <v/>
      </c>
    </row>
    <row r="1580">
      <c r="A1580" s="16" t="inlineStr">
        <is>
          <t>INE336H01023</t>
        </is>
      </c>
      <c r="B1580" s="16" t="inlineStr">
        <is>
          <t>GAYAPROJ</t>
        </is>
      </c>
      <c r="C1580" s="16" t="inlineStr">
        <is>
          <t>Gayatri Projects Ltd.</t>
        </is>
      </c>
      <c r="D1580" s="16" t="inlineStr">
        <is>
          <t>Construction &amp; Engineering</t>
        </is>
      </c>
      <c r="E1580" s="16" t="inlineStr">
        <is>
          <t>Cement and Construction</t>
        </is>
      </c>
      <c r="F1580" s="17" t="n">
        <v>1010.31</v>
      </c>
      <c r="G1580" s="16" t="inlineStr">
        <is>
          <t>GAYAPROJ</t>
        </is>
      </c>
      <c r="H1580" s="16" t="inlineStr">
        <is>
          <t>532767</t>
        </is>
      </c>
      <c r="I1580" s="27">
        <f>IFERROR(IF(INDEX(Stocks!$G$2:$G$2139,MATCH(A1580,Stocks!$E$2:$E$2139,0))="","No","Yes"),"No")</f>
        <v/>
      </c>
    </row>
    <row r="1581">
      <c r="A1581" s="16" t="inlineStr">
        <is>
          <t>INE199E01014</t>
        </is>
      </c>
      <c r="B1581" s="16" t="inlineStr">
        <is>
          <t>SUNSHIEL</t>
        </is>
      </c>
      <c r="C1581" s="16" t="inlineStr">
        <is>
          <t>Sunshield Chemicals Ltd.</t>
        </is>
      </c>
      <c r="D1581" s="16" t="inlineStr">
        <is>
          <t>Specialty Chemicals</t>
        </is>
      </c>
      <c r="E1581" s="16" t="inlineStr">
        <is>
          <t>Chemicals &amp; Petrochemicals</t>
        </is>
      </c>
      <c r="F1581" s="17" t="n">
        <v>1005.03</v>
      </c>
      <c r="G1581" s="16" t="inlineStr"/>
      <c r="H1581" s="16" t="inlineStr">
        <is>
          <t>530845</t>
        </is>
      </c>
      <c r="I1581" s="27">
        <f>IFERROR(IF(INDEX(Stocks!$G$2:$G$2139,MATCH(A1581,Stocks!$E$2:$E$2139,0))="","No","Yes"),"No")</f>
        <v/>
      </c>
    </row>
    <row r="1582">
      <c r="A1582" s="16" t="inlineStr">
        <is>
          <t>INE799B01025</t>
        </is>
      </c>
      <c r="B1582" s="16" t="inlineStr">
        <is>
          <t>HIIL</t>
        </is>
      </c>
      <c r="C1582" s="16" t="inlineStr">
        <is>
          <t>Hindusthan Insulators &amp; Industries Ltd.</t>
        </is>
      </c>
      <c r="D1582" s="16" t="inlineStr">
        <is>
          <t>Electronic Components</t>
        </is>
      </c>
      <c r="E1582" s="16" t="inlineStr">
        <is>
          <t>Commercial Services &amp; Supplies</t>
        </is>
      </c>
      <c r="F1582" s="17" t="n">
        <v>1002.3</v>
      </c>
      <c r="G1582" s="16" t="inlineStr"/>
      <c r="H1582" s="16" t="inlineStr">
        <is>
          <t>539984</t>
        </is>
      </c>
      <c r="I1582" s="27">
        <f>IFERROR(IF(INDEX(Stocks!$G$2:$G$2139,MATCH(A1582,Stocks!$E$2:$E$2139,0))="","No","Yes"),"No")</f>
        <v/>
      </c>
    </row>
    <row r="1583">
      <c r="A1583" s="16" t="inlineStr">
        <is>
          <t>INE0SFW01015</t>
        </is>
      </c>
      <c r="B1583" s="16" t="inlineStr">
        <is>
          <t>FRESHARA</t>
        </is>
      </c>
      <c r="C1583" s="16" t="inlineStr">
        <is>
          <t>Freshara Agro Exports Ltd.</t>
        </is>
      </c>
      <c r="D1583" s="16" t="inlineStr">
        <is>
          <t>Other Food &amp; Beverages</t>
        </is>
      </c>
      <c r="E1583" s="16" t="inlineStr">
        <is>
          <t>Food, Beverages &amp; Tobacco</t>
        </is>
      </c>
      <c r="F1583" s="17" t="n">
        <v>1000.36</v>
      </c>
      <c r="G1583" s="16" t="inlineStr">
        <is>
          <t>FRESHARA</t>
        </is>
      </c>
      <c r="H1583" s="16" t="inlineStr"/>
      <c r="I1583" s="27">
        <f>IFERROR(IF(INDEX(Stocks!$G$2:$G$2139,MATCH(A1583,Stocks!$E$2:$E$2139,0))="","No","Yes"),"No")</f>
        <v/>
      </c>
    </row>
    <row r="1584">
      <c r="A1584" s="16" t="inlineStr">
        <is>
          <t>INE309M01020</t>
        </is>
      </c>
      <c r="B1584" s="16" t="inlineStr">
        <is>
          <t>PREMIERPOL</t>
        </is>
      </c>
      <c r="C1584" s="16" t="inlineStr">
        <is>
          <t>Premier Polyfilm Ltd.</t>
        </is>
      </c>
      <c r="D1584" s="16" t="inlineStr">
        <is>
          <t>Plastic Products</t>
        </is>
      </c>
      <c r="E1584" s="16" t="inlineStr">
        <is>
          <t>General Industrials</t>
        </is>
      </c>
      <c r="F1584" s="17" t="n">
        <v>998.8200000000001</v>
      </c>
      <c r="G1584" s="16" t="inlineStr">
        <is>
          <t>PREMIERPOL</t>
        </is>
      </c>
      <c r="H1584" s="16" t="inlineStr">
        <is>
          <t>514354</t>
        </is>
      </c>
      <c r="I1584" s="27">
        <f>IFERROR(IF(INDEX(Stocks!$G$2:$G$2139,MATCH(A1584,Stocks!$E$2:$E$2139,0))="","No","Yes"),"No")</f>
        <v/>
      </c>
    </row>
    <row r="1585">
      <c r="A1585" s="16" t="inlineStr">
        <is>
          <t>INE740D01017</t>
        </is>
      </c>
      <c r="B1585" s="16" t="inlineStr">
        <is>
          <t>NRAIL</t>
        </is>
      </c>
      <c r="C1585" s="16" t="inlineStr">
        <is>
          <t>N R Agarwal Industries Ltd.</t>
        </is>
      </c>
      <c r="D1585" s="16" t="inlineStr">
        <is>
          <t>Paper &amp; Paper Products</t>
        </is>
      </c>
      <c r="E1585" s="16" t="inlineStr">
        <is>
          <t>Commercial Services &amp; Supplies</t>
        </is>
      </c>
      <c r="F1585" s="17" t="n">
        <v>993.92</v>
      </c>
      <c r="G1585" s="16" t="inlineStr">
        <is>
          <t>NRAIL</t>
        </is>
      </c>
      <c r="H1585" s="16" t="inlineStr">
        <is>
          <t>516082</t>
        </is>
      </c>
      <c r="I1585" s="27">
        <f>IFERROR(IF(INDEX(Stocks!$G$2:$G$2139,MATCH(A1585,Stocks!$E$2:$E$2139,0))="","No","Yes"),"No")</f>
        <v/>
      </c>
    </row>
    <row r="1586">
      <c r="A1586" s="16" t="inlineStr">
        <is>
          <t>INE643K01018</t>
        </is>
      </c>
      <c r="B1586" s="16" t="inlineStr">
        <is>
          <t>ARIHANTSUP</t>
        </is>
      </c>
      <c r="C1586" s="16" t="inlineStr">
        <is>
          <t>Arihant Superstructures Ltd.</t>
        </is>
      </c>
      <c r="D1586" s="16" t="inlineStr">
        <is>
          <t>Realty</t>
        </is>
      </c>
      <c r="E1586" s="16" t="inlineStr">
        <is>
          <t>Realty</t>
        </is>
      </c>
      <c r="F1586" s="17" t="n">
        <v>992.59</v>
      </c>
      <c r="G1586" s="16" t="inlineStr">
        <is>
          <t>ARIHANTSUP</t>
        </is>
      </c>
      <c r="H1586" s="16" t="inlineStr">
        <is>
          <t>506194</t>
        </is>
      </c>
      <c r="I1586" s="27">
        <f>IFERROR(IF(INDEX(Stocks!$G$2:$G$2139,MATCH(A1586,Stocks!$E$2:$E$2139,0))="","No","Yes"),"No")</f>
        <v/>
      </c>
    </row>
    <row r="1587">
      <c r="A1587" s="16" t="inlineStr">
        <is>
          <t>INE00YJ01010</t>
        </is>
      </c>
      <c r="B1587" s="16" t="inlineStr">
        <is>
          <t>JARO</t>
        </is>
      </c>
      <c r="C1587" s="16" t="inlineStr">
        <is>
          <t>Jaro Institute of Technology Management and Research Ltd.</t>
        </is>
      </c>
      <c r="D1587" s="16" t="inlineStr">
        <is>
          <t>Education</t>
        </is>
      </c>
      <c r="E1587" s="16" t="inlineStr">
        <is>
          <t>Diversified Consumer Services</t>
        </is>
      </c>
      <c r="F1587" s="17" t="n">
        <v>992.48</v>
      </c>
      <c r="G1587" s="16" t="inlineStr">
        <is>
          <t>JARO</t>
        </is>
      </c>
      <c r="H1587" s="16" t="inlineStr">
        <is>
          <t>544534</t>
        </is>
      </c>
      <c r="I1587" s="27">
        <f>IFERROR(IF(INDEX(Stocks!$G$2:$G$2139,MATCH(A1587,Stocks!$E$2:$E$2139,0))="","No","Yes"),"No")</f>
        <v/>
      </c>
    </row>
    <row r="1588">
      <c r="A1588" s="16" t="inlineStr">
        <is>
          <t>INE583V01021</t>
        </is>
      </c>
      <c r="B1588" s="16" t="inlineStr">
        <is>
          <t>RADHIKAJWE</t>
        </is>
      </c>
      <c r="C1588" s="16" t="inlineStr">
        <is>
          <t>Radhika Jeweltech Ltd.</t>
        </is>
      </c>
      <c r="D1588" s="16" t="inlineStr">
        <is>
          <t>Gems &amp; Jewellery</t>
        </is>
      </c>
      <c r="E1588" s="16" t="inlineStr">
        <is>
          <t>Textiles Apparels &amp; Accessories</t>
        </is>
      </c>
      <c r="F1588" s="17" t="n">
        <v>981.29</v>
      </c>
      <c r="G1588" s="16" t="inlineStr">
        <is>
          <t>RADHIKAJWE</t>
        </is>
      </c>
      <c r="H1588" s="16" t="inlineStr">
        <is>
          <t>540125</t>
        </is>
      </c>
      <c r="I1588" s="27">
        <f>IFERROR(IF(INDEX(Stocks!$G$2:$G$2139,MATCH(A1588,Stocks!$E$2:$E$2139,0))="","No","Yes"),"No")</f>
        <v/>
      </c>
    </row>
    <row r="1589">
      <c r="A1589" s="16" t="inlineStr">
        <is>
          <t>INE361D01012</t>
        </is>
      </c>
      <c r="B1589" s="16" t="inlineStr">
        <is>
          <t>UNIABEXAL</t>
        </is>
      </c>
      <c r="C1589" s="16" t="inlineStr">
        <is>
          <t>Uni Abex Alloy Products Ltd.</t>
        </is>
      </c>
      <c r="D1589" s="16" t="inlineStr">
        <is>
          <t>Iron &amp; Steel Products</t>
        </is>
      </c>
      <c r="E1589" s="16" t="inlineStr">
        <is>
          <t>Metals &amp; Mining</t>
        </is>
      </c>
      <c r="F1589" s="17" t="n">
        <v>979.6</v>
      </c>
      <c r="G1589" s="16" t="inlineStr"/>
      <c r="H1589" s="16" t="inlineStr">
        <is>
          <t>504605</t>
        </is>
      </c>
      <c r="I1589" s="27">
        <f>IFERROR(IF(INDEX(Stocks!$G$2:$G$2139,MATCH(A1589,Stocks!$E$2:$E$2139,0))="","No","Yes"),"No")</f>
        <v/>
      </c>
    </row>
    <row r="1590">
      <c r="A1590" s="16" t="inlineStr">
        <is>
          <t>INE0GGO01015</t>
        </is>
      </c>
      <c r="B1590" s="16" t="inlineStr">
        <is>
          <t>KRISHIVAL</t>
        </is>
      </c>
      <c r="C1590" s="16" t="inlineStr">
        <is>
          <t>Krishival Foods Ltd.</t>
        </is>
      </c>
      <c r="D1590" s="16" t="inlineStr">
        <is>
          <t>Other Food &amp; Beverages</t>
        </is>
      </c>
      <c r="E1590" s="16" t="inlineStr">
        <is>
          <t>Food, Beverages &amp; Tobacco</t>
        </is>
      </c>
      <c r="F1590" s="17" t="n">
        <v>976.71</v>
      </c>
      <c r="G1590" s="16" t="inlineStr">
        <is>
          <t>KRISHIVAL</t>
        </is>
      </c>
      <c r="H1590" s="16" t="inlineStr">
        <is>
          <t>544416</t>
        </is>
      </c>
      <c r="I1590" s="27">
        <f>IFERROR(IF(INDEX(Stocks!$G$2:$G$2139,MATCH(A1590,Stocks!$E$2:$E$2139,0))="","No","Yes"),"No")</f>
        <v/>
      </c>
    </row>
    <row r="1591">
      <c r="A1591" s="16" t="inlineStr">
        <is>
          <t>INE0TR001017</t>
        </is>
      </c>
      <c r="B1591" s="16" t="inlineStr">
        <is>
          <t>VIESL</t>
        </is>
      </c>
      <c r="C1591" s="16" t="inlineStr">
        <is>
          <t>Vision Infra Equipment Solutions Ltd.</t>
        </is>
      </c>
      <c r="D1591" s="16" t="inlineStr">
        <is>
          <t>Misc. Commercial Services</t>
        </is>
      </c>
      <c r="E1591" s="16" t="inlineStr">
        <is>
          <t>Commercial Services &amp; Supplies</t>
        </is>
      </c>
      <c r="F1591" s="17" t="n">
        <v>976.55</v>
      </c>
      <c r="G1591" s="16" t="inlineStr">
        <is>
          <t>VIESL</t>
        </is>
      </c>
      <c r="H1591" s="16" t="inlineStr"/>
      <c r="I1591" s="27">
        <f>IFERROR(IF(INDEX(Stocks!$G$2:$G$2139,MATCH(A1591,Stocks!$E$2:$E$2139,0))="","No","Yes"),"No")</f>
        <v/>
      </c>
    </row>
    <row r="1592">
      <c r="A1592" s="16" t="inlineStr">
        <is>
          <t>INE0LEX01011</t>
        </is>
      </c>
      <c r="B1592" s="16" t="inlineStr">
        <is>
          <t>SAHANA</t>
        </is>
      </c>
      <c r="C1592" s="16" t="inlineStr">
        <is>
          <t>Sahana System Ltd.</t>
        </is>
      </c>
      <c r="D1592" s="16" t="inlineStr">
        <is>
          <t>IT Consulting &amp; Software</t>
        </is>
      </c>
      <c r="E1592" s="16" t="inlineStr">
        <is>
          <t>Software &amp; Services</t>
        </is>
      </c>
      <c r="F1592" s="17" t="n">
        <v>975.9299999999999</v>
      </c>
      <c r="G1592" s="16" t="inlineStr">
        <is>
          <t>SAHANA</t>
        </is>
      </c>
      <c r="H1592" s="16" t="inlineStr"/>
      <c r="I1592" s="27">
        <f>IFERROR(IF(INDEX(Stocks!$G$2:$G$2139,MATCH(A1592,Stocks!$E$2:$E$2139,0))="","No","Yes"),"No")</f>
        <v/>
      </c>
    </row>
    <row r="1593">
      <c r="A1593" s="16" t="inlineStr">
        <is>
          <t>INE778B01029</t>
        </is>
      </c>
      <c r="B1593" s="16" t="inlineStr">
        <is>
          <t>ESTER</t>
        </is>
      </c>
      <c r="C1593" s="16" t="inlineStr">
        <is>
          <t>Ester Industries Ltd.</t>
        </is>
      </c>
      <c r="D1593" s="16" t="inlineStr">
        <is>
          <t>Containers &amp; Packaging</t>
        </is>
      </c>
      <c r="E1593" s="16" t="inlineStr">
        <is>
          <t>Commercial Services &amp; Supplies</t>
        </is>
      </c>
      <c r="F1593" s="17" t="n">
        <v>975.89</v>
      </c>
      <c r="G1593" s="16" t="inlineStr">
        <is>
          <t>ESTER</t>
        </is>
      </c>
      <c r="H1593" s="16" t="inlineStr">
        <is>
          <t>500136</t>
        </is>
      </c>
      <c r="I1593" s="27">
        <f>IFERROR(IF(INDEX(Stocks!$G$2:$G$2139,MATCH(A1593,Stocks!$E$2:$E$2139,0))="","No","Yes"),"No")</f>
        <v/>
      </c>
    </row>
    <row r="1594">
      <c r="A1594" s="16" t="inlineStr">
        <is>
          <t>INE00U401027</t>
        </is>
      </c>
      <c r="B1594" s="16" t="inlineStr">
        <is>
          <t>UNIECOM</t>
        </is>
      </c>
      <c r="C1594" s="16" t="inlineStr">
        <is>
          <t>Unicommerce eSolutions Ltd.</t>
        </is>
      </c>
      <c r="D1594" s="16" t="inlineStr">
        <is>
          <t>IT Software Products</t>
        </is>
      </c>
      <c r="E1594" s="16" t="inlineStr">
        <is>
          <t>Software &amp; Services</t>
        </is>
      </c>
      <c r="F1594" s="17" t="n">
        <v>975.75</v>
      </c>
      <c r="G1594" s="16" t="inlineStr">
        <is>
          <t>UNIECOM</t>
        </is>
      </c>
      <c r="H1594" s="16" t="inlineStr">
        <is>
          <t>544227</t>
        </is>
      </c>
      <c r="I1594" s="27">
        <f>IFERROR(IF(INDEX(Stocks!$G$2:$G$2139,MATCH(A1594,Stocks!$E$2:$E$2139,0))="","No","Yes"),"No")</f>
        <v/>
      </c>
    </row>
    <row r="1595">
      <c r="A1595" s="16" t="inlineStr">
        <is>
          <t>INE457F01013</t>
        </is>
      </c>
      <c r="B1595" s="16" t="inlineStr">
        <is>
          <t>SALZERELEC</t>
        </is>
      </c>
      <c r="C1595" s="16" t="inlineStr">
        <is>
          <t>Salzer Electronics Ltd.</t>
        </is>
      </c>
      <c r="D1595" s="16" t="inlineStr">
        <is>
          <t>Other Electrical Equipment/Products</t>
        </is>
      </c>
      <c r="E1595" s="16" t="inlineStr">
        <is>
          <t>Consumer Durables</t>
        </is>
      </c>
      <c r="F1595" s="17" t="n">
        <v>972.02</v>
      </c>
      <c r="G1595" s="16" t="inlineStr">
        <is>
          <t>SALZERELEC</t>
        </is>
      </c>
      <c r="H1595" s="16" t="inlineStr">
        <is>
          <t>517059</t>
        </is>
      </c>
      <c r="I1595" s="27">
        <f>IFERROR(IF(INDEX(Stocks!$G$2:$G$2139,MATCH(A1595,Stocks!$E$2:$E$2139,0))="","No","Yes"),"No")</f>
        <v/>
      </c>
    </row>
    <row r="1596">
      <c r="A1596" s="16" t="inlineStr">
        <is>
          <t>INE754A01055</t>
        </is>
      </c>
      <c r="B1596" s="16" t="inlineStr">
        <is>
          <t>SUBEXLTD</t>
        </is>
      </c>
      <c r="C1596" s="16" t="inlineStr">
        <is>
          <t>Subex Ltd.</t>
        </is>
      </c>
      <c r="D1596" s="16" t="inlineStr">
        <is>
          <t>IT Software Products</t>
        </is>
      </c>
      <c r="E1596" s="16" t="inlineStr">
        <is>
          <t>Software &amp; Services</t>
        </is>
      </c>
      <c r="F1596" s="17" t="n">
        <v>971.14</v>
      </c>
      <c r="G1596" s="16" t="inlineStr">
        <is>
          <t>SUBEXLTD</t>
        </is>
      </c>
      <c r="H1596" s="16" t="inlineStr">
        <is>
          <t>532348</t>
        </is>
      </c>
      <c r="I1596" s="27">
        <f>IFERROR(IF(INDEX(Stocks!$G$2:$G$2139,MATCH(A1596,Stocks!$E$2:$E$2139,0))="","No","Yes"),"No")</f>
        <v/>
      </c>
    </row>
    <row r="1597">
      <c r="A1597" s="16" t="inlineStr">
        <is>
          <t>INE17WC01013</t>
        </is>
      </c>
      <c r="B1597" s="16" t="inlineStr">
        <is>
          <t>TEJASCARGO</t>
        </is>
      </c>
      <c r="C1597" s="16" t="inlineStr">
        <is>
          <t>Tejas Cargo India Ltd.</t>
        </is>
      </c>
      <c r="D1597" s="16" t="inlineStr">
        <is>
          <t>Warehousing &amp; Logistics</t>
        </is>
      </c>
      <c r="E1597" s="16" t="inlineStr">
        <is>
          <t>Transportation</t>
        </is>
      </c>
      <c r="F1597" s="17" t="n">
        <v>967.66</v>
      </c>
      <c r="G1597" s="16" t="inlineStr">
        <is>
          <t>TEJASCARGO</t>
        </is>
      </c>
      <c r="H1597" s="16" t="inlineStr"/>
      <c r="I1597" s="27">
        <f>IFERROR(IF(INDEX(Stocks!$G$2:$G$2139,MATCH(A1597,Stocks!$E$2:$E$2139,0))="","No","Yes"),"No")</f>
        <v/>
      </c>
    </row>
    <row r="1598">
      <c r="A1598" s="16" t="inlineStr">
        <is>
          <t>INE032B01021</t>
        </is>
      </c>
      <c r="B1598" s="16" t="inlineStr">
        <is>
          <t>PRIMESECU</t>
        </is>
      </c>
      <c r="C1598" s="16" t="inlineStr">
        <is>
          <t>Prime Securities Ltd.</t>
        </is>
      </c>
      <c r="D1598" s="16" t="inlineStr">
        <is>
          <t>Other Financial Services</t>
        </is>
      </c>
      <c r="E1598" s="16" t="inlineStr">
        <is>
          <t>Banking and Finance</t>
        </is>
      </c>
      <c r="F1598" s="17" t="n">
        <v>966.17</v>
      </c>
      <c r="G1598" s="16" t="inlineStr">
        <is>
          <t>PRIMESECU</t>
        </is>
      </c>
      <c r="H1598" s="16" t="inlineStr">
        <is>
          <t>500337</t>
        </is>
      </c>
      <c r="I1598" s="27">
        <f>IFERROR(IF(INDEX(Stocks!$G$2:$G$2139,MATCH(A1598,Stocks!$E$2:$E$2139,0))="","No","Yes"),"No")</f>
        <v/>
      </c>
    </row>
    <row r="1599">
      <c r="A1599" s="16" t="inlineStr">
        <is>
          <t>INE528A01020</t>
        </is>
      </c>
      <c r="B1599" s="16" t="inlineStr">
        <is>
          <t>GKWLIMITED</t>
        </is>
      </c>
      <c r="C1599" s="16" t="inlineStr">
        <is>
          <t>GKW Ltd.</t>
        </is>
      </c>
      <c r="D1599" s="16" t="inlineStr">
        <is>
          <t>Other Financial Services</t>
        </is>
      </c>
      <c r="E1599" s="16" t="inlineStr">
        <is>
          <t>Banking and Finance</t>
        </is>
      </c>
      <c r="F1599" s="17" t="n">
        <v>961.14</v>
      </c>
      <c r="G1599" s="16" t="inlineStr">
        <is>
          <t>GKWLIMITED</t>
        </is>
      </c>
      <c r="H1599" s="16" t="inlineStr">
        <is>
          <t>504704</t>
        </is>
      </c>
      <c r="I1599" s="27">
        <f>IFERROR(IF(INDEX(Stocks!$G$2:$G$2139,MATCH(A1599,Stocks!$E$2:$E$2139,0))="","No","Yes"),"No")</f>
        <v/>
      </c>
    </row>
    <row r="1600">
      <c r="A1600" s="16" t="inlineStr">
        <is>
          <t>INE032Z01020</t>
        </is>
      </c>
      <c r="B1600" s="16" t="inlineStr">
        <is>
          <t>BSHSL</t>
        </is>
      </c>
      <c r="C1600" s="16" t="inlineStr">
        <is>
          <t>Bombay Super Hybrid Seeds Ltd.</t>
        </is>
      </c>
      <c r="D1600" s="16" t="inlineStr">
        <is>
          <t>Other Agricultural Products</t>
        </is>
      </c>
      <c r="E1600" s="16" t="inlineStr">
        <is>
          <t>Food, Beverages &amp; Tobacco</t>
        </is>
      </c>
      <c r="F1600" s="17" t="n">
        <v>959.97</v>
      </c>
      <c r="G1600" s="16" t="inlineStr">
        <is>
          <t>BSHSL</t>
        </is>
      </c>
      <c r="H1600" s="16" t="inlineStr">
        <is>
          <t>544757</t>
        </is>
      </c>
      <c r="I1600" s="27">
        <f>IFERROR(IF(INDEX(Stocks!$G$2:$G$2139,MATCH(A1600,Stocks!$E$2:$E$2139,0))="","No","Yes"),"No")</f>
        <v/>
      </c>
    </row>
    <row r="1601">
      <c r="A1601" s="16" t="inlineStr">
        <is>
          <t>INE368U01029</t>
        </is>
      </c>
      <c r="B1601" s="16" t="inlineStr">
        <is>
          <t>UNITEDPOLY</t>
        </is>
      </c>
      <c r="C1601" s="16" t="inlineStr">
        <is>
          <t>United Polyfab Gujarat Ltd.</t>
        </is>
      </c>
      <c r="D1601" s="16" t="inlineStr">
        <is>
          <t>Textiles</t>
        </is>
      </c>
      <c r="E1601" s="16" t="inlineStr">
        <is>
          <t>Textiles Apparels &amp; Accessories</t>
        </is>
      </c>
      <c r="F1601" s="17" t="n">
        <v>956.16</v>
      </c>
      <c r="G1601" s="16" t="inlineStr">
        <is>
          <t>UNITEDPOLY</t>
        </is>
      </c>
      <c r="H1601" s="16" t="inlineStr">
        <is>
          <t>544756</t>
        </is>
      </c>
      <c r="I1601" s="27">
        <f>IFERROR(IF(INDEX(Stocks!$G$2:$G$2139,MATCH(A1601,Stocks!$E$2:$E$2139,0))="","No","Yes"),"No")</f>
        <v/>
      </c>
    </row>
    <row r="1602">
      <c r="A1602" s="16" t="inlineStr">
        <is>
          <t>INE1J5V01013</t>
        </is>
      </c>
      <c r="B1602" s="16" t="inlineStr">
        <is>
          <t>ANAWIL</t>
        </is>
      </c>
      <c r="C1602" s="16" t="inlineStr">
        <is>
          <t>Anawil Wire &amp; Engineering Ltd.</t>
        </is>
      </c>
      <c r="D1602" s="16" t="inlineStr">
        <is>
          <t>Other Industrial Products</t>
        </is>
      </c>
      <c r="E1602" s="16" t="inlineStr">
        <is>
          <t>General Industrials</t>
        </is>
      </c>
      <c r="F1602" s="17" t="n">
        <v>955.99</v>
      </c>
      <c r="G1602" s="16" t="inlineStr">
        <is>
          <t>ANAWIL</t>
        </is>
      </c>
      <c r="H1602" s="16" t="inlineStr"/>
      <c r="I1602" s="27">
        <f>IFERROR(IF(INDEX(Stocks!$G$2:$G$2139,MATCH(A1602,Stocks!$E$2:$E$2139,0))="","No","Yes"),"No")</f>
        <v/>
      </c>
    </row>
    <row r="1603">
      <c r="A1603" s="16" t="inlineStr">
        <is>
          <t>INE0IZQ01016</t>
        </is>
      </c>
      <c r="B1603" s="16" t="inlineStr">
        <is>
          <t>BRRL</t>
        </is>
      </c>
      <c r="C1603" s="16" t="inlineStr">
        <is>
          <t>B-Right Realestate Ltd.</t>
        </is>
      </c>
      <c r="D1603" s="16" t="inlineStr">
        <is>
          <t>Realty</t>
        </is>
      </c>
      <c r="E1603" s="16" t="inlineStr">
        <is>
          <t>Realty</t>
        </is>
      </c>
      <c r="F1603" s="17" t="n">
        <v>955.64</v>
      </c>
      <c r="G1603" s="16" t="inlineStr"/>
      <c r="H1603" s="16" t="inlineStr">
        <is>
          <t>543543</t>
        </is>
      </c>
      <c r="I1603" s="27">
        <f>IFERROR(IF(INDEX(Stocks!$G$2:$G$2139,MATCH(A1603,Stocks!$E$2:$E$2139,0))="","No","Yes"),"No")</f>
        <v/>
      </c>
    </row>
    <row r="1604">
      <c r="A1604" s="16" t="inlineStr">
        <is>
          <t>INE019J01013</t>
        </is>
      </c>
      <c r="B1604" s="16" t="inlineStr">
        <is>
          <t>HEALTHX</t>
        </is>
      </c>
      <c r="C1604" s="16" t="inlineStr">
        <is>
          <t>Health X Platform Ltd.</t>
        </is>
      </c>
      <c r="D1604" s="16" t="inlineStr">
        <is>
          <t>Healthcare Services</t>
        </is>
      </c>
      <c r="E1604" s="16" t="inlineStr">
        <is>
          <t>Healthcare</t>
        </is>
      </c>
      <c r="F1604" s="17" t="n">
        <v>955.27</v>
      </c>
      <c r="G1604" s="16" t="inlineStr">
        <is>
          <t>HEALTHX</t>
        </is>
      </c>
      <c r="H1604" s="16" t="inlineStr">
        <is>
          <t>533259</t>
        </is>
      </c>
      <c r="I1604" s="27">
        <f>IFERROR(IF(INDEX(Stocks!$G$2:$G$2139,MATCH(A1604,Stocks!$E$2:$E$2139,0))="","No","Yes"),"No")</f>
        <v/>
      </c>
    </row>
    <row r="1605">
      <c r="A1605" s="16" t="inlineStr">
        <is>
          <t>INE413D01011</t>
        </is>
      </c>
      <c r="B1605" s="16" t="inlineStr">
        <is>
          <t>ARIHANT</t>
        </is>
      </c>
      <c r="C1605" s="16" t="inlineStr">
        <is>
          <t>Arihant Foundations &amp; Housing Ltd.</t>
        </is>
      </c>
      <c r="D1605" s="16" t="inlineStr">
        <is>
          <t>Realty</t>
        </is>
      </c>
      <c r="E1605" s="16" t="inlineStr">
        <is>
          <t>Realty</t>
        </is>
      </c>
      <c r="F1605" s="17" t="n">
        <v>954.6</v>
      </c>
      <c r="G1605" s="16" t="inlineStr"/>
      <c r="H1605" s="16" t="inlineStr">
        <is>
          <t>531381</t>
        </is>
      </c>
      <c r="I1605" s="27">
        <f>IFERROR(IF(INDEX(Stocks!$G$2:$G$2139,MATCH(A1605,Stocks!$E$2:$E$2139,0))="","No","Yes"),"No")</f>
        <v/>
      </c>
    </row>
    <row r="1606">
      <c r="A1606" s="16" t="inlineStr">
        <is>
          <t>INE417D01020</t>
        </is>
      </c>
      <c r="B1606" s="16" t="inlineStr">
        <is>
          <t>FEDDERSHOL</t>
        </is>
      </c>
      <c r="C1606" s="16" t="inlineStr">
        <is>
          <t>Fedders Holding Ltd.</t>
        </is>
      </c>
      <c r="D1606" s="16" t="inlineStr">
        <is>
          <t>Finance (including NBFCs)</t>
        </is>
      </c>
      <c r="E1606" s="16" t="inlineStr">
        <is>
          <t>Banking and Finance</t>
        </is>
      </c>
      <c r="F1606" s="17" t="n">
        <v>952.09</v>
      </c>
      <c r="G1606" s="16" t="inlineStr"/>
      <c r="H1606" s="16" t="inlineStr">
        <is>
          <t>511628</t>
        </is>
      </c>
      <c r="I1606" s="27">
        <f>IFERROR(IF(INDEX(Stocks!$G$2:$G$2139,MATCH(A1606,Stocks!$E$2:$E$2139,0))="","No","Yes"),"No")</f>
        <v/>
      </c>
    </row>
    <row r="1607">
      <c r="A1607" s="16" t="inlineStr">
        <is>
          <t>INE275D01022</t>
        </is>
      </c>
      <c r="B1607" s="16" t="inlineStr">
        <is>
          <t>AMNPLST</t>
        </is>
      </c>
      <c r="C1607" s="16" t="inlineStr">
        <is>
          <t>Amines &amp; Plasticizers Ltd.</t>
        </is>
      </c>
      <c r="D1607" s="16" t="inlineStr">
        <is>
          <t>Commodity Chemicals</t>
        </is>
      </c>
      <c r="E1607" s="16" t="inlineStr">
        <is>
          <t>Chemicals &amp; Petrochemicals</t>
        </is>
      </c>
      <c r="F1607" s="17" t="n">
        <v>951.24</v>
      </c>
      <c r="G1607" s="16" t="inlineStr">
        <is>
          <t>AMNPLST</t>
        </is>
      </c>
      <c r="H1607" s="16" t="inlineStr">
        <is>
          <t>506248</t>
        </is>
      </c>
      <c r="I1607" s="27">
        <f>IFERROR(IF(INDEX(Stocks!$G$2:$G$2139,MATCH(A1607,Stocks!$E$2:$E$2139,0))="","No","Yes"),"No")</f>
        <v/>
      </c>
    </row>
    <row r="1608">
      <c r="A1608" s="16" t="inlineStr">
        <is>
          <t>INE663B01015</t>
        </is>
      </c>
      <c r="B1608" s="16" t="inlineStr">
        <is>
          <t>CONTROLPR</t>
        </is>
      </c>
      <c r="C1608" s="16" t="inlineStr">
        <is>
          <t>Control Print Ltd.</t>
        </is>
      </c>
      <c r="D1608" s="16" t="inlineStr">
        <is>
          <t>Computer Hardware</t>
        </is>
      </c>
      <c r="E1608" s="16" t="inlineStr">
        <is>
          <t>Hardware Technology &amp; Equipment</t>
        </is>
      </c>
      <c r="F1608" s="17" t="n">
        <v>949.02</v>
      </c>
      <c r="G1608" s="16" t="inlineStr">
        <is>
          <t>CONTROLPR</t>
        </is>
      </c>
      <c r="H1608" s="16" t="inlineStr">
        <is>
          <t>522295</t>
        </is>
      </c>
      <c r="I1608" s="27">
        <f>IFERROR(IF(INDEX(Stocks!$G$2:$G$2139,MATCH(A1608,Stocks!$E$2:$E$2139,0))="","No","Yes"),"No")</f>
        <v/>
      </c>
    </row>
    <row r="1609">
      <c r="A1609" s="16" t="inlineStr">
        <is>
          <t>INE00TV01023</t>
        </is>
      </c>
      <c r="B1609" s="16" t="inlineStr">
        <is>
          <t>SUDARSHAN</t>
        </is>
      </c>
      <c r="C1609" s="16" t="inlineStr">
        <is>
          <t>Sudarshan Pharma Industries Ltd.</t>
        </is>
      </c>
      <c r="D1609" s="16" t="inlineStr">
        <is>
          <t>Specialty Chemicals</t>
        </is>
      </c>
      <c r="E1609" s="16" t="inlineStr">
        <is>
          <t>Chemicals &amp; Petrochemicals</t>
        </is>
      </c>
      <c r="F1609" s="17" t="n">
        <v>948.6799999999999</v>
      </c>
      <c r="G1609" s="16" t="inlineStr"/>
      <c r="H1609" s="16" t="inlineStr">
        <is>
          <t>543828</t>
        </is>
      </c>
      <c r="I1609" s="27">
        <f>IFERROR(IF(INDEX(Stocks!$G$2:$G$2139,MATCH(A1609,Stocks!$E$2:$E$2139,0))="","No","Yes"),"No")</f>
        <v/>
      </c>
    </row>
    <row r="1610">
      <c r="A1610" s="16" t="inlineStr">
        <is>
          <t>INE840M01016</t>
        </is>
      </c>
      <c r="B1610" s="16" t="inlineStr">
        <is>
          <t>ZUARI</t>
        </is>
      </c>
      <c r="C1610" s="16" t="inlineStr">
        <is>
          <t>Zuari Agro Chemicals Ltd.</t>
        </is>
      </c>
      <c r="D1610" s="16" t="inlineStr">
        <is>
          <t>Fertilizers</t>
        </is>
      </c>
      <c r="E1610" s="16" t="inlineStr">
        <is>
          <t>Fertilizers</t>
        </is>
      </c>
      <c r="F1610" s="17" t="n">
        <v>948.66</v>
      </c>
      <c r="G1610" s="16" t="inlineStr">
        <is>
          <t>ZUARI</t>
        </is>
      </c>
      <c r="H1610" s="16" t="inlineStr">
        <is>
          <t>534742</t>
        </is>
      </c>
      <c r="I1610" s="27">
        <f>IFERROR(IF(INDEX(Stocks!$G$2:$G$2139,MATCH(A1610,Stocks!$E$2:$E$2139,0))="","No","Yes"),"No")</f>
        <v/>
      </c>
    </row>
    <row r="1611">
      <c r="A1611" s="16" t="inlineStr">
        <is>
          <t>INE0GMR01016</t>
        </is>
      </c>
      <c r="B1611" s="16" t="inlineStr">
        <is>
          <t>SWARAJ</t>
        </is>
      </c>
      <c r="C1611" s="16" t="inlineStr">
        <is>
          <t>Swaraj Suiting Ltd.</t>
        </is>
      </c>
      <c r="D1611" s="16" t="inlineStr">
        <is>
          <t>Textiles</t>
        </is>
      </c>
      <c r="E1611" s="16" t="inlineStr">
        <is>
          <t>Textiles Apparels &amp; Accessories</t>
        </is>
      </c>
      <c r="F1611" s="17" t="n">
        <v>944.0599999999999</v>
      </c>
      <c r="G1611" s="16" t="inlineStr">
        <is>
          <t>SWARAJ</t>
        </is>
      </c>
      <c r="H1611" s="16" t="inlineStr">
        <is>
          <t>544861</t>
        </is>
      </c>
      <c r="I1611" s="27">
        <f>IFERROR(IF(INDEX(Stocks!$G$2:$G$2139,MATCH(A1611,Stocks!$E$2:$E$2139,0))="","No","Yes"),"No")</f>
        <v/>
      </c>
    </row>
    <row r="1612">
      <c r="A1612" s="16" t="inlineStr">
        <is>
          <t>INE670C01026</t>
        </is>
      </c>
      <c r="B1612" s="16" t="inlineStr">
        <is>
          <t>IIRM</t>
        </is>
      </c>
      <c r="C1612" s="16" t="inlineStr">
        <is>
          <t>IIRM Holdings India Ltd.</t>
        </is>
      </c>
      <c r="D1612" s="16" t="inlineStr">
        <is>
          <t>Commodity Trading  &amp; Distribution</t>
        </is>
      </c>
      <c r="E1612" s="16" t="inlineStr">
        <is>
          <t>Commercial Services &amp; Supplies</t>
        </is>
      </c>
      <c r="F1612" s="17" t="n">
        <v>943.8</v>
      </c>
      <c r="G1612" s="16" t="inlineStr"/>
      <c r="H1612" s="16" t="inlineStr">
        <is>
          <t>526530</t>
        </is>
      </c>
      <c r="I1612" s="27">
        <f>IFERROR(IF(INDEX(Stocks!$G$2:$G$2139,MATCH(A1612,Stocks!$E$2:$E$2139,0))="","No","Yes"),"No")</f>
        <v/>
      </c>
    </row>
    <row r="1613">
      <c r="A1613" s="16" t="inlineStr">
        <is>
          <t>INE00QT01015</t>
        </is>
      </c>
      <c r="B1613" s="16" t="inlineStr">
        <is>
          <t>SGIL</t>
        </is>
      </c>
      <c r="C1613" s="16" t="inlineStr">
        <is>
          <t>Synergy Green Industries Ltd.</t>
        </is>
      </c>
      <c r="D1613" s="16" t="inlineStr">
        <is>
          <t>Other Industrial Products</t>
        </is>
      </c>
      <c r="E1613" s="16" t="inlineStr">
        <is>
          <t>General Industrials</t>
        </is>
      </c>
      <c r="F1613" s="17" t="n">
        <v>942.22</v>
      </c>
      <c r="G1613" s="16" t="inlineStr">
        <is>
          <t>SGIL</t>
        </is>
      </c>
      <c r="H1613" s="16" t="inlineStr">
        <is>
          <t>541929</t>
        </is>
      </c>
      <c r="I1613" s="27">
        <f>IFERROR(IF(INDEX(Stocks!$G$2:$G$2139,MATCH(A1613,Stocks!$E$2:$E$2139,0))="","No","Yes"),"No")</f>
        <v/>
      </c>
    </row>
    <row r="1614">
      <c r="A1614" s="16" t="inlineStr">
        <is>
          <t>INE0CG401037</t>
        </is>
      </c>
      <c r="B1614" s="16" t="inlineStr">
        <is>
          <t>MUKKA</t>
        </is>
      </c>
      <c r="C1614" s="16" t="inlineStr">
        <is>
          <t>Mukka Proteins Ltd.</t>
        </is>
      </c>
      <c r="D1614" s="16" t="inlineStr">
        <is>
          <t>Other Food &amp; Beverages</t>
        </is>
      </c>
      <c r="E1614" s="16" t="inlineStr">
        <is>
          <t>Food, Beverages &amp; Tobacco</t>
        </is>
      </c>
      <c r="F1614" s="17" t="n">
        <v>940.2</v>
      </c>
      <c r="G1614" s="16" t="inlineStr">
        <is>
          <t>MUKKA</t>
        </is>
      </c>
      <c r="H1614" s="16" t="inlineStr">
        <is>
          <t>544135</t>
        </is>
      </c>
      <c r="I1614" s="27">
        <f>IFERROR(IF(INDEX(Stocks!$G$2:$G$2139,MATCH(A1614,Stocks!$E$2:$E$2139,0))="","No","Yes"),"No")</f>
        <v/>
      </c>
    </row>
    <row r="1615">
      <c r="A1615" s="16" t="inlineStr">
        <is>
          <t>INE540G01014</t>
        </is>
      </c>
      <c r="B1615" s="16" t="inlineStr">
        <is>
          <t>AMBIKCO</t>
        </is>
      </c>
      <c r="C1615" s="16" t="inlineStr">
        <is>
          <t>Ambika Cotton Mills Ltd.</t>
        </is>
      </c>
      <c r="D1615" s="16" t="inlineStr">
        <is>
          <t>Textiles</t>
        </is>
      </c>
      <c r="E1615" s="16" t="inlineStr">
        <is>
          <t>Textiles Apparels &amp; Accessories</t>
        </is>
      </c>
      <c r="F1615" s="17" t="n">
        <v>938.38</v>
      </c>
      <c r="G1615" s="16" t="inlineStr">
        <is>
          <t>AMBIKCO</t>
        </is>
      </c>
      <c r="H1615" s="16" t="inlineStr">
        <is>
          <t>531978</t>
        </is>
      </c>
      <c r="I1615" s="27">
        <f>IFERROR(IF(INDEX(Stocks!$G$2:$G$2139,MATCH(A1615,Stocks!$E$2:$E$2139,0))="","No","Yes"),"No")</f>
        <v/>
      </c>
    </row>
    <row r="1616">
      <c r="A1616" s="16" t="inlineStr">
        <is>
          <t>INE455D01012</t>
        </is>
      </c>
      <c r="B1616" s="16" t="inlineStr">
        <is>
          <t>SHAHFOOD</t>
        </is>
      </c>
      <c r="C1616" s="16" t="inlineStr">
        <is>
          <t>Shah Foods Ltd.</t>
        </is>
      </c>
      <c r="D1616" s="16" t="inlineStr">
        <is>
          <t>Packaged Foods</t>
        </is>
      </c>
      <c r="E1616" s="16" t="inlineStr">
        <is>
          <t>FMCG</t>
        </is>
      </c>
      <c r="F1616" s="17" t="n">
        <v>936.91</v>
      </c>
      <c r="G1616" s="16" t="inlineStr"/>
      <c r="H1616" s="16" t="inlineStr">
        <is>
          <t>519031</t>
        </is>
      </c>
      <c r="I1616" s="27">
        <f>IFERROR(IF(INDEX(Stocks!$G$2:$G$2139,MATCH(A1616,Stocks!$E$2:$E$2139,0))="","No","Yes"),"No")</f>
        <v/>
      </c>
    </row>
    <row r="1617">
      <c r="A1617" s="16" t="inlineStr">
        <is>
          <t>INE337E01010</t>
        </is>
      </c>
      <c r="B1617" s="16" t="inlineStr">
        <is>
          <t>VIKRAMTH</t>
        </is>
      </c>
      <c r="C1617" s="16" t="inlineStr">
        <is>
          <t>Vikram Thermo (India) Ltd.</t>
        </is>
      </c>
      <c r="D1617" s="16" t="inlineStr">
        <is>
          <t>Pharmaceuticals</t>
        </is>
      </c>
      <c r="E1617" s="16" t="inlineStr">
        <is>
          <t>Pharmaceuticals &amp; Biotechnology</t>
        </is>
      </c>
      <c r="F1617" s="17" t="n">
        <v>934.46</v>
      </c>
      <c r="G1617" s="16" t="inlineStr"/>
      <c r="H1617" s="16" t="inlineStr">
        <is>
          <t>530477</t>
        </is>
      </c>
      <c r="I1617" s="27">
        <f>IFERROR(IF(INDEX(Stocks!$G$2:$G$2139,MATCH(A1617,Stocks!$E$2:$E$2139,0))="","No","Yes"),"No")</f>
        <v/>
      </c>
    </row>
    <row r="1618">
      <c r="A1618" s="16" t="inlineStr">
        <is>
          <t>INE025A01027</t>
        </is>
      </c>
      <c r="B1618" s="16" t="inlineStr">
        <is>
          <t>CONSOFINVT</t>
        </is>
      </c>
      <c r="C1618" s="16" t="inlineStr">
        <is>
          <t>Consolidated Finvest &amp; Holdings Ltd.</t>
        </is>
      </c>
      <c r="D1618" s="16" t="inlineStr">
        <is>
          <t>Finance (including NBFCs)</t>
        </is>
      </c>
      <c r="E1618" s="16" t="inlineStr">
        <is>
          <t>Banking and Finance</t>
        </is>
      </c>
      <c r="F1618" s="17" t="n">
        <v>931.97</v>
      </c>
      <c r="G1618" s="16" t="inlineStr">
        <is>
          <t>CONSOFINVT</t>
        </is>
      </c>
      <c r="H1618" s="16" t="inlineStr">
        <is>
          <t>500226</t>
        </is>
      </c>
      <c r="I1618" s="27">
        <f>IFERROR(IF(INDEX(Stocks!$G$2:$G$2139,MATCH(A1618,Stocks!$E$2:$E$2139,0))="","No","Yes"),"No")</f>
        <v/>
      </c>
    </row>
    <row r="1619">
      <c r="A1619" s="16" t="inlineStr">
        <is>
          <t>INE194D01017</t>
        </is>
      </c>
      <c r="B1619" s="16" t="inlineStr">
        <is>
          <t>ASTAR</t>
        </is>
      </c>
      <c r="C1619" s="16" t="inlineStr">
        <is>
          <t>Asian Star Company Ltd.</t>
        </is>
      </c>
      <c r="D1619" s="16" t="inlineStr">
        <is>
          <t>Gems &amp; Jewellery</t>
        </is>
      </c>
      <c r="E1619" s="16" t="inlineStr">
        <is>
          <t>Textiles Apparels &amp; Accessories</t>
        </is>
      </c>
      <c r="F1619" s="17" t="n">
        <v>928.39</v>
      </c>
      <c r="G1619" s="16" t="inlineStr"/>
      <c r="H1619" s="16" t="inlineStr">
        <is>
          <t>531847</t>
        </is>
      </c>
      <c r="I1619" s="27">
        <f>IFERROR(IF(INDEX(Stocks!$G$2:$G$2139,MATCH(A1619,Stocks!$E$2:$E$2139,0))="","No","Yes"),"No")</f>
        <v/>
      </c>
    </row>
    <row r="1620">
      <c r="A1620" s="16" t="inlineStr">
        <is>
          <t>INE535F01024</t>
        </is>
      </c>
      <c r="B1620" s="16" t="inlineStr">
        <is>
          <t>RAJOOENG</t>
        </is>
      </c>
      <c r="C1620" s="16" t="inlineStr">
        <is>
          <t>Rajoo Engineers Ltd.</t>
        </is>
      </c>
      <c r="D1620" s="16" t="inlineStr">
        <is>
          <t>Industrial Machinery</t>
        </is>
      </c>
      <c r="E1620" s="16" t="inlineStr">
        <is>
          <t>General Industrials</t>
        </is>
      </c>
      <c r="F1620" s="17" t="n">
        <v>921.79</v>
      </c>
      <c r="G1620" s="16" t="inlineStr">
        <is>
          <t>RAJOOENG</t>
        </is>
      </c>
      <c r="H1620" s="16" t="inlineStr">
        <is>
          <t>522257</t>
        </is>
      </c>
      <c r="I1620" s="27">
        <f>IFERROR(IF(INDEX(Stocks!$G$2:$G$2139,MATCH(A1620,Stocks!$E$2:$E$2139,0))="","No","Yes"),"No")</f>
        <v/>
      </c>
    </row>
    <row r="1621">
      <c r="A1621" s="16" t="inlineStr">
        <is>
          <t>INE841D01013</t>
        </is>
      </c>
      <c r="B1621" s="16" t="inlineStr">
        <is>
          <t>AMAL</t>
        </is>
      </c>
      <c r="C1621" s="16" t="inlineStr">
        <is>
          <t>Amal Ltd.</t>
        </is>
      </c>
      <c r="D1621" s="16" t="inlineStr">
        <is>
          <t>Specialty Chemicals</t>
        </is>
      </c>
      <c r="E1621" s="16" t="inlineStr">
        <is>
          <t>Chemicals &amp; Petrochemicals</t>
        </is>
      </c>
      <c r="F1621" s="17" t="n">
        <v>921.76</v>
      </c>
      <c r="G1621" s="16" t="inlineStr"/>
      <c r="H1621" s="16" t="inlineStr">
        <is>
          <t>506597</t>
        </is>
      </c>
      <c r="I1621" s="27">
        <f>IFERROR(IF(INDEX(Stocks!$G$2:$G$2139,MATCH(A1621,Stocks!$E$2:$E$2139,0))="","No","Yes"),"No")</f>
        <v/>
      </c>
    </row>
    <row r="1622">
      <c r="A1622" s="16" t="inlineStr">
        <is>
          <t>INE00CE01017</t>
        </is>
      </c>
      <c r="B1622" s="16" t="inlineStr">
        <is>
          <t>SVLL</t>
        </is>
      </c>
      <c r="C1622" s="16" t="inlineStr">
        <is>
          <t>Shree Vasu Logistics Ltd.</t>
        </is>
      </c>
      <c r="D1622" s="16" t="inlineStr">
        <is>
          <t>Warehousing &amp; Logistics</t>
        </is>
      </c>
      <c r="E1622" s="16" t="inlineStr">
        <is>
          <t>Transportation</t>
        </is>
      </c>
      <c r="F1622" s="17" t="n">
        <v>918.63</v>
      </c>
      <c r="G1622" s="16" t="inlineStr">
        <is>
          <t>SVLL</t>
        </is>
      </c>
      <c r="H1622" s="16" t="inlineStr"/>
      <c r="I1622" s="27">
        <f>IFERROR(IF(INDEX(Stocks!$G$2:$G$2139,MATCH(A1622,Stocks!$E$2:$E$2139,0))="","No","Yes"),"No")</f>
        <v/>
      </c>
    </row>
    <row r="1623">
      <c r="A1623" s="16" t="inlineStr">
        <is>
          <t>INE0QN801017</t>
        </is>
      </c>
      <c r="B1623" s="16" t="inlineStr">
        <is>
          <t>KRYSTAL</t>
        </is>
      </c>
      <c r="C1623" s="16" t="inlineStr">
        <is>
          <t>Krystal Integrated Services Ltd.</t>
        </is>
      </c>
      <c r="D1623" s="16" t="inlineStr">
        <is>
          <t>Misc. Commercial Services</t>
        </is>
      </c>
      <c r="E1623" s="16" t="inlineStr">
        <is>
          <t>Commercial Services &amp; Supplies</t>
        </is>
      </c>
      <c r="F1623" s="17" t="n">
        <v>914.61</v>
      </c>
      <c r="G1623" s="16" t="inlineStr">
        <is>
          <t>KRYSTAL</t>
        </is>
      </c>
      <c r="H1623" s="16" t="inlineStr">
        <is>
          <t>544149</t>
        </is>
      </c>
      <c r="I1623" s="27">
        <f>IFERROR(IF(INDEX(Stocks!$G$2:$G$2139,MATCH(A1623,Stocks!$E$2:$E$2139,0))="","No","Yes"),"No")</f>
        <v/>
      </c>
    </row>
    <row r="1624">
      <c r="A1624" s="16" t="inlineStr">
        <is>
          <t>INE760F01028</t>
        </is>
      </c>
      <c r="B1624" s="16" t="inlineStr">
        <is>
          <t>INDOAMIN</t>
        </is>
      </c>
      <c r="C1624" s="16" t="inlineStr">
        <is>
          <t>Indo Amines Ltd.</t>
        </is>
      </c>
      <c r="D1624" s="16" t="inlineStr">
        <is>
          <t>Commodity Chemicals</t>
        </is>
      </c>
      <c r="E1624" s="16" t="inlineStr">
        <is>
          <t>Chemicals &amp; Petrochemicals</t>
        </is>
      </c>
      <c r="F1624" s="17" t="n">
        <v>914.3099999999999</v>
      </c>
      <c r="G1624" s="16" t="inlineStr">
        <is>
          <t>INDOAMIN</t>
        </is>
      </c>
      <c r="H1624" s="16" t="inlineStr">
        <is>
          <t>524648</t>
        </is>
      </c>
      <c r="I1624" s="27">
        <f>IFERROR(IF(INDEX(Stocks!$G$2:$G$2139,MATCH(A1624,Stocks!$E$2:$E$2139,0))="","No","Yes"),"No")</f>
        <v/>
      </c>
    </row>
    <row r="1625">
      <c r="A1625" s="16" t="inlineStr">
        <is>
          <t>INE00OQ01016</t>
        </is>
      </c>
      <c r="B1625" s="16" t="inlineStr">
        <is>
          <t>DHARMAJ</t>
        </is>
      </c>
      <c r="C1625" s="16" t="inlineStr">
        <is>
          <t>Dharmaj Crop Guard Ltd.</t>
        </is>
      </c>
      <c r="D1625" s="16" t="inlineStr">
        <is>
          <t>Agrochemicals</t>
        </is>
      </c>
      <c r="E1625" s="16" t="inlineStr">
        <is>
          <t>Chemicals &amp; Petrochemicals</t>
        </is>
      </c>
      <c r="F1625" s="17" t="n">
        <v>912.7</v>
      </c>
      <c r="G1625" s="16" t="inlineStr">
        <is>
          <t>DHARMAJ</t>
        </is>
      </c>
      <c r="H1625" s="16" t="inlineStr">
        <is>
          <t>543687</t>
        </is>
      </c>
      <c r="I1625" s="27">
        <f>IFERROR(IF(INDEX(Stocks!$G$2:$G$2139,MATCH(A1625,Stocks!$E$2:$E$2139,0))="","No","Yes"),"No")</f>
        <v/>
      </c>
    </row>
    <row r="1626">
      <c r="A1626" s="16" t="inlineStr">
        <is>
          <t>INE0MHO01029</t>
        </is>
      </c>
      <c r="B1626" s="16" t="inlineStr">
        <is>
          <t>REGAAL</t>
        </is>
      </c>
      <c r="C1626" s="16" t="inlineStr">
        <is>
          <t>Regaal Resources Ltd.</t>
        </is>
      </c>
      <c r="D1626" s="16" t="inlineStr">
        <is>
          <t>Other Agricultural Products</t>
        </is>
      </c>
      <c r="E1626" s="16" t="inlineStr">
        <is>
          <t>Food, Beverages &amp; Tobacco</t>
        </is>
      </c>
      <c r="F1626" s="17" t="n">
        <v>911.6</v>
      </c>
      <c r="G1626" s="16" t="inlineStr">
        <is>
          <t>REGAAL</t>
        </is>
      </c>
      <c r="H1626" s="16" t="inlineStr">
        <is>
          <t>544485</t>
        </is>
      </c>
      <c r="I1626" s="27">
        <f>IFERROR(IF(INDEX(Stocks!$G$2:$G$2139,MATCH(A1626,Stocks!$E$2:$E$2139,0))="","No","Yes"),"No")</f>
        <v/>
      </c>
    </row>
    <row r="1627">
      <c r="A1627" s="16" t="inlineStr">
        <is>
          <t>INE917H01012</t>
        </is>
      </c>
      <c r="B1627" s="16" t="inlineStr">
        <is>
          <t>SRHHYPOLTD</t>
        </is>
      </c>
      <c r="C1627" s="16" t="inlineStr">
        <is>
          <t>Sree Rayalaseema Hi-Strength Hypo Ltd.</t>
        </is>
      </c>
      <c r="D1627" s="16" t="inlineStr">
        <is>
          <t>Commodity Chemicals</t>
        </is>
      </c>
      <c r="E1627" s="16" t="inlineStr">
        <is>
          <t>Chemicals &amp; Petrochemicals</t>
        </is>
      </c>
      <c r="F1627" s="17" t="n">
        <v>911.54</v>
      </c>
      <c r="G1627" s="16" t="inlineStr">
        <is>
          <t>SRHHYPOLTD</t>
        </is>
      </c>
      <c r="H1627" s="16" t="inlineStr">
        <is>
          <t>532842</t>
        </is>
      </c>
      <c r="I1627" s="27">
        <f>IFERROR(IF(INDEX(Stocks!$G$2:$G$2139,MATCH(A1627,Stocks!$E$2:$E$2139,0))="","No","Yes"),"No")</f>
        <v/>
      </c>
    </row>
    <row r="1628">
      <c r="A1628" s="16" t="inlineStr">
        <is>
          <t>INE0SOY01013</t>
        </is>
      </c>
      <c r="B1628" s="16" t="inlineStr">
        <is>
          <t>TAC</t>
        </is>
      </c>
      <c r="C1628" s="16" t="inlineStr">
        <is>
          <t>TAC Infosec Ltd.</t>
        </is>
      </c>
      <c r="D1628" s="16" t="inlineStr">
        <is>
          <t>IT Consulting &amp; Software</t>
        </is>
      </c>
      <c r="E1628" s="16" t="inlineStr">
        <is>
          <t>Software &amp; Services</t>
        </is>
      </c>
      <c r="F1628" s="17" t="n">
        <v>911.17</v>
      </c>
      <c r="G1628" s="16" t="inlineStr">
        <is>
          <t>TAC</t>
        </is>
      </c>
      <c r="H1628" s="16" t="inlineStr"/>
      <c r="I1628" s="27">
        <f>IFERROR(IF(INDEX(Stocks!$G$2:$G$2139,MATCH(A1628,Stocks!$E$2:$E$2139,0))="","No","Yes"),"No")</f>
        <v/>
      </c>
    </row>
    <row r="1629">
      <c r="A1629" s="16" t="inlineStr">
        <is>
          <t>INE170V01027</t>
        </is>
      </c>
      <c r="B1629" s="16" t="inlineStr">
        <is>
          <t>SALASAR</t>
        </is>
      </c>
      <c r="C1629" s="16" t="inlineStr">
        <is>
          <t>Salasar Techno Engineering Ltd.</t>
        </is>
      </c>
      <c r="D1629" s="16" t="inlineStr">
        <is>
          <t>Construction &amp; Engineering</t>
        </is>
      </c>
      <c r="E1629" s="16" t="inlineStr">
        <is>
          <t>Cement and Construction</t>
        </is>
      </c>
      <c r="F1629" s="17" t="n">
        <v>908.9299999999999</v>
      </c>
      <c r="G1629" s="16" t="inlineStr">
        <is>
          <t>SALASAR</t>
        </is>
      </c>
      <c r="H1629" s="16" t="inlineStr">
        <is>
          <t>540642</t>
        </is>
      </c>
      <c r="I1629" s="27">
        <f>IFERROR(IF(INDEX(Stocks!$G$2:$G$2139,MATCH(A1629,Stocks!$E$2:$E$2139,0))="","No","Yes"),"No")</f>
        <v/>
      </c>
    </row>
    <row r="1630">
      <c r="A1630" s="16" t="inlineStr">
        <is>
          <t>INE414Y01015</t>
        </is>
      </c>
      <c r="B1630" s="16" t="inlineStr">
        <is>
          <t>SGRL</t>
        </is>
      </c>
      <c r="C1630" s="16" t="inlineStr">
        <is>
          <t>Shree Ganesh Remedies Ltd.</t>
        </is>
      </c>
      <c r="D1630" s="16" t="inlineStr">
        <is>
          <t>Pharmaceuticals</t>
        </is>
      </c>
      <c r="E1630" s="16" t="inlineStr">
        <is>
          <t>Pharmaceuticals &amp; Biotechnology</t>
        </is>
      </c>
      <c r="F1630" s="17" t="n">
        <v>907.3</v>
      </c>
      <c r="G1630" s="16" t="inlineStr"/>
      <c r="H1630" s="16" t="inlineStr">
        <is>
          <t>540737</t>
        </is>
      </c>
      <c r="I1630" s="27">
        <f>IFERROR(IF(INDEX(Stocks!$G$2:$G$2139,MATCH(A1630,Stocks!$E$2:$E$2139,0))="","No","Yes"),"No")</f>
        <v/>
      </c>
    </row>
    <row r="1631">
      <c r="A1631" s="16" t="inlineStr">
        <is>
          <t>INE219Y01026</t>
        </is>
      </c>
      <c r="B1631" s="16" t="inlineStr">
        <is>
          <t>RMDRIP</t>
        </is>
      </c>
      <c r="C1631" s="16" t="inlineStr">
        <is>
          <t>R M Drip and Sprinklers Systems Ltd.</t>
        </is>
      </c>
      <c r="D1631" s="16" t="inlineStr">
        <is>
          <t>Plastic Products</t>
        </is>
      </c>
      <c r="E1631" s="16" t="inlineStr">
        <is>
          <t>General Industrials</t>
        </is>
      </c>
      <c r="F1631" s="17" t="n">
        <v>904.85</v>
      </c>
      <c r="G1631" s="16" t="inlineStr">
        <is>
          <t>RMDRIP</t>
        </is>
      </c>
      <c r="H1631" s="16" t="inlineStr">
        <is>
          <t>544456</t>
        </is>
      </c>
      <c r="I1631" s="27">
        <f>IFERROR(IF(INDEX(Stocks!$G$2:$G$2139,MATCH(A1631,Stocks!$E$2:$E$2139,0))="","No","Yes"),"No")</f>
        <v/>
      </c>
    </row>
    <row r="1632">
      <c r="A1632" s="16" t="inlineStr">
        <is>
          <t>INE049A01027</t>
        </is>
      </c>
      <c r="B1632" s="16" t="inlineStr">
        <is>
          <t>HIMATSEIDE</t>
        </is>
      </c>
      <c r="C1632" s="16" t="inlineStr">
        <is>
          <t>Himatsingka Seide Ltd.</t>
        </is>
      </c>
      <c r="D1632" s="16" t="inlineStr">
        <is>
          <t>Textiles</t>
        </is>
      </c>
      <c r="E1632" s="16" t="inlineStr">
        <is>
          <t>Textiles Apparels &amp; Accessories</t>
        </is>
      </c>
      <c r="F1632" s="17" t="n">
        <v>899.1799999999999</v>
      </c>
      <c r="G1632" s="16" t="inlineStr">
        <is>
          <t>HIMATSEIDE</t>
        </is>
      </c>
      <c r="H1632" s="16" t="inlineStr">
        <is>
          <t>514043</t>
        </is>
      </c>
      <c r="I1632" s="27">
        <f>IFERROR(IF(INDEX(Stocks!$G$2:$G$2139,MATCH(A1632,Stocks!$E$2:$E$2139,0))="","No","Yes"),"No")</f>
        <v/>
      </c>
    </row>
    <row r="1633">
      <c r="A1633" s="16" t="inlineStr">
        <is>
          <t>INE319Y01024</t>
        </is>
      </c>
      <c r="B1633" s="16" t="inlineStr">
        <is>
          <t>TIRUPATIFL</t>
        </is>
      </c>
      <c r="C1633" s="16" t="inlineStr">
        <is>
          <t>Tirupati Forge Ltd.</t>
        </is>
      </c>
      <c r="D1633" s="16" t="inlineStr">
        <is>
          <t>Castings &amp; Forgings</t>
        </is>
      </c>
      <c r="E1633" s="16" t="inlineStr">
        <is>
          <t>General Industrials</t>
        </is>
      </c>
      <c r="F1633" s="17" t="n">
        <v>897.9299999999999</v>
      </c>
      <c r="G1633" s="16" t="inlineStr">
        <is>
          <t>TIRUPATIFL</t>
        </is>
      </c>
      <c r="H1633" s="16" t="inlineStr"/>
      <c r="I1633" s="27">
        <f>IFERROR(IF(INDEX(Stocks!$G$2:$G$2139,MATCH(A1633,Stocks!$E$2:$E$2139,0))="","No","Yes"),"No")</f>
        <v/>
      </c>
    </row>
    <row r="1634">
      <c r="A1634" s="16" t="inlineStr">
        <is>
          <t>INE565V01010</t>
        </is>
      </c>
      <c r="B1634" s="16" t="inlineStr">
        <is>
          <t>VALIANTORG</t>
        </is>
      </c>
      <c r="C1634" s="16" t="inlineStr">
        <is>
          <t>Valiant Organics Ltd.</t>
        </is>
      </c>
      <c r="D1634" s="16" t="inlineStr">
        <is>
          <t>Agrochemicals</t>
        </is>
      </c>
      <c r="E1634" s="16" t="inlineStr">
        <is>
          <t>Chemicals &amp; Petrochemicals</t>
        </is>
      </c>
      <c r="F1634" s="17" t="n">
        <v>897.8099999999999</v>
      </c>
      <c r="G1634" s="16" t="inlineStr">
        <is>
          <t>VALIANTORG</t>
        </is>
      </c>
      <c r="H1634" s="16" t="inlineStr">
        <is>
          <t>540145</t>
        </is>
      </c>
      <c r="I1634" s="27">
        <f>IFERROR(IF(INDEX(Stocks!$G$2:$G$2139,MATCH(A1634,Stocks!$E$2:$E$2139,0))="","No","Yes"),"No")</f>
        <v/>
      </c>
    </row>
    <row r="1635">
      <c r="A1635" s="16" t="inlineStr">
        <is>
          <t>INE658T01017</t>
        </is>
      </c>
      <c r="B1635" s="16" t="inlineStr">
        <is>
          <t>WEALTH</t>
        </is>
      </c>
      <c r="C1635" s="16" t="inlineStr">
        <is>
          <t>Wealth First Portfolio Managers Ltd.</t>
        </is>
      </c>
      <c r="D1635" s="16" t="inlineStr">
        <is>
          <t>Other Financial Services</t>
        </is>
      </c>
      <c r="E1635" s="16" t="inlineStr">
        <is>
          <t>Banking and Finance</t>
        </is>
      </c>
      <c r="F1635" s="17" t="n">
        <v>896.83</v>
      </c>
      <c r="G1635" s="16" t="inlineStr">
        <is>
          <t>WEALTH</t>
        </is>
      </c>
      <c r="H1635" s="16" t="inlineStr">
        <is>
          <t>544536</t>
        </is>
      </c>
      <c r="I1635" s="27">
        <f>IFERROR(IF(INDEX(Stocks!$G$2:$G$2139,MATCH(A1635,Stocks!$E$2:$E$2139,0))="","No","Yes"),"No")</f>
        <v/>
      </c>
    </row>
    <row r="1636">
      <c r="A1636" s="16" t="inlineStr">
        <is>
          <t>INE435D01014</t>
        </is>
      </c>
      <c r="B1636" s="16" t="inlineStr">
        <is>
          <t>MCCHRLS-B</t>
        </is>
      </c>
      <c r="C1636" s="16" t="inlineStr">
        <is>
          <t>Mac Charles (India) Ltd.</t>
        </is>
      </c>
      <c r="D1636" s="16" t="inlineStr">
        <is>
          <t>Hotels</t>
        </is>
      </c>
      <c r="E1636" s="16" t="inlineStr">
        <is>
          <t>Hotels Restaurants &amp; Tourism</t>
        </is>
      </c>
      <c r="F1636" s="17" t="n">
        <v>890.6799999999999</v>
      </c>
      <c r="G1636" s="16" t="inlineStr"/>
      <c r="H1636" s="16" t="inlineStr">
        <is>
          <t>507836</t>
        </is>
      </c>
      <c r="I1636" s="27">
        <f>IFERROR(IF(INDEX(Stocks!$G$2:$G$2139,MATCH(A1636,Stocks!$E$2:$E$2139,0))="","No","Yes"),"No")</f>
        <v/>
      </c>
    </row>
    <row r="1637">
      <c r="A1637" s="16" t="inlineStr">
        <is>
          <t>INE388A01029</t>
        </is>
      </c>
      <c r="B1637" s="16" t="inlineStr">
        <is>
          <t>GANESHBE</t>
        </is>
      </c>
      <c r="C1637" s="16" t="inlineStr">
        <is>
          <t>Ganesh Benzoplast Ltd.</t>
        </is>
      </c>
      <c r="D1637" s="16" t="inlineStr">
        <is>
          <t>Commodity Chemicals</t>
        </is>
      </c>
      <c r="E1637" s="16" t="inlineStr">
        <is>
          <t>Chemicals &amp; Petrochemicals</t>
        </is>
      </c>
      <c r="F1637" s="17" t="n">
        <v>887.13</v>
      </c>
      <c r="G1637" s="16" t="inlineStr">
        <is>
          <t>GANESHBE</t>
        </is>
      </c>
      <c r="H1637" s="16" t="inlineStr">
        <is>
          <t>500153</t>
        </is>
      </c>
      <c r="I1637" s="27">
        <f>IFERROR(IF(INDEX(Stocks!$G$2:$G$2139,MATCH(A1637,Stocks!$E$2:$E$2139,0))="","No","Yes"),"No")</f>
        <v/>
      </c>
    </row>
    <row r="1638">
      <c r="A1638" s="16" t="inlineStr">
        <is>
          <t>INE316A01038</t>
        </is>
      </c>
      <c r="B1638" s="16" t="inlineStr">
        <is>
          <t>ECORECO</t>
        </is>
      </c>
      <c r="C1638" s="16" t="inlineStr">
        <is>
          <t>Eco Recycling Ltd.</t>
        </is>
      </c>
      <c r="D1638" s="16" t="inlineStr">
        <is>
          <t>Waste Management</t>
        </is>
      </c>
      <c r="E1638" s="16" t="inlineStr">
        <is>
          <t>Utilities</t>
        </is>
      </c>
      <c r="F1638" s="17" t="n">
        <v>887.0700000000001</v>
      </c>
      <c r="G1638" s="16" t="inlineStr"/>
      <c r="H1638" s="16" t="inlineStr">
        <is>
          <t>530643</t>
        </is>
      </c>
      <c r="I1638" s="27">
        <f>IFERROR(IF(INDEX(Stocks!$G$2:$G$2139,MATCH(A1638,Stocks!$E$2:$E$2139,0))="","No","Yes"),"No")</f>
        <v/>
      </c>
    </row>
    <row r="1639">
      <c r="A1639" s="16" t="inlineStr">
        <is>
          <t>INE287C01037</t>
        </is>
      </c>
      <c r="B1639" s="16" t="inlineStr">
        <is>
          <t>MICEL</t>
        </is>
      </c>
      <c r="C1639" s="16" t="inlineStr">
        <is>
          <t>MIC Electronics Ltd.</t>
        </is>
      </c>
      <c r="D1639" s="16" t="inlineStr">
        <is>
          <t>Electronic Components</t>
        </is>
      </c>
      <c r="E1639" s="16" t="inlineStr">
        <is>
          <t>Commercial Services &amp; Supplies</t>
        </is>
      </c>
      <c r="F1639" s="17" t="n">
        <v>885.48</v>
      </c>
      <c r="G1639" s="16" t="inlineStr">
        <is>
          <t>MICEL</t>
        </is>
      </c>
      <c r="H1639" s="16" t="inlineStr">
        <is>
          <t>532850</t>
        </is>
      </c>
      <c r="I1639" s="27">
        <f>IFERROR(IF(INDEX(Stocks!$G$2:$G$2139,MATCH(A1639,Stocks!$E$2:$E$2139,0))="","No","Yes"),"No")</f>
        <v/>
      </c>
    </row>
    <row r="1640">
      <c r="A1640" s="16" t="inlineStr">
        <is>
          <t>INE865T01018</t>
        </is>
      </c>
      <c r="B1640" s="16" t="inlineStr">
        <is>
          <t>PDMJEPAPER</t>
        </is>
      </c>
      <c r="C1640" s="16" t="inlineStr">
        <is>
          <t>Pudumjee Paper Products Ltd.</t>
        </is>
      </c>
      <c r="D1640" s="16" t="inlineStr">
        <is>
          <t>Paper &amp; Paper Products</t>
        </is>
      </c>
      <c r="E1640" s="16" t="inlineStr">
        <is>
          <t>Commercial Services &amp; Supplies</t>
        </is>
      </c>
      <c r="F1640" s="17" t="n">
        <v>885.12</v>
      </c>
      <c r="G1640" s="16" t="inlineStr">
        <is>
          <t>PDMJEPAPER</t>
        </is>
      </c>
      <c r="H1640" s="16" t="inlineStr">
        <is>
          <t>539785</t>
        </is>
      </c>
      <c r="I1640" s="27">
        <f>IFERROR(IF(INDEX(Stocks!$G$2:$G$2139,MATCH(A1640,Stocks!$E$2:$E$2139,0))="","No","Yes"),"No")</f>
        <v/>
      </c>
    </row>
    <row r="1641">
      <c r="A1641" s="16" t="inlineStr">
        <is>
          <t>INE492A01029</t>
        </is>
      </c>
      <c r="B1641" s="16" t="inlineStr">
        <is>
          <t>SUDARCOLOR</t>
        </is>
      </c>
      <c r="C1641" s="16" t="inlineStr">
        <is>
          <t>Sudarshan Colorants India Ltd.</t>
        </is>
      </c>
      <c r="D1641" s="16" t="inlineStr">
        <is>
          <t>Dyes &amp; Pigments</t>
        </is>
      </c>
      <c r="E1641" s="16" t="inlineStr">
        <is>
          <t>Chemicals &amp; Petrochemicals</t>
        </is>
      </c>
      <c r="F1641" s="17" t="n">
        <v>885.0700000000001</v>
      </c>
      <c r="G1641" s="16" t="inlineStr">
        <is>
          <t>SUDARCOLOR</t>
        </is>
      </c>
      <c r="H1641" s="16" t="inlineStr">
        <is>
          <t>506390</t>
        </is>
      </c>
      <c r="I1641" s="27">
        <f>IFERROR(IF(INDEX(Stocks!$G$2:$G$2139,MATCH(A1641,Stocks!$E$2:$E$2139,0))="","No","Yes"),"No")</f>
        <v/>
      </c>
    </row>
    <row r="1642">
      <c r="A1642" s="16" t="inlineStr">
        <is>
          <t>INE029Q01017</t>
        </is>
      </c>
      <c r="B1642" s="16" t="inlineStr">
        <is>
          <t>BAHETI</t>
        </is>
      </c>
      <c r="C1642" s="16" t="inlineStr">
        <is>
          <t>Baheti Recycling Industries Ltd.</t>
        </is>
      </c>
      <c r="D1642" s="16" t="inlineStr">
        <is>
          <t>Aluminium and Aluminium Products</t>
        </is>
      </c>
      <c r="E1642" s="16" t="inlineStr">
        <is>
          <t>Metals &amp; Mining</t>
        </is>
      </c>
      <c r="F1642" s="17" t="n">
        <v>883.8099999999999</v>
      </c>
      <c r="G1642" s="16" t="inlineStr">
        <is>
          <t>BAHETI</t>
        </is>
      </c>
      <c r="H1642" s="16" t="inlineStr"/>
      <c r="I1642" s="27">
        <f>IFERROR(IF(INDEX(Stocks!$G$2:$G$2139,MATCH(A1642,Stocks!$E$2:$E$2139,0))="","No","Yes"),"No")</f>
        <v/>
      </c>
    </row>
    <row r="1643">
      <c r="A1643" s="16" t="inlineStr">
        <is>
          <t>INE0OSJ01014</t>
        </is>
      </c>
      <c r="B1643" s="16" t="inlineStr">
        <is>
          <t>VINSYS</t>
        </is>
      </c>
      <c r="C1643" s="16" t="inlineStr">
        <is>
          <t>Vinsys IT Services India Ltd.</t>
        </is>
      </c>
      <c r="D1643" s="16" t="inlineStr">
        <is>
          <t>IT Training Services</t>
        </is>
      </c>
      <c r="E1643" s="16" t="inlineStr">
        <is>
          <t>Software &amp; Services</t>
        </is>
      </c>
      <c r="F1643" s="17" t="n">
        <v>880.5700000000001</v>
      </c>
      <c r="G1643" s="16" t="inlineStr">
        <is>
          <t>VINSYS</t>
        </is>
      </c>
      <c r="H1643" s="16" t="inlineStr"/>
      <c r="I1643" s="27">
        <f>IFERROR(IF(INDEX(Stocks!$G$2:$G$2139,MATCH(A1643,Stocks!$E$2:$E$2139,0))="","No","Yes"),"No")</f>
        <v/>
      </c>
    </row>
    <row r="1644">
      <c r="A1644" s="16" t="inlineStr">
        <is>
          <t>INE310B01013</t>
        </is>
      </c>
      <c r="B1644" s="16" t="inlineStr">
        <is>
          <t>DANLAW</t>
        </is>
      </c>
      <c r="C1644" s="16" t="inlineStr">
        <is>
          <t>Danlaw Technologies India Ltd.</t>
        </is>
      </c>
      <c r="D1644" s="16" t="inlineStr">
        <is>
          <t>IT Consulting &amp; Software</t>
        </is>
      </c>
      <c r="E1644" s="16" t="inlineStr">
        <is>
          <t>Software &amp; Services</t>
        </is>
      </c>
      <c r="F1644" s="17" t="n">
        <v>879.21</v>
      </c>
      <c r="G1644" s="16" t="inlineStr"/>
      <c r="H1644" s="16" t="inlineStr">
        <is>
          <t>532329</t>
        </is>
      </c>
      <c r="I1644" s="27">
        <f>IFERROR(IF(INDEX(Stocks!$G$2:$G$2139,MATCH(A1644,Stocks!$E$2:$E$2139,0))="","No","Yes"),"No")</f>
        <v/>
      </c>
    </row>
    <row r="1645">
      <c r="A1645" s="16" t="inlineStr">
        <is>
          <t>INE0KNT01012</t>
        </is>
      </c>
      <c r="B1645" s="16" t="inlineStr">
        <is>
          <t>MVGJL</t>
        </is>
      </c>
      <c r="C1645" s="16" t="inlineStr">
        <is>
          <t>Manoj Vaibhav Gems N Jewellers Ltd.</t>
        </is>
      </c>
      <c r="D1645" s="16" t="inlineStr">
        <is>
          <t>Gems &amp; Jewellery</t>
        </is>
      </c>
      <c r="E1645" s="16" t="inlineStr">
        <is>
          <t>Textiles Apparels &amp; Accessories</t>
        </is>
      </c>
      <c r="F1645" s="17" t="n">
        <v>878.76</v>
      </c>
      <c r="G1645" s="16" t="inlineStr">
        <is>
          <t>MVGJL</t>
        </is>
      </c>
      <c r="H1645" s="16" t="inlineStr">
        <is>
          <t>543995</t>
        </is>
      </c>
      <c r="I1645" s="27">
        <f>IFERROR(IF(INDEX(Stocks!$G$2:$G$2139,MATCH(A1645,Stocks!$E$2:$E$2139,0))="","No","Yes"),"No")</f>
        <v/>
      </c>
    </row>
    <row r="1646">
      <c r="A1646" s="16" t="inlineStr">
        <is>
          <t>INE258Y01016</t>
        </is>
      </c>
      <c r="B1646" s="16" t="inlineStr">
        <is>
          <t>LGHL</t>
        </is>
      </c>
      <c r="C1646" s="16" t="inlineStr">
        <is>
          <t>Laxmi Goldorna House Ltd.</t>
        </is>
      </c>
      <c r="D1646" s="16" t="inlineStr">
        <is>
          <t>Gems &amp; Jewellery</t>
        </is>
      </c>
      <c r="E1646" s="16" t="inlineStr">
        <is>
          <t>Textiles Apparels &amp; Accessories</t>
        </is>
      </c>
      <c r="F1646" s="17" t="n">
        <v>878.72</v>
      </c>
      <c r="G1646" s="16" t="inlineStr">
        <is>
          <t>LGHL</t>
        </is>
      </c>
      <c r="H1646" s="16" t="inlineStr"/>
      <c r="I1646" s="27">
        <f>IFERROR(IF(INDEX(Stocks!$G$2:$G$2139,MATCH(A1646,Stocks!$E$2:$E$2139,0))="","No","Yes"),"No")</f>
        <v/>
      </c>
    </row>
    <row r="1647">
      <c r="A1647" s="16" t="inlineStr">
        <is>
          <t>INE535P01015</t>
        </is>
      </c>
      <c r="B1647" s="16" t="inlineStr">
        <is>
          <t>RRPDEFENSE</t>
        </is>
      </c>
      <c r="C1647" s="16" t="inlineStr">
        <is>
          <t>RRP Defense Ltd.</t>
        </is>
      </c>
      <c r="D1647" s="16" t="inlineStr">
        <is>
          <t>Commodity Trading  &amp; Distribution</t>
        </is>
      </c>
      <c r="E1647" s="16" t="inlineStr">
        <is>
          <t>Commercial Services &amp; Supplies</t>
        </is>
      </c>
      <c r="F1647" s="17" t="n">
        <v>877.8</v>
      </c>
      <c r="G1647" s="16" t="inlineStr"/>
      <c r="H1647" s="16" t="inlineStr">
        <is>
          <t>530929</t>
        </is>
      </c>
      <c r="I1647" s="27">
        <f>IFERROR(IF(INDEX(Stocks!$G$2:$G$2139,MATCH(A1647,Stocks!$E$2:$E$2139,0))="","No","Yes"),"No")</f>
        <v/>
      </c>
    </row>
    <row r="1648">
      <c r="A1648" s="16" t="inlineStr">
        <is>
          <t>INE693D01018</t>
        </is>
      </c>
      <c r="B1648" s="16" t="inlineStr">
        <is>
          <t>VADILENT</t>
        </is>
      </c>
      <c r="C1648" s="16" t="inlineStr">
        <is>
          <t>Vadilal Enterprises Ltd.</t>
        </is>
      </c>
      <c r="D1648" s="16" t="inlineStr">
        <is>
          <t>Packaged Foods</t>
        </is>
      </c>
      <c r="E1648" s="16" t="inlineStr">
        <is>
          <t>FMCG</t>
        </is>
      </c>
      <c r="F1648" s="17" t="n">
        <v>876.83</v>
      </c>
      <c r="G1648" s="16" t="inlineStr"/>
      <c r="H1648" s="16" t="inlineStr">
        <is>
          <t>519152</t>
        </is>
      </c>
      <c r="I1648" s="27">
        <f>IFERROR(IF(INDEX(Stocks!$G$2:$G$2139,MATCH(A1648,Stocks!$E$2:$E$2139,0))="","No","Yes"),"No")</f>
        <v/>
      </c>
    </row>
    <row r="1649">
      <c r="A1649" s="16" t="inlineStr">
        <is>
          <t>INE366A01041</t>
        </is>
      </c>
      <c r="B1649" s="16" t="inlineStr">
        <is>
          <t>DWARKESH</t>
        </is>
      </c>
      <c r="C1649" s="16" t="inlineStr">
        <is>
          <t>Dwarikesh Sugar Industries Ltd.</t>
        </is>
      </c>
      <c r="D1649" s="16" t="inlineStr">
        <is>
          <t>Sugar</t>
        </is>
      </c>
      <c r="E1649" s="16" t="inlineStr">
        <is>
          <t>Food, Beverages &amp; Tobacco</t>
        </is>
      </c>
      <c r="F1649" s="17" t="n">
        <v>876.66</v>
      </c>
      <c r="G1649" s="16" t="inlineStr">
        <is>
          <t>DWARKESH</t>
        </is>
      </c>
      <c r="H1649" s="16" t="inlineStr">
        <is>
          <t>532610</t>
        </is>
      </c>
      <c r="I1649" s="27">
        <f>IFERROR(IF(INDEX(Stocks!$G$2:$G$2139,MATCH(A1649,Stocks!$E$2:$E$2139,0))="","No","Yes"),"No")</f>
        <v/>
      </c>
    </row>
    <row r="1650">
      <c r="A1650" s="16" t="inlineStr">
        <is>
          <t>INE0JM501013</t>
        </is>
      </c>
      <c r="B1650" s="16" t="inlineStr">
        <is>
          <t>NRL</t>
        </is>
      </c>
      <c r="C1650" s="16" t="inlineStr">
        <is>
          <t>Nupur Recyclers Ltd.</t>
        </is>
      </c>
      <c r="D1650" s="16" t="inlineStr">
        <is>
          <t>Commodity Trading  &amp; Distribution</t>
        </is>
      </c>
      <c r="E1650" s="16" t="inlineStr">
        <is>
          <t>Commercial Services &amp; Supplies</t>
        </is>
      </c>
      <c r="F1650" s="17" t="n">
        <v>876.62</v>
      </c>
      <c r="G1650" s="16" t="inlineStr">
        <is>
          <t>NRL</t>
        </is>
      </c>
      <c r="H1650" s="16" t="inlineStr"/>
      <c r="I1650" s="27">
        <f>IFERROR(IF(INDEX(Stocks!$G$2:$G$2139,MATCH(A1650,Stocks!$E$2:$E$2139,0))="","No","Yes"),"No")</f>
        <v/>
      </c>
    </row>
    <row r="1651">
      <c r="A1651" s="16" t="inlineStr">
        <is>
          <t>INE270B01035</t>
        </is>
      </c>
      <c r="B1651" s="16" t="inlineStr">
        <is>
          <t>MAFATIND</t>
        </is>
      </c>
      <c r="C1651" s="16" t="inlineStr">
        <is>
          <t>Mafatlal Industries Ltd.</t>
        </is>
      </c>
      <c r="D1651" s="16" t="inlineStr">
        <is>
          <t>Textiles</t>
        </is>
      </c>
      <c r="E1651" s="16" t="inlineStr">
        <is>
          <t>Textiles Apparels &amp; Accessories</t>
        </is>
      </c>
      <c r="F1651" s="17" t="n">
        <v>874.04</v>
      </c>
      <c r="G1651" s="16" t="inlineStr"/>
      <c r="H1651" s="16" t="inlineStr">
        <is>
          <t>500264</t>
        </is>
      </c>
      <c r="I1651" s="27">
        <f>IFERROR(IF(INDEX(Stocks!$G$2:$G$2139,MATCH(A1651,Stocks!$E$2:$E$2139,0))="","No","Yes"),"No")</f>
        <v/>
      </c>
    </row>
    <row r="1652">
      <c r="A1652" s="16" t="inlineStr">
        <is>
          <t>INE420B01036</t>
        </is>
      </c>
      <c r="B1652" s="16" t="inlineStr">
        <is>
          <t>ARIHANTCAP</t>
        </is>
      </c>
      <c r="C1652" s="16" t="inlineStr">
        <is>
          <t>Arihant Capital Markets Ltd.</t>
        </is>
      </c>
      <c r="D1652" s="16" t="inlineStr">
        <is>
          <t>Capital Markets</t>
        </is>
      </c>
      <c r="E1652" s="16" t="inlineStr">
        <is>
          <t>Banking and Finance</t>
        </is>
      </c>
      <c r="F1652" s="17" t="n">
        <v>873.5</v>
      </c>
      <c r="G1652" s="16" t="inlineStr">
        <is>
          <t>ARIHANTCAP</t>
        </is>
      </c>
      <c r="H1652" s="16" t="inlineStr">
        <is>
          <t>511605</t>
        </is>
      </c>
      <c r="I1652" s="27">
        <f>IFERROR(IF(INDEX(Stocks!$G$2:$G$2139,MATCH(A1652,Stocks!$E$2:$E$2139,0))="","No","Yes"),"No")</f>
        <v/>
      </c>
    </row>
    <row r="1653">
      <c r="A1653" s="16" t="inlineStr">
        <is>
          <t>INE750M01017</t>
        </is>
      </c>
      <c r="B1653" s="16" t="inlineStr">
        <is>
          <t>HEXATRADEX</t>
        </is>
      </c>
      <c r="C1653" s="16" t="inlineStr">
        <is>
          <t>Hexa Tradex Ltd.</t>
        </is>
      </c>
      <c r="D1653" s="16" t="inlineStr">
        <is>
          <t>Other Financial Services</t>
        </is>
      </c>
      <c r="E1653" s="16" t="inlineStr">
        <is>
          <t>Banking and Finance</t>
        </is>
      </c>
      <c r="F1653" s="17" t="n">
        <v>870.9299999999999</v>
      </c>
      <c r="G1653" s="16" t="inlineStr">
        <is>
          <t>HEXATRADEX</t>
        </is>
      </c>
      <c r="H1653" s="16" t="inlineStr">
        <is>
          <t>534328</t>
        </is>
      </c>
      <c r="I1653" s="27">
        <f>IFERROR(IF(INDEX(Stocks!$G$2:$G$2139,MATCH(A1653,Stocks!$E$2:$E$2139,0))="","No","Yes"),"No")</f>
        <v/>
      </c>
    </row>
    <row r="1654">
      <c r="A1654" s="16" t="inlineStr">
        <is>
          <t>INE409B01013</t>
        </is>
      </c>
      <c r="B1654" s="16" t="inlineStr">
        <is>
          <t>SWELECTES</t>
        </is>
      </c>
      <c r="C1654" s="16" t="inlineStr">
        <is>
          <t>Swelect Energy Systems Ltd.</t>
        </is>
      </c>
      <c r="D1654" s="16" t="inlineStr">
        <is>
          <t>Heavy Electrical Equipment</t>
        </is>
      </c>
      <c r="E1654" s="16" t="inlineStr">
        <is>
          <t>General Industrials</t>
        </is>
      </c>
      <c r="F1654" s="17" t="n">
        <v>867.84</v>
      </c>
      <c r="G1654" s="16" t="inlineStr">
        <is>
          <t>SWELECTES</t>
        </is>
      </c>
      <c r="H1654" s="16" t="inlineStr">
        <is>
          <t>532051</t>
        </is>
      </c>
      <c r="I1654" s="27">
        <f>IFERROR(IF(INDEX(Stocks!$G$2:$G$2139,MATCH(A1654,Stocks!$E$2:$E$2139,0))="","No","Yes"),"No")</f>
        <v/>
      </c>
    </row>
    <row r="1655">
      <c r="A1655" s="16" t="inlineStr">
        <is>
          <t>INE0AZY01017</t>
        </is>
      </c>
      <c r="B1655" s="16" t="inlineStr">
        <is>
          <t>VILAS</t>
        </is>
      </c>
      <c r="C1655" s="16" t="inlineStr">
        <is>
          <t>Vilas Transcore Ltd.</t>
        </is>
      </c>
      <c r="D1655" s="16" t="inlineStr">
        <is>
          <t>Heavy Electrical Equipment</t>
        </is>
      </c>
      <c r="E1655" s="16" t="inlineStr">
        <is>
          <t>General Industrials</t>
        </is>
      </c>
      <c r="F1655" s="17" t="n">
        <v>865.86</v>
      </c>
      <c r="G1655" s="16" t="inlineStr">
        <is>
          <t>VILAS</t>
        </is>
      </c>
      <c r="H1655" s="16" t="inlineStr"/>
      <c r="I1655" s="27">
        <f>IFERROR(IF(INDEX(Stocks!$G$2:$G$2139,MATCH(A1655,Stocks!$E$2:$E$2139,0))="","No","Yes"),"No")</f>
        <v/>
      </c>
    </row>
    <row r="1656">
      <c r="A1656" s="16" t="inlineStr">
        <is>
          <t>INE748A01024</t>
        </is>
      </c>
      <c r="B1656" s="16" t="inlineStr">
        <is>
          <t>MBECL</t>
        </is>
      </c>
      <c r="C1656" s="16" t="inlineStr">
        <is>
          <t>McNally Bharat Engineering Company Ltd.</t>
        </is>
      </c>
      <c r="D1656" s="16" t="inlineStr">
        <is>
          <t>Construction &amp; Engineering</t>
        </is>
      </c>
      <c r="E1656" s="16" t="inlineStr">
        <is>
          <t>Cement and Construction</t>
        </is>
      </c>
      <c r="F1656" s="17" t="n">
        <v>862.97</v>
      </c>
      <c r="G1656" s="16" t="inlineStr">
        <is>
          <t>MBECL</t>
        </is>
      </c>
      <c r="H1656" s="16" t="inlineStr">
        <is>
          <t>532629</t>
        </is>
      </c>
      <c r="I1656" s="27">
        <f>IFERROR(IF(INDEX(Stocks!$G$2:$G$2139,MATCH(A1656,Stocks!$E$2:$E$2139,0))="","No","Yes"),"No")</f>
        <v/>
      </c>
    </row>
    <row r="1657">
      <c r="A1657" s="16" t="inlineStr">
        <is>
          <t>INE107F01022</t>
        </is>
      </c>
      <c r="B1657" s="16" t="inlineStr">
        <is>
          <t>WANBURY</t>
        </is>
      </c>
      <c r="C1657" s="16" t="inlineStr">
        <is>
          <t>Wanbury Ltd.</t>
        </is>
      </c>
      <c r="D1657" s="16" t="inlineStr">
        <is>
          <t>Pharmaceuticals</t>
        </is>
      </c>
      <c r="E1657" s="16" t="inlineStr">
        <is>
          <t>Pharmaceuticals &amp; Biotechnology</t>
        </is>
      </c>
      <c r="F1657" s="17" t="n">
        <v>860.89</v>
      </c>
      <c r="G1657" s="16" t="inlineStr">
        <is>
          <t>WANBURY</t>
        </is>
      </c>
      <c r="H1657" s="16" t="inlineStr">
        <is>
          <t>524212</t>
        </is>
      </c>
      <c r="I1657" s="27">
        <f>IFERROR(IF(INDEX(Stocks!$G$2:$G$2139,MATCH(A1657,Stocks!$E$2:$E$2139,0))="","No","Yes"),"No")</f>
        <v/>
      </c>
    </row>
    <row r="1658">
      <c r="A1658" s="16" t="inlineStr">
        <is>
          <t>INE0DNW01011</t>
        </is>
      </c>
      <c r="B1658" s="16" t="inlineStr">
        <is>
          <t>FAIRCHEMOR</t>
        </is>
      </c>
      <c r="C1658" s="16" t="inlineStr">
        <is>
          <t>Fairchem Organics Ltd.</t>
        </is>
      </c>
      <c r="D1658" s="16" t="inlineStr">
        <is>
          <t>Commodity Chemicals</t>
        </is>
      </c>
      <c r="E1658" s="16" t="inlineStr">
        <is>
          <t>Chemicals &amp; Petrochemicals</t>
        </is>
      </c>
      <c r="F1658" s="17" t="n">
        <v>859.7</v>
      </c>
      <c r="G1658" s="16" t="inlineStr">
        <is>
          <t>FAIRCHEMOR</t>
        </is>
      </c>
      <c r="H1658" s="16" t="inlineStr">
        <is>
          <t>543252</t>
        </is>
      </c>
      <c r="I1658" s="27">
        <f>IFERROR(IF(INDEX(Stocks!$G$2:$G$2139,MATCH(A1658,Stocks!$E$2:$E$2139,0))="","No","Yes"),"No")</f>
        <v/>
      </c>
    </row>
    <row r="1659">
      <c r="A1659" s="16" t="inlineStr">
        <is>
          <t>INE442P01014</t>
        </is>
      </c>
      <c r="B1659" s="16" t="inlineStr">
        <is>
          <t>SUYOG</t>
        </is>
      </c>
      <c r="C1659" s="16" t="inlineStr">
        <is>
          <t>Suyog Telematics Ltd.</t>
        </is>
      </c>
      <c r="D1659" s="16" t="inlineStr">
        <is>
          <t>Other Telecom Services</t>
        </is>
      </c>
      <c r="E1659" s="16" t="inlineStr">
        <is>
          <t>Telecom Services</t>
        </is>
      </c>
      <c r="F1659" s="17" t="n">
        <v>856.75</v>
      </c>
      <c r="G1659" s="16" t="inlineStr">
        <is>
          <t>SUYOG</t>
        </is>
      </c>
      <c r="H1659" s="16" t="inlineStr">
        <is>
          <t>537259</t>
        </is>
      </c>
      <c r="I1659" s="27">
        <f>IFERROR(IF(INDEX(Stocks!$G$2:$G$2139,MATCH(A1659,Stocks!$E$2:$E$2139,0))="","No","Yes"),"No")</f>
        <v/>
      </c>
    </row>
    <row r="1660">
      <c r="A1660" s="16" t="inlineStr">
        <is>
          <t>INE075B01020</t>
        </is>
      </c>
      <c r="B1660" s="16" t="inlineStr">
        <is>
          <t>SICALLOG</t>
        </is>
      </c>
      <c r="C1660" s="16" t="inlineStr">
        <is>
          <t>Sical Logistics Ltd.</t>
        </is>
      </c>
      <c r="D1660" s="16" t="inlineStr">
        <is>
          <t>Warehousing &amp; Logistics</t>
        </is>
      </c>
      <c r="E1660" s="16" t="inlineStr">
        <is>
          <t>Transportation</t>
        </is>
      </c>
      <c r="F1660" s="17" t="n">
        <v>856.33</v>
      </c>
      <c r="G1660" s="16" t="inlineStr">
        <is>
          <t>SICALLOG</t>
        </is>
      </c>
      <c r="H1660" s="16" t="inlineStr">
        <is>
          <t>520086</t>
        </is>
      </c>
      <c r="I1660" s="27">
        <f>IFERROR(IF(INDEX(Stocks!$G$2:$G$2139,MATCH(A1660,Stocks!$E$2:$E$2139,0))="","No","Yes"),"No")</f>
        <v/>
      </c>
    </row>
    <row r="1661">
      <c r="A1661" s="16" t="inlineStr">
        <is>
          <t>INE770A01010</t>
        </is>
      </c>
      <c r="B1661" s="16" t="inlineStr">
        <is>
          <t>PRADPME</t>
        </is>
      </c>
      <c r="C1661" s="16" t="inlineStr">
        <is>
          <t>Pradeep Metals Ltd.</t>
        </is>
      </c>
      <c r="D1661" s="16" t="inlineStr">
        <is>
          <t>Auto Parts &amp; Equipment</t>
        </is>
      </c>
      <c r="E1661" s="16" t="inlineStr">
        <is>
          <t>Automobiles &amp; Auto Components</t>
        </is>
      </c>
      <c r="F1661" s="17" t="n">
        <v>854.86</v>
      </c>
      <c r="G1661" s="16" t="inlineStr"/>
      <c r="H1661" s="16" t="inlineStr">
        <is>
          <t>513532</t>
        </is>
      </c>
      <c r="I1661" s="27">
        <f>IFERROR(IF(INDEX(Stocks!$G$2:$G$2139,MATCH(A1661,Stocks!$E$2:$E$2139,0))="","No","Yes"),"No")</f>
        <v/>
      </c>
    </row>
    <row r="1662">
      <c r="A1662" s="16" t="inlineStr">
        <is>
          <t>INE01EG01016</t>
        </is>
      </c>
      <c r="B1662" s="16" t="inlineStr">
        <is>
          <t>RITCO</t>
        </is>
      </c>
      <c r="C1662" s="16" t="inlineStr">
        <is>
          <t>Ritco Logistics Ltd.</t>
        </is>
      </c>
      <c r="D1662" s="16" t="inlineStr">
        <is>
          <t>Warehousing &amp; Logistics</t>
        </is>
      </c>
      <c r="E1662" s="16" t="inlineStr">
        <is>
          <t>Transportation</t>
        </is>
      </c>
      <c r="F1662" s="17" t="n">
        <v>854.78</v>
      </c>
      <c r="G1662" s="16" t="inlineStr">
        <is>
          <t>RITCO</t>
        </is>
      </c>
      <c r="H1662" s="16" t="inlineStr">
        <is>
          <t>542383</t>
        </is>
      </c>
      <c r="I1662" s="27">
        <f>IFERROR(IF(INDEX(Stocks!$G$2:$G$2139,MATCH(A1662,Stocks!$E$2:$E$2139,0))="","No","Yes"),"No")</f>
        <v/>
      </c>
    </row>
    <row r="1663">
      <c r="A1663" s="16" t="inlineStr">
        <is>
          <t>INE868X01014</t>
        </is>
      </c>
      <c r="B1663" s="16" t="inlineStr">
        <is>
          <t>YSL</t>
        </is>
      </c>
      <c r="C1663" s="16" t="inlineStr">
        <is>
          <t>The Yamuna Syndicate Ltd.</t>
        </is>
      </c>
      <c r="D1663" s="16" t="inlineStr">
        <is>
          <t>Commodity Trading  &amp; Distribution</t>
        </is>
      </c>
      <c r="E1663" s="16" t="inlineStr">
        <is>
          <t>Commercial Services &amp; Supplies</t>
        </is>
      </c>
      <c r="F1663" s="17" t="n">
        <v>851.84</v>
      </c>
      <c r="G1663" s="16" t="inlineStr"/>
      <c r="H1663" s="16" t="inlineStr">
        <is>
          <t>540980</t>
        </is>
      </c>
      <c r="I1663" s="27">
        <f>IFERROR(IF(INDEX(Stocks!$G$2:$G$2139,MATCH(A1663,Stocks!$E$2:$E$2139,0))="","No","Yes"),"No")</f>
        <v/>
      </c>
    </row>
    <row r="1664">
      <c r="A1664" s="16" t="inlineStr">
        <is>
          <t>INE843S01025</t>
        </is>
      </c>
      <c r="B1664" s="16" t="inlineStr">
        <is>
          <t>SURAJEST</t>
        </is>
      </c>
      <c r="C1664" s="16" t="inlineStr">
        <is>
          <t>Suraj Estate Developers Ltd.</t>
        </is>
      </c>
      <c r="D1664" s="16" t="inlineStr">
        <is>
          <t>Realty</t>
        </is>
      </c>
      <c r="E1664" s="16" t="inlineStr">
        <is>
          <t>Realty</t>
        </is>
      </c>
      <c r="F1664" s="17" t="n">
        <v>851.5599999999999</v>
      </c>
      <c r="G1664" s="16" t="inlineStr">
        <is>
          <t>SURAJEST</t>
        </is>
      </c>
      <c r="H1664" s="16" t="inlineStr">
        <is>
          <t>544054</t>
        </is>
      </c>
      <c r="I1664" s="27">
        <f>IFERROR(IF(INDEX(Stocks!$G$2:$G$2139,MATCH(A1664,Stocks!$E$2:$E$2139,0))="","No","Yes"),"No")</f>
        <v/>
      </c>
    </row>
    <row r="1665">
      <c r="A1665" s="16" t="inlineStr">
        <is>
          <t>INE730A01022</t>
        </is>
      </c>
      <c r="B1665" s="16" t="inlineStr">
        <is>
          <t>ORICONENT</t>
        </is>
      </c>
      <c r="C1665" s="16" t="inlineStr">
        <is>
          <t>Oricon Enterprises Ltd.</t>
        </is>
      </c>
      <c r="D1665" s="16" t="inlineStr">
        <is>
          <t>Containers &amp; Packaging</t>
        </is>
      </c>
      <c r="E1665" s="16" t="inlineStr">
        <is>
          <t>Commercial Services &amp; Supplies</t>
        </is>
      </c>
      <c r="F1665" s="17" t="n">
        <v>850.41</v>
      </c>
      <c r="G1665" s="16" t="inlineStr">
        <is>
          <t>ORICONENT</t>
        </is>
      </c>
      <c r="H1665" s="16" t="inlineStr">
        <is>
          <t>513121</t>
        </is>
      </c>
      <c r="I1665" s="27">
        <f>IFERROR(IF(INDEX(Stocks!$G$2:$G$2139,MATCH(A1665,Stocks!$E$2:$E$2139,0))="","No","Yes"),"No")</f>
        <v/>
      </c>
    </row>
    <row r="1666">
      <c r="A1666" s="16" t="inlineStr">
        <is>
          <t>INE0CJF01024</t>
        </is>
      </c>
      <c r="B1666" s="16" t="inlineStr">
        <is>
          <t>WCIL</t>
        </is>
      </c>
      <c r="C1666" s="16" t="inlineStr">
        <is>
          <t>Western Carriers (India) Ltd.</t>
        </is>
      </c>
      <c r="D1666" s="16" t="inlineStr">
        <is>
          <t>Warehousing &amp; Logistics</t>
        </is>
      </c>
      <c r="E1666" s="16" t="inlineStr">
        <is>
          <t>Transportation</t>
        </is>
      </c>
      <c r="F1666" s="17" t="n">
        <v>850.1</v>
      </c>
      <c r="G1666" s="16" t="inlineStr">
        <is>
          <t>WCIL</t>
        </is>
      </c>
      <c r="H1666" s="16" t="inlineStr">
        <is>
          <t>544258</t>
        </is>
      </c>
      <c r="I1666" s="27">
        <f>IFERROR(IF(INDEX(Stocks!$G$2:$G$2139,MATCH(A1666,Stocks!$E$2:$E$2139,0))="","No","Yes"),"No")</f>
        <v/>
      </c>
    </row>
    <row r="1667">
      <c r="A1667" s="16" t="inlineStr">
        <is>
          <t>INE0CG601016</t>
        </is>
      </c>
      <c r="B1667" s="16" t="inlineStr">
        <is>
          <t>MAXIND</t>
        </is>
      </c>
      <c r="C1667" s="16" t="inlineStr">
        <is>
          <t>Max India Ltd.</t>
        </is>
      </c>
      <c r="D1667" s="16" t="inlineStr">
        <is>
          <t>Holding Companies</t>
        </is>
      </c>
      <c r="E1667" s="16" t="inlineStr">
        <is>
          <t>Diversified</t>
        </is>
      </c>
      <c r="F1667" s="17" t="n">
        <v>848.53</v>
      </c>
      <c r="G1667" s="16" t="inlineStr">
        <is>
          <t>MAXIND</t>
        </is>
      </c>
      <c r="H1667" s="16" t="inlineStr">
        <is>
          <t>543223</t>
        </is>
      </c>
      <c r="I1667" s="27">
        <f>IFERROR(IF(INDEX(Stocks!$G$2:$G$2139,MATCH(A1667,Stocks!$E$2:$E$2139,0))="","No","Yes"),"No")</f>
        <v/>
      </c>
    </row>
    <row r="1668">
      <c r="A1668" s="16" t="inlineStr">
        <is>
          <t>INE0P8B01020</t>
        </is>
      </c>
      <c r="B1668" s="16" t="inlineStr">
        <is>
          <t>GAUDIUMIVF</t>
        </is>
      </c>
      <c r="C1668" s="16" t="inlineStr">
        <is>
          <t>Gaudium IVF And Women Health Ltd.</t>
        </is>
      </c>
      <c r="D1668" s="16" t="inlineStr">
        <is>
          <t>Misc. Commercial Services</t>
        </is>
      </c>
      <c r="E1668" s="16" t="inlineStr">
        <is>
          <t>Commercial Services &amp; Supplies</t>
        </is>
      </c>
      <c r="F1668" s="17" t="n">
        <v>847.46</v>
      </c>
      <c r="G1668" s="16" t="inlineStr">
        <is>
          <t>GAUDIUMIVF</t>
        </is>
      </c>
      <c r="H1668" s="16" t="inlineStr">
        <is>
          <t>544709</t>
        </is>
      </c>
      <c r="I1668" s="27">
        <f>IFERROR(IF(INDEX(Stocks!$G$2:$G$2139,MATCH(A1668,Stocks!$E$2:$E$2139,0))="","No","Yes"),"No")</f>
        <v/>
      </c>
    </row>
    <row r="1669">
      <c r="A1669" s="16" t="inlineStr">
        <is>
          <t>INE0Z7N01017</t>
        </is>
      </c>
      <c r="B1669" s="16" t="inlineStr">
        <is>
          <t>TANKUP</t>
        </is>
      </c>
      <c r="C1669" s="16" t="inlineStr">
        <is>
          <t>Tankup Engineers Ltd.</t>
        </is>
      </c>
      <c r="D1669" s="16" t="inlineStr">
        <is>
          <t>Industrial Machinery</t>
        </is>
      </c>
      <c r="E1669" s="16" t="inlineStr">
        <is>
          <t>General Industrials</t>
        </is>
      </c>
      <c r="F1669" s="17" t="n">
        <v>846.14</v>
      </c>
      <c r="G1669" s="16" t="inlineStr">
        <is>
          <t>TANKUP</t>
        </is>
      </c>
      <c r="H1669" s="16" t="inlineStr"/>
      <c r="I1669" s="27">
        <f>IFERROR(IF(INDEX(Stocks!$G$2:$G$2139,MATCH(A1669,Stocks!$E$2:$E$2139,0))="","No","Yes"),"No")</f>
        <v/>
      </c>
    </row>
    <row r="1670">
      <c r="A1670" s="16" t="inlineStr">
        <is>
          <t>INE076C01018</t>
        </is>
      </c>
      <c r="B1670" s="16" t="inlineStr">
        <is>
          <t>IFBAGRO</t>
        </is>
      </c>
      <c r="C1670" s="16" t="inlineStr">
        <is>
          <t>IFB Agro Industries Ltd.</t>
        </is>
      </c>
      <c r="D1670" s="16" t="inlineStr">
        <is>
          <t>Breweries &amp; Distilleries</t>
        </is>
      </c>
      <c r="E1670" s="16" t="inlineStr">
        <is>
          <t>Food, Beverages &amp; Tobacco</t>
        </is>
      </c>
      <c r="F1670" s="17" t="n">
        <v>846.13</v>
      </c>
      <c r="G1670" s="16" t="inlineStr">
        <is>
          <t>IFBAGRO</t>
        </is>
      </c>
      <c r="H1670" s="16" t="inlineStr">
        <is>
          <t>507438</t>
        </is>
      </c>
      <c r="I1670" s="27">
        <f>IFERROR(IF(INDEX(Stocks!$G$2:$G$2139,MATCH(A1670,Stocks!$E$2:$E$2139,0))="","No","Yes"),"No")</f>
        <v/>
      </c>
    </row>
    <row r="1671">
      <c r="A1671" s="16" t="inlineStr">
        <is>
          <t>INE06XZ01023</t>
        </is>
      </c>
      <c r="B1671" s="16" t="inlineStr">
        <is>
          <t>GEMAROMA</t>
        </is>
      </c>
      <c r="C1671" s="16" t="inlineStr">
        <is>
          <t>Gem Aromatics Ltd.</t>
        </is>
      </c>
      <c r="D1671" s="16" t="inlineStr">
        <is>
          <t>Specialty Chemicals</t>
        </is>
      </c>
      <c r="E1671" s="16" t="inlineStr">
        <is>
          <t>Chemicals &amp; Petrochemicals</t>
        </is>
      </c>
      <c r="F1671" s="17" t="n">
        <v>843.63</v>
      </c>
      <c r="G1671" s="16" t="inlineStr">
        <is>
          <t>GEMAROMA</t>
        </is>
      </c>
      <c r="H1671" s="16" t="inlineStr">
        <is>
          <t>544491</t>
        </is>
      </c>
      <c r="I1671" s="27">
        <f>IFERROR(IF(INDEX(Stocks!$G$2:$G$2139,MATCH(A1671,Stocks!$E$2:$E$2139,0))="","No","Yes"),"No")</f>
        <v/>
      </c>
    </row>
    <row r="1672">
      <c r="A1672" s="16" t="inlineStr">
        <is>
          <t>INE457G01029</t>
        </is>
      </c>
      <c r="B1672" s="16" t="inlineStr">
        <is>
          <t>ORIRAIL</t>
        </is>
      </c>
      <c r="C1672" s="16" t="inlineStr">
        <is>
          <t>Oriental Rail Infrastructure Ltd.</t>
        </is>
      </c>
      <c r="D1672" s="16" t="inlineStr">
        <is>
          <t>Other Industrial Products</t>
        </is>
      </c>
      <c r="E1672" s="16" t="inlineStr">
        <is>
          <t>General Industrials</t>
        </is>
      </c>
      <c r="F1672" s="17" t="n">
        <v>841.53</v>
      </c>
      <c r="G1672" s="16" t="inlineStr"/>
      <c r="H1672" s="16" t="inlineStr">
        <is>
          <t>531859</t>
        </is>
      </c>
      <c r="I1672" s="27">
        <f>IFERROR(IF(INDEX(Stocks!$G$2:$G$2139,MATCH(A1672,Stocks!$E$2:$E$2139,0))="","No","Yes"),"No")</f>
        <v/>
      </c>
    </row>
    <row r="1673">
      <c r="A1673" s="16" t="inlineStr">
        <is>
          <t>INE895W01019</t>
        </is>
      </c>
      <c r="B1673" s="16" t="inlineStr">
        <is>
          <t>PANACHE</t>
        </is>
      </c>
      <c r="C1673" s="16" t="inlineStr">
        <is>
          <t>Panache Digilife Ltd.</t>
        </is>
      </c>
      <c r="D1673" s="16" t="inlineStr">
        <is>
          <t>Computer Hardware</t>
        </is>
      </c>
      <c r="E1673" s="16" t="inlineStr">
        <is>
          <t>Hardware Technology &amp; Equipment</t>
        </is>
      </c>
      <c r="F1673" s="17" t="n">
        <v>840.74</v>
      </c>
      <c r="G1673" s="16" t="inlineStr">
        <is>
          <t>PANACHE</t>
        </is>
      </c>
      <c r="H1673" s="16" t="inlineStr"/>
      <c r="I1673" s="27">
        <f>IFERROR(IF(INDEX(Stocks!$G$2:$G$2139,MATCH(A1673,Stocks!$E$2:$E$2139,0))="","No","Yes"),"No")</f>
        <v/>
      </c>
    </row>
    <row r="1674">
      <c r="A1674" s="16" t="inlineStr">
        <is>
          <t>INE134B01017</t>
        </is>
      </c>
      <c r="B1674" s="16" t="inlineStr">
        <is>
          <t>KECL</t>
        </is>
      </c>
      <c r="C1674" s="16" t="inlineStr">
        <is>
          <t>Kirloskar Electric Company Ltd.</t>
        </is>
      </c>
      <c r="D1674" s="16" t="inlineStr">
        <is>
          <t>Other Electrical Equipment/Products</t>
        </is>
      </c>
      <c r="E1674" s="16" t="inlineStr">
        <is>
          <t>Consumer Durables</t>
        </is>
      </c>
      <c r="F1674" s="17" t="n">
        <v>839.54</v>
      </c>
      <c r="G1674" s="16" t="inlineStr">
        <is>
          <t>KECL</t>
        </is>
      </c>
      <c r="H1674" s="16" t="inlineStr">
        <is>
          <t>533193</t>
        </is>
      </c>
      <c r="I1674" s="27">
        <f>IFERROR(IF(INDEX(Stocks!$G$2:$G$2139,MATCH(A1674,Stocks!$E$2:$E$2139,0))="","No","Yes"),"No")</f>
        <v/>
      </c>
    </row>
    <row r="1675">
      <c r="A1675" s="16" t="inlineStr">
        <is>
          <t>INE709A01018</t>
        </is>
      </c>
      <c r="B1675" s="16" t="inlineStr">
        <is>
          <t>VLSFINANCE</t>
        </is>
      </c>
      <c r="C1675" s="16" t="inlineStr">
        <is>
          <t>VLS Finance Ltd.</t>
        </is>
      </c>
      <c r="D1675" s="16" t="inlineStr">
        <is>
          <t>Other Financial Services</t>
        </is>
      </c>
      <c r="E1675" s="16" t="inlineStr">
        <is>
          <t>Banking and Finance</t>
        </is>
      </c>
      <c r="F1675" s="17" t="n">
        <v>838.15</v>
      </c>
      <c r="G1675" s="16" t="inlineStr">
        <is>
          <t>VLSFINANCE</t>
        </is>
      </c>
      <c r="H1675" s="16" t="inlineStr">
        <is>
          <t>511333</t>
        </is>
      </c>
      <c r="I1675" s="27">
        <f>IFERROR(IF(INDEX(Stocks!$G$2:$G$2139,MATCH(A1675,Stocks!$E$2:$E$2139,0))="","No","Yes"),"No")</f>
        <v/>
      </c>
    </row>
    <row r="1676">
      <c r="A1676" s="16" t="inlineStr">
        <is>
          <t>INE091E01039</t>
        </is>
      </c>
      <c r="B1676" s="16" t="inlineStr">
        <is>
          <t>JAYTEX</t>
        </is>
      </c>
      <c r="C1676" s="16" t="inlineStr">
        <is>
          <t>Jaybharat Textiles &amp; Real Estate Ltd.</t>
        </is>
      </c>
      <c r="D1676" s="16" t="inlineStr">
        <is>
          <t>Textiles</t>
        </is>
      </c>
      <c r="E1676" s="16" t="inlineStr">
        <is>
          <t>Textiles Apparels &amp; Accessories</t>
        </is>
      </c>
      <c r="F1676" s="17" t="n">
        <v>838.03</v>
      </c>
      <c r="G1676" s="16" t="inlineStr"/>
      <c r="H1676" s="16" t="inlineStr">
        <is>
          <t>512233</t>
        </is>
      </c>
      <c r="I1676" s="27">
        <f>IFERROR(IF(INDEX(Stocks!$G$2:$G$2139,MATCH(A1676,Stocks!$E$2:$E$2139,0))="","No","Yes"),"No")</f>
        <v/>
      </c>
    </row>
    <row r="1677">
      <c r="A1677" s="16" t="inlineStr">
        <is>
          <t>INE155G01029</t>
        </is>
      </c>
      <c r="B1677" s="16" t="inlineStr">
        <is>
          <t>NDTV</t>
        </is>
      </c>
      <c r="C1677" s="16" t="inlineStr">
        <is>
          <t>New Delhi Television Ltd.</t>
        </is>
      </c>
      <c r="D1677" s="16" t="inlineStr">
        <is>
          <t>Broadcasting &amp; Cable TV</t>
        </is>
      </c>
      <c r="E1677" s="16" t="inlineStr">
        <is>
          <t>Media</t>
        </is>
      </c>
      <c r="F1677" s="17" t="n">
        <v>837.95</v>
      </c>
      <c r="G1677" s="16" t="inlineStr">
        <is>
          <t>NDTV</t>
        </is>
      </c>
      <c r="H1677" s="16" t="inlineStr">
        <is>
          <t>532529</t>
        </is>
      </c>
      <c r="I1677" s="27">
        <f>IFERROR(IF(INDEX(Stocks!$G$2:$G$2139,MATCH(A1677,Stocks!$E$2:$E$2139,0))="","No","Yes"),"No")</f>
        <v/>
      </c>
    </row>
    <row r="1678">
      <c r="A1678" s="16" t="inlineStr">
        <is>
          <t>INE283A01014</t>
        </is>
      </c>
      <c r="B1678" s="16" t="inlineStr">
        <is>
          <t>PRECOT</t>
        </is>
      </c>
      <c r="C1678" s="16" t="inlineStr">
        <is>
          <t>Precot Ltd.</t>
        </is>
      </c>
      <c r="D1678" s="16" t="inlineStr">
        <is>
          <t>Textiles</t>
        </is>
      </c>
      <c r="E1678" s="16" t="inlineStr">
        <is>
          <t>Textiles Apparels &amp; Accessories</t>
        </is>
      </c>
      <c r="F1678" s="17" t="n">
        <v>837.66</v>
      </c>
      <c r="G1678" s="16" t="inlineStr">
        <is>
          <t>PRECOT</t>
        </is>
      </c>
      <c r="H1678" s="16" t="inlineStr">
        <is>
          <t>521184</t>
        </is>
      </c>
      <c r="I1678" s="27">
        <f>IFERROR(IF(INDEX(Stocks!$G$2:$G$2139,MATCH(A1678,Stocks!$E$2:$E$2139,0))="","No","Yes"),"No")</f>
        <v/>
      </c>
    </row>
    <row r="1679">
      <c r="A1679" s="16" t="inlineStr">
        <is>
          <t>INE453D01025</t>
        </is>
      </c>
      <c r="B1679" s="16" t="inlineStr">
        <is>
          <t>SARLAPOLY</t>
        </is>
      </c>
      <c r="C1679" s="16" t="inlineStr">
        <is>
          <t>Sarla Performance Fibers Ltd.</t>
        </is>
      </c>
      <c r="D1679" s="16" t="inlineStr">
        <is>
          <t>Textiles</t>
        </is>
      </c>
      <c r="E1679" s="16" t="inlineStr">
        <is>
          <t>Textiles Apparels &amp; Accessories</t>
        </is>
      </c>
      <c r="F1679" s="17" t="n">
        <v>836.7</v>
      </c>
      <c r="G1679" s="16" t="inlineStr">
        <is>
          <t>SARLAPOLY</t>
        </is>
      </c>
      <c r="H1679" s="16" t="inlineStr">
        <is>
          <t>526885</t>
        </is>
      </c>
      <c r="I1679" s="27">
        <f>IFERROR(IF(INDEX(Stocks!$G$2:$G$2139,MATCH(A1679,Stocks!$E$2:$E$2139,0))="","No","Yes"),"No")</f>
        <v/>
      </c>
    </row>
    <row r="1680">
      <c r="A1680" s="16" t="inlineStr">
        <is>
          <t>INE232E01013</t>
        </is>
      </c>
      <c r="B1680" s="16" t="inlineStr">
        <is>
          <t>VELJAN</t>
        </is>
      </c>
      <c r="C1680" s="16" t="inlineStr">
        <is>
          <t>Veljan Denison Ltd.</t>
        </is>
      </c>
      <c r="D1680" s="16" t="inlineStr">
        <is>
          <t>Auto Parts &amp; Equipment</t>
        </is>
      </c>
      <c r="E1680" s="16" t="inlineStr">
        <is>
          <t>Automobiles &amp; Auto Components</t>
        </is>
      </c>
      <c r="F1680" s="17" t="n">
        <v>835.52</v>
      </c>
      <c r="G1680" s="16" t="inlineStr"/>
      <c r="H1680" s="16" t="inlineStr">
        <is>
          <t>505232</t>
        </is>
      </c>
      <c r="I1680" s="27">
        <f>IFERROR(IF(INDEX(Stocks!$G$2:$G$2139,MATCH(A1680,Stocks!$E$2:$E$2139,0))="","No","Yes"),"No")</f>
        <v/>
      </c>
    </row>
    <row r="1681">
      <c r="A1681" s="16" t="inlineStr">
        <is>
          <t>INE13VU01016</t>
        </is>
      </c>
      <c r="B1681" s="16" t="inlineStr">
        <is>
          <t>BEEZAASAN</t>
        </is>
      </c>
      <c r="C1681" s="16" t="inlineStr">
        <is>
          <t>Beezaasan Explotech Ltd.</t>
        </is>
      </c>
      <c r="D1681" s="16" t="inlineStr">
        <is>
          <t>Other Industrial Products</t>
        </is>
      </c>
      <c r="E1681" s="16" t="inlineStr">
        <is>
          <t>General Industrials</t>
        </is>
      </c>
      <c r="F1681" s="17" t="n">
        <v>834.33</v>
      </c>
      <c r="G1681" s="16" t="inlineStr"/>
      <c r="H1681" s="16" t="inlineStr">
        <is>
          <t>544369</t>
        </is>
      </c>
      <c r="I1681" s="27">
        <f>IFERROR(IF(INDEX(Stocks!$G$2:$G$2139,MATCH(A1681,Stocks!$E$2:$E$2139,0))="","No","Yes"),"No")</f>
        <v/>
      </c>
    </row>
    <row r="1682">
      <c r="A1682" s="16" t="inlineStr">
        <is>
          <t>INE0U9101019</t>
        </is>
      </c>
      <c r="B1682" s="16" t="inlineStr">
        <is>
          <t>EFFWA</t>
        </is>
      </c>
      <c r="C1682" s="16" t="inlineStr">
        <is>
          <t>Effwa Infra &amp; Research Ltd.</t>
        </is>
      </c>
      <c r="D1682" s="16" t="inlineStr">
        <is>
          <t>Construction &amp; Engineering</t>
        </is>
      </c>
      <c r="E1682" s="16" t="inlineStr">
        <is>
          <t>Cement and Construction</t>
        </is>
      </c>
      <c r="F1682" s="17" t="n">
        <v>833.3</v>
      </c>
      <c r="G1682" s="16" t="inlineStr">
        <is>
          <t>EFFWA</t>
        </is>
      </c>
      <c r="H1682" s="16" t="inlineStr"/>
      <c r="I1682" s="27">
        <f>IFERROR(IF(INDEX(Stocks!$G$2:$G$2139,MATCH(A1682,Stocks!$E$2:$E$2139,0))="","No","Yes"),"No")</f>
        <v/>
      </c>
    </row>
    <row r="1683">
      <c r="A1683" s="16" t="inlineStr">
        <is>
          <t>INE140B01048</t>
        </is>
      </c>
      <c r="B1683" s="16" t="inlineStr">
        <is>
          <t>JTLDEFENCE</t>
        </is>
      </c>
      <c r="C1683" s="16" t="inlineStr">
        <is>
          <t>JTL Defence Ltd.</t>
        </is>
      </c>
      <c r="D1683" s="16" t="inlineStr">
        <is>
          <t>Iron &amp; Steel/Interm.Products</t>
        </is>
      </c>
      <c r="E1683" s="16" t="inlineStr">
        <is>
          <t>Metals &amp; Mining</t>
        </is>
      </c>
      <c r="F1683" s="17" t="n">
        <v>831.58</v>
      </c>
      <c r="G1683" s="16" t="inlineStr"/>
      <c r="H1683" s="16" t="inlineStr">
        <is>
          <t>537254</t>
        </is>
      </c>
      <c r="I1683" s="27">
        <f>IFERROR(IF(INDEX(Stocks!$G$2:$G$2139,MATCH(A1683,Stocks!$E$2:$E$2139,0))="","No","Yes"),"No")</f>
        <v/>
      </c>
    </row>
    <row r="1684">
      <c r="A1684" s="16" t="inlineStr">
        <is>
          <t>INE0I3401014</t>
        </is>
      </c>
      <c r="B1684" s="16" t="inlineStr">
        <is>
          <t>DBOL</t>
        </is>
      </c>
      <c r="C1684" s="16" t="inlineStr">
        <is>
          <t>Dhampur Bio Organics Ltd.</t>
        </is>
      </c>
      <c r="D1684" s="16" t="inlineStr">
        <is>
          <t>Sugar</t>
        </is>
      </c>
      <c r="E1684" s="16" t="inlineStr">
        <is>
          <t>Food, Beverages &amp; Tobacco</t>
        </is>
      </c>
      <c r="F1684" s="17" t="n">
        <v>829.78</v>
      </c>
      <c r="G1684" s="16" t="inlineStr">
        <is>
          <t>DBOL</t>
        </is>
      </c>
      <c r="H1684" s="16" t="inlineStr">
        <is>
          <t>543593</t>
        </is>
      </c>
      <c r="I1684" s="27">
        <f>IFERROR(IF(INDEX(Stocks!$G$2:$G$2139,MATCH(A1684,Stocks!$E$2:$E$2139,0))="","No","Yes"),"No")</f>
        <v/>
      </c>
    </row>
    <row r="1685">
      <c r="A1685" s="16" t="inlineStr">
        <is>
          <t>INE0QRV01016</t>
        </is>
      </c>
      <c r="B1685" s="16" t="inlineStr">
        <is>
          <t>ABSMARINE</t>
        </is>
      </c>
      <c r="C1685" s="16" t="inlineStr">
        <is>
          <t>ABS Marine Services Ltd.</t>
        </is>
      </c>
      <c r="D1685" s="16" t="inlineStr">
        <is>
          <t>Marine Port &amp; Services</t>
        </is>
      </c>
      <c r="E1685" s="16" t="inlineStr">
        <is>
          <t>Transportation</t>
        </is>
      </c>
      <c r="F1685" s="17" t="n">
        <v>829.54</v>
      </c>
      <c r="G1685" s="16" t="inlineStr">
        <is>
          <t>ABSMARINE</t>
        </is>
      </c>
      <c r="H1685" s="16" t="inlineStr"/>
      <c r="I1685" s="27">
        <f>IFERROR(IF(INDEX(Stocks!$G$2:$G$2139,MATCH(A1685,Stocks!$E$2:$E$2139,0))="","No","Yes"),"No")</f>
        <v/>
      </c>
    </row>
    <row r="1686">
      <c r="A1686" s="16" t="inlineStr">
        <is>
          <t>INE0JUI01012</t>
        </is>
      </c>
      <c r="B1686" s="16" t="inlineStr">
        <is>
          <t>HEXAGON</t>
        </is>
      </c>
      <c r="C1686" s="16" t="inlineStr">
        <is>
          <t>Hexagon Nutrition Ltd.</t>
        </is>
      </c>
      <c r="D1686" s="16" t="inlineStr">
        <is>
          <t>Packaged Foods</t>
        </is>
      </c>
      <c r="E1686" s="16" t="inlineStr">
        <is>
          <t>FMCG</t>
        </is>
      </c>
      <c r="F1686" s="17" t="n">
        <v>826.38</v>
      </c>
      <c r="G1686" s="16" t="inlineStr">
        <is>
          <t>HEXAGON</t>
        </is>
      </c>
      <c r="H1686" s="16" t="inlineStr">
        <is>
          <t>544785</t>
        </is>
      </c>
      <c r="I1686" s="27">
        <f>IFERROR(IF(INDEX(Stocks!$G$2:$G$2139,MATCH(A1686,Stocks!$E$2:$E$2139,0))="","No","Yes"),"No")</f>
        <v/>
      </c>
    </row>
    <row r="1687">
      <c r="A1687" s="16" t="inlineStr">
        <is>
          <t>INE217A01012</t>
        </is>
      </c>
      <c r="B1687" s="16" t="inlineStr">
        <is>
          <t>ZUARIIND</t>
        </is>
      </c>
      <c r="C1687" s="16" t="inlineStr">
        <is>
          <t>Zuari Industries Ltd.</t>
        </is>
      </c>
      <c r="D1687" s="16" t="inlineStr">
        <is>
          <t>Sugar</t>
        </is>
      </c>
      <c r="E1687" s="16" t="inlineStr">
        <is>
          <t>Food, Beverages &amp; Tobacco</t>
        </is>
      </c>
      <c r="F1687" s="17" t="n">
        <v>823.3</v>
      </c>
      <c r="G1687" s="16" t="inlineStr">
        <is>
          <t>ZUARIIND</t>
        </is>
      </c>
      <c r="H1687" s="16" t="inlineStr">
        <is>
          <t>500780</t>
        </is>
      </c>
      <c r="I1687" s="27">
        <f>IFERROR(IF(INDEX(Stocks!$G$2:$G$2139,MATCH(A1687,Stocks!$E$2:$E$2139,0))="","No","Yes"),"No")</f>
        <v/>
      </c>
    </row>
    <row r="1688">
      <c r="A1688" s="16" t="inlineStr">
        <is>
          <t>INE356B01024</t>
        </is>
      </c>
      <c r="B1688" s="16" t="inlineStr">
        <is>
          <t>SYSTMTXC</t>
        </is>
      </c>
      <c r="C1688" s="16" t="inlineStr">
        <is>
          <t>Systematix Corporate Services Ltd.</t>
        </is>
      </c>
      <c r="D1688" s="16" t="inlineStr">
        <is>
          <t>Capital Markets</t>
        </is>
      </c>
      <c r="E1688" s="16" t="inlineStr">
        <is>
          <t>Banking and Finance</t>
        </is>
      </c>
      <c r="F1688" s="17" t="n">
        <v>822.37</v>
      </c>
      <c r="G1688" s="16" t="inlineStr">
        <is>
          <t>SYSTMTXC</t>
        </is>
      </c>
      <c r="H1688" s="16" t="inlineStr">
        <is>
          <t>526506</t>
        </is>
      </c>
      <c r="I1688" s="27">
        <f>IFERROR(IF(INDEX(Stocks!$G$2:$G$2139,MATCH(A1688,Stocks!$E$2:$E$2139,0))="","No","Yes"),"No")</f>
        <v/>
      </c>
    </row>
    <row r="1689">
      <c r="A1689" s="16" t="inlineStr">
        <is>
          <t>INE16SF01016</t>
        </is>
      </c>
      <c r="B1689" s="16" t="inlineStr">
        <is>
          <t>BORANA</t>
        </is>
      </c>
      <c r="C1689" s="16" t="inlineStr">
        <is>
          <t>Borana Weaves Ltd.</t>
        </is>
      </c>
      <c r="D1689" s="16" t="inlineStr">
        <is>
          <t>Textiles</t>
        </is>
      </c>
      <c r="E1689" s="16" t="inlineStr">
        <is>
          <t>Textiles Apparels &amp; Accessories</t>
        </is>
      </c>
      <c r="F1689" s="17" t="n">
        <v>819.61</v>
      </c>
      <c r="G1689" s="16" t="inlineStr">
        <is>
          <t>BORANA</t>
        </is>
      </c>
      <c r="H1689" s="16" t="inlineStr">
        <is>
          <t>544404</t>
        </is>
      </c>
      <c r="I1689" s="27">
        <f>IFERROR(IF(INDEX(Stocks!$G$2:$G$2139,MATCH(A1689,Stocks!$E$2:$E$2139,0))="","No","Yes"),"No")</f>
        <v/>
      </c>
    </row>
    <row r="1690">
      <c r="A1690" s="16" t="inlineStr">
        <is>
          <t>INE0PK601023</t>
        </is>
      </c>
      <c r="B1690" s="16" t="inlineStr">
        <is>
          <t>OCCLLTD</t>
        </is>
      </c>
      <c r="C1690" s="16" t="inlineStr">
        <is>
          <t>OCCL Ltd.</t>
        </is>
      </c>
      <c r="D1690" s="16" t="inlineStr">
        <is>
          <t>Commodity Chemicals</t>
        </is>
      </c>
      <c r="E1690" s="16" t="inlineStr">
        <is>
          <t>Chemicals &amp; Petrochemicals</t>
        </is>
      </c>
      <c r="F1690" s="17" t="n">
        <v>818.84</v>
      </c>
      <c r="G1690" s="16" t="inlineStr">
        <is>
          <t>OCCLLTD</t>
        </is>
      </c>
      <c r="H1690" s="16" t="inlineStr">
        <is>
          <t>544278</t>
        </is>
      </c>
      <c r="I1690" s="27">
        <f>IFERROR(IF(INDEX(Stocks!$G$2:$G$2139,MATCH(A1690,Stocks!$E$2:$E$2139,0))="","No","Yes"),"No")</f>
        <v/>
      </c>
    </row>
    <row r="1691">
      <c r="A1691" s="16" t="inlineStr">
        <is>
          <t>INE283H01019</t>
        </is>
      </c>
      <c r="B1691" s="16" t="inlineStr">
        <is>
          <t>ROHLTD</t>
        </is>
      </c>
      <c r="C1691" s="16" t="inlineStr">
        <is>
          <t>Royal Orchid Hotels Ltd.</t>
        </is>
      </c>
      <c r="D1691" s="16" t="inlineStr">
        <is>
          <t>Hotels</t>
        </is>
      </c>
      <c r="E1691" s="16" t="inlineStr">
        <is>
          <t>Hotels Restaurants &amp; Tourism</t>
        </is>
      </c>
      <c r="F1691" s="17" t="n">
        <v>818.78</v>
      </c>
      <c r="G1691" s="16" t="inlineStr">
        <is>
          <t>ROHLTD</t>
        </is>
      </c>
      <c r="H1691" s="16" t="inlineStr">
        <is>
          <t>532699</t>
        </is>
      </c>
      <c r="I1691" s="27">
        <f>IFERROR(IF(INDEX(Stocks!$G$2:$G$2139,MATCH(A1691,Stocks!$E$2:$E$2139,0))="","No","Yes"),"No")</f>
        <v/>
      </c>
    </row>
    <row r="1692">
      <c r="A1692" s="16" t="inlineStr">
        <is>
          <t>INE026D01011</t>
        </is>
      </c>
      <c r="B1692" s="16" t="inlineStr">
        <is>
          <t>LOTUSCHO</t>
        </is>
      </c>
      <c r="C1692" s="16" t="inlineStr">
        <is>
          <t>Lotus Chocolate Company Ltd.</t>
        </is>
      </c>
      <c r="D1692" s="16" t="inlineStr">
        <is>
          <t>Packaged Foods</t>
        </is>
      </c>
      <c r="E1692" s="16" t="inlineStr">
        <is>
          <t>FMCG</t>
        </is>
      </c>
      <c r="F1692" s="17" t="n">
        <v>816.37</v>
      </c>
      <c r="G1692" s="16" t="inlineStr"/>
      <c r="H1692" s="16" t="inlineStr">
        <is>
          <t>523475</t>
        </is>
      </c>
      <c r="I1692" s="27">
        <f>IFERROR(IF(INDEX(Stocks!$G$2:$G$2139,MATCH(A1692,Stocks!$E$2:$E$2139,0))="","No","Yes"),"No")</f>
        <v/>
      </c>
    </row>
    <row r="1693">
      <c r="A1693" s="16" t="inlineStr">
        <is>
          <t>INE389K01018</t>
        </is>
      </c>
      <c r="B1693" s="16" t="inlineStr">
        <is>
          <t>WELINV</t>
        </is>
      </c>
      <c r="C1693" s="16" t="inlineStr">
        <is>
          <t>Welspun Investments &amp; Commercials Ltd.</t>
        </is>
      </c>
      <c r="D1693" s="16" t="inlineStr">
        <is>
          <t>Other Financial Services</t>
        </is>
      </c>
      <c r="E1693" s="16" t="inlineStr">
        <is>
          <t>Banking and Finance</t>
        </is>
      </c>
      <c r="F1693" s="17" t="n">
        <v>815.21</v>
      </c>
      <c r="G1693" s="16" t="inlineStr">
        <is>
          <t>WELINV</t>
        </is>
      </c>
      <c r="H1693" s="16" t="inlineStr">
        <is>
          <t>533252</t>
        </is>
      </c>
      <c r="I1693" s="27">
        <f>IFERROR(IF(INDEX(Stocks!$G$2:$G$2139,MATCH(A1693,Stocks!$E$2:$E$2139,0))="","No","Yes"),"No")</f>
        <v/>
      </c>
    </row>
    <row r="1694">
      <c r="A1694" s="16" t="inlineStr">
        <is>
          <t>INE0MEG01014</t>
        </is>
      </c>
      <c r="B1694" s="16" t="inlineStr">
        <is>
          <t>VIVIANA</t>
        </is>
      </c>
      <c r="C1694" s="16" t="inlineStr">
        <is>
          <t>Viviana Power Tech Ltd.</t>
        </is>
      </c>
      <c r="D1694" s="16" t="inlineStr">
        <is>
          <t>Power - Electric Utilities</t>
        </is>
      </c>
      <c r="E1694" s="16" t="inlineStr">
        <is>
          <t>Utilities</t>
        </is>
      </c>
      <c r="F1694" s="17" t="n">
        <v>814.74</v>
      </c>
      <c r="G1694" s="16" t="inlineStr">
        <is>
          <t>VIVIANA</t>
        </is>
      </c>
      <c r="H1694" s="16" t="inlineStr"/>
      <c r="I1694" s="27">
        <f>IFERROR(IF(INDEX(Stocks!$G$2:$G$2139,MATCH(A1694,Stocks!$E$2:$E$2139,0))="","No","Yes"),"No")</f>
        <v/>
      </c>
    </row>
    <row r="1695">
      <c r="A1695" s="16" t="inlineStr">
        <is>
          <t>INE550H01011</t>
        </is>
      </c>
      <c r="B1695" s="16" t="inlineStr">
        <is>
          <t>SUPREMEINF</t>
        </is>
      </c>
      <c r="C1695" s="16" t="inlineStr">
        <is>
          <t>Supreme Infrastructure India Ltd.</t>
        </is>
      </c>
      <c r="D1695" s="16" t="inlineStr">
        <is>
          <t>Construction &amp; Engineering</t>
        </is>
      </c>
      <c r="E1695" s="16" t="inlineStr">
        <is>
          <t>Cement and Construction</t>
        </is>
      </c>
      <c r="F1695" s="17" t="n">
        <v>813.37</v>
      </c>
      <c r="G1695" s="16" t="inlineStr">
        <is>
          <t>SUPREMEINF</t>
        </is>
      </c>
      <c r="H1695" s="16" t="inlineStr">
        <is>
          <t>532904</t>
        </is>
      </c>
      <c r="I1695" s="27">
        <f>IFERROR(IF(INDEX(Stocks!$G$2:$G$2139,MATCH(A1695,Stocks!$E$2:$E$2139,0))="","No","Yes"),"No")</f>
        <v/>
      </c>
    </row>
    <row r="1696">
      <c r="A1696" s="16" t="inlineStr">
        <is>
          <t>INE239D01028</t>
        </is>
      </c>
      <c r="B1696" s="16" t="inlineStr">
        <is>
          <t>OMINFRAL</t>
        </is>
      </c>
      <c r="C1696" s="16" t="inlineStr">
        <is>
          <t>Om Infra Ltd.</t>
        </is>
      </c>
      <c r="D1696" s="16" t="inlineStr">
        <is>
          <t>Construction &amp; Engineering</t>
        </is>
      </c>
      <c r="E1696" s="16" t="inlineStr">
        <is>
          <t>Cement and Construction</t>
        </is>
      </c>
      <c r="F1696" s="17" t="n">
        <v>813.09</v>
      </c>
      <c r="G1696" s="16" t="inlineStr">
        <is>
          <t>OMINFRAL</t>
        </is>
      </c>
      <c r="H1696" s="16" t="inlineStr">
        <is>
          <t>531092</t>
        </is>
      </c>
      <c r="I1696" s="27">
        <f>IFERROR(IF(INDEX(Stocks!$G$2:$G$2139,MATCH(A1696,Stocks!$E$2:$E$2139,0))="","No","Yes"),"No")</f>
        <v/>
      </c>
    </row>
    <row r="1697">
      <c r="A1697" s="16" t="inlineStr">
        <is>
          <t>INE489G01022</t>
        </is>
      </c>
      <c r="B1697" s="16" t="inlineStr">
        <is>
          <t>ANUHPHR</t>
        </is>
      </c>
      <c r="C1697" s="16" t="inlineStr">
        <is>
          <t>Anuh Pharma Ltd.</t>
        </is>
      </c>
      <c r="D1697" s="16" t="inlineStr">
        <is>
          <t>Pharmaceuticals</t>
        </is>
      </c>
      <c r="E1697" s="16" t="inlineStr">
        <is>
          <t>Pharmaceuticals &amp; Biotechnology</t>
        </is>
      </c>
      <c r="F1697" s="17" t="n">
        <v>812.8200000000001</v>
      </c>
      <c r="G1697" s="16" t="inlineStr">
        <is>
          <t>ANUHPHR</t>
        </is>
      </c>
      <c r="H1697" s="16" t="inlineStr">
        <is>
          <t>506260</t>
        </is>
      </c>
      <c r="I1697" s="27">
        <f>IFERROR(IF(INDEX(Stocks!$G$2:$G$2139,MATCH(A1697,Stocks!$E$2:$E$2139,0))="","No","Yes"),"No")</f>
        <v/>
      </c>
    </row>
    <row r="1698">
      <c r="A1698" s="16" t="inlineStr">
        <is>
          <t>INE090501011</t>
        </is>
      </c>
      <c r="B1698" s="16" t="inlineStr">
        <is>
          <t>SCODATUBES</t>
        </is>
      </c>
      <c r="C1698" s="16" t="inlineStr">
        <is>
          <t>Scoda Tubes Ltd.</t>
        </is>
      </c>
      <c r="D1698" s="16" t="inlineStr">
        <is>
          <t>Iron &amp; Steel Products</t>
        </is>
      </c>
      <c r="E1698" s="16" t="inlineStr">
        <is>
          <t>Metals &amp; Mining</t>
        </is>
      </c>
      <c r="F1698" s="17" t="n">
        <v>808.89</v>
      </c>
      <c r="G1698" s="16" t="inlineStr">
        <is>
          <t>SCODATUBES</t>
        </is>
      </c>
      <c r="H1698" s="16" t="inlineStr">
        <is>
          <t>544411</t>
        </is>
      </c>
      <c r="I1698" s="27">
        <f>IFERROR(IF(INDEX(Stocks!$G$2:$G$2139,MATCH(A1698,Stocks!$E$2:$E$2139,0))="","No","Yes"),"No")</f>
        <v/>
      </c>
    </row>
    <row r="1699">
      <c r="A1699" s="16" t="inlineStr">
        <is>
          <t>INE760A01029</t>
        </is>
      </c>
      <c r="B1699" s="16" t="inlineStr">
        <is>
          <t>KOKUYOCMLN</t>
        </is>
      </c>
      <c r="C1699" s="16" t="inlineStr">
        <is>
          <t>Kokuyo Camlin Ltd.</t>
        </is>
      </c>
      <c r="D1699" s="16" t="inlineStr">
        <is>
          <t>Commodity Printing/Stationery</t>
        </is>
      </c>
      <c r="E1699" s="16" t="inlineStr">
        <is>
          <t>Commercial Services &amp; Supplies</t>
        </is>
      </c>
      <c r="F1699" s="17" t="n">
        <v>808.55</v>
      </c>
      <c r="G1699" s="16" t="inlineStr">
        <is>
          <t>KOKUYOCMLN</t>
        </is>
      </c>
      <c r="H1699" s="16" t="inlineStr">
        <is>
          <t>523207</t>
        </is>
      </c>
      <c r="I1699" s="27">
        <f>IFERROR(IF(INDEX(Stocks!$G$2:$G$2139,MATCH(A1699,Stocks!$E$2:$E$2139,0))="","No","Yes"),"No")</f>
        <v/>
      </c>
    </row>
    <row r="1700">
      <c r="A1700" s="16" t="inlineStr">
        <is>
          <t>INE606N01019</t>
        </is>
      </c>
      <c r="B1700" s="16" t="inlineStr">
        <is>
          <t>EXCELSOFT</t>
        </is>
      </c>
      <c r="C1700" s="16" t="inlineStr">
        <is>
          <t>Excelsoft Technologies Ltd.</t>
        </is>
      </c>
      <c r="D1700" s="16" t="inlineStr">
        <is>
          <t>IT Consulting &amp; Software</t>
        </is>
      </c>
      <c r="E1700" s="16" t="inlineStr">
        <is>
          <t>Software &amp; Services</t>
        </is>
      </c>
      <c r="F1700" s="17" t="n">
        <v>808.24</v>
      </c>
      <c r="G1700" s="16" t="inlineStr">
        <is>
          <t>EXCELSOFT</t>
        </is>
      </c>
      <c r="H1700" s="16" t="inlineStr">
        <is>
          <t>544617</t>
        </is>
      </c>
      <c r="I1700" s="27">
        <f>IFERROR(IF(INDEX(Stocks!$G$2:$G$2139,MATCH(A1700,Stocks!$E$2:$E$2139,0))="","No","Yes"),"No")</f>
        <v/>
      </c>
    </row>
    <row r="1701">
      <c r="A1701" s="16" t="inlineStr">
        <is>
          <t>INE060901027</t>
        </is>
      </c>
      <c r="B1701" s="16" t="inlineStr">
        <is>
          <t>LIKHITHA</t>
        </is>
      </c>
      <c r="C1701" s="16" t="inlineStr">
        <is>
          <t>Likhitha Infrastructure Ltd.</t>
        </is>
      </c>
      <c r="D1701" s="16" t="inlineStr">
        <is>
          <t>Construction &amp; Engineering</t>
        </is>
      </c>
      <c r="E1701" s="16" t="inlineStr">
        <is>
          <t>Cement and Construction</t>
        </is>
      </c>
      <c r="F1701" s="17" t="n">
        <v>807.9400000000001</v>
      </c>
      <c r="G1701" s="16" t="inlineStr">
        <is>
          <t>LIKHITHA</t>
        </is>
      </c>
      <c r="H1701" s="16" t="inlineStr">
        <is>
          <t>543240</t>
        </is>
      </c>
      <c r="I1701" s="27">
        <f>IFERROR(IF(INDEX(Stocks!$G$2:$G$2139,MATCH(A1701,Stocks!$E$2:$E$2139,0))="","No","Yes"),"No")</f>
        <v/>
      </c>
    </row>
    <row r="1702">
      <c r="A1702" s="16" t="inlineStr">
        <is>
          <t>INE392A01021</t>
        </is>
      </c>
      <c r="B1702" s="16" t="inlineStr">
        <is>
          <t>VISAKAIND</t>
        </is>
      </c>
      <c r="C1702" s="16" t="inlineStr">
        <is>
          <t>Visaka Industries Ltd.</t>
        </is>
      </c>
      <c r="D1702" s="16" t="inlineStr">
        <is>
          <t>Cement &amp; Cement Products</t>
        </is>
      </c>
      <c r="E1702" s="16" t="inlineStr">
        <is>
          <t>Cement and Construction</t>
        </is>
      </c>
      <c r="F1702" s="17" t="n">
        <v>806.76</v>
      </c>
      <c r="G1702" s="16" t="inlineStr">
        <is>
          <t>VISAKAIND</t>
        </is>
      </c>
      <c r="H1702" s="16" t="inlineStr">
        <is>
          <t>509055</t>
        </is>
      </c>
      <c r="I1702" s="27">
        <f>IFERROR(IF(INDEX(Stocks!$G$2:$G$2139,MATCH(A1702,Stocks!$E$2:$E$2139,0))="","No","Yes"),"No")</f>
        <v/>
      </c>
    </row>
    <row r="1703">
      <c r="A1703" s="16" t="inlineStr">
        <is>
          <t>INE888C01040</t>
        </is>
      </c>
      <c r="B1703" s="16" t="inlineStr">
        <is>
          <t>SADHNANIQ</t>
        </is>
      </c>
      <c r="C1703" s="16" t="inlineStr">
        <is>
          <t>Sadhana Nitro Chem Ltd.</t>
        </is>
      </c>
      <c r="D1703" s="16" t="inlineStr">
        <is>
          <t>Commodity Chemicals</t>
        </is>
      </c>
      <c r="E1703" s="16" t="inlineStr">
        <is>
          <t>Chemicals &amp; Petrochemicals</t>
        </is>
      </c>
      <c r="F1703" s="17" t="n">
        <v>806.4</v>
      </c>
      <c r="G1703" s="16" t="inlineStr">
        <is>
          <t>SADHNANIQ</t>
        </is>
      </c>
      <c r="H1703" s="16" t="inlineStr">
        <is>
          <t>506642</t>
        </is>
      </c>
      <c r="I1703" s="27">
        <f>IFERROR(IF(INDEX(Stocks!$G$2:$G$2139,MATCH(A1703,Stocks!$E$2:$E$2139,0))="","No","Yes"),"No")</f>
        <v/>
      </c>
    </row>
    <row r="1704">
      <c r="A1704" s="16" t="inlineStr">
        <is>
          <t>INE334A01023</t>
        </is>
      </c>
      <c r="B1704" s="16" t="inlineStr">
        <is>
          <t>STERTOOLS</t>
        </is>
      </c>
      <c r="C1704" s="16" t="inlineStr">
        <is>
          <t>Sterling Tools Ltd.</t>
        </is>
      </c>
      <c r="D1704" s="16" t="inlineStr">
        <is>
          <t>Auto Parts &amp; Equipment</t>
        </is>
      </c>
      <c r="E1704" s="16" t="inlineStr">
        <is>
          <t>Automobiles &amp; Auto Components</t>
        </is>
      </c>
      <c r="F1704" s="17" t="n">
        <v>804.34</v>
      </c>
      <c r="G1704" s="16" t="inlineStr">
        <is>
          <t>STERTOOLS</t>
        </is>
      </c>
      <c r="H1704" s="16" t="inlineStr">
        <is>
          <t>530759</t>
        </is>
      </c>
      <c r="I1704" s="27">
        <f>IFERROR(IF(INDEX(Stocks!$G$2:$G$2139,MATCH(A1704,Stocks!$E$2:$E$2139,0))="","No","Yes"),"No")</f>
        <v/>
      </c>
    </row>
    <row r="1705">
      <c r="A1705" s="16" t="inlineStr">
        <is>
          <t>INE732C01016</t>
        </is>
      </c>
      <c r="B1705" s="16" t="inlineStr">
        <is>
          <t>NCLIND</t>
        </is>
      </c>
      <c r="C1705" s="16" t="inlineStr">
        <is>
          <t>NCL Industries Ltd.</t>
        </is>
      </c>
      <c r="D1705" s="16" t="inlineStr">
        <is>
          <t>Cement &amp; Cement Products</t>
        </is>
      </c>
      <c r="E1705" s="16" t="inlineStr">
        <is>
          <t>Cement and Construction</t>
        </is>
      </c>
      <c r="F1705" s="17" t="n">
        <v>804.28</v>
      </c>
      <c r="G1705" s="16" t="inlineStr">
        <is>
          <t>NCLIND</t>
        </is>
      </c>
      <c r="H1705" s="16" t="inlineStr">
        <is>
          <t>502168</t>
        </is>
      </c>
      <c r="I1705" s="27">
        <f>IFERROR(IF(INDEX(Stocks!$G$2:$G$2139,MATCH(A1705,Stocks!$E$2:$E$2139,0))="","No","Yes"),"No")</f>
        <v/>
      </c>
    </row>
    <row r="1706">
      <c r="A1706" s="16" t="inlineStr">
        <is>
          <t>INE0PEQ01016</t>
        </is>
      </c>
      <c r="B1706" s="16" t="inlineStr">
        <is>
          <t>RBZJEWEL</t>
        </is>
      </c>
      <c r="C1706" s="16" t="inlineStr">
        <is>
          <t>RBZ Jewellers Ltd.</t>
        </is>
      </c>
      <c r="D1706" s="16" t="inlineStr">
        <is>
          <t>Gems &amp; Jewellery</t>
        </is>
      </c>
      <c r="E1706" s="16" t="inlineStr">
        <is>
          <t>Textiles Apparels &amp; Accessories</t>
        </is>
      </c>
      <c r="F1706" s="17" t="n">
        <v>802.76</v>
      </c>
      <c r="G1706" s="16" t="inlineStr">
        <is>
          <t>RBZJEWEL</t>
        </is>
      </c>
      <c r="H1706" s="16" t="inlineStr">
        <is>
          <t>544060</t>
        </is>
      </c>
      <c r="I1706" s="27">
        <f>IFERROR(IF(INDEX(Stocks!$G$2:$G$2139,MATCH(A1706,Stocks!$E$2:$E$2139,0))="","No","Yes"),"No")</f>
        <v/>
      </c>
    </row>
    <row r="1707">
      <c r="A1707" s="16" t="inlineStr">
        <is>
          <t>INE213D01015</t>
        </is>
      </c>
      <c r="B1707" s="16" t="inlineStr">
        <is>
          <t>BEEKAY</t>
        </is>
      </c>
      <c r="C1707" s="16" t="inlineStr">
        <is>
          <t>Beekay Steel Industries Ltd.</t>
        </is>
      </c>
      <c r="D1707" s="16" t="inlineStr">
        <is>
          <t>Iron &amp; Steel/Interm.Products</t>
        </is>
      </c>
      <c r="E1707" s="16" t="inlineStr">
        <is>
          <t>Metals &amp; Mining</t>
        </is>
      </c>
      <c r="F1707" s="17" t="n">
        <v>802.08</v>
      </c>
      <c r="G1707" s="16" t="inlineStr"/>
      <c r="H1707" s="16" t="inlineStr">
        <is>
          <t>539018</t>
        </is>
      </c>
      <c r="I1707" s="27">
        <f>IFERROR(IF(INDEX(Stocks!$G$2:$G$2139,MATCH(A1707,Stocks!$E$2:$E$2139,0))="","No","Yes"),"No")</f>
        <v/>
      </c>
    </row>
    <row r="1708">
      <c r="A1708" s="16" t="inlineStr">
        <is>
          <t>INE312B01027</t>
        </is>
      </c>
      <c r="B1708" s="16" t="inlineStr">
        <is>
          <t>SJCORP</t>
        </is>
      </c>
      <c r="C1708" s="16" t="inlineStr">
        <is>
          <t>SJ Corporation Ltd.</t>
        </is>
      </c>
      <c r="D1708" s="16" t="inlineStr">
        <is>
          <t>Gems &amp; Jewellery</t>
        </is>
      </c>
      <c r="E1708" s="16" t="inlineStr">
        <is>
          <t>Textiles Apparels &amp; Accessories</t>
        </is>
      </c>
      <c r="F1708" s="17" t="n">
        <v>799.6799999999999</v>
      </c>
      <c r="G1708" s="16" t="inlineStr"/>
      <c r="H1708" s="16" t="inlineStr">
        <is>
          <t>504398</t>
        </is>
      </c>
      <c r="I1708" s="27">
        <f>IFERROR(IF(INDEX(Stocks!$G$2:$G$2139,MATCH(A1708,Stocks!$E$2:$E$2139,0))="","No","Yes"),"No")</f>
        <v/>
      </c>
    </row>
    <row r="1709">
      <c r="A1709" s="16" t="inlineStr">
        <is>
          <t>INE235C01036</t>
        </is>
      </c>
      <c r="B1709" s="16" t="inlineStr">
        <is>
          <t>SUMEETINDS</t>
        </is>
      </c>
      <c r="C1709" s="16" t="inlineStr">
        <is>
          <t>Sumeet Industries Ltd.</t>
        </is>
      </c>
      <c r="D1709" s="16" t="inlineStr">
        <is>
          <t>Textiles</t>
        </is>
      </c>
      <c r="E1709" s="16" t="inlineStr">
        <is>
          <t>Textiles Apparels &amp; Accessories</t>
        </is>
      </c>
      <c r="F1709" s="17" t="n">
        <v>798.96</v>
      </c>
      <c r="G1709" s="16" t="inlineStr">
        <is>
          <t>SUMEETINDS</t>
        </is>
      </c>
      <c r="H1709" s="16" t="inlineStr">
        <is>
          <t>514211</t>
        </is>
      </c>
      <c r="I1709" s="27">
        <f>IFERROR(IF(INDEX(Stocks!$G$2:$G$2139,MATCH(A1709,Stocks!$E$2:$E$2139,0))="","No","Yes"),"No")</f>
        <v/>
      </c>
    </row>
    <row r="1710">
      <c r="A1710" s="16" t="inlineStr">
        <is>
          <t>INE583C01021</t>
        </is>
      </c>
      <c r="B1710" s="16" t="inlineStr">
        <is>
          <t>DECCANCE</t>
        </is>
      </c>
      <c r="C1710" s="16" t="inlineStr">
        <is>
          <t>Deccan Cements Ltd.</t>
        </is>
      </c>
      <c r="D1710" s="16" t="inlineStr">
        <is>
          <t>Cement &amp; Cement Products</t>
        </is>
      </c>
      <c r="E1710" s="16" t="inlineStr">
        <is>
          <t>Cement and Construction</t>
        </is>
      </c>
      <c r="F1710" s="17" t="n">
        <v>798.08</v>
      </c>
      <c r="G1710" s="16" t="inlineStr">
        <is>
          <t>DECCANCE</t>
        </is>
      </c>
      <c r="H1710" s="16" t="inlineStr">
        <is>
          <t>502137</t>
        </is>
      </c>
      <c r="I1710" s="27">
        <f>IFERROR(IF(INDEX(Stocks!$G$2:$G$2139,MATCH(A1710,Stocks!$E$2:$E$2139,0))="","No","Yes"),"No")</f>
        <v/>
      </c>
    </row>
    <row r="1711">
      <c r="A1711" s="16" t="inlineStr">
        <is>
          <t>INE00U801010</t>
        </is>
      </c>
      <c r="B1711" s="16" t="inlineStr">
        <is>
          <t>PARIN</t>
        </is>
      </c>
      <c r="C1711" s="16" t="inlineStr">
        <is>
          <t>Parin Enterprises Ltd.</t>
        </is>
      </c>
      <c r="D1711" s="16" t="inlineStr">
        <is>
          <t>Furniture-Furnishing</t>
        </is>
      </c>
      <c r="E1711" s="16" t="inlineStr">
        <is>
          <t>Diversified Consumer Services</t>
        </is>
      </c>
      <c r="F1711" s="17" t="n">
        <v>796.38</v>
      </c>
      <c r="G1711" s="16" t="inlineStr">
        <is>
          <t>PARIN</t>
        </is>
      </c>
      <c r="H1711" s="16" t="inlineStr"/>
      <c r="I1711" s="27">
        <f>IFERROR(IF(INDEX(Stocks!$G$2:$G$2139,MATCH(A1711,Stocks!$E$2:$E$2139,0))="","No","Yes"),"No")</f>
        <v/>
      </c>
    </row>
    <row r="1712">
      <c r="A1712" s="16" t="inlineStr">
        <is>
          <t>INE583B01015</t>
        </is>
      </c>
      <c r="B1712" s="16" t="inlineStr">
        <is>
          <t>SANDESH</t>
        </is>
      </c>
      <c r="C1712" s="16" t="inlineStr">
        <is>
          <t>Sandesh Ltd.</t>
        </is>
      </c>
      <c r="D1712" s="16" t="inlineStr">
        <is>
          <t>Publishing</t>
        </is>
      </c>
      <c r="E1712" s="16" t="inlineStr">
        <is>
          <t>Commercial Services &amp; Supplies</t>
        </is>
      </c>
      <c r="F1712" s="17" t="n">
        <v>795.77</v>
      </c>
      <c r="G1712" s="16" t="inlineStr">
        <is>
          <t>SANDESH</t>
        </is>
      </c>
      <c r="H1712" s="16" t="inlineStr">
        <is>
          <t>526725</t>
        </is>
      </c>
      <c r="I1712" s="27">
        <f>IFERROR(IF(INDEX(Stocks!$G$2:$G$2139,MATCH(A1712,Stocks!$E$2:$E$2139,0))="","No","Yes"),"No")</f>
        <v/>
      </c>
    </row>
    <row r="1713">
      <c r="A1713" s="16" t="inlineStr">
        <is>
          <t>INE397H01017</t>
        </is>
      </c>
      <c r="B1713" s="16" t="inlineStr">
        <is>
          <t>LOKESHMACH</t>
        </is>
      </c>
      <c r="C1713" s="16" t="inlineStr">
        <is>
          <t>Lokesh Machines Ltd.</t>
        </is>
      </c>
      <c r="D1713" s="16" t="inlineStr">
        <is>
          <t>Industrial Machinery</t>
        </is>
      </c>
      <c r="E1713" s="16" t="inlineStr">
        <is>
          <t>General Industrials</t>
        </is>
      </c>
      <c r="F1713" s="17" t="n">
        <v>794.71</v>
      </c>
      <c r="G1713" s="16" t="inlineStr">
        <is>
          <t>LOKESHMACH</t>
        </is>
      </c>
      <c r="H1713" s="16" t="inlineStr">
        <is>
          <t>532740</t>
        </is>
      </c>
      <c r="I1713" s="27">
        <f>IFERROR(IF(INDEX(Stocks!$G$2:$G$2139,MATCH(A1713,Stocks!$E$2:$E$2139,0))="","No","Yes"),"No")</f>
        <v/>
      </c>
    </row>
    <row r="1714">
      <c r="A1714" s="16" t="inlineStr">
        <is>
          <t>INE0BX301013</t>
        </is>
      </c>
      <c r="B1714" s="16" t="inlineStr">
        <is>
          <t>PROSTARM</t>
        </is>
      </c>
      <c r="C1714" s="16" t="inlineStr">
        <is>
          <t>Prostarm Info Systems Ltd.</t>
        </is>
      </c>
      <c r="D1714" s="16" t="inlineStr">
        <is>
          <t>Other Electrical Equipment/Products</t>
        </is>
      </c>
      <c r="E1714" s="16" t="inlineStr">
        <is>
          <t>Consumer Durables</t>
        </is>
      </c>
      <c r="F1714" s="17" t="n">
        <v>793.22</v>
      </c>
      <c r="G1714" s="16" t="inlineStr">
        <is>
          <t>PROSTARM</t>
        </is>
      </c>
      <c r="H1714" s="16" t="inlineStr">
        <is>
          <t>544410</t>
        </is>
      </c>
      <c r="I1714" s="27">
        <f>IFERROR(IF(INDEX(Stocks!$G$2:$G$2139,MATCH(A1714,Stocks!$E$2:$E$2139,0))="","No","Yes"),"No")</f>
        <v/>
      </c>
    </row>
    <row r="1715">
      <c r="A1715" s="16" t="inlineStr">
        <is>
          <t>INE896J01014</t>
        </is>
      </c>
      <c r="B1715" s="16" t="inlineStr">
        <is>
          <t>TANDHANIN</t>
        </is>
      </c>
      <c r="C1715" s="16" t="inlineStr">
        <is>
          <t>Tandhan Industries Ltd.</t>
        </is>
      </c>
      <c r="D1715" s="16" t="inlineStr">
        <is>
          <t>Misc. Commercial Services</t>
        </is>
      </c>
      <c r="E1715" s="16" t="inlineStr">
        <is>
          <t>Commercial Services &amp; Supplies</t>
        </is>
      </c>
      <c r="F1715" s="17" t="n">
        <v>788.4</v>
      </c>
      <c r="G1715" s="16" t="inlineStr"/>
      <c r="H1715" s="16" t="inlineStr">
        <is>
          <t>512062</t>
        </is>
      </c>
      <c r="I1715" s="27">
        <f>IFERROR(IF(INDEX(Stocks!$G$2:$G$2139,MATCH(A1715,Stocks!$E$2:$E$2139,0))="","No","Yes"),"No")</f>
        <v/>
      </c>
    </row>
    <row r="1716">
      <c r="A1716" s="16" t="inlineStr">
        <is>
          <t>INE0PKD01011</t>
        </is>
      </c>
      <c r="B1716" s="16" t="inlineStr">
        <is>
          <t>MEIL</t>
        </is>
      </c>
      <c r="C1716" s="16" t="inlineStr">
        <is>
          <t>Mangal Electrical Industries Ltd.</t>
        </is>
      </c>
      <c r="D1716" s="16" t="inlineStr">
        <is>
          <t>Heavy Electrical Equipment</t>
        </is>
      </c>
      <c r="E1716" s="16" t="inlineStr">
        <is>
          <t>General Industrials</t>
        </is>
      </c>
      <c r="F1716" s="17" t="n">
        <v>787.73</v>
      </c>
      <c r="G1716" s="16" t="inlineStr">
        <is>
          <t>MEIL</t>
        </is>
      </c>
      <c r="H1716" s="16" t="inlineStr">
        <is>
          <t>544492</t>
        </is>
      </c>
      <c r="I1716" s="27">
        <f>IFERROR(IF(INDEX(Stocks!$G$2:$G$2139,MATCH(A1716,Stocks!$E$2:$E$2139,0))="","No","Yes"),"No")</f>
        <v/>
      </c>
    </row>
    <row r="1717">
      <c r="A1717" s="16" t="inlineStr">
        <is>
          <t>INE506D01020</t>
        </is>
      </c>
      <c r="B1717" s="16" t="inlineStr">
        <is>
          <t>HALDYNGL</t>
        </is>
      </c>
      <c r="C1717" s="16" t="inlineStr">
        <is>
          <t>Haldyn Glass Ltd.</t>
        </is>
      </c>
      <c r="D1717" s="16" t="inlineStr">
        <is>
          <t>Containers &amp; Packaging</t>
        </is>
      </c>
      <c r="E1717" s="16" t="inlineStr">
        <is>
          <t>Commercial Services &amp; Supplies</t>
        </is>
      </c>
      <c r="F1717" s="17" t="n">
        <v>786.92</v>
      </c>
      <c r="G1717" s="16" t="inlineStr"/>
      <c r="H1717" s="16" t="inlineStr">
        <is>
          <t>515147</t>
        </is>
      </c>
      <c r="I1717" s="27">
        <f>IFERROR(IF(INDEX(Stocks!$G$2:$G$2139,MATCH(A1717,Stocks!$E$2:$E$2139,0))="","No","Yes"),"No")</f>
        <v/>
      </c>
    </row>
    <row r="1718">
      <c r="A1718" s="16" t="inlineStr">
        <is>
          <t>INE443P01038</t>
        </is>
      </c>
      <c r="B1718" s="16" t="inlineStr">
        <is>
          <t>PERVASIVE</t>
        </is>
      </c>
      <c r="C1718" s="16" t="inlineStr">
        <is>
          <t>Pervasive Commodities Ltd.</t>
        </is>
      </c>
      <c r="D1718" s="16" t="inlineStr">
        <is>
          <t>Electronic Components</t>
        </is>
      </c>
      <c r="E1718" s="16" t="inlineStr">
        <is>
          <t>Commercial Services &amp; Supplies</t>
        </is>
      </c>
      <c r="F1718" s="17" t="n">
        <v>785.63</v>
      </c>
      <c r="G1718" s="16" t="inlineStr"/>
      <c r="H1718" s="16" t="inlineStr">
        <is>
          <t>517172</t>
        </is>
      </c>
      <c r="I1718" s="27">
        <f>IFERROR(IF(INDEX(Stocks!$G$2:$G$2139,MATCH(A1718,Stocks!$E$2:$E$2139,0))="","No","Yes"),"No")</f>
        <v/>
      </c>
    </row>
    <row r="1719">
      <c r="A1719" s="16" t="inlineStr">
        <is>
          <t>INE144J01027</t>
        </is>
      </c>
      <c r="B1719" s="16" t="inlineStr">
        <is>
          <t>20MICRONS</t>
        </is>
      </c>
      <c r="C1719" s="16" t="inlineStr">
        <is>
          <t>20 Microns Ltd.</t>
        </is>
      </c>
      <c r="D1719" s="16" t="inlineStr">
        <is>
          <t>Coal &amp; Mining</t>
        </is>
      </c>
      <c r="E1719" s="16" t="inlineStr">
        <is>
          <t>Metals &amp; Mining</t>
        </is>
      </c>
      <c r="F1719" s="17" t="n">
        <v>785.09</v>
      </c>
      <c r="G1719" s="16" t="inlineStr">
        <is>
          <t>20MICRONS</t>
        </is>
      </c>
      <c r="H1719" s="16" t="inlineStr">
        <is>
          <t>533022</t>
        </is>
      </c>
      <c r="I1719" s="27">
        <f>IFERROR(IF(INDEX(Stocks!$G$2:$G$2139,MATCH(A1719,Stocks!$E$2:$E$2139,0))="","No","Yes"),"No")</f>
        <v/>
      </c>
    </row>
    <row r="1720">
      <c r="A1720" s="16" t="inlineStr">
        <is>
          <t>INE236G01019</t>
        </is>
      </c>
      <c r="B1720" s="16" t="inlineStr">
        <is>
          <t>TVSELECT</t>
        </is>
      </c>
      <c r="C1720" s="16" t="inlineStr">
        <is>
          <t>TVS Electronics Ltd.</t>
        </is>
      </c>
      <c r="D1720" s="16" t="inlineStr">
        <is>
          <t>Electronic Components</t>
        </is>
      </c>
      <c r="E1720" s="16" t="inlineStr">
        <is>
          <t>Commercial Services &amp; Supplies</t>
        </is>
      </c>
      <c r="F1720" s="17" t="n">
        <v>784.9</v>
      </c>
      <c r="G1720" s="16" t="inlineStr">
        <is>
          <t>TVSELECT</t>
        </is>
      </c>
      <c r="H1720" s="16" t="inlineStr">
        <is>
          <t>532513</t>
        </is>
      </c>
      <c r="I1720" s="27">
        <f>IFERROR(IF(INDEX(Stocks!$G$2:$G$2139,MATCH(A1720,Stocks!$E$2:$E$2139,0))="","No","Yes"),"No")</f>
        <v/>
      </c>
    </row>
    <row r="1721">
      <c r="A1721" s="16" t="inlineStr">
        <is>
          <t>INE687A01016</t>
        </is>
      </c>
      <c r="B1721" s="16" t="inlineStr">
        <is>
          <t>TRANSPEK</t>
        </is>
      </c>
      <c r="C1721" s="16" t="inlineStr">
        <is>
          <t>Transpek Industry Ltd.</t>
        </is>
      </c>
      <c r="D1721" s="16" t="inlineStr">
        <is>
          <t>Commodity Chemicals</t>
        </is>
      </c>
      <c r="E1721" s="16" t="inlineStr">
        <is>
          <t>Chemicals &amp; Petrochemicals</t>
        </is>
      </c>
      <c r="F1721" s="17" t="n">
        <v>783.9400000000001</v>
      </c>
      <c r="G1721" s="16" t="inlineStr"/>
      <c r="H1721" s="16" t="inlineStr">
        <is>
          <t>506687</t>
        </is>
      </c>
      <c r="I1721" s="27">
        <f>IFERROR(IF(INDEX(Stocks!$G$2:$G$2139,MATCH(A1721,Stocks!$E$2:$E$2139,0))="","No","Yes"),"No")</f>
        <v/>
      </c>
    </row>
    <row r="1722">
      <c r="A1722" s="16" t="inlineStr">
        <is>
          <t>INE1ABX01018</t>
        </is>
      </c>
      <c r="B1722" s="16" t="inlineStr">
        <is>
          <t>UNIFIED</t>
        </is>
      </c>
      <c r="C1722" s="16" t="inlineStr">
        <is>
          <t>Unified Data- Tech Solutions Ltd.</t>
        </is>
      </c>
      <c r="D1722" s="16" t="inlineStr">
        <is>
          <t>IT Consulting &amp; Software</t>
        </is>
      </c>
      <c r="E1722" s="16" t="inlineStr">
        <is>
          <t>Software &amp; Services</t>
        </is>
      </c>
      <c r="F1722" s="17" t="n">
        <v>783.71</v>
      </c>
      <c r="G1722" s="16" t="inlineStr"/>
      <c r="H1722" s="16" t="inlineStr">
        <is>
          <t>544406</t>
        </is>
      </c>
      <c r="I1722" s="27">
        <f>IFERROR(IF(INDEX(Stocks!$G$2:$G$2139,MATCH(A1722,Stocks!$E$2:$E$2139,0))="","No","Yes"),"No")</f>
        <v/>
      </c>
    </row>
    <row r="1723">
      <c r="A1723" s="16" t="inlineStr">
        <is>
          <t>INE880Y01017</t>
        </is>
      </c>
      <c r="B1723" s="16" t="inlineStr">
        <is>
          <t>SOLEX</t>
        </is>
      </c>
      <c r="C1723" s="16" t="inlineStr">
        <is>
          <t>Solex Energy Ltd.</t>
        </is>
      </c>
      <c r="D1723" s="16" t="inlineStr">
        <is>
          <t>Other Electrical Equipment/Products</t>
        </is>
      </c>
      <c r="E1723" s="16" t="inlineStr">
        <is>
          <t>Consumer Durables</t>
        </is>
      </c>
      <c r="F1723" s="17" t="n">
        <v>783.51</v>
      </c>
      <c r="G1723" s="16" t="inlineStr">
        <is>
          <t>SOLEX</t>
        </is>
      </c>
      <c r="H1723" s="16" t="inlineStr">
        <is>
          <t>544862</t>
        </is>
      </c>
      <c r="I1723" s="27">
        <f>IFERROR(IF(INDEX(Stocks!$G$2:$G$2139,MATCH(A1723,Stocks!$E$2:$E$2139,0))="","No","Yes"),"No")</f>
        <v/>
      </c>
    </row>
    <row r="1724">
      <c r="A1724" s="16" t="inlineStr">
        <is>
          <t>INE863T01013</t>
        </is>
      </c>
      <c r="B1724" s="16" t="inlineStr">
        <is>
          <t>JITFINFRA</t>
        </is>
      </c>
      <c r="C1724" s="16" t="inlineStr">
        <is>
          <t>JITF Infralogistics Ltd.</t>
        </is>
      </c>
      <c r="D1724" s="16" t="inlineStr">
        <is>
          <t>Utilities:Non-Electrical</t>
        </is>
      </c>
      <c r="E1724" s="16" t="inlineStr">
        <is>
          <t>Utilities</t>
        </is>
      </c>
      <c r="F1724" s="17" t="n">
        <v>782.6799999999999</v>
      </c>
      <c r="G1724" s="16" t="inlineStr">
        <is>
          <t>JITFINFRA</t>
        </is>
      </c>
      <c r="H1724" s="16" t="inlineStr">
        <is>
          <t>540311</t>
        </is>
      </c>
      <c r="I1724" s="27">
        <f>IFERROR(IF(INDEX(Stocks!$G$2:$G$2139,MATCH(A1724,Stocks!$E$2:$E$2139,0))="","No","Yes"),"No")</f>
        <v/>
      </c>
    </row>
    <row r="1725">
      <c r="A1725" s="16" t="inlineStr">
        <is>
          <t>INE345H01024</t>
        </is>
      </c>
      <c r="B1725" s="16" t="inlineStr">
        <is>
          <t>CIFL</t>
        </is>
      </c>
      <c r="C1725" s="16" t="inlineStr">
        <is>
          <t>Capital India Finance Ltd.</t>
        </is>
      </c>
      <c r="D1725" s="16" t="inlineStr">
        <is>
          <t>Finance (including NBFCs)</t>
        </is>
      </c>
      <c r="E1725" s="16" t="inlineStr">
        <is>
          <t>Banking and Finance</t>
        </is>
      </c>
      <c r="F1725" s="17" t="n">
        <v>781.33</v>
      </c>
      <c r="G1725" s="16" t="inlineStr">
        <is>
          <t>CIFL</t>
        </is>
      </c>
      <c r="H1725" s="16" t="inlineStr">
        <is>
          <t>530879</t>
        </is>
      </c>
      <c r="I1725" s="27">
        <f>IFERROR(IF(INDEX(Stocks!$G$2:$G$2139,MATCH(A1725,Stocks!$E$2:$E$2139,0))="","No","Yes"),"No")</f>
        <v/>
      </c>
    </row>
    <row r="1726">
      <c r="A1726" s="16" t="inlineStr">
        <is>
          <t>INE0OMO01025</t>
        </is>
      </c>
      <c r="B1726" s="16" t="inlineStr">
        <is>
          <t>CELLECOR</t>
        </is>
      </c>
      <c r="C1726" s="16" t="inlineStr">
        <is>
          <t>Cellecor Gadgets Ltd.</t>
        </is>
      </c>
      <c r="D1726" s="16" t="inlineStr">
        <is>
          <t>Commodity Trading  &amp; Distribution</t>
        </is>
      </c>
      <c r="E1726" s="16" t="inlineStr">
        <is>
          <t>Commercial Services &amp; Supplies</t>
        </is>
      </c>
      <c r="F1726" s="17" t="n">
        <v>779</v>
      </c>
      <c r="G1726" s="16" t="inlineStr">
        <is>
          <t>CELLECOR</t>
        </is>
      </c>
      <c r="H1726" s="16" t="inlineStr"/>
      <c r="I1726" s="27">
        <f>IFERROR(IF(INDEX(Stocks!$G$2:$G$2139,MATCH(A1726,Stocks!$E$2:$E$2139,0))="","No","Yes"),"No")</f>
        <v/>
      </c>
    </row>
    <row r="1727">
      <c r="A1727" s="16" t="inlineStr">
        <is>
          <t>INE347W01011</t>
        </is>
      </c>
      <c r="B1727" s="16" t="inlineStr">
        <is>
          <t>MAGADSUGAR</t>
        </is>
      </c>
      <c r="C1727" s="16" t="inlineStr">
        <is>
          <t>Magadh Sugar &amp; Energy Ltd.</t>
        </is>
      </c>
      <c r="D1727" s="16" t="inlineStr">
        <is>
          <t>Sugar</t>
        </is>
      </c>
      <c r="E1727" s="16" t="inlineStr">
        <is>
          <t>Food, Beverages &amp; Tobacco</t>
        </is>
      </c>
      <c r="F1727" s="17" t="n">
        <v>777.9299999999999</v>
      </c>
      <c r="G1727" s="16" t="inlineStr">
        <is>
          <t>MAGADSUGAR</t>
        </is>
      </c>
      <c r="H1727" s="16" t="inlineStr">
        <is>
          <t>540650</t>
        </is>
      </c>
      <c r="I1727" s="27">
        <f>IFERROR(IF(INDEX(Stocks!$G$2:$G$2139,MATCH(A1727,Stocks!$E$2:$E$2139,0))="","No","Yes"),"No")</f>
        <v/>
      </c>
    </row>
    <row r="1728">
      <c r="A1728" s="16" t="inlineStr">
        <is>
          <t>INE668G01021</t>
        </is>
      </c>
      <c r="B1728" s="16" t="inlineStr">
        <is>
          <t>ELDEHSG</t>
        </is>
      </c>
      <c r="C1728" s="16" t="inlineStr">
        <is>
          <t>Eldeco Housing &amp; Industries Ltd.</t>
        </is>
      </c>
      <c r="D1728" s="16" t="inlineStr">
        <is>
          <t>Realty</t>
        </is>
      </c>
      <c r="E1728" s="16" t="inlineStr">
        <is>
          <t>Realty</t>
        </is>
      </c>
      <c r="F1728" s="17" t="n">
        <v>775.92</v>
      </c>
      <c r="G1728" s="16" t="inlineStr">
        <is>
          <t>ELDEHSG</t>
        </is>
      </c>
      <c r="H1728" s="16" t="inlineStr">
        <is>
          <t>523329</t>
        </is>
      </c>
      <c r="I1728" s="27">
        <f>IFERROR(IF(INDEX(Stocks!$G$2:$G$2139,MATCH(A1728,Stocks!$E$2:$E$2139,0))="","No","Yes"),"No")</f>
        <v/>
      </c>
    </row>
    <row r="1729">
      <c r="A1729" s="16" t="inlineStr">
        <is>
          <t>INE01A001028</t>
        </is>
      </c>
      <c r="B1729" s="16" t="inlineStr">
        <is>
          <t>STANLEY</t>
        </is>
      </c>
      <c r="C1729" s="16" t="inlineStr">
        <is>
          <t>Stanley Lifestyles Ltd.</t>
        </is>
      </c>
      <c r="D1729" s="16" t="inlineStr">
        <is>
          <t>Furniture-Furnishing</t>
        </is>
      </c>
      <c r="E1729" s="16" t="inlineStr">
        <is>
          <t>Diversified Consumer Services</t>
        </is>
      </c>
      <c r="F1729" s="17" t="n">
        <v>773.9400000000001</v>
      </c>
      <c r="G1729" s="16" t="inlineStr">
        <is>
          <t>STANLEY</t>
        </is>
      </c>
      <c r="H1729" s="16" t="inlineStr">
        <is>
          <t>544202</t>
        </is>
      </c>
      <c r="I1729" s="27">
        <f>IFERROR(IF(INDEX(Stocks!$G$2:$G$2139,MATCH(A1729,Stocks!$E$2:$E$2139,0))="","No","Yes"),"No")</f>
        <v/>
      </c>
    </row>
    <row r="1730">
      <c r="A1730" s="16" t="inlineStr">
        <is>
          <t>INE0RBQ01018</t>
        </is>
      </c>
      <c r="B1730" s="16" t="inlineStr">
        <is>
          <t>SAHASRA</t>
        </is>
      </c>
      <c r="C1730" s="16" t="inlineStr">
        <is>
          <t>Sahasra Electronic Solutions Ltd.</t>
        </is>
      </c>
      <c r="D1730" s="16" t="inlineStr">
        <is>
          <t>Electronic Components</t>
        </is>
      </c>
      <c r="E1730" s="16" t="inlineStr">
        <is>
          <t>Commercial Services &amp; Supplies</t>
        </is>
      </c>
      <c r="F1730" s="17" t="n">
        <v>769.4</v>
      </c>
      <c r="G1730" s="16" t="inlineStr">
        <is>
          <t>SAHASRA</t>
        </is>
      </c>
      <c r="H1730" s="16" t="inlineStr"/>
      <c r="I1730" s="27">
        <f>IFERROR(IF(INDEX(Stocks!$G$2:$G$2139,MATCH(A1730,Stocks!$E$2:$E$2139,0))="","No","Yes"),"No")</f>
        <v/>
      </c>
    </row>
    <row r="1731">
      <c r="A1731" s="16" t="inlineStr">
        <is>
          <t>INE720A01015</t>
        </is>
      </c>
      <c r="B1731" s="16" t="inlineStr">
        <is>
          <t>KOTHARIPET</t>
        </is>
      </c>
      <c r="C1731" s="16" t="inlineStr">
        <is>
          <t>Kothari Petrochemicals Ltd.</t>
        </is>
      </c>
      <c r="D1731" s="16" t="inlineStr">
        <is>
          <t>Petrochemicals</t>
        </is>
      </c>
      <c r="E1731" s="16" t="inlineStr">
        <is>
          <t>Chemicals &amp; Petrochemicals</t>
        </is>
      </c>
      <c r="F1731" s="17" t="n">
        <v>768.3</v>
      </c>
      <c r="G1731" s="16" t="inlineStr">
        <is>
          <t>KOTHARIPET</t>
        </is>
      </c>
      <c r="H1731" s="16" t="inlineStr">
        <is>
          <t>532096</t>
        </is>
      </c>
      <c r="I1731" s="27">
        <f>IFERROR(IF(INDEX(Stocks!$G$2:$G$2139,MATCH(A1731,Stocks!$E$2:$E$2139,0))="","No","Yes"),"No")</f>
        <v/>
      </c>
    </row>
    <row r="1732">
      <c r="A1732" s="16" t="inlineStr">
        <is>
          <t>INE0OMI01019</t>
        </is>
      </c>
      <c r="B1732" s="16" t="inlineStr">
        <is>
          <t>BRIGHT</t>
        </is>
      </c>
      <c r="C1732" s="16" t="inlineStr">
        <is>
          <t>Bright Outdoor Media Ltd.</t>
        </is>
      </c>
      <c r="D1732" s="16" t="inlineStr">
        <is>
          <t>Advertising &amp; Media</t>
        </is>
      </c>
      <c r="E1732" s="16" t="inlineStr">
        <is>
          <t>Media</t>
        </is>
      </c>
      <c r="F1732" s="17" t="n">
        <v>766.54</v>
      </c>
      <c r="G1732" s="16" t="inlineStr"/>
      <c r="H1732" s="16" t="inlineStr">
        <is>
          <t>543831</t>
        </is>
      </c>
      <c r="I1732" s="27">
        <f>IFERROR(IF(INDEX(Stocks!$G$2:$G$2139,MATCH(A1732,Stocks!$E$2:$E$2139,0))="","No","Yes"),"No")</f>
        <v/>
      </c>
    </row>
    <row r="1733">
      <c r="A1733" s="16" t="inlineStr">
        <is>
          <t>INE916G01016</t>
        </is>
      </c>
      <c r="B1733" s="16" t="inlineStr">
        <is>
          <t>GEECEE</t>
        </is>
      </c>
      <c r="C1733" s="16" t="inlineStr">
        <is>
          <t>GeeCee Ventures Ltd.</t>
        </is>
      </c>
      <c r="D1733" s="16" t="inlineStr">
        <is>
          <t>Realty</t>
        </is>
      </c>
      <c r="E1733" s="16" t="inlineStr">
        <is>
          <t>Realty</t>
        </is>
      </c>
      <c r="F1733" s="17" t="n">
        <v>765.79</v>
      </c>
      <c r="G1733" s="16" t="inlineStr">
        <is>
          <t>GEECEE</t>
        </is>
      </c>
      <c r="H1733" s="16" t="inlineStr">
        <is>
          <t>532764</t>
        </is>
      </c>
      <c r="I1733" s="27">
        <f>IFERROR(IF(INDEX(Stocks!$G$2:$G$2139,MATCH(A1733,Stocks!$E$2:$E$2139,0))="","No","Yes"),"No")</f>
        <v/>
      </c>
    </row>
    <row r="1734">
      <c r="A1734" s="16" t="inlineStr">
        <is>
          <t>INE306L01010</t>
        </is>
      </c>
      <c r="B1734" s="16" t="inlineStr">
        <is>
          <t>QUICKHEAL</t>
        </is>
      </c>
      <c r="C1734" s="16" t="inlineStr">
        <is>
          <t>Quick Heal Technologies Ltd.</t>
        </is>
      </c>
      <c r="D1734" s="16" t="inlineStr">
        <is>
          <t>IT Software Products</t>
        </is>
      </c>
      <c r="E1734" s="16" t="inlineStr">
        <is>
          <t>Software &amp; Services</t>
        </is>
      </c>
      <c r="F1734" s="17" t="n">
        <v>764.79</v>
      </c>
      <c r="G1734" s="16" t="inlineStr">
        <is>
          <t>QUICKHEAL</t>
        </is>
      </c>
      <c r="H1734" s="16" t="inlineStr">
        <is>
          <t>539678</t>
        </is>
      </c>
      <c r="I1734" s="27">
        <f>IFERROR(IF(INDEX(Stocks!$G$2:$G$2139,MATCH(A1734,Stocks!$E$2:$E$2139,0))="","No","Yes"),"No")</f>
        <v/>
      </c>
    </row>
    <row r="1735">
      <c r="A1735" s="16" t="inlineStr">
        <is>
          <t>INE418E01018</t>
        </is>
      </c>
      <c r="B1735" s="16" t="inlineStr">
        <is>
          <t>PERMAGN</t>
        </is>
      </c>
      <c r="C1735" s="16" t="inlineStr">
        <is>
          <t>Permanent Magnets Ltd.</t>
        </is>
      </c>
      <c r="D1735" s="16" t="inlineStr">
        <is>
          <t>Other Industrial Goods</t>
        </is>
      </c>
      <c r="E1735" s="16" t="inlineStr">
        <is>
          <t>General Industrials</t>
        </is>
      </c>
      <c r="F1735" s="17" t="n">
        <v>761.14</v>
      </c>
      <c r="G1735" s="16" t="inlineStr"/>
      <c r="H1735" s="16" t="inlineStr">
        <is>
          <t>504132</t>
        </is>
      </c>
      <c r="I1735" s="27">
        <f>IFERROR(IF(INDEX(Stocks!$G$2:$G$2139,MATCH(A1735,Stocks!$E$2:$E$2139,0))="","No","Yes"),"No")</f>
        <v/>
      </c>
    </row>
    <row r="1736">
      <c r="A1736" s="16" t="inlineStr">
        <is>
          <t>INE195N01013</t>
        </is>
      </c>
      <c r="B1736" s="16" t="inlineStr">
        <is>
          <t>PROZONER</t>
        </is>
      </c>
      <c r="C1736" s="16" t="inlineStr">
        <is>
          <t>Prozone Realty Ltd.</t>
        </is>
      </c>
      <c r="D1736" s="16" t="inlineStr">
        <is>
          <t>Realty</t>
        </is>
      </c>
      <c r="E1736" s="16" t="inlineStr">
        <is>
          <t>Realty</t>
        </is>
      </c>
      <c r="F1736" s="17" t="n">
        <v>759.35</v>
      </c>
      <c r="G1736" s="16" t="inlineStr">
        <is>
          <t>PROZONER</t>
        </is>
      </c>
      <c r="H1736" s="16" t="inlineStr">
        <is>
          <t>534675</t>
        </is>
      </c>
      <c r="I1736" s="27">
        <f>IFERROR(IF(INDEX(Stocks!$G$2:$G$2139,MATCH(A1736,Stocks!$E$2:$E$2139,0))="","No","Yes"),"No")</f>
        <v/>
      </c>
    </row>
    <row r="1737">
      <c r="A1737" s="16" t="inlineStr">
        <is>
          <t>INE032E01017</t>
        </is>
      </c>
      <c r="B1737" s="16" t="inlineStr">
        <is>
          <t>ARYAMAN</t>
        </is>
      </c>
      <c r="C1737" s="16" t="inlineStr">
        <is>
          <t>Aryaman Financial Services Ltd.</t>
        </is>
      </c>
      <c r="D1737" s="16" t="inlineStr">
        <is>
          <t>Finance (including NBFCs)</t>
        </is>
      </c>
      <c r="E1737" s="16" t="inlineStr">
        <is>
          <t>Banking and Finance</t>
        </is>
      </c>
      <c r="F1737" s="17" t="n">
        <v>759.3099999999999</v>
      </c>
      <c r="G1737" s="16" t="inlineStr"/>
      <c r="H1737" s="16" t="inlineStr">
        <is>
          <t>530245</t>
        </is>
      </c>
      <c r="I1737" s="27">
        <f>IFERROR(IF(INDEX(Stocks!$G$2:$G$2139,MATCH(A1737,Stocks!$E$2:$E$2139,0))="","No","Yes"),"No")</f>
        <v/>
      </c>
    </row>
    <row r="1738">
      <c r="A1738" s="16" t="inlineStr">
        <is>
          <t>INE0SA001017</t>
        </is>
      </c>
      <c r="B1738" s="16" t="inlineStr">
        <is>
          <t>RNFI</t>
        </is>
      </c>
      <c r="C1738" s="16" t="inlineStr">
        <is>
          <t>RNFI Services Ltd.</t>
        </is>
      </c>
      <c r="D1738" s="16" t="inlineStr">
        <is>
          <t>Other Financial Services</t>
        </is>
      </c>
      <c r="E1738" s="16" t="inlineStr">
        <is>
          <t>Banking and Finance</t>
        </is>
      </c>
      <c r="F1738" s="17" t="n">
        <v>758.55</v>
      </c>
      <c r="G1738" s="16" t="inlineStr">
        <is>
          <t>RNFI</t>
        </is>
      </c>
      <c r="H1738" s="16" t="inlineStr"/>
      <c r="I1738" s="27">
        <f>IFERROR(IF(INDEX(Stocks!$G$2:$G$2139,MATCH(A1738,Stocks!$E$2:$E$2139,0))="","No","Yes"),"No")</f>
        <v/>
      </c>
    </row>
    <row r="1739">
      <c r="A1739" s="16" t="inlineStr">
        <is>
          <t>INE289B01019</t>
        </is>
      </c>
      <c r="B1739" s="16" t="inlineStr">
        <is>
          <t>GICHSGFIN</t>
        </is>
      </c>
      <c r="C1739" s="16" t="inlineStr">
        <is>
          <t>GIC Housing Finance Ltd.</t>
        </is>
      </c>
      <c r="D1739" s="16" t="inlineStr">
        <is>
          <t>Housing Finance</t>
        </is>
      </c>
      <c r="E1739" s="16" t="inlineStr">
        <is>
          <t>Banking and Finance</t>
        </is>
      </c>
      <c r="F1739" s="17" t="n">
        <v>756.34</v>
      </c>
      <c r="G1739" s="16" t="inlineStr">
        <is>
          <t>GICHSGFIN</t>
        </is>
      </c>
      <c r="H1739" s="16" t="inlineStr">
        <is>
          <t>511676</t>
        </is>
      </c>
      <c r="I1739" s="27">
        <f>IFERROR(IF(INDEX(Stocks!$G$2:$G$2139,MATCH(A1739,Stocks!$E$2:$E$2139,0))="","No","Yes"),"No")</f>
        <v/>
      </c>
    </row>
    <row r="1740">
      <c r="A1740" s="16" t="inlineStr">
        <is>
          <t>INE1B0W01010</t>
        </is>
      </c>
      <c r="B1740" s="16" t="inlineStr">
        <is>
          <t>ADVANCE</t>
        </is>
      </c>
      <c r="C1740" s="16" t="inlineStr">
        <is>
          <t>Advance Agrolife Ltd.</t>
        </is>
      </c>
      <c r="D1740" s="16" t="inlineStr">
        <is>
          <t>Agrochemicals</t>
        </is>
      </c>
      <c r="E1740" s="16" t="inlineStr">
        <is>
          <t>Chemicals &amp; Petrochemicals</t>
        </is>
      </c>
      <c r="F1740" s="17" t="n">
        <v>754.91</v>
      </c>
      <c r="G1740" s="16" t="inlineStr">
        <is>
          <t>ADVANCE</t>
        </is>
      </c>
      <c r="H1740" s="16" t="inlineStr">
        <is>
          <t>544562</t>
        </is>
      </c>
      <c r="I1740" s="27">
        <f>IFERROR(IF(INDEX(Stocks!$G$2:$G$2139,MATCH(A1740,Stocks!$E$2:$E$2139,0))="","No","Yes"),"No")</f>
        <v/>
      </c>
    </row>
    <row r="1741">
      <c r="A1741" s="16" t="inlineStr">
        <is>
          <t>INE684B01029</t>
        </is>
      </c>
      <c r="B1741" s="16" t="inlineStr">
        <is>
          <t>ISTLTD</t>
        </is>
      </c>
      <c r="C1741" s="16" t="inlineStr">
        <is>
          <t>IST Ltd.</t>
        </is>
      </c>
      <c r="D1741" s="16" t="inlineStr">
        <is>
          <t>Auto Parts &amp; Equipment</t>
        </is>
      </c>
      <c r="E1741" s="16" t="inlineStr">
        <is>
          <t>Automobiles &amp; Auto Components</t>
        </is>
      </c>
      <c r="F1741" s="17" t="n">
        <v>753.5</v>
      </c>
      <c r="G1741" s="16" t="inlineStr"/>
      <c r="H1741" s="16" t="inlineStr">
        <is>
          <t>508807</t>
        </is>
      </c>
      <c r="I1741" s="27">
        <f>IFERROR(IF(INDEX(Stocks!$G$2:$G$2139,MATCH(A1741,Stocks!$E$2:$E$2139,0))="","No","Yes"),"No")</f>
        <v/>
      </c>
    </row>
    <row r="1742">
      <c r="A1742" s="16" t="inlineStr">
        <is>
          <t>INE084K01015</t>
        </is>
      </c>
      <c r="B1742" s="16" t="inlineStr">
        <is>
          <t>AMANTA</t>
        </is>
      </c>
      <c r="C1742" s="16" t="inlineStr">
        <is>
          <t>Amanta Healthcare Ltd.</t>
        </is>
      </c>
      <c r="D1742" s="16" t="inlineStr">
        <is>
          <t>Pharmaceuticals</t>
        </is>
      </c>
      <c r="E1742" s="16" t="inlineStr">
        <is>
          <t>Pharmaceuticals &amp; Biotechnology</t>
        </is>
      </c>
      <c r="F1742" s="17" t="n">
        <v>753.41</v>
      </c>
      <c r="G1742" s="16" t="inlineStr">
        <is>
          <t>AMANTA</t>
        </is>
      </c>
      <c r="H1742" s="16" t="inlineStr">
        <is>
          <t>544502</t>
        </is>
      </c>
      <c r="I1742" s="27">
        <f>IFERROR(IF(INDEX(Stocks!$G$2:$G$2139,MATCH(A1742,Stocks!$E$2:$E$2139,0))="","No","Yes"),"No")</f>
        <v/>
      </c>
    </row>
    <row r="1743">
      <c r="A1743" s="16" t="inlineStr">
        <is>
          <t>INE704G01024</t>
        </is>
      </c>
      <c r="B1743" s="16" t="inlineStr">
        <is>
          <t>BAJAJST</t>
        </is>
      </c>
      <c r="C1743" s="16" t="inlineStr">
        <is>
          <t>Bajaj Steel Industries Ltd.</t>
        </is>
      </c>
      <c r="D1743" s="16" t="inlineStr">
        <is>
          <t>Industrial Machinery</t>
        </is>
      </c>
      <c r="E1743" s="16" t="inlineStr">
        <is>
          <t>General Industrials</t>
        </is>
      </c>
      <c r="F1743" s="17" t="n">
        <v>753.17</v>
      </c>
      <c r="G1743" s="16" t="inlineStr"/>
      <c r="H1743" s="16" t="inlineStr">
        <is>
          <t>507944</t>
        </is>
      </c>
      <c r="I1743" s="27">
        <f>IFERROR(IF(INDEX(Stocks!$G$2:$G$2139,MATCH(A1743,Stocks!$E$2:$E$2139,0))="","No","Yes"),"No")</f>
        <v/>
      </c>
    </row>
    <row r="1744">
      <c r="A1744" s="16" t="inlineStr">
        <is>
          <t>INE1E4401010</t>
        </is>
      </c>
      <c r="B1744" s="16" t="inlineStr">
        <is>
          <t>EXATO</t>
        </is>
      </c>
      <c r="C1744" s="16" t="inlineStr">
        <is>
          <t>Exato Technologies Ltd.</t>
        </is>
      </c>
      <c r="D1744" s="16" t="inlineStr">
        <is>
          <t>IT Consulting &amp; Software</t>
        </is>
      </c>
      <c r="E1744" s="16" t="inlineStr">
        <is>
          <t>Software &amp; Services</t>
        </is>
      </c>
      <c r="F1744" s="17" t="n">
        <v>752.1900000000001</v>
      </c>
      <c r="G1744" s="16" t="inlineStr"/>
      <c r="H1744" s="16" t="inlineStr">
        <is>
          <t>544626</t>
        </is>
      </c>
      <c r="I1744" s="27">
        <f>IFERROR(IF(INDEX(Stocks!$G$2:$G$2139,MATCH(A1744,Stocks!$E$2:$E$2139,0))="","No","Yes"),"No")</f>
        <v/>
      </c>
    </row>
    <row r="1745">
      <c r="A1745" s="16" t="inlineStr">
        <is>
          <t>INE900C01027</t>
        </is>
      </c>
      <c r="B1745" s="16" t="inlineStr">
        <is>
          <t>ASAL</t>
        </is>
      </c>
      <c r="C1745" s="16" t="inlineStr">
        <is>
          <t>Automotive Stampings and Assemblies Ltd.</t>
        </is>
      </c>
      <c r="D1745" s="16" t="inlineStr">
        <is>
          <t>Auto Parts &amp; Equipment</t>
        </is>
      </c>
      <c r="E1745" s="16" t="inlineStr">
        <is>
          <t>Automobiles &amp; Auto Components</t>
        </is>
      </c>
      <c r="F1745" s="17" t="n">
        <v>751.58</v>
      </c>
      <c r="G1745" s="16" t="inlineStr">
        <is>
          <t>ASAL</t>
        </is>
      </c>
      <c r="H1745" s="16" t="inlineStr">
        <is>
          <t>520119</t>
        </is>
      </c>
      <c r="I1745" s="27">
        <f>IFERROR(IF(INDEX(Stocks!$G$2:$G$2139,MATCH(A1745,Stocks!$E$2:$E$2139,0))="","No","Yes"),"No")</f>
        <v/>
      </c>
    </row>
    <row r="1746">
      <c r="A1746" s="16" t="inlineStr">
        <is>
          <t>INE955I01044</t>
        </is>
      </c>
      <c r="B1746" s="16" t="inlineStr">
        <is>
          <t>SEJALLTD</t>
        </is>
      </c>
      <c r="C1746" s="16" t="inlineStr">
        <is>
          <t>Sejal Glass Ltd.</t>
        </is>
      </c>
      <c r="D1746" s="16" t="inlineStr">
        <is>
          <t>Construction Materials</t>
        </is>
      </c>
      <c r="E1746" s="16" t="inlineStr">
        <is>
          <t>Cement and Construction</t>
        </is>
      </c>
      <c r="F1746" s="17" t="n">
        <v>749.55</v>
      </c>
      <c r="G1746" s="16" t="inlineStr">
        <is>
          <t>SEJALLTD</t>
        </is>
      </c>
      <c r="H1746" s="16" t="inlineStr">
        <is>
          <t>532993</t>
        </is>
      </c>
      <c r="I1746" s="27">
        <f>IFERROR(IF(INDEX(Stocks!$G$2:$G$2139,MATCH(A1746,Stocks!$E$2:$E$2139,0))="","No","Yes"),"No")</f>
        <v/>
      </c>
    </row>
    <row r="1747">
      <c r="A1747" s="16" t="inlineStr">
        <is>
          <t>INE726E01014</t>
        </is>
      </c>
      <c r="B1747" s="16" t="inlineStr">
        <is>
          <t>UPHOT</t>
        </is>
      </c>
      <c r="C1747" s="16" t="inlineStr">
        <is>
          <t>U P Hotels Ltd.</t>
        </is>
      </c>
      <c r="D1747" s="16" t="inlineStr">
        <is>
          <t>Hotels</t>
        </is>
      </c>
      <c r="E1747" s="16" t="inlineStr">
        <is>
          <t>Hotels Restaurants &amp; Tourism</t>
        </is>
      </c>
      <c r="F1747" s="17" t="n">
        <v>749.52</v>
      </c>
      <c r="G1747" s="16" t="inlineStr"/>
      <c r="H1747" s="16" t="inlineStr">
        <is>
          <t>509960</t>
        </is>
      </c>
      <c r="I1747" s="27">
        <f>IFERROR(IF(INDEX(Stocks!$G$2:$G$2139,MATCH(A1747,Stocks!$E$2:$E$2139,0))="","No","Yes"),"No")</f>
        <v/>
      </c>
    </row>
    <row r="1748">
      <c r="A1748" s="16" t="inlineStr">
        <is>
          <t>INE0U2N01013</t>
        </is>
      </c>
      <c r="B1748" s="16" t="inlineStr">
        <is>
          <t>SUNLITE</t>
        </is>
      </c>
      <c r="C1748" s="16" t="inlineStr">
        <is>
          <t>Sunlite Recycling Industries Ltd.</t>
        </is>
      </c>
      <c r="D1748" s="16" t="inlineStr">
        <is>
          <t>Copper</t>
        </is>
      </c>
      <c r="E1748" s="16" t="inlineStr">
        <is>
          <t>Metals &amp; Mining</t>
        </is>
      </c>
      <c r="F1748" s="17" t="n">
        <v>748.96</v>
      </c>
      <c r="G1748" s="16" t="inlineStr">
        <is>
          <t>SUNLITE</t>
        </is>
      </c>
      <c r="H1748" s="16" t="inlineStr"/>
      <c r="I1748" s="27">
        <f>IFERROR(IF(INDEX(Stocks!$G$2:$G$2139,MATCH(A1748,Stocks!$E$2:$E$2139,0))="","No","Yes"),"No")</f>
        <v/>
      </c>
    </row>
    <row r="1749">
      <c r="A1749" s="16" t="inlineStr">
        <is>
          <t>INE574A01016</t>
        </is>
      </c>
      <c r="B1749" s="16" t="inlineStr">
        <is>
          <t>JAGAJITIND</t>
        </is>
      </c>
      <c r="C1749" s="16" t="inlineStr">
        <is>
          <t>Jagatjit Industries Ltd.</t>
        </is>
      </c>
      <c r="D1749" s="16" t="inlineStr">
        <is>
          <t>Breweries &amp; Distilleries</t>
        </is>
      </c>
      <c r="E1749" s="16" t="inlineStr">
        <is>
          <t>Food, Beverages &amp; Tobacco</t>
        </is>
      </c>
      <c r="F1749" s="17" t="n">
        <v>748.75</v>
      </c>
      <c r="G1749" s="16" t="inlineStr"/>
      <c r="H1749" s="16" t="inlineStr">
        <is>
          <t>507155</t>
        </is>
      </c>
      <c r="I1749" s="27">
        <f>IFERROR(IF(INDEX(Stocks!$G$2:$G$2139,MATCH(A1749,Stocks!$E$2:$E$2139,0))="","No","Yes"),"No")</f>
        <v/>
      </c>
    </row>
    <row r="1750">
      <c r="A1750" s="16" t="inlineStr">
        <is>
          <t>INE0L0L01012</t>
        </is>
      </c>
      <c r="B1750" s="16" t="inlineStr">
        <is>
          <t>MODIS</t>
        </is>
      </c>
      <c r="C1750" s="16" t="inlineStr">
        <is>
          <t>Modis Navnirman Ltd.</t>
        </is>
      </c>
      <c r="D1750" s="16" t="inlineStr">
        <is>
          <t>Realty</t>
        </is>
      </c>
      <c r="E1750" s="16" t="inlineStr">
        <is>
          <t>Realty</t>
        </is>
      </c>
      <c r="F1750" s="17" t="n">
        <v>746.13</v>
      </c>
      <c r="G1750" s="16" t="inlineStr">
        <is>
          <t>MODIS</t>
        </is>
      </c>
      <c r="H1750" s="16" t="inlineStr">
        <is>
          <t>543539</t>
        </is>
      </c>
      <c r="I1750" s="27">
        <f>IFERROR(IF(INDEX(Stocks!$G$2:$G$2139,MATCH(A1750,Stocks!$E$2:$E$2139,0))="","No","Yes"),"No")</f>
        <v/>
      </c>
    </row>
    <row r="1751">
      <c r="A1751" s="16" t="inlineStr">
        <is>
          <t>INE296H01011</t>
        </is>
      </c>
      <c r="B1751" s="16" t="inlineStr">
        <is>
          <t>EMKAY</t>
        </is>
      </c>
      <c r="C1751" s="16" t="inlineStr">
        <is>
          <t>Emkay Global Financial Services Ltd.</t>
        </is>
      </c>
      <c r="D1751" s="16" t="inlineStr">
        <is>
          <t>Capital Markets</t>
        </is>
      </c>
      <c r="E1751" s="16" t="inlineStr">
        <is>
          <t>Banking and Finance</t>
        </is>
      </c>
      <c r="F1751" s="17" t="n">
        <v>739.63</v>
      </c>
      <c r="G1751" s="16" t="inlineStr">
        <is>
          <t>EMKAY</t>
        </is>
      </c>
      <c r="H1751" s="16" t="inlineStr">
        <is>
          <t>532737</t>
        </is>
      </c>
      <c r="I1751" s="27">
        <f>IFERROR(IF(INDEX(Stocks!$G$2:$G$2139,MATCH(A1751,Stocks!$E$2:$E$2139,0))="","No","Yes"),"No")</f>
        <v/>
      </c>
    </row>
    <row r="1752">
      <c r="A1752" s="16" t="inlineStr">
        <is>
          <t>INE164B01030</t>
        </is>
      </c>
      <c r="B1752" s="16" t="inlineStr">
        <is>
          <t>KELLTONTEC</t>
        </is>
      </c>
      <c r="C1752" s="16" t="inlineStr">
        <is>
          <t>Kellton Tech Solutions Ltd.</t>
        </is>
      </c>
      <c r="D1752" s="16" t="inlineStr">
        <is>
          <t>IT Consulting &amp; Software</t>
        </is>
      </c>
      <c r="E1752" s="16" t="inlineStr">
        <is>
          <t>Software &amp; Services</t>
        </is>
      </c>
      <c r="F1752" s="17" t="n">
        <v>737.0599999999999</v>
      </c>
      <c r="G1752" s="16" t="inlineStr">
        <is>
          <t>KELLTONTEC</t>
        </is>
      </c>
      <c r="H1752" s="16" t="inlineStr">
        <is>
          <t>519602</t>
        </is>
      </c>
      <c r="I1752" s="27">
        <f>IFERROR(IF(INDEX(Stocks!$G$2:$G$2139,MATCH(A1752,Stocks!$E$2:$E$2139,0))="","No","Yes"),"No")</f>
        <v/>
      </c>
    </row>
    <row r="1753">
      <c r="A1753" s="16" t="inlineStr">
        <is>
          <t>INE1OOJ01011</t>
        </is>
      </c>
      <c r="B1753" s="16" t="inlineStr">
        <is>
          <t>APSISAERO</t>
        </is>
      </c>
      <c r="C1753" s="16" t="inlineStr">
        <is>
          <t>Apsis Aerocom Ltd.</t>
        </is>
      </c>
      <c r="D1753" s="16" t="inlineStr">
        <is>
          <t>Industrial Machinery</t>
        </is>
      </c>
      <c r="E1753" s="16" t="inlineStr">
        <is>
          <t>General Industrials</t>
        </is>
      </c>
      <c r="F1753" s="17" t="n">
        <v>736.73</v>
      </c>
      <c r="G1753" s="16" t="inlineStr">
        <is>
          <t>APSISAERO</t>
        </is>
      </c>
      <c r="H1753" s="16" t="inlineStr"/>
      <c r="I1753" s="27">
        <f>IFERROR(IF(INDEX(Stocks!$G$2:$G$2139,MATCH(A1753,Stocks!$E$2:$E$2139,0))="","No","Yes"),"No")</f>
        <v/>
      </c>
    </row>
    <row r="1754">
      <c r="A1754" s="16" t="inlineStr">
        <is>
          <t>INE400A01014</t>
        </is>
      </c>
      <c r="B1754" s="16" t="inlineStr">
        <is>
          <t>TUTIALKA</t>
        </is>
      </c>
      <c r="C1754" s="16" t="inlineStr">
        <is>
          <t>Tuticorin Alkali Chemicals &amp; Fertilizers Ltd.</t>
        </is>
      </c>
      <c r="D1754" s="16" t="inlineStr">
        <is>
          <t>Commodity Chemicals</t>
        </is>
      </c>
      <c r="E1754" s="16" t="inlineStr">
        <is>
          <t>Chemicals &amp; Petrochemicals</t>
        </is>
      </c>
      <c r="F1754" s="17" t="n">
        <v>735.89</v>
      </c>
      <c r="G1754" s="16" t="inlineStr"/>
      <c r="H1754" s="16" t="inlineStr">
        <is>
          <t>506808</t>
        </is>
      </c>
      <c r="I1754" s="27">
        <f>IFERROR(IF(INDEX(Stocks!$G$2:$G$2139,MATCH(A1754,Stocks!$E$2:$E$2139,0))="","No","Yes"),"No")</f>
        <v/>
      </c>
    </row>
    <row r="1755">
      <c r="A1755" s="16" t="inlineStr">
        <is>
          <t>INE0R4L01018</t>
        </is>
      </c>
      <c r="B1755" s="16" t="inlineStr">
        <is>
          <t>DENTA</t>
        </is>
      </c>
      <c r="C1755" s="16" t="inlineStr">
        <is>
          <t>Denta Water and Infra Solutions Ltd.</t>
        </is>
      </c>
      <c r="D1755" s="16" t="inlineStr">
        <is>
          <t>Utilities:Non-Electrical</t>
        </is>
      </c>
      <c r="E1755" s="16" t="inlineStr">
        <is>
          <t>Utilities</t>
        </is>
      </c>
      <c r="F1755" s="17" t="n">
        <v>735.1799999999999</v>
      </c>
      <c r="G1755" s="16" t="inlineStr">
        <is>
          <t>DENTA</t>
        </is>
      </c>
      <c r="H1755" s="16" t="inlineStr">
        <is>
          <t>544345</t>
        </is>
      </c>
      <c r="I1755" s="27">
        <f>IFERROR(IF(INDEX(Stocks!$G$2:$G$2139,MATCH(A1755,Stocks!$E$2:$E$2139,0))="","No","Yes"),"No")</f>
        <v/>
      </c>
    </row>
    <row r="1756">
      <c r="A1756" s="16" t="inlineStr">
        <is>
          <t>INE0MGA01012</t>
        </is>
      </c>
      <c r="B1756" s="16" t="inlineStr">
        <is>
          <t>KARNIKA</t>
        </is>
      </c>
      <c r="C1756" s="16" t="inlineStr">
        <is>
          <t>Karnika Industries Ltd.</t>
        </is>
      </c>
      <c r="D1756" s="16" t="inlineStr">
        <is>
          <t>Other Apparels &amp; Accessories</t>
        </is>
      </c>
      <c r="E1756" s="16" t="inlineStr">
        <is>
          <t>Textiles Apparels &amp; Accessories</t>
        </is>
      </c>
      <c r="F1756" s="17" t="n">
        <v>733.4299999999999</v>
      </c>
      <c r="G1756" s="16" t="inlineStr">
        <is>
          <t>KARNIKA</t>
        </is>
      </c>
      <c r="H1756" s="16" t="inlineStr"/>
      <c r="I1756" s="27">
        <f>IFERROR(IF(INDEX(Stocks!$G$2:$G$2139,MATCH(A1756,Stocks!$E$2:$E$2139,0))="","No","Yes"),"No")</f>
        <v/>
      </c>
    </row>
    <row r="1757">
      <c r="A1757" s="16" t="inlineStr">
        <is>
          <t>INE296E01026</t>
        </is>
      </c>
      <c r="B1757" s="16" t="inlineStr">
        <is>
          <t>RAJPALAYAM</t>
        </is>
      </c>
      <c r="C1757" s="16" t="inlineStr">
        <is>
          <t>Rajapalayam Mills Ltd.</t>
        </is>
      </c>
      <c r="D1757" s="16" t="inlineStr">
        <is>
          <t>Textiles</t>
        </is>
      </c>
      <c r="E1757" s="16" t="inlineStr">
        <is>
          <t>Textiles Apparels &amp; Accessories</t>
        </is>
      </c>
      <c r="F1757" s="17" t="n">
        <v>732.96</v>
      </c>
      <c r="G1757" s="16" t="inlineStr"/>
      <c r="H1757" s="16" t="inlineStr">
        <is>
          <t>532503</t>
        </is>
      </c>
      <c r="I1757" s="27">
        <f>IFERROR(IF(INDEX(Stocks!$G$2:$G$2139,MATCH(A1757,Stocks!$E$2:$E$2139,0))="","No","Yes"),"No")</f>
        <v/>
      </c>
    </row>
    <row r="1758">
      <c r="A1758" s="16" t="inlineStr">
        <is>
          <t>INE505A01010</t>
        </is>
      </c>
      <c r="B1758" s="16" t="inlineStr">
        <is>
          <t>DMCC</t>
        </is>
      </c>
      <c r="C1758" s="16" t="inlineStr">
        <is>
          <t>DMCC Speciality Chemicals Ltd.</t>
        </is>
      </c>
      <c r="D1758" s="16" t="inlineStr">
        <is>
          <t>Commodity Chemicals</t>
        </is>
      </c>
      <c r="E1758" s="16" t="inlineStr">
        <is>
          <t>Chemicals &amp; Petrochemicals</t>
        </is>
      </c>
      <c r="F1758" s="17" t="n">
        <v>731.61</v>
      </c>
      <c r="G1758" s="16" t="inlineStr">
        <is>
          <t>DMCC</t>
        </is>
      </c>
      <c r="H1758" s="16" t="inlineStr">
        <is>
          <t>506405</t>
        </is>
      </c>
      <c r="I1758" s="27">
        <f>IFERROR(IF(INDEX(Stocks!$G$2:$G$2139,MATCH(A1758,Stocks!$E$2:$E$2139,0))="","No","Yes"),"No")</f>
        <v/>
      </c>
    </row>
    <row r="1759">
      <c r="A1759" s="16" t="inlineStr">
        <is>
          <t>INE772T01024</t>
        </is>
      </c>
      <c r="B1759" s="16" t="inlineStr">
        <is>
          <t>PVSL</t>
        </is>
      </c>
      <c r="C1759" s="16" t="inlineStr">
        <is>
          <t>Popular Vehicles and Services Ltd.</t>
        </is>
      </c>
      <c r="D1759" s="16" t="inlineStr">
        <is>
          <t>Specialty Retail</t>
        </is>
      </c>
      <c r="E1759" s="16" t="inlineStr">
        <is>
          <t>Retailing</t>
        </is>
      </c>
      <c r="F1759" s="17" t="n">
        <v>730.71</v>
      </c>
      <c r="G1759" s="16" t="inlineStr">
        <is>
          <t>PVSL</t>
        </is>
      </c>
      <c r="H1759" s="16" t="inlineStr">
        <is>
          <t>544144</t>
        </is>
      </c>
      <c r="I1759" s="27">
        <f>IFERROR(IF(INDEX(Stocks!$G$2:$G$2139,MATCH(A1759,Stocks!$E$2:$E$2139,0))="","No","Yes"),"No")</f>
        <v/>
      </c>
    </row>
    <row r="1760">
      <c r="A1760" s="16" t="inlineStr">
        <is>
          <t>INE0R8B01010</t>
        </is>
      </c>
      <c r="B1760" s="16" t="inlineStr">
        <is>
          <t>PATELRMART</t>
        </is>
      </c>
      <c r="C1760" s="16" t="inlineStr">
        <is>
          <t>Patel Retail Ltd.</t>
        </is>
      </c>
      <c r="D1760" s="16" t="inlineStr">
        <is>
          <t>Department Stores</t>
        </is>
      </c>
      <c r="E1760" s="16" t="inlineStr">
        <is>
          <t>Retailing</t>
        </is>
      </c>
      <c r="F1760" s="17" t="n">
        <v>729.2</v>
      </c>
      <c r="G1760" s="16" t="inlineStr">
        <is>
          <t>PATELRMART</t>
        </is>
      </c>
      <c r="H1760" s="16" t="inlineStr">
        <is>
          <t>544487</t>
        </is>
      </c>
      <c r="I1760" s="27">
        <f>IFERROR(IF(INDEX(Stocks!$G$2:$G$2139,MATCH(A1760,Stocks!$E$2:$E$2139,0))="","No","Yes"),"No")</f>
        <v/>
      </c>
    </row>
    <row r="1761">
      <c r="A1761" s="16" t="inlineStr">
        <is>
          <t>INE03YM01018</t>
        </is>
      </c>
      <c r="B1761" s="16" t="inlineStr">
        <is>
          <t>CHEMCON</t>
        </is>
      </c>
      <c r="C1761" s="16" t="inlineStr">
        <is>
          <t>Chemcon Speciality Chemicals Ltd.</t>
        </is>
      </c>
      <c r="D1761" s="16" t="inlineStr">
        <is>
          <t>Specialty Chemicals</t>
        </is>
      </c>
      <c r="E1761" s="16" t="inlineStr">
        <is>
          <t>Chemicals &amp; Petrochemicals</t>
        </is>
      </c>
      <c r="F1761" s="17" t="n">
        <v>726.6799999999999</v>
      </c>
      <c r="G1761" s="16" t="inlineStr">
        <is>
          <t>CHEMCON</t>
        </is>
      </c>
      <c r="H1761" s="16" t="inlineStr">
        <is>
          <t>543233</t>
        </is>
      </c>
      <c r="I1761" s="27">
        <f>IFERROR(IF(INDEX(Stocks!$G$2:$G$2139,MATCH(A1761,Stocks!$E$2:$E$2139,0))="","No","Yes"),"No")</f>
        <v/>
      </c>
    </row>
    <row r="1762">
      <c r="A1762" s="16" t="inlineStr">
        <is>
          <t>INE070K01014</t>
        </is>
      </c>
      <c r="B1762" s="16" t="inlineStr">
        <is>
          <t>APIS</t>
        </is>
      </c>
      <c r="C1762" s="16" t="inlineStr">
        <is>
          <t>Apis India Ltd.</t>
        </is>
      </c>
      <c r="D1762" s="16" t="inlineStr">
        <is>
          <t>Other Food &amp; Beverages</t>
        </is>
      </c>
      <c r="E1762" s="16" t="inlineStr">
        <is>
          <t>Food, Beverages &amp; Tobacco</t>
        </is>
      </c>
      <c r="F1762" s="17" t="n">
        <v>726.23</v>
      </c>
      <c r="G1762" s="16" t="inlineStr"/>
      <c r="H1762" s="16" t="inlineStr">
        <is>
          <t>506166</t>
        </is>
      </c>
      <c r="I1762" s="27">
        <f>IFERROR(IF(INDEX(Stocks!$G$2:$G$2139,MATCH(A1762,Stocks!$E$2:$E$2139,0))="","No","Yes"),"No")</f>
        <v/>
      </c>
    </row>
    <row r="1763">
      <c r="A1763" s="16" t="inlineStr">
        <is>
          <t>INE28GN01010</t>
        </is>
      </c>
      <c r="B1763" s="16" t="inlineStr">
        <is>
          <t>ADVENTHTL</t>
        </is>
      </c>
      <c r="C1763" s="16" t="inlineStr">
        <is>
          <t>Advent Hotels International Ltd.</t>
        </is>
      </c>
      <c r="D1763" s="16" t="inlineStr">
        <is>
          <t>Hotels</t>
        </is>
      </c>
      <c r="E1763" s="16" t="inlineStr">
        <is>
          <t>Hotels Restaurants &amp; Tourism</t>
        </is>
      </c>
      <c r="F1763" s="17" t="n">
        <v>725.91</v>
      </c>
      <c r="G1763" s="16" t="inlineStr">
        <is>
          <t>ADVENTHTL</t>
        </is>
      </c>
      <c r="H1763" s="16" t="inlineStr">
        <is>
          <t>544446</t>
        </is>
      </c>
      <c r="I1763" s="27">
        <f>IFERROR(IF(INDEX(Stocks!$G$2:$G$2139,MATCH(A1763,Stocks!$E$2:$E$2139,0))="","No","Yes"),"No")</f>
        <v/>
      </c>
    </row>
    <row r="1764">
      <c r="A1764" s="16" t="inlineStr">
        <is>
          <t>INE00YB01025</t>
        </is>
      </c>
      <c r="B1764" s="16" t="inlineStr">
        <is>
          <t>ABINFRA</t>
        </is>
      </c>
      <c r="C1764" s="16" t="inlineStr">
        <is>
          <t>AB Infrabuild Ltd.</t>
        </is>
      </c>
      <c r="D1764" s="16" t="inlineStr">
        <is>
          <t>Construction &amp; Engineering</t>
        </is>
      </c>
      <c r="E1764" s="16" t="inlineStr">
        <is>
          <t>Cement and Construction</t>
        </is>
      </c>
      <c r="F1764" s="17" t="n">
        <v>725.03</v>
      </c>
      <c r="G1764" s="16" t="inlineStr">
        <is>
          <t>ABINFRA</t>
        </is>
      </c>
      <c r="H1764" s="16" t="inlineStr">
        <is>
          <t>544281</t>
        </is>
      </c>
      <c r="I1764" s="27">
        <f>IFERROR(IF(INDEX(Stocks!$G$2:$G$2139,MATCH(A1764,Stocks!$E$2:$E$2139,0))="","No","Yes"),"No")</f>
        <v/>
      </c>
    </row>
    <row r="1765">
      <c r="A1765" s="16" t="inlineStr">
        <is>
          <t>INE692C01020</t>
        </is>
      </c>
      <c r="B1765" s="16" t="inlineStr">
        <is>
          <t>TANAA</t>
        </is>
      </c>
      <c r="C1765" s="16" t="inlineStr">
        <is>
          <t>Taneja Aerospace &amp; Aviation Ltd.</t>
        </is>
      </c>
      <c r="D1765" s="16" t="inlineStr">
        <is>
          <t>Aerospace &amp; Defence</t>
        </is>
      </c>
      <c r="E1765" s="16" t="inlineStr">
        <is>
          <t>General Industrials</t>
        </is>
      </c>
      <c r="F1765" s="17" t="n">
        <v>724.72</v>
      </c>
      <c r="G1765" s="16" t="inlineStr"/>
      <c r="H1765" s="16" t="inlineStr">
        <is>
          <t>522229</t>
        </is>
      </c>
      <c r="I1765" s="27">
        <f>IFERROR(IF(INDEX(Stocks!$G$2:$G$2139,MATCH(A1765,Stocks!$E$2:$E$2139,0))="","No","Yes"),"No")</f>
        <v/>
      </c>
    </row>
    <row r="1766">
      <c r="A1766" s="16" t="inlineStr">
        <is>
          <t>INE0ISZ01012</t>
        </is>
      </c>
      <c r="B1766" s="16" t="inlineStr">
        <is>
          <t>ZTECH</t>
        </is>
      </c>
      <c r="C1766" s="16" t="inlineStr">
        <is>
          <t>Z-Tech (India) Ltd.</t>
        </is>
      </c>
      <c r="D1766" s="16" t="inlineStr">
        <is>
          <t>Construction &amp; Engineering</t>
        </is>
      </c>
      <c r="E1766" s="16" t="inlineStr">
        <is>
          <t>Cement and Construction</t>
        </is>
      </c>
      <c r="F1766" s="17" t="n">
        <v>723.49</v>
      </c>
      <c r="G1766" s="16" t="inlineStr">
        <is>
          <t>ZTECH</t>
        </is>
      </c>
      <c r="H1766" s="16" t="inlineStr"/>
      <c r="I1766" s="27">
        <f>IFERROR(IF(INDEX(Stocks!$G$2:$G$2139,MATCH(A1766,Stocks!$E$2:$E$2139,0))="","No","Yes"),"No")</f>
        <v/>
      </c>
    </row>
    <row r="1767">
      <c r="A1767" s="16" t="inlineStr">
        <is>
          <t>INE0UZO01024</t>
        </is>
      </c>
      <c r="B1767" s="16" t="inlineStr">
        <is>
          <t>NEETUYOSHI</t>
        </is>
      </c>
      <c r="C1767" s="16" t="inlineStr">
        <is>
          <t>Neetu Yoshi Ltd.</t>
        </is>
      </c>
      <c r="D1767" s="16" t="inlineStr">
        <is>
          <t>Castings &amp; Forgings</t>
        </is>
      </c>
      <c r="E1767" s="16" t="inlineStr">
        <is>
          <t>General Industrials</t>
        </is>
      </c>
      <c r="F1767" s="17" t="n">
        <v>723.27</v>
      </c>
      <c r="G1767" s="16" t="inlineStr"/>
      <c r="H1767" s="16" t="inlineStr">
        <is>
          <t>544434</t>
        </is>
      </c>
      <c r="I1767" s="27">
        <f>IFERROR(IF(INDEX(Stocks!$G$2:$G$2139,MATCH(A1767,Stocks!$E$2:$E$2139,0))="","No","Yes"),"No")</f>
        <v/>
      </c>
    </row>
    <row r="1768">
      <c r="A1768" s="16" t="inlineStr">
        <is>
          <t>INE0H8H01019</t>
        </is>
      </c>
      <c r="B1768" s="16" t="inlineStr">
        <is>
          <t>CWD</t>
        </is>
      </c>
      <c r="C1768" s="16" t="inlineStr">
        <is>
          <t>CWD Ltd.</t>
        </is>
      </c>
      <c r="D1768" s="16" t="inlineStr">
        <is>
          <t>Consumer Electronics</t>
        </is>
      </c>
      <c r="E1768" s="16" t="inlineStr">
        <is>
          <t>Consumer Durables</t>
        </is>
      </c>
      <c r="F1768" s="17" t="n">
        <v>720.15</v>
      </c>
      <c r="G1768" s="16" t="inlineStr"/>
      <c r="H1768" s="16" t="inlineStr">
        <is>
          <t>543378</t>
        </is>
      </c>
      <c r="I1768" s="27">
        <f>IFERROR(IF(INDEX(Stocks!$G$2:$G$2139,MATCH(A1768,Stocks!$E$2:$E$2139,0))="","No","Yes"),"No")</f>
        <v/>
      </c>
    </row>
    <row r="1769">
      <c r="A1769" s="16" t="inlineStr">
        <is>
          <t>INE1H7V01011</t>
        </is>
      </c>
      <c r="B1769" s="16" t="inlineStr">
        <is>
          <t>PARTH</t>
        </is>
      </c>
      <c r="C1769" s="16" t="inlineStr">
        <is>
          <t>Parth Electricals &amp; Engineering Ltd.</t>
        </is>
      </c>
      <c r="D1769" s="16" t="inlineStr">
        <is>
          <t>Heavy Electrical Equipment</t>
        </is>
      </c>
      <c r="E1769" s="16" t="inlineStr">
        <is>
          <t>General Industrials</t>
        </is>
      </c>
      <c r="F1769" s="17" t="n">
        <v>718.53</v>
      </c>
      <c r="G1769" s="16" t="inlineStr">
        <is>
          <t>PARTH</t>
        </is>
      </c>
      <c r="H1769" s="16" t="inlineStr"/>
      <c r="I1769" s="27">
        <f>IFERROR(IF(INDEX(Stocks!$G$2:$G$2139,MATCH(A1769,Stocks!$E$2:$E$2139,0))="","No","Yes"),"No")</f>
        <v/>
      </c>
    </row>
    <row r="1770">
      <c r="A1770" s="16" t="inlineStr">
        <is>
          <t>INE515H01014</t>
        </is>
      </c>
      <c r="B1770" s="16" t="inlineStr">
        <is>
          <t>EMPIND</t>
        </is>
      </c>
      <c r="C1770" s="16" t="inlineStr">
        <is>
          <t>Empire Industries Ltd.</t>
        </is>
      </c>
      <c r="D1770" s="16" t="inlineStr">
        <is>
          <t>Diversified</t>
        </is>
      </c>
      <c r="E1770" s="16" t="inlineStr">
        <is>
          <t>Diversified</t>
        </is>
      </c>
      <c r="F1770" s="17" t="n">
        <v>717.36</v>
      </c>
      <c r="G1770" s="16" t="inlineStr"/>
      <c r="H1770" s="16" t="inlineStr">
        <is>
          <t>509525</t>
        </is>
      </c>
      <c r="I1770" s="27">
        <f>IFERROR(IF(INDEX(Stocks!$G$2:$G$2139,MATCH(A1770,Stocks!$E$2:$E$2139,0))="","No","Yes"),"No")</f>
        <v/>
      </c>
    </row>
    <row r="1771">
      <c r="A1771" s="16" t="inlineStr">
        <is>
          <t>INE335Q01026</t>
        </is>
      </c>
      <c r="B1771" s="16" t="inlineStr">
        <is>
          <t>RNITAI</t>
        </is>
      </c>
      <c r="C1771" s="16" t="inlineStr">
        <is>
          <t>Rnit AI Solutions Ltd.</t>
        </is>
      </c>
      <c r="D1771" s="16" t="inlineStr">
        <is>
          <t>IT Consulting &amp; Software</t>
        </is>
      </c>
      <c r="E1771" s="16" t="inlineStr">
        <is>
          <t>Software &amp; Services</t>
        </is>
      </c>
      <c r="F1771" s="17" t="n">
        <v>716.77</v>
      </c>
      <c r="G1771" s="16" t="inlineStr"/>
      <c r="H1771" s="16" t="inlineStr">
        <is>
          <t>517286</t>
        </is>
      </c>
      <c r="I1771" s="27">
        <f>IFERROR(IF(INDEX(Stocks!$G$2:$G$2139,MATCH(A1771,Stocks!$E$2:$E$2139,0))="","No","Yes"),"No")</f>
        <v/>
      </c>
    </row>
    <row r="1772">
      <c r="A1772" s="16" t="inlineStr">
        <is>
          <t>INE849C01026</t>
        </is>
      </c>
      <c r="B1772" s="16" t="inlineStr">
        <is>
          <t>SHALPAINTS</t>
        </is>
      </c>
      <c r="C1772" s="16" t="inlineStr">
        <is>
          <t>Shalimar Paints Ltd.</t>
        </is>
      </c>
      <c r="D1772" s="16" t="inlineStr">
        <is>
          <t>Paints</t>
        </is>
      </c>
      <c r="E1772" s="16" t="inlineStr">
        <is>
          <t>Consumer Durables</t>
        </is>
      </c>
      <c r="F1772" s="17" t="n">
        <v>715.48</v>
      </c>
      <c r="G1772" s="16" t="inlineStr">
        <is>
          <t>SHALPAINTS</t>
        </is>
      </c>
      <c r="H1772" s="16" t="inlineStr">
        <is>
          <t>509874</t>
        </is>
      </c>
      <c r="I1772" s="27">
        <f>IFERROR(IF(INDEX(Stocks!$G$2:$G$2139,MATCH(A1772,Stocks!$E$2:$E$2139,0))="","No","Yes"),"No")</f>
        <v/>
      </c>
    </row>
    <row r="1773">
      <c r="A1773" s="16" t="inlineStr">
        <is>
          <t>INE865C01022</t>
        </is>
      </c>
      <c r="B1773" s="16" t="inlineStr">
        <is>
          <t>BIRLAMONEY</t>
        </is>
      </c>
      <c r="C1773" s="16" t="inlineStr">
        <is>
          <t>Aditya Birla Money Ltd.</t>
        </is>
      </c>
      <c r="D1773" s="16" t="inlineStr">
        <is>
          <t>Capital Markets</t>
        </is>
      </c>
      <c r="E1773" s="16" t="inlineStr">
        <is>
          <t>Banking and Finance</t>
        </is>
      </c>
      <c r="F1773" s="17" t="n">
        <v>714.11</v>
      </c>
      <c r="G1773" s="16" t="inlineStr">
        <is>
          <t>BIRLAMONEY</t>
        </is>
      </c>
      <c r="H1773" s="16" t="inlineStr">
        <is>
          <t>532974</t>
        </is>
      </c>
      <c r="I1773" s="27">
        <f>IFERROR(IF(INDEX(Stocks!$G$2:$G$2139,MATCH(A1773,Stocks!$E$2:$E$2139,0))="","No","Yes"),"No")</f>
        <v/>
      </c>
    </row>
    <row r="1774">
      <c r="A1774" s="16" t="inlineStr">
        <is>
          <t>INE0O9T01021</t>
        </is>
      </c>
      <c r="B1774" s="16" t="inlineStr">
        <is>
          <t>BAJAJINDEF</t>
        </is>
      </c>
      <c r="C1774" s="16" t="inlineStr">
        <is>
          <t>Indef Manufacturing Ltd.</t>
        </is>
      </c>
      <c r="D1774" s="16" t="inlineStr">
        <is>
          <t>Industrial Machinery</t>
        </is>
      </c>
      <c r="E1774" s="16" t="inlineStr">
        <is>
          <t>General Industrials</t>
        </is>
      </c>
      <c r="F1774" s="17" t="n">
        <v>712.61</v>
      </c>
      <c r="G1774" s="16" t="inlineStr">
        <is>
          <t>BAJAJINDEF</t>
        </is>
      </c>
      <c r="H1774" s="16" t="inlineStr">
        <is>
          <t>544364</t>
        </is>
      </c>
      <c r="I1774" s="27">
        <f>IFERROR(IF(INDEX(Stocks!$G$2:$G$2139,MATCH(A1774,Stocks!$E$2:$E$2139,0))="","No","Yes"),"No")</f>
        <v/>
      </c>
    </row>
    <row r="1775">
      <c r="A1775" s="16" t="inlineStr">
        <is>
          <t>INE0TT901016</t>
        </is>
      </c>
      <c r="B1775" s="16" t="inlineStr">
        <is>
          <t>TOTEM</t>
        </is>
      </c>
      <c r="C1775" s="16" t="inlineStr">
        <is>
          <t>Forbes Precision Tools and Machine Parts Ltd.</t>
        </is>
      </c>
      <c r="D1775" s="16" t="inlineStr">
        <is>
          <t>Industrial Machinery</t>
        </is>
      </c>
      <c r="E1775" s="16" t="inlineStr">
        <is>
          <t>General Industrials</t>
        </is>
      </c>
      <c r="F1775" s="17" t="n">
        <v>710.2</v>
      </c>
      <c r="G1775" s="16" t="inlineStr"/>
      <c r="H1775" s="16" t="inlineStr">
        <is>
          <t>544186</t>
        </is>
      </c>
      <c r="I1775" s="27">
        <f>IFERROR(IF(INDEX(Stocks!$G$2:$G$2139,MATCH(A1775,Stocks!$E$2:$E$2139,0))="","No","Yes"),"No")</f>
        <v/>
      </c>
    </row>
    <row r="1776">
      <c r="A1776" s="16" t="inlineStr">
        <is>
          <t>INE130L01014</t>
        </is>
      </c>
      <c r="B1776" s="16" t="inlineStr">
        <is>
          <t>ENKEIWHEL</t>
        </is>
      </c>
      <c r="C1776" s="16" t="inlineStr">
        <is>
          <t>Enkei Wheels (India) Ltd.</t>
        </is>
      </c>
      <c r="D1776" s="16" t="inlineStr">
        <is>
          <t>Auto Parts &amp; Equipment</t>
        </is>
      </c>
      <c r="E1776" s="16" t="inlineStr">
        <is>
          <t>Automobiles &amp; Auto Components</t>
        </is>
      </c>
      <c r="F1776" s="17" t="n">
        <v>709.92</v>
      </c>
      <c r="G1776" s="16" t="inlineStr"/>
      <c r="H1776" s="16" t="inlineStr">
        <is>
          <t>533477</t>
        </is>
      </c>
      <c r="I1776" s="27">
        <f>IFERROR(IF(INDEX(Stocks!$G$2:$G$2139,MATCH(A1776,Stocks!$E$2:$E$2139,0))="","No","Yes"),"No")</f>
        <v/>
      </c>
    </row>
    <row r="1777">
      <c r="A1777" s="16" t="inlineStr">
        <is>
          <t>INE2L0V01019</t>
        </is>
      </c>
      <c r="B1777" s="16" t="inlineStr">
        <is>
          <t>SUSAN</t>
        </is>
      </c>
      <c r="C1777" s="16" t="inlineStr">
        <is>
          <t>Susan Electricals India Ltd.</t>
        </is>
      </c>
      <c r="D1777" s="16" t="inlineStr">
        <is>
          <t>Wires &amp; Cables</t>
        </is>
      </c>
      <c r="E1777" s="16" t="inlineStr">
        <is>
          <t>Consumer Durables</t>
        </is>
      </c>
      <c r="F1777" s="17" t="n">
        <v>709.75</v>
      </c>
      <c r="G1777" s="16" t="inlineStr"/>
      <c r="H1777" s="16" t="inlineStr">
        <is>
          <t>544793</t>
        </is>
      </c>
      <c r="I1777" s="27">
        <f>IFERROR(IF(INDEX(Stocks!$G$2:$G$2139,MATCH(A1777,Stocks!$E$2:$E$2139,0))="","No","Yes"),"No")</f>
        <v/>
      </c>
    </row>
    <row r="1778">
      <c r="A1778" s="16" t="inlineStr">
        <is>
          <t>INE064H01021</t>
        </is>
      </c>
      <c r="B1778" s="16" t="inlineStr">
        <is>
          <t>GEE</t>
        </is>
      </c>
      <c r="C1778" s="16" t="inlineStr">
        <is>
          <t>GEE Ltd.</t>
        </is>
      </c>
      <c r="D1778" s="16" t="inlineStr">
        <is>
          <t>Other Industrial Goods</t>
        </is>
      </c>
      <c r="E1778" s="16" t="inlineStr">
        <is>
          <t>General Industrials</t>
        </is>
      </c>
      <c r="F1778" s="17" t="n">
        <v>709.48</v>
      </c>
      <c r="G1778" s="16" t="inlineStr"/>
      <c r="H1778" s="16" t="inlineStr">
        <is>
          <t>504028</t>
        </is>
      </c>
      <c r="I1778" s="27">
        <f>IFERROR(IF(INDEX(Stocks!$G$2:$G$2139,MATCH(A1778,Stocks!$E$2:$E$2139,0))="","No","Yes"),"No")</f>
        <v/>
      </c>
    </row>
    <row r="1779">
      <c r="A1779" s="16" t="inlineStr">
        <is>
          <t>INE215I01027</t>
        </is>
      </c>
      <c r="B1779" s="16" t="inlineStr">
        <is>
          <t>MAANALU</t>
        </is>
      </c>
      <c r="C1779" s="16" t="inlineStr">
        <is>
          <t>Maan Aluminium Ltd.</t>
        </is>
      </c>
      <c r="D1779" s="16" t="inlineStr">
        <is>
          <t>Aluminium and Aluminium Products</t>
        </is>
      </c>
      <c r="E1779" s="16" t="inlineStr">
        <is>
          <t>Metals &amp; Mining</t>
        </is>
      </c>
      <c r="F1779" s="17" t="n">
        <v>707.22</v>
      </c>
      <c r="G1779" s="16" t="inlineStr">
        <is>
          <t>MAANALU</t>
        </is>
      </c>
      <c r="H1779" s="16" t="inlineStr">
        <is>
          <t>532906</t>
        </is>
      </c>
      <c r="I1779" s="27">
        <f>IFERROR(IF(INDEX(Stocks!$G$2:$G$2139,MATCH(A1779,Stocks!$E$2:$E$2139,0))="","No","Yes"),"No")</f>
        <v/>
      </c>
    </row>
    <row r="1780">
      <c r="A1780" s="16" t="inlineStr">
        <is>
          <t>INE893I01013</t>
        </is>
      </c>
      <c r="B1780" s="16" t="inlineStr">
        <is>
          <t>VASCONEQ</t>
        </is>
      </c>
      <c r="C1780" s="16" t="inlineStr">
        <is>
          <t>Vascon Engineers Ltd.</t>
        </is>
      </c>
      <c r="D1780" s="16" t="inlineStr">
        <is>
          <t>Construction &amp; Engineering</t>
        </is>
      </c>
      <c r="E1780" s="16" t="inlineStr">
        <is>
          <t>Cement and Construction</t>
        </is>
      </c>
      <c r="F1780" s="17" t="n">
        <v>705.98</v>
      </c>
      <c r="G1780" s="16" t="inlineStr">
        <is>
          <t>VASCONEQ</t>
        </is>
      </c>
      <c r="H1780" s="16" t="inlineStr">
        <is>
          <t>533156</t>
        </is>
      </c>
      <c r="I1780" s="27">
        <f>IFERROR(IF(INDEX(Stocks!$G$2:$G$2139,MATCH(A1780,Stocks!$E$2:$E$2139,0))="","No","Yes"),"No")</f>
        <v/>
      </c>
    </row>
    <row r="1781">
      <c r="A1781" s="16" t="inlineStr">
        <is>
          <t>INE652V01016</t>
        </is>
      </c>
      <c r="B1781" s="16" t="inlineStr">
        <is>
          <t>GANESHCP</t>
        </is>
      </c>
      <c r="C1781" s="16" t="inlineStr">
        <is>
          <t>Ganesh Consumer Products Ltd.</t>
        </is>
      </c>
      <c r="D1781" s="16" t="inlineStr">
        <is>
          <t>Packaged Foods</t>
        </is>
      </c>
      <c r="E1781" s="16" t="inlineStr">
        <is>
          <t>FMCG</t>
        </is>
      </c>
      <c r="F1781" s="17" t="n">
        <v>705.04</v>
      </c>
      <c r="G1781" s="16" t="inlineStr">
        <is>
          <t>GANESHCP</t>
        </is>
      </c>
      <c r="H1781" s="16" t="inlineStr">
        <is>
          <t>544528</t>
        </is>
      </c>
      <c r="I1781" s="27">
        <f>IFERROR(IF(INDEX(Stocks!$G$2:$G$2139,MATCH(A1781,Stocks!$E$2:$E$2139,0))="","No","Yes"),"No")</f>
        <v/>
      </c>
    </row>
    <row r="1782">
      <c r="A1782" s="16" t="inlineStr">
        <is>
          <t>INE824Q01011</t>
        </is>
      </c>
      <c r="B1782" s="16" t="inlineStr">
        <is>
          <t>MANAKSTEEL</t>
        </is>
      </c>
      <c r="C1782" s="16" t="inlineStr">
        <is>
          <t>Manaksia Steels Ltd.</t>
        </is>
      </c>
      <c r="D1782" s="16" t="inlineStr">
        <is>
          <t>Iron &amp; Steel/Interm.Products</t>
        </is>
      </c>
      <c r="E1782" s="16" t="inlineStr">
        <is>
          <t>Metals &amp; Mining</t>
        </is>
      </c>
      <c r="F1782" s="17" t="n">
        <v>703.1799999999999</v>
      </c>
      <c r="G1782" s="16" t="inlineStr">
        <is>
          <t>MANAKSTEEL</t>
        </is>
      </c>
      <c r="H1782" s="16" t="inlineStr">
        <is>
          <t>539044</t>
        </is>
      </c>
      <c r="I1782" s="27">
        <f>IFERROR(IF(INDEX(Stocks!$G$2:$G$2139,MATCH(A1782,Stocks!$E$2:$E$2139,0))="","No","Yes"),"No")</f>
        <v/>
      </c>
    </row>
    <row r="1783">
      <c r="A1783" s="16" t="inlineStr">
        <is>
          <t>INE0N6U01018</t>
        </is>
      </c>
      <c r="B1783" s="16" t="inlineStr">
        <is>
          <t>KALYANI</t>
        </is>
      </c>
      <c r="C1783" s="16" t="inlineStr">
        <is>
          <t>Kalyani Cast-Tech Ltd.</t>
        </is>
      </c>
      <c r="D1783" s="16" t="inlineStr">
        <is>
          <t>Other Industrial Products</t>
        </is>
      </c>
      <c r="E1783" s="16" t="inlineStr">
        <is>
          <t>General Industrials</t>
        </is>
      </c>
      <c r="F1783" s="17" t="n">
        <v>701.4299999999999</v>
      </c>
      <c r="G1783" s="16" t="inlineStr"/>
      <c r="H1783" s="16" t="inlineStr">
        <is>
          <t>544023</t>
        </is>
      </c>
      <c r="I1783" s="27">
        <f>IFERROR(IF(INDEX(Stocks!$G$2:$G$2139,MATCH(A1783,Stocks!$E$2:$E$2139,0))="","No","Yes"),"No")</f>
        <v/>
      </c>
    </row>
    <row r="1784">
      <c r="A1784" s="16" t="inlineStr">
        <is>
          <t>INE830C01026</t>
        </is>
      </c>
      <c r="B1784" s="16" t="inlineStr">
        <is>
          <t>EMAMIPAP</t>
        </is>
      </c>
      <c r="C1784" s="16" t="inlineStr">
        <is>
          <t>Emami Paper Mills Ltd.</t>
        </is>
      </c>
      <c r="D1784" s="16" t="inlineStr">
        <is>
          <t>Paper &amp; Paper Products</t>
        </is>
      </c>
      <c r="E1784" s="16" t="inlineStr">
        <is>
          <t>Commercial Services &amp; Supplies</t>
        </is>
      </c>
      <c r="F1784" s="17" t="n">
        <v>701.3</v>
      </c>
      <c r="G1784" s="16" t="inlineStr">
        <is>
          <t>EMAMIPAP</t>
        </is>
      </c>
      <c r="H1784" s="16" t="inlineStr">
        <is>
          <t>533208</t>
        </is>
      </c>
      <c r="I1784" s="27">
        <f>IFERROR(IF(INDEX(Stocks!$G$2:$G$2139,MATCH(A1784,Stocks!$E$2:$E$2139,0))="","No","Yes"),"No")</f>
        <v/>
      </c>
    </row>
    <row r="1785">
      <c r="A1785" s="16" t="inlineStr">
        <is>
          <t>INE878I01022</t>
        </is>
      </c>
      <c r="B1785" s="16" t="inlineStr">
        <is>
          <t>BAFNAPH</t>
        </is>
      </c>
      <c r="C1785" s="16" t="inlineStr">
        <is>
          <t>Bafna Pharmaceuticals Ltd.</t>
        </is>
      </c>
      <c r="D1785" s="16" t="inlineStr">
        <is>
          <t>Pharmaceuticals</t>
        </is>
      </c>
      <c r="E1785" s="16" t="inlineStr">
        <is>
          <t>Pharmaceuticals &amp; Biotechnology</t>
        </is>
      </c>
      <c r="F1785" s="17" t="n">
        <v>699.87</v>
      </c>
      <c r="G1785" s="16" t="inlineStr">
        <is>
          <t>BAFNAPH</t>
        </is>
      </c>
      <c r="H1785" s="16" t="inlineStr">
        <is>
          <t>532989</t>
        </is>
      </c>
      <c r="I1785" s="27">
        <f>IFERROR(IF(INDEX(Stocks!$G$2:$G$2139,MATCH(A1785,Stocks!$E$2:$E$2139,0))="","No","Yes"),"No")</f>
        <v/>
      </c>
    </row>
    <row r="1786">
      <c r="A1786" s="16" t="inlineStr">
        <is>
          <t>INE0LEG01024</t>
        </is>
      </c>
      <c r="B1786" s="16" t="inlineStr">
        <is>
          <t>HTEL</t>
        </is>
      </c>
      <c r="C1786" s="16" t="inlineStr">
        <is>
          <t>Hy-Tech Engineers Ltd.</t>
        </is>
      </c>
      <c r="D1786" s="16" t="inlineStr">
        <is>
          <t>Other Industrial Products</t>
        </is>
      </c>
      <c r="E1786" s="16" t="inlineStr">
        <is>
          <t>General Industrials</t>
        </is>
      </c>
      <c r="F1786" s="17" t="n">
        <v>698.59</v>
      </c>
      <c r="G1786" s="16" t="inlineStr">
        <is>
          <t>HTEL</t>
        </is>
      </c>
      <c r="H1786" s="16" t="inlineStr">
        <is>
          <t>544891</t>
        </is>
      </c>
      <c r="I1786" s="27">
        <f>IFERROR(IF(INDEX(Stocks!$G$2:$G$2139,MATCH(A1786,Stocks!$E$2:$E$2139,0))="","No","Yes"),"No")</f>
        <v/>
      </c>
    </row>
    <row r="1787">
      <c r="A1787" s="16" t="inlineStr">
        <is>
          <t>INE485D01043</t>
        </is>
      </c>
      <c r="B1787" s="16" t="inlineStr">
        <is>
          <t>MAXGROW</t>
        </is>
      </c>
      <c r="C1787" s="16" t="inlineStr">
        <is>
          <t>Maxgrow India Ltd.</t>
        </is>
      </c>
      <c r="D1787" s="16" t="inlineStr">
        <is>
          <t>BPO/KPO</t>
        </is>
      </c>
      <c r="E1787" s="16" t="inlineStr">
        <is>
          <t>Software &amp; Services</t>
        </is>
      </c>
      <c r="F1787" s="17" t="n">
        <v>697.24</v>
      </c>
      <c r="G1787" s="16" t="inlineStr"/>
      <c r="H1787" s="16" t="inlineStr">
        <is>
          <t>521167</t>
        </is>
      </c>
      <c r="I1787" s="27">
        <f>IFERROR(IF(INDEX(Stocks!$G$2:$G$2139,MATCH(A1787,Stocks!$E$2:$E$2139,0))="","No","Yes"),"No")</f>
        <v/>
      </c>
    </row>
    <row r="1788">
      <c r="A1788" s="16" t="inlineStr">
        <is>
          <t>INE763M01028</t>
        </is>
      </c>
      <c r="B1788" s="16" t="inlineStr">
        <is>
          <t>MERCURYEV</t>
        </is>
      </c>
      <c r="C1788" s="16" t="inlineStr">
        <is>
          <t>Mercury Ev-Tech Ltd.</t>
        </is>
      </c>
      <c r="D1788" s="16" t="inlineStr">
        <is>
          <t>Cars &amp; Utility Vehicles</t>
        </is>
      </c>
      <c r="E1788" s="16" t="inlineStr">
        <is>
          <t>Automobiles &amp; Auto Components</t>
        </is>
      </c>
      <c r="F1788" s="17" t="n">
        <v>697.01</v>
      </c>
      <c r="G1788" s="16" t="inlineStr"/>
      <c r="H1788" s="16" t="inlineStr">
        <is>
          <t>531357</t>
        </is>
      </c>
      <c r="I1788" s="27">
        <f>IFERROR(IF(INDEX(Stocks!$G$2:$G$2139,MATCH(A1788,Stocks!$E$2:$E$2139,0))="","No","Yes"),"No")</f>
        <v/>
      </c>
    </row>
    <row r="1789">
      <c r="A1789" s="16" t="inlineStr">
        <is>
          <t>INE722B01019</t>
        </is>
      </c>
      <c r="B1789" s="16" t="inlineStr">
        <is>
          <t>PRAVEG</t>
        </is>
      </c>
      <c r="C1789" s="16" t="inlineStr">
        <is>
          <t>Praveg Ltd.</t>
        </is>
      </c>
      <c r="D1789" s="16" t="inlineStr">
        <is>
          <t>Advertising &amp; Media</t>
        </is>
      </c>
      <c r="E1789" s="16" t="inlineStr">
        <is>
          <t>Media</t>
        </is>
      </c>
      <c r="F1789" s="17" t="n">
        <v>696.13</v>
      </c>
      <c r="G1789" s="16" t="inlineStr"/>
      <c r="H1789" s="16" t="inlineStr">
        <is>
          <t>531637</t>
        </is>
      </c>
      <c r="I1789" s="27">
        <f>IFERROR(IF(INDEX(Stocks!$G$2:$G$2139,MATCH(A1789,Stocks!$E$2:$E$2139,0))="","No","Yes"),"No")</f>
        <v/>
      </c>
    </row>
    <row r="1790">
      <c r="A1790" s="16" t="inlineStr">
        <is>
          <t>INE694N01015</t>
        </is>
      </c>
      <c r="B1790" s="16" t="inlineStr">
        <is>
          <t>HERANBA</t>
        </is>
      </c>
      <c r="C1790" s="16" t="inlineStr">
        <is>
          <t>Heranba Industries Ltd.</t>
        </is>
      </c>
      <c r="D1790" s="16" t="inlineStr">
        <is>
          <t>Agrochemicals</t>
        </is>
      </c>
      <c r="E1790" s="16" t="inlineStr">
        <is>
          <t>Chemicals &amp; Petrochemicals</t>
        </is>
      </c>
      <c r="F1790" s="17" t="n">
        <v>695.55</v>
      </c>
      <c r="G1790" s="16" t="inlineStr">
        <is>
          <t>HERANBA</t>
        </is>
      </c>
      <c r="H1790" s="16" t="inlineStr">
        <is>
          <t>543266</t>
        </is>
      </c>
      <c r="I1790" s="27">
        <f>IFERROR(IF(INDEX(Stocks!$G$2:$G$2139,MATCH(A1790,Stocks!$E$2:$E$2139,0))="","No","Yes"),"No")</f>
        <v/>
      </c>
    </row>
    <row r="1791">
      <c r="A1791" s="16" t="inlineStr">
        <is>
          <t>INE290E01011</t>
        </is>
      </c>
      <c r="B1791" s="16" t="inlineStr">
        <is>
          <t>YOGI</t>
        </is>
      </c>
      <c r="C1791" s="16" t="inlineStr">
        <is>
          <t>Yogi Ltd.</t>
        </is>
      </c>
      <c r="D1791" s="16" t="inlineStr">
        <is>
          <t>Other Financial Services</t>
        </is>
      </c>
      <c r="E1791" s="16" t="inlineStr">
        <is>
          <t>Banking and Finance</t>
        </is>
      </c>
      <c r="F1791" s="17" t="n">
        <v>695.52</v>
      </c>
      <c r="G1791" s="16" t="inlineStr"/>
      <c r="H1791" s="16" t="inlineStr">
        <is>
          <t>511702</t>
        </is>
      </c>
      <c r="I1791" s="27">
        <f>IFERROR(IF(INDEX(Stocks!$G$2:$G$2139,MATCH(A1791,Stocks!$E$2:$E$2139,0))="","No","Yes"),"No")</f>
        <v/>
      </c>
    </row>
    <row r="1792">
      <c r="A1792" s="16" t="inlineStr">
        <is>
          <t>INE980Y01015</t>
        </is>
      </c>
      <c r="B1792" s="16" t="inlineStr">
        <is>
          <t>SOUTHWEST</t>
        </is>
      </c>
      <c r="C1792" s="16" t="inlineStr">
        <is>
          <t>South West Pinnacle Exploration Ltd.</t>
        </is>
      </c>
      <c r="D1792" s="16" t="inlineStr">
        <is>
          <t>Coal &amp; Mining</t>
        </is>
      </c>
      <c r="E1792" s="16" t="inlineStr">
        <is>
          <t>Metals &amp; Mining</t>
        </is>
      </c>
      <c r="F1792" s="17" t="n">
        <v>695.21</v>
      </c>
      <c r="G1792" s="16" t="inlineStr">
        <is>
          <t>SOUTHWEST</t>
        </is>
      </c>
      <c r="H1792" s="16" t="inlineStr">
        <is>
          <t>543986</t>
        </is>
      </c>
      <c r="I1792" s="27">
        <f>IFERROR(IF(INDEX(Stocks!$G$2:$G$2139,MATCH(A1792,Stocks!$E$2:$E$2139,0))="","No","Yes"),"No")</f>
        <v/>
      </c>
    </row>
    <row r="1793">
      <c r="A1793" s="16" t="inlineStr">
        <is>
          <t>INE06WU01026</t>
        </is>
      </c>
      <c r="B1793" s="16" t="inlineStr">
        <is>
          <t>LAXMIINDIA</t>
        </is>
      </c>
      <c r="C1793" s="16" t="inlineStr">
        <is>
          <t>Laxmi India Finance Ltd.</t>
        </is>
      </c>
      <c r="D1793" s="16" t="inlineStr">
        <is>
          <t>Finance (including NBFCs)</t>
        </is>
      </c>
      <c r="E1793" s="16" t="inlineStr">
        <is>
          <t>Banking and Finance</t>
        </is>
      </c>
      <c r="F1793" s="17" t="n">
        <v>694.73</v>
      </c>
      <c r="G1793" s="16" t="inlineStr">
        <is>
          <t>LAXMIINDIA</t>
        </is>
      </c>
      <c r="H1793" s="16" t="inlineStr">
        <is>
          <t>544465</t>
        </is>
      </c>
      <c r="I1793" s="27">
        <f>IFERROR(IF(INDEX(Stocks!$G$2:$G$2139,MATCH(A1793,Stocks!$E$2:$E$2139,0))="","No","Yes"),"No")</f>
        <v/>
      </c>
    </row>
    <row r="1794">
      <c r="A1794" s="16" t="inlineStr">
        <is>
          <t>INE335K01011</t>
        </is>
      </c>
      <c r="B1794" s="16" t="inlineStr">
        <is>
          <t>COFFEEDAY</t>
        </is>
      </c>
      <c r="C1794" s="16" t="inlineStr">
        <is>
          <t>Coffee Day Enterprises Ltd.</t>
        </is>
      </c>
      <c r="D1794" s="16" t="inlineStr">
        <is>
          <t>Restaurants</t>
        </is>
      </c>
      <c r="E1794" s="16" t="inlineStr">
        <is>
          <t>Hotels Restaurants &amp; Tourism</t>
        </is>
      </c>
      <c r="F1794" s="17" t="n">
        <v>694.17</v>
      </c>
      <c r="G1794" s="16" t="inlineStr">
        <is>
          <t>COFFEEDAY</t>
        </is>
      </c>
      <c r="H1794" s="16" t="inlineStr">
        <is>
          <t>539436</t>
        </is>
      </c>
      <c r="I1794" s="27">
        <f>IFERROR(IF(INDEX(Stocks!$G$2:$G$2139,MATCH(A1794,Stocks!$E$2:$E$2139,0))="","No","Yes"),"No")</f>
        <v/>
      </c>
    </row>
    <row r="1795">
      <c r="A1795" s="16" t="inlineStr">
        <is>
          <t>INE474O01010</t>
        </is>
      </c>
      <c r="B1795" s="16" t="inlineStr">
        <is>
          <t>IFINSEC</t>
        </is>
      </c>
      <c r="C1795" s="16" t="inlineStr">
        <is>
          <t>India Finsec Ltd.</t>
        </is>
      </c>
      <c r="D1795" s="16" t="inlineStr">
        <is>
          <t>Finance (including NBFCs)</t>
        </is>
      </c>
      <c r="E1795" s="16" t="inlineStr">
        <is>
          <t>Banking and Finance</t>
        </is>
      </c>
      <c r="F1795" s="17" t="n">
        <v>691.84</v>
      </c>
      <c r="G1795" s="16" t="inlineStr"/>
      <c r="H1795" s="16" t="inlineStr">
        <is>
          <t>535667</t>
        </is>
      </c>
      <c r="I1795" s="27">
        <f>IFERROR(IF(INDEX(Stocks!$G$2:$G$2139,MATCH(A1795,Stocks!$E$2:$E$2139,0))="","No","Yes"),"No")</f>
        <v/>
      </c>
    </row>
    <row r="1796">
      <c r="A1796" s="16" t="inlineStr">
        <is>
          <t>INE785A01026</t>
        </is>
      </c>
      <c r="B1796" s="16" t="inlineStr">
        <is>
          <t>JAYAGROGN</t>
        </is>
      </c>
      <c r="C1796" s="16" t="inlineStr">
        <is>
          <t>Jayant Agro Organics Ltd.</t>
        </is>
      </c>
      <c r="D1796" s="16" t="inlineStr">
        <is>
          <t>Edible Oils</t>
        </is>
      </c>
      <c r="E1796" s="16" t="inlineStr">
        <is>
          <t>FMCG</t>
        </is>
      </c>
      <c r="F1796" s="17" t="n">
        <v>691.8</v>
      </c>
      <c r="G1796" s="16" t="inlineStr">
        <is>
          <t>JAYAGROGN</t>
        </is>
      </c>
      <c r="H1796" s="16" t="inlineStr">
        <is>
          <t>524330</t>
        </is>
      </c>
      <c r="I1796" s="27">
        <f>IFERROR(IF(INDEX(Stocks!$G$2:$G$2139,MATCH(A1796,Stocks!$E$2:$E$2139,0))="","No","Yes"),"No")</f>
        <v/>
      </c>
    </row>
    <row r="1797">
      <c r="A1797" s="16" t="inlineStr">
        <is>
          <t>INE655A01013</t>
        </is>
      </c>
      <c r="B1797" s="16" t="inlineStr">
        <is>
          <t>STCINDIA</t>
        </is>
      </c>
      <c r="C1797" s="16" t="inlineStr">
        <is>
          <t>State Trading Corporation Of India Ltd.</t>
        </is>
      </c>
      <c r="D1797" s="16" t="inlineStr">
        <is>
          <t>Commodity Trading  &amp; Distribution</t>
        </is>
      </c>
      <c r="E1797" s="16" t="inlineStr">
        <is>
          <t>Commercial Services &amp; Supplies</t>
        </is>
      </c>
      <c r="F1797" s="17" t="n">
        <v>691.6799999999999</v>
      </c>
      <c r="G1797" s="16" t="inlineStr">
        <is>
          <t>STCINDIA</t>
        </is>
      </c>
      <c r="H1797" s="16" t="inlineStr">
        <is>
          <t>512531</t>
        </is>
      </c>
      <c r="I1797" s="27">
        <f>IFERROR(IF(INDEX(Stocks!$G$2:$G$2139,MATCH(A1797,Stocks!$E$2:$E$2139,0))="","No","Yes"),"No")</f>
        <v/>
      </c>
    </row>
    <row r="1798">
      <c r="A1798" s="16" t="inlineStr">
        <is>
          <t>INE360C01024</t>
        </is>
      </c>
      <c r="B1798" s="16" t="inlineStr">
        <is>
          <t>DPSCLTD</t>
        </is>
      </c>
      <c r="C1798" s="16" t="inlineStr">
        <is>
          <t>India Power Corporation Ltd.</t>
        </is>
      </c>
      <c r="D1798" s="16" t="inlineStr">
        <is>
          <t>Power - Electric Utilities</t>
        </is>
      </c>
      <c r="E1798" s="16" t="inlineStr">
        <is>
          <t>Utilities</t>
        </is>
      </c>
      <c r="F1798" s="17" t="n">
        <v>690.42</v>
      </c>
      <c r="G1798" s="16" t="inlineStr">
        <is>
          <t>DPSCLTD</t>
        </is>
      </c>
      <c r="H1798" s="16" t="inlineStr"/>
      <c r="I1798" s="27">
        <f>IFERROR(IF(INDEX(Stocks!$G$2:$G$2139,MATCH(A1798,Stocks!$E$2:$E$2139,0))="","No","Yes"),"No")</f>
        <v/>
      </c>
    </row>
    <row r="1799">
      <c r="A1799" s="16" t="inlineStr">
        <is>
          <t>INE538A01037</t>
        </is>
      </c>
      <c r="B1799" s="16" t="inlineStr">
        <is>
          <t>GFLLIMITED</t>
        </is>
      </c>
      <c r="C1799" s="16" t="inlineStr">
        <is>
          <t>GFL Ltd.</t>
        </is>
      </c>
      <c r="D1799" s="16" t="inlineStr">
        <is>
          <t>Holding Companies</t>
        </is>
      </c>
      <c r="E1799" s="16" t="inlineStr">
        <is>
          <t>Diversified</t>
        </is>
      </c>
      <c r="F1799" s="17" t="n">
        <v>689.97</v>
      </c>
      <c r="G1799" s="16" t="inlineStr">
        <is>
          <t>GFLLIMITED</t>
        </is>
      </c>
      <c r="H1799" s="16" t="inlineStr">
        <is>
          <t>500173</t>
        </is>
      </c>
      <c r="I1799" s="27">
        <f>IFERROR(IF(INDEX(Stocks!$G$2:$G$2139,MATCH(A1799,Stocks!$E$2:$E$2139,0))="","No","Yes"),"No")</f>
        <v/>
      </c>
    </row>
    <row r="1800">
      <c r="A1800" s="16" t="inlineStr">
        <is>
          <t>INE546V01010</t>
        </is>
      </c>
      <c r="B1800" s="16" t="inlineStr">
        <is>
          <t>EIFFL</t>
        </is>
      </c>
      <c r="C1800" s="16" t="inlineStr">
        <is>
          <t>Euro India Fresh Foods Ltd.</t>
        </is>
      </c>
      <c r="D1800" s="16" t="inlineStr">
        <is>
          <t>Packaged Foods</t>
        </is>
      </c>
      <c r="E1800" s="16" t="inlineStr">
        <is>
          <t>FMCG</t>
        </is>
      </c>
      <c r="F1800" s="17" t="n">
        <v>689.84</v>
      </c>
      <c r="G1800" s="16" t="inlineStr">
        <is>
          <t>EIFFL</t>
        </is>
      </c>
      <c r="H1800" s="16" t="inlineStr"/>
      <c r="I1800" s="27">
        <f>IFERROR(IF(INDEX(Stocks!$G$2:$G$2139,MATCH(A1800,Stocks!$E$2:$E$2139,0))="","No","Yes"),"No")</f>
        <v/>
      </c>
    </row>
    <row r="1801">
      <c r="A1801" s="16" t="inlineStr">
        <is>
          <t>INE252A01019</t>
        </is>
      </c>
      <c r="B1801" s="16" t="inlineStr">
        <is>
          <t>SPELS</t>
        </is>
      </c>
      <c r="C1801" s="16" t="inlineStr">
        <is>
          <t>SPEL Semiconductor Ltd.</t>
        </is>
      </c>
      <c r="D1801" s="16" t="inlineStr">
        <is>
          <t>Electronic Components</t>
        </is>
      </c>
      <c r="E1801" s="16" t="inlineStr">
        <is>
          <t>Commercial Services &amp; Supplies</t>
        </is>
      </c>
      <c r="F1801" s="17" t="n">
        <v>688.3</v>
      </c>
      <c r="G1801" s="16" t="inlineStr"/>
      <c r="H1801" s="16" t="inlineStr">
        <is>
          <t>517166</t>
        </is>
      </c>
      <c r="I1801" s="27">
        <f>IFERROR(IF(INDEX(Stocks!$G$2:$G$2139,MATCH(A1801,Stocks!$E$2:$E$2139,0))="","No","Yes"),"No")</f>
        <v/>
      </c>
    </row>
    <row r="1802">
      <c r="A1802" s="16" t="inlineStr">
        <is>
          <t>INE0RMF01018</t>
        </is>
      </c>
      <c r="B1802" s="16" t="inlineStr">
        <is>
          <t>OSELDEVICE</t>
        </is>
      </c>
      <c r="C1802" s="16" t="inlineStr">
        <is>
          <t>Osel Devices Ltd.</t>
        </is>
      </c>
      <c r="D1802" s="16" t="inlineStr">
        <is>
          <t>Other Electrical Equipment/Products</t>
        </is>
      </c>
      <c r="E1802" s="16" t="inlineStr">
        <is>
          <t>Consumer Durables</t>
        </is>
      </c>
      <c r="F1802" s="17" t="n">
        <v>685.36</v>
      </c>
      <c r="G1802" s="16" t="inlineStr">
        <is>
          <t>OSELDEVICE</t>
        </is>
      </c>
      <c r="H1802" s="16" t="inlineStr"/>
      <c r="I1802" s="27">
        <f>IFERROR(IF(INDEX(Stocks!$G$2:$G$2139,MATCH(A1802,Stocks!$E$2:$E$2139,0))="","No","Yes"),"No")</f>
        <v/>
      </c>
    </row>
    <row r="1803">
      <c r="A1803" s="16" t="inlineStr">
        <is>
          <t>INE0ATZ01017</t>
        </is>
      </c>
      <c r="B1803" s="16" t="inlineStr">
        <is>
          <t>KRONOX</t>
        </is>
      </c>
      <c r="C1803" s="16" t="inlineStr">
        <is>
          <t>Kronox Lab Sciences Ltd.</t>
        </is>
      </c>
      <c r="D1803" s="16" t="inlineStr">
        <is>
          <t>Specialty Chemicals</t>
        </is>
      </c>
      <c r="E1803" s="16" t="inlineStr">
        <is>
          <t>Chemicals &amp; Petrochemicals</t>
        </is>
      </c>
      <c r="F1803" s="17" t="n">
        <v>685.27</v>
      </c>
      <c r="G1803" s="16" t="inlineStr">
        <is>
          <t>KRONOX</t>
        </is>
      </c>
      <c r="H1803" s="16" t="inlineStr">
        <is>
          <t>544187</t>
        </is>
      </c>
      <c r="I1803" s="27">
        <f>IFERROR(IF(INDEX(Stocks!$G$2:$G$2139,MATCH(A1803,Stocks!$E$2:$E$2139,0))="","No","Yes"),"No")</f>
        <v/>
      </c>
    </row>
    <row r="1804">
      <c r="A1804" s="16" t="inlineStr">
        <is>
          <t>INE0N5801013</t>
        </is>
      </c>
      <c r="B1804" s="16" t="inlineStr">
        <is>
          <t>DENTALKART</t>
        </is>
      </c>
      <c r="C1804" s="16" t="inlineStr">
        <is>
          <t>Vasa Denticity Ltd.</t>
        </is>
      </c>
      <c r="D1804" s="16" t="inlineStr">
        <is>
          <t>Healthcare Supplies</t>
        </is>
      </c>
      <c r="E1804" s="16" t="inlineStr">
        <is>
          <t>Healthcare</t>
        </is>
      </c>
      <c r="F1804" s="17" t="n">
        <v>684.8099999999999</v>
      </c>
      <c r="G1804" s="16" t="inlineStr">
        <is>
          <t>DENTALKART</t>
        </is>
      </c>
      <c r="H1804" s="16" t="inlineStr"/>
      <c r="I1804" s="27">
        <f>IFERROR(IF(INDEX(Stocks!$G$2:$G$2139,MATCH(A1804,Stocks!$E$2:$E$2139,0))="","No","Yes"),"No")</f>
        <v/>
      </c>
    </row>
    <row r="1805">
      <c r="A1805" s="16" t="inlineStr">
        <is>
          <t>INE0TGX01019</t>
        </is>
      </c>
      <c r="B1805" s="16" t="inlineStr">
        <is>
          <t>CHEMBONDCH</t>
        </is>
      </c>
      <c r="C1805" s="16" t="inlineStr">
        <is>
          <t>Chembond Chemicals Ltd.</t>
        </is>
      </c>
      <c r="D1805" s="16" t="inlineStr">
        <is>
          <t>Specialty Chemicals</t>
        </is>
      </c>
      <c r="E1805" s="16" t="inlineStr">
        <is>
          <t>Chemicals &amp; Petrochemicals</t>
        </is>
      </c>
      <c r="F1805" s="17" t="n">
        <v>684.38</v>
      </c>
      <c r="G1805" s="16" t="inlineStr">
        <is>
          <t>CHEMBONDCH</t>
        </is>
      </c>
      <c r="H1805" s="16" t="inlineStr">
        <is>
          <t>544450</t>
        </is>
      </c>
      <c r="I1805" s="27">
        <f>IFERROR(IF(INDEX(Stocks!$G$2:$G$2139,MATCH(A1805,Stocks!$E$2:$E$2139,0))="","No","Yes"),"No")</f>
        <v/>
      </c>
    </row>
    <row r="1806">
      <c r="A1806" s="16" t="inlineStr">
        <is>
          <t>INE052T01021</t>
        </is>
      </c>
      <c r="B1806" s="16" t="inlineStr">
        <is>
          <t>BESTAGRO</t>
        </is>
      </c>
      <c r="C1806" s="16" t="inlineStr">
        <is>
          <t>Best Agrolife Ltd.</t>
        </is>
      </c>
      <c r="D1806" s="16" t="inlineStr">
        <is>
          <t>Agrochemicals</t>
        </is>
      </c>
      <c r="E1806" s="16" t="inlineStr">
        <is>
          <t>Chemicals &amp; Petrochemicals</t>
        </is>
      </c>
      <c r="F1806" s="17" t="n">
        <v>684.16</v>
      </c>
      <c r="G1806" s="16" t="inlineStr">
        <is>
          <t>BESTAGRO</t>
        </is>
      </c>
      <c r="H1806" s="16" t="inlineStr">
        <is>
          <t>539660</t>
        </is>
      </c>
      <c r="I1806" s="27">
        <f>IFERROR(IF(INDEX(Stocks!$G$2:$G$2139,MATCH(A1806,Stocks!$E$2:$E$2139,0))="","No","Yes"),"No")</f>
        <v/>
      </c>
    </row>
    <row r="1807">
      <c r="A1807" s="16" t="inlineStr">
        <is>
          <t>INE692G01013</t>
        </is>
      </c>
      <c r="B1807" s="16" t="inlineStr">
        <is>
          <t>XCHANGING</t>
        </is>
      </c>
      <c r="C1807" s="16" t="inlineStr">
        <is>
          <t>Xchanging Solutions Ltd.</t>
        </is>
      </c>
      <c r="D1807" s="16" t="inlineStr">
        <is>
          <t>IT Consulting &amp; Software</t>
        </is>
      </c>
      <c r="E1807" s="16" t="inlineStr">
        <is>
          <t>Software &amp; Services</t>
        </is>
      </c>
      <c r="F1807" s="17" t="n">
        <v>684.02</v>
      </c>
      <c r="G1807" s="16" t="inlineStr">
        <is>
          <t>XCHANGING</t>
        </is>
      </c>
      <c r="H1807" s="16" t="inlineStr">
        <is>
          <t>532616</t>
        </is>
      </c>
      <c r="I1807" s="27">
        <f>IFERROR(IF(INDEX(Stocks!$G$2:$G$2139,MATCH(A1807,Stocks!$E$2:$E$2139,0))="","No","Yes"),"No")</f>
        <v/>
      </c>
    </row>
    <row r="1808">
      <c r="A1808" s="16" t="inlineStr">
        <is>
          <t>INE06HJ01020</t>
        </is>
      </c>
      <c r="B1808" s="16" t="inlineStr">
        <is>
          <t>ECOSMOBLTY</t>
        </is>
      </c>
      <c r="C1808" s="16" t="inlineStr">
        <is>
          <t>Ecos (India) Mobility &amp; Hospitality Ltd.</t>
        </is>
      </c>
      <c r="D1808" s="16" t="inlineStr">
        <is>
          <t>Transport Related Services</t>
        </is>
      </c>
      <c r="E1808" s="16" t="inlineStr">
        <is>
          <t>Transportation</t>
        </is>
      </c>
      <c r="F1808" s="17" t="n">
        <v>681.24</v>
      </c>
      <c r="G1808" s="16" t="inlineStr">
        <is>
          <t>ECOSMOBLTY</t>
        </is>
      </c>
      <c r="H1808" s="16" t="inlineStr">
        <is>
          <t>544239</t>
        </is>
      </c>
      <c r="I1808" s="27">
        <f>IFERROR(IF(INDEX(Stocks!$G$2:$G$2139,MATCH(A1808,Stocks!$E$2:$E$2139,0))="","No","Yes"),"No")</f>
        <v/>
      </c>
    </row>
    <row r="1809">
      <c r="A1809" s="16" t="inlineStr">
        <is>
          <t>INE138C01024</t>
        </is>
      </c>
      <c r="B1809" s="16" t="inlineStr">
        <is>
          <t>KANORICHEM</t>
        </is>
      </c>
      <c r="C1809" s="16" t="inlineStr">
        <is>
          <t>Kanoria Chemicals &amp; Industries Ltd.</t>
        </is>
      </c>
      <c r="D1809" s="16" t="inlineStr">
        <is>
          <t>Commodity Chemicals</t>
        </is>
      </c>
      <c r="E1809" s="16" t="inlineStr">
        <is>
          <t>Chemicals &amp; Petrochemicals</t>
        </is>
      </c>
      <c r="F1809" s="17" t="n">
        <v>679.6900000000001</v>
      </c>
      <c r="G1809" s="16" t="inlineStr">
        <is>
          <t>KANORICHEM</t>
        </is>
      </c>
      <c r="H1809" s="16" t="inlineStr">
        <is>
          <t>506525</t>
        </is>
      </c>
      <c r="I1809" s="27">
        <f>IFERROR(IF(INDEX(Stocks!$G$2:$G$2139,MATCH(A1809,Stocks!$E$2:$E$2139,0))="","No","Yes"),"No")</f>
        <v/>
      </c>
    </row>
    <row r="1810">
      <c r="A1810" s="16" t="inlineStr">
        <is>
          <t>INE501Y01019</t>
        </is>
      </c>
      <c r="B1810" s="16" t="inlineStr">
        <is>
          <t>SCPL</t>
        </is>
      </c>
      <c r="C1810" s="16" t="inlineStr">
        <is>
          <t>Sheetal Cool Products Ltd.</t>
        </is>
      </c>
      <c r="D1810" s="16" t="inlineStr">
        <is>
          <t>Packaged Foods</t>
        </is>
      </c>
      <c r="E1810" s="16" t="inlineStr">
        <is>
          <t>FMCG</t>
        </is>
      </c>
      <c r="F1810" s="17" t="n">
        <v>678.77</v>
      </c>
      <c r="G1810" s="16" t="inlineStr">
        <is>
          <t>SCPL</t>
        </is>
      </c>
      <c r="H1810" s="16" t="inlineStr">
        <is>
          <t>540757</t>
        </is>
      </c>
      <c r="I1810" s="27">
        <f>IFERROR(IF(INDEX(Stocks!$G$2:$G$2139,MATCH(A1810,Stocks!$E$2:$E$2139,0))="","No","Yes"),"No")</f>
        <v/>
      </c>
    </row>
    <row r="1811">
      <c r="A1811" s="16" t="inlineStr">
        <is>
          <t>INE974B01016</t>
        </is>
      </c>
      <c r="B1811" s="16" t="inlineStr">
        <is>
          <t>CHEVIOT</t>
        </is>
      </c>
      <c r="C1811" s="16" t="inlineStr">
        <is>
          <t>Cheviot Company Ltd.</t>
        </is>
      </c>
      <c r="D1811" s="16" t="inlineStr">
        <is>
          <t>Jute &amp; Jute Products</t>
        </is>
      </c>
      <c r="E1811" s="16" t="inlineStr">
        <is>
          <t>Forest Materials</t>
        </is>
      </c>
      <c r="F1811" s="17" t="n">
        <v>677.3099999999999</v>
      </c>
      <c r="G1811" s="16" t="inlineStr">
        <is>
          <t>CHEVIOT</t>
        </is>
      </c>
      <c r="H1811" s="16" t="inlineStr">
        <is>
          <t>526817</t>
        </is>
      </c>
      <c r="I1811" s="27">
        <f>IFERROR(IF(INDEX(Stocks!$G$2:$G$2139,MATCH(A1811,Stocks!$E$2:$E$2139,0))="","No","Yes"),"No")</f>
        <v/>
      </c>
    </row>
    <row r="1812">
      <c r="A1812" s="16" t="inlineStr">
        <is>
          <t>INE0MYZ01012</t>
        </is>
      </c>
      <c r="B1812" s="16" t="inlineStr">
        <is>
          <t>INFLUX</t>
        </is>
      </c>
      <c r="C1812" s="16" t="inlineStr">
        <is>
          <t>Influx Healthtech Ltd.</t>
        </is>
      </c>
      <c r="D1812" s="16" t="inlineStr">
        <is>
          <t>Pharmaceuticals</t>
        </is>
      </c>
      <c r="E1812" s="16" t="inlineStr">
        <is>
          <t>Pharmaceuticals &amp; Biotechnology</t>
        </is>
      </c>
      <c r="F1812" s="17" t="n">
        <v>674.49</v>
      </c>
      <c r="G1812" s="16" t="inlineStr">
        <is>
          <t>INFLUX</t>
        </is>
      </c>
      <c r="H1812" s="16" t="inlineStr"/>
      <c r="I1812" s="27">
        <f>IFERROR(IF(INDEX(Stocks!$G$2:$G$2139,MATCH(A1812,Stocks!$E$2:$E$2139,0))="","No","Yes"),"No")</f>
        <v/>
      </c>
    </row>
    <row r="1813">
      <c r="A1813" s="16" t="inlineStr">
        <is>
          <t>INE204E01012</t>
        </is>
      </c>
      <c r="B1813" s="16" t="inlineStr">
        <is>
          <t>AGARIND</t>
        </is>
      </c>
      <c r="C1813" s="16" t="inlineStr">
        <is>
          <t>Agarwal Industrial Corporation Ltd.</t>
        </is>
      </c>
      <c r="D1813" s="16" t="inlineStr">
        <is>
          <t>Petrochemicals</t>
        </is>
      </c>
      <c r="E1813" s="16" t="inlineStr">
        <is>
          <t>Chemicals &amp; Petrochemicals</t>
        </is>
      </c>
      <c r="F1813" s="17" t="n">
        <v>674.3</v>
      </c>
      <c r="G1813" s="16" t="inlineStr">
        <is>
          <t>AGARIND</t>
        </is>
      </c>
      <c r="H1813" s="16" t="inlineStr">
        <is>
          <t>531921</t>
        </is>
      </c>
      <c r="I1813" s="27">
        <f>IFERROR(IF(INDEX(Stocks!$G$2:$G$2139,MATCH(A1813,Stocks!$E$2:$E$2139,0))="","No","Yes"),"No")</f>
        <v/>
      </c>
    </row>
    <row r="1814">
      <c r="A1814" s="16" t="inlineStr">
        <is>
          <t>INE0O3901029</t>
        </is>
      </c>
      <c r="B1814" s="16" t="inlineStr">
        <is>
          <t>TREL</t>
        </is>
      </c>
      <c r="C1814" s="16" t="inlineStr">
        <is>
          <t>Transindia Real Estate Ltd.</t>
        </is>
      </c>
      <c r="D1814" s="16" t="inlineStr">
        <is>
          <t>Realty</t>
        </is>
      </c>
      <c r="E1814" s="16" t="inlineStr">
        <is>
          <t>Realty</t>
        </is>
      </c>
      <c r="F1814" s="17" t="n">
        <v>674.1900000000001</v>
      </c>
      <c r="G1814" s="16" t="inlineStr">
        <is>
          <t>TREL</t>
        </is>
      </c>
      <c r="H1814" s="16" t="inlineStr">
        <is>
          <t>543955</t>
        </is>
      </c>
      <c r="I1814" s="27">
        <f>IFERROR(IF(INDEX(Stocks!$G$2:$G$2139,MATCH(A1814,Stocks!$E$2:$E$2139,0))="","No","Yes"),"No")</f>
        <v/>
      </c>
    </row>
    <row r="1815">
      <c r="A1815" s="16" t="inlineStr">
        <is>
          <t>INE518E01015</t>
        </is>
      </c>
      <c r="B1815" s="16" t="inlineStr">
        <is>
          <t>ZIMLAB</t>
        </is>
      </c>
      <c r="C1815" s="16" t="inlineStr">
        <is>
          <t>Zim Laboratories Ltd.</t>
        </is>
      </c>
      <c r="D1815" s="16" t="inlineStr">
        <is>
          <t>Pharmaceuticals</t>
        </is>
      </c>
      <c r="E1815" s="16" t="inlineStr">
        <is>
          <t>Pharmaceuticals &amp; Biotechnology</t>
        </is>
      </c>
      <c r="F1815" s="17" t="n">
        <v>673.41</v>
      </c>
      <c r="G1815" s="16" t="inlineStr">
        <is>
          <t>ZIMLAB</t>
        </is>
      </c>
      <c r="H1815" s="16" t="inlineStr">
        <is>
          <t>541400</t>
        </is>
      </c>
      <c r="I1815" s="27">
        <f>IFERROR(IF(INDEX(Stocks!$G$2:$G$2139,MATCH(A1815,Stocks!$E$2:$E$2139,0))="","No","Yes"),"No")</f>
        <v/>
      </c>
    </row>
    <row r="1816">
      <c r="A1816" s="16" t="inlineStr">
        <is>
          <t>INE247M01014</t>
        </is>
      </c>
      <c r="B1816" s="16" t="inlineStr">
        <is>
          <t>SPECIALITY</t>
        </is>
      </c>
      <c r="C1816" s="16" t="inlineStr">
        <is>
          <t>Speciality Restaurants Ltd.</t>
        </is>
      </c>
      <c r="D1816" s="16" t="inlineStr">
        <is>
          <t>Restaurants</t>
        </is>
      </c>
      <c r="E1816" s="16" t="inlineStr">
        <is>
          <t>Hotels Restaurants &amp; Tourism</t>
        </is>
      </c>
      <c r="F1816" s="17" t="n">
        <v>673.3200000000001</v>
      </c>
      <c r="G1816" s="16" t="inlineStr">
        <is>
          <t>SPECIALITY</t>
        </is>
      </c>
      <c r="H1816" s="16" t="inlineStr">
        <is>
          <t>534425</t>
        </is>
      </c>
      <c r="I1816" s="27">
        <f>IFERROR(IF(INDEX(Stocks!$G$2:$G$2139,MATCH(A1816,Stocks!$E$2:$E$2139,0))="","No","Yes"),"No")</f>
        <v/>
      </c>
    </row>
    <row r="1817">
      <c r="A1817" s="16" t="inlineStr">
        <is>
          <t>INE295A01018</t>
        </is>
      </c>
      <c r="B1817" s="16" t="inlineStr">
        <is>
          <t>EVERESTIND</t>
        </is>
      </c>
      <c r="C1817" s="16" t="inlineStr">
        <is>
          <t>Everest Industries Ltd.</t>
        </is>
      </c>
      <c r="D1817" s="16" t="inlineStr">
        <is>
          <t>Cement &amp; Cement Products</t>
        </is>
      </c>
      <c r="E1817" s="16" t="inlineStr">
        <is>
          <t>Cement and Construction</t>
        </is>
      </c>
      <c r="F1817" s="17" t="n">
        <v>672.13</v>
      </c>
      <c r="G1817" s="16" t="inlineStr">
        <is>
          <t>EVERESTIND</t>
        </is>
      </c>
      <c r="H1817" s="16" t="inlineStr">
        <is>
          <t>508906</t>
        </is>
      </c>
      <c r="I1817" s="27">
        <f>IFERROR(IF(INDEX(Stocks!$G$2:$G$2139,MATCH(A1817,Stocks!$E$2:$E$2139,0))="","No","Yes"),"No")</f>
        <v/>
      </c>
    </row>
    <row r="1818">
      <c r="A1818" s="16" t="inlineStr">
        <is>
          <t>INE0N7W01012</t>
        </is>
      </c>
      <c r="B1818" s="16" t="inlineStr">
        <is>
          <t>BLAL</t>
        </is>
      </c>
      <c r="C1818" s="16" t="inlineStr">
        <is>
          <t>BEML Land Assets Ltd.</t>
        </is>
      </c>
      <c r="D1818" s="16" t="inlineStr">
        <is>
          <t>Realty</t>
        </is>
      </c>
      <c r="E1818" s="16" t="inlineStr">
        <is>
          <t>Realty</t>
        </is>
      </c>
      <c r="F1818" s="17" t="n">
        <v>669.98</v>
      </c>
      <c r="G1818" s="16" t="inlineStr">
        <is>
          <t>BLAL</t>
        </is>
      </c>
      <c r="H1818" s="16" t="inlineStr">
        <is>
          <t>543898</t>
        </is>
      </c>
      <c r="I1818" s="27">
        <f>IFERROR(IF(INDEX(Stocks!$G$2:$G$2139,MATCH(A1818,Stocks!$E$2:$E$2139,0))="","No","Yes"),"No")</f>
        <v/>
      </c>
    </row>
    <row r="1819">
      <c r="A1819" s="16" t="inlineStr">
        <is>
          <t>INE645H01027</t>
        </is>
      </c>
      <c r="B1819" s="16" t="inlineStr">
        <is>
          <t>SUTLEJTEX</t>
        </is>
      </c>
      <c r="C1819" s="16" t="inlineStr">
        <is>
          <t>Sutlej Textiles &amp; Industries Ltd.</t>
        </is>
      </c>
      <c r="D1819" s="16" t="inlineStr">
        <is>
          <t>Textiles</t>
        </is>
      </c>
      <c r="E1819" s="16" t="inlineStr">
        <is>
          <t>Textiles Apparels &amp; Accessories</t>
        </is>
      </c>
      <c r="F1819" s="17" t="n">
        <v>669.9</v>
      </c>
      <c r="G1819" s="16" t="inlineStr">
        <is>
          <t>SUTLEJTEX</t>
        </is>
      </c>
      <c r="H1819" s="16" t="inlineStr">
        <is>
          <t>532782</t>
        </is>
      </c>
      <c r="I1819" s="27">
        <f>IFERROR(IF(INDEX(Stocks!$G$2:$G$2139,MATCH(A1819,Stocks!$E$2:$E$2139,0))="","No","Yes"),"No")</f>
        <v/>
      </c>
    </row>
    <row r="1820">
      <c r="A1820" s="16" t="inlineStr">
        <is>
          <t>INE672K01025</t>
        </is>
      </c>
      <c r="B1820" s="16" t="inlineStr">
        <is>
          <t>TRUEGREEN</t>
        </is>
      </c>
      <c r="C1820" s="16" t="inlineStr">
        <is>
          <t>True Green Bio Energy Ltd.</t>
        </is>
      </c>
      <c r="D1820" s="16" t="inlineStr">
        <is>
          <t>Textiles</t>
        </is>
      </c>
      <c r="E1820" s="16" t="inlineStr">
        <is>
          <t>Textiles Apparels &amp; Accessories</t>
        </is>
      </c>
      <c r="F1820" s="17" t="n">
        <v>668.29</v>
      </c>
      <c r="G1820" s="16" t="inlineStr"/>
      <c r="H1820" s="16" t="inlineStr">
        <is>
          <t>533407</t>
        </is>
      </c>
      <c r="I1820" s="27">
        <f>IFERROR(IF(INDEX(Stocks!$G$2:$G$2139,MATCH(A1820,Stocks!$E$2:$E$2139,0))="","No","Yes"),"No")</f>
        <v/>
      </c>
    </row>
    <row r="1821">
      <c r="A1821" s="16" t="inlineStr">
        <is>
          <t>INE0HF201011</t>
        </is>
      </c>
      <c r="B1821" s="16" t="inlineStr">
        <is>
          <t>FABTECH</t>
        </is>
      </c>
      <c r="C1821" s="16" t="inlineStr">
        <is>
          <t>Fabtech Technologies Ltd.</t>
        </is>
      </c>
      <c r="D1821" s="16" t="inlineStr">
        <is>
          <t>Misc. Commercial Services</t>
        </is>
      </c>
      <c r="E1821" s="16" t="inlineStr">
        <is>
          <t>Commercial Services &amp; Supplies</t>
        </is>
      </c>
      <c r="F1821" s="17" t="n">
        <v>667.65</v>
      </c>
      <c r="G1821" s="16" t="inlineStr">
        <is>
          <t>FABTECH</t>
        </is>
      </c>
      <c r="H1821" s="16" t="inlineStr">
        <is>
          <t>544558</t>
        </is>
      </c>
      <c r="I1821" s="27">
        <f>IFERROR(IF(INDEX(Stocks!$G$2:$G$2139,MATCH(A1821,Stocks!$E$2:$E$2139,0))="","No","Yes"),"No")</f>
        <v/>
      </c>
    </row>
    <row r="1822">
      <c r="A1822" s="16" t="inlineStr">
        <is>
          <t>INE967C01018</t>
        </is>
      </c>
      <c r="B1822" s="16" t="inlineStr">
        <is>
          <t>KAMATHOTEL</t>
        </is>
      </c>
      <c r="C1822" s="16" t="inlineStr">
        <is>
          <t>Kamat Hotels (India) Ltd.</t>
        </is>
      </c>
      <c r="D1822" s="16" t="inlineStr">
        <is>
          <t>Hotels</t>
        </is>
      </c>
      <c r="E1822" s="16" t="inlineStr">
        <is>
          <t>Hotels Restaurants &amp; Tourism</t>
        </is>
      </c>
      <c r="F1822" s="17" t="n">
        <v>664.8099999999999</v>
      </c>
      <c r="G1822" s="16" t="inlineStr">
        <is>
          <t>KAMATHOTEL</t>
        </is>
      </c>
      <c r="H1822" s="16" t="inlineStr">
        <is>
          <t>526668</t>
        </is>
      </c>
      <c r="I1822" s="27">
        <f>IFERROR(IF(INDEX(Stocks!$G$2:$G$2139,MATCH(A1822,Stocks!$E$2:$E$2139,0))="","No","Yes"),"No")</f>
        <v/>
      </c>
    </row>
    <row r="1823">
      <c r="A1823" s="16" t="inlineStr">
        <is>
          <t>INE0NN701020</t>
        </is>
      </c>
      <c r="B1823" s="16" t="inlineStr">
        <is>
          <t>ATL</t>
        </is>
      </c>
      <c r="C1823" s="16" t="inlineStr">
        <is>
          <t>Allcargo Terminals Ltd.</t>
        </is>
      </c>
      <c r="D1823" s="16" t="inlineStr">
        <is>
          <t>Warehousing &amp; Logistics</t>
        </is>
      </c>
      <c r="E1823" s="16" t="inlineStr">
        <is>
          <t>Transportation</t>
        </is>
      </c>
      <c r="F1823" s="17" t="n">
        <v>663.15</v>
      </c>
      <c r="G1823" s="16" t="inlineStr">
        <is>
          <t>ATL</t>
        </is>
      </c>
      <c r="H1823" s="16" t="inlineStr">
        <is>
          <t>543954</t>
        </is>
      </c>
      <c r="I1823" s="27">
        <f>IFERROR(IF(INDEX(Stocks!$G$2:$G$2139,MATCH(A1823,Stocks!$E$2:$E$2139,0))="","No","Yes"),"No")</f>
        <v/>
      </c>
    </row>
    <row r="1824">
      <c r="A1824" s="16" t="inlineStr">
        <is>
          <t>INE038F01029</t>
        </is>
      </c>
      <c r="B1824" s="16" t="inlineStr">
        <is>
          <t>TVTODAY</t>
        </is>
      </c>
      <c r="C1824" s="16" t="inlineStr">
        <is>
          <t>TV Today Network Ltd.</t>
        </is>
      </c>
      <c r="D1824" s="16" t="inlineStr">
        <is>
          <t>Broadcasting &amp; Cable TV</t>
        </is>
      </c>
      <c r="E1824" s="16" t="inlineStr">
        <is>
          <t>Media</t>
        </is>
      </c>
      <c r="F1824" s="17" t="n">
        <v>662.02</v>
      </c>
      <c r="G1824" s="16" t="inlineStr">
        <is>
          <t>TVTODAY</t>
        </is>
      </c>
      <c r="H1824" s="16" t="inlineStr">
        <is>
          <t>532515</t>
        </is>
      </c>
      <c r="I1824" s="27">
        <f>IFERROR(IF(INDEX(Stocks!$G$2:$G$2139,MATCH(A1824,Stocks!$E$2:$E$2139,0))="","No","Yes"),"No")</f>
        <v/>
      </c>
    </row>
    <row r="1825">
      <c r="A1825" s="16" t="inlineStr">
        <is>
          <t>INE869I01013</t>
        </is>
      </c>
      <c r="B1825" s="16" t="inlineStr">
        <is>
          <t>GTPL</t>
        </is>
      </c>
      <c r="C1825" s="16" t="inlineStr">
        <is>
          <t>GTPL Hathway Ltd.</t>
        </is>
      </c>
      <c r="D1825" s="16" t="inlineStr">
        <is>
          <t>Broadcasting &amp; Cable TV</t>
        </is>
      </c>
      <c r="E1825" s="16" t="inlineStr">
        <is>
          <t>Media</t>
        </is>
      </c>
      <c r="F1825" s="17" t="n">
        <v>659.8200000000001</v>
      </c>
      <c r="G1825" s="16" t="inlineStr">
        <is>
          <t>GTPL</t>
        </is>
      </c>
      <c r="H1825" s="16" t="inlineStr">
        <is>
          <t>540602</t>
        </is>
      </c>
      <c r="I1825" s="27">
        <f>IFERROR(IF(INDEX(Stocks!$G$2:$G$2139,MATCH(A1825,Stocks!$E$2:$E$2139,0))="","No","Yes"),"No")</f>
        <v/>
      </c>
    </row>
    <row r="1826">
      <c r="A1826" s="16" t="inlineStr">
        <is>
          <t>INE0ONE01016</t>
        </is>
      </c>
      <c r="B1826" s="16" t="inlineStr">
        <is>
          <t>PROV</t>
        </is>
      </c>
      <c r="C1826" s="16" t="inlineStr">
        <is>
          <t>Proventus Agrocom Ltd.</t>
        </is>
      </c>
      <c r="D1826" s="16" t="inlineStr">
        <is>
          <t>Commodity Trading  &amp; Distribution</t>
        </is>
      </c>
      <c r="E1826" s="16" t="inlineStr">
        <is>
          <t>Commercial Services &amp; Supplies</t>
        </is>
      </c>
      <c r="F1826" s="17" t="n">
        <v>658.3200000000001</v>
      </c>
      <c r="G1826" s="16" t="inlineStr">
        <is>
          <t>PROV</t>
        </is>
      </c>
      <c r="H1826" s="16" t="inlineStr"/>
      <c r="I1826" s="27">
        <f>IFERROR(IF(INDEX(Stocks!$G$2:$G$2139,MATCH(A1826,Stocks!$E$2:$E$2139,0))="","No","Yes"),"No")</f>
        <v/>
      </c>
    </row>
    <row r="1827">
      <c r="A1827" s="16" t="inlineStr">
        <is>
          <t>INE230R01035</t>
        </is>
      </c>
      <c r="B1827" s="16" t="inlineStr">
        <is>
          <t>RAMASTEEL</t>
        </is>
      </c>
      <c r="C1827" s="16" t="inlineStr">
        <is>
          <t>Rama Steel Tubes Ltd.</t>
        </is>
      </c>
      <c r="D1827" s="16" t="inlineStr">
        <is>
          <t>Iron &amp; Steel Products</t>
        </is>
      </c>
      <c r="E1827" s="16" t="inlineStr">
        <is>
          <t>Metals &amp; Mining</t>
        </is>
      </c>
      <c r="F1827" s="17" t="n">
        <v>657.6900000000001</v>
      </c>
      <c r="G1827" s="16" t="inlineStr">
        <is>
          <t>RAMASTEEL</t>
        </is>
      </c>
      <c r="H1827" s="16" t="inlineStr">
        <is>
          <t>539309</t>
        </is>
      </c>
      <c r="I1827" s="27">
        <f>IFERROR(IF(INDEX(Stocks!$G$2:$G$2139,MATCH(A1827,Stocks!$E$2:$E$2139,0))="","No","Yes"),"No")</f>
        <v/>
      </c>
    </row>
    <row r="1828">
      <c r="A1828" s="16" t="inlineStr">
        <is>
          <t>INE350Z01018</t>
        </is>
      </c>
      <c r="B1828" s="16" t="inlineStr">
        <is>
          <t>GLOSTERLTD</t>
        </is>
      </c>
      <c r="C1828" s="16" t="inlineStr">
        <is>
          <t>Gloster Ltd.</t>
        </is>
      </c>
      <c r="D1828" s="16" t="inlineStr">
        <is>
          <t>Jute &amp; Jute Products</t>
        </is>
      </c>
      <c r="E1828" s="16" t="inlineStr">
        <is>
          <t>Forest Materials</t>
        </is>
      </c>
      <c r="F1828" s="17" t="n">
        <v>652.77</v>
      </c>
      <c r="G1828" s="16" t="inlineStr">
        <is>
          <t>GLOSTERLTD</t>
        </is>
      </c>
      <c r="H1828" s="16" t="inlineStr">
        <is>
          <t>542351</t>
        </is>
      </c>
      <c r="I1828" s="27">
        <f>IFERROR(IF(INDEX(Stocks!$G$2:$G$2139,MATCH(A1828,Stocks!$E$2:$E$2139,0))="","No","Yes"),"No")</f>
        <v/>
      </c>
    </row>
    <row r="1829">
      <c r="A1829" s="16" t="inlineStr">
        <is>
          <t>INE298I01015</t>
        </is>
      </c>
      <c r="B1829" s="16" t="inlineStr">
        <is>
          <t>ARIES</t>
        </is>
      </c>
      <c r="C1829" s="16" t="inlineStr">
        <is>
          <t>Aries Agro Ltd.</t>
        </is>
      </c>
      <c r="D1829" s="16" t="inlineStr">
        <is>
          <t>Agrochemicals</t>
        </is>
      </c>
      <c r="E1829" s="16" t="inlineStr">
        <is>
          <t>Chemicals &amp; Petrochemicals</t>
        </is>
      </c>
      <c r="F1829" s="17" t="n">
        <v>650.35</v>
      </c>
      <c r="G1829" s="16" t="inlineStr">
        <is>
          <t>ARIES</t>
        </is>
      </c>
      <c r="H1829" s="16" t="inlineStr">
        <is>
          <t>532935</t>
        </is>
      </c>
      <c r="I1829" s="27">
        <f>IFERROR(IF(INDEX(Stocks!$G$2:$G$2139,MATCH(A1829,Stocks!$E$2:$E$2139,0))="","No","Yes"),"No")</f>
        <v/>
      </c>
    </row>
    <row r="1830">
      <c r="A1830" s="16" t="inlineStr">
        <is>
          <t>INE037A01022</t>
        </is>
      </c>
      <c r="B1830" s="16" t="inlineStr">
        <is>
          <t>UNIENTER</t>
        </is>
      </c>
      <c r="C1830" s="16" t="inlineStr">
        <is>
          <t>Uniphos Enterprises Ltd.</t>
        </is>
      </c>
      <c r="D1830" s="16" t="inlineStr">
        <is>
          <t>Commodity Trading  &amp; Distribution</t>
        </is>
      </c>
      <c r="E1830" s="16" t="inlineStr">
        <is>
          <t>Commercial Services &amp; Supplies</t>
        </is>
      </c>
      <c r="F1830" s="17" t="n">
        <v>648.1</v>
      </c>
      <c r="G1830" s="16" t="inlineStr">
        <is>
          <t>UNIENTER</t>
        </is>
      </c>
      <c r="H1830" s="16" t="inlineStr">
        <is>
          <t>500429</t>
        </is>
      </c>
      <c r="I1830" s="27">
        <f>IFERROR(IF(INDEX(Stocks!$G$2:$G$2139,MATCH(A1830,Stocks!$E$2:$E$2139,0))="","No","Yes"),"No")</f>
        <v/>
      </c>
    </row>
    <row r="1831">
      <c r="A1831" s="16" t="inlineStr">
        <is>
          <t>INE939X01013</t>
        </is>
      </c>
      <c r="B1831" s="16" t="inlineStr">
        <is>
          <t>MANBA</t>
        </is>
      </c>
      <c r="C1831" s="16" t="inlineStr">
        <is>
          <t>Manba Finance Ltd.</t>
        </is>
      </c>
      <c r="D1831" s="16" t="inlineStr">
        <is>
          <t>Finance (including NBFCs)</t>
        </is>
      </c>
      <c r="E1831" s="16" t="inlineStr">
        <is>
          <t>Banking and Finance</t>
        </is>
      </c>
      <c r="F1831" s="17" t="n">
        <v>647.84</v>
      </c>
      <c r="G1831" s="16" t="inlineStr">
        <is>
          <t>MANBA</t>
        </is>
      </c>
      <c r="H1831" s="16" t="inlineStr">
        <is>
          <t>544262</t>
        </is>
      </c>
      <c r="I1831" s="27">
        <f>IFERROR(IF(INDEX(Stocks!$G$2:$G$2139,MATCH(A1831,Stocks!$E$2:$E$2139,0))="","No","Yes"),"No")</f>
        <v/>
      </c>
    </row>
    <row r="1832">
      <c r="A1832" s="16" t="inlineStr">
        <is>
          <t>INE529I01021</t>
        </is>
      </c>
      <c r="B1832" s="16" t="inlineStr">
        <is>
          <t>KUANTUM</t>
        </is>
      </c>
      <c r="C1832" s="16" t="inlineStr">
        <is>
          <t>Kuantum Papers Ltd.</t>
        </is>
      </c>
      <c r="D1832" s="16" t="inlineStr">
        <is>
          <t>Paper &amp; Paper Products</t>
        </is>
      </c>
      <c r="E1832" s="16" t="inlineStr">
        <is>
          <t>Commercial Services &amp; Supplies</t>
        </is>
      </c>
      <c r="F1832" s="17" t="n">
        <v>647.3200000000001</v>
      </c>
      <c r="G1832" s="16" t="inlineStr">
        <is>
          <t>KUANTUM</t>
        </is>
      </c>
      <c r="H1832" s="16" t="inlineStr">
        <is>
          <t>532937</t>
        </is>
      </c>
      <c r="I1832" s="27">
        <f>IFERROR(IF(INDEX(Stocks!$G$2:$G$2139,MATCH(A1832,Stocks!$E$2:$E$2139,0))="","No","Yes"),"No")</f>
        <v/>
      </c>
    </row>
    <row r="1833">
      <c r="A1833" s="16" t="inlineStr">
        <is>
          <t>INE0D6I01023</t>
        </is>
      </c>
      <c r="B1833" s="16" t="inlineStr">
        <is>
          <t>KSOLVES</t>
        </is>
      </c>
      <c r="C1833" s="16" t="inlineStr">
        <is>
          <t>Ksolves India Ltd.</t>
        </is>
      </c>
      <c r="D1833" s="16" t="inlineStr">
        <is>
          <t>IT Consulting &amp; Software</t>
        </is>
      </c>
      <c r="E1833" s="16" t="inlineStr">
        <is>
          <t>Software &amp; Services</t>
        </is>
      </c>
      <c r="F1833" s="17" t="n">
        <v>645.08</v>
      </c>
      <c r="G1833" s="16" t="inlineStr">
        <is>
          <t>KSOLVES</t>
        </is>
      </c>
      <c r="H1833" s="16" t="inlineStr">
        <is>
          <t>543599</t>
        </is>
      </c>
      <c r="I1833" s="27">
        <f>IFERROR(IF(INDEX(Stocks!$G$2:$G$2139,MATCH(A1833,Stocks!$E$2:$E$2139,0))="","No","Yes"),"No")</f>
        <v/>
      </c>
    </row>
    <row r="1834">
      <c r="A1834" s="16" t="inlineStr">
        <is>
          <t>INE622H01018</t>
        </is>
      </c>
      <c r="B1834" s="16" t="inlineStr">
        <is>
          <t>INDOFARM</t>
        </is>
      </c>
      <c r="C1834" s="16" t="inlineStr">
        <is>
          <t>Indo Farm Equipment Ltd.</t>
        </is>
      </c>
      <c r="D1834" s="16" t="inlineStr">
        <is>
          <t>Commercial Vehicles</t>
        </is>
      </c>
      <c r="E1834" s="16" t="inlineStr">
        <is>
          <t>Automobiles &amp; Auto Components</t>
        </is>
      </c>
      <c r="F1834" s="17" t="n">
        <v>644.04</v>
      </c>
      <c r="G1834" s="16" t="inlineStr">
        <is>
          <t>INDOFARM</t>
        </is>
      </c>
      <c r="H1834" s="16" t="inlineStr">
        <is>
          <t>544328</t>
        </is>
      </c>
      <c r="I1834" s="27">
        <f>IFERROR(IF(INDEX(Stocks!$G$2:$G$2139,MATCH(A1834,Stocks!$E$2:$E$2139,0))="","No","Yes"),"No")</f>
        <v/>
      </c>
    </row>
    <row r="1835">
      <c r="A1835" s="16" t="inlineStr">
        <is>
          <t>INE285C01015</t>
        </is>
      </c>
      <c r="B1835" s="16" t="inlineStr">
        <is>
          <t>VOITHPAPR</t>
        </is>
      </c>
      <c r="C1835" s="16" t="inlineStr">
        <is>
          <t>Voith Paper Fabrics India Ltd.</t>
        </is>
      </c>
      <c r="D1835" s="16" t="inlineStr">
        <is>
          <t>Textiles</t>
        </is>
      </c>
      <c r="E1835" s="16" t="inlineStr">
        <is>
          <t>Textiles Apparels &amp; Accessories</t>
        </is>
      </c>
      <c r="F1835" s="17" t="n">
        <v>643.52</v>
      </c>
      <c r="G1835" s="16" t="inlineStr"/>
      <c r="H1835" s="16" t="inlineStr">
        <is>
          <t>522122</t>
        </is>
      </c>
      <c r="I1835" s="27">
        <f>IFERROR(IF(INDEX(Stocks!$G$2:$G$2139,MATCH(A1835,Stocks!$E$2:$E$2139,0))="","No","Yes"),"No")</f>
        <v/>
      </c>
    </row>
    <row r="1836">
      <c r="A1836" s="16" t="inlineStr">
        <is>
          <t>INE626A01014</t>
        </is>
      </c>
      <c r="B1836" s="16" t="inlineStr">
        <is>
          <t>SAURASHCEM</t>
        </is>
      </c>
      <c r="C1836" s="16" t="inlineStr">
        <is>
          <t>Saurashtra Cements Ltd.</t>
        </is>
      </c>
      <c r="D1836" s="16" t="inlineStr">
        <is>
          <t>Cement &amp; Cement Products</t>
        </is>
      </c>
      <c r="E1836" s="16" t="inlineStr">
        <is>
          <t>Cement and Construction</t>
        </is>
      </c>
      <c r="F1836" s="17" t="n">
        <v>641.13</v>
      </c>
      <c r="G1836" s="16" t="inlineStr">
        <is>
          <t>SAURASHCEM</t>
        </is>
      </c>
      <c r="H1836" s="16" t="inlineStr">
        <is>
          <t>502175</t>
        </is>
      </c>
      <c r="I1836" s="27">
        <f>IFERROR(IF(INDEX(Stocks!$G$2:$G$2139,MATCH(A1836,Stocks!$E$2:$E$2139,0))="","No","Yes"),"No")</f>
        <v/>
      </c>
    </row>
    <row r="1837">
      <c r="A1837" s="16" t="inlineStr">
        <is>
          <t>INE480D01010</t>
        </is>
      </c>
      <c r="B1837" s="16" t="inlineStr">
        <is>
          <t>NIYOGIN</t>
        </is>
      </c>
      <c r="C1837" s="16" t="inlineStr">
        <is>
          <t>Niyogin Fintech Ltd.</t>
        </is>
      </c>
      <c r="D1837" s="16" t="inlineStr">
        <is>
          <t>Finance (including NBFCs)</t>
        </is>
      </c>
      <c r="E1837" s="16" t="inlineStr">
        <is>
          <t>Banking and Finance</t>
        </is>
      </c>
      <c r="F1837" s="17" t="n">
        <v>638.4400000000001</v>
      </c>
      <c r="G1837" s="16" t="inlineStr"/>
      <c r="H1837" s="16" t="inlineStr">
        <is>
          <t>538772</t>
        </is>
      </c>
      <c r="I1837" s="27">
        <f>IFERROR(IF(INDEX(Stocks!$G$2:$G$2139,MATCH(A1837,Stocks!$E$2:$E$2139,0))="","No","Yes"),"No")</f>
        <v/>
      </c>
    </row>
    <row r="1838">
      <c r="A1838" s="16" t="inlineStr">
        <is>
          <t>INE220Z01013</t>
        </is>
      </c>
      <c r="B1838" s="16" t="inlineStr">
        <is>
          <t>SHINDL</t>
        </is>
      </c>
      <c r="C1838" s="16" t="inlineStr">
        <is>
          <t>Sharat Industries Ltd.</t>
        </is>
      </c>
      <c r="D1838" s="16" t="inlineStr">
        <is>
          <t>Other Food &amp; Beverages</t>
        </is>
      </c>
      <c r="E1838" s="16" t="inlineStr">
        <is>
          <t>Food, Beverages &amp; Tobacco</t>
        </is>
      </c>
      <c r="F1838" s="17" t="n">
        <v>637.8200000000001</v>
      </c>
      <c r="G1838" s="16" t="inlineStr"/>
      <c r="H1838" s="16" t="inlineStr">
        <is>
          <t>519397</t>
        </is>
      </c>
      <c r="I1838" s="27">
        <f>IFERROR(IF(INDEX(Stocks!$G$2:$G$2139,MATCH(A1838,Stocks!$E$2:$E$2139,0))="","No","Yes"),"No")</f>
        <v/>
      </c>
    </row>
    <row r="1839">
      <c r="A1839" s="16" t="inlineStr">
        <is>
          <t>INE429I01024</t>
        </is>
      </c>
      <c r="B1839" s="16" t="inlineStr">
        <is>
          <t>CCCL</t>
        </is>
      </c>
      <c r="C1839" s="16" t="inlineStr">
        <is>
          <t>Consolidated Construction Consortium Ltd.</t>
        </is>
      </c>
      <c r="D1839" s="16" t="inlineStr">
        <is>
          <t>Construction &amp; Engineering</t>
        </is>
      </c>
      <c r="E1839" s="16" t="inlineStr">
        <is>
          <t>Cement and Construction</t>
        </is>
      </c>
      <c r="F1839" s="17" t="n">
        <v>637.53</v>
      </c>
      <c r="G1839" s="16" t="inlineStr">
        <is>
          <t>CCCL</t>
        </is>
      </c>
      <c r="H1839" s="16" t="inlineStr">
        <is>
          <t>532902</t>
        </is>
      </c>
      <c r="I1839" s="27">
        <f>IFERROR(IF(INDEX(Stocks!$G$2:$G$2139,MATCH(A1839,Stocks!$E$2:$E$2139,0))="","No","Yes"),"No")</f>
        <v/>
      </c>
    </row>
    <row r="1840">
      <c r="A1840" s="16" t="inlineStr">
        <is>
          <t>INE1IJQ01026</t>
        </is>
      </c>
      <c r="B1840" s="16" t="inlineStr">
        <is>
          <t>BAIKAKAJI</t>
        </is>
      </c>
      <c r="C1840" s="16" t="inlineStr">
        <is>
          <t>Bai-Kakaji Polymers Ltd.</t>
        </is>
      </c>
      <c r="D1840" s="16" t="inlineStr">
        <is>
          <t>Plastic Products</t>
        </is>
      </c>
      <c r="E1840" s="16" t="inlineStr">
        <is>
          <t>General Industrials</t>
        </is>
      </c>
      <c r="F1840" s="17" t="n">
        <v>636.46</v>
      </c>
      <c r="G1840" s="16" t="inlineStr"/>
      <c r="H1840" s="16" t="inlineStr">
        <is>
          <t>544670</t>
        </is>
      </c>
      <c r="I1840" s="27">
        <f>IFERROR(IF(INDEX(Stocks!$G$2:$G$2139,MATCH(A1840,Stocks!$E$2:$E$2139,0))="","No","Yes"),"No")</f>
        <v/>
      </c>
    </row>
    <row r="1841">
      <c r="A1841" s="16" t="inlineStr">
        <is>
          <t>INE389C01015</t>
        </is>
      </c>
      <c r="B1841" s="16" t="inlineStr">
        <is>
          <t>MALLCOM</t>
        </is>
      </c>
      <c r="C1841" s="16" t="inlineStr">
        <is>
          <t>Mallcom (India) Ltd.</t>
        </is>
      </c>
      <c r="D1841" s="16" t="inlineStr">
        <is>
          <t>Other Apparels &amp; Accessories</t>
        </is>
      </c>
      <c r="E1841" s="16" t="inlineStr">
        <is>
          <t>Textiles Apparels &amp; Accessories</t>
        </is>
      </c>
      <c r="F1841" s="17" t="n">
        <v>635.33</v>
      </c>
      <c r="G1841" s="16" t="inlineStr">
        <is>
          <t>MALLCOM</t>
        </is>
      </c>
      <c r="H1841" s="16" t="inlineStr">
        <is>
          <t>539400</t>
        </is>
      </c>
      <c r="I1841" s="27">
        <f>IFERROR(IF(INDEX(Stocks!$G$2:$G$2139,MATCH(A1841,Stocks!$E$2:$E$2139,0))="","No","Yes"),"No")</f>
        <v/>
      </c>
    </row>
    <row r="1842">
      <c r="A1842" s="16" t="inlineStr">
        <is>
          <t>INE333I01044</t>
        </is>
      </c>
      <c r="B1842" s="16" t="inlineStr">
        <is>
          <t>NEUEON</t>
        </is>
      </c>
      <c r="C1842" s="16" t="inlineStr">
        <is>
          <t>Neueon Corporation Ltd.</t>
        </is>
      </c>
      <c r="D1842" s="16" t="inlineStr">
        <is>
          <t>Heavy Electrical Equipment</t>
        </is>
      </c>
      <c r="E1842" s="16" t="inlineStr">
        <is>
          <t>General Industrials</t>
        </is>
      </c>
      <c r="F1842" s="17" t="n">
        <v>634.4299999999999</v>
      </c>
      <c r="G1842" s="16" t="inlineStr">
        <is>
          <t>NEUEON</t>
        </is>
      </c>
      <c r="H1842" s="16" t="inlineStr">
        <is>
          <t>532887</t>
        </is>
      </c>
      <c r="I1842" s="27">
        <f>IFERROR(IF(INDEX(Stocks!$G$2:$G$2139,MATCH(A1842,Stocks!$E$2:$E$2139,0))="","No","Yes"),"No")</f>
        <v/>
      </c>
    </row>
    <row r="1843">
      <c r="A1843" s="16" t="inlineStr">
        <is>
          <t>INE231G01010</t>
        </is>
      </c>
      <c r="B1843" s="16" t="inlineStr">
        <is>
          <t>ORBTEXP</t>
        </is>
      </c>
      <c r="C1843" s="16" t="inlineStr">
        <is>
          <t>Orbit Exports Ltd.</t>
        </is>
      </c>
      <c r="D1843" s="16" t="inlineStr">
        <is>
          <t>Textiles</t>
        </is>
      </c>
      <c r="E1843" s="16" t="inlineStr">
        <is>
          <t>Textiles Apparels &amp; Accessories</t>
        </is>
      </c>
      <c r="F1843" s="17" t="n">
        <v>633.67</v>
      </c>
      <c r="G1843" s="16" t="inlineStr">
        <is>
          <t>ORBTEXP</t>
        </is>
      </c>
      <c r="H1843" s="16" t="inlineStr">
        <is>
          <t>512626</t>
        </is>
      </c>
      <c r="I1843" s="27">
        <f>IFERROR(IF(INDEX(Stocks!$G$2:$G$2139,MATCH(A1843,Stocks!$E$2:$E$2139,0))="","No","Yes"),"No")</f>
        <v/>
      </c>
    </row>
    <row r="1844">
      <c r="A1844" s="16" t="inlineStr">
        <is>
          <t>INE170E01023</t>
        </is>
      </c>
      <c r="B1844" s="16" t="inlineStr">
        <is>
          <t>SATIA</t>
        </is>
      </c>
      <c r="C1844" s="16" t="inlineStr">
        <is>
          <t>Satia Industries Ltd.</t>
        </is>
      </c>
      <c r="D1844" s="16" t="inlineStr">
        <is>
          <t>Paper &amp; Paper Products</t>
        </is>
      </c>
      <c r="E1844" s="16" t="inlineStr">
        <is>
          <t>Commercial Services &amp; Supplies</t>
        </is>
      </c>
      <c r="F1844" s="17" t="n">
        <v>633.6</v>
      </c>
      <c r="G1844" s="16" t="inlineStr">
        <is>
          <t>SATIA</t>
        </is>
      </c>
      <c r="H1844" s="16" t="inlineStr">
        <is>
          <t>539201</t>
        </is>
      </c>
      <c r="I1844" s="27">
        <f>IFERROR(IF(INDEX(Stocks!$G$2:$G$2139,MATCH(A1844,Stocks!$E$2:$E$2139,0))="","No","Yes"),"No")</f>
        <v/>
      </c>
    </row>
    <row r="1845">
      <c r="A1845" s="16" t="inlineStr">
        <is>
          <t>INE767C01012</t>
        </is>
      </c>
      <c r="B1845" s="16" t="inlineStr">
        <is>
          <t>AXTEL</t>
        </is>
      </c>
      <c r="C1845" s="16" t="inlineStr">
        <is>
          <t>Axtel Industries Ltd.</t>
        </is>
      </c>
      <c r="D1845" s="16" t="inlineStr">
        <is>
          <t>Industrial Machinery</t>
        </is>
      </c>
      <c r="E1845" s="16" t="inlineStr">
        <is>
          <t>General Industrials</t>
        </is>
      </c>
      <c r="F1845" s="17" t="n">
        <v>633.27</v>
      </c>
      <c r="G1845" s="16" t="inlineStr"/>
      <c r="H1845" s="16" t="inlineStr">
        <is>
          <t>523850</t>
        </is>
      </c>
      <c r="I1845" s="27">
        <f>IFERROR(IF(INDEX(Stocks!$G$2:$G$2139,MATCH(A1845,Stocks!$E$2:$E$2139,0))="","No","Yes"),"No")</f>
        <v/>
      </c>
    </row>
    <row r="1846">
      <c r="A1846" s="16" t="inlineStr">
        <is>
          <t>INE229A01017</t>
        </is>
      </c>
      <c r="B1846" s="16" t="inlineStr">
        <is>
          <t>ONWARDTEC</t>
        </is>
      </c>
      <c r="C1846" s="16" t="inlineStr">
        <is>
          <t>Onward Technologies Ltd.</t>
        </is>
      </c>
      <c r="D1846" s="16" t="inlineStr">
        <is>
          <t>IT Consulting &amp; Software</t>
        </is>
      </c>
      <c r="E1846" s="16" t="inlineStr">
        <is>
          <t>Software &amp; Services</t>
        </is>
      </c>
      <c r="F1846" s="17" t="n">
        <v>632.66</v>
      </c>
      <c r="G1846" s="16" t="inlineStr">
        <is>
          <t>ONWARDTEC</t>
        </is>
      </c>
      <c r="H1846" s="16" t="inlineStr">
        <is>
          <t>517536</t>
        </is>
      </c>
      <c r="I1846" s="27">
        <f>IFERROR(IF(INDEX(Stocks!$G$2:$G$2139,MATCH(A1846,Stocks!$E$2:$E$2139,0))="","No","Yes"),"No")</f>
        <v/>
      </c>
    </row>
    <row r="1847">
      <c r="A1847" s="16" t="inlineStr">
        <is>
          <t>INE729D01010</t>
        </is>
      </c>
      <c r="B1847" s="16" t="inlineStr">
        <is>
          <t>KILITCH</t>
        </is>
      </c>
      <c r="C1847" s="16" t="inlineStr">
        <is>
          <t>Kilitch Drugs(I) Ltd.</t>
        </is>
      </c>
      <c r="D1847" s="16" t="inlineStr">
        <is>
          <t>Pharmaceuticals</t>
        </is>
      </c>
      <c r="E1847" s="16" t="inlineStr">
        <is>
          <t>Pharmaceuticals &amp; Biotechnology</t>
        </is>
      </c>
      <c r="F1847" s="17" t="n">
        <v>632.63</v>
      </c>
      <c r="G1847" s="16" t="inlineStr">
        <is>
          <t>KILITCH</t>
        </is>
      </c>
      <c r="H1847" s="16" t="inlineStr">
        <is>
          <t>524500</t>
        </is>
      </c>
      <c r="I1847" s="27">
        <f>IFERROR(IF(INDEX(Stocks!$G$2:$G$2139,MATCH(A1847,Stocks!$E$2:$E$2139,0))="","No","Yes"),"No")</f>
        <v/>
      </c>
    </row>
    <row r="1848">
      <c r="A1848" s="16" t="inlineStr">
        <is>
          <t>INE19QK01022</t>
        </is>
      </c>
      <c r="B1848" s="16" t="inlineStr">
        <is>
          <t>TECHNOCRAT</t>
        </is>
      </c>
      <c r="C1848" s="16" t="inlineStr">
        <is>
          <t>Technocrats Plasma Systems Ltd.</t>
        </is>
      </c>
      <c r="D1848" s="16" t="inlineStr">
        <is>
          <t>Industrial Machinery</t>
        </is>
      </c>
      <c r="E1848" s="16" t="inlineStr">
        <is>
          <t>General Industrials</t>
        </is>
      </c>
      <c r="F1848" s="17" t="n">
        <v>631.75</v>
      </c>
      <c r="G1848" s="16" t="inlineStr"/>
      <c r="H1848" s="16" t="inlineStr">
        <is>
          <t>544877</t>
        </is>
      </c>
      <c r="I1848" s="27">
        <f>IFERROR(IF(INDEX(Stocks!$G$2:$G$2139,MATCH(A1848,Stocks!$E$2:$E$2139,0))="","No","Yes"),"No")</f>
        <v/>
      </c>
    </row>
    <row r="1849">
      <c r="A1849" s="16" t="inlineStr">
        <is>
          <t>INE403Y01018</t>
        </is>
      </c>
      <c r="B1849" s="16" t="inlineStr">
        <is>
          <t>INNOVANA</t>
        </is>
      </c>
      <c r="C1849" s="16" t="inlineStr">
        <is>
          <t>Innovana Thinklabs Ltd.</t>
        </is>
      </c>
      <c r="D1849" s="16" t="inlineStr">
        <is>
          <t>IT Software Products</t>
        </is>
      </c>
      <c r="E1849" s="16" t="inlineStr">
        <is>
          <t>Software &amp; Services</t>
        </is>
      </c>
      <c r="F1849" s="17" t="n">
        <v>630.54</v>
      </c>
      <c r="G1849" s="16" t="inlineStr">
        <is>
          <t>INNOVANA</t>
        </is>
      </c>
      <c r="H1849" s="16" t="inlineStr">
        <is>
          <t>544302</t>
        </is>
      </c>
      <c r="I1849" s="27">
        <f>IFERROR(IF(INDEX(Stocks!$G$2:$G$2139,MATCH(A1849,Stocks!$E$2:$E$2139,0))="","No","Yes"),"No")</f>
        <v/>
      </c>
    </row>
    <row r="1850">
      <c r="A1850" s="16" t="inlineStr">
        <is>
          <t>INE311M01018</t>
        </is>
      </c>
      <c r="B1850" s="16" t="inlineStr">
        <is>
          <t>SHRADDHA</t>
        </is>
      </c>
      <c r="C1850" s="16" t="inlineStr">
        <is>
          <t>Shraddha Prime Projects Ltd.</t>
        </is>
      </c>
      <c r="D1850" s="16" t="inlineStr">
        <is>
          <t>Realty</t>
        </is>
      </c>
      <c r="E1850" s="16" t="inlineStr">
        <is>
          <t>Realty</t>
        </is>
      </c>
      <c r="F1850" s="17" t="n">
        <v>629.85</v>
      </c>
      <c r="G1850" s="16" t="inlineStr"/>
      <c r="H1850" s="16" t="inlineStr">
        <is>
          <t>531771</t>
        </is>
      </c>
      <c r="I1850" s="27">
        <f>IFERROR(IF(INDEX(Stocks!$G$2:$G$2139,MATCH(A1850,Stocks!$E$2:$E$2139,0))="","No","Yes"),"No")</f>
        <v/>
      </c>
    </row>
    <row r="1851">
      <c r="A1851" s="16" t="inlineStr">
        <is>
          <t>INE0Q1S01010</t>
        </is>
      </c>
      <c r="B1851" s="16" t="inlineStr">
        <is>
          <t>SUNITATOOL</t>
        </is>
      </c>
      <c r="C1851" s="16" t="inlineStr">
        <is>
          <t>Sunita Tools Ltd.</t>
        </is>
      </c>
      <c r="D1851" s="16" t="inlineStr">
        <is>
          <t>Industrial Machinery</t>
        </is>
      </c>
      <c r="E1851" s="16" t="inlineStr">
        <is>
          <t>General Industrials</t>
        </is>
      </c>
      <c r="F1851" s="17" t="n">
        <v>628.55</v>
      </c>
      <c r="G1851" s="16" t="inlineStr"/>
      <c r="H1851" s="16" t="inlineStr">
        <is>
          <t>544001</t>
        </is>
      </c>
      <c r="I1851" s="27">
        <f>IFERROR(IF(INDEX(Stocks!$G$2:$G$2139,MATCH(A1851,Stocks!$E$2:$E$2139,0))="","No","Yes"),"No")</f>
        <v/>
      </c>
    </row>
    <row r="1852">
      <c r="A1852" s="16" t="inlineStr">
        <is>
          <t>INE051B01021</t>
        </is>
      </c>
      <c r="B1852" s="16" t="inlineStr">
        <is>
          <t>VAKRANGEE</t>
        </is>
      </c>
      <c r="C1852" s="16" t="inlineStr">
        <is>
          <t>Vakrangee Ltd.</t>
        </is>
      </c>
      <c r="D1852" s="16" t="inlineStr">
        <is>
          <t>Misc. Commercial Services</t>
        </is>
      </c>
      <c r="E1852" s="16" t="inlineStr">
        <is>
          <t>Commercial Services &amp; Supplies</t>
        </is>
      </c>
      <c r="F1852" s="17" t="n">
        <v>627.17</v>
      </c>
      <c r="G1852" s="16" t="inlineStr">
        <is>
          <t>VAKRANGEE</t>
        </is>
      </c>
      <c r="H1852" s="16" t="inlineStr">
        <is>
          <t>511431</t>
        </is>
      </c>
      <c r="I1852" s="27">
        <f>IFERROR(IF(INDEX(Stocks!$G$2:$G$2139,MATCH(A1852,Stocks!$E$2:$E$2139,0))="","No","Yes"),"No")</f>
        <v/>
      </c>
    </row>
    <row r="1853">
      <c r="A1853" s="16" t="inlineStr">
        <is>
          <t>INE08NZ01012</t>
        </is>
      </c>
      <c r="B1853" s="16" t="inlineStr">
        <is>
          <t>NAMOEWASTE</t>
        </is>
      </c>
      <c r="C1853" s="16" t="inlineStr">
        <is>
          <t>Namo eWaste Management Ltd.</t>
        </is>
      </c>
      <c r="D1853" s="16" t="inlineStr">
        <is>
          <t>Electronic Components</t>
        </is>
      </c>
      <c r="E1853" s="16" t="inlineStr">
        <is>
          <t>Commercial Services &amp; Supplies</t>
        </is>
      </c>
      <c r="F1853" s="17" t="n">
        <v>626.8</v>
      </c>
      <c r="G1853" s="16" t="inlineStr">
        <is>
          <t>NAMOEWASTE</t>
        </is>
      </c>
      <c r="H1853" s="16" t="inlineStr"/>
      <c r="I1853" s="27">
        <f>IFERROR(IF(INDEX(Stocks!$G$2:$G$2139,MATCH(A1853,Stocks!$E$2:$E$2139,0))="","No","Yes"),"No")</f>
        <v/>
      </c>
    </row>
    <row r="1854">
      <c r="A1854" s="16" t="inlineStr">
        <is>
          <t>INE050001010</t>
        </is>
      </c>
      <c r="B1854" s="16" t="inlineStr">
        <is>
          <t>PPL</t>
        </is>
      </c>
      <c r="C1854" s="16" t="inlineStr">
        <is>
          <t>Prakash Pipes Ltd.</t>
        </is>
      </c>
      <c r="D1854" s="16" t="inlineStr">
        <is>
          <t>Plastic Products</t>
        </is>
      </c>
      <c r="E1854" s="16" t="inlineStr">
        <is>
          <t>General Industrials</t>
        </is>
      </c>
      <c r="F1854" s="17" t="n">
        <v>626.66</v>
      </c>
      <c r="G1854" s="16" t="inlineStr">
        <is>
          <t>PPL</t>
        </is>
      </c>
      <c r="H1854" s="16" t="inlineStr">
        <is>
          <t>542684</t>
        </is>
      </c>
      <c r="I1854" s="27">
        <f>IFERROR(IF(INDEX(Stocks!$G$2:$G$2139,MATCH(A1854,Stocks!$E$2:$E$2139,0))="","No","Yes"),"No")</f>
        <v/>
      </c>
    </row>
    <row r="1855">
      <c r="A1855" s="16" t="inlineStr">
        <is>
          <t>INE133D01023</t>
        </is>
      </c>
      <c r="B1855" s="16" t="inlineStr">
        <is>
          <t>ARTSON</t>
        </is>
      </c>
      <c r="C1855" s="16" t="inlineStr">
        <is>
          <t>Artson Ltd.</t>
        </is>
      </c>
      <c r="D1855" s="16" t="inlineStr">
        <is>
          <t>Industrial Machinery</t>
        </is>
      </c>
      <c r="E1855" s="16" t="inlineStr">
        <is>
          <t>General Industrials</t>
        </is>
      </c>
      <c r="F1855" s="17" t="n">
        <v>624.6900000000001</v>
      </c>
      <c r="G1855" s="16" t="inlineStr"/>
      <c r="H1855" s="16" t="inlineStr">
        <is>
          <t>522134</t>
        </is>
      </c>
      <c r="I1855" s="27">
        <f>IFERROR(IF(INDEX(Stocks!$G$2:$G$2139,MATCH(A1855,Stocks!$E$2:$E$2139,0))="","No","Yes"),"No")</f>
        <v/>
      </c>
    </row>
    <row r="1856">
      <c r="A1856" s="16" t="inlineStr">
        <is>
          <t>INE626Z01029</t>
        </is>
      </c>
      <c r="B1856" s="16" t="inlineStr">
        <is>
          <t>HARDWYN</t>
        </is>
      </c>
      <c r="C1856" s="16" t="inlineStr">
        <is>
          <t>Hardwyn India Ltd.</t>
        </is>
      </c>
      <c r="D1856" s="16" t="inlineStr">
        <is>
          <t>Household Products</t>
        </is>
      </c>
      <c r="E1856" s="16" t="inlineStr">
        <is>
          <t>Consumer Durables</t>
        </is>
      </c>
      <c r="F1856" s="17" t="n">
        <v>624.3099999999999</v>
      </c>
      <c r="G1856" s="16" t="inlineStr">
        <is>
          <t>HARDWYN</t>
        </is>
      </c>
      <c r="H1856" s="16" t="inlineStr">
        <is>
          <t>541276</t>
        </is>
      </c>
      <c r="I1856" s="27">
        <f>IFERROR(IF(INDEX(Stocks!$G$2:$G$2139,MATCH(A1856,Stocks!$E$2:$E$2139,0))="","No","Yes"),"No")</f>
        <v/>
      </c>
    </row>
    <row r="1857">
      <c r="A1857" s="16" t="inlineStr">
        <is>
          <t>INE320L01011</t>
        </is>
      </c>
      <c r="B1857" s="16" t="inlineStr">
        <is>
          <t>DHUNINV</t>
        </is>
      </c>
      <c r="C1857" s="16" t="inlineStr">
        <is>
          <t>Dhunseri Investments Ltd.</t>
        </is>
      </c>
      <c r="D1857" s="16" t="inlineStr">
        <is>
          <t>Other Financial Services</t>
        </is>
      </c>
      <c r="E1857" s="16" t="inlineStr">
        <is>
          <t>Banking and Finance</t>
        </is>
      </c>
      <c r="F1857" s="17" t="n">
        <v>621.4</v>
      </c>
      <c r="G1857" s="16" t="inlineStr">
        <is>
          <t>DHUNINV</t>
        </is>
      </c>
      <c r="H1857" s="16" t="inlineStr">
        <is>
          <t>533336</t>
        </is>
      </c>
      <c r="I1857" s="27">
        <f>IFERROR(IF(INDEX(Stocks!$G$2:$G$2139,MATCH(A1857,Stocks!$E$2:$E$2139,0))="","No","Yes"),"No")</f>
        <v/>
      </c>
    </row>
    <row r="1858">
      <c r="A1858" s="16" t="inlineStr">
        <is>
          <t>INE871K01015</t>
        </is>
      </c>
      <c r="B1858" s="16" t="inlineStr">
        <is>
          <t>HMVL</t>
        </is>
      </c>
      <c r="C1858" s="16" t="inlineStr">
        <is>
          <t>Hindustan Media Ventures Ltd.</t>
        </is>
      </c>
      <c r="D1858" s="16" t="inlineStr">
        <is>
          <t>Publishing</t>
        </is>
      </c>
      <c r="E1858" s="16" t="inlineStr">
        <is>
          <t>Commercial Services &amp; Supplies</t>
        </is>
      </c>
      <c r="F1858" s="17" t="n">
        <v>620.9</v>
      </c>
      <c r="G1858" s="16" t="inlineStr">
        <is>
          <t>HMVL</t>
        </is>
      </c>
      <c r="H1858" s="16" t="inlineStr">
        <is>
          <t>533217</t>
        </is>
      </c>
      <c r="I1858" s="27">
        <f>IFERROR(IF(INDEX(Stocks!$G$2:$G$2139,MATCH(A1858,Stocks!$E$2:$E$2139,0))="","No","Yes"),"No")</f>
        <v/>
      </c>
    </row>
    <row r="1859">
      <c r="A1859" s="16" t="inlineStr">
        <is>
          <t>INE915K01010</t>
        </is>
      </c>
      <c r="B1859" s="16" t="inlineStr">
        <is>
          <t>AHLWEST</t>
        </is>
      </c>
      <c r="C1859" s="16" t="inlineStr">
        <is>
          <t>Asian Hotels (West) Ltd.</t>
        </is>
      </c>
      <c r="D1859" s="16" t="inlineStr">
        <is>
          <t>Hotels</t>
        </is>
      </c>
      <c r="E1859" s="16" t="inlineStr">
        <is>
          <t>Hotels Restaurants &amp; Tourism</t>
        </is>
      </c>
      <c r="F1859" s="17" t="n">
        <v>618.5</v>
      </c>
      <c r="G1859" s="16" t="inlineStr">
        <is>
          <t>AHLWEST</t>
        </is>
      </c>
      <c r="H1859" s="16" t="inlineStr">
        <is>
          <t>533221</t>
        </is>
      </c>
      <c r="I1859" s="27">
        <f>IFERROR(IF(INDEX(Stocks!$G$2:$G$2139,MATCH(A1859,Stocks!$E$2:$E$2139,0))="","No","Yes"),"No")</f>
        <v/>
      </c>
    </row>
    <row r="1860">
      <c r="A1860" s="16" t="inlineStr">
        <is>
          <t>INE734N01019</t>
        </is>
      </c>
      <c r="B1860" s="16" t="inlineStr">
        <is>
          <t>SNOWMAN</t>
        </is>
      </c>
      <c r="C1860" s="16" t="inlineStr">
        <is>
          <t>Snowman Logistics Ltd.</t>
        </is>
      </c>
      <c r="D1860" s="16" t="inlineStr">
        <is>
          <t>Warehousing &amp; Logistics</t>
        </is>
      </c>
      <c r="E1860" s="16" t="inlineStr">
        <is>
          <t>Transportation</t>
        </is>
      </c>
      <c r="F1860" s="17" t="n">
        <v>615.72</v>
      </c>
      <c r="G1860" s="16" t="inlineStr">
        <is>
          <t>SNOWMAN</t>
        </is>
      </c>
      <c r="H1860" s="16" t="inlineStr">
        <is>
          <t>538635</t>
        </is>
      </c>
      <c r="I1860" s="27">
        <f>IFERROR(IF(INDEX(Stocks!$G$2:$G$2139,MATCH(A1860,Stocks!$E$2:$E$2139,0))="","No","Yes"),"No")</f>
        <v/>
      </c>
    </row>
    <row r="1861">
      <c r="A1861" s="16" t="inlineStr">
        <is>
          <t>INE607D01018</t>
        </is>
      </c>
      <c r="B1861" s="16" t="inlineStr">
        <is>
          <t>ORIENTBELL</t>
        </is>
      </c>
      <c r="C1861" s="16" t="inlineStr">
        <is>
          <t>Orient Bell Ltd.</t>
        </is>
      </c>
      <c r="D1861" s="16" t="inlineStr">
        <is>
          <t>Ceramics</t>
        </is>
      </c>
      <c r="E1861" s="16" t="inlineStr">
        <is>
          <t>Consumer Durables</t>
        </is>
      </c>
      <c r="F1861" s="17" t="n">
        <v>615.45</v>
      </c>
      <c r="G1861" s="16" t="inlineStr">
        <is>
          <t>ORIENTBELL</t>
        </is>
      </c>
      <c r="H1861" s="16" t="inlineStr">
        <is>
          <t>530365</t>
        </is>
      </c>
      <c r="I1861" s="27">
        <f>IFERROR(IF(INDEX(Stocks!$G$2:$G$2139,MATCH(A1861,Stocks!$E$2:$E$2139,0))="","No","Yes"),"No")</f>
        <v/>
      </c>
    </row>
    <row r="1862">
      <c r="A1862" s="16" t="inlineStr">
        <is>
          <t>INE099F01013</t>
        </is>
      </c>
      <c r="B1862" s="16" t="inlineStr">
        <is>
          <t>SREEL</t>
        </is>
      </c>
      <c r="C1862" s="16" t="inlineStr">
        <is>
          <t>Sreeleathers Ltd.</t>
        </is>
      </c>
      <c r="D1862" s="16" t="inlineStr">
        <is>
          <t>Footwear</t>
        </is>
      </c>
      <c r="E1862" s="16" t="inlineStr">
        <is>
          <t>Retailing</t>
        </is>
      </c>
      <c r="F1862" s="17" t="n">
        <v>614.8099999999999</v>
      </c>
      <c r="G1862" s="16" t="inlineStr">
        <is>
          <t>SREEL</t>
        </is>
      </c>
      <c r="H1862" s="16" t="inlineStr">
        <is>
          <t>535601</t>
        </is>
      </c>
      <c r="I1862" s="27">
        <f>IFERROR(IF(INDEX(Stocks!$G$2:$G$2139,MATCH(A1862,Stocks!$E$2:$E$2139,0))="","No","Yes"),"No")</f>
        <v/>
      </c>
    </row>
    <row r="1863">
      <c r="A1863" s="16" t="inlineStr">
        <is>
          <t>INE694E01014</t>
        </is>
      </c>
      <c r="B1863" s="16" t="inlineStr">
        <is>
          <t>KANPRPLA</t>
        </is>
      </c>
      <c r="C1863" s="16" t="inlineStr">
        <is>
          <t>Kanpur Plastipack Ltd.</t>
        </is>
      </c>
      <c r="D1863" s="16" t="inlineStr">
        <is>
          <t>Containers &amp; Packaging</t>
        </is>
      </c>
      <c r="E1863" s="16" t="inlineStr">
        <is>
          <t>Commercial Services &amp; Supplies</t>
        </is>
      </c>
      <c r="F1863" s="17" t="n">
        <v>614.8</v>
      </c>
      <c r="G1863" s="16" t="inlineStr">
        <is>
          <t>KANPRPLA</t>
        </is>
      </c>
      <c r="H1863" s="16" t="inlineStr">
        <is>
          <t>507779</t>
        </is>
      </c>
      <c r="I1863" s="27">
        <f>IFERROR(IF(INDEX(Stocks!$G$2:$G$2139,MATCH(A1863,Stocks!$E$2:$E$2139,0))="","No","Yes"),"No")</f>
        <v/>
      </c>
    </row>
    <row r="1864">
      <c r="A1864" s="16" t="inlineStr">
        <is>
          <t>INE291W01037</t>
        </is>
      </c>
      <c r="B1864" s="16" t="inlineStr">
        <is>
          <t>GLOBAL</t>
        </is>
      </c>
      <c r="C1864" s="16" t="inlineStr">
        <is>
          <t>Global Education Ltd.</t>
        </is>
      </c>
      <c r="D1864" s="16" t="inlineStr">
        <is>
          <t>Education</t>
        </is>
      </c>
      <c r="E1864" s="16" t="inlineStr">
        <is>
          <t>Diversified Consumer Services</t>
        </is>
      </c>
      <c r="F1864" s="17" t="n">
        <v>613.11</v>
      </c>
      <c r="G1864" s="16" t="inlineStr">
        <is>
          <t>GLOBAL</t>
        </is>
      </c>
      <c r="H1864" s="16" t="inlineStr"/>
      <c r="I1864" s="27">
        <f>IFERROR(IF(INDEX(Stocks!$G$2:$G$2139,MATCH(A1864,Stocks!$E$2:$E$2139,0))="","No","Yes"),"No")</f>
        <v/>
      </c>
    </row>
    <row r="1865">
      <c r="A1865" s="16" t="inlineStr">
        <is>
          <t>INE467D01017</t>
        </is>
      </c>
      <c r="B1865" s="16" t="inlineStr">
        <is>
          <t>VIRAT</t>
        </is>
      </c>
      <c r="C1865" s="16" t="inlineStr">
        <is>
          <t>Virat Industries Ltd.</t>
        </is>
      </c>
      <c r="D1865" s="16" t="inlineStr">
        <is>
          <t>Other Apparels &amp; Accessories</t>
        </is>
      </c>
      <c r="E1865" s="16" t="inlineStr">
        <is>
          <t>Textiles Apparels &amp; Accessories</t>
        </is>
      </c>
      <c r="F1865" s="17" t="n">
        <v>612.8099999999999</v>
      </c>
      <c r="G1865" s="16" t="inlineStr"/>
      <c r="H1865" s="16" t="inlineStr">
        <is>
          <t>530521</t>
        </is>
      </c>
      <c r="I1865" s="27">
        <f>IFERROR(IF(INDEX(Stocks!$G$2:$G$2139,MATCH(A1865,Stocks!$E$2:$E$2139,0))="","No","Yes"),"No")</f>
        <v/>
      </c>
    </row>
    <row r="1866">
      <c r="A1866" s="16" t="inlineStr">
        <is>
          <t>INE1MTV01019</t>
        </is>
      </c>
      <c r="B1866" s="16" t="inlineStr">
        <is>
          <t>KRMAYURVED</t>
        </is>
      </c>
      <c r="C1866" s="16" t="inlineStr">
        <is>
          <t>KRM Ayurveda Ltd.</t>
        </is>
      </c>
      <c r="D1866" s="16" t="inlineStr">
        <is>
          <t>Healthcare Facilities</t>
        </is>
      </c>
      <c r="E1866" s="16" t="inlineStr">
        <is>
          <t>Diversified Consumer Services</t>
        </is>
      </c>
      <c r="F1866" s="17" t="n">
        <v>611.99</v>
      </c>
      <c r="G1866" s="16" t="inlineStr">
        <is>
          <t>KRMAYURVED</t>
        </is>
      </c>
      <c r="H1866" s="16" t="inlineStr"/>
      <c r="I1866" s="27">
        <f>IFERROR(IF(INDEX(Stocks!$G$2:$G$2139,MATCH(A1866,Stocks!$E$2:$E$2139,0))="","No","Yes"),"No")</f>
        <v/>
      </c>
    </row>
    <row r="1867">
      <c r="A1867" s="16" t="inlineStr">
        <is>
          <t>INE266B01017</t>
        </is>
      </c>
      <c r="B1867" s="16" t="inlineStr">
        <is>
          <t>KINETICENG</t>
        </is>
      </c>
      <c r="C1867" s="16" t="inlineStr">
        <is>
          <t>Kinetic Engineering Ltd.</t>
        </is>
      </c>
      <c r="D1867" s="16" t="inlineStr">
        <is>
          <t>Auto Parts &amp; Equipment</t>
        </is>
      </c>
      <c r="E1867" s="16" t="inlineStr">
        <is>
          <t>Automobiles &amp; Auto Components</t>
        </is>
      </c>
      <c r="F1867" s="17" t="n">
        <v>610.48</v>
      </c>
      <c r="G1867" s="16" t="inlineStr"/>
      <c r="H1867" s="16" t="inlineStr">
        <is>
          <t>500240</t>
        </is>
      </c>
      <c r="I1867" s="27">
        <f>IFERROR(IF(INDEX(Stocks!$G$2:$G$2139,MATCH(A1867,Stocks!$E$2:$E$2139,0))="","No","Yes"),"No")</f>
        <v/>
      </c>
    </row>
    <row r="1868">
      <c r="A1868" s="16" t="inlineStr">
        <is>
          <t>INE17GV01016</t>
        </is>
      </c>
      <c r="B1868" s="16" t="inlineStr">
        <is>
          <t>PATILAUTOM</t>
        </is>
      </c>
      <c r="C1868" s="16" t="inlineStr">
        <is>
          <t>Patil Automation Ltd.</t>
        </is>
      </c>
      <c r="D1868" s="16" t="inlineStr">
        <is>
          <t>Industrial Machinery</t>
        </is>
      </c>
      <c r="E1868" s="16" t="inlineStr">
        <is>
          <t>General Industrials</t>
        </is>
      </c>
      <c r="F1868" s="17" t="n">
        <v>609.5599999999999</v>
      </c>
      <c r="G1868" s="16" t="inlineStr">
        <is>
          <t>PATILAUTOM</t>
        </is>
      </c>
      <c r="H1868" s="16" t="inlineStr"/>
      <c r="I1868" s="27">
        <f>IFERROR(IF(INDEX(Stocks!$G$2:$G$2139,MATCH(A1868,Stocks!$E$2:$E$2139,0))="","No","Yes"),"No")</f>
        <v/>
      </c>
    </row>
    <row r="1869">
      <c r="A1869" s="16" t="inlineStr">
        <is>
          <t>INE1CEJ01017</t>
        </is>
      </c>
      <c r="B1869" s="16" t="inlineStr">
        <is>
          <t>E2ERAIL</t>
        </is>
      </c>
      <c r="C1869" s="16" t="inlineStr">
        <is>
          <t>E to E Transportation Infrastructure Ltd.</t>
        </is>
      </c>
      <c r="D1869" s="16" t="inlineStr">
        <is>
          <t>Heavy Electrical Equipment</t>
        </is>
      </c>
      <c r="E1869" s="16" t="inlineStr">
        <is>
          <t>General Industrials</t>
        </is>
      </c>
      <c r="F1869" s="17" t="n">
        <v>609.37</v>
      </c>
      <c r="G1869" s="16" t="inlineStr">
        <is>
          <t>E2ERAIL</t>
        </is>
      </c>
      <c r="H1869" s="16" t="inlineStr"/>
      <c r="I1869" s="27">
        <f>IFERROR(IF(INDEX(Stocks!$G$2:$G$2139,MATCH(A1869,Stocks!$E$2:$E$2139,0))="","No","Yes"),"No")</f>
        <v/>
      </c>
    </row>
    <row r="1870">
      <c r="A1870" s="16" t="inlineStr">
        <is>
          <t>INE719F01016</t>
        </is>
      </c>
      <c r="B1870" s="16" t="inlineStr">
        <is>
          <t>SHIVAUM</t>
        </is>
      </c>
      <c r="C1870" s="16" t="inlineStr">
        <is>
          <t>Shiv Aum Steels Ltd.</t>
        </is>
      </c>
      <c r="D1870" s="16" t="inlineStr">
        <is>
          <t>Iron &amp; Steel Products</t>
        </is>
      </c>
      <c r="E1870" s="16" t="inlineStr">
        <is>
          <t>Metals &amp; Mining</t>
        </is>
      </c>
      <c r="F1870" s="17" t="n">
        <v>609.37</v>
      </c>
      <c r="G1870" s="16" t="inlineStr">
        <is>
          <t>SHIVAUM</t>
        </is>
      </c>
      <c r="H1870" s="16" t="inlineStr"/>
      <c r="I1870" s="27">
        <f>IFERROR(IF(INDEX(Stocks!$G$2:$G$2139,MATCH(A1870,Stocks!$E$2:$E$2139,0))="","No","Yes"),"No")</f>
        <v/>
      </c>
    </row>
    <row r="1871">
      <c r="A1871" s="16" t="inlineStr">
        <is>
          <t>INE0O8901016</t>
        </is>
      </c>
      <c r="B1871" s="16" t="inlineStr">
        <is>
          <t>EXHICON</t>
        </is>
      </c>
      <c r="C1871" s="16" t="inlineStr">
        <is>
          <t>Exhicon Events Media Solutions Ltd.</t>
        </is>
      </c>
      <c r="D1871" s="16" t="inlineStr">
        <is>
          <t>Misc. Commercial Services</t>
        </is>
      </c>
      <c r="E1871" s="16" t="inlineStr">
        <is>
          <t>Commercial Services &amp; Supplies</t>
        </is>
      </c>
      <c r="F1871" s="17" t="n">
        <v>609.04</v>
      </c>
      <c r="G1871" s="16" t="inlineStr"/>
      <c r="H1871" s="16" t="inlineStr">
        <is>
          <t>543895</t>
        </is>
      </c>
      <c r="I1871" s="27">
        <f>IFERROR(IF(INDEX(Stocks!$G$2:$G$2139,MATCH(A1871,Stocks!$E$2:$E$2139,0))="","No","Yes"),"No")</f>
        <v/>
      </c>
    </row>
    <row r="1872">
      <c r="A1872" s="16" t="inlineStr">
        <is>
          <t>INE501G01024</t>
        </is>
      </c>
      <c r="B1872" s="16" t="inlineStr">
        <is>
          <t>HTMEDIA</t>
        </is>
      </c>
      <c r="C1872" s="16" t="inlineStr">
        <is>
          <t>HT Media Ltd.</t>
        </is>
      </c>
      <c r="D1872" s="16" t="inlineStr">
        <is>
          <t>Publishing</t>
        </is>
      </c>
      <c r="E1872" s="16" t="inlineStr">
        <is>
          <t>Commercial Services &amp; Supplies</t>
        </is>
      </c>
      <c r="F1872" s="17" t="n">
        <v>607.9400000000001</v>
      </c>
      <c r="G1872" s="16" t="inlineStr">
        <is>
          <t>HTMEDIA</t>
        </is>
      </c>
      <c r="H1872" s="16" t="inlineStr">
        <is>
          <t>532662</t>
        </is>
      </c>
      <c r="I1872" s="27">
        <f>IFERROR(IF(INDEX(Stocks!$G$2:$G$2139,MATCH(A1872,Stocks!$E$2:$E$2139,0))="","No","Yes"),"No")</f>
        <v/>
      </c>
    </row>
    <row r="1873">
      <c r="A1873" s="16" t="inlineStr">
        <is>
          <t>INE0ADB01012</t>
        </is>
      </c>
      <c r="B1873" s="16" t="inlineStr">
        <is>
          <t>INNOVISION</t>
        </is>
      </c>
      <c r="C1873" s="16" t="inlineStr">
        <is>
          <t>Innovision Ltd.</t>
        </is>
      </c>
      <c r="D1873" s="16" t="inlineStr">
        <is>
          <t>Misc. Commercial Services</t>
        </is>
      </c>
      <c r="E1873" s="16" t="inlineStr">
        <is>
          <t>Commercial Services &amp; Supplies</t>
        </is>
      </c>
      <c r="F1873" s="17" t="n">
        <v>607</v>
      </c>
      <c r="G1873" s="16" t="inlineStr">
        <is>
          <t>INNOVISION</t>
        </is>
      </c>
      <c r="H1873" s="16" t="inlineStr">
        <is>
          <t>544732</t>
        </is>
      </c>
      <c r="I1873" s="27">
        <f>IFERROR(IF(INDEX(Stocks!$G$2:$G$2139,MATCH(A1873,Stocks!$E$2:$E$2139,0))="","No","Yes"),"No")</f>
        <v/>
      </c>
    </row>
    <row r="1874">
      <c r="A1874" s="16" t="inlineStr">
        <is>
          <t>INE562X01013</t>
        </is>
      </c>
      <c r="B1874" s="16" t="inlineStr">
        <is>
          <t>UNIVASTU</t>
        </is>
      </c>
      <c r="C1874" s="16" t="inlineStr">
        <is>
          <t>Univastu India Ltd.</t>
        </is>
      </c>
      <c r="D1874" s="16" t="inlineStr">
        <is>
          <t>Construction &amp; Engineering</t>
        </is>
      </c>
      <c r="E1874" s="16" t="inlineStr">
        <is>
          <t>Cement and Construction</t>
        </is>
      </c>
      <c r="F1874" s="17" t="n">
        <v>605.8</v>
      </c>
      <c r="G1874" s="16" t="inlineStr">
        <is>
          <t>UNIVASTU</t>
        </is>
      </c>
      <c r="H1874" s="16" t="inlineStr"/>
      <c r="I1874" s="27">
        <f>IFERROR(IF(INDEX(Stocks!$G$2:$G$2139,MATCH(A1874,Stocks!$E$2:$E$2139,0))="","No","Yes"),"No")</f>
        <v/>
      </c>
    </row>
    <row r="1875">
      <c r="A1875" s="16" t="inlineStr">
        <is>
          <t>INE116C01012</t>
        </is>
      </c>
      <c r="B1875" s="16" t="inlineStr">
        <is>
          <t>ZFSTEERING</t>
        </is>
      </c>
      <c r="C1875" s="16" t="inlineStr">
        <is>
          <t>ZF Steering Gear (India) Ltd.</t>
        </is>
      </c>
      <c r="D1875" s="16" t="inlineStr">
        <is>
          <t>Auto Parts &amp; Equipment</t>
        </is>
      </c>
      <c r="E1875" s="16" t="inlineStr">
        <is>
          <t>Automobiles &amp; Auto Components</t>
        </is>
      </c>
      <c r="F1875" s="17" t="n">
        <v>605.28</v>
      </c>
      <c r="G1875" s="16" t="inlineStr"/>
      <c r="H1875" s="16" t="inlineStr">
        <is>
          <t>505163</t>
        </is>
      </c>
      <c r="I1875" s="27">
        <f>IFERROR(IF(INDEX(Stocks!$G$2:$G$2139,MATCH(A1875,Stocks!$E$2:$E$2139,0))="","No","Yes"),"No")</f>
        <v/>
      </c>
    </row>
    <row r="1876">
      <c r="A1876" s="16" t="inlineStr">
        <is>
          <t>INE818B01023</t>
        </is>
      </c>
      <c r="B1876" s="16" t="inlineStr">
        <is>
          <t>PASUPTAC</t>
        </is>
      </c>
      <c r="C1876" s="16" t="inlineStr">
        <is>
          <t>Pasupati Acrylon Ltd.</t>
        </is>
      </c>
      <c r="D1876" s="16" t="inlineStr">
        <is>
          <t>Fibres &amp; Plastics</t>
        </is>
      </c>
      <c r="E1876" s="16" t="inlineStr">
        <is>
          <t>General Industrials</t>
        </is>
      </c>
      <c r="F1876" s="17" t="n">
        <v>602.9</v>
      </c>
      <c r="G1876" s="16" t="inlineStr">
        <is>
          <t>PASUPTAC</t>
        </is>
      </c>
      <c r="H1876" s="16" t="inlineStr">
        <is>
          <t>500456</t>
        </is>
      </c>
      <c r="I1876" s="27">
        <f>IFERROR(IF(INDEX(Stocks!$G$2:$G$2139,MATCH(A1876,Stocks!$E$2:$E$2139,0))="","No","Yes"),"No")</f>
        <v/>
      </c>
    </row>
    <row r="1877">
      <c r="A1877" s="16" t="inlineStr">
        <is>
          <t>INE437D01010</t>
        </is>
      </c>
      <c r="B1877" s="16" t="inlineStr">
        <is>
          <t>MAGNAELQ</t>
        </is>
      </c>
      <c r="C1877" s="16" t="inlineStr">
        <is>
          <t>Magna Electrocastings Ltd.</t>
        </is>
      </c>
      <c r="D1877" s="16" t="inlineStr">
        <is>
          <t>Castings &amp; Forgings</t>
        </is>
      </c>
      <c r="E1877" s="16" t="inlineStr">
        <is>
          <t>General Industrials</t>
        </is>
      </c>
      <c r="F1877" s="17" t="n">
        <v>602.4400000000001</v>
      </c>
      <c r="G1877" s="16" t="inlineStr"/>
      <c r="H1877" s="16" t="inlineStr">
        <is>
          <t>517449</t>
        </is>
      </c>
      <c r="I1877" s="27">
        <f>IFERROR(IF(INDEX(Stocks!$G$2:$G$2139,MATCH(A1877,Stocks!$E$2:$E$2139,0))="","No","Yes"),"No")</f>
        <v/>
      </c>
    </row>
    <row r="1878">
      <c r="A1878" s="16" t="inlineStr">
        <is>
          <t>INE835B01035</t>
        </is>
      </c>
      <c r="B1878" s="16" t="inlineStr">
        <is>
          <t>MOLDTECH</t>
        </is>
      </c>
      <c r="C1878" s="16" t="inlineStr">
        <is>
          <t>Mold-Tek Technologies Ltd.</t>
        </is>
      </c>
      <c r="D1878" s="16" t="inlineStr">
        <is>
          <t>Construction &amp; Engineering</t>
        </is>
      </c>
      <c r="E1878" s="16" t="inlineStr">
        <is>
          <t>Cement and Construction</t>
        </is>
      </c>
      <c r="F1878" s="17" t="n">
        <v>601.91</v>
      </c>
      <c r="G1878" s="16" t="inlineStr">
        <is>
          <t>MOLDTECH</t>
        </is>
      </c>
      <c r="H1878" s="16" t="inlineStr">
        <is>
          <t>526263</t>
        </is>
      </c>
      <c r="I1878" s="27">
        <f>IFERROR(IF(INDEX(Stocks!$G$2:$G$2139,MATCH(A1878,Stocks!$E$2:$E$2139,0))="","No","Yes"),"No")</f>
        <v/>
      </c>
    </row>
    <row r="1879">
      <c r="A1879" s="16" t="inlineStr">
        <is>
          <t>INE25E901019</t>
        </is>
      </c>
      <c r="B1879" s="16" t="inlineStr">
        <is>
          <t>OMPOWER</t>
        </is>
      </c>
      <c r="C1879" s="16" t="inlineStr">
        <is>
          <t>Om Power Transmission Ltd.</t>
        </is>
      </c>
      <c r="D1879" s="16" t="inlineStr">
        <is>
          <t>Power - Electric Utilities</t>
        </is>
      </c>
      <c r="E1879" s="16" t="inlineStr">
        <is>
          <t>Utilities</t>
        </is>
      </c>
      <c r="F1879" s="17" t="n">
        <v>601.62</v>
      </c>
      <c r="G1879" s="16" t="inlineStr">
        <is>
          <t>OMPOWER</t>
        </is>
      </c>
      <c r="H1879" s="16" t="inlineStr">
        <is>
          <t>544750</t>
        </is>
      </c>
      <c r="I1879" s="27">
        <f>IFERROR(IF(INDEX(Stocks!$G$2:$G$2139,MATCH(A1879,Stocks!$E$2:$E$2139,0))="","No","Yes"),"No")</f>
        <v/>
      </c>
    </row>
    <row r="1880">
      <c r="A1880" s="16" t="inlineStr">
        <is>
          <t>INE308A01027</t>
        </is>
      </c>
      <c r="B1880" s="16" t="inlineStr">
        <is>
          <t>NAHARPOLY</t>
        </is>
      </c>
      <c r="C1880" s="16" t="inlineStr">
        <is>
          <t>Nahar Poly Films Ltd.</t>
        </is>
      </c>
      <c r="D1880" s="16" t="inlineStr">
        <is>
          <t>Plastic Products</t>
        </is>
      </c>
      <c r="E1880" s="16" t="inlineStr">
        <is>
          <t>General Industrials</t>
        </is>
      </c>
      <c r="F1880" s="17" t="n">
        <v>601.27</v>
      </c>
      <c r="G1880" s="16" t="inlineStr">
        <is>
          <t>NAHARPOLY</t>
        </is>
      </c>
      <c r="H1880" s="16" t="inlineStr">
        <is>
          <t>523391</t>
        </is>
      </c>
      <c r="I1880" s="27">
        <f>IFERROR(IF(INDEX(Stocks!$G$2:$G$2139,MATCH(A1880,Stocks!$E$2:$E$2139,0))="","No","Yes"),"No")</f>
        <v/>
      </c>
    </row>
    <row r="1881">
      <c r="A1881" s="16" t="inlineStr">
        <is>
          <t>INE071E01023</t>
        </is>
      </c>
      <c r="B1881" s="16" t="inlineStr">
        <is>
          <t>UGARSUGAR</t>
        </is>
      </c>
      <c r="C1881" s="16" t="inlineStr">
        <is>
          <t>Ugar Sugar Works Ltd.</t>
        </is>
      </c>
      <c r="D1881" s="16" t="inlineStr">
        <is>
          <t>Sugar</t>
        </is>
      </c>
      <c r="E1881" s="16" t="inlineStr">
        <is>
          <t>Food, Beverages &amp; Tobacco</t>
        </is>
      </c>
      <c r="F1881" s="17" t="n">
        <v>600.78</v>
      </c>
      <c r="G1881" s="16" t="inlineStr">
        <is>
          <t>UGARSUGAR</t>
        </is>
      </c>
      <c r="H1881" s="16" t="inlineStr">
        <is>
          <t>530363</t>
        </is>
      </c>
      <c r="I1881" s="27">
        <f>IFERROR(IF(INDEX(Stocks!$G$2:$G$2139,MATCH(A1881,Stocks!$E$2:$E$2139,0))="","No","Yes"),"No")</f>
        <v/>
      </c>
    </row>
    <row r="1882">
      <c r="A1882" s="16" t="inlineStr">
        <is>
          <t>INE919M01026</t>
        </is>
      </c>
      <c r="B1882" s="16" t="inlineStr">
        <is>
          <t>AXENTRA</t>
        </is>
      </c>
      <c r="C1882" s="16" t="inlineStr">
        <is>
          <t>Axentra Corp Ltd.</t>
        </is>
      </c>
      <c r="D1882" s="16" t="inlineStr">
        <is>
          <t>Construction &amp; Engineering</t>
        </is>
      </c>
      <c r="E1882" s="16" t="inlineStr">
        <is>
          <t>Cement and Construction</t>
        </is>
      </c>
      <c r="F1882" s="17" t="n">
        <v>600.0599999999999</v>
      </c>
      <c r="G1882" s="16" t="inlineStr"/>
      <c r="H1882" s="16" t="inlineStr">
        <is>
          <t>511634</t>
        </is>
      </c>
      <c r="I1882" s="27">
        <f>IFERROR(IF(INDEX(Stocks!$G$2:$G$2139,MATCH(A1882,Stocks!$E$2:$E$2139,0))="","No","Yes"),"No")</f>
        <v/>
      </c>
    </row>
    <row r="1883">
      <c r="A1883" s="16" t="inlineStr">
        <is>
          <t>INE0TJ801010</t>
        </is>
      </c>
      <c r="B1883" s="16" t="inlineStr">
        <is>
          <t>LTELEVATOR</t>
        </is>
      </c>
      <c r="C1883" s="16" t="inlineStr">
        <is>
          <t>L T Elevator Ltd.</t>
        </is>
      </c>
      <c r="D1883" s="16" t="inlineStr">
        <is>
          <t>Heavy Electrical Equipment</t>
        </is>
      </c>
      <c r="E1883" s="16" t="inlineStr">
        <is>
          <t>General Industrials</t>
        </is>
      </c>
      <c r="F1883" s="17" t="n">
        <v>599.8099999999999</v>
      </c>
      <c r="G1883" s="16" t="inlineStr"/>
      <c r="H1883" s="16" t="inlineStr">
        <is>
          <t>544518</t>
        </is>
      </c>
      <c r="I1883" s="27">
        <f>IFERROR(IF(INDEX(Stocks!$G$2:$G$2139,MATCH(A1883,Stocks!$E$2:$E$2139,0))="","No","Yes"),"No")</f>
        <v/>
      </c>
    </row>
    <row r="1884">
      <c r="A1884" s="16" t="inlineStr">
        <is>
          <t>INE0OU201013</t>
        </is>
      </c>
      <c r="B1884" s="16" t="inlineStr">
        <is>
          <t>DCMSIL</t>
        </is>
      </c>
      <c r="C1884" s="16" t="inlineStr">
        <is>
          <t>DCM Shriram International Ltd.</t>
        </is>
      </c>
      <c r="D1884" s="16" t="inlineStr">
        <is>
          <t>Aerospace &amp; Defence</t>
        </is>
      </c>
      <c r="E1884" s="16" t="inlineStr">
        <is>
          <t>General Industrials</t>
        </is>
      </c>
      <c r="F1884" s="17" t="n">
        <v>598.16</v>
      </c>
      <c r="G1884" s="16" t="inlineStr">
        <is>
          <t>DCMSIL</t>
        </is>
      </c>
      <c r="H1884" s="16" t="inlineStr">
        <is>
          <t>544702</t>
        </is>
      </c>
      <c r="I1884" s="27">
        <f>IFERROR(IF(INDEX(Stocks!$G$2:$G$2139,MATCH(A1884,Stocks!$E$2:$E$2139,0))="","No","Yes"),"No")</f>
        <v/>
      </c>
    </row>
    <row r="1885">
      <c r="A1885" s="16" t="inlineStr">
        <is>
          <t>INE0Q0M01015</t>
        </is>
      </c>
      <c r="B1885" s="16" t="inlineStr">
        <is>
          <t>VEEFIN</t>
        </is>
      </c>
      <c r="C1885" s="16" t="inlineStr">
        <is>
          <t>Veefin Solutions Ltd.</t>
        </is>
      </c>
      <c r="D1885" s="16" t="inlineStr">
        <is>
          <t>IT Software Products</t>
        </is>
      </c>
      <c r="E1885" s="16" t="inlineStr">
        <is>
          <t>Software &amp; Services</t>
        </is>
      </c>
      <c r="F1885" s="17" t="n">
        <v>597.62</v>
      </c>
      <c r="G1885" s="16" t="inlineStr"/>
      <c r="H1885" s="16" t="inlineStr">
        <is>
          <t>543931</t>
        </is>
      </c>
      <c r="I1885" s="27">
        <f>IFERROR(IF(INDEX(Stocks!$G$2:$G$2139,MATCH(A1885,Stocks!$E$2:$E$2139,0))="","No","Yes"),"No")</f>
        <v/>
      </c>
    </row>
    <row r="1886">
      <c r="A1886" s="16" t="inlineStr">
        <is>
          <t>INE175N01023</t>
        </is>
      </c>
      <c r="B1886" s="16" t="inlineStr">
        <is>
          <t>AERPACE</t>
        </is>
      </c>
      <c r="C1886" s="16" t="inlineStr">
        <is>
          <t>Aerpace Industries Ltd.</t>
        </is>
      </c>
      <c r="D1886" s="16" t="inlineStr">
        <is>
          <t>Iron &amp; Steel/Interm.Products</t>
        </is>
      </c>
      <c r="E1886" s="16" t="inlineStr">
        <is>
          <t>Metals &amp; Mining</t>
        </is>
      </c>
      <c r="F1886" s="17" t="n">
        <v>597.41</v>
      </c>
      <c r="G1886" s="16" t="inlineStr"/>
      <c r="H1886" s="16" t="inlineStr">
        <is>
          <t>534733</t>
        </is>
      </c>
      <c r="I1886" s="27">
        <f>IFERROR(IF(INDEX(Stocks!$G$2:$G$2139,MATCH(A1886,Stocks!$E$2:$E$2139,0))="","No","Yes"),"No")</f>
        <v/>
      </c>
    </row>
    <row r="1887">
      <c r="A1887" s="16" t="inlineStr">
        <is>
          <t>INE1RQS01010</t>
        </is>
      </c>
      <c r="B1887" s="16" t="inlineStr">
        <is>
          <t>MRTX</t>
        </is>
      </c>
      <c r="C1887" s="16" t="inlineStr">
        <is>
          <t>Merritronix Ltd.</t>
        </is>
      </c>
      <c r="D1887" s="16" t="inlineStr">
        <is>
          <t>Electronic Components</t>
        </is>
      </c>
      <c r="E1887" s="16" t="inlineStr">
        <is>
          <t>Commercial Services &amp; Supplies</t>
        </is>
      </c>
      <c r="F1887" s="17" t="n">
        <v>595.27</v>
      </c>
      <c r="G1887" s="16" t="inlineStr"/>
      <c r="H1887" s="16" t="inlineStr">
        <is>
          <t>544773</t>
        </is>
      </c>
      <c r="I1887" s="27">
        <f>IFERROR(IF(INDEX(Stocks!$G$2:$G$2139,MATCH(A1887,Stocks!$E$2:$E$2139,0))="","No","Yes"),"No")</f>
        <v/>
      </c>
    </row>
    <row r="1888">
      <c r="A1888" s="16" t="inlineStr">
        <is>
          <t>INE289A01011</t>
        </is>
      </c>
      <c r="B1888" s="16" t="inlineStr">
        <is>
          <t>NAHARINDUS</t>
        </is>
      </c>
      <c r="C1888" s="16" t="inlineStr">
        <is>
          <t>Nahar Industrial Enterprises Ltd.</t>
        </is>
      </c>
      <c r="D1888" s="16" t="inlineStr">
        <is>
          <t>Textiles</t>
        </is>
      </c>
      <c r="E1888" s="16" t="inlineStr">
        <is>
          <t>Textiles Apparels &amp; Accessories</t>
        </is>
      </c>
      <c r="F1888" s="17" t="n">
        <v>594.64</v>
      </c>
      <c r="G1888" s="16" t="inlineStr">
        <is>
          <t>NAHARINDUS</t>
        </is>
      </c>
      <c r="H1888" s="16" t="inlineStr">
        <is>
          <t>519136</t>
        </is>
      </c>
      <c r="I1888" s="27">
        <f>IFERROR(IF(INDEX(Stocks!$G$2:$G$2139,MATCH(A1888,Stocks!$E$2:$E$2139,0))="","No","Yes"),"No")</f>
        <v/>
      </c>
    </row>
    <row r="1889">
      <c r="A1889" s="16" t="inlineStr">
        <is>
          <t>INE412U01025</t>
        </is>
      </c>
      <c r="B1889" s="16" t="inlineStr">
        <is>
          <t>BIGBLOC</t>
        </is>
      </c>
      <c r="C1889" s="16" t="inlineStr">
        <is>
          <t>Bigbloc Construction Ltd.</t>
        </is>
      </c>
      <c r="D1889" s="16" t="inlineStr">
        <is>
          <t>Cement &amp; Cement Products</t>
        </is>
      </c>
      <c r="E1889" s="16" t="inlineStr">
        <is>
          <t>Cement and Construction</t>
        </is>
      </c>
      <c r="F1889" s="17" t="n">
        <v>593.49</v>
      </c>
      <c r="G1889" s="16" t="inlineStr">
        <is>
          <t>BIGBLOC</t>
        </is>
      </c>
      <c r="H1889" s="16" t="inlineStr">
        <is>
          <t>540061</t>
        </is>
      </c>
      <c r="I1889" s="27">
        <f>IFERROR(IF(INDEX(Stocks!$G$2:$G$2139,MATCH(A1889,Stocks!$E$2:$E$2139,0))="","No","Yes"),"No")</f>
        <v/>
      </c>
    </row>
    <row r="1890">
      <c r="A1890" s="16" t="inlineStr">
        <is>
          <t>INE673E01018</t>
        </is>
      </c>
      <c r="B1890" s="16" t="inlineStr">
        <is>
          <t>SMTEL</t>
        </is>
      </c>
      <c r="C1890" s="16" t="inlineStr">
        <is>
          <t>SMT Engineering Ltd.</t>
        </is>
      </c>
      <c r="D1890" s="16" t="inlineStr">
        <is>
          <t>Commodity Trading  &amp; Distribution</t>
        </is>
      </c>
      <c r="E1890" s="16" t="inlineStr">
        <is>
          <t>Commercial Services &amp; Supplies</t>
        </is>
      </c>
      <c r="F1890" s="17" t="n">
        <v>592.9</v>
      </c>
      <c r="G1890" s="16" t="inlineStr"/>
      <c r="H1890" s="16" t="inlineStr">
        <is>
          <t>538563</t>
        </is>
      </c>
      <c r="I1890" s="27">
        <f>IFERROR(IF(INDEX(Stocks!$G$2:$G$2139,MATCH(A1890,Stocks!$E$2:$E$2139,0))="","No","Yes"),"No")</f>
        <v/>
      </c>
    </row>
    <row r="1891">
      <c r="A1891" s="16" t="inlineStr">
        <is>
          <t>INE931X01010</t>
        </is>
      </c>
      <c r="B1891" s="16" t="inlineStr">
        <is>
          <t>CTCL</t>
        </is>
      </c>
      <c r="C1891" s="16" t="inlineStr">
        <is>
          <t>Captain Technocast Ltd.</t>
        </is>
      </c>
      <c r="D1891" s="16" t="inlineStr">
        <is>
          <t>Other Industrial Goods</t>
        </is>
      </c>
      <c r="E1891" s="16" t="inlineStr">
        <is>
          <t>General Industrials</t>
        </is>
      </c>
      <c r="F1891" s="17" t="n">
        <v>592.11</v>
      </c>
      <c r="G1891" s="16" t="inlineStr"/>
      <c r="H1891" s="16" t="inlineStr">
        <is>
          <t>540652</t>
        </is>
      </c>
      <c r="I1891" s="27">
        <f>IFERROR(IF(INDEX(Stocks!$G$2:$G$2139,MATCH(A1891,Stocks!$E$2:$E$2139,0))="","No","Yes"),"No")</f>
        <v/>
      </c>
    </row>
    <row r="1892">
      <c r="A1892" s="16" t="inlineStr">
        <is>
          <t>INE102I01027</t>
        </is>
      </c>
      <c r="B1892" s="16" t="inlineStr">
        <is>
          <t>ADSL</t>
        </is>
      </c>
      <c r="C1892" s="16" t="inlineStr">
        <is>
          <t>Allied Digital Services Ltd.</t>
        </is>
      </c>
      <c r="D1892" s="16" t="inlineStr">
        <is>
          <t>IT Consulting &amp; Software</t>
        </is>
      </c>
      <c r="E1892" s="16" t="inlineStr">
        <is>
          <t>Software &amp; Services</t>
        </is>
      </c>
      <c r="F1892" s="17" t="n">
        <v>589.9</v>
      </c>
      <c r="G1892" s="16" t="inlineStr">
        <is>
          <t>ADSL</t>
        </is>
      </c>
      <c r="H1892" s="16" t="inlineStr">
        <is>
          <t>532875</t>
        </is>
      </c>
      <c r="I1892" s="27">
        <f>IFERROR(IF(INDEX(Stocks!$G$2:$G$2139,MATCH(A1892,Stocks!$E$2:$E$2139,0))="","No","Yes"),"No")</f>
        <v/>
      </c>
    </row>
    <row r="1893">
      <c r="A1893" s="16" t="inlineStr">
        <is>
          <t>INE879A01019</t>
        </is>
      </c>
      <c r="B1893" s="16" t="inlineStr">
        <is>
          <t>SHREERAMA</t>
        </is>
      </c>
      <c r="C1893" s="16" t="inlineStr">
        <is>
          <t>Shree Rama Multi-Tech Ltd.</t>
        </is>
      </c>
      <c r="D1893" s="16" t="inlineStr">
        <is>
          <t>Containers &amp; Packaging</t>
        </is>
      </c>
      <c r="E1893" s="16" t="inlineStr">
        <is>
          <t>Commercial Services &amp; Supplies</t>
        </is>
      </c>
      <c r="F1893" s="17" t="n">
        <v>588.86</v>
      </c>
      <c r="G1893" s="16" t="inlineStr">
        <is>
          <t>SHREERAMA</t>
        </is>
      </c>
      <c r="H1893" s="16" t="inlineStr">
        <is>
          <t>532310</t>
        </is>
      </c>
      <c r="I1893" s="27">
        <f>IFERROR(IF(INDEX(Stocks!$G$2:$G$2139,MATCH(A1893,Stocks!$E$2:$E$2139,0))="","No","Yes"),"No")</f>
        <v/>
      </c>
    </row>
    <row r="1894">
      <c r="A1894" s="16" t="inlineStr">
        <is>
          <t>INE318C01014</t>
        </is>
      </c>
      <c r="B1894" s="16" t="inlineStr">
        <is>
          <t>SAYAJIHOTL</t>
        </is>
      </c>
      <c r="C1894" s="16" t="inlineStr">
        <is>
          <t>Sayaji Hotels Ltd.</t>
        </is>
      </c>
      <c r="D1894" s="16" t="inlineStr">
        <is>
          <t>Hotels</t>
        </is>
      </c>
      <c r="E1894" s="16" t="inlineStr">
        <is>
          <t>Hotels Restaurants &amp; Tourism</t>
        </is>
      </c>
      <c r="F1894" s="17" t="n">
        <v>587.38</v>
      </c>
      <c r="G1894" s="16" t="inlineStr"/>
      <c r="H1894" s="16" t="inlineStr">
        <is>
          <t>523710</t>
        </is>
      </c>
      <c r="I1894" s="27">
        <f>IFERROR(IF(INDEX(Stocks!$G$2:$G$2139,MATCH(A1894,Stocks!$E$2:$E$2139,0))="","No","Yes"),"No")</f>
        <v/>
      </c>
    </row>
    <row r="1895">
      <c r="A1895" s="16" t="inlineStr">
        <is>
          <t>INE728Z01015</t>
        </is>
      </c>
      <c r="B1895" s="16" t="inlineStr">
        <is>
          <t>SOFTTECH</t>
        </is>
      </c>
      <c r="C1895" s="16" t="inlineStr">
        <is>
          <t>SoftTech Engineers Ltd.</t>
        </is>
      </c>
      <c r="D1895" s="16" t="inlineStr">
        <is>
          <t>IT Software Products</t>
        </is>
      </c>
      <c r="E1895" s="16" t="inlineStr">
        <is>
          <t>Software &amp; Services</t>
        </is>
      </c>
      <c r="F1895" s="17" t="n">
        <v>585.73</v>
      </c>
      <c r="G1895" s="16" t="inlineStr">
        <is>
          <t>SOFTTECH</t>
        </is>
      </c>
      <c r="H1895" s="16" t="inlineStr">
        <is>
          <t>543470</t>
        </is>
      </c>
      <c r="I1895" s="27">
        <f>IFERROR(IF(INDEX(Stocks!$G$2:$G$2139,MATCH(A1895,Stocks!$E$2:$E$2139,0))="","No","Yes"),"No")</f>
        <v/>
      </c>
    </row>
    <row r="1896">
      <c r="A1896" s="16" t="inlineStr">
        <is>
          <t>INE365I01020</t>
        </is>
      </c>
      <c r="B1896" s="16" t="inlineStr">
        <is>
          <t>NBIFIN</t>
        </is>
      </c>
      <c r="C1896" s="16" t="inlineStr">
        <is>
          <t>NBI Industrial Finance Company Ltd.</t>
        </is>
      </c>
      <c r="D1896" s="16" t="inlineStr">
        <is>
          <t>Finance (including NBFCs)</t>
        </is>
      </c>
      <c r="E1896" s="16" t="inlineStr">
        <is>
          <t>Banking and Finance</t>
        </is>
      </c>
      <c r="F1896" s="17" t="n">
        <v>585.61</v>
      </c>
      <c r="G1896" s="16" t="inlineStr">
        <is>
          <t>NBIFIN</t>
        </is>
      </c>
      <c r="H1896" s="16" t="inlineStr"/>
      <c r="I1896" s="27">
        <f>IFERROR(IF(INDEX(Stocks!$G$2:$G$2139,MATCH(A1896,Stocks!$E$2:$E$2139,0))="","No","Yes"),"No")</f>
        <v/>
      </c>
    </row>
    <row r="1897">
      <c r="A1897" s="16" t="inlineStr">
        <is>
          <t>INE1U6D01014</t>
        </is>
      </c>
      <c r="B1897" s="16" t="inlineStr">
        <is>
          <t>TIPCO</t>
        </is>
      </c>
      <c r="C1897" s="16" t="inlineStr">
        <is>
          <t>Tipco Engineering India Ltd.</t>
        </is>
      </c>
      <c r="D1897" s="16" t="inlineStr">
        <is>
          <t>Industrial Machinery</t>
        </is>
      </c>
      <c r="E1897" s="16" t="inlineStr">
        <is>
          <t>General Industrials</t>
        </is>
      </c>
      <c r="F1897" s="17" t="n">
        <v>584.1900000000001</v>
      </c>
      <c r="G1897" s="16" t="inlineStr"/>
      <c r="H1897" s="16" t="inlineStr">
        <is>
          <t>544740</t>
        </is>
      </c>
      <c r="I1897" s="27">
        <f>IFERROR(IF(INDEX(Stocks!$G$2:$G$2139,MATCH(A1897,Stocks!$E$2:$E$2139,0))="","No","Yes"),"No")</f>
        <v/>
      </c>
    </row>
    <row r="1898">
      <c r="A1898" s="16" t="inlineStr">
        <is>
          <t>INE310C01029</t>
        </is>
      </c>
      <c r="B1898" s="16" t="inlineStr">
        <is>
          <t>HINDCOMPOS</t>
        </is>
      </c>
      <c r="C1898" s="16" t="inlineStr">
        <is>
          <t>Hindustan Composites Ltd.</t>
        </is>
      </c>
      <c r="D1898" s="16" t="inlineStr">
        <is>
          <t>Auto Parts &amp; Equipment</t>
        </is>
      </c>
      <c r="E1898" s="16" t="inlineStr">
        <is>
          <t>Automobiles &amp; Auto Components</t>
        </is>
      </c>
      <c r="F1898" s="17" t="n">
        <v>583.15</v>
      </c>
      <c r="G1898" s="16" t="inlineStr">
        <is>
          <t>HINDCOMPOS</t>
        </is>
      </c>
      <c r="H1898" s="16" t="inlineStr">
        <is>
          <t>509635</t>
        </is>
      </c>
      <c r="I1898" s="27">
        <f>IFERROR(IF(INDEX(Stocks!$G$2:$G$2139,MATCH(A1898,Stocks!$E$2:$E$2139,0))="","No","Yes"),"No")</f>
        <v/>
      </c>
    </row>
    <row r="1899">
      <c r="A1899" s="16" t="inlineStr">
        <is>
          <t>INE440G01017</t>
        </is>
      </c>
      <c r="B1899" s="16" t="inlineStr">
        <is>
          <t>TRITONV</t>
        </is>
      </c>
      <c r="C1899" s="16" t="inlineStr">
        <is>
          <t>Triton Valves Ltd.</t>
        </is>
      </c>
      <c r="D1899" s="16" t="inlineStr">
        <is>
          <t>Auto Parts &amp; Equipment</t>
        </is>
      </c>
      <c r="E1899" s="16" t="inlineStr">
        <is>
          <t>Automobiles &amp; Auto Components</t>
        </is>
      </c>
      <c r="F1899" s="17" t="n">
        <v>582.6900000000001</v>
      </c>
      <c r="G1899" s="16" t="inlineStr"/>
      <c r="H1899" s="16" t="inlineStr">
        <is>
          <t>505978</t>
        </is>
      </c>
      <c r="I1899" s="27">
        <f>IFERROR(IF(INDEX(Stocks!$G$2:$G$2139,MATCH(A1899,Stocks!$E$2:$E$2139,0))="","No","Yes"),"No")</f>
        <v/>
      </c>
    </row>
    <row r="1900">
      <c r="A1900" s="16" t="inlineStr">
        <is>
          <t>INE1KPX01025</t>
        </is>
      </c>
      <c r="B1900" s="16" t="inlineStr">
        <is>
          <t>CREDENT</t>
        </is>
      </c>
      <c r="C1900" s="16" t="inlineStr">
        <is>
          <t>Credent Connect N Care Ltd.</t>
        </is>
      </c>
      <c r="D1900" s="16" t="inlineStr">
        <is>
          <t>Warehousing &amp; Logistics</t>
        </is>
      </c>
      <c r="E1900" s="16" t="inlineStr">
        <is>
          <t>Transportation</t>
        </is>
      </c>
      <c r="F1900" s="17" t="n">
        <v>578.9400000000001</v>
      </c>
      <c r="G1900" s="16" t="inlineStr">
        <is>
          <t>CREDENT</t>
        </is>
      </c>
      <c r="H1900" s="16" t="inlineStr"/>
      <c r="I1900" s="27">
        <f>IFERROR(IF(INDEX(Stocks!$G$2:$G$2139,MATCH(A1900,Stocks!$E$2:$E$2139,0))="","No","Yes"),"No")</f>
        <v/>
      </c>
    </row>
    <row r="1901">
      <c r="A1901" s="16" t="inlineStr">
        <is>
          <t>INE120D01012</t>
        </is>
      </c>
      <c r="B1901" s="16" t="inlineStr">
        <is>
          <t>HITECHCORP</t>
        </is>
      </c>
      <c r="C1901" s="16" t="inlineStr">
        <is>
          <t>Hitech Corporation Ltd.</t>
        </is>
      </c>
      <c r="D1901" s="16" t="inlineStr">
        <is>
          <t>Containers &amp; Packaging</t>
        </is>
      </c>
      <c r="E1901" s="16" t="inlineStr">
        <is>
          <t>Commercial Services &amp; Supplies</t>
        </is>
      </c>
      <c r="F1901" s="17" t="n">
        <v>578.8200000000001</v>
      </c>
      <c r="G1901" s="16" t="inlineStr">
        <is>
          <t>HITECHCORP</t>
        </is>
      </c>
      <c r="H1901" s="16" t="inlineStr">
        <is>
          <t>526217</t>
        </is>
      </c>
      <c r="I1901" s="27">
        <f>IFERROR(IF(INDEX(Stocks!$G$2:$G$2139,MATCH(A1901,Stocks!$E$2:$E$2139,0))="","No","Yes"),"No")</f>
        <v/>
      </c>
    </row>
    <row r="1902">
      <c r="A1902" s="16" t="inlineStr">
        <is>
          <t>INE798F01010</t>
        </is>
      </c>
      <c r="B1902" s="16" t="inlineStr">
        <is>
          <t>PANCHMAHQ</t>
        </is>
      </c>
      <c r="C1902" s="16" t="inlineStr">
        <is>
          <t>Panchmahal Steel Ltd.</t>
        </is>
      </c>
      <c r="D1902" s="16" t="inlineStr">
        <is>
          <t>Iron &amp; Steel/Interm.Products</t>
        </is>
      </c>
      <c r="E1902" s="16" t="inlineStr">
        <is>
          <t>Metals &amp; Mining</t>
        </is>
      </c>
      <c r="F1902" s="17" t="n">
        <v>578.0700000000001</v>
      </c>
      <c r="G1902" s="16" t="inlineStr"/>
      <c r="H1902" s="16" t="inlineStr">
        <is>
          <t>513511</t>
        </is>
      </c>
      <c r="I1902" s="27">
        <f>IFERROR(IF(INDEX(Stocks!$G$2:$G$2139,MATCH(A1902,Stocks!$E$2:$E$2139,0))="","No","Yes"),"No")</f>
        <v/>
      </c>
    </row>
    <row r="1903">
      <c r="A1903" s="16" t="inlineStr">
        <is>
          <t>INE0ZOM01013</t>
        </is>
      </c>
      <c r="B1903" s="16" t="inlineStr">
        <is>
          <t>GOELCONS</t>
        </is>
      </c>
      <c r="C1903" s="16" t="inlineStr">
        <is>
          <t>Goel Construction Company Ltd.</t>
        </is>
      </c>
      <c r="D1903" s="16" t="inlineStr">
        <is>
          <t>Construction &amp; Engineering</t>
        </is>
      </c>
      <c r="E1903" s="16" t="inlineStr">
        <is>
          <t>Cement and Construction</t>
        </is>
      </c>
      <c r="F1903" s="17" t="n">
        <v>577.98</v>
      </c>
      <c r="G1903" s="16" t="inlineStr"/>
      <c r="H1903" s="16" t="inlineStr">
        <is>
          <t>544504</t>
        </is>
      </c>
      <c r="I1903" s="27">
        <f>IFERROR(IF(INDEX(Stocks!$G$2:$G$2139,MATCH(A1903,Stocks!$E$2:$E$2139,0))="","No","Yes"),"No")</f>
        <v/>
      </c>
    </row>
    <row r="1904">
      <c r="A1904" s="16" t="inlineStr">
        <is>
          <t>INE0JWS01017</t>
        </is>
      </c>
      <c r="B1904" s="16" t="inlineStr">
        <is>
          <t>VALIANTLAB</t>
        </is>
      </c>
      <c r="C1904" s="16" t="inlineStr">
        <is>
          <t>Valiant Laboratories Ltd.</t>
        </is>
      </c>
      <c r="D1904" s="16" t="inlineStr">
        <is>
          <t>Pharmaceuticals</t>
        </is>
      </c>
      <c r="E1904" s="16" t="inlineStr">
        <is>
          <t>Pharmaceuticals &amp; Biotechnology</t>
        </is>
      </c>
      <c r="F1904" s="17" t="n">
        <v>575.55</v>
      </c>
      <c r="G1904" s="16" t="inlineStr">
        <is>
          <t>VALIANTLAB</t>
        </is>
      </c>
      <c r="H1904" s="16" t="inlineStr">
        <is>
          <t>543998</t>
        </is>
      </c>
      <c r="I1904" s="27">
        <f>IFERROR(IF(INDEX(Stocks!$G$2:$G$2139,MATCH(A1904,Stocks!$E$2:$E$2139,0))="","No","Yes"),"No")</f>
        <v/>
      </c>
    </row>
    <row r="1905">
      <c r="A1905" s="16" t="inlineStr">
        <is>
          <t>INE0A1101019</t>
        </is>
      </c>
      <c r="B1905" s="16" t="inlineStr">
        <is>
          <t>DCI</t>
        </is>
      </c>
      <c r="C1905" s="16" t="inlineStr">
        <is>
          <t>DC Infotech and Communication Ltd.</t>
        </is>
      </c>
      <c r="D1905" s="16" t="inlineStr">
        <is>
          <t>IT Networking Equipment</t>
        </is>
      </c>
      <c r="E1905" s="16" t="inlineStr">
        <is>
          <t>Hardware Technology &amp; Equipment</t>
        </is>
      </c>
      <c r="F1905" s="17" t="n">
        <v>574.9</v>
      </c>
      <c r="G1905" s="16" t="inlineStr">
        <is>
          <t>DCI</t>
        </is>
      </c>
      <c r="H1905" s="16" t="inlineStr">
        <is>
          <t>543636</t>
        </is>
      </c>
      <c r="I1905" s="27">
        <f>IFERROR(IF(INDEX(Stocks!$G$2:$G$2139,MATCH(A1905,Stocks!$E$2:$E$2139,0))="","No","Yes"),"No")</f>
        <v/>
      </c>
    </row>
    <row r="1906">
      <c r="A1906" s="16" t="inlineStr">
        <is>
          <t>INE0TQE01026</t>
        </is>
      </c>
      <c r="B1906" s="16" t="inlineStr">
        <is>
          <t>GLOTTIS</t>
        </is>
      </c>
      <c r="C1906" s="16" t="inlineStr">
        <is>
          <t>Glottis Ltd.</t>
        </is>
      </c>
      <c r="D1906" s="16" t="inlineStr">
        <is>
          <t>Warehousing &amp; Logistics</t>
        </is>
      </c>
      <c r="E1906" s="16" t="inlineStr">
        <is>
          <t>Transportation</t>
        </is>
      </c>
      <c r="F1906" s="17" t="n">
        <v>573.8200000000001</v>
      </c>
      <c r="G1906" s="16" t="inlineStr">
        <is>
          <t>GLOTTIS</t>
        </is>
      </c>
      <c r="H1906" s="16" t="inlineStr">
        <is>
          <t>544557</t>
        </is>
      </c>
      <c r="I1906" s="27">
        <f>IFERROR(IF(INDEX(Stocks!$G$2:$G$2139,MATCH(A1906,Stocks!$E$2:$E$2139,0))="","No","Yes"),"No")</f>
        <v/>
      </c>
    </row>
    <row r="1907">
      <c r="A1907" s="16" t="inlineStr">
        <is>
          <t>INE718F01018</t>
        </is>
      </c>
      <c r="B1907" s="16" t="inlineStr">
        <is>
          <t>CSLFINANCE</t>
        </is>
      </c>
      <c r="C1907" s="16" t="inlineStr">
        <is>
          <t>CSL Finance Ltd.</t>
        </is>
      </c>
      <c r="D1907" s="16" t="inlineStr">
        <is>
          <t>Finance (including NBFCs)</t>
        </is>
      </c>
      <c r="E1907" s="16" t="inlineStr">
        <is>
          <t>Banking and Finance</t>
        </is>
      </c>
      <c r="F1907" s="17" t="n">
        <v>573.6</v>
      </c>
      <c r="G1907" s="16" t="inlineStr">
        <is>
          <t>CSLFINANCE</t>
        </is>
      </c>
      <c r="H1907" s="16" t="inlineStr">
        <is>
          <t>530067</t>
        </is>
      </c>
      <c r="I1907" s="27">
        <f>IFERROR(IF(INDEX(Stocks!$G$2:$G$2139,MATCH(A1907,Stocks!$E$2:$E$2139,0))="","No","Yes"),"No")</f>
        <v/>
      </c>
    </row>
    <row r="1908">
      <c r="A1908" s="16" t="inlineStr">
        <is>
          <t>INE395F01023</t>
        </is>
      </c>
      <c r="B1908" s="16" t="inlineStr">
        <is>
          <t>STELLANT</t>
        </is>
      </c>
      <c r="C1908" s="16" t="inlineStr">
        <is>
          <t>Stellant Securities (India) Ltd.</t>
        </is>
      </c>
      <c r="D1908" s="16" t="inlineStr">
        <is>
          <t>Other Financial Services</t>
        </is>
      </c>
      <c r="E1908" s="16" t="inlineStr">
        <is>
          <t>Banking and Finance</t>
        </is>
      </c>
      <c r="F1908" s="17" t="n">
        <v>573.45</v>
      </c>
      <c r="G1908" s="16" t="inlineStr"/>
      <c r="H1908" s="16" t="inlineStr">
        <is>
          <t>526071</t>
        </is>
      </c>
      <c r="I1908" s="27">
        <f>IFERROR(IF(INDEX(Stocks!$G$2:$G$2139,MATCH(A1908,Stocks!$E$2:$E$2139,0))="","No","Yes"),"No")</f>
        <v/>
      </c>
    </row>
    <row r="1909">
      <c r="A1909" s="16" t="inlineStr">
        <is>
          <t>INE761G01016</t>
        </is>
      </c>
      <c r="B1909" s="16" t="inlineStr">
        <is>
          <t>BLACKROSE</t>
        </is>
      </c>
      <c r="C1909" s="16" t="inlineStr">
        <is>
          <t>Black Rose Industries Ltd.</t>
        </is>
      </c>
      <c r="D1909" s="16" t="inlineStr">
        <is>
          <t>Commodity Trading  &amp; Distribution</t>
        </is>
      </c>
      <c r="E1909" s="16" t="inlineStr">
        <is>
          <t>Commercial Services &amp; Supplies</t>
        </is>
      </c>
      <c r="F1909" s="17" t="n">
        <v>573.24</v>
      </c>
      <c r="G1909" s="16" t="inlineStr"/>
      <c r="H1909" s="16" t="inlineStr">
        <is>
          <t>514183</t>
        </is>
      </c>
      <c r="I1909" s="27">
        <f>IFERROR(IF(INDEX(Stocks!$G$2:$G$2139,MATCH(A1909,Stocks!$E$2:$E$2139,0))="","No","Yes"),"No")</f>
        <v/>
      </c>
    </row>
    <row r="1910">
      <c r="A1910" s="16" t="inlineStr">
        <is>
          <t>INE953E01022</t>
        </is>
      </c>
      <c r="B1910" s="16" t="inlineStr">
        <is>
          <t>KSE</t>
        </is>
      </c>
      <c r="C1910" s="16" t="inlineStr">
        <is>
          <t>KSE Ltd.</t>
        </is>
      </c>
      <c r="D1910" s="16" t="inlineStr">
        <is>
          <t>Other Food &amp; Beverages</t>
        </is>
      </c>
      <c r="E1910" s="16" t="inlineStr">
        <is>
          <t>Food, Beverages &amp; Tobacco</t>
        </is>
      </c>
      <c r="F1910" s="17" t="n">
        <v>573.12</v>
      </c>
      <c r="G1910" s="16" t="inlineStr"/>
      <c r="H1910" s="16" t="inlineStr">
        <is>
          <t>519421</t>
        </is>
      </c>
      <c r="I1910" s="27">
        <f>IFERROR(IF(INDEX(Stocks!$G$2:$G$2139,MATCH(A1910,Stocks!$E$2:$E$2139,0))="","No","Yes"),"No")</f>
        <v/>
      </c>
    </row>
    <row r="1911">
      <c r="A1911" s="16" t="inlineStr">
        <is>
          <t>INE222F01029</t>
        </is>
      </c>
      <c r="B1911" s="16" t="inlineStr">
        <is>
          <t>VTMLTD</t>
        </is>
      </c>
      <c r="C1911" s="16" t="inlineStr">
        <is>
          <t>VTM Ltd.</t>
        </is>
      </c>
      <c r="D1911" s="16" t="inlineStr">
        <is>
          <t>Textiles</t>
        </is>
      </c>
      <c r="E1911" s="16" t="inlineStr">
        <is>
          <t>Textiles Apparels &amp; Accessories</t>
        </is>
      </c>
      <c r="F1911" s="17" t="n">
        <v>573.04</v>
      </c>
      <c r="G1911" s="16" t="inlineStr"/>
      <c r="H1911" s="16" t="inlineStr">
        <is>
          <t>532893</t>
        </is>
      </c>
      <c r="I1911" s="27">
        <f>IFERROR(IF(INDEX(Stocks!$G$2:$G$2139,MATCH(A1911,Stocks!$E$2:$E$2139,0))="","No","Yes"),"No")</f>
        <v/>
      </c>
    </row>
    <row r="1912">
      <c r="A1912" s="16" t="inlineStr">
        <is>
          <t>INE0NT601018</t>
        </is>
      </c>
      <c r="B1912" s="16" t="inlineStr">
        <is>
          <t>GARGI</t>
        </is>
      </c>
      <c r="C1912" s="16" t="inlineStr">
        <is>
          <t>PNGS Gargi Fashion Jewellery Ltd.</t>
        </is>
      </c>
      <c r="D1912" s="16" t="inlineStr">
        <is>
          <t>Gems &amp; Jewellery</t>
        </is>
      </c>
      <c r="E1912" s="16" t="inlineStr">
        <is>
          <t>Textiles Apparels &amp; Accessories</t>
        </is>
      </c>
      <c r="F1912" s="17" t="n">
        <v>572.73</v>
      </c>
      <c r="G1912" s="16" t="inlineStr"/>
      <c r="H1912" s="16" t="inlineStr">
        <is>
          <t>543709</t>
        </is>
      </c>
      <c r="I1912" s="27">
        <f>IFERROR(IF(INDEX(Stocks!$G$2:$G$2139,MATCH(A1912,Stocks!$E$2:$E$2139,0))="","No","Yes"),"No")</f>
        <v/>
      </c>
    </row>
    <row r="1913">
      <c r="A1913" s="16" t="inlineStr">
        <is>
          <t>INE0I7D01019</t>
        </is>
      </c>
      <c r="B1913" s="16" t="inlineStr">
        <is>
          <t>FOCE</t>
        </is>
      </c>
      <c r="C1913" s="16" t="inlineStr">
        <is>
          <t>Foce India Ltd.</t>
        </is>
      </c>
      <c r="D1913" s="16" t="inlineStr">
        <is>
          <t>Other Apparels &amp; Accessories</t>
        </is>
      </c>
      <c r="E1913" s="16" t="inlineStr">
        <is>
          <t>Textiles Apparels &amp; Accessories</t>
        </is>
      </c>
      <c r="F1913" s="17" t="n">
        <v>571.88</v>
      </c>
      <c r="G1913" s="16" t="inlineStr">
        <is>
          <t>FOCE</t>
        </is>
      </c>
      <c r="H1913" s="16" t="inlineStr"/>
      <c r="I1913" s="27">
        <f>IFERROR(IF(INDEX(Stocks!$G$2:$G$2139,MATCH(A1913,Stocks!$E$2:$E$2139,0))="","No","Yes"),"No")</f>
        <v/>
      </c>
    </row>
    <row r="1914">
      <c r="A1914" s="16" t="inlineStr">
        <is>
          <t>INE1KLZ01011</t>
        </is>
      </c>
      <c r="B1914" s="16" t="inlineStr">
        <is>
          <t>SYSTEMATIC</t>
        </is>
      </c>
      <c r="C1914" s="16" t="inlineStr">
        <is>
          <t>Systematic Industries Ltd.</t>
        </is>
      </c>
      <c r="D1914" s="16" t="inlineStr">
        <is>
          <t>Wires &amp; Cables</t>
        </is>
      </c>
      <c r="E1914" s="16" t="inlineStr">
        <is>
          <t>Consumer Durables</t>
        </is>
      </c>
      <c r="F1914" s="17" t="n">
        <v>571.12</v>
      </c>
      <c r="G1914" s="16" t="inlineStr"/>
      <c r="H1914" s="16" t="inlineStr">
        <is>
          <t>544541</t>
        </is>
      </c>
      <c r="I1914" s="27">
        <f>IFERROR(IF(INDEX(Stocks!$G$2:$G$2139,MATCH(A1914,Stocks!$E$2:$E$2139,0))="","No","Yes"),"No")</f>
        <v/>
      </c>
    </row>
    <row r="1915">
      <c r="A1915" s="16" t="inlineStr">
        <is>
          <t>INE491D01017</t>
        </is>
      </c>
      <c r="B1915" s="16" t="inlineStr">
        <is>
          <t>ARVAYA</t>
        </is>
      </c>
      <c r="C1915" s="16" t="inlineStr">
        <is>
          <t>Arvaya Healthcare Ltd.</t>
        </is>
      </c>
      <c r="D1915" s="16" t="inlineStr">
        <is>
          <t>Commodity Trading  &amp; Distribution</t>
        </is>
      </c>
      <c r="E1915" s="16" t="inlineStr">
        <is>
          <t>Commercial Services &amp; Supplies</t>
        </is>
      </c>
      <c r="F1915" s="17" t="n">
        <v>570.26</v>
      </c>
      <c r="G1915" s="16" t="inlineStr"/>
      <c r="H1915" s="16" t="inlineStr">
        <is>
          <t>524723</t>
        </is>
      </c>
      <c r="I1915" s="27">
        <f>IFERROR(IF(INDEX(Stocks!$G$2:$G$2139,MATCH(A1915,Stocks!$E$2:$E$2139,0))="","No","Yes"),"No")</f>
        <v/>
      </c>
    </row>
    <row r="1916">
      <c r="A1916" s="16" t="inlineStr">
        <is>
          <t>INE416A01051</t>
        </is>
      </c>
      <c r="B1916" s="16" t="inlineStr">
        <is>
          <t>AQYLON</t>
        </is>
      </c>
      <c r="C1916" s="16" t="inlineStr">
        <is>
          <t>Aqylon Nexus Ltd.</t>
        </is>
      </c>
      <c r="D1916" s="16" t="inlineStr">
        <is>
          <t>Movies &amp; Entertainment</t>
        </is>
      </c>
      <c r="E1916" s="16" t="inlineStr">
        <is>
          <t>Media</t>
        </is>
      </c>
      <c r="F1916" s="17" t="n">
        <v>569.88</v>
      </c>
      <c r="G1916" s="16" t="inlineStr">
        <is>
          <t>AQYLON</t>
        </is>
      </c>
      <c r="H1916" s="16" t="inlineStr">
        <is>
          <t>530943</t>
        </is>
      </c>
      <c r="I1916" s="27">
        <f>IFERROR(IF(INDEX(Stocks!$G$2:$G$2139,MATCH(A1916,Stocks!$E$2:$E$2139,0))="","No","Yes"),"No")</f>
        <v/>
      </c>
    </row>
    <row r="1917">
      <c r="A1917" s="16" t="inlineStr">
        <is>
          <t>INE636A01039</t>
        </is>
      </c>
      <c r="B1917" s="16" t="inlineStr">
        <is>
          <t>MAWANASUG</t>
        </is>
      </c>
      <c r="C1917" s="16" t="inlineStr">
        <is>
          <t>Mawana Sugars Ltd.</t>
        </is>
      </c>
      <c r="D1917" s="16" t="inlineStr">
        <is>
          <t>Sugar</t>
        </is>
      </c>
      <c r="E1917" s="16" t="inlineStr">
        <is>
          <t>Food, Beverages &amp; Tobacco</t>
        </is>
      </c>
      <c r="F1917" s="17" t="n">
        <v>568.88</v>
      </c>
      <c r="G1917" s="16" t="inlineStr">
        <is>
          <t>MAWANASUG</t>
        </is>
      </c>
      <c r="H1917" s="16" t="inlineStr">
        <is>
          <t>523371</t>
        </is>
      </c>
      <c r="I1917" s="27">
        <f>IFERROR(IF(INDEX(Stocks!$G$2:$G$2139,MATCH(A1917,Stocks!$E$2:$E$2139,0))="","No","Yes"),"No")</f>
        <v/>
      </c>
    </row>
    <row r="1918">
      <c r="A1918" s="16" t="inlineStr">
        <is>
          <t>INE303A01010</t>
        </is>
      </c>
      <c r="B1918" s="16" t="inlineStr">
        <is>
          <t>DICIND</t>
        </is>
      </c>
      <c r="C1918" s="16" t="inlineStr">
        <is>
          <t>DIC India Ltd.</t>
        </is>
      </c>
      <c r="D1918" s="16" t="inlineStr">
        <is>
          <t>Specialty Chemicals</t>
        </is>
      </c>
      <c r="E1918" s="16" t="inlineStr">
        <is>
          <t>Chemicals &amp; Petrochemicals</t>
        </is>
      </c>
      <c r="F1918" s="17" t="n">
        <v>567.8099999999999</v>
      </c>
      <c r="G1918" s="16" t="inlineStr">
        <is>
          <t>DICIND</t>
        </is>
      </c>
      <c r="H1918" s="16" t="inlineStr">
        <is>
          <t>500089</t>
        </is>
      </c>
      <c r="I1918" s="27">
        <f>IFERROR(IF(INDEX(Stocks!$G$2:$G$2139,MATCH(A1918,Stocks!$E$2:$E$2139,0))="","No","Yes"),"No")</f>
        <v/>
      </c>
    </row>
    <row r="1919">
      <c r="A1919" s="16" t="inlineStr">
        <is>
          <t>INE371F01024</t>
        </is>
      </c>
      <c r="B1919" s="16" t="inlineStr">
        <is>
          <t>CHANDRIMA</t>
        </is>
      </c>
      <c r="C1919" s="16" t="inlineStr">
        <is>
          <t>Chandrima Mercantiles Ltd.</t>
        </is>
      </c>
      <c r="D1919" s="16" t="inlineStr">
        <is>
          <t>Commodity Trading  &amp; Distribution</t>
        </is>
      </c>
      <c r="E1919" s="16" t="inlineStr">
        <is>
          <t>Commercial Services &amp; Supplies</t>
        </is>
      </c>
      <c r="F1919" s="17" t="n">
        <v>566.72</v>
      </c>
      <c r="G1919" s="16" t="inlineStr"/>
      <c r="H1919" s="16" t="inlineStr">
        <is>
          <t>540829</t>
        </is>
      </c>
      <c r="I1919" s="27">
        <f>IFERROR(IF(INDEX(Stocks!$G$2:$G$2139,MATCH(A1919,Stocks!$E$2:$E$2139,0))="","No","Yes"),"No")</f>
        <v/>
      </c>
    </row>
    <row r="1920">
      <c r="A1920" s="16" t="inlineStr">
        <is>
          <t>INE498D01012</t>
        </is>
      </c>
      <c r="B1920" s="16" t="inlineStr">
        <is>
          <t>SATANIBRG</t>
        </is>
      </c>
      <c r="C1920" s="16" t="inlineStr">
        <is>
          <t>Satani Bearings Ltd.</t>
        </is>
      </c>
      <c r="D1920" s="16" t="inlineStr">
        <is>
          <t>Industrial Machinery</t>
        </is>
      </c>
      <c r="E1920" s="16" t="inlineStr">
        <is>
          <t>General Industrials</t>
        </is>
      </c>
      <c r="F1920" s="17" t="n">
        <v>566.1</v>
      </c>
      <c r="G1920" s="16" t="inlineStr"/>
      <c r="H1920" s="16" t="inlineStr">
        <is>
          <t>505703</t>
        </is>
      </c>
      <c r="I1920" s="27">
        <f>IFERROR(IF(INDEX(Stocks!$G$2:$G$2139,MATCH(A1920,Stocks!$E$2:$E$2139,0))="","No","Yes"),"No")</f>
        <v/>
      </c>
    </row>
    <row r="1921">
      <c r="A1921" s="16" t="inlineStr">
        <is>
          <t>INE0MIS01010</t>
        </is>
      </c>
      <c r="B1921" s="16" t="inlineStr">
        <is>
          <t>PYRAMID</t>
        </is>
      </c>
      <c r="C1921" s="16" t="inlineStr">
        <is>
          <t>Pyramid Technoplast Ltd.</t>
        </is>
      </c>
      <c r="D1921" s="16" t="inlineStr">
        <is>
          <t>Containers &amp; Packaging</t>
        </is>
      </c>
      <c r="E1921" s="16" t="inlineStr">
        <is>
          <t>Commercial Services &amp; Supplies</t>
        </is>
      </c>
      <c r="F1921" s="17" t="n">
        <v>565.86</v>
      </c>
      <c r="G1921" s="16" t="inlineStr">
        <is>
          <t>PYRAMID</t>
        </is>
      </c>
      <c r="H1921" s="16" t="inlineStr">
        <is>
          <t>543969</t>
        </is>
      </c>
      <c r="I1921" s="27">
        <f>IFERROR(IF(INDEX(Stocks!$G$2:$G$2139,MATCH(A1921,Stocks!$E$2:$E$2139,0))="","No","Yes"),"No")</f>
        <v/>
      </c>
    </row>
    <row r="1922">
      <c r="A1922" s="16" t="inlineStr">
        <is>
          <t>INE802B01027</t>
        </is>
      </c>
      <c r="B1922" s="16" t="inlineStr">
        <is>
          <t>LINC</t>
        </is>
      </c>
      <c r="C1922" s="16" t="inlineStr">
        <is>
          <t>Linc Ltd.</t>
        </is>
      </c>
      <c r="D1922" s="16" t="inlineStr">
        <is>
          <t>Commodity Printing/Stationery</t>
        </is>
      </c>
      <c r="E1922" s="16" t="inlineStr">
        <is>
          <t>Commercial Services &amp; Supplies</t>
        </is>
      </c>
      <c r="F1922" s="17" t="n">
        <v>565.5599999999999</v>
      </c>
      <c r="G1922" s="16" t="inlineStr">
        <is>
          <t>LINC</t>
        </is>
      </c>
      <c r="H1922" s="16" t="inlineStr">
        <is>
          <t>531241</t>
        </is>
      </c>
      <c r="I1922" s="27">
        <f>IFERROR(IF(INDEX(Stocks!$G$2:$G$2139,MATCH(A1922,Stocks!$E$2:$E$2139,0))="","No","Yes"),"No")</f>
        <v/>
      </c>
    </row>
    <row r="1923">
      <c r="A1923" s="16" t="inlineStr">
        <is>
          <t>INE984B01023</t>
        </is>
      </c>
      <c r="B1923" s="16" t="inlineStr">
        <is>
          <t>INTEGRAEN</t>
        </is>
      </c>
      <c r="C1923" s="16" t="inlineStr">
        <is>
          <t>Integra Engineering India Ltd.</t>
        </is>
      </c>
      <c r="D1923" s="16" t="inlineStr">
        <is>
          <t>Industrial Machinery</t>
        </is>
      </c>
      <c r="E1923" s="16" t="inlineStr">
        <is>
          <t>General Industrials</t>
        </is>
      </c>
      <c r="F1923" s="17" t="n">
        <v>565.09</v>
      </c>
      <c r="G1923" s="16" t="inlineStr"/>
      <c r="H1923" s="16" t="inlineStr">
        <is>
          <t>505358</t>
        </is>
      </c>
      <c r="I1923" s="27">
        <f>IFERROR(IF(INDEX(Stocks!$G$2:$G$2139,MATCH(A1923,Stocks!$E$2:$E$2139,0))="","No","Yes"),"No")</f>
        <v/>
      </c>
    </row>
    <row r="1924">
      <c r="A1924" s="16" t="inlineStr">
        <is>
          <t>INE13YH01017</t>
        </is>
      </c>
      <c r="B1924" s="16" t="inlineStr">
        <is>
          <t>SKM</t>
        </is>
      </c>
      <c r="C1924" s="16" t="inlineStr">
        <is>
          <t>SK Minerals &amp; Additives Ltd.</t>
        </is>
      </c>
      <c r="D1924" s="16" t="inlineStr">
        <is>
          <t>Specialty Chemicals</t>
        </is>
      </c>
      <c r="E1924" s="16" t="inlineStr">
        <is>
          <t>Chemicals &amp; Petrochemicals</t>
        </is>
      </c>
      <c r="F1924" s="17" t="n">
        <v>564.88</v>
      </c>
      <c r="G1924" s="16" t="inlineStr"/>
      <c r="H1924" s="16" t="inlineStr">
        <is>
          <t>544584</t>
        </is>
      </c>
      <c r="I1924" s="27">
        <f>IFERROR(IF(INDEX(Stocks!$G$2:$G$2139,MATCH(A1924,Stocks!$E$2:$E$2139,0))="","No","Yes"),"No")</f>
        <v/>
      </c>
    </row>
    <row r="1925">
      <c r="A1925" s="16" t="inlineStr">
        <is>
          <t>INE555P01013</t>
        </is>
      </c>
      <c r="B1925" s="16" t="inlineStr">
        <is>
          <t>KIRANVYPAR</t>
        </is>
      </c>
      <c r="C1925" s="16" t="inlineStr">
        <is>
          <t>Kiran Vyapar Ltd.</t>
        </is>
      </c>
      <c r="D1925" s="16" t="inlineStr">
        <is>
          <t>Investment Companies</t>
        </is>
      </c>
      <c r="E1925" s="16" t="inlineStr">
        <is>
          <t>Others</t>
        </is>
      </c>
      <c r="F1925" s="17" t="n">
        <v>564.51</v>
      </c>
      <c r="G1925" s="16" t="inlineStr"/>
      <c r="H1925" s="16" t="inlineStr">
        <is>
          <t>537750</t>
        </is>
      </c>
      <c r="I1925" s="27">
        <f>IFERROR(IF(INDEX(Stocks!$G$2:$G$2139,MATCH(A1925,Stocks!$E$2:$E$2139,0))="","No","Yes"),"No")</f>
        <v/>
      </c>
    </row>
    <row r="1926">
      <c r="A1926" s="16" t="inlineStr">
        <is>
          <t>INE597Z01014</t>
        </is>
      </c>
      <c r="B1926" s="16" t="inlineStr">
        <is>
          <t>COMMITTED</t>
        </is>
      </c>
      <c r="C1926" s="16" t="inlineStr">
        <is>
          <t>Committed Cargo Care Ltd.</t>
        </is>
      </c>
      <c r="D1926" s="16" t="inlineStr">
        <is>
          <t>Warehousing &amp; Logistics</t>
        </is>
      </c>
      <c r="E1926" s="16" t="inlineStr">
        <is>
          <t>Transportation</t>
        </is>
      </c>
      <c r="F1926" s="17" t="n">
        <v>562.6799999999999</v>
      </c>
      <c r="G1926" s="16" t="inlineStr">
        <is>
          <t>COMMITTED</t>
        </is>
      </c>
      <c r="H1926" s="16" t="inlineStr"/>
      <c r="I1926" s="27">
        <f>IFERROR(IF(INDEX(Stocks!$G$2:$G$2139,MATCH(A1926,Stocks!$E$2:$E$2139,0))="","No","Yes"),"No")</f>
        <v/>
      </c>
    </row>
    <row r="1927">
      <c r="A1927" s="16" t="inlineStr">
        <is>
          <t>INE401Z01019</t>
        </is>
      </c>
      <c r="B1927" s="16" t="inlineStr">
        <is>
          <t>FRATELLI</t>
        </is>
      </c>
      <c r="C1927" s="16" t="inlineStr">
        <is>
          <t>Fratelli Vineyards Ltd.</t>
        </is>
      </c>
      <c r="D1927" s="16" t="inlineStr">
        <is>
          <t>Commodity Trading  &amp; Distribution</t>
        </is>
      </c>
      <c r="E1927" s="16" t="inlineStr">
        <is>
          <t>Commercial Services &amp; Supplies</t>
        </is>
      </c>
      <c r="F1927" s="17" t="n">
        <v>560.22</v>
      </c>
      <c r="G1927" s="16" t="inlineStr"/>
      <c r="H1927" s="16" t="inlineStr">
        <is>
          <t>541741</t>
        </is>
      </c>
      <c r="I1927" s="27">
        <f>IFERROR(IF(INDEX(Stocks!$G$2:$G$2139,MATCH(A1927,Stocks!$E$2:$E$2139,0))="","No","Yes"),"No")</f>
        <v/>
      </c>
    </row>
    <row r="1928">
      <c r="A1928" s="16" t="inlineStr">
        <is>
          <t>INE0PSK01027</t>
        </is>
      </c>
      <c r="B1928" s="16" t="inlineStr">
        <is>
          <t>SAAKSHI</t>
        </is>
      </c>
      <c r="C1928" s="16" t="inlineStr">
        <is>
          <t>Saakshi Medtech &amp; Panels Ltd.</t>
        </is>
      </c>
      <c r="D1928" s="16" t="inlineStr">
        <is>
          <t>Heavy Electrical Equipment</t>
        </is>
      </c>
      <c r="E1928" s="16" t="inlineStr">
        <is>
          <t>General Industrials</t>
        </is>
      </c>
      <c r="F1928" s="17" t="n">
        <v>560.22</v>
      </c>
      <c r="G1928" s="16" t="inlineStr">
        <is>
          <t>SAAKSHI</t>
        </is>
      </c>
      <c r="H1928" s="16" t="inlineStr"/>
      <c r="I1928" s="27">
        <f>IFERROR(IF(INDEX(Stocks!$G$2:$G$2139,MATCH(A1928,Stocks!$E$2:$E$2139,0))="","No","Yes"),"No")</f>
        <v/>
      </c>
    </row>
    <row r="1929">
      <c r="A1929" s="16" t="inlineStr">
        <is>
          <t>INE413G01022</t>
        </is>
      </c>
      <c r="B1929" s="16" t="inlineStr">
        <is>
          <t>TPLPLASTEH</t>
        </is>
      </c>
      <c r="C1929" s="16" t="inlineStr">
        <is>
          <t>TPL Plastech Ltd.</t>
        </is>
      </c>
      <c r="D1929" s="16" t="inlineStr">
        <is>
          <t>Plastic Products</t>
        </is>
      </c>
      <c r="E1929" s="16" t="inlineStr">
        <is>
          <t>General Industrials</t>
        </is>
      </c>
      <c r="F1929" s="17" t="n">
        <v>559.59</v>
      </c>
      <c r="G1929" s="16" t="inlineStr">
        <is>
          <t>TPLPLASTEH</t>
        </is>
      </c>
      <c r="H1929" s="16" t="inlineStr">
        <is>
          <t>526582</t>
        </is>
      </c>
      <c r="I1929" s="27">
        <f>IFERROR(IF(INDEX(Stocks!$G$2:$G$2139,MATCH(A1929,Stocks!$E$2:$E$2139,0))="","No","Yes"),"No")</f>
        <v/>
      </c>
    </row>
    <row r="1930">
      <c r="A1930" s="16" t="inlineStr">
        <is>
          <t>INE286H01012</t>
        </is>
      </c>
      <c r="B1930" s="16" t="inlineStr">
        <is>
          <t>VISACHROME</t>
        </is>
      </c>
      <c r="C1930" s="16" t="inlineStr">
        <is>
          <t>VISA Chrome Ltd.</t>
        </is>
      </c>
      <c r="D1930" s="16" t="inlineStr">
        <is>
          <t>Iron &amp; Steel/Interm.Products</t>
        </is>
      </c>
      <c r="E1930" s="16" t="inlineStr">
        <is>
          <t>Metals &amp; Mining</t>
        </is>
      </c>
      <c r="F1930" s="17" t="n">
        <v>558.96</v>
      </c>
      <c r="G1930" s="16" t="inlineStr">
        <is>
          <t>VISACHROME</t>
        </is>
      </c>
      <c r="H1930" s="16" t="inlineStr">
        <is>
          <t>532721</t>
        </is>
      </c>
      <c r="I1930" s="27">
        <f>IFERROR(IF(INDEX(Stocks!$G$2:$G$2139,MATCH(A1930,Stocks!$E$2:$E$2139,0))="","No","Yes"),"No")</f>
        <v/>
      </c>
    </row>
    <row r="1931">
      <c r="A1931" s="16" t="inlineStr">
        <is>
          <t>INE938C01019</t>
        </is>
      </c>
      <c r="B1931" s="16" t="inlineStr">
        <is>
          <t>LAKSHMIMIL</t>
        </is>
      </c>
      <c r="C1931" s="16" t="inlineStr">
        <is>
          <t>Lakshmi Mills Company Ltd.</t>
        </is>
      </c>
      <c r="D1931" s="16" t="inlineStr">
        <is>
          <t>Textiles</t>
        </is>
      </c>
      <c r="E1931" s="16" t="inlineStr">
        <is>
          <t>Textiles Apparels &amp; Accessories</t>
        </is>
      </c>
      <c r="F1931" s="17" t="n">
        <v>556.48</v>
      </c>
      <c r="G1931" s="16" t="inlineStr"/>
      <c r="H1931" s="16" t="inlineStr">
        <is>
          <t>502958</t>
        </is>
      </c>
      <c r="I1931" s="27">
        <f>IFERROR(IF(INDEX(Stocks!$G$2:$G$2139,MATCH(A1931,Stocks!$E$2:$E$2139,0))="","No","Yes"),"No")</f>
        <v/>
      </c>
    </row>
    <row r="1932">
      <c r="A1932" s="16" t="inlineStr">
        <is>
          <t>INE0QHG01026</t>
        </is>
      </c>
      <c r="B1932" s="16" t="inlineStr">
        <is>
          <t>SUPREMEPWR</t>
        </is>
      </c>
      <c r="C1932" s="16" t="inlineStr">
        <is>
          <t>Supreme Power Equipment Ltd.</t>
        </is>
      </c>
      <c r="D1932" s="16" t="inlineStr">
        <is>
          <t>Heavy Electrical Equipment</t>
        </is>
      </c>
      <c r="E1932" s="16" t="inlineStr">
        <is>
          <t>General Industrials</t>
        </is>
      </c>
      <c r="F1932" s="17" t="n">
        <v>556.3</v>
      </c>
      <c r="G1932" s="16" t="inlineStr">
        <is>
          <t>SUPREMEPWR</t>
        </is>
      </c>
      <c r="H1932" s="16" t="inlineStr"/>
      <c r="I1932" s="27">
        <f>IFERROR(IF(INDEX(Stocks!$G$2:$G$2139,MATCH(A1932,Stocks!$E$2:$E$2139,0))="","No","Yes"),"No")</f>
        <v/>
      </c>
    </row>
    <row r="1933">
      <c r="A1933" s="16" t="inlineStr">
        <is>
          <t>INE0R8C01018</t>
        </is>
      </c>
      <c r="B1933" s="16" t="inlineStr">
        <is>
          <t>GGBL</t>
        </is>
      </c>
      <c r="C1933" s="16" t="inlineStr">
        <is>
          <t>Ganesh Green Bharat Ltd.</t>
        </is>
      </c>
      <c r="D1933" s="16" t="inlineStr">
        <is>
          <t>Power - Electric Utilities</t>
        </is>
      </c>
      <c r="E1933" s="16" t="inlineStr">
        <is>
          <t>Utilities</t>
        </is>
      </c>
      <c r="F1933" s="17" t="n">
        <v>552.8099999999999</v>
      </c>
      <c r="G1933" s="16" t="inlineStr">
        <is>
          <t>GGBL</t>
        </is>
      </c>
      <c r="H1933" s="16" t="inlineStr"/>
      <c r="I1933" s="27">
        <f>IFERROR(IF(INDEX(Stocks!$G$2:$G$2139,MATCH(A1933,Stocks!$E$2:$E$2139,0))="","No","Yes"),"No")</f>
        <v/>
      </c>
    </row>
    <row r="1934">
      <c r="A1934" s="16" t="inlineStr">
        <is>
          <t>INE260R01016</t>
        </is>
      </c>
      <c r="B1934" s="16" t="inlineStr">
        <is>
          <t>DHABRIYA</t>
        </is>
      </c>
      <c r="C1934" s="16" t="inlineStr">
        <is>
          <t>Dhabriya Polywood Ltd.</t>
        </is>
      </c>
      <c r="D1934" s="16" t="inlineStr">
        <is>
          <t>Plastic Products</t>
        </is>
      </c>
      <c r="E1934" s="16" t="inlineStr">
        <is>
          <t>General Industrials</t>
        </is>
      </c>
      <c r="F1934" s="17" t="n">
        <v>552.3</v>
      </c>
      <c r="G1934" s="16" t="inlineStr"/>
      <c r="H1934" s="16" t="inlineStr">
        <is>
          <t>538715</t>
        </is>
      </c>
      <c r="I1934" s="27">
        <f>IFERROR(IF(INDEX(Stocks!$G$2:$G$2139,MATCH(A1934,Stocks!$E$2:$E$2139,0))="","No","Yes"),"No")</f>
        <v/>
      </c>
    </row>
    <row r="1935">
      <c r="A1935" s="16" t="inlineStr">
        <is>
          <t>INE564J01026</t>
        </is>
      </c>
      <c r="B1935" s="16" t="inlineStr">
        <is>
          <t>SHRJAGP</t>
        </is>
      </c>
      <c r="C1935" s="16" t="inlineStr">
        <is>
          <t>Shri Jagdamba Polymers Ltd.</t>
        </is>
      </c>
      <c r="D1935" s="16" t="inlineStr">
        <is>
          <t>Plastic Products</t>
        </is>
      </c>
      <c r="E1935" s="16" t="inlineStr">
        <is>
          <t>General Industrials</t>
        </is>
      </c>
      <c r="F1935" s="17" t="n">
        <v>550.88</v>
      </c>
      <c r="G1935" s="16" t="inlineStr"/>
      <c r="H1935" s="16" t="inlineStr">
        <is>
          <t>512453</t>
        </is>
      </c>
      <c r="I1935" s="27">
        <f>IFERROR(IF(INDEX(Stocks!$G$2:$G$2139,MATCH(A1935,Stocks!$E$2:$E$2139,0))="","No","Yes"),"No")</f>
        <v/>
      </c>
    </row>
    <row r="1936">
      <c r="A1936" s="16" t="inlineStr">
        <is>
          <t>INE15XJ01010</t>
        </is>
      </c>
      <c r="B1936" s="16" t="inlineStr">
        <is>
          <t>APPL</t>
        </is>
      </c>
      <c r="C1936" s="16" t="inlineStr">
        <is>
          <t>Aptus Pharma Ltd.</t>
        </is>
      </c>
      <c r="D1936" s="16" t="inlineStr">
        <is>
          <t>Pharmaceuticals</t>
        </is>
      </c>
      <c r="E1936" s="16" t="inlineStr">
        <is>
          <t>Pharmaceuticals &amp; Biotechnology</t>
        </is>
      </c>
      <c r="F1936" s="17" t="n">
        <v>549.5700000000001</v>
      </c>
      <c r="G1936" s="16" t="inlineStr"/>
      <c r="H1936" s="16" t="inlineStr">
        <is>
          <t>544529</t>
        </is>
      </c>
      <c r="I1936" s="27">
        <f>IFERROR(IF(INDEX(Stocks!$G$2:$G$2139,MATCH(A1936,Stocks!$E$2:$E$2139,0))="","No","Yes"),"No")</f>
        <v/>
      </c>
    </row>
    <row r="1937">
      <c r="A1937" s="16" t="inlineStr">
        <is>
          <t>INE138A01028</t>
        </is>
      </c>
      <c r="B1937" s="16" t="inlineStr">
        <is>
          <t>PENINLAND</t>
        </is>
      </c>
      <c r="C1937" s="16" t="inlineStr">
        <is>
          <t>Peninsula Land Ltd.</t>
        </is>
      </c>
      <c r="D1937" s="16" t="inlineStr">
        <is>
          <t>Realty</t>
        </is>
      </c>
      <c r="E1937" s="16" t="inlineStr">
        <is>
          <t>Realty</t>
        </is>
      </c>
      <c r="F1937" s="17" t="n">
        <v>549.54</v>
      </c>
      <c r="G1937" s="16" t="inlineStr">
        <is>
          <t>PENINLAND</t>
        </is>
      </c>
      <c r="H1937" s="16" t="inlineStr">
        <is>
          <t>503031</t>
        </is>
      </c>
      <c r="I1937" s="27">
        <f>IFERROR(IF(INDEX(Stocks!$G$2:$G$2139,MATCH(A1937,Stocks!$E$2:$E$2139,0))="","No","Yes"),"No")</f>
        <v/>
      </c>
    </row>
    <row r="1938">
      <c r="A1938" s="16" t="inlineStr">
        <is>
          <t>INE0WDX01010</t>
        </is>
      </c>
      <c r="B1938" s="16" t="inlineStr">
        <is>
          <t>CLN</t>
        </is>
      </c>
      <c r="C1938" s="16" t="inlineStr">
        <is>
          <t>CLN Energy Ltd.</t>
        </is>
      </c>
      <c r="D1938" s="16" t="inlineStr">
        <is>
          <t>Other Electrical Equipment/Products</t>
        </is>
      </c>
      <c r="E1938" s="16" t="inlineStr">
        <is>
          <t>Consumer Durables</t>
        </is>
      </c>
      <c r="F1938" s="17" t="n">
        <v>548.77</v>
      </c>
      <c r="G1938" s="16" t="inlineStr"/>
      <c r="H1938" s="16" t="inlineStr">
        <is>
          <t>544347</t>
        </is>
      </c>
      <c r="I1938" s="27">
        <f>IFERROR(IF(INDEX(Stocks!$G$2:$G$2139,MATCH(A1938,Stocks!$E$2:$E$2139,0))="","No","Yes"),"No")</f>
        <v/>
      </c>
    </row>
    <row r="1939">
      <c r="A1939" s="16" t="inlineStr">
        <is>
          <t>INE864K01010</t>
        </is>
      </c>
      <c r="B1939" s="16" t="inlineStr">
        <is>
          <t>IRIS</t>
        </is>
      </c>
      <c r="C1939" s="16" t="inlineStr">
        <is>
          <t>IRIS RegTech Solutions Ltd.</t>
        </is>
      </c>
      <c r="D1939" s="16" t="inlineStr">
        <is>
          <t>IT Software Products</t>
        </is>
      </c>
      <c r="E1939" s="16" t="inlineStr">
        <is>
          <t>Software &amp; Services</t>
        </is>
      </c>
      <c r="F1939" s="17" t="n">
        <v>546.95</v>
      </c>
      <c r="G1939" s="16" t="inlineStr">
        <is>
          <t>IRIS</t>
        </is>
      </c>
      <c r="H1939" s="16" t="inlineStr">
        <is>
          <t>540735</t>
        </is>
      </c>
      <c r="I1939" s="27">
        <f>IFERROR(IF(INDEX(Stocks!$G$2:$G$2139,MATCH(A1939,Stocks!$E$2:$E$2139,0))="","No","Yes"),"No")</f>
        <v/>
      </c>
    </row>
    <row r="1940">
      <c r="A1940" s="16" t="inlineStr">
        <is>
          <t>INE249D01019</t>
        </is>
      </c>
      <c r="B1940" s="16" t="inlineStr">
        <is>
          <t>RIDDHI</t>
        </is>
      </c>
      <c r="C1940" s="16" t="inlineStr">
        <is>
          <t>Riddhi Siddhi Gluco Biols Ltd.</t>
        </is>
      </c>
      <c r="D1940" s="16" t="inlineStr">
        <is>
          <t>Commodity Trading  &amp; Distribution</t>
        </is>
      </c>
      <c r="E1940" s="16" t="inlineStr">
        <is>
          <t>Commercial Services &amp; Supplies</t>
        </is>
      </c>
      <c r="F1940" s="17" t="n">
        <v>546.14</v>
      </c>
      <c r="G1940" s="16" t="inlineStr"/>
      <c r="H1940" s="16" t="inlineStr">
        <is>
          <t>524480</t>
        </is>
      </c>
      <c r="I1940" s="27">
        <f>IFERROR(IF(INDEX(Stocks!$G$2:$G$2139,MATCH(A1940,Stocks!$E$2:$E$2139,0))="","No","Yes"),"No")</f>
        <v/>
      </c>
    </row>
    <row r="1941">
      <c r="A1941" s="16" t="inlineStr">
        <is>
          <t>INE0S7E01015</t>
        </is>
      </c>
      <c r="B1941" s="16" t="inlineStr">
        <is>
          <t>GPECO</t>
        </is>
      </c>
      <c r="C1941" s="16" t="inlineStr">
        <is>
          <t>GP Eco Solutions India Ltd.</t>
        </is>
      </c>
      <c r="D1941" s="16" t="inlineStr">
        <is>
          <t>Other Electrical Equipment/Products</t>
        </is>
      </c>
      <c r="E1941" s="16" t="inlineStr">
        <is>
          <t>Consumer Durables</t>
        </is>
      </c>
      <c r="F1941" s="17" t="n">
        <v>544.45</v>
      </c>
      <c r="G1941" s="16" t="inlineStr">
        <is>
          <t>GPECO</t>
        </is>
      </c>
      <c r="H1941" s="16" t="inlineStr"/>
      <c r="I1941" s="27">
        <f>IFERROR(IF(INDEX(Stocks!$G$2:$G$2139,MATCH(A1941,Stocks!$E$2:$E$2139,0))="","No","Yes"),"No")</f>
        <v/>
      </c>
    </row>
    <row r="1942">
      <c r="A1942" s="16" t="inlineStr">
        <is>
          <t>INE037Z01029</t>
        </is>
      </c>
      <c r="B1942" s="16" t="inlineStr">
        <is>
          <t>CEWATER</t>
        </is>
      </c>
      <c r="C1942" s="16" t="inlineStr">
        <is>
          <t>Concord Enviro Systems Ltd.</t>
        </is>
      </c>
      <c r="D1942" s="16" t="inlineStr">
        <is>
          <t>Waste Management</t>
        </is>
      </c>
      <c r="E1942" s="16" t="inlineStr">
        <is>
          <t>Utilities</t>
        </is>
      </c>
      <c r="F1942" s="17" t="n">
        <v>543.38</v>
      </c>
      <c r="G1942" s="16" t="inlineStr">
        <is>
          <t>CEWATER</t>
        </is>
      </c>
      <c r="H1942" s="16" t="inlineStr">
        <is>
          <t>544315</t>
        </is>
      </c>
      <c r="I1942" s="27">
        <f>IFERROR(IF(INDEX(Stocks!$G$2:$G$2139,MATCH(A1942,Stocks!$E$2:$E$2139,0))="","No","Yes"),"No")</f>
        <v/>
      </c>
    </row>
    <row r="1943">
      <c r="A1943" s="16" t="inlineStr">
        <is>
          <t>INE885E01042</t>
        </is>
      </c>
      <c r="B1943" s="16" t="inlineStr">
        <is>
          <t>MAZDA</t>
        </is>
      </c>
      <c r="C1943" s="16" t="inlineStr">
        <is>
          <t>Mazda Ltd.</t>
        </is>
      </c>
      <c r="D1943" s="16" t="inlineStr">
        <is>
          <t>Industrial Machinery</t>
        </is>
      </c>
      <c r="E1943" s="16" t="inlineStr">
        <is>
          <t>General Industrials</t>
        </is>
      </c>
      <c r="F1943" s="17" t="n">
        <v>540.6799999999999</v>
      </c>
      <c r="G1943" s="16" t="inlineStr">
        <is>
          <t>MAZDA</t>
        </is>
      </c>
      <c r="H1943" s="16" t="inlineStr">
        <is>
          <t>523792</t>
        </is>
      </c>
      <c r="I1943" s="27">
        <f>IFERROR(IF(INDEX(Stocks!$G$2:$G$2139,MATCH(A1943,Stocks!$E$2:$E$2139,0))="","No","Yes"),"No")</f>
        <v/>
      </c>
    </row>
    <row r="1944">
      <c r="A1944" s="16" t="inlineStr">
        <is>
          <t>INE783E01023</t>
        </is>
      </c>
      <c r="B1944" s="16" t="inlineStr">
        <is>
          <t>HIGHENE</t>
        </is>
      </c>
      <c r="C1944" s="16" t="inlineStr">
        <is>
          <t>High Energy Batteries (India) Ltd.</t>
        </is>
      </c>
      <c r="D1944" s="16" t="inlineStr">
        <is>
          <t>Other Electrical Equipment/Products</t>
        </is>
      </c>
      <c r="E1944" s="16" t="inlineStr">
        <is>
          <t>Consumer Durables</t>
        </is>
      </c>
      <c r="F1944" s="17" t="n">
        <v>540.29</v>
      </c>
      <c r="G1944" s="16" t="inlineStr"/>
      <c r="H1944" s="16" t="inlineStr">
        <is>
          <t>504176</t>
        </is>
      </c>
      <c r="I1944" s="27">
        <f>IFERROR(IF(INDEX(Stocks!$G$2:$G$2139,MATCH(A1944,Stocks!$E$2:$E$2139,0))="","No","Yes"),"No")</f>
        <v/>
      </c>
    </row>
    <row r="1945">
      <c r="A1945" s="16" t="inlineStr">
        <is>
          <t>INE110B01017</t>
        </is>
      </c>
      <c r="B1945" s="16" t="inlineStr">
        <is>
          <t>MINDTECK</t>
        </is>
      </c>
      <c r="C1945" s="16" t="inlineStr">
        <is>
          <t>Mindteck (India) Ltd.</t>
        </is>
      </c>
      <c r="D1945" s="16" t="inlineStr">
        <is>
          <t>IT Consulting &amp; Software</t>
        </is>
      </c>
      <c r="E1945" s="16" t="inlineStr">
        <is>
          <t>Software &amp; Services</t>
        </is>
      </c>
      <c r="F1945" s="17" t="n">
        <v>539.42</v>
      </c>
      <c r="G1945" s="16" t="inlineStr">
        <is>
          <t>MINDTECK</t>
        </is>
      </c>
      <c r="H1945" s="16" t="inlineStr">
        <is>
          <t>517344</t>
        </is>
      </c>
      <c r="I1945" s="27">
        <f>IFERROR(IF(INDEX(Stocks!$G$2:$G$2139,MATCH(A1945,Stocks!$E$2:$E$2139,0))="","No","Yes"),"No")</f>
        <v/>
      </c>
    </row>
    <row r="1946">
      <c r="A1946" s="16" t="inlineStr">
        <is>
          <t>INE966H01019</t>
        </is>
      </c>
      <c r="B1946" s="16" t="inlineStr">
        <is>
          <t>ZEEMEDIA</t>
        </is>
      </c>
      <c r="C1946" s="16" t="inlineStr">
        <is>
          <t>Zee Media Corporation Ltd.</t>
        </is>
      </c>
      <c r="D1946" s="16" t="inlineStr">
        <is>
          <t>Broadcasting &amp; Cable TV</t>
        </is>
      </c>
      <c r="E1946" s="16" t="inlineStr">
        <is>
          <t>Media</t>
        </is>
      </c>
      <c r="F1946" s="17" t="n">
        <v>538.76</v>
      </c>
      <c r="G1946" s="16" t="inlineStr">
        <is>
          <t>ZEEMEDIA</t>
        </is>
      </c>
      <c r="H1946" s="16" t="inlineStr">
        <is>
          <t>532794</t>
        </is>
      </c>
      <c r="I1946" s="27">
        <f>IFERROR(IF(INDEX(Stocks!$G$2:$G$2139,MATCH(A1946,Stocks!$E$2:$E$2139,0))="","No","Yes"),"No")</f>
        <v/>
      </c>
    </row>
    <row r="1947">
      <c r="A1947" s="16" t="inlineStr">
        <is>
          <t>INE03V001013</t>
        </is>
      </c>
      <c r="B1947" s="16" t="inlineStr">
        <is>
          <t>UNIVPHOTO</t>
        </is>
      </c>
      <c r="C1947" s="16" t="inlineStr">
        <is>
          <t>Universus Photo Imagings Ltd.</t>
        </is>
      </c>
      <c r="D1947" s="16" t="inlineStr">
        <is>
          <t>Photographic Products</t>
        </is>
      </c>
      <c r="E1947" s="16" t="inlineStr">
        <is>
          <t>General Industrials</t>
        </is>
      </c>
      <c r="F1947" s="17" t="n">
        <v>536.8200000000001</v>
      </c>
      <c r="G1947" s="16" t="inlineStr">
        <is>
          <t>UNIVPHOTO</t>
        </is>
      </c>
      <c r="H1947" s="16" t="inlineStr">
        <is>
          <t>542933</t>
        </is>
      </c>
      <c r="I1947" s="27">
        <f>IFERROR(IF(INDEX(Stocks!$G$2:$G$2139,MATCH(A1947,Stocks!$E$2:$E$2139,0))="","No","Yes"),"No")</f>
        <v/>
      </c>
    </row>
    <row r="1948">
      <c r="A1948" s="16" t="inlineStr">
        <is>
          <t>INE0HSD01011</t>
        </is>
      </c>
      <c r="B1948" s="16" t="inlineStr">
        <is>
          <t>FABCLEAN</t>
        </is>
      </c>
      <c r="C1948" s="16" t="inlineStr">
        <is>
          <t>Fabtech Cleanrooms Ltd.</t>
        </is>
      </c>
      <c r="D1948" s="16" t="inlineStr">
        <is>
          <t>Medical Equipment</t>
        </is>
      </c>
      <c r="E1948" s="16" t="inlineStr">
        <is>
          <t>Healthcare</t>
        </is>
      </c>
      <c r="F1948" s="17" t="n">
        <v>536.26</v>
      </c>
      <c r="G1948" s="16" t="inlineStr"/>
      <c r="H1948" s="16" t="inlineStr">
        <is>
          <t>544332</t>
        </is>
      </c>
      <c r="I1948" s="27">
        <f>IFERROR(IF(INDEX(Stocks!$G$2:$G$2139,MATCH(A1948,Stocks!$E$2:$E$2139,0))="","No","Yes"),"No")</f>
        <v/>
      </c>
    </row>
    <row r="1949">
      <c r="A1949" s="16" t="inlineStr">
        <is>
          <t>INE0X3M01010</t>
        </is>
      </c>
      <c r="B1949" s="16" t="inlineStr">
        <is>
          <t>BLUEWATER</t>
        </is>
      </c>
      <c r="C1949" s="16" t="inlineStr">
        <is>
          <t>Blue Water Logistics Ltd.</t>
        </is>
      </c>
      <c r="D1949" s="16" t="inlineStr">
        <is>
          <t>Warehousing &amp; Logistics</t>
        </is>
      </c>
      <c r="E1949" s="16" t="inlineStr">
        <is>
          <t>Transportation</t>
        </is>
      </c>
      <c r="F1949" s="17" t="n">
        <v>535.42</v>
      </c>
      <c r="G1949" s="16" t="inlineStr">
        <is>
          <t>BLUEWATER</t>
        </is>
      </c>
      <c r="H1949" s="16" t="inlineStr"/>
      <c r="I1949" s="27">
        <f>IFERROR(IF(INDEX(Stocks!$G$2:$G$2139,MATCH(A1949,Stocks!$E$2:$E$2139,0))="","No","Yes"),"No")</f>
        <v/>
      </c>
    </row>
    <row r="1950">
      <c r="A1950" s="16" t="inlineStr">
        <is>
          <t>INE745B01028</t>
        </is>
      </c>
      <c r="B1950" s="16" t="inlineStr">
        <is>
          <t>KHAICHEM</t>
        </is>
      </c>
      <c r="C1950" s="16" t="inlineStr">
        <is>
          <t>Khaitan Chemicals &amp; Fertilizers Ltd.</t>
        </is>
      </c>
      <c r="D1950" s="16" t="inlineStr">
        <is>
          <t>Fertilizers</t>
        </is>
      </c>
      <c r="E1950" s="16" t="inlineStr">
        <is>
          <t>Fertilizers</t>
        </is>
      </c>
      <c r="F1950" s="17" t="n">
        <v>532.08</v>
      </c>
      <c r="G1950" s="16" t="inlineStr">
        <is>
          <t>KHAICHEM</t>
        </is>
      </c>
      <c r="H1950" s="16" t="inlineStr">
        <is>
          <t>507794</t>
        </is>
      </c>
      <c r="I1950" s="27">
        <f>IFERROR(IF(INDEX(Stocks!$G$2:$G$2139,MATCH(A1950,Stocks!$E$2:$E$2139,0))="","No","Yes"),"No")</f>
        <v/>
      </c>
    </row>
    <row r="1951">
      <c r="A1951" s="16" t="inlineStr">
        <is>
          <t>INE569C01020</t>
        </is>
      </c>
      <c r="B1951" s="16" t="inlineStr">
        <is>
          <t>ORIENTCER</t>
        </is>
      </c>
      <c r="C1951" s="16" t="inlineStr">
        <is>
          <t>Orient Ceratech Ltd.</t>
        </is>
      </c>
      <c r="D1951" s="16" t="inlineStr">
        <is>
          <t>Electrodes &amp; Refractories</t>
        </is>
      </c>
      <c r="E1951" s="16" t="inlineStr">
        <is>
          <t>General Industrials</t>
        </is>
      </c>
      <c r="F1951" s="17" t="n">
        <v>525.34</v>
      </c>
      <c r="G1951" s="16" t="inlineStr">
        <is>
          <t>ORIENTCER</t>
        </is>
      </c>
      <c r="H1951" s="16" t="inlineStr">
        <is>
          <t>504879</t>
        </is>
      </c>
      <c r="I1951" s="27">
        <f>IFERROR(IF(INDEX(Stocks!$G$2:$G$2139,MATCH(A1951,Stocks!$E$2:$E$2139,0))="","No","Yes"),"No")</f>
        <v/>
      </c>
    </row>
    <row r="1952">
      <c r="A1952" s="16" t="inlineStr">
        <is>
          <t>INE834C01028</t>
        </is>
      </c>
      <c r="B1952" s="16" t="inlineStr">
        <is>
          <t>MODMA</t>
        </is>
      </c>
      <c r="C1952" s="16" t="inlineStr">
        <is>
          <t>Modern Malleables Ltd.</t>
        </is>
      </c>
      <c r="D1952" s="16" t="inlineStr">
        <is>
          <t>Iron &amp; Steel Products</t>
        </is>
      </c>
      <c r="E1952" s="16" t="inlineStr">
        <is>
          <t>Metals &amp; Mining</t>
        </is>
      </c>
      <c r="F1952" s="17" t="n">
        <v>524.25</v>
      </c>
      <c r="G1952" s="16" t="inlineStr"/>
      <c r="H1952" s="16" t="inlineStr">
        <is>
          <t>517336</t>
        </is>
      </c>
      <c r="I1952" s="27">
        <f>IFERROR(IF(INDEX(Stocks!$G$2:$G$2139,MATCH(A1952,Stocks!$E$2:$E$2139,0))="","No","Yes"),"No")</f>
        <v/>
      </c>
    </row>
    <row r="1953">
      <c r="A1953" s="16" t="inlineStr">
        <is>
          <t>INE587G01015</t>
        </is>
      </c>
      <c r="B1953" s="16" t="inlineStr">
        <is>
          <t>KAYA</t>
        </is>
      </c>
      <c r="C1953" s="16" t="inlineStr">
        <is>
          <t>Kaya Ltd.</t>
        </is>
      </c>
      <c r="D1953" s="16" t="inlineStr">
        <is>
          <t>Special Consumer Services</t>
        </is>
      </c>
      <c r="E1953" s="16" t="inlineStr">
        <is>
          <t>Diversified Consumer Services</t>
        </is>
      </c>
      <c r="F1953" s="17" t="n">
        <v>524.12</v>
      </c>
      <c r="G1953" s="16" t="inlineStr">
        <is>
          <t>KAYA</t>
        </is>
      </c>
      <c r="H1953" s="16" t="inlineStr">
        <is>
          <t>539276</t>
        </is>
      </c>
      <c r="I1953" s="27">
        <f>IFERROR(IF(INDEX(Stocks!$G$2:$G$2139,MATCH(A1953,Stocks!$E$2:$E$2139,0))="","No","Yes"),"No")</f>
        <v/>
      </c>
    </row>
    <row r="1954">
      <c r="A1954" s="16" t="inlineStr">
        <is>
          <t>INE14LM01012</t>
        </is>
      </c>
      <c r="B1954" s="16" t="inlineStr">
        <is>
          <t>PAJSON</t>
        </is>
      </c>
      <c r="C1954" s="16" t="inlineStr">
        <is>
          <t>Pajson Agro India Ltd.</t>
        </is>
      </c>
      <c r="D1954" s="16" t="inlineStr">
        <is>
          <t>Commodity Trading  &amp; Distribution</t>
        </is>
      </c>
      <c r="E1954" s="16" t="inlineStr">
        <is>
          <t>Commercial Services &amp; Supplies</t>
        </is>
      </c>
      <c r="F1954" s="17" t="n">
        <v>523.8099999999999</v>
      </c>
      <c r="G1954" s="16" t="inlineStr"/>
      <c r="H1954" s="16" t="inlineStr">
        <is>
          <t>544657</t>
        </is>
      </c>
      <c r="I1954" s="27">
        <f>IFERROR(IF(INDEX(Stocks!$G$2:$G$2139,MATCH(A1954,Stocks!$E$2:$E$2139,0))="","No","Yes"),"No")</f>
        <v/>
      </c>
    </row>
    <row r="1955">
      <c r="A1955" s="16" t="inlineStr">
        <is>
          <t>INE143A01010</t>
        </is>
      </c>
      <c r="B1955" s="16" t="inlineStr">
        <is>
          <t>OSWALGREEN</t>
        </is>
      </c>
      <c r="C1955" s="16" t="inlineStr">
        <is>
          <t>Oswal Green Tech Ltd.</t>
        </is>
      </c>
      <c r="D1955" s="16" t="inlineStr">
        <is>
          <t>Other Financial Services</t>
        </is>
      </c>
      <c r="E1955" s="16" t="inlineStr">
        <is>
          <t>Banking and Finance</t>
        </is>
      </c>
      <c r="F1955" s="17" t="n">
        <v>523.63</v>
      </c>
      <c r="G1955" s="16" t="inlineStr">
        <is>
          <t>OSWALGREEN</t>
        </is>
      </c>
      <c r="H1955" s="16" t="inlineStr">
        <is>
          <t>539290</t>
        </is>
      </c>
      <c r="I1955" s="27">
        <f>IFERROR(IF(INDEX(Stocks!$G$2:$G$2139,MATCH(A1955,Stocks!$E$2:$E$2139,0))="","No","Yes"),"No")</f>
        <v/>
      </c>
    </row>
    <row r="1956">
      <c r="A1956" s="16" t="inlineStr">
        <is>
          <t>INE0XX801016</t>
        </is>
      </c>
      <c r="B1956" s="16" t="inlineStr">
        <is>
          <t>SUGSLLOYD</t>
        </is>
      </c>
      <c r="C1956" s="16" t="inlineStr">
        <is>
          <t>Sugs Lloyd Ltd.</t>
        </is>
      </c>
      <c r="D1956" s="16" t="inlineStr">
        <is>
          <t>Power - Electric Utilities</t>
        </is>
      </c>
      <c r="E1956" s="16" t="inlineStr">
        <is>
          <t>Utilities</t>
        </is>
      </c>
      <c r="F1956" s="17" t="n">
        <v>523.59</v>
      </c>
      <c r="G1956" s="16" t="inlineStr"/>
      <c r="H1956" s="16" t="inlineStr">
        <is>
          <t>544501</t>
        </is>
      </c>
      <c r="I1956" s="27">
        <f>IFERROR(IF(INDEX(Stocks!$G$2:$G$2139,MATCH(A1956,Stocks!$E$2:$E$2139,0))="","No","Yes"),"No")</f>
        <v/>
      </c>
    </row>
    <row r="1957">
      <c r="A1957" s="16" t="inlineStr">
        <is>
          <t>INE697V01011</t>
        </is>
      </c>
      <c r="B1957" s="16" t="inlineStr">
        <is>
          <t>PANSARI</t>
        </is>
      </c>
      <c r="C1957" s="16" t="inlineStr">
        <is>
          <t>Pansari Developers Ltd.</t>
        </is>
      </c>
      <c r="D1957" s="16" t="inlineStr">
        <is>
          <t>Realty</t>
        </is>
      </c>
      <c r="E1957" s="16" t="inlineStr">
        <is>
          <t>Realty</t>
        </is>
      </c>
      <c r="F1957" s="17" t="n">
        <v>523.49</v>
      </c>
      <c r="G1957" s="16" t="inlineStr">
        <is>
          <t>PANSARI</t>
        </is>
      </c>
      <c r="H1957" s="16" t="inlineStr"/>
      <c r="I1957" s="27">
        <f>IFERROR(IF(INDEX(Stocks!$G$2:$G$2139,MATCH(A1957,Stocks!$E$2:$E$2139,0))="","No","Yes"),"No")</f>
        <v/>
      </c>
    </row>
    <row r="1958">
      <c r="A1958" s="16" t="inlineStr">
        <is>
          <t>INE1AII01014</t>
        </is>
      </c>
      <c r="B1958" s="16" t="inlineStr">
        <is>
          <t>IWARE</t>
        </is>
      </c>
      <c r="C1958" s="16" t="inlineStr">
        <is>
          <t>Iware Supplychain Services Ltd.</t>
        </is>
      </c>
      <c r="D1958" s="16" t="inlineStr">
        <is>
          <t>Warehousing &amp; Logistics</t>
        </is>
      </c>
      <c r="E1958" s="16" t="inlineStr">
        <is>
          <t>Transportation</t>
        </is>
      </c>
      <c r="F1958" s="17" t="n">
        <v>520.1</v>
      </c>
      <c r="G1958" s="16" t="inlineStr">
        <is>
          <t>IWARE</t>
        </is>
      </c>
      <c r="H1958" s="16" t="inlineStr"/>
      <c r="I1958" s="27">
        <f>IFERROR(IF(INDEX(Stocks!$G$2:$G$2139,MATCH(A1958,Stocks!$E$2:$E$2139,0))="","No","Yes"),"No")</f>
        <v/>
      </c>
    </row>
    <row r="1959">
      <c r="A1959" s="16" t="inlineStr">
        <is>
          <t>INE348N01042</t>
        </is>
      </c>
      <c r="B1959" s="16" t="inlineStr">
        <is>
          <t>MANBRO</t>
        </is>
      </c>
      <c r="C1959" s="16" t="inlineStr">
        <is>
          <t>Manbro Industries Ltd.</t>
        </is>
      </c>
      <c r="D1959" s="16" t="inlineStr">
        <is>
          <t>Other Apparels &amp; Accessories</t>
        </is>
      </c>
      <c r="E1959" s="16" t="inlineStr">
        <is>
          <t>Textiles Apparels &amp; Accessories</t>
        </is>
      </c>
      <c r="F1959" s="17" t="n">
        <v>518.72</v>
      </c>
      <c r="G1959" s="16" t="inlineStr"/>
      <c r="H1959" s="16" t="inlineStr">
        <is>
          <t>512595</t>
        </is>
      </c>
      <c r="I1959" s="27">
        <f>IFERROR(IF(INDEX(Stocks!$G$2:$G$2139,MATCH(A1959,Stocks!$E$2:$E$2139,0))="","No","Yes"),"No")</f>
        <v/>
      </c>
    </row>
    <row r="1960">
      <c r="A1960" s="16" t="inlineStr">
        <is>
          <t>INE575C01027</t>
        </is>
      </c>
      <c r="B1960" s="16" t="inlineStr">
        <is>
          <t>INTLCONV</t>
        </is>
      </c>
      <c r="C1960" s="16" t="inlineStr">
        <is>
          <t>International Conveyors Ltd.</t>
        </is>
      </c>
      <c r="D1960" s="16" t="inlineStr">
        <is>
          <t>Other Industrial Products</t>
        </is>
      </c>
      <c r="E1960" s="16" t="inlineStr">
        <is>
          <t>General Industrials</t>
        </is>
      </c>
      <c r="F1960" s="17" t="n">
        <v>517.77</v>
      </c>
      <c r="G1960" s="16" t="inlineStr">
        <is>
          <t>INTLCONV</t>
        </is>
      </c>
      <c r="H1960" s="16" t="inlineStr">
        <is>
          <t>509709</t>
        </is>
      </c>
      <c r="I1960" s="27">
        <f>IFERROR(IF(INDEX(Stocks!$G$2:$G$2139,MATCH(A1960,Stocks!$E$2:$E$2139,0))="","No","Yes"),"No")</f>
        <v/>
      </c>
    </row>
    <row r="1961">
      <c r="A1961" s="16" t="inlineStr">
        <is>
          <t>INE783X01023</t>
        </is>
      </c>
      <c r="B1961" s="16" t="inlineStr">
        <is>
          <t>CHEMFAB</t>
        </is>
      </c>
      <c r="C1961" s="16" t="inlineStr">
        <is>
          <t>Chemfab Alkalis Ltd.</t>
        </is>
      </c>
      <c r="D1961" s="16" t="inlineStr">
        <is>
          <t>Commodity Chemicals</t>
        </is>
      </c>
      <c r="E1961" s="16" t="inlineStr">
        <is>
          <t>Chemicals &amp; Petrochemicals</t>
        </is>
      </c>
      <c r="F1961" s="17" t="n">
        <v>517.6</v>
      </c>
      <c r="G1961" s="16" t="inlineStr">
        <is>
          <t>CHEMFAB</t>
        </is>
      </c>
      <c r="H1961" s="16" t="inlineStr">
        <is>
          <t>541269</t>
        </is>
      </c>
      <c r="I1961" s="27">
        <f>IFERROR(IF(INDEX(Stocks!$G$2:$G$2139,MATCH(A1961,Stocks!$E$2:$E$2139,0))="","No","Yes"),"No")</f>
        <v/>
      </c>
    </row>
    <row r="1962">
      <c r="A1962" s="16" t="inlineStr">
        <is>
          <t>INE0B2N01016</t>
        </is>
      </c>
      <c r="B1962" s="16" t="inlineStr">
        <is>
          <t>CHANDAN</t>
        </is>
      </c>
      <c r="C1962" s="16" t="inlineStr">
        <is>
          <t>Chandan Healthcare Ltd.</t>
        </is>
      </c>
      <c r="D1962" s="16" t="inlineStr">
        <is>
          <t>Healthcare Services</t>
        </is>
      </c>
      <c r="E1962" s="16" t="inlineStr">
        <is>
          <t>Healthcare</t>
        </is>
      </c>
      <c r="F1962" s="17" t="n">
        <v>517.16</v>
      </c>
      <c r="G1962" s="16" t="inlineStr">
        <is>
          <t>CHANDAN</t>
        </is>
      </c>
      <c r="H1962" s="16" t="inlineStr"/>
      <c r="I1962" s="27">
        <f>IFERROR(IF(INDEX(Stocks!$G$2:$G$2139,MATCH(A1962,Stocks!$E$2:$E$2139,0))="","No","Yes"),"No")</f>
        <v/>
      </c>
    </row>
    <row r="1963">
      <c r="A1963" s="16" t="inlineStr">
        <is>
          <t>INE266F01018</t>
        </is>
      </c>
      <c r="B1963" s="16" t="inlineStr">
        <is>
          <t>APTECHT</t>
        </is>
      </c>
      <c r="C1963" s="16" t="inlineStr">
        <is>
          <t>Aptech Ltd.</t>
        </is>
      </c>
      <c r="D1963" s="16" t="inlineStr">
        <is>
          <t>IT Training Services</t>
        </is>
      </c>
      <c r="E1963" s="16" t="inlineStr">
        <is>
          <t>Software &amp; Services</t>
        </is>
      </c>
      <c r="F1963" s="17" t="n">
        <v>516.98</v>
      </c>
      <c r="G1963" s="16" t="inlineStr">
        <is>
          <t>APTECHT</t>
        </is>
      </c>
      <c r="H1963" s="16" t="inlineStr">
        <is>
          <t>532475</t>
        </is>
      </c>
      <c r="I1963" s="27">
        <f>IFERROR(IF(INDEX(Stocks!$G$2:$G$2139,MATCH(A1963,Stocks!$E$2:$E$2139,0))="","No","Yes"),"No")</f>
        <v/>
      </c>
    </row>
    <row r="1964">
      <c r="A1964" s="16" t="inlineStr">
        <is>
          <t>INE317D01014</t>
        </is>
      </c>
      <c r="B1964" s="16" t="inlineStr">
        <is>
          <t>MEGAMONT</t>
        </is>
      </c>
      <c r="C1964" s="16" t="inlineStr">
        <is>
          <t>Megamont Ltd.</t>
        </is>
      </c>
      <c r="D1964" s="16" t="inlineStr">
        <is>
          <t>Forest Products</t>
        </is>
      </c>
      <c r="E1964" s="16" t="inlineStr">
        <is>
          <t>Forest Materials</t>
        </is>
      </c>
      <c r="F1964" s="17" t="n">
        <v>516.98</v>
      </c>
      <c r="G1964" s="16" t="inlineStr"/>
      <c r="H1964" s="16" t="inlineStr">
        <is>
          <t>523888</t>
        </is>
      </c>
      <c r="I1964" s="27">
        <f>IFERROR(IF(INDEX(Stocks!$G$2:$G$2139,MATCH(A1964,Stocks!$E$2:$E$2139,0))="","No","Yes"),"No")</f>
        <v/>
      </c>
    </row>
    <row r="1965">
      <c r="A1965" s="16" t="inlineStr">
        <is>
          <t>INE577A01027</t>
        </is>
      </c>
      <c r="B1965" s="16" t="inlineStr">
        <is>
          <t>MUNJALSHOW</t>
        </is>
      </c>
      <c r="C1965" s="16" t="inlineStr">
        <is>
          <t>Munjal Showa Ltd.</t>
        </is>
      </c>
      <c r="D1965" s="16" t="inlineStr">
        <is>
          <t>Auto Parts &amp; Equipment</t>
        </is>
      </c>
      <c r="E1965" s="16" t="inlineStr">
        <is>
          <t>Automobiles &amp; Auto Components</t>
        </is>
      </c>
      <c r="F1965" s="17" t="n">
        <v>516.78</v>
      </c>
      <c r="G1965" s="16" t="inlineStr">
        <is>
          <t>MUNJALSHOW</t>
        </is>
      </c>
      <c r="H1965" s="16" t="inlineStr">
        <is>
          <t>520043</t>
        </is>
      </c>
      <c r="I1965" s="27">
        <f>IFERROR(IF(INDEX(Stocks!$G$2:$G$2139,MATCH(A1965,Stocks!$E$2:$E$2139,0))="","No","Yes"),"No")</f>
        <v/>
      </c>
    </row>
    <row r="1966">
      <c r="A1966" s="16" t="inlineStr">
        <is>
          <t>INE439N01031</t>
        </is>
      </c>
      <c r="B1966" s="16" t="inlineStr">
        <is>
          <t>BPAGRI</t>
        </is>
      </c>
      <c r="C1966" s="16" t="inlineStr">
        <is>
          <t>Blue Pearl Agriventures Ltd.</t>
        </is>
      </c>
      <c r="D1966" s="16" t="inlineStr">
        <is>
          <t>Commodity Chemicals</t>
        </is>
      </c>
      <c r="E1966" s="16" t="inlineStr">
        <is>
          <t>Chemicals &amp; Petrochemicals</t>
        </is>
      </c>
      <c r="F1966" s="17" t="n">
        <v>516.39</v>
      </c>
      <c r="G1966" s="16" t="inlineStr"/>
      <c r="H1966" s="16" t="inlineStr">
        <is>
          <t>514440</t>
        </is>
      </c>
      <c r="I1966" s="27">
        <f>IFERROR(IF(INDEX(Stocks!$G$2:$G$2139,MATCH(A1966,Stocks!$E$2:$E$2139,0))="","No","Yes"),"No")</f>
        <v/>
      </c>
    </row>
    <row r="1967">
      <c r="A1967" s="16" t="inlineStr">
        <is>
          <t>INE788J01021</t>
        </is>
      </c>
      <c r="B1967" s="16" t="inlineStr">
        <is>
          <t>SHIVALIK</t>
        </is>
      </c>
      <c r="C1967" s="16" t="inlineStr">
        <is>
          <t>Shivalik Rasayan Ltd.</t>
        </is>
      </c>
      <c r="D1967" s="16" t="inlineStr">
        <is>
          <t>Agrochemicals</t>
        </is>
      </c>
      <c r="E1967" s="16" t="inlineStr">
        <is>
          <t>Chemicals &amp; Petrochemicals</t>
        </is>
      </c>
      <c r="F1967" s="17" t="n">
        <v>515.67</v>
      </c>
      <c r="G1967" s="16" t="inlineStr">
        <is>
          <t>SHIVALIK</t>
        </is>
      </c>
      <c r="H1967" s="16" t="inlineStr">
        <is>
          <t>539148</t>
        </is>
      </c>
      <c r="I1967" s="27">
        <f>IFERROR(IF(INDEX(Stocks!$G$2:$G$2139,MATCH(A1967,Stocks!$E$2:$E$2139,0))="","No","Yes"),"No")</f>
        <v/>
      </c>
    </row>
    <row r="1968">
      <c r="A1968" s="16" t="inlineStr">
        <is>
          <t>INE809I01019</t>
        </is>
      </c>
      <c r="B1968" s="16" t="inlineStr">
        <is>
          <t>ONMOBILE</t>
        </is>
      </c>
      <c r="C1968" s="16" t="inlineStr">
        <is>
          <t>OnMobile Global Ltd.</t>
        </is>
      </c>
      <c r="D1968" s="16" t="inlineStr">
        <is>
          <t>Other Telecom Services</t>
        </is>
      </c>
      <c r="E1968" s="16" t="inlineStr">
        <is>
          <t>Telecom Services</t>
        </is>
      </c>
      <c r="F1968" s="17" t="n">
        <v>515.55</v>
      </c>
      <c r="G1968" s="16" t="inlineStr">
        <is>
          <t>ONMOBILE</t>
        </is>
      </c>
      <c r="H1968" s="16" t="inlineStr">
        <is>
          <t>532944</t>
        </is>
      </c>
      <c r="I1968" s="27">
        <f>IFERROR(IF(INDEX(Stocks!$G$2:$G$2139,MATCH(A1968,Stocks!$E$2:$E$2139,0))="","No","Yes"),"No")</f>
        <v/>
      </c>
    </row>
    <row r="1969">
      <c r="A1969" s="16" t="inlineStr">
        <is>
          <t>INE607A01022</t>
        </is>
      </c>
      <c r="B1969" s="16" t="inlineStr">
        <is>
          <t>PRIMO</t>
        </is>
      </c>
      <c r="C1969" s="16" t="inlineStr">
        <is>
          <t>Primo Chemicals Ltd.</t>
        </is>
      </c>
      <c r="D1969" s="16" t="inlineStr">
        <is>
          <t>Commodity Chemicals</t>
        </is>
      </c>
      <c r="E1969" s="16" t="inlineStr">
        <is>
          <t>Chemicals &amp; Petrochemicals</t>
        </is>
      </c>
      <c r="F1969" s="17" t="n">
        <v>515.46</v>
      </c>
      <c r="G1969" s="16" t="inlineStr">
        <is>
          <t>PRIMO</t>
        </is>
      </c>
      <c r="H1969" s="16" t="inlineStr">
        <is>
          <t>506852</t>
        </is>
      </c>
      <c r="I1969" s="27">
        <f>IFERROR(IF(INDEX(Stocks!$G$2:$G$2139,MATCH(A1969,Stocks!$E$2:$E$2139,0))="","No","Yes"),"No")</f>
        <v/>
      </c>
    </row>
    <row r="1970">
      <c r="A1970" s="16" t="inlineStr">
        <is>
          <t>INE229R01011</t>
        </is>
      </c>
      <c r="B1970" s="16" t="inlineStr">
        <is>
          <t>ARYACAPM</t>
        </is>
      </c>
      <c r="C1970" s="16" t="inlineStr">
        <is>
          <t>Aryaman Capital Markets Ltd.</t>
        </is>
      </c>
      <c r="D1970" s="16" t="inlineStr">
        <is>
          <t>Other Financial Services</t>
        </is>
      </c>
      <c r="E1970" s="16" t="inlineStr">
        <is>
          <t>Banking and Finance</t>
        </is>
      </c>
      <c r="F1970" s="17" t="n">
        <v>513.8200000000001</v>
      </c>
      <c r="G1970" s="16" t="inlineStr"/>
      <c r="H1970" s="16" t="inlineStr">
        <is>
          <t>538716</t>
        </is>
      </c>
      <c r="I1970" s="27">
        <f>IFERROR(IF(INDEX(Stocks!$G$2:$G$2139,MATCH(A1970,Stocks!$E$2:$E$2139,0))="","No","Yes"),"No")</f>
        <v/>
      </c>
    </row>
    <row r="1971">
      <c r="A1971" s="16" t="inlineStr">
        <is>
          <t>INE834D01018</t>
        </is>
      </c>
      <c r="B1971" s="16" t="inlineStr">
        <is>
          <t>VIPULORG</t>
        </is>
      </c>
      <c r="C1971" s="16" t="inlineStr">
        <is>
          <t>Vipul Organics Ltd.</t>
        </is>
      </c>
      <c r="D1971" s="16" t="inlineStr">
        <is>
          <t>Specialty Chemicals</t>
        </is>
      </c>
      <c r="E1971" s="16" t="inlineStr">
        <is>
          <t>Chemicals &amp; Petrochemicals</t>
        </is>
      </c>
      <c r="F1971" s="17" t="n">
        <v>512.95</v>
      </c>
      <c r="G1971" s="16" t="inlineStr"/>
      <c r="H1971" s="16" t="inlineStr">
        <is>
          <t>530627</t>
        </is>
      </c>
      <c r="I1971" s="27">
        <f>IFERROR(IF(INDEX(Stocks!$G$2:$G$2139,MATCH(A1971,Stocks!$E$2:$E$2139,0))="","No","Yes"),"No")</f>
        <v/>
      </c>
    </row>
    <row r="1972">
      <c r="A1972" s="16" t="inlineStr">
        <is>
          <t>INE034D01049</t>
        </is>
      </c>
      <c r="B1972" s="16" t="inlineStr">
        <is>
          <t>PTL</t>
        </is>
      </c>
      <c r="C1972" s="16" t="inlineStr">
        <is>
          <t>PTL Enterprises Ltd.</t>
        </is>
      </c>
      <c r="D1972" s="16" t="inlineStr">
        <is>
          <t>Misc. Commercial Services</t>
        </is>
      </c>
      <c r="E1972" s="16" t="inlineStr">
        <is>
          <t>Commercial Services &amp; Supplies</t>
        </is>
      </c>
      <c r="F1972" s="17" t="n">
        <v>512.83</v>
      </c>
      <c r="G1972" s="16" t="inlineStr">
        <is>
          <t>PTL</t>
        </is>
      </c>
      <c r="H1972" s="16" t="inlineStr">
        <is>
          <t>509220</t>
        </is>
      </c>
      <c r="I1972" s="27">
        <f>IFERROR(IF(INDEX(Stocks!$G$2:$G$2139,MATCH(A1972,Stocks!$E$2:$E$2139,0))="","No","Yes"),"No")</f>
        <v/>
      </c>
    </row>
    <row r="1973">
      <c r="A1973" s="16" t="inlineStr">
        <is>
          <t>INE2B5L01011</t>
        </is>
      </c>
      <c r="B1973" s="16" t="inlineStr">
        <is>
          <t>MSAFE</t>
        </is>
      </c>
      <c r="C1973" s="16" t="inlineStr">
        <is>
          <t>Msafe Equipments Ltd.</t>
        </is>
      </c>
      <c r="D1973" s="16" t="inlineStr">
        <is>
          <t>Iron &amp; Steel Products</t>
        </is>
      </c>
      <c r="E1973" s="16" t="inlineStr">
        <is>
          <t>Metals &amp; Mining</t>
        </is>
      </c>
      <c r="F1973" s="17" t="n">
        <v>511.63</v>
      </c>
      <c r="G1973" s="16" t="inlineStr"/>
      <c r="H1973" s="16" t="inlineStr">
        <is>
          <t>544695</t>
        </is>
      </c>
      <c r="I1973" s="27">
        <f>IFERROR(IF(INDEX(Stocks!$G$2:$G$2139,MATCH(A1973,Stocks!$E$2:$E$2139,0))="","No","Yes"),"No")</f>
        <v/>
      </c>
    </row>
    <row r="1974">
      <c r="A1974" s="16" t="inlineStr">
        <is>
          <t>INE550C01020</t>
        </is>
      </c>
      <c r="B1974" s="16" t="inlineStr">
        <is>
          <t>URJA</t>
        </is>
      </c>
      <c r="C1974" s="16" t="inlineStr">
        <is>
          <t>Urja Global Ltd.</t>
        </is>
      </c>
      <c r="D1974" s="16" t="inlineStr">
        <is>
          <t>Heavy Electrical Equipment</t>
        </is>
      </c>
      <c r="E1974" s="16" t="inlineStr">
        <is>
          <t>General Industrials</t>
        </is>
      </c>
      <c r="F1974" s="17" t="n">
        <v>511.52</v>
      </c>
      <c r="G1974" s="16" t="inlineStr">
        <is>
          <t>URJA</t>
        </is>
      </c>
      <c r="H1974" s="16" t="inlineStr">
        <is>
          <t>526987</t>
        </is>
      </c>
      <c r="I1974" s="27">
        <f>IFERROR(IF(INDEX(Stocks!$G$2:$G$2139,MATCH(A1974,Stocks!$E$2:$E$2139,0))="","No","Yes"),"No")</f>
        <v/>
      </c>
    </row>
    <row r="1975">
      <c r="A1975" s="16" t="inlineStr">
        <is>
          <t>INE0TL001013</t>
        </is>
      </c>
      <c r="B1975" s="16" t="inlineStr">
        <is>
          <t>CRYOGENIC</t>
        </is>
      </c>
      <c r="C1975" s="16" t="inlineStr">
        <is>
          <t>Cryogenic OGS Ltd.</t>
        </is>
      </c>
      <c r="D1975" s="16" t="inlineStr">
        <is>
          <t>Industrial Machinery</t>
        </is>
      </c>
      <c r="E1975" s="16" t="inlineStr">
        <is>
          <t>General Industrials</t>
        </is>
      </c>
      <c r="F1975" s="17" t="n">
        <v>510.8</v>
      </c>
      <c r="G1975" s="16" t="inlineStr"/>
      <c r="H1975" s="16" t="inlineStr">
        <is>
          <t>544440</t>
        </is>
      </c>
      <c r="I1975" s="27">
        <f>IFERROR(IF(INDEX(Stocks!$G$2:$G$2139,MATCH(A1975,Stocks!$E$2:$E$2139,0))="","No","Yes"),"No")</f>
        <v/>
      </c>
    </row>
    <row r="1976">
      <c r="A1976" s="16" t="inlineStr">
        <is>
          <t>INE923A01015</t>
        </is>
      </c>
      <c r="B1976" s="16" t="inlineStr">
        <is>
          <t>SILINV</t>
        </is>
      </c>
      <c r="C1976" s="16" t="inlineStr">
        <is>
          <t>SIL Investments Ltd.</t>
        </is>
      </c>
      <c r="D1976" s="16" t="inlineStr">
        <is>
          <t>Other Financial Services</t>
        </is>
      </c>
      <c r="E1976" s="16" t="inlineStr">
        <is>
          <t>Banking and Finance</t>
        </is>
      </c>
      <c r="F1976" s="17" t="n">
        <v>507.33</v>
      </c>
      <c r="G1976" s="16" t="inlineStr">
        <is>
          <t>SILINV</t>
        </is>
      </c>
      <c r="H1976" s="16" t="inlineStr">
        <is>
          <t>521194</t>
        </is>
      </c>
      <c r="I1976" s="27">
        <f>IFERROR(IF(INDEX(Stocks!$G$2:$G$2139,MATCH(A1976,Stocks!$E$2:$E$2139,0))="","No","Yes"),"No")</f>
        <v/>
      </c>
    </row>
    <row r="1977">
      <c r="A1977" s="16" t="inlineStr">
        <is>
          <t>INE0KNW01016</t>
        </is>
      </c>
      <c r="B1977" s="16" t="inlineStr">
        <is>
          <t>KNAGRI</t>
        </is>
      </c>
      <c r="C1977" s="16" t="inlineStr">
        <is>
          <t>KN Agri Resources Ltd.</t>
        </is>
      </c>
      <c r="D1977" s="16" t="inlineStr">
        <is>
          <t>Other Food &amp; Beverages</t>
        </is>
      </c>
      <c r="E1977" s="16" t="inlineStr">
        <is>
          <t>Food, Beverages &amp; Tobacco</t>
        </is>
      </c>
      <c r="F1977" s="17" t="n">
        <v>498.48</v>
      </c>
      <c r="G1977" s="16" t="inlineStr">
        <is>
          <t>KNAGRI</t>
        </is>
      </c>
      <c r="H1977" s="16" t="inlineStr"/>
      <c r="I1977" s="27">
        <f>IFERROR(IF(INDEX(Stocks!$G$2:$G$2139,MATCH(A1977,Stocks!$E$2:$E$2139,0))="","No","Yes"),"No")</f>
        <v/>
      </c>
    </row>
    <row r="1978">
      <c r="A1978" s="16" t="inlineStr">
        <is>
          <t>INE0U6201010</t>
        </is>
      </c>
      <c r="B1978" s="16" t="inlineStr">
        <is>
          <t>SUBAM</t>
        </is>
      </c>
      <c r="C1978" s="16" t="inlineStr">
        <is>
          <t>Subam Papers Ltd.</t>
        </is>
      </c>
      <c r="D1978" s="16" t="inlineStr">
        <is>
          <t>Paper &amp; Paper Products</t>
        </is>
      </c>
      <c r="E1978" s="16" t="inlineStr">
        <is>
          <t>Commercial Services &amp; Supplies</t>
        </is>
      </c>
      <c r="F1978" s="17" t="n">
        <v>497.21</v>
      </c>
      <c r="G1978" s="16" t="inlineStr"/>
      <c r="H1978" s="16" t="inlineStr">
        <is>
          <t>544267</t>
        </is>
      </c>
      <c r="I1978" s="27">
        <f>IFERROR(IF(INDEX(Stocks!$G$2:$G$2139,MATCH(A1978,Stocks!$E$2:$E$2139,0))="","No","Yes"),"No")</f>
        <v/>
      </c>
    </row>
    <row r="1979">
      <c r="A1979" s="16" t="inlineStr">
        <is>
          <t>INE924D01017</t>
        </is>
      </c>
      <c r="B1979" s="16" t="inlineStr">
        <is>
          <t>THEINVEST</t>
        </is>
      </c>
      <c r="C1979" s="16" t="inlineStr">
        <is>
          <t>The Investment Trust of India Ltd.</t>
        </is>
      </c>
      <c r="D1979" s="16" t="inlineStr">
        <is>
          <t>Finance (including NBFCs)</t>
        </is>
      </c>
      <c r="E1979" s="16" t="inlineStr">
        <is>
          <t>Banking and Finance</t>
        </is>
      </c>
      <c r="F1979" s="17" t="n">
        <v>496.3</v>
      </c>
      <c r="G1979" s="16" t="inlineStr">
        <is>
          <t>THEINVEST</t>
        </is>
      </c>
      <c r="H1979" s="16" t="inlineStr">
        <is>
          <t>530023</t>
        </is>
      </c>
      <c r="I1979" s="27">
        <f>IFERROR(IF(INDEX(Stocks!$G$2:$G$2139,MATCH(A1979,Stocks!$E$2:$E$2139,0))="","No","Yes"),"No")</f>
        <v/>
      </c>
    </row>
    <row r="1980">
      <c r="A1980" s="16" t="inlineStr">
        <is>
          <t>INE450E01029</t>
        </is>
      </c>
      <c r="B1980" s="16" t="inlineStr">
        <is>
          <t>SUKHJITS</t>
        </is>
      </c>
      <c r="C1980" s="16" t="inlineStr">
        <is>
          <t>Sukhjit Starch &amp; Chemicals Ltd.</t>
        </is>
      </c>
      <c r="D1980" s="16" t="inlineStr">
        <is>
          <t>Other Agricultural Products</t>
        </is>
      </c>
      <c r="E1980" s="16" t="inlineStr">
        <is>
          <t>Food, Beverages &amp; Tobacco</t>
        </is>
      </c>
      <c r="F1980" s="17" t="n">
        <v>493.22</v>
      </c>
      <c r="G1980" s="16" t="inlineStr">
        <is>
          <t>SUKHJITS</t>
        </is>
      </c>
      <c r="H1980" s="16" t="inlineStr">
        <is>
          <t>524542</t>
        </is>
      </c>
      <c r="I1980" s="27">
        <f>IFERROR(IF(INDEX(Stocks!$G$2:$G$2139,MATCH(A1980,Stocks!$E$2:$E$2139,0))="","No","Yes"),"No")</f>
        <v/>
      </c>
    </row>
    <row r="1981">
      <c r="A1981" s="16" t="inlineStr">
        <is>
          <t>INE142A01012</t>
        </is>
      </c>
      <c r="B1981" s="16" t="inlineStr">
        <is>
          <t>OSWALAGRO</t>
        </is>
      </c>
      <c r="C1981" s="16" t="inlineStr">
        <is>
          <t>Oswal Agro Mills Ltd.</t>
        </is>
      </c>
      <c r="D1981" s="16" t="inlineStr">
        <is>
          <t>Commodity Trading  &amp; Distribution</t>
        </is>
      </c>
      <c r="E1981" s="16" t="inlineStr">
        <is>
          <t>Commercial Services &amp; Supplies</t>
        </is>
      </c>
      <c r="F1981" s="17" t="n">
        <v>492.1</v>
      </c>
      <c r="G1981" s="16" t="inlineStr">
        <is>
          <t>OSWALAGRO</t>
        </is>
      </c>
      <c r="H1981" s="16" t="inlineStr">
        <is>
          <t>500317</t>
        </is>
      </c>
      <c r="I1981" s="27">
        <f>IFERROR(IF(INDEX(Stocks!$G$2:$G$2139,MATCH(A1981,Stocks!$E$2:$E$2139,0))="","No","Yes"),"No")</f>
        <v/>
      </c>
    </row>
    <row r="1982">
      <c r="A1982" s="16" t="inlineStr">
        <is>
          <t>INE220Q01020</t>
        </is>
      </c>
      <c r="B1982" s="16" t="inlineStr">
        <is>
          <t>MUFTI</t>
        </is>
      </c>
      <c r="C1982" s="16" t="inlineStr">
        <is>
          <t>Credo Brands Marketing Ltd.</t>
        </is>
      </c>
      <c r="D1982" s="16" t="inlineStr">
        <is>
          <t>Specialty Retail</t>
        </is>
      </c>
      <c r="E1982" s="16" t="inlineStr">
        <is>
          <t>Retailing</t>
        </is>
      </c>
      <c r="F1982" s="17" t="n">
        <v>491.96</v>
      </c>
      <c r="G1982" s="16" t="inlineStr">
        <is>
          <t>MUFTI</t>
        </is>
      </c>
      <c r="H1982" s="16" t="inlineStr">
        <is>
          <t>544058</t>
        </is>
      </c>
      <c r="I1982" s="27">
        <f>IFERROR(IF(INDEX(Stocks!$G$2:$G$2139,MATCH(A1982,Stocks!$E$2:$E$2139,0))="","No","Yes"),"No")</f>
        <v/>
      </c>
    </row>
    <row r="1983">
      <c r="A1983" s="16" t="inlineStr">
        <is>
          <t>INE0P0001010</t>
        </is>
      </c>
      <c r="B1983" s="16" t="inlineStr">
        <is>
          <t>APS</t>
        </is>
      </c>
      <c r="C1983" s="16" t="inlineStr">
        <is>
          <t>Australian Premium Solar (India) Ltd.</t>
        </is>
      </c>
      <c r="D1983" s="16" t="inlineStr">
        <is>
          <t>Power - Electric Utilities</t>
        </is>
      </c>
      <c r="E1983" s="16" t="inlineStr">
        <is>
          <t>Utilities</t>
        </is>
      </c>
      <c r="F1983" s="17" t="n">
        <v>491.7</v>
      </c>
      <c r="G1983" s="16" t="inlineStr">
        <is>
          <t>APS</t>
        </is>
      </c>
      <c r="H1983" s="16" t="inlineStr"/>
      <c r="I1983" s="27">
        <f>IFERROR(IF(INDEX(Stocks!$G$2:$G$2139,MATCH(A1983,Stocks!$E$2:$E$2139,0))="","No","Yes"),"No")</f>
        <v/>
      </c>
    </row>
    <row r="1984">
      <c r="A1984" s="16" t="inlineStr">
        <is>
          <t>INE1OOT01028</t>
        </is>
      </c>
      <c r="B1984" s="16" t="inlineStr">
        <is>
          <t>DIGILOGIC</t>
        </is>
      </c>
      <c r="C1984" s="16" t="inlineStr">
        <is>
          <t>Digilogic Systems Ltd.</t>
        </is>
      </c>
      <c r="D1984" s="16" t="inlineStr">
        <is>
          <t>Aerospace &amp; Defence</t>
        </is>
      </c>
      <c r="E1984" s="16" t="inlineStr">
        <is>
          <t>General Industrials</t>
        </is>
      </c>
      <c r="F1984" s="17" t="n">
        <v>491.59</v>
      </c>
      <c r="G1984" s="16" t="inlineStr"/>
      <c r="H1984" s="16" t="inlineStr">
        <is>
          <t>544684</t>
        </is>
      </c>
      <c r="I1984" s="27">
        <f>IFERROR(IF(INDEX(Stocks!$G$2:$G$2139,MATCH(A1984,Stocks!$E$2:$E$2139,0))="","No","Yes"),"No")</f>
        <v/>
      </c>
    </row>
    <row r="1985">
      <c r="A1985" s="16" t="inlineStr">
        <is>
          <t>INE872E01016</t>
        </is>
      </c>
      <c r="B1985" s="16" t="inlineStr">
        <is>
          <t>DLTNCBL</t>
        </is>
      </c>
      <c r="C1985" s="16" t="inlineStr">
        <is>
          <t>Delton Cables Ltd.</t>
        </is>
      </c>
      <c r="D1985" s="16" t="inlineStr">
        <is>
          <t>Other Electrical Equipment/Products</t>
        </is>
      </c>
      <c r="E1985" s="16" t="inlineStr">
        <is>
          <t>Consumer Durables</t>
        </is>
      </c>
      <c r="F1985" s="17" t="n">
        <v>491.27</v>
      </c>
      <c r="G1985" s="16" t="inlineStr"/>
      <c r="H1985" s="16" t="inlineStr">
        <is>
          <t>504240</t>
        </is>
      </c>
      <c r="I1985" s="27">
        <f>IFERROR(IF(INDEX(Stocks!$G$2:$G$2139,MATCH(A1985,Stocks!$E$2:$E$2139,0))="","No","Yes"),"No")</f>
        <v/>
      </c>
    </row>
    <row r="1986">
      <c r="A1986" s="16" t="inlineStr">
        <is>
          <t>INE155C01010</t>
        </is>
      </c>
      <c r="B1986" s="16" t="inlineStr">
        <is>
          <t>ALBERTDAVD</t>
        </is>
      </c>
      <c r="C1986" s="16" t="inlineStr">
        <is>
          <t>Albert David Ltd.</t>
        </is>
      </c>
      <c r="D1986" s="16" t="inlineStr">
        <is>
          <t>Pharmaceuticals</t>
        </is>
      </c>
      <c r="E1986" s="16" t="inlineStr">
        <is>
          <t>Pharmaceuticals &amp; Biotechnology</t>
        </is>
      </c>
      <c r="F1986" s="17" t="n">
        <v>490.96</v>
      </c>
      <c r="G1986" s="16" t="inlineStr">
        <is>
          <t>ALBERTDAVD</t>
        </is>
      </c>
      <c r="H1986" s="16" t="inlineStr">
        <is>
          <t>524075</t>
        </is>
      </c>
      <c r="I1986" s="27">
        <f>IFERROR(IF(INDEX(Stocks!$G$2:$G$2139,MATCH(A1986,Stocks!$E$2:$E$2139,0))="","No","Yes"),"No")</f>
        <v/>
      </c>
    </row>
    <row r="1987">
      <c r="A1987" s="16" t="inlineStr">
        <is>
          <t>INE566M01017</t>
        </is>
      </c>
      <c r="B1987" s="16" t="inlineStr">
        <is>
          <t>AZADIND</t>
        </is>
      </c>
      <c r="C1987" s="16" t="inlineStr">
        <is>
          <t>Azad India Mobility Ltd.</t>
        </is>
      </c>
      <c r="D1987" s="16" t="inlineStr">
        <is>
          <t>Iron &amp; Steel/Interm.Products</t>
        </is>
      </c>
      <c r="E1987" s="16" t="inlineStr">
        <is>
          <t>Metals &amp; Mining</t>
        </is>
      </c>
      <c r="F1987" s="17" t="n">
        <v>490.04</v>
      </c>
      <c r="G1987" s="16" t="inlineStr"/>
      <c r="H1987" s="16" t="inlineStr">
        <is>
          <t>504731</t>
        </is>
      </c>
      <c r="I1987" s="27">
        <f>IFERROR(IF(INDEX(Stocks!$G$2:$G$2139,MATCH(A1987,Stocks!$E$2:$E$2139,0))="","No","Yes"),"No")</f>
        <v/>
      </c>
    </row>
    <row r="1988">
      <c r="A1988" s="16" t="inlineStr">
        <is>
          <t>INE1E1V01017</t>
        </is>
      </c>
      <c r="B1988" s="16" t="inlineStr">
        <is>
          <t>HRS</t>
        </is>
      </c>
      <c r="C1988" s="16" t="inlineStr">
        <is>
          <t>HRS Aluglaze Ltd.</t>
        </is>
      </c>
      <c r="D1988" s="16" t="inlineStr">
        <is>
          <t>Aluminium and Aluminium Products</t>
        </is>
      </c>
      <c r="E1988" s="16" t="inlineStr">
        <is>
          <t>Metals &amp; Mining</t>
        </is>
      </c>
      <c r="F1988" s="17" t="n">
        <v>489.67</v>
      </c>
      <c r="G1988" s="16" t="inlineStr"/>
      <c r="H1988" s="16" t="inlineStr">
        <is>
          <t>544656</t>
        </is>
      </c>
      <c r="I1988" s="27">
        <f>IFERROR(IF(INDEX(Stocks!$G$2:$G$2139,MATCH(A1988,Stocks!$E$2:$E$2139,0))="","No","Yes"),"No")</f>
        <v/>
      </c>
    </row>
    <row r="1989">
      <c r="A1989" s="16" t="inlineStr">
        <is>
          <t>INE145Y01023</t>
        </is>
      </c>
      <c r="B1989" s="16" t="inlineStr">
        <is>
          <t>SHISHIND</t>
        </is>
      </c>
      <c r="C1989" s="16" t="inlineStr">
        <is>
          <t>Shish Industries Ltd.</t>
        </is>
      </c>
      <c r="D1989" s="16" t="inlineStr">
        <is>
          <t>Plastic Products</t>
        </is>
      </c>
      <c r="E1989" s="16" t="inlineStr">
        <is>
          <t>General Industrials</t>
        </is>
      </c>
      <c r="F1989" s="17" t="n">
        <v>489.58</v>
      </c>
      <c r="G1989" s="16" t="inlineStr"/>
      <c r="H1989" s="16" t="inlineStr">
        <is>
          <t>540693</t>
        </is>
      </c>
      <c r="I1989" s="27">
        <f>IFERROR(IF(INDEX(Stocks!$G$2:$G$2139,MATCH(A1989,Stocks!$E$2:$E$2139,0))="","No","Yes"),"No")</f>
        <v/>
      </c>
    </row>
    <row r="1990">
      <c r="A1990" s="16" t="inlineStr">
        <is>
          <t>INE265F01028</t>
        </is>
      </c>
      <c r="B1990" s="16" t="inlineStr">
        <is>
          <t>ENIL</t>
        </is>
      </c>
      <c r="C1990" s="16" t="inlineStr">
        <is>
          <t>Entertainment Network (India) Ltd.</t>
        </is>
      </c>
      <c r="D1990" s="16" t="inlineStr">
        <is>
          <t>Broadcasting &amp; Cable TV</t>
        </is>
      </c>
      <c r="E1990" s="16" t="inlineStr">
        <is>
          <t>Media</t>
        </is>
      </c>
      <c r="F1990" s="17" t="n">
        <v>489.34</v>
      </c>
      <c r="G1990" s="16" t="inlineStr">
        <is>
          <t>ENIL</t>
        </is>
      </c>
      <c r="H1990" s="16" t="inlineStr">
        <is>
          <t>532700</t>
        </is>
      </c>
      <c r="I1990" s="27">
        <f>IFERROR(IF(INDEX(Stocks!$G$2:$G$2139,MATCH(A1990,Stocks!$E$2:$E$2139,0))="","No","Yes"),"No")</f>
        <v/>
      </c>
    </row>
    <row r="1991">
      <c r="A1991" s="16" t="inlineStr">
        <is>
          <t>INE882B01037</t>
        </is>
      </c>
      <c r="B1991" s="16" t="inlineStr">
        <is>
          <t>NWIL</t>
        </is>
      </c>
      <c r="C1991" s="16" t="inlineStr">
        <is>
          <t>Nurture Well Industries Ltd.</t>
        </is>
      </c>
      <c r="D1991" s="16" t="inlineStr">
        <is>
          <t>Packaged Foods</t>
        </is>
      </c>
      <c r="E1991" s="16" t="inlineStr">
        <is>
          <t>FMCG</t>
        </is>
      </c>
      <c r="F1991" s="17" t="n">
        <v>488.73</v>
      </c>
      <c r="G1991" s="16" t="inlineStr"/>
      <c r="H1991" s="16" t="inlineStr">
        <is>
          <t>531889</t>
        </is>
      </c>
      <c r="I1991" s="27">
        <f>IFERROR(IF(INDEX(Stocks!$G$2:$G$2139,MATCH(A1991,Stocks!$E$2:$E$2139,0))="","No","Yes"),"No")</f>
        <v/>
      </c>
    </row>
    <row r="1992">
      <c r="A1992" s="16" t="inlineStr">
        <is>
          <t>INE083C01022</t>
        </is>
      </c>
      <c r="B1992" s="16" t="inlineStr">
        <is>
          <t>PLASTIBLEN</t>
        </is>
      </c>
      <c r="C1992" s="16" t="inlineStr">
        <is>
          <t>Plastiblends India Ltd.</t>
        </is>
      </c>
      <c r="D1992" s="16" t="inlineStr">
        <is>
          <t>Specialty Chemicals</t>
        </is>
      </c>
      <c r="E1992" s="16" t="inlineStr">
        <is>
          <t>Chemicals &amp; Petrochemicals</t>
        </is>
      </c>
      <c r="F1992" s="17" t="n">
        <v>488.36</v>
      </c>
      <c r="G1992" s="16" t="inlineStr">
        <is>
          <t>PLASTIBLEN</t>
        </is>
      </c>
      <c r="H1992" s="16" t="inlineStr">
        <is>
          <t>523648</t>
        </is>
      </c>
      <c r="I1992" s="27">
        <f>IFERROR(IF(INDEX(Stocks!$G$2:$G$2139,MATCH(A1992,Stocks!$E$2:$E$2139,0))="","No","Yes"),"No")</f>
        <v/>
      </c>
    </row>
    <row r="1993">
      <c r="A1993" s="16" t="inlineStr">
        <is>
          <t>INE0ZK601013</t>
        </is>
      </c>
      <c r="B1993" s="16" t="inlineStr">
        <is>
          <t>CSM</t>
        </is>
      </c>
      <c r="C1993" s="16" t="inlineStr">
        <is>
          <t>CSM Technologies Ltd.</t>
        </is>
      </c>
      <c r="D1993" s="16" t="inlineStr">
        <is>
          <t>IT Consulting &amp; Software</t>
        </is>
      </c>
      <c r="E1993" s="16" t="inlineStr">
        <is>
          <t>Software &amp; Services</t>
        </is>
      </c>
      <c r="F1993" s="17" t="n">
        <v>486.93</v>
      </c>
      <c r="G1993" s="16" t="inlineStr">
        <is>
          <t>CSM</t>
        </is>
      </c>
      <c r="H1993" s="16" t="inlineStr">
        <is>
          <t>544806</t>
        </is>
      </c>
      <c r="I1993" s="27">
        <f>IFERROR(IF(INDEX(Stocks!$G$2:$G$2139,MATCH(A1993,Stocks!$E$2:$E$2139,0))="","No","Yes"),"No")</f>
        <v/>
      </c>
    </row>
    <row r="1994">
      <c r="A1994" s="16" t="inlineStr">
        <is>
          <t>INE14VP01014</t>
        </is>
      </c>
      <c r="B1994" s="16" t="inlineStr">
        <is>
          <t>JDCABLES</t>
        </is>
      </c>
      <c r="C1994" s="16" t="inlineStr">
        <is>
          <t>JD Cables Ltd.</t>
        </is>
      </c>
      <c r="D1994" s="16" t="inlineStr">
        <is>
          <t>Wires &amp; Cables</t>
        </is>
      </c>
      <c r="E1994" s="16" t="inlineStr">
        <is>
          <t>Consumer Durables</t>
        </is>
      </c>
      <c r="F1994" s="17" t="n">
        <v>486.2</v>
      </c>
      <c r="G1994" s="16" t="inlineStr"/>
      <c r="H1994" s="16" t="inlineStr">
        <is>
          <t>544524</t>
        </is>
      </c>
      <c r="I1994" s="27">
        <f>IFERROR(IF(INDEX(Stocks!$G$2:$G$2139,MATCH(A1994,Stocks!$E$2:$E$2139,0))="","No","Yes"),"No")</f>
        <v/>
      </c>
    </row>
    <row r="1995">
      <c r="A1995" s="16" t="inlineStr">
        <is>
          <t>INE589N01017</t>
        </is>
      </c>
      <c r="B1995" s="16" t="inlineStr">
        <is>
          <t>FILTRON</t>
        </is>
      </c>
      <c r="C1995" s="16" t="inlineStr">
        <is>
          <t>Filtron Engineers Ltd.</t>
        </is>
      </c>
      <c r="D1995" s="16" t="inlineStr">
        <is>
          <t>Commodity Trading  &amp; Distribution</t>
        </is>
      </c>
      <c r="E1995" s="16" t="inlineStr">
        <is>
          <t>Commercial Services &amp; Supplies</t>
        </is>
      </c>
      <c r="F1995" s="17" t="n">
        <v>485.9</v>
      </c>
      <c r="G1995" s="16" t="inlineStr"/>
      <c r="H1995" s="16" t="inlineStr">
        <is>
          <t>531191</t>
        </is>
      </c>
      <c r="I1995" s="27">
        <f>IFERROR(IF(INDEX(Stocks!$G$2:$G$2139,MATCH(A1995,Stocks!$E$2:$E$2139,0))="","No","Yes"),"No")</f>
        <v/>
      </c>
    </row>
    <row r="1996">
      <c r="A1996" s="16" t="inlineStr">
        <is>
          <t>INE0GYI01028</t>
        </is>
      </c>
      <c r="B1996" s="16" t="inlineStr">
        <is>
          <t>HSIL</t>
        </is>
      </c>
      <c r="C1996" s="16" t="inlineStr">
        <is>
          <t>Hemant Surgical Industries Ltd.</t>
        </is>
      </c>
      <c r="D1996" s="16" t="inlineStr">
        <is>
          <t>Medical Equipment</t>
        </is>
      </c>
      <c r="E1996" s="16" t="inlineStr">
        <is>
          <t>Healthcare</t>
        </is>
      </c>
      <c r="F1996" s="17" t="n">
        <v>485.48</v>
      </c>
      <c r="G1996" s="16" t="inlineStr"/>
      <c r="H1996" s="16" t="inlineStr">
        <is>
          <t>543916</t>
        </is>
      </c>
      <c r="I1996" s="27">
        <f>IFERROR(IF(INDEX(Stocks!$G$2:$G$2139,MATCH(A1996,Stocks!$E$2:$E$2139,0))="","No","Yes"),"No")</f>
        <v/>
      </c>
    </row>
    <row r="1997">
      <c r="A1997" s="16" t="inlineStr">
        <is>
          <t>INE942G01012</t>
        </is>
      </c>
      <c r="B1997" s="16" t="inlineStr">
        <is>
          <t>MCLEODRUSS</t>
        </is>
      </c>
      <c r="C1997" s="16" t="inlineStr">
        <is>
          <t>McLeod Russel (India) Ltd.</t>
        </is>
      </c>
      <c r="D1997" s="16" t="inlineStr">
        <is>
          <t>Tea &amp; Coffee</t>
        </is>
      </c>
      <c r="E1997" s="16" t="inlineStr">
        <is>
          <t>Food, Beverages &amp; Tobacco</t>
        </is>
      </c>
      <c r="F1997" s="17" t="n">
        <v>483.63</v>
      </c>
      <c r="G1997" s="16" t="inlineStr">
        <is>
          <t>MCLEODRUSS</t>
        </is>
      </c>
      <c r="H1997" s="16" t="inlineStr">
        <is>
          <t>532654</t>
        </is>
      </c>
      <c r="I1997" s="27">
        <f>IFERROR(IF(INDEX(Stocks!$G$2:$G$2139,MATCH(A1997,Stocks!$E$2:$E$2139,0))="","No","Yes"),"No")</f>
        <v/>
      </c>
    </row>
    <row r="1998">
      <c r="A1998" s="16" t="inlineStr">
        <is>
          <t>INE0F3301020</t>
        </is>
      </c>
      <c r="B1998" s="16" t="inlineStr">
        <is>
          <t>SJLOGISTIC</t>
        </is>
      </c>
      <c r="C1998" s="16" t="inlineStr">
        <is>
          <t>S J Logistics (India) Ltd.</t>
        </is>
      </c>
      <c r="D1998" s="16" t="inlineStr">
        <is>
          <t>Warehousing &amp; Logistics</t>
        </is>
      </c>
      <c r="E1998" s="16" t="inlineStr">
        <is>
          <t>Transportation</t>
        </is>
      </c>
      <c r="F1998" s="17" t="n">
        <v>482.8</v>
      </c>
      <c r="G1998" s="16" t="inlineStr">
        <is>
          <t>SJLOGISTIC</t>
        </is>
      </c>
      <c r="H1998" s="16" t="inlineStr"/>
      <c r="I1998" s="27">
        <f>IFERROR(IF(INDEX(Stocks!$G$2:$G$2139,MATCH(A1998,Stocks!$E$2:$E$2139,0))="","No","Yes"),"No")</f>
        <v/>
      </c>
    </row>
    <row r="1999">
      <c r="A1999" s="16" t="inlineStr">
        <is>
          <t>INE545L01039</t>
        </is>
      </c>
      <c r="B1999" s="16" t="inlineStr">
        <is>
          <t>MANCREDIT</t>
        </is>
      </c>
      <c r="C1999" s="16" t="inlineStr">
        <is>
          <t>Mangal Credit And Fincorp Ltd.</t>
        </is>
      </c>
      <c r="D1999" s="16" t="inlineStr">
        <is>
          <t>Finance (including NBFCs)</t>
        </is>
      </c>
      <c r="E1999" s="16" t="inlineStr">
        <is>
          <t>Banking and Finance</t>
        </is>
      </c>
      <c r="F1999" s="17" t="n">
        <v>482.1</v>
      </c>
      <c r="G1999" s="16" t="inlineStr">
        <is>
          <t>MANCREDIT</t>
        </is>
      </c>
      <c r="H1999" s="16" t="inlineStr">
        <is>
          <t>505850</t>
        </is>
      </c>
      <c r="I1999" s="27">
        <f>IFERROR(IF(INDEX(Stocks!$G$2:$G$2139,MATCH(A1999,Stocks!$E$2:$E$2139,0))="","No","Yes"),"No")</f>
        <v/>
      </c>
    </row>
    <row r="2000">
      <c r="A2000" s="16" t="inlineStr">
        <is>
          <t>INE369I01014</t>
        </is>
      </c>
      <c r="B2000" s="16" t="inlineStr">
        <is>
          <t>IL&amp;FSENGG</t>
        </is>
      </c>
      <c r="C2000" s="16" t="inlineStr">
        <is>
          <t>IL&amp;FS Engineering &amp; Construction Company Ltd.</t>
        </is>
      </c>
      <c r="D2000" s="16" t="inlineStr">
        <is>
          <t>Construction &amp; Engineering</t>
        </is>
      </c>
      <c r="E2000" s="16" t="inlineStr">
        <is>
          <t>Cement and Construction</t>
        </is>
      </c>
      <c r="F2000" s="17" t="n">
        <v>481.87</v>
      </c>
      <c r="G2000" s="16" t="inlineStr">
        <is>
          <t>IL&amp;FSENGG</t>
        </is>
      </c>
      <c r="H2000" s="16" t="inlineStr">
        <is>
          <t>532907</t>
        </is>
      </c>
      <c r="I2000" s="27">
        <f>IFERROR(IF(INDEX(Stocks!$G$2:$G$2139,MATCH(A2000,Stocks!$E$2:$E$2139,0))="","No","Yes"),"No")</f>
        <v/>
      </c>
    </row>
    <row r="2001">
      <c r="A2001" s="16" t="inlineStr">
        <is>
          <t>INE00S901012</t>
        </is>
      </c>
      <c r="B2001" s="16" t="inlineStr">
        <is>
          <t>NILASPACES</t>
        </is>
      </c>
      <c r="C2001" s="16" t="inlineStr">
        <is>
          <t>Nila Spaces Ltd.</t>
        </is>
      </c>
      <c r="D2001" s="16" t="inlineStr">
        <is>
          <t>Realty</t>
        </is>
      </c>
      <c r="E2001" s="16" t="inlineStr">
        <is>
          <t>Realty</t>
        </is>
      </c>
      <c r="F2001" s="17" t="n">
        <v>481.73</v>
      </c>
      <c r="G2001" s="16" t="inlineStr">
        <is>
          <t>NILASPACES</t>
        </is>
      </c>
      <c r="H2001" s="16" t="inlineStr">
        <is>
          <t>542231</t>
        </is>
      </c>
      <c r="I2001" s="27">
        <f>IFERROR(IF(INDEX(Stocks!$G$2:$G$2139,MATCH(A2001,Stocks!$E$2:$E$2139,0))="","No","Yes"),"No")</f>
        <v/>
      </c>
    </row>
    <row r="2002">
      <c r="A2002" s="16" t="inlineStr">
        <is>
          <t>INE300A01016</t>
        </is>
      </c>
      <c r="B2002" s="16" t="inlineStr">
        <is>
          <t>GOODRICKE</t>
        </is>
      </c>
      <c r="C2002" s="16" t="inlineStr">
        <is>
          <t>Goodricke Group Ltd.</t>
        </is>
      </c>
      <c r="D2002" s="16" t="inlineStr">
        <is>
          <t>Tea &amp; Coffee</t>
        </is>
      </c>
      <c r="E2002" s="16" t="inlineStr">
        <is>
          <t>Food, Beverages &amp; Tobacco</t>
        </is>
      </c>
      <c r="F2002" s="17" t="n">
        <v>481.36</v>
      </c>
      <c r="G2002" s="16" t="inlineStr"/>
      <c r="H2002" s="16" t="inlineStr">
        <is>
          <t>500166</t>
        </is>
      </c>
      <c r="I2002" s="27">
        <f>IFERROR(IF(INDEX(Stocks!$G$2:$G$2139,MATCH(A2002,Stocks!$E$2:$E$2139,0))="","No","Yes"),"No")</f>
        <v/>
      </c>
    </row>
    <row r="2003">
      <c r="A2003" s="16" t="inlineStr">
        <is>
          <t>INE807K01035</t>
        </is>
      </c>
      <c r="B2003" s="16" t="inlineStr">
        <is>
          <t>SCHAND</t>
        </is>
      </c>
      <c r="C2003" s="16" t="inlineStr">
        <is>
          <t>S Chand &amp; Company Ltd.</t>
        </is>
      </c>
      <c r="D2003" s="16" t="inlineStr">
        <is>
          <t>Publishing</t>
        </is>
      </c>
      <c r="E2003" s="16" t="inlineStr">
        <is>
          <t>Commercial Services &amp; Supplies</t>
        </is>
      </c>
      <c r="F2003" s="17" t="n">
        <v>481.15</v>
      </c>
      <c r="G2003" s="16" t="inlineStr">
        <is>
          <t>SCHAND</t>
        </is>
      </c>
      <c r="H2003" s="16" t="inlineStr">
        <is>
          <t>540497</t>
        </is>
      </c>
      <c r="I2003" s="27">
        <f>IFERROR(IF(INDEX(Stocks!$G$2:$G$2139,MATCH(A2003,Stocks!$E$2:$E$2139,0))="","No","Yes"),"No")</f>
        <v/>
      </c>
    </row>
    <row r="2004">
      <c r="A2004" s="16" t="inlineStr">
        <is>
          <t>INE965W01036</t>
        </is>
      </c>
      <c r="B2004" s="16" t="inlineStr">
        <is>
          <t>BMWVENTLTD</t>
        </is>
      </c>
      <c r="C2004" s="16" t="inlineStr">
        <is>
          <t>BMW Ventures Ltd.</t>
        </is>
      </c>
      <c r="D2004" s="16" t="inlineStr">
        <is>
          <t>Iron &amp; Steel Products</t>
        </is>
      </c>
      <c r="E2004" s="16" t="inlineStr">
        <is>
          <t>Metals &amp; Mining</t>
        </is>
      </c>
      <c r="F2004" s="17" t="n">
        <v>480.05</v>
      </c>
      <c r="G2004" s="16" t="inlineStr">
        <is>
          <t>BMWVENTLTD</t>
        </is>
      </c>
      <c r="H2004" s="16" t="inlineStr">
        <is>
          <t>544543</t>
        </is>
      </c>
      <c r="I2004" s="27">
        <f>IFERROR(IF(INDEX(Stocks!$G$2:$G$2139,MATCH(A2004,Stocks!$E$2:$E$2139,0))="","No","Yes"),"No")</f>
        <v/>
      </c>
    </row>
    <row r="2005">
      <c r="A2005" s="16" t="inlineStr">
        <is>
          <t>INE668D01028</t>
        </is>
      </c>
      <c r="B2005" s="16" t="inlineStr">
        <is>
          <t>DONEAR</t>
        </is>
      </c>
      <c r="C2005" s="16" t="inlineStr">
        <is>
          <t>Donear Industries Ltd.</t>
        </is>
      </c>
      <c r="D2005" s="16" t="inlineStr">
        <is>
          <t>Textiles</t>
        </is>
      </c>
      <c r="E2005" s="16" t="inlineStr">
        <is>
          <t>Textiles Apparels &amp; Accessories</t>
        </is>
      </c>
      <c r="F2005" s="17" t="n">
        <v>479.7</v>
      </c>
      <c r="G2005" s="16" t="inlineStr">
        <is>
          <t>DONEAR</t>
        </is>
      </c>
      <c r="H2005" s="16" t="inlineStr">
        <is>
          <t>512519</t>
        </is>
      </c>
      <c r="I2005" s="27">
        <f>IFERROR(IF(INDEX(Stocks!$G$2:$G$2139,MATCH(A2005,Stocks!$E$2:$E$2139,0))="","No","Yes"),"No")</f>
        <v/>
      </c>
    </row>
    <row r="2006">
      <c r="A2006" s="16" t="inlineStr">
        <is>
          <t>INE0A0S01028</t>
        </is>
      </c>
      <c r="B2006" s="16" t="inlineStr">
        <is>
          <t>SIGMA</t>
        </is>
      </c>
      <c r="C2006" s="16" t="inlineStr">
        <is>
          <t>Sigma Solve Ltd.</t>
        </is>
      </c>
      <c r="D2006" s="16" t="inlineStr">
        <is>
          <t>IT Consulting &amp; Software</t>
        </is>
      </c>
      <c r="E2006" s="16" t="inlineStr">
        <is>
          <t>Software &amp; Services</t>
        </is>
      </c>
      <c r="F2006" s="17" t="n">
        <v>479.55</v>
      </c>
      <c r="G2006" s="16" t="inlineStr">
        <is>
          <t>SIGMA</t>
        </is>
      </c>
      <c r="H2006" s="16" t="inlineStr">
        <is>
          <t>543917</t>
        </is>
      </c>
      <c r="I2006" s="27">
        <f>IFERROR(IF(INDEX(Stocks!$G$2:$G$2139,MATCH(A2006,Stocks!$E$2:$E$2139,0))="","No","Yes"),"No")</f>
        <v/>
      </c>
    </row>
    <row r="2007">
      <c r="A2007" s="16" t="inlineStr">
        <is>
          <t>INE0OJ401014</t>
        </is>
      </c>
      <c r="B2007" s="16" t="inlineStr">
        <is>
          <t>BIZOTIC</t>
        </is>
      </c>
      <c r="C2007" s="16" t="inlineStr">
        <is>
          <t>Bizotic Commercial Ltd.</t>
        </is>
      </c>
      <c r="D2007" s="16" t="inlineStr">
        <is>
          <t>Other Apparels &amp; Accessories</t>
        </is>
      </c>
      <c r="E2007" s="16" t="inlineStr">
        <is>
          <t>Textiles Apparels &amp; Accessories</t>
        </is>
      </c>
      <c r="F2007" s="17" t="n">
        <v>479.07</v>
      </c>
      <c r="G2007" s="16" t="inlineStr"/>
      <c r="H2007" s="16" t="inlineStr">
        <is>
          <t>543926</t>
        </is>
      </c>
      <c r="I2007" s="27">
        <f>IFERROR(IF(INDEX(Stocks!$G$2:$G$2139,MATCH(A2007,Stocks!$E$2:$E$2139,0))="","No","Yes"),"No")</f>
        <v/>
      </c>
    </row>
    <row r="2008">
      <c r="A2008" s="16" t="inlineStr">
        <is>
          <t>INE320I01017</t>
        </is>
      </c>
      <c r="B2008" s="16" t="inlineStr">
        <is>
          <t>BRAHMINFRA</t>
        </is>
      </c>
      <c r="C2008" s="16" t="inlineStr">
        <is>
          <t>Brahmaputra Infrastructure Ltd.</t>
        </is>
      </c>
      <c r="D2008" s="16" t="inlineStr">
        <is>
          <t>Construction &amp; Engineering</t>
        </is>
      </c>
      <c r="E2008" s="16" t="inlineStr">
        <is>
          <t>Cement and Construction</t>
        </is>
      </c>
      <c r="F2008" s="17" t="n">
        <v>476.63</v>
      </c>
      <c r="G2008" s="16" t="inlineStr"/>
      <c r="H2008" s="16" t="inlineStr">
        <is>
          <t>535693</t>
        </is>
      </c>
      <c r="I2008" s="27">
        <f>IFERROR(IF(INDEX(Stocks!$G$2:$G$2139,MATCH(A2008,Stocks!$E$2:$E$2139,0))="","No","Yes"),"No")</f>
        <v/>
      </c>
    </row>
    <row r="2009">
      <c r="A2009" s="16" t="inlineStr">
        <is>
          <t>INE551B01012</t>
        </is>
      </c>
      <c r="B2009" s="16" t="inlineStr">
        <is>
          <t>UDAYJEW</t>
        </is>
      </c>
      <c r="C2009" s="16" t="inlineStr">
        <is>
          <t>Uday Jewellery Industries Ltd.</t>
        </is>
      </c>
      <c r="D2009" s="16" t="inlineStr">
        <is>
          <t>Gems &amp; Jewellery</t>
        </is>
      </c>
      <c r="E2009" s="16" t="inlineStr">
        <is>
          <t>Textiles Apparels &amp; Accessories</t>
        </is>
      </c>
      <c r="F2009" s="17" t="n">
        <v>475.99</v>
      </c>
      <c r="G2009" s="16" t="inlineStr"/>
      <c r="H2009" s="16" t="inlineStr">
        <is>
          <t>539518</t>
        </is>
      </c>
      <c r="I2009" s="27">
        <f>IFERROR(IF(INDEX(Stocks!$G$2:$G$2139,MATCH(A2009,Stocks!$E$2:$E$2139,0))="","No","Yes"),"No")</f>
        <v/>
      </c>
    </row>
    <row r="2010">
      <c r="A2010" s="16" t="inlineStr">
        <is>
          <t>INE0NQ801033</t>
        </is>
      </c>
      <c r="B2010" s="16" t="inlineStr">
        <is>
          <t>RKSWAMY</t>
        </is>
      </c>
      <c r="C2010" s="16" t="inlineStr">
        <is>
          <t>R K Swamy Ltd.</t>
        </is>
      </c>
      <c r="D2010" s="16" t="inlineStr">
        <is>
          <t>Advertising &amp; Media</t>
        </is>
      </c>
      <c r="E2010" s="16" t="inlineStr">
        <is>
          <t>Media</t>
        </is>
      </c>
      <c r="F2010" s="17" t="n">
        <v>475.75</v>
      </c>
      <c r="G2010" s="16" t="inlineStr">
        <is>
          <t>RKSWAMY</t>
        </is>
      </c>
      <c r="H2010" s="16" t="inlineStr">
        <is>
          <t>544136</t>
        </is>
      </c>
      <c r="I2010" s="27">
        <f>IFERROR(IF(INDEX(Stocks!$G$2:$G$2139,MATCH(A2010,Stocks!$E$2:$E$2139,0))="","No","Yes"),"No")</f>
        <v/>
      </c>
    </row>
    <row r="2011">
      <c r="A2011" s="16" t="inlineStr">
        <is>
          <t>INE337M01021</t>
        </is>
      </c>
      <c r="B2011" s="16" t="inlineStr">
        <is>
          <t>INDOTHAI</t>
        </is>
      </c>
      <c r="C2011" s="16" t="inlineStr">
        <is>
          <t>Indo Thai Securities Ltd.</t>
        </is>
      </c>
      <c r="D2011" s="16" t="inlineStr">
        <is>
          <t>Capital Markets</t>
        </is>
      </c>
      <c r="E2011" s="16" t="inlineStr">
        <is>
          <t>Banking and Finance</t>
        </is>
      </c>
      <c r="F2011" s="17" t="n">
        <v>474.9</v>
      </c>
      <c r="G2011" s="16" t="inlineStr">
        <is>
          <t>INDOTHAI</t>
        </is>
      </c>
      <c r="H2011" s="16" t="inlineStr">
        <is>
          <t>533676</t>
        </is>
      </c>
      <c r="I2011" s="27">
        <f>IFERROR(IF(INDEX(Stocks!$G$2:$G$2139,MATCH(A2011,Stocks!$E$2:$E$2139,0))="","No","Yes"),"No")</f>
        <v/>
      </c>
    </row>
    <row r="2012">
      <c r="A2012" s="16" t="inlineStr">
        <is>
          <t>INE050401020</t>
        </is>
      </c>
      <c r="B2012" s="16" t="inlineStr">
        <is>
          <t>ELIN</t>
        </is>
      </c>
      <c r="C2012" s="16" t="inlineStr">
        <is>
          <t>Elin Electronics Ltd.</t>
        </is>
      </c>
      <c r="D2012" s="16" t="inlineStr">
        <is>
          <t>Household Appliances</t>
        </is>
      </c>
      <c r="E2012" s="16" t="inlineStr">
        <is>
          <t>Consumer Durables</t>
        </is>
      </c>
      <c r="F2012" s="17" t="n">
        <v>474.23</v>
      </c>
      <c r="G2012" s="16" t="inlineStr">
        <is>
          <t>ELIN</t>
        </is>
      </c>
      <c r="H2012" s="16" t="inlineStr">
        <is>
          <t>543725</t>
        </is>
      </c>
      <c r="I2012" s="27">
        <f>IFERROR(IF(INDEX(Stocks!$G$2:$G$2139,MATCH(A2012,Stocks!$E$2:$E$2139,0))="","No","Yes"),"No")</f>
        <v/>
      </c>
    </row>
    <row r="2013">
      <c r="A2013" s="16" t="inlineStr">
        <is>
          <t>INE0SMW01011</t>
        </is>
      </c>
      <c r="B2013" s="16" t="inlineStr">
        <is>
          <t>PPARIVAH</t>
        </is>
      </c>
      <c r="C2013" s="16" t="inlineStr">
        <is>
          <t>Paradeep Parivahan Ltd.</t>
        </is>
      </c>
      <c r="D2013" s="16" t="inlineStr">
        <is>
          <t>Warehousing &amp; Logistics</t>
        </is>
      </c>
      <c r="E2013" s="16" t="inlineStr">
        <is>
          <t>Commercial Services &amp; Supplies</t>
        </is>
      </c>
      <c r="F2013" s="17" t="n">
        <v>473.4</v>
      </c>
      <c r="G2013" s="16" t="inlineStr"/>
      <c r="H2013" s="16" t="inlineStr">
        <is>
          <t>544383</t>
        </is>
      </c>
      <c r="I2013" s="27">
        <f>IFERROR(IF(INDEX(Stocks!$G$2:$G$2139,MATCH(A2013,Stocks!$E$2:$E$2139,0))="","No","Yes"),"No")</f>
        <v/>
      </c>
    </row>
    <row r="2014">
      <c r="A2014" s="16" t="inlineStr">
        <is>
          <t>INE638A01035</t>
        </is>
      </c>
      <c r="B2014" s="16" t="inlineStr">
        <is>
          <t>SINGERIND</t>
        </is>
      </c>
      <c r="C2014" s="16" t="inlineStr">
        <is>
          <t>Singer India Ltd.</t>
        </is>
      </c>
      <c r="D2014" s="16" t="inlineStr">
        <is>
          <t>Household Appliances</t>
        </is>
      </c>
      <c r="E2014" s="16" t="inlineStr">
        <is>
          <t>Consumer Durables</t>
        </is>
      </c>
      <c r="F2014" s="17" t="n">
        <v>473.27</v>
      </c>
      <c r="G2014" s="16" t="inlineStr"/>
      <c r="H2014" s="16" t="inlineStr">
        <is>
          <t>505729</t>
        </is>
      </c>
      <c r="I2014" s="27">
        <f>IFERROR(IF(INDEX(Stocks!$G$2:$G$2139,MATCH(A2014,Stocks!$E$2:$E$2139,0))="","No","Yes"),"No")</f>
        <v/>
      </c>
    </row>
    <row r="2015">
      <c r="A2015" s="16" t="inlineStr">
        <is>
          <t>INE836F01026</t>
        </is>
      </c>
      <c r="B2015" s="16" t="inlineStr">
        <is>
          <t>DISHTV</t>
        </is>
      </c>
      <c r="C2015" s="16" t="inlineStr">
        <is>
          <t>Dish TV India Ltd.</t>
        </is>
      </c>
      <c r="D2015" s="16" t="inlineStr">
        <is>
          <t>Broadcasting &amp; Cable TV</t>
        </is>
      </c>
      <c r="E2015" s="16" t="inlineStr">
        <is>
          <t>Media</t>
        </is>
      </c>
      <c r="F2015" s="17" t="n">
        <v>473.2</v>
      </c>
      <c r="G2015" s="16" t="inlineStr">
        <is>
          <t>DISHTV</t>
        </is>
      </c>
      <c r="H2015" s="16" t="inlineStr">
        <is>
          <t>532839</t>
        </is>
      </c>
      <c r="I2015" s="27">
        <f>IFERROR(IF(INDEX(Stocks!$G$2:$G$2139,MATCH(A2015,Stocks!$E$2:$E$2139,0))="","No","Yes"),"No")</f>
        <v/>
      </c>
    </row>
    <row r="2016">
      <c r="A2016" s="16" t="inlineStr">
        <is>
          <t>INE555C01029</t>
        </is>
      </c>
      <c r="B2016" s="16" t="inlineStr">
        <is>
          <t>SHIVACEM</t>
        </is>
      </c>
      <c r="C2016" s="16" t="inlineStr">
        <is>
          <t>Shiva Cement Ltd.</t>
        </is>
      </c>
      <c r="D2016" s="16" t="inlineStr">
        <is>
          <t>Cement &amp; Cement Products</t>
        </is>
      </c>
      <c r="E2016" s="16" t="inlineStr">
        <is>
          <t>Cement and Construction</t>
        </is>
      </c>
      <c r="F2016" s="17" t="n">
        <v>472.59</v>
      </c>
      <c r="G2016" s="16" t="inlineStr"/>
      <c r="H2016" s="16" t="inlineStr">
        <is>
          <t>532323</t>
        </is>
      </c>
      <c r="I2016" s="27">
        <f>IFERROR(IF(INDEX(Stocks!$G$2:$G$2139,MATCH(A2016,Stocks!$E$2:$E$2139,0))="","No","Yes"),"No")</f>
        <v/>
      </c>
    </row>
    <row r="2017">
      <c r="A2017" s="16" t="inlineStr">
        <is>
          <t>INE01EE01011</t>
        </is>
      </c>
      <c r="B2017" s="16" t="inlineStr">
        <is>
          <t>BBTCL</t>
        </is>
      </c>
      <c r="C2017" s="16" t="inlineStr">
        <is>
          <t>B&amp;B Triplewall Containers Ltd.</t>
        </is>
      </c>
      <c r="D2017" s="16" t="inlineStr">
        <is>
          <t>Containers &amp; Packaging</t>
        </is>
      </c>
      <c r="E2017" s="16" t="inlineStr">
        <is>
          <t>Commercial Services &amp; Supplies</t>
        </is>
      </c>
      <c r="F2017" s="17" t="n">
        <v>472.21</v>
      </c>
      <c r="G2017" s="16" t="inlineStr">
        <is>
          <t>BBTCL</t>
        </is>
      </c>
      <c r="H2017" s="16" t="inlineStr">
        <is>
          <t>543668</t>
        </is>
      </c>
      <c r="I2017" s="27">
        <f>IFERROR(IF(INDEX(Stocks!$G$2:$G$2139,MATCH(A2017,Stocks!$E$2:$E$2139,0))="","No","Yes"),"No")</f>
        <v/>
      </c>
    </row>
    <row r="2018">
      <c r="A2018" s="16" t="inlineStr">
        <is>
          <t>INE573K01025</t>
        </is>
      </c>
      <c r="B2018" s="16" t="inlineStr">
        <is>
          <t>RUSHIL</t>
        </is>
      </c>
      <c r="C2018" s="16" t="inlineStr">
        <is>
          <t>Rushil Decor Ltd.</t>
        </is>
      </c>
      <c r="D2018" s="16" t="inlineStr">
        <is>
          <t>Forest Products</t>
        </is>
      </c>
      <c r="E2018" s="16" t="inlineStr">
        <is>
          <t>Forest Materials</t>
        </is>
      </c>
      <c r="F2018" s="17" t="n">
        <v>469.76</v>
      </c>
      <c r="G2018" s="16" t="inlineStr">
        <is>
          <t>RUSHIL</t>
        </is>
      </c>
      <c r="H2018" s="16" t="inlineStr">
        <is>
          <t>533470</t>
        </is>
      </c>
      <c r="I2018" s="27">
        <f>IFERROR(IF(INDEX(Stocks!$G$2:$G$2139,MATCH(A2018,Stocks!$E$2:$E$2139,0))="","No","Yes"),"No")</f>
        <v/>
      </c>
    </row>
    <row r="2019">
      <c r="A2019" s="16" t="inlineStr">
        <is>
          <t>INE0APB01032</t>
        </is>
      </c>
      <c r="B2019" s="16" t="inlineStr">
        <is>
          <t>MGEL</t>
        </is>
      </c>
      <c r="C2019" s="16" t="inlineStr">
        <is>
          <t>Mangalam Global Enterprise Ltd.</t>
        </is>
      </c>
      <c r="D2019" s="16" t="inlineStr">
        <is>
          <t>Other Agricultural Products</t>
        </is>
      </c>
      <c r="E2019" s="16" t="inlineStr">
        <is>
          <t>Food, Beverages &amp; Tobacco</t>
        </is>
      </c>
      <c r="F2019" s="17" t="n">
        <v>469.29</v>
      </c>
      <c r="G2019" s="16" t="inlineStr">
        <is>
          <t>MGEL</t>
        </is>
      </c>
      <c r="H2019" s="16" t="inlineStr">
        <is>
          <t>544273</t>
        </is>
      </c>
      <c r="I2019" s="27">
        <f>IFERROR(IF(INDEX(Stocks!$G$2:$G$2139,MATCH(A2019,Stocks!$E$2:$E$2139,0))="","No","Yes"),"No")</f>
        <v/>
      </c>
    </row>
    <row r="2020">
      <c r="A2020" s="16" t="inlineStr">
        <is>
          <t>INE142E01022</t>
        </is>
      </c>
      <c r="B2020" s="16" t="inlineStr">
        <is>
          <t>BEMHY</t>
        </is>
      </c>
      <c r="C2020" s="16" t="inlineStr">
        <is>
          <t>Bemco Hydraulics Ltd.</t>
        </is>
      </c>
      <c r="D2020" s="16" t="inlineStr">
        <is>
          <t>Other Industrial Goods</t>
        </is>
      </c>
      <c r="E2020" s="16" t="inlineStr">
        <is>
          <t>General Industrials</t>
        </is>
      </c>
      <c r="F2020" s="17" t="n">
        <v>469.05</v>
      </c>
      <c r="G2020" s="16" t="inlineStr"/>
      <c r="H2020" s="16" t="inlineStr">
        <is>
          <t>522650</t>
        </is>
      </c>
      <c r="I2020" s="27">
        <f>IFERROR(IF(INDEX(Stocks!$G$2:$G$2139,MATCH(A2020,Stocks!$E$2:$E$2139,0))="","No","Yes"),"No")</f>
        <v/>
      </c>
    </row>
    <row r="2021">
      <c r="A2021" s="16" t="inlineStr">
        <is>
          <t>INE278B01020</t>
        </is>
      </c>
      <c r="B2021" s="16" t="inlineStr">
        <is>
          <t>RAMANEWS</t>
        </is>
      </c>
      <c r="C2021" s="16" t="inlineStr">
        <is>
          <t>Shree Rama Newsprint Ltd.</t>
        </is>
      </c>
      <c r="D2021" s="16" t="inlineStr">
        <is>
          <t>Paper &amp; Paper Products</t>
        </is>
      </c>
      <c r="E2021" s="16" t="inlineStr">
        <is>
          <t>Commercial Services &amp; Supplies</t>
        </is>
      </c>
      <c r="F2021" s="17" t="n">
        <v>468.38</v>
      </c>
      <c r="G2021" s="16" t="inlineStr">
        <is>
          <t>RAMANEWS</t>
        </is>
      </c>
      <c r="H2021" s="16" t="inlineStr">
        <is>
          <t>500356</t>
        </is>
      </c>
      <c r="I2021" s="27">
        <f>IFERROR(IF(INDEX(Stocks!$G$2:$G$2139,MATCH(A2021,Stocks!$E$2:$E$2139,0))="","No","Yes"),"No")</f>
        <v/>
      </c>
    </row>
    <row r="2022">
      <c r="A2022" s="16" t="inlineStr">
        <is>
          <t>INE0EAS01014</t>
        </is>
      </c>
      <c r="B2022" s="16" t="inlineStr">
        <is>
          <t>CONNPLEX</t>
        </is>
      </c>
      <c r="C2022" s="16" t="inlineStr">
        <is>
          <t>Connplex Cinemas Ltd.</t>
        </is>
      </c>
      <c r="D2022" s="16" t="inlineStr">
        <is>
          <t>Movies &amp; Entertainment</t>
        </is>
      </c>
      <c r="E2022" s="16" t="inlineStr">
        <is>
          <t>Media</t>
        </is>
      </c>
      <c r="F2022" s="17" t="n">
        <v>466.9</v>
      </c>
      <c r="G2022" s="16" t="inlineStr">
        <is>
          <t>CONNPLEX</t>
        </is>
      </c>
      <c r="H2022" s="16" t="inlineStr"/>
      <c r="I2022" s="27">
        <f>IFERROR(IF(INDEX(Stocks!$G$2:$G$2139,MATCH(A2022,Stocks!$E$2:$E$2139,0))="","No","Yes"),"No")</f>
        <v/>
      </c>
    </row>
    <row r="2023">
      <c r="A2023" s="16" t="inlineStr">
        <is>
          <t>INE0L2Y01011</t>
        </is>
      </c>
      <c r="B2023" s="16" t="inlineStr">
        <is>
          <t>ARHAM</t>
        </is>
      </c>
      <c r="C2023" s="16" t="inlineStr">
        <is>
          <t>Arham Technologies Ltd.</t>
        </is>
      </c>
      <c r="D2023" s="16" t="inlineStr">
        <is>
          <t>Consumer Electronics</t>
        </is>
      </c>
      <c r="E2023" s="16" t="inlineStr">
        <is>
          <t>Consumer Durables</t>
        </is>
      </c>
      <c r="F2023" s="17" t="n">
        <v>466.67</v>
      </c>
      <c r="G2023" s="16" t="inlineStr">
        <is>
          <t>ARHAM</t>
        </is>
      </c>
      <c r="H2023" s="16" t="inlineStr"/>
      <c r="I2023" s="27">
        <f>IFERROR(IF(INDEX(Stocks!$G$2:$G$2139,MATCH(A2023,Stocks!$E$2:$E$2139,0))="","No","Yes"),"No")</f>
        <v/>
      </c>
    </row>
    <row r="2024">
      <c r="A2024" s="16" t="inlineStr">
        <is>
          <t>INE037B01020</t>
        </is>
      </c>
      <c r="B2024" s="16" t="inlineStr">
        <is>
          <t>SHARDUL</t>
        </is>
      </c>
      <c r="C2024" s="16" t="inlineStr">
        <is>
          <t>Shardul Securities Ltd.</t>
        </is>
      </c>
      <c r="D2024" s="16" t="inlineStr">
        <is>
          <t>Capital Markets</t>
        </is>
      </c>
      <c r="E2024" s="16" t="inlineStr">
        <is>
          <t>Banking and Finance</t>
        </is>
      </c>
      <c r="F2024" s="17" t="n">
        <v>466.51</v>
      </c>
      <c r="G2024" s="16" t="inlineStr"/>
      <c r="H2024" s="16" t="inlineStr">
        <is>
          <t>512393</t>
        </is>
      </c>
      <c r="I2024" s="27">
        <f>IFERROR(IF(INDEX(Stocks!$G$2:$G$2139,MATCH(A2024,Stocks!$E$2:$E$2139,0))="","No","Yes"),"No")</f>
        <v/>
      </c>
    </row>
    <row r="2025">
      <c r="A2025" s="16" t="inlineStr">
        <is>
          <t>INE09EO01013</t>
        </is>
      </c>
      <c r="B2025" s="16" t="inlineStr">
        <is>
          <t>AARTISURF</t>
        </is>
      </c>
      <c r="C2025" s="16" t="inlineStr">
        <is>
          <t>Aarti Surfactants Ltd.</t>
        </is>
      </c>
      <c r="D2025" s="16" t="inlineStr">
        <is>
          <t>Specialty Chemicals</t>
        </is>
      </c>
      <c r="E2025" s="16" t="inlineStr">
        <is>
          <t>Chemicals &amp; Petrochemicals</t>
        </is>
      </c>
      <c r="F2025" s="17" t="n">
        <v>464.63</v>
      </c>
      <c r="G2025" s="16" t="inlineStr">
        <is>
          <t>AARTISURF</t>
        </is>
      </c>
      <c r="H2025" s="16" t="inlineStr">
        <is>
          <t>543210</t>
        </is>
      </c>
      <c r="I2025" s="27">
        <f>IFERROR(IF(INDEX(Stocks!$G$2:$G$2139,MATCH(A2025,Stocks!$E$2:$E$2139,0))="","No","Yes"),"No")</f>
        <v/>
      </c>
    </row>
    <row r="2026">
      <c r="A2026" s="16" t="inlineStr">
        <is>
          <t>INE748C01038</t>
        </is>
      </c>
      <c r="B2026" s="16" t="inlineStr">
        <is>
          <t>3IINFOLTD</t>
        </is>
      </c>
      <c r="C2026" s="16" t="inlineStr">
        <is>
          <t>3i Infotech Ltd.</t>
        </is>
      </c>
      <c r="D2026" s="16" t="inlineStr">
        <is>
          <t>IT Consulting &amp; Software</t>
        </is>
      </c>
      <c r="E2026" s="16" t="inlineStr">
        <is>
          <t>Software &amp; Services</t>
        </is>
      </c>
      <c r="F2026" s="17" t="n">
        <v>463.95</v>
      </c>
      <c r="G2026" s="16" t="inlineStr">
        <is>
          <t>3IINFOLTD</t>
        </is>
      </c>
      <c r="H2026" s="16" t="inlineStr">
        <is>
          <t>532628</t>
        </is>
      </c>
      <c r="I2026" s="27">
        <f>IFERROR(IF(INDEX(Stocks!$G$2:$G$2139,MATCH(A2026,Stocks!$E$2:$E$2139,0))="","No","Yes"),"No")</f>
        <v/>
      </c>
    </row>
    <row r="2027">
      <c r="A2027" s="16" t="inlineStr">
        <is>
          <t>INE655I01032</t>
        </is>
      </c>
      <c r="B2027" s="16" t="inlineStr">
        <is>
          <t>BIRLACOT</t>
        </is>
      </c>
      <c r="C2027" s="16" t="inlineStr">
        <is>
          <t>Birla Cotsyn (India) Ltd.</t>
        </is>
      </c>
      <c r="D2027" s="16" t="inlineStr">
        <is>
          <t>Textiles</t>
        </is>
      </c>
      <c r="E2027" s="16" t="inlineStr">
        <is>
          <t>Textiles Apparels &amp; Accessories</t>
        </is>
      </c>
      <c r="F2027" s="17" t="n">
        <v>463.12</v>
      </c>
      <c r="G2027" s="16" t="inlineStr"/>
      <c r="H2027" s="16" t="inlineStr">
        <is>
          <t>533006</t>
        </is>
      </c>
      <c r="I2027" s="27">
        <f>IFERROR(IF(INDEX(Stocks!$G$2:$G$2139,MATCH(A2027,Stocks!$E$2:$E$2139,0))="","No","Yes"),"No")</f>
        <v/>
      </c>
    </row>
    <row r="2028">
      <c r="A2028" s="16" t="inlineStr">
        <is>
          <t>INE755Q01025</t>
        </is>
      </c>
      <c r="B2028" s="16" t="inlineStr">
        <is>
          <t>VISHAL</t>
        </is>
      </c>
      <c r="C2028" s="16" t="inlineStr">
        <is>
          <t>Vishal Fabrics Ltd.</t>
        </is>
      </c>
      <c r="D2028" s="16" t="inlineStr">
        <is>
          <t>Textiles</t>
        </is>
      </c>
      <c r="E2028" s="16" t="inlineStr">
        <is>
          <t>Textiles Apparels &amp; Accessories</t>
        </is>
      </c>
      <c r="F2028" s="17" t="n">
        <v>461.79</v>
      </c>
      <c r="G2028" s="16" t="inlineStr"/>
      <c r="H2028" s="16" t="inlineStr">
        <is>
          <t>538598</t>
        </is>
      </c>
      <c r="I2028" s="27">
        <f>IFERROR(IF(INDEX(Stocks!$G$2:$G$2139,MATCH(A2028,Stocks!$E$2:$E$2139,0))="","No","Yes"),"No")</f>
        <v/>
      </c>
    </row>
    <row r="2029">
      <c r="A2029" s="16" t="inlineStr">
        <is>
          <t>INE359U01028</t>
        </is>
      </c>
      <c r="B2029" s="16" t="inlineStr">
        <is>
          <t>LANCER</t>
        </is>
      </c>
      <c r="C2029" s="16" t="inlineStr">
        <is>
          <t>Lancer Container Lines Ltd.</t>
        </is>
      </c>
      <c r="D2029" s="16" t="inlineStr">
        <is>
          <t>Warehousing &amp; Logistics</t>
        </is>
      </c>
      <c r="E2029" s="16" t="inlineStr">
        <is>
          <t>Transportation</t>
        </is>
      </c>
      <c r="F2029" s="17" t="n">
        <v>461.72</v>
      </c>
      <c r="G2029" s="16" t="inlineStr"/>
      <c r="H2029" s="16" t="inlineStr">
        <is>
          <t>539841</t>
        </is>
      </c>
      <c r="I2029" s="27">
        <f>IFERROR(IF(INDEX(Stocks!$G$2:$G$2139,MATCH(A2029,Stocks!$E$2:$E$2139,0))="","No","Yes"),"No")</f>
        <v/>
      </c>
    </row>
    <row r="2030">
      <c r="A2030" s="16" t="inlineStr">
        <is>
          <t>INE826C01016</t>
        </is>
      </c>
      <c r="B2030" s="16" t="inlineStr">
        <is>
          <t>GUJAPOLLO</t>
        </is>
      </c>
      <c r="C2030" s="16" t="inlineStr">
        <is>
          <t>Gujarat Apollo Industries Ltd.</t>
        </is>
      </c>
      <c r="D2030" s="16" t="inlineStr">
        <is>
          <t>Industrial Machinery</t>
        </is>
      </c>
      <c r="E2030" s="16" t="inlineStr">
        <is>
          <t>General Industrials</t>
        </is>
      </c>
      <c r="F2030" s="17" t="n">
        <v>461.67</v>
      </c>
      <c r="G2030" s="16" t="inlineStr">
        <is>
          <t>GUJAPOLLO</t>
        </is>
      </c>
      <c r="H2030" s="16" t="inlineStr">
        <is>
          <t>522217</t>
        </is>
      </c>
      <c r="I2030" s="27">
        <f>IFERROR(IF(INDEX(Stocks!$G$2:$G$2139,MATCH(A2030,Stocks!$E$2:$E$2139,0))="","No","Yes"),"No")</f>
        <v/>
      </c>
    </row>
    <row r="2031">
      <c r="A2031" s="16" t="inlineStr">
        <is>
          <t>INE05J901018</t>
        </is>
      </c>
      <c r="B2031" s="16" t="inlineStr">
        <is>
          <t>IGCL</t>
        </is>
      </c>
      <c r="C2031" s="16" t="inlineStr">
        <is>
          <t>Indogulf Cropsciences Ltd.</t>
        </is>
      </c>
      <c r="D2031" s="16" t="inlineStr">
        <is>
          <t>Agrochemicals</t>
        </is>
      </c>
      <c r="E2031" s="16" t="inlineStr">
        <is>
          <t>Chemicals &amp; Petrochemicals</t>
        </is>
      </c>
      <c r="F2031" s="17" t="n">
        <v>460.84</v>
      </c>
      <c r="G2031" s="16" t="inlineStr">
        <is>
          <t>IGCL</t>
        </is>
      </c>
      <c r="H2031" s="16" t="inlineStr">
        <is>
          <t>544432</t>
        </is>
      </c>
      <c r="I2031" s="27">
        <f>IFERROR(IF(INDEX(Stocks!$G$2:$G$2139,MATCH(A2031,Stocks!$E$2:$E$2139,0))="","No","Yes"),"No")</f>
        <v/>
      </c>
    </row>
    <row r="2032">
      <c r="A2032" s="16" t="inlineStr">
        <is>
          <t>INE00ST01011</t>
        </is>
      </c>
      <c r="B2032" s="16" t="inlineStr">
        <is>
          <t>BRGIL</t>
        </is>
      </c>
      <c r="C2032" s="16" t="inlineStr">
        <is>
          <t>B.R.Goyal Infrastructure Ltd.</t>
        </is>
      </c>
      <c r="D2032" s="16" t="inlineStr">
        <is>
          <t>Construction &amp; Engineering</t>
        </is>
      </c>
      <c r="E2032" s="16" t="inlineStr">
        <is>
          <t>Cement and Construction</t>
        </is>
      </c>
      <c r="F2032" s="17" t="n">
        <v>459.82</v>
      </c>
      <c r="G2032" s="16" t="inlineStr"/>
      <c r="H2032" s="16" t="inlineStr">
        <is>
          <t>544335</t>
        </is>
      </c>
      <c r="I2032" s="27">
        <f>IFERROR(IF(INDEX(Stocks!$G$2:$G$2139,MATCH(A2032,Stocks!$E$2:$E$2139,0))="","No","Yes"),"No")</f>
        <v/>
      </c>
    </row>
    <row r="2033">
      <c r="A2033" s="16" t="inlineStr">
        <is>
          <t>INE0GAO01018</t>
        </is>
      </c>
      <c r="B2033" s="16" t="inlineStr">
        <is>
          <t>PREVEST</t>
        </is>
      </c>
      <c r="C2033" s="16" t="inlineStr">
        <is>
          <t>Prevest Denpro Ltd.</t>
        </is>
      </c>
      <c r="D2033" s="16" t="inlineStr">
        <is>
          <t>Medical Equipment</t>
        </is>
      </c>
      <c r="E2033" s="16" t="inlineStr">
        <is>
          <t>Healthcare</t>
        </is>
      </c>
      <c r="F2033" s="17" t="n">
        <v>458.33</v>
      </c>
      <c r="G2033" s="16" t="inlineStr"/>
      <c r="H2033" s="16" t="inlineStr">
        <is>
          <t>543363</t>
        </is>
      </c>
      <c r="I2033" s="27">
        <f>IFERROR(IF(INDEX(Stocks!$G$2:$G$2139,MATCH(A2033,Stocks!$E$2:$E$2139,0))="","No","Yes"),"No")</f>
        <v/>
      </c>
    </row>
    <row r="2034">
      <c r="A2034" s="16" t="inlineStr">
        <is>
          <t>INE461B01014</t>
        </is>
      </c>
      <c r="B2034" s="16" t="inlineStr">
        <is>
          <t>REPRO</t>
        </is>
      </c>
      <c r="C2034" s="16" t="inlineStr">
        <is>
          <t>Repro India Ltd.</t>
        </is>
      </c>
      <c r="D2034" s="16" t="inlineStr">
        <is>
          <t>Publishing</t>
        </is>
      </c>
      <c r="E2034" s="16" t="inlineStr">
        <is>
          <t>Commercial Services &amp; Supplies</t>
        </is>
      </c>
      <c r="F2034" s="17" t="n">
        <v>458.26</v>
      </c>
      <c r="G2034" s="16" t="inlineStr">
        <is>
          <t>REPRO</t>
        </is>
      </c>
      <c r="H2034" s="16" t="inlineStr">
        <is>
          <t>532687</t>
        </is>
      </c>
      <c r="I2034" s="27">
        <f>IFERROR(IF(INDEX(Stocks!$G$2:$G$2139,MATCH(A2034,Stocks!$E$2:$E$2139,0))="","No","Yes"),"No")</f>
        <v/>
      </c>
    </row>
    <row r="2035">
      <c r="A2035" s="16" t="inlineStr">
        <is>
          <t>INE100D01014</t>
        </is>
      </c>
      <c r="B2035" s="16" t="inlineStr">
        <is>
          <t>WSI</t>
        </is>
      </c>
      <c r="C2035" s="16" t="inlineStr">
        <is>
          <t>W S Industries (India) Ltd.</t>
        </is>
      </c>
      <c r="D2035" s="16" t="inlineStr">
        <is>
          <t>Construction &amp; Engineering</t>
        </is>
      </c>
      <c r="E2035" s="16" t="inlineStr">
        <is>
          <t>Cement and Construction</t>
        </is>
      </c>
      <c r="F2035" s="17" t="n">
        <v>458.18</v>
      </c>
      <c r="G2035" s="16" t="inlineStr">
        <is>
          <t>WSI</t>
        </is>
      </c>
      <c r="H2035" s="16" t="inlineStr">
        <is>
          <t>504220</t>
        </is>
      </c>
      <c r="I2035" s="27">
        <f>IFERROR(IF(INDEX(Stocks!$G$2:$G$2139,MATCH(A2035,Stocks!$E$2:$E$2139,0))="","No","Yes"),"No")</f>
        <v/>
      </c>
    </row>
    <row r="2036">
      <c r="A2036" s="16" t="inlineStr">
        <is>
          <t>INE208H01016</t>
        </is>
      </c>
      <c r="B2036" s="16" t="inlineStr">
        <is>
          <t>MEEIND</t>
        </is>
      </c>
      <c r="C2036" s="16" t="inlineStr">
        <is>
          <t>Meenakshi (India) Ltd.</t>
        </is>
      </c>
      <c r="D2036" s="16" t="inlineStr">
        <is>
          <t>Textiles</t>
        </is>
      </c>
      <c r="E2036" s="16" t="inlineStr">
        <is>
          <t>Textiles Apparels &amp; Accessories</t>
        </is>
      </c>
      <c r="F2036" s="17" t="n">
        <v>457.82</v>
      </c>
      <c r="G2036" s="16" t="inlineStr"/>
      <c r="H2036" s="16" t="inlineStr">
        <is>
          <t>544831</t>
        </is>
      </c>
      <c r="I2036" s="27">
        <f>IFERROR(IF(INDEX(Stocks!$G$2:$G$2139,MATCH(A2036,Stocks!$E$2:$E$2139,0))="","No","Yes"),"No")</f>
        <v/>
      </c>
    </row>
    <row r="2037">
      <c r="A2037" s="16" t="inlineStr">
        <is>
          <t>INE961D01019</t>
        </is>
      </c>
      <c r="B2037" s="16" t="inlineStr">
        <is>
          <t>UNIDT</t>
        </is>
      </c>
      <c r="C2037" s="16" t="inlineStr">
        <is>
          <t>United Drilling Tools Ltd.</t>
        </is>
      </c>
      <c r="D2037" s="16" t="inlineStr">
        <is>
          <t>Other Industrial Goods</t>
        </is>
      </c>
      <c r="E2037" s="16" t="inlineStr">
        <is>
          <t>General Industrials</t>
        </is>
      </c>
      <c r="F2037" s="17" t="n">
        <v>457.75</v>
      </c>
      <c r="G2037" s="16" t="inlineStr">
        <is>
          <t>UNIDT</t>
        </is>
      </c>
      <c r="H2037" s="16" t="inlineStr">
        <is>
          <t>522014</t>
        </is>
      </c>
      <c r="I2037" s="27">
        <f>IFERROR(IF(INDEX(Stocks!$G$2:$G$2139,MATCH(A2037,Stocks!$E$2:$E$2139,0))="","No","Yes"),"No")</f>
        <v/>
      </c>
    </row>
    <row r="2038">
      <c r="A2038" s="16" t="inlineStr">
        <is>
          <t>INE08PH01015</t>
        </is>
      </c>
      <c r="B2038" s="16" t="inlineStr">
        <is>
          <t>ABCOTS</t>
        </is>
      </c>
      <c r="C2038" s="16" t="inlineStr">
        <is>
          <t>AB Cotspin India Ltd.</t>
        </is>
      </c>
      <c r="D2038" s="16" t="inlineStr">
        <is>
          <t>Textiles</t>
        </is>
      </c>
      <c r="E2038" s="16" t="inlineStr">
        <is>
          <t>Textiles Apparels &amp; Accessories</t>
        </is>
      </c>
      <c r="F2038" s="17" t="n">
        <v>457.17</v>
      </c>
      <c r="G2038" s="16" t="inlineStr">
        <is>
          <t>ABCOTS</t>
        </is>
      </c>
      <c r="H2038" s="16" t="inlineStr">
        <is>
          <t>544522</t>
        </is>
      </c>
      <c r="I2038" s="27">
        <f>IFERROR(IF(INDEX(Stocks!$G$2:$G$2139,MATCH(A2038,Stocks!$E$2:$E$2139,0))="","No","Yes"),"No")</f>
        <v/>
      </c>
    </row>
    <row r="2039">
      <c r="A2039" s="16" t="inlineStr">
        <is>
          <t>INE199C01026</t>
        </is>
      </c>
      <c r="B2039" s="16" t="inlineStr">
        <is>
          <t>ADVANIHOTR</t>
        </is>
      </c>
      <c r="C2039" s="16" t="inlineStr">
        <is>
          <t>Advani Hotels &amp; Resorts (India) Ltd.</t>
        </is>
      </c>
      <c r="D2039" s="16" t="inlineStr">
        <is>
          <t>Hotels</t>
        </is>
      </c>
      <c r="E2039" s="16" t="inlineStr">
        <is>
          <t>Hotels Restaurants &amp; Tourism</t>
        </is>
      </c>
      <c r="F2039" s="17" t="n">
        <v>457.11</v>
      </c>
      <c r="G2039" s="16" t="inlineStr">
        <is>
          <t>ADVANIHOTR</t>
        </is>
      </c>
      <c r="H2039" s="16" t="inlineStr">
        <is>
          <t>523269</t>
        </is>
      </c>
      <c r="I2039" s="27">
        <f>IFERROR(IF(INDEX(Stocks!$G$2:$G$2139,MATCH(A2039,Stocks!$E$2:$E$2139,0))="","No","Yes"),"No")</f>
        <v/>
      </c>
    </row>
    <row r="2040">
      <c r="A2040" s="16" t="inlineStr">
        <is>
          <t>INE777G01012</t>
        </is>
      </c>
      <c r="B2040" s="16" t="inlineStr">
        <is>
          <t>SRAMSET</t>
        </is>
      </c>
      <c r="C2040" s="16" t="inlineStr">
        <is>
          <t>Shriram Asset Management Company Ltd.</t>
        </is>
      </c>
      <c r="D2040" s="16" t="inlineStr">
        <is>
          <t>Asset Management Cos.</t>
        </is>
      </c>
      <c r="E2040" s="16" t="inlineStr">
        <is>
          <t>Banking and Finance</t>
        </is>
      </c>
      <c r="F2040" s="17" t="n">
        <v>456.71</v>
      </c>
      <c r="G2040" s="16" t="inlineStr"/>
      <c r="H2040" s="16" t="inlineStr">
        <is>
          <t>531359</t>
        </is>
      </c>
      <c r="I2040" s="27">
        <f>IFERROR(IF(INDEX(Stocks!$G$2:$G$2139,MATCH(A2040,Stocks!$E$2:$E$2139,0))="","No","Yes"),"No")</f>
        <v/>
      </c>
    </row>
    <row r="2041">
      <c r="A2041" s="16" t="inlineStr">
        <is>
          <t>INE354A01013</t>
        </is>
      </c>
      <c r="B2041" s="16" t="inlineStr">
        <is>
          <t>JENBURPH</t>
        </is>
      </c>
      <c r="C2041" s="16" t="inlineStr">
        <is>
          <t>Jenburkt Pharmaceuticals Ltd.</t>
        </is>
      </c>
      <c r="D2041" s="16" t="inlineStr">
        <is>
          <t>Pharmaceuticals</t>
        </is>
      </c>
      <c r="E2041" s="16" t="inlineStr">
        <is>
          <t>Pharmaceuticals &amp; Biotechnology</t>
        </is>
      </c>
      <c r="F2041" s="17" t="n">
        <v>456.51</v>
      </c>
      <c r="G2041" s="16" t="inlineStr"/>
      <c r="H2041" s="16" t="inlineStr">
        <is>
          <t>524731</t>
        </is>
      </c>
      <c r="I2041" s="27">
        <f>IFERROR(IF(INDEX(Stocks!$G$2:$G$2139,MATCH(A2041,Stocks!$E$2:$E$2139,0))="","No","Yes"),"No")</f>
        <v/>
      </c>
    </row>
    <row r="2042">
      <c r="A2042" s="16" t="inlineStr">
        <is>
          <t>INE926R01012</t>
        </is>
      </c>
      <c r="B2042" s="16" t="inlineStr">
        <is>
          <t>UCIL</t>
        </is>
      </c>
      <c r="C2042" s="16" t="inlineStr">
        <is>
          <t>Unifinz Capital India Ltd.</t>
        </is>
      </c>
      <c r="D2042" s="16" t="inlineStr">
        <is>
          <t>Finance (including NBFCs)</t>
        </is>
      </c>
      <c r="E2042" s="16" t="inlineStr">
        <is>
          <t>Banking and Finance</t>
        </is>
      </c>
      <c r="F2042" s="17" t="n">
        <v>455.96</v>
      </c>
      <c r="G2042" s="16" t="inlineStr"/>
      <c r="H2042" s="16" t="inlineStr">
        <is>
          <t>541358</t>
        </is>
      </c>
      <c r="I2042" s="27">
        <f>IFERROR(IF(INDEX(Stocks!$G$2:$G$2139,MATCH(A2042,Stocks!$E$2:$E$2139,0))="","No","Yes"),"No")</f>
        <v/>
      </c>
    </row>
    <row r="2043">
      <c r="A2043" s="16" t="inlineStr">
        <is>
          <t>INE377D01026</t>
        </is>
      </c>
      <c r="B2043" s="16" t="inlineStr">
        <is>
          <t>KALIND</t>
        </is>
      </c>
      <c r="C2043" s="16" t="inlineStr">
        <is>
          <t>Kalind Ltd.</t>
        </is>
      </c>
      <c r="D2043" s="16" t="inlineStr">
        <is>
          <t>Other Financial Services</t>
        </is>
      </c>
      <c r="E2043" s="16" t="inlineStr">
        <is>
          <t>Banking and Finance</t>
        </is>
      </c>
      <c r="F2043" s="17" t="n">
        <v>455.26</v>
      </c>
      <c r="G2043" s="16" t="inlineStr"/>
      <c r="H2043" s="16" t="inlineStr">
        <is>
          <t>526935</t>
        </is>
      </c>
      <c r="I2043" s="27">
        <f>IFERROR(IF(INDEX(Stocks!$G$2:$G$2139,MATCH(A2043,Stocks!$E$2:$E$2139,0))="","No","Yes"),"No")</f>
        <v/>
      </c>
    </row>
    <row r="2044">
      <c r="A2044" s="16" t="inlineStr">
        <is>
          <t>INE537F01012</t>
        </is>
      </c>
      <c r="B2044" s="16" t="inlineStr">
        <is>
          <t>MODINATUR</t>
        </is>
      </c>
      <c r="C2044" s="16" t="inlineStr">
        <is>
          <t>Modi Naturals Ltd.</t>
        </is>
      </c>
      <c r="D2044" s="16" t="inlineStr">
        <is>
          <t>Other Agricultural Products</t>
        </is>
      </c>
      <c r="E2044" s="16" t="inlineStr">
        <is>
          <t>Food, Beverages &amp; Tobacco</t>
        </is>
      </c>
      <c r="F2044" s="17" t="n">
        <v>453.68</v>
      </c>
      <c r="G2044" s="16" t="inlineStr">
        <is>
          <t>MODINATUR</t>
        </is>
      </c>
      <c r="H2044" s="16" t="inlineStr">
        <is>
          <t>519003</t>
        </is>
      </c>
      <c r="I2044" s="27">
        <f>IFERROR(IF(INDEX(Stocks!$G$2:$G$2139,MATCH(A2044,Stocks!$E$2:$E$2139,0))="","No","Yes"),"No")</f>
        <v/>
      </c>
    </row>
    <row r="2045">
      <c r="A2045" s="16" t="inlineStr">
        <is>
          <t>INE0AE001013</t>
        </is>
      </c>
      <c r="B2045" s="16" t="inlineStr">
        <is>
          <t>VPRPL</t>
        </is>
      </c>
      <c r="C2045" s="16" t="inlineStr">
        <is>
          <t>Vishnu Prakash R Punglia Ltd.</t>
        </is>
      </c>
      <c r="D2045" s="16" t="inlineStr">
        <is>
          <t>Construction &amp; Engineering</t>
        </is>
      </c>
      <c r="E2045" s="16" t="inlineStr">
        <is>
          <t>Cement and Construction</t>
        </is>
      </c>
      <c r="F2045" s="17" t="n">
        <v>452.21</v>
      </c>
      <c r="G2045" s="16" t="inlineStr">
        <is>
          <t>VPRPL</t>
        </is>
      </c>
      <c r="H2045" s="16" t="inlineStr">
        <is>
          <t>543974</t>
        </is>
      </c>
      <c r="I2045" s="27">
        <f>IFERROR(IF(INDEX(Stocks!$G$2:$G$2139,MATCH(A2045,Stocks!$E$2:$E$2139,0))="","No","Yes"),"No")</f>
        <v/>
      </c>
    </row>
    <row r="2046">
      <c r="A2046" s="16" t="inlineStr">
        <is>
          <t>INE12Z301012</t>
        </is>
      </c>
      <c r="B2046" s="16" t="inlineStr">
        <is>
          <t>SOTEFIN</t>
        </is>
      </c>
      <c r="C2046" s="16" t="inlineStr">
        <is>
          <t>Sotefin Bharat Ltd.</t>
        </is>
      </c>
      <c r="D2046" s="16" t="inlineStr">
        <is>
          <t>Industrial Machinery</t>
        </is>
      </c>
      <c r="E2046" s="16" t="inlineStr">
        <is>
          <t>General Industrials</t>
        </is>
      </c>
      <c r="F2046" s="17" t="n">
        <v>452.01</v>
      </c>
      <c r="G2046" s="16" t="inlineStr"/>
      <c r="H2046" s="16" t="inlineStr">
        <is>
          <t>544832</t>
        </is>
      </c>
      <c r="I2046" s="27">
        <f>IFERROR(IF(INDEX(Stocks!$G$2:$G$2139,MATCH(A2046,Stocks!$E$2:$E$2139,0))="","No","Yes"),"No")</f>
        <v/>
      </c>
    </row>
    <row r="2047">
      <c r="A2047" s="16" t="inlineStr">
        <is>
          <t>INE0PUC01020</t>
        </is>
      </c>
      <c r="B2047" s="16" t="inlineStr">
        <is>
          <t>SARTELE</t>
        </is>
      </c>
      <c r="C2047" s="16" t="inlineStr">
        <is>
          <t>SAR Televenture Ltd.</t>
        </is>
      </c>
      <c r="D2047" s="16" t="inlineStr">
        <is>
          <t>Other Telecom Services</t>
        </is>
      </c>
      <c r="E2047" s="16" t="inlineStr">
        <is>
          <t>Telecom Services</t>
        </is>
      </c>
      <c r="F2047" s="17" t="n">
        <v>448.32</v>
      </c>
      <c r="G2047" s="16" t="inlineStr">
        <is>
          <t>SARTELE</t>
        </is>
      </c>
      <c r="H2047" s="16" t="inlineStr"/>
      <c r="I2047" s="27">
        <f>IFERROR(IF(INDEX(Stocks!$G$2:$G$2139,MATCH(A2047,Stocks!$E$2:$E$2139,0))="","No","Yes"),"No")</f>
        <v/>
      </c>
    </row>
    <row r="2048">
      <c r="A2048" s="16" t="inlineStr">
        <is>
          <t>INE0PMR01017</t>
        </is>
      </c>
      <c r="B2048" s="16" t="inlineStr">
        <is>
          <t>AKIKO</t>
        </is>
      </c>
      <c r="C2048" s="16" t="inlineStr">
        <is>
          <t>Akiko Global Services Ltd.</t>
        </is>
      </c>
      <c r="D2048" s="16" t="inlineStr">
        <is>
          <t>Distributors</t>
        </is>
      </c>
      <c r="E2048" s="16" t="inlineStr">
        <is>
          <t>Commercial Services &amp; Supplies</t>
        </is>
      </c>
      <c r="F2048" s="17" t="n">
        <v>448.18</v>
      </c>
      <c r="G2048" s="16" t="inlineStr">
        <is>
          <t>AKIKO</t>
        </is>
      </c>
      <c r="H2048" s="16" t="inlineStr"/>
      <c r="I2048" s="27">
        <f>IFERROR(IF(INDEX(Stocks!$G$2:$G$2139,MATCH(A2048,Stocks!$E$2:$E$2139,0))="","No","Yes"),"No")</f>
        <v/>
      </c>
    </row>
    <row r="2049">
      <c r="A2049" s="16" t="inlineStr">
        <is>
          <t>INE103001017</t>
        </is>
      </c>
      <c r="B2049" s="16" t="inlineStr">
        <is>
          <t>ANNU</t>
        </is>
      </c>
      <c r="C2049" s="16" t="inlineStr">
        <is>
          <t>Annu Projects Ltd.</t>
        </is>
      </c>
      <c r="D2049" s="16" t="inlineStr">
        <is>
          <t>Construction &amp; Engineering</t>
        </is>
      </c>
      <c r="E2049" s="16" t="inlineStr">
        <is>
          <t>Cement and Construction</t>
        </is>
      </c>
      <c r="F2049" s="17" t="n">
        <v>446.86</v>
      </c>
      <c r="G2049" s="16" t="inlineStr">
        <is>
          <t>ANNU</t>
        </is>
      </c>
      <c r="H2049" s="16" t="inlineStr">
        <is>
          <t>544893</t>
        </is>
      </c>
      <c r="I2049" s="27">
        <f>IFERROR(IF(INDEX(Stocks!$G$2:$G$2139,MATCH(A2049,Stocks!$E$2:$E$2139,0))="","No","Yes"),"No")</f>
        <v/>
      </c>
    </row>
    <row r="2050">
      <c r="A2050" s="16" t="inlineStr">
        <is>
          <t>INE757T01025</t>
        </is>
      </c>
      <c r="B2050" s="16" t="inlineStr">
        <is>
          <t>AEPL</t>
        </is>
      </c>
      <c r="C2050" s="16" t="inlineStr">
        <is>
          <t>Artemis Electricals and Projects Ltd.</t>
        </is>
      </c>
      <c r="D2050" s="16" t="inlineStr">
        <is>
          <t>Household Appliances</t>
        </is>
      </c>
      <c r="E2050" s="16" t="inlineStr">
        <is>
          <t>Consumer Durables</t>
        </is>
      </c>
      <c r="F2050" s="17" t="n">
        <v>446.09</v>
      </c>
      <c r="G2050" s="16" t="inlineStr"/>
      <c r="H2050" s="16" t="inlineStr">
        <is>
          <t>542670</t>
        </is>
      </c>
      <c r="I2050" s="27">
        <f>IFERROR(IF(INDEX(Stocks!$G$2:$G$2139,MATCH(A2050,Stocks!$E$2:$E$2139,0))="","No","Yes"),"No")</f>
        <v/>
      </c>
    </row>
    <row r="2051">
      <c r="A2051" s="16" t="inlineStr">
        <is>
          <t>INE1FL101016</t>
        </is>
      </c>
      <c r="B2051" s="16" t="inlineStr">
        <is>
          <t>SHETHJI</t>
        </is>
      </c>
      <c r="C2051" s="16" t="inlineStr">
        <is>
          <t>Shreeji Global FMCG Ltd.</t>
        </is>
      </c>
      <c r="D2051" s="16" t="inlineStr">
        <is>
          <t>Other Food &amp; Beverages</t>
        </is>
      </c>
      <c r="E2051" s="16" t="inlineStr">
        <is>
          <t>Food, Beverages &amp; Tobacco</t>
        </is>
      </c>
      <c r="F2051" s="17" t="n">
        <v>445.98</v>
      </c>
      <c r="G2051" s="16" t="inlineStr">
        <is>
          <t>SHETHJI</t>
        </is>
      </c>
      <c r="H2051" s="16" t="inlineStr"/>
      <c r="I2051" s="27">
        <f>IFERROR(IF(INDEX(Stocks!$G$2:$G$2139,MATCH(A2051,Stocks!$E$2:$E$2139,0))="","No","Yes"),"No")</f>
        <v/>
      </c>
    </row>
    <row r="2052">
      <c r="A2052" s="16" t="inlineStr">
        <is>
          <t>INE788D01016</t>
        </is>
      </c>
      <c r="B2052" s="16" t="inlineStr">
        <is>
          <t>BCCFUBA</t>
        </is>
      </c>
      <c r="C2052" s="16" t="inlineStr">
        <is>
          <t>BCC Fuba India Ltd.</t>
        </is>
      </c>
      <c r="D2052" s="16" t="inlineStr">
        <is>
          <t>Computer Hardware</t>
        </is>
      </c>
      <c r="E2052" s="16" t="inlineStr">
        <is>
          <t>Hardware Technology &amp; Equipment</t>
        </is>
      </c>
      <c r="F2052" s="17" t="n">
        <v>445.91</v>
      </c>
      <c r="G2052" s="16" t="inlineStr"/>
      <c r="H2052" s="16" t="inlineStr">
        <is>
          <t>517246</t>
        </is>
      </c>
      <c r="I2052" s="27">
        <f>IFERROR(IF(INDEX(Stocks!$G$2:$G$2139,MATCH(A2052,Stocks!$E$2:$E$2139,0))="","No","Yes"),"No")</f>
        <v/>
      </c>
    </row>
    <row r="2053">
      <c r="A2053" s="16" t="inlineStr">
        <is>
          <t>INE855R01021</t>
        </is>
      </c>
      <c r="B2053" s="16" t="inlineStr">
        <is>
          <t>RADIANTCMS</t>
        </is>
      </c>
      <c r="C2053" s="16" t="inlineStr">
        <is>
          <t>Radiant Cash Management Services Ltd.</t>
        </is>
      </c>
      <c r="D2053" s="16" t="inlineStr">
        <is>
          <t>Other Financial Services</t>
        </is>
      </c>
      <c r="E2053" s="16" t="inlineStr">
        <is>
          <t>Banking and Finance</t>
        </is>
      </c>
      <c r="F2053" s="17" t="n">
        <v>445.83</v>
      </c>
      <c r="G2053" s="16" t="inlineStr">
        <is>
          <t>RADIANTCMS</t>
        </is>
      </c>
      <c r="H2053" s="16" t="inlineStr">
        <is>
          <t>543732</t>
        </is>
      </c>
      <c r="I2053" s="27">
        <f>IFERROR(IF(INDEX(Stocks!$G$2:$G$2139,MATCH(A2053,Stocks!$E$2:$E$2139,0))="","No","Yes"),"No")</f>
        <v/>
      </c>
    </row>
    <row r="2054">
      <c r="A2054" s="16" t="inlineStr">
        <is>
          <t>INE0MM001019</t>
        </is>
      </c>
      <c r="B2054" s="16" t="inlineStr">
        <is>
          <t>SHERA</t>
        </is>
      </c>
      <c r="C2054" s="16" t="inlineStr">
        <is>
          <t>Shera Energy Ltd.</t>
        </is>
      </c>
      <c r="D2054" s="16" t="inlineStr">
        <is>
          <t>Iron &amp; Steel Products</t>
        </is>
      </c>
      <c r="E2054" s="16" t="inlineStr">
        <is>
          <t>Metals &amp; Mining</t>
        </is>
      </c>
      <c r="F2054" s="17" t="n">
        <v>445.53</v>
      </c>
      <c r="G2054" s="16" t="inlineStr">
        <is>
          <t>SHERA</t>
        </is>
      </c>
      <c r="H2054" s="16" t="inlineStr"/>
      <c r="I2054" s="27">
        <f>IFERROR(IF(INDEX(Stocks!$G$2:$G$2139,MATCH(A2054,Stocks!$E$2:$E$2139,0))="","No","Yes"),"No")</f>
        <v/>
      </c>
    </row>
    <row r="2055">
      <c r="A2055" s="16" t="inlineStr">
        <is>
          <t>INE0QQJ01021</t>
        </is>
      </c>
      <c r="B2055" s="16" t="inlineStr">
        <is>
          <t>PARMESHWAR</t>
        </is>
      </c>
      <c r="C2055" s="16" t="inlineStr">
        <is>
          <t>Parmeshwar Metal Ltd.</t>
        </is>
      </c>
      <c r="D2055" s="16" t="inlineStr">
        <is>
          <t>Other Electrical Equipment/Products</t>
        </is>
      </c>
      <c r="E2055" s="16" t="inlineStr">
        <is>
          <t>Consumer Durables</t>
        </is>
      </c>
      <c r="F2055" s="17" t="n">
        <v>445.4</v>
      </c>
      <c r="G2055" s="16" t="inlineStr"/>
      <c r="H2055" s="16" t="inlineStr">
        <is>
          <t>544330</t>
        </is>
      </c>
      <c r="I2055" s="27">
        <f>IFERROR(IF(INDEX(Stocks!$G$2:$G$2139,MATCH(A2055,Stocks!$E$2:$E$2139,0))="","No","Yes"),"No")</f>
        <v/>
      </c>
    </row>
    <row r="2056">
      <c r="A2056" s="16" t="inlineStr">
        <is>
          <t>INE550F01049</t>
        </is>
      </c>
      <c r="B2056" s="16" t="inlineStr">
        <is>
          <t>HAZOOR</t>
        </is>
      </c>
      <c r="C2056" s="16" t="inlineStr">
        <is>
          <t>Hazoor Multi Projects Ltd.</t>
        </is>
      </c>
      <c r="D2056" s="16" t="inlineStr">
        <is>
          <t>Roads &amp; Highways</t>
        </is>
      </c>
      <c r="E2056" s="16" t="inlineStr">
        <is>
          <t>Cement and Construction</t>
        </is>
      </c>
      <c r="F2056" s="17" t="n">
        <v>444.51</v>
      </c>
      <c r="G2056" s="16" t="inlineStr"/>
      <c r="H2056" s="16" t="inlineStr">
        <is>
          <t>532467</t>
        </is>
      </c>
      <c r="I2056" s="27">
        <f>IFERROR(IF(INDEX(Stocks!$G$2:$G$2139,MATCH(A2056,Stocks!$E$2:$E$2139,0))="","No","Yes"),"No")</f>
        <v/>
      </c>
    </row>
    <row r="2057">
      <c r="A2057" s="16" t="inlineStr">
        <is>
          <t>INE1I1301016</t>
        </is>
      </c>
      <c r="B2057" s="16" t="inlineStr">
        <is>
          <t>WORKMATES</t>
        </is>
      </c>
      <c r="C2057" s="16" t="inlineStr">
        <is>
          <t>Workmates Core2Cloud Solution Ltd.</t>
        </is>
      </c>
      <c r="D2057" s="16" t="inlineStr">
        <is>
          <t>IT Consulting &amp; Software</t>
        </is>
      </c>
      <c r="E2057" s="16" t="inlineStr">
        <is>
          <t>Software &amp; Services</t>
        </is>
      </c>
      <c r="F2057" s="17" t="n">
        <v>444.41</v>
      </c>
      <c r="G2057" s="16" t="inlineStr"/>
      <c r="H2057" s="16" t="inlineStr">
        <is>
          <t>544610</t>
        </is>
      </c>
      <c r="I2057" s="27">
        <f>IFERROR(IF(INDEX(Stocks!$G$2:$G$2139,MATCH(A2057,Stocks!$E$2:$E$2139,0))="","No","Yes"),"No")</f>
        <v/>
      </c>
    </row>
    <row r="2058">
      <c r="A2058" s="16" t="inlineStr">
        <is>
          <t>INE184D01026</t>
        </is>
      </c>
      <c r="B2058" s="16" t="inlineStr">
        <is>
          <t>RAJSEC</t>
        </is>
      </c>
      <c r="C2058" s="16" t="inlineStr">
        <is>
          <t>Rajasthan Securities Ltd.</t>
        </is>
      </c>
      <c r="D2058" s="16" t="inlineStr">
        <is>
          <t>Oil Marketing &amp; Distribution</t>
        </is>
      </c>
      <c r="E2058" s="16" t="inlineStr">
        <is>
          <t>Oil &amp; Gas</t>
        </is>
      </c>
      <c r="F2058" s="17" t="n">
        <v>439.72</v>
      </c>
      <c r="G2058" s="16" t="inlineStr"/>
      <c r="H2058" s="16" t="inlineStr">
        <is>
          <t>526873</t>
        </is>
      </c>
      <c r="I2058" s="27">
        <f>IFERROR(IF(INDEX(Stocks!$G$2:$G$2139,MATCH(A2058,Stocks!$E$2:$E$2139,0))="","No","Yes"),"No")</f>
        <v/>
      </c>
    </row>
    <row r="2059">
      <c r="A2059" s="16" t="inlineStr">
        <is>
          <t>INE019B01010</t>
        </is>
      </c>
      <c r="B2059" s="16" t="inlineStr">
        <is>
          <t>TRANSCHEM</t>
        </is>
      </c>
      <c r="C2059" s="16" t="inlineStr">
        <is>
          <t>Transchem Ltd.</t>
        </is>
      </c>
      <c r="D2059" s="16" t="inlineStr">
        <is>
          <t>Other Food &amp; Beverages</t>
        </is>
      </c>
      <c r="E2059" s="16" t="inlineStr">
        <is>
          <t>Food, Beverages &amp; Tobacco</t>
        </is>
      </c>
      <c r="F2059" s="17" t="n">
        <v>439.42</v>
      </c>
      <c r="G2059" s="16" t="inlineStr"/>
      <c r="H2059" s="16" t="inlineStr">
        <is>
          <t>500422</t>
        </is>
      </c>
      <c r="I2059" s="27">
        <f>IFERROR(IF(INDEX(Stocks!$G$2:$G$2139,MATCH(A2059,Stocks!$E$2:$E$2139,0))="","No","Yes"),"No")</f>
        <v/>
      </c>
    </row>
    <row r="2060">
      <c r="A2060" s="16" t="inlineStr">
        <is>
          <t>INE228I01012</t>
        </is>
      </c>
      <c r="B2060" s="16" t="inlineStr">
        <is>
          <t>ASAHISONG</t>
        </is>
      </c>
      <c r="C2060" s="16" t="inlineStr">
        <is>
          <t>Asahi Songwon Colors Ltd.</t>
        </is>
      </c>
      <c r="D2060" s="16" t="inlineStr">
        <is>
          <t>Dyes &amp; Pigments</t>
        </is>
      </c>
      <c r="E2060" s="16" t="inlineStr">
        <is>
          <t>Chemicals &amp; Petrochemicals</t>
        </is>
      </c>
      <c r="F2060" s="17" t="n">
        <v>439.25</v>
      </c>
      <c r="G2060" s="16" t="inlineStr">
        <is>
          <t>ASAHISONG</t>
        </is>
      </c>
      <c r="H2060" s="16" t="inlineStr">
        <is>
          <t>532853</t>
        </is>
      </c>
      <c r="I2060" s="27">
        <f>IFERROR(IF(INDEX(Stocks!$G$2:$G$2139,MATCH(A2060,Stocks!$E$2:$E$2139,0))="","No","Yes"),"No")</f>
        <v/>
      </c>
    </row>
    <row r="2061">
      <c r="A2061" s="16" t="inlineStr">
        <is>
          <t>INE0XWS01018</t>
        </is>
      </c>
      <c r="B2061" s="16" t="inlineStr">
        <is>
          <t>TAURIAN</t>
        </is>
      </c>
      <c r="C2061" s="16" t="inlineStr">
        <is>
          <t>Taurian Mps Ltd.</t>
        </is>
      </c>
      <c r="D2061" s="16" t="inlineStr">
        <is>
          <t>Industrial Machinery</t>
        </is>
      </c>
      <c r="E2061" s="16" t="inlineStr">
        <is>
          <t>General Industrials</t>
        </is>
      </c>
      <c r="F2061" s="17" t="n">
        <v>438.83</v>
      </c>
      <c r="G2061" s="16" t="inlineStr">
        <is>
          <t>TAURIAN</t>
        </is>
      </c>
      <c r="H2061" s="16" t="inlineStr"/>
      <c r="I2061" s="27">
        <f>IFERROR(IF(INDEX(Stocks!$G$2:$G$2139,MATCH(A2061,Stocks!$E$2:$E$2139,0))="","No","Yes"),"No")</f>
        <v/>
      </c>
    </row>
    <row r="2062">
      <c r="A2062" s="16" t="inlineStr">
        <is>
          <t>INE320X01016</t>
        </is>
      </c>
      <c r="B2062" s="16" t="inlineStr">
        <is>
          <t>HALEOSLABS</t>
        </is>
      </c>
      <c r="C2062" s="16" t="inlineStr">
        <is>
          <t>Haleos Labs Ltd.</t>
        </is>
      </c>
      <c r="D2062" s="16" t="inlineStr">
        <is>
          <t>Pharmaceuticals</t>
        </is>
      </c>
      <c r="E2062" s="16" t="inlineStr">
        <is>
          <t>Pharmaceuticals &amp; Biotechnology</t>
        </is>
      </c>
      <c r="F2062" s="17" t="n">
        <v>438.77</v>
      </c>
      <c r="G2062" s="16" t="inlineStr">
        <is>
          <t>HALEOSLABS</t>
        </is>
      </c>
      <c r="H2062" s="16" t="inlineStr">
        <is>
          <t>540679</t>
        </is>
      </c>
      <c r="I2062" s="27">
        <f>IFERROR(IF(INDEX(Stocks!$G$2:$G$2139,MATCH(A2062,Stocks!$E$2:$E$2139,0))="","No","Yes"),"No")</f>
        <v/>
      </c>
    </row>
    <row r="2063">
      <c r="A2063" s="16" t="inlineStr">
        <is>
          <t>INE0OCC01013</t>
        </is>
      </c>
      <c r="B2063" s="16" t="inlineStr">
        <is>
          <t>BASILIC</t>
        </is>
      </c>
      <c r="C2063" s="16" t="inlineStr">
        <is>
          <t>Basilic Fly Studio Ltd.</t>
        </is>
      </c>
      <c r="D2063" s="16" t="inlineStr">
        <is>
          <t>Movies &amp; Entertainment</t>
        </is>
      </c>
      <c r="E2063" s="16" t="inlineStr">
        <is>
          <t>Media</t>
        </is>
      </c>
      <c r="F2063" s="17" t="n">
        <v>438.42</v>
      </c>
      <c r="G2063" s="16" t="inlineStr">
        <is>
          <t>BASILIC</t>
        </is>
      </c>
      <c r="H2063" s="16" t="inlineStr"/>
      <c r="I2063" s="27">
        <f>IFERROR(IF(INDEX(Stocks!$G$2:$G$2139,MATCH(A2063,Stocks!$E$2:$E$2139,0))="","No","Yes"),"No")</f>
        <v/>
      </c>
    </row>
    <row r="2064">
      <c r="A2064" s="16" t="inlineStr">
        <is>
          <t>INE0S6S01017</t>
        </is>
      </c>
      <c r="B2064" s="16" t="inlineStr">
        <is>
          <t>HOACFOODS</t>
        </is>
      </c>
      <c r="C2064" s="16" t="inlineStr">
        <is>
          <t>HOAC Foods India Ltd.</t>
        </is>
      </c>
      <c r="D2064" s="16" t="inlineStr">
        <is>
          <t>Packaged Foods</t>
        </is>
      </c>
      <c r="E2064" s="16" t="inlineStr">
        <is>
          <t>FMCG</t>
        </is>
      </c>
      <c r="F2064" s="17" t="n">
        <v>438.37</v>
      </c>
      <c r="G2064" s="16" t="inlineStr">
        <is>
          <t>HOACFOODS</t>
        </is>
      </c>
      <c r="H2064" s="16" t="inlineStr"/>
      <c r="I2064" s="27">
        <f>IFERROR(IF(INDEX(Stocks!$G$2:$G$2139,MATCH(A2064,Stocks!$E$2:$E$2139,0))="","No","Yes"),"No")</f>
        <v/>
      </c>
    </row>
    <row r="2065">
      <c r="A2065" s="16" t="inlineStr">
        <is>
          <t>INE049I01012</t>
        </is>
      </c>
      <c r="B2065" s="16" t="inlineStr">
        <is>
          <t>NAHARCAP</t>
        </is>
      </c>
      <c r="C2065" s="16" t="inlineStr">
        <is>
          <t>Nahar Capital &amp; Financial Services Ltd.</t>
        </is>
      </c>
      <c r="D2065" s="16" t="inlineStr">
        <is>
          <t>Investment Companies</t>
        </is>
      </c>
      <c r="E2065" s="16" t="inlineStr">
        <is>
          <t>Others</t>
        </is>
      </c>
      <c r="F2065" s="17" t="n">
        <v>438.33</v>
      </c>
      <c r="G2065" s="16" t="inlineStr">
        <is>
          <t>NAHARCAP</t>
        </is>
      </c>
      <c r="H2065" s="16" t="inlineStr">
        <is>
          <t>532952</t>
        </is>
      </c>
      <c r="I2065" s="27">
        <f>IFERROR(IF(INDEX(Stocks!$G$2:$G$2139,MATCH(A2065,Stocks!$E$2:$E$2139,0))="","No","Yes"),"No")</f>
        <v/>
      </c>
    </row>
    <row r="2066">
      <c r="A2066" s="16" t="inlineStr">
        <is>
          <t>INE445D01013</t>
        </is>
      </c>
      <c r="B2066" s="16" t="inlineStr">
        <is>
          <t>NILE</t>
        </is>
      </c>
      <c r="C2066" s="16" t="inlineStr">
        <is>
          <t>Nile Ltd.</t>
        </is>
      </c>
      <c r="D2066" s="16" t="inlineStr">
        <is>
          <t>Other Non-Ferrous Metals</t>
        </is>
      </c>
      <c r="E2066" s="16" t="inlineStr">
        <is>
          <t>Metals &amp; Mining</t>
        </is>
      </c>
      <c r="F2066" s="17" t="n">
        <v>438.28</v>
      </c>
      <c r="G2066" s="16" t="inlineStr"/>
      <c r="H2066" s="16" t="inlineStr">
        <is>
          <t>530129</t>
        </is>
      </c>
      <c r="I2066" s="27">
        <f>IFERROR(IF(INDEX(Stocks!$G$2:$G$2139,MATCH(A2066,Stocks!$E$2:$E$2139,0))="","No","Yes"),"No")</f>
        <v/>
      </c>
    </row>
    <row r="2067">
      <c r="A2067" s="16" t="inlineStr">
        <is>
          <t>INE0VG001016</t>
        </is>
      </c>
      <c r="B2067" s="16" t="inlineStr">
        <is>
          <t>AMCL</t>
        </is>
      </c>
      <c r="C2067" s="16" t="inlineStr">
        <is>
          <t>ANB Metal Cast Ltd.</t>
        </is>
      </c>
      <c r="D2067" s="16" t="inlineStr">
        <is>
          <t>Aluminium and Aluminium Products</t>
        </is>
      </c>
      <c r="E2067" s="16" t="inlineStr">
        <is>
          <t>Metals &amp; Mining</t>
        </is>
      </c>
      <c r="F2067" s="17" t="n">
        <v>437.89</v>
      </c>
      <c r="G2067" s="16" t="inlineStr">
        <is>
          <t>AMCL</t>
        </is>
      </c>
      <c r="H2067" s="16" t="inlineStr"/>
      <c r="I2067" s="27">
        <f>IFERROR(IF(INDEX(Stocks!$G$2:$G$2139,MATCH(A2067,Stocks!$E$2:$E$2139,0))="","No","Yes"),"No")</f>
        <v/>
      </c>
    </row>
    <row r="2068">
      <c r="A2068" s="16" t="inlineStr">
        <is>
          <t>INE035S01028</t>
        </is>
      </c>
      <c r="B2068" s="16" t="inlineStr">
        <is>
          <t>POEL</t>
        </is>
      </c>
      <c r="C2068" s="16" t="inlineStr">
        <is>
          <t>POCL Enterprises Ltd.</t>
        </is>
      </c>
      <c r="D2068" s="16" t="inlineStr">
        <is>
          <t>Commodity Chemicals</t>
        </is>
      </c>
      <c r="E2068" s="16" t="inlineStr">
        <is>
          <t>Chemicals &amp; Petrochemicals</t>
        </is>
      </c>
      <c r="F2068" s="17" t="n">
        <v>437.8</v>
      </c>
      <c r="G2068" s="16" t="inlineStr"/>
      <c r="H2068" s="16" t="inlineStr">
        <is>
          <t>539195</t>
        </is>
      </c>
      <c r="I2068" s="27">
        <f>IFERROR(IF(INDEX(Stocks!$G$2:$G$2139,MATCH(A2068,Stocks!$E$2:$E$2139,0))="","No","Yes"),"No")</f>
        <v/>
      </c>
    </row>
    <row r="2069">
      <c r="A2069" s="16" t="inlineStr">
        <is>
          <t>INE809A01032</t>
        </is>
      </c>
      <c r="B2069" s="16" t="inlineStr">
        <is>
          <t>RAMAPHO</t>
        </is>
      </c>
      <c r="C2069" s="16" t="inlineStr">
        <is>
          <t>Rama Phosphates Ltd.</t>
        </is>
      </c>
      <c r="D2069" s="16" t="inlineStr">
        <is>
          <t>Fertilizers</t>
        </is>
      </c>
      <c r="E2069" s="16" t="inlineStr">
        <is>
          <t>Fertilizers</t>
        </is>
      </c>
      <c r="F2069" s="17" t="n">
        <v>436.95</v>
      </c>
      <c r="G2069" s="16" t="inlineStr">
        <is>
          <t>RAMAPHO</t>
        </is>
      </c>
      <c r="H2069" s="16" t="inlineStr">
        <is>
          <t>524037</t>
        </is>
      </c>
      <c r="I2069" s="27">
        <f>IFERROR(IF(INDEX(Stocks!$G$2:$G$2139,MATCH(A2069,Stocks!$E$2:$E$2139,0))="","No","Yes"),"No")</f>
        <v/>
      </c>
    </row>
    <row r="2070">
      <c r="A2070" s="16" t="inlineStr">
        <is>
          <t>INE432F01032</t>
        </is>
      </c>
      <c r="B2070" s="16" t="inlineStr">
        <is>
          <t>EBIX</t>
        </is>
      </c>
      <c r="C2070" s="16" t="inlineStr">
        <is>
          <t>EBIX Ltd.</t>
        </is>
      </c>
      <c r="D2070" s="16" t="inlineStr">
        <is>
          <t>Hotels</t>
        </is>
      </c>
      <c r="E2070" s="16" t="inlineStr">
        <is>
          <t>Hotels Restaurants &amp; Tourism</t>
        </is>
      </c>
      <c r="F2070" s="17" t="n">
        <v>436.73</v>
      </c>
      <c r="G2070" s="16" t="inlineStr"/>
      <c r="H2070" s="16" t="inlineStr">
        <is>
          <t>531035</t>
        </is>
      </c>
      <c r="I2070" s="27">
        <f>IFERROR(IF(INDEX(Stocks!$G$2:$G$2139,MATCH(A2070,Stocks!$E$2:$E$2139,0))="","No","Yes"),"No")</f>
        <v/>
      </c>
    </row>
    <row r="2071">
      <c r="A2071" s="16" t="inlineStr">
        <is>
          <t>INE044N01021</t>
        </is>
      </c>
      <c r="B2071" s="16" t="inlineStr">
        <is>
          <t>EMERALL</t>
        </is>
      </c>
      <c r="C2071" s="16" t="inlineStr">
        <is>
          <t>Emerald Leisures Ltd.</t>
        </is>
      </c>
      <c r="D2071" s="16" t="inlineStr">
        <is>
          <t>Hotels</t>
        </is>
      </c>
      <c r="E2071" s="16" t="inlineStr">
        <is>
          <t>Hotels Restaurants &amp; Tourism</t>
        </is>
      </c>
      <c r="F2071" s="17" t="n">
        <v>435.99</v>
      </c>
      <c r="G2071" s="16" t="inlineStr"/>
      <c r="H2071" s="16" t="inlineStr">
        <is>
          <t>507265</t>
        </is>
      </c>
      <c r="I2071" s="27">
        <f>IFERROR(IF(INDEX(Stocks!$G$2:$G$2139,MATCH(A2071,Stocks!$E$2:$E$2139,0))="","No","Yes"),"No")</f>
        <v/>
      </c>
    </row>
    <row r="2072">
      <c r="A2072" s="16" t="inlineStr">
        <is>
          <t>INE15EH01014</t>
        </is>
      </c>
      <c r="B2072" s="16" t="inlineStr">
        <is>
          <t>PRIORITY</t>
        </is>
      </c>
      <c r="C2072" s="16" t="inlineStr">
        <is>
          <t>Priority Jewels Ltd.</t>
        </is>
      </c>
      <c r="D2072" s="16" t="inlineStr">
        <is>
          <t>Gems &amp; Jewellery</t>
        </is>
      </c>
      <c r="E2072" s="16" t="inlineStr">
        <is>
          <t>Textiles Apparels &amp; Accessories</t>
        </is>
      </c>
      <c r="F2072" s="17" t="n">
        <v>434.7</v>
      </c>
      <c r="G2072" s="16" t="inlineStr">
        <is>
          <t>PRIORITY</t>
        </is>
      </c>
      <c r="H2072" s="16" t="inlineStr">
        <is>
          <t>544899</t>
        </is>
      </c>
      <c r="I2072" s="27">
        <f>IFERROR(IF(INDEX(Stocks!$G$2:$G$2139,MATCH(A2072,Stocks!$E$2:$E$2139,0))="","No","Yes"),"No")</f>
        <v/>
      </c>
    </row>
    <row r="2073">
      <c r="A2073" s="16" t="inlineStr">
        <is>
          <t>INE379J01029</t>
        </is>
      </c>
      <c r="B2073" s="16" t="inlineStr">
        <is>
          <t>VERITAS</t>
        </is>
      </c>
      <c r="C2073" s="16" t="inlineStr">
        <is>
          <t>Veritas (India) Ltd.</t>
        </is>
      </c>
      <c r="D2073" s="16" t="inlineStr">
        <is>
          <t>Commodity Trading  &amp; Distribution</t>
        </is>
      </c>
      <c r="E2073" s="16" t="inlineStr">
        <is>
          <t>Commercial Services &amp; Supplies</t>
        </is>
      </c>
      <c r="F2073" s="17" t="n">
        <v>433.52</v>
      </c>
      <c r="G2073" s="16" t="inlineStr"/>
      <c r="H2073" s="16" t="inlineStr">
        <is>
          <t>512229</t>
        </is>
      </c>
      <c r="I2073" s="27">
        <f>IFERROR(IF(INDEX(Stocks!$G$2:$G$2139,MATCH(A2073,Stocks!$E$2:$E$2139,0))="","No","Yes"),"No")</f>
        <v/>
      </c>
    </row>
    <row r="2074">
      <c r="A2074" s="16" t="inlineStr">
        <is>
          <t>INE0TVT01024</t>
        </is>
      </c>
      <c r="B2074" s="16" t="inlineStr">
        <is>
          <t>GANESHIN</t>
        </is>
      </c>
      <c r="C2074" s="16" t="inlineStr">
        <is>
          <t>Ganesh Infraworld Ltd.</t>
        </is>
      </c>
      <c r="D2074" s="16" t="inlineStr">
        <is>
          <t>Construction &amp; Engineering</t>
        </is>
      </c>
      <c r="E2074" s="16" t="inlineStr">
        <is>
          <t>Cement and Construction</t>
        </is>
      </c>
      <c r="F2074" s="17" t="n">
        <v>433.33</v>
      </c>
      <c r="G2074" s="16" t="inlineStr">
        <is>
          <t>GANESHIN</t>
        </is>
      </c>
      <c r="H2074" s="16" t="inlineStr"/>
      <c r="I2074" s="27">
        <f>IFERROR(IF(INDEX(Stocks!$G$2:$G$2139,MATCH(A2074,Stocks!$E$2:$E$2139,0))="","No","Yes"),"No")</f>
        <v/>
      </c>
    </row>
    <row r="2075">
      <c r="A2075" s="16" t="inlineStr">
        <is>
          <t>INE798K01010</t>
        </is>
      </c>
      <c r="B2075" s="16" t="inlineStr">
        <is>
          <t>KRITINUT</t>
        </is>
      </c>
      <c r="C2075" s="16" t="inlineStr">
        <is>
          <t>Kriti Nutrients Ltd.</t>
        </is>
      </c>
      <c r="D2075" s="16" t="inlineStr">
        <is>
          <t>Edible Oils</t>
        </is>
      </c>
      <c r="E2075" s="16" t="inlineStr">
        <is>
          <t>FMCG</t>
        </is>
      </c>
      <c r="F2075" s="17" t="n">
        <v>433.14</v>
      </c>
      <c r="G2075" s="16" t="inlineStr">
        <is>
          <t>KRITINUT</t>
        </is>
      </c>
      <c r="H2075" s="16" t="inlineStr">
        <is>
          <t>533210</t>
        </is>
      </c>
      <c r="I2075" s="27">
        <f>IFERROR(IF(INDEX(Stocks!$G$2:$G$2139,MATCH(A2075,Stocks!$E$2:$E$2139,0))="","No","Yes"),"No")</f>
        <v/>
      </c>
    </row>
    <row r="2076">
      <c r="A2076" s="16" t="inlineStr">
        <is>
          <t>INE0V0L01028</t>
        </is>
      </c>
      <c r="B2076" s="16" t="inlineStr">
        <is>
          <t>MSECL</t>
        </is>
      </c>
      <c r="C2076" s="16" t="inlineStr">
        <is>
          <t>Monarch Surveyors and Engineering Consultants Ltd.</t>
        </is>
      </c>
      <c r="D2076" s="16" t="inlineStr">
        <is>
          <t>Consulting Services</t>
        </is>
      </c>
      <c r="E2076" s="16" t="inlineStr">
        <is>
          <t>Commercial Services &amp; Supplies</t>
        </is>
      </c>
      <c r="F2076" s="17" t="n">
        <v>432.11</v>
      </c>
      <c r="G2076" s="16" t="inlineStr"/>
      <c r="H2076" s="16" t="inlineStr">
        <is>
          <t>544453</t>
        </is>
      </c>
      <c r="I2076" s="27">
        <f>IFERROR(IF(INDEX(Stocks!$G$2:$G$2139,MATCH(A2076,Stocks!$E$2:$E$2139,0))="","No","Yes"),"No")</f>
        <v/>
      </c>
    </row>
    <row r="2077">
      <c r="A2077" s="16" t="inlineStr">
        <is>
          <t>INE244A01016</t>
        </is>
      </c>
      <c r="B2077" s="16" t="inlineStr">
        <is>
          <t>DENORA</t>
        </is>
      </c>
      <c r="C2077" s="16" t="inlineStr">
        <is>
          <t>De Nora India Ltd.</t>
        </is>
      </c>
      <c r="D2077" s="16" t="inlineStr">
        <is>
          <t>Electrodes &amp; Refractories</t>
        </is>
      </c>
      <c r="E2077" s="16" t="inlineStr">
        <is>
          <t>General Industrials</t>
        </is>
      </c>
      <c r="F2077" s="17" t="n">
        <v>431.22</v>
      </c>
      <c r="G2077" s="16" t="inlineStr">
        <is>
          <t>DENORA</t>
        </is>
      </c>
      <c r="H2077" s="16" t="inlineStr">
        <is>
          <t>590031</t>
        </is>
      </c>
      <c r="I2077" s="27">
        <f>IFERROR(IF(INDEX(Stocks!$G$2:$G$2139,MATCH(A2077,Stocks!$E$2:$E$2139,0))="","No","Yes"),"No")</f>
        <v/>
      </c>
    </row>
    <row r="2078">
      <c r="A2078" s="16" t="inlineStr">
        <is>
          <t>INE531R01010</t>
        </is>
      </c>
      <c r="B2078" s="16" t="inlineStr">
        <is>
          <t>MEGATHERM</t>
        </is>
      </c>
      <c r="C2078" s="16" t="inlineStr">
        <is>
          <t>Megatherm Induction Ltd.</t>
        </is>
      </c>
      <c r="D2078" s="16" t="inlineStr">
        <is>
          <t>Industrial Machinery</t>
        </is>
      </c>
      <c r="E2078" s="16" t="inlineStr">
        <is>
          <t>General Industrials</t>
        </is>
      </c>
      <c r="F2078" s="17" t="n">
        <v>430.98</v>
      </c>
      <c r="G2078" s="16" t="inlineStr">
        <is>
          <t>MEGATHERM</t>
        </is>
      </c>
      <c r="H2078" s="16" t="inlineStr"/>
      <c r="I2078" s="27">
        <f>IFERROR(IF(INDEX(Stocks!$G$2:$G$2139,MATCH(A2078,Stocks!$E$2:$E$2139,0))="","No","Yes"),"No")</f>
        <v/>
      </c>
    </row>
    <row r="2079">
      <c r="A2079" s="16" t="inlineStr">
        <is>
          <t>INE280H01015</t>
        </is>
      </c>
      <c r="B2079" s="16" t="inlineStr">
        <is>
          <t>SAHYADRI</t>
        </is>
      </c>
      <c r="C2079" s="16" t="inlineStr">
        <is>
          <t>Sahyadri Industries Ltd.</t>
        </is>
      </c>
      <c r="D2079" s="16" t="inlineStr">
        <is>
          <t>Cement &amp; Cement Products</t>
        </is>
      </c>
      <c r="E2079" s="16" t="inlineStr">
        <is>
          <t>Cement and Construction</t>
        </is>
      </c>
      <c r="F2079" s="17" t="n">
        <v>429.26</v>
      </c>
      <c r="G2079" s="16" t="inlineStr">
        <is>
          <t>SAHYADRI</t>
        </is>
      </c>
      <c r="H2079" s="16" t="inlineStr">
        <is>
          <t>532841</t>
        </is>
      </c>
      <c r="I2079" s="27">
        <f>IFERROR(IF(INDEX(Stocks!$G$2:$G$2139,MATCH(A2079,Stocks!$E$2:$E$2139,0))="","No","Yes"),"No")</f>
        <v/>
      </c>
    </row>
    <row r="2080">
      <c r="A2080" s="16" t="inlineStr">
        <is>
          <t>INE0Q1R01012</t>
        </is>
      </c>
      <c r="B2080" s="16" t="inlineStr">
        <is>
          <t>QLL</t>
        </is>
      </c>
      <c r="C2080" s="16" t="inlineStr">
        <is>
          <t>Qualitek Labs Ltd.</t>
        </is>
      </c>
      <c r="D2080" s="16" t="inlineStr">
        <is>
          <t>Consulting Services</t>
        </is>
      </c>
      <c r="E2080" s="16" t="inlineStr">
        <is>
          <t>Commercial Services &amp; Supplies</t>
        </is>
      </c>
      <c r="F2080" s="17" t="n">
        <v>429.12</v>
      </c>
      <c r="G2080" s="16" t="inlineStr"/>
      <c r="H2080" s="16" t="inlineStr">
        <is>
          <t>544091</t>
        </is>
      </c>
      <c r="I2080" s="27">
        <f>IFERROR(IF(INDEX(Stocks!$G$2:$G$2139,MATCH(A2080,Stocks!$E$2:$E$2139,0))="","No","Yes"),"No")</f>
        <v/>
      </c>
    </row>
    <row r="2081">
      <c r="A2081" s="16" t="inlineStr">
        <is>
          <t>INE2KRP01017</t>
        </is>
      </c>
      <c r="B2081" s="16" t="inlineStr">
        <is>
          <t>DEVSON</t>
        </is>
      </c>
      <c r="C2081" s="16" t="inlineStr">
        <is>
          <t>Devson Catalyst Ltd.</t>
        </is>
      </c>
      <c r="D2081" s="16" t="inlineStr">
        <is>
          <t>Specialty Chemicals</t>
        </is>
      </c>
      <c r="E2081" s="16" t="inlineStr">
        <is>
          <t>Chemicals &amp; Petrochemicals</t>
        </is>
      </c>
      <c r="F2081" s="17" t="n">
        <v>429.04</v>
      </c>
      <c r="G2081" s="16" t="inlineStr"/>
      <c r="H2081" s="16" t="inlineStr">
        <is>
          <t>544823</t>
        </is>
      </c>
      <c r="I2081" s="27">
        <f>IFERROR(IF(INDEX(Stocks!$G$2:$G$2139,MATCH(A2081,Stocks!$E$2:$E$2139,0))="","No","Yes"),"No")</f>
        <v/>
      </c>
    </row>
    <row r="2082">
      <c r="A2082" s="16" t="inlineStr">
        <is>
          <t>INE0NA501011</t>
        </is>
      </c>
      <c r="B2082" s="16" t="inlineStr">
        <is>
          <t>DIVINEHIRA</t>
        </is>
      </c>
      <c r="C2082" s="16" t="inlineStr">
        <is>
          <t>Divine Hira Jewellers Ltd.</t>
        </is>
      </c>
      <c r="D2082" s="16" t="inlineStr">
        <is>
          <t>Gems &amp; Jewellery</t>
        </is>
      </c>
      <c r="E2082" s="16" t="inlineStr">
        <is>
          <t>Textiles Apparels &amp; Accessories</t>
        </is>
      </c>
      <c r="F2082" s="17" t="n">
        <v>428.4</v>
      </c>
      <c r="G2082" s="16" t="inlineStr">
        <is>
          <t>DIVINEHIRA</t>
        </is>
      </c>
      <c r="H2082" s="16" t="inlineStr"/>
      <c r="I2082" s="27">
        <f>IFERROR(IF(INDEX(Stocks!$G$2:$G$2139,MATCH(A2082,Stocks!$E$2:$E$2139,0))="","No","Yes"),"No")</f>
        <v/>
      </c>
    </row>
    <row r="2083">
      <c r="A2083" s="16" t="inlineStr">
        <is>
          <t>INE593W01028</t>
        </is>
      </c>
      <c r="B2083" s="16" t="inlineStr">
        <is>
          <t>FOCUS</t>
        </is>
      </c>
      <c r="C2083" s="16" t="inlineStr">
        <is>
          <t>Focus Lighting and Fixtures Ltd.</t>
        </is>
      </c>
      <c r="D2083" s="16" t="inlineStr">
        <is>
          <t>Other Electrical Equipment/Products</t>
        </is>
      </c>
      <c r="E2083" s="16" t="inlineStr">
        <is>
          <t>Consumer Durables</t>
        </is>
      </c>
      <c r="F2083" s="17" t="n">
        <v>428.19</v>
      </c>
      <c r="G2083" s="16" t="inlineStr">
        <is>
          <t>FOCUS</t>
        </is>
      </c>
      <c r="H2083" s="16" t="inlineStr"/>
      <c r="I2083" s="27">
        <f>IFERROR(IF(INDEX(Stocks!$G$2:$G$2139,MATCH(A2083,Stocks!$E$2:$E$2139,0))="","No","Yes"),"No")</f>
        <v/>
      </c>
    </row>
    <row r="2084">
      <c r="A2084" s="16" t="inlineStr">
        <is>
          <t>INE985A01022</t>
        </is>
      </c>
      <c r="B2084" s="16" t="inlineStr">
        <is>
          <t>SINCLAIR</t>
        </is>
      </c>
      <c r="C2084" s="16" t="inlineStr">
        <is>
          <t>Sinclairs Hotels Ltd.</t>
        </is>
      </c>
      <c r="D2084" s="16" t="inlineStr">
        <is>
          <t>Hotels</t>
        </is>
      </c>
      <c r="E2084" s="16" t="inlineStr">
        <is>
          <t>Hotels Restaurants &amp; Tourism</t>
        </is>
      </c>
      <c r="F2084" s="17" t="n">
        <v>428.02</v>
      </c>
      <c r="G2084" s="16" t="inlineStr">
        <is>
          <t>SINCLAIR</t>
        </is>
      </c>
      <c r="H2084" s="16" t="inlineStr">
        <is>
          <t>523023</t>
        </is>
      </c>
      <c r="I2084" s="27">
        <f>IFERROR(IF(INDEX(Stocks!$G$2:$G$2139,MATCH(A2084,Stocks!$E$2:$E$2139,0))="","No","Yes"),"No")</f>
        <v/>
      </c>
    </row>
    <row r="2085">
      <c r="A2085" s="16" t="inlineStr">
        <is>
          <t>INE771A01026</t>
        </is>
      </c>
      <c r="B2085" s="16" t="inlineStr">
        <is>
          <t>MIRZAINT</t>
        </is>
      </c>
      <c r="C2085" s="16" t="inlineStr">
        <is>
          <t>Mirza International Ltd.</t>
        </is>
      </c>
      <c r="D2085" s="16" t="inlineStr">
        <is>
          <t>Footwear</t>
        </is>
      </c>
      <c r="E2085" s="16" t="inlineStr">
        <is>
          <t>Retailing</t>
        </is>
      </c>
      <c r="F2085" s="17" t="n">
        <v>427.87</v>
      </c>
      <c r="G2085" s="16" t="inlineStr">
        <is>
          <t>MIRZAINT</t>
        </is>
      </c>
      <c r="H2085" s="16" t="inlineStr">
        <is>
          <t>526642</t>
        </is>
      </c>
      <c r="I2085" s="27">
        <f>IFERROR(IF(INDEX(Stocks!$G$2:$G$2139,MATCH(A2085,Stocks!$E$2:$E$2139,0))="","No","Yes"),"No")</f>
        <v/>
      </c>
    </row>
    <row r="2086">
      <c r="A2086" s="16" t="inlineStr">
        <is>
          <t>INE102A01024</t>
        </is>
      </c>
      <c r="B2086" s="16" t="inlineStr">
        <is>
          <t>HLVLTD</t>
        </is>
      </c>
      <c r="C2086" s="16" t="inlineStr">
        <is>
          <t>HLV Ltd.</t>
        </is>
      </c>
      <c r="D2086" s="16" t="inlineStr">
        <is>
          <t>Hotels</t>
        </is>
      </c>
      <c r="E2086" s="16" t="inlineStr">
        <is>
          <t>Hotels Restaurants &amp; Tourism</t>
        </is>
      </c>
      <c r="F2086" s="17" t="n">
        <v>427.2</v>
      </c>
      <c r="G2086" s="16" t="inlineStr">
        <is>
          <t>HLVLTD</t>
        </is>
      </c>
      <c r="H2086" s="16" t="inlineStr">
        <is>
          <t>500193</t>
        </is>
      </c>
      <c r="I2086" s="27">
        <f>IFERROR(IF(INDEX(Stocks!$G$2:$G$2139,MATCH(A2086,Stocks!$E$2:$E$2139,0))="","No","Yes"),"No")</f>
        <v/>
      </c>
    </row>
    <row r="2087">
      <c r="A2087" s="16" t="inlineStr">
        <is>
          <t>INE177C01022</t>
        </is>
      </c>
      <c r="B2087" s="16" t="inlineStr">
        <is>
          <t>BATLIBOI</t>
        </is>
      </c>
      <c r="C2087" s="16" t="inlineStr">
        <is>
          <t>Batliboi Ltd.</t>
        </is>
      </c>
      <c r="D2087" s="16" t="inlineStr">
        <is>
          <t>Industrial Machinery</t>
        </is>
      </c>
      <c r="E2087" s="16" t="inlineStr">
        <is>
          <t>General Industrials</t>
        </is>
      </c>
      <c r="F2087" s="17" t="n">
        <v>426.5</v>
      </c>
      <c r="G2087" s="16" t="inlineStr"/>
      <c r="H2087" s="16" t="inlineStr">
        <is>
          <t>522004</t>
        </is>
      </c>
      <c r="I2087" s="27">
        <f>IFERROR(IF(INDEX(Stocks!$G$2:$G$2139,MATCH(A2087,Stocks!$E$2:$E$2139,0))="","No","Yes"),"No")</f>
        <v/>
      </c>
    </row>
    <row r="2088">
      <c r="A2088" s="16" t="inlineStr">
        <is>
          <t>INE250B01029</t>
        </is>
      </c>
      <c r="B2088" s="16" t="inlineStr">
        <is>
          <t>VINYLINDIA</t>
        </is>
      </c>
      <c r="C2088" s="16" t="inlineStr">
        <is>
          <t>Vinyl Chemicals (I) Ltd.</t>
        </is>
      </c>
      <c r="D2088" s="16" t="inlineStr">
        <is>
          <t>Commodity Trading  &amp; Distribution</t>
        </is>
      </c>
      <c r="E2088" s="16" t="inlineStr">
        <is>
          <t>Commercial Services &amp; Supplies</t>
        </is>
      </c>
      <c r="F2088" s="17" t="n">
        <v>426.12</v>
      </c>
      <c r="G2088" s="16" t="inlineStr">
        <is>
          <t>VINYLINDIA</t>
        </is>
      </c>
      <c r="H2088" s="16" t="inlineStr">
        <is>
          <t>524129</t>
        </is>
      </c>
      <c r="I2088" s="27">
        <f>IFERROR(IF(INDEX(Stocks!$G$2:$G$2139,MATCH(A2088,Stocks!$E$2:$E$2139,0))="","No","Yes"),"No")</f>
        <v/>
      </c>
    </row>
    <row r="2089">
      <c r="A2089" s="16" t="inlineStr">
        <is>
          <t>INE020J01029</t>
        </is>
      </c>
      <c r="B2089" s="16" t="inlineStr">
        <is>
          <t>GOKUL</t>
        </is>
      </c>
      <c r="C2089" s="16" t="inlineStr">
        <is>
          <t>Gokul Refoils &amp; Solvent Ltd.</t>
        </is>
      </c>
      <c r="D2089" s="16" t="inlineStr">
        <is>
          <t>Edible Oils</t>
        </is>
      </c>
      <c r="E2089" s="16" t="inlineStr">
        <is>
          <t>FMCG</t>
        </is>
      </c>
      <c r="F2089" s="17" t="n">
        <v>425.28</v>
      </c>
      <c r="G2089" s="16" t="inlineStr">
        <is>
          <t>GOKUL</t>
        </is>
      </c>
      <c r="H2089" s="16" t="inlineStr">
        <is>
          <t>532980</t>
        </is>
      </c>
      <c r="I2089" s="27">
        <f>IFERROR(IF(INDEX(Stocks!$G$2:$G$2139,MATCH(A2089,Stocks!$E$2:$E$2139,0))="","No","Yes"),"No")</f>
        <v/>
      </c>
    </row>
    <row r="2090">
      <c r="A2090" s="16" t="inlineStr">
        <is>
          <t>INE547B01028</t>
        </is>
      </c>
      <c r="B2090" s="16" t="inlineStr">
        <is>
          <t>XTGLOBAL</t>
        </is>
      </c>
      <c r="C2090" s="16" t="inlineStr">
        <is>
          <t>Xtglobal Infotech Ltd.</t>
        </is>
      </c>
      <c r="D2090" s="16" t="inlineStr">
        <is>
          <t>IT Consulting &amp; Software</t>
        </is>
      </c>
      <c r="E2090" s="16" t="inlineStr">
        <is>
          <t>Software &amp; Services</t>
        </is>
      </c>
      <c r="F2090" s="17" t="n">
        <v>425.04</v>
      </c>
      <c r="G2090" s="16" t="inlineStr">
        <is>
          <t>XTGLOBAL</t>
        </is>
      </c>
      <c r="H2090" s="16" t="inlineStr">
        <is>
          <t>531225</t>
        </is>
      </c>
      <c r="I2090" s="27">
        <f>IFERROR(IF(INDEX(Stocks!$G$2:$G$2139,MATCH(A2090,Stocks!$E$2:$E$2139,0))="","No","Yes"),"No")</f>
        <v/>
      </c>
    </row>
    <row r="2091">
      <c r="A2091" s="16" t="inlineStr">
        <is>
          <t>INE784W01015</t>
        </is>
      </c>
      <c r="B2091" s="16" t="inlineStr">
        <is>
          <t>MANOMAY</t>
        </is>
      </c>
      <c r="C2091" s="16" t="inlineStr">
        <is>
          <t>Manomay Tex India Ltd.</t>
        </is>
      </c>
      <c r="D2091" s="16" t="inlineStr">
        <is>
          <t>Textiles</t>
        </is>
      </c>
      <c r="E2091" s="16" t="inlineStr">
        <is>
          <t>Textiles Apparels &amp; Accessories</t>
        </is>
      </c>
      <c r="F2091" s="17" t="n">
        <v>424.09</v>
      </c>
      <c r="G2091" s="16" t="inlineStr">
        <is>
          <t>MANOMAY</t>
        </is>
      </c>
      <c r="H2091" s="16" t="inlineStr">
        <is>
          <t>540396</t>
        </is>
      </c>
      <c r="I2091" s="27">
        <f>IFERROR(IF(INDEX(Stocks!$G$2:$G$2139,MATCH(A2091,Stocks!$E$2:$E$2139,0))="","No","Yes"),"No")</f>
        <v/>
      </c>
    </row>
    <row r="2092">
      <c r="A2092" s="16" t="inlineStr">
        <is>
          <t>INE219M01021</t>
        </is>
      </c>
      <c r="B2092" s="16" t="inlineStr">
        <is>
          <t>ATVOENT</t>
        </is>
      </c>
      <c r="C2092" s="16" t="inlineStr">
        <is>
          <t>ATVO Enterprises Ltd.</t>
        </is>
      </c>
      <c r="D2092" s="16" t="inlineStr">
        <is>
          <t>Textiles</t>
        </is>
      </c>
      <c r="E2092" s="16" t="inlineStr">
        <is>
          <t>Textiles Apparels &amp; Accessories</t>
        </is>
      </c>
      <c r="F2092" s="17" t="n">
        <v>422.7</v>
      </c>
      <c r="G2092" s="16" t="inlineStr"/>
      <c r="H2092" s="16" t="inlineStr">
        <is>
          <t>532090</t>
        </is>
      </c>
      <c r="I2092" s="27">
        <f>IFERROR(IF(INDEX(Stocks!$G$2:$G$2139,MATCH(A2092,Stocks!$E$2:$E$2139,0))="","No","Yes"),"No")</f>
        <v/>
      </c>
    </row>
    <row r="2093">
      <c r="A2093" s="16" t="inlineStr">
        <is>
          <t>INE976E01023</t>
        </is>
      </c>
      <c r="B2093" s="16" t="inlineStr">
        <is>
          <t>FOODSIN</t>
        </is>
      </c>
      <c r="C2093" s="16" t="inlineStr">
        <is>
          <t>Foods &amp; Inns Ltd.</t>
        </is>
      </c>
      <c r="D2093" s="16" t="inlineStr">
        <is>
          <t>Other Food &amp; Beverages</t>
        </is>
      </c>
      <c r="E2093" s="16" t="inlineStr">
        <is>
          <t>Food, Beverages &amp; Tobacco</t>
        </is>
      </c>
      <c r="F2093" s="17" t="n">
        <v>421.85</v>
      </c>
      <c r="G2093" s="16" t="inlineStr">
        <is>
          <t>FOODSIN</t>
        </is>
      </c>
      <c r="H2093" s="16" t="inlineStr">
        <is>
          <t>507552</t>
        </is>
      </c>
      <c r="I2093" s="27">
        <f>IFERROR(IF(INDEX(Stocks!$G$2:$G$2139,MATCH(A2093,Stocks!$E$2:$E$2139,0))="","No","Yes"),"No")</f>
        <v/>
      </c>
    </row>
    <row r="2094">
      <c r="A2094" s="16" t="inlineStr">
        <is>
          <t>INE658D01029</t>
        </is>
      </c>
      <c r="B2094" s="16" t="inlineStr">
        <is>
          <t>SIMPLEXCAS</t>
        </is>
      </c>
      <c r="C2094" s="16" t="inlineStr">
        <is>
          <t>Simplex Castings Ltd.</t>
        </is>
      </c>
      <c r="D2094" s="16" t="inlineStr">
        <is>
          <t>Other Industrial Products</t>
        </is>
      </c>
      <c r="E2094" s="16" t="inlineStr">
        <is>
          <t>General Industrials</t>
        </is>
      </c>
      <c r="F2094" s="17" t="n">
        <v>420.42</v>
      </c>
      <c r="G2094" s="16" t="inlineStr"/>
      <c r="H2094" s="16" t="inlineStr">
        <is>
          <t>513472</t>
        </is>
      </c>
      <c r="I2094" s="27">
        <f>IFERROR(IF(INDEX(Stocks!$G$2:$G$2139,MATCH(A2094,Stocks!$E$2:$E$2139,0))="","No","Yes"),"No")</f>
        <v/>
      </c>
    </row>
    <row r="2095">
      <c r="A2095" s="16" t="inlineStr">
        <is>
          <t>INE846D01012</t>
        </is>
      </c>
      <c r="B2095" s="16" t="inlineStr">
        <is>
          <t>LORDSCHLO</t>
        </is>
      </c>
      <c r="C2095" s="16" t="inlineStr">
        <is>
          <t>Lords Chloro Alkali Ltd.</t>
        </is>
      </c>
      <c r="D2095" s="16" t="inlineStr">
        <is>
          <t>Commodity Chemicals</t>
        </is>
      </c>
      <c r="E2095" s="16" t="inlineStr">
        <is>
          <t>Chemicals &amp; Petrochemicals</t>
        </is>
      </c>
      <c r="F2095" s="17" t="n">
        <v>420.07</v>
      </c>
      <c r="G2095" s="16" t="inlineStr">
        <is>
          <t>LORDSCHLO</t>
        </is>
      </c>
      <c r="H2095" s="16" t="inlineStr">
        <is>
          <t>500284</t>
        </is>
      </c>
      <c r="I2095" s="27">
        <f>IFERROR(IF(INDEX(Stocks!$G$2:$G$2139,MATCH(A2095,Stocks!$E$2:$E$2139,0))="","No","Yes"),"No")</f>
        <v/>
      </c>
    </row>
    <row r="2096">
      <c r="A2096" s="16" t="inlineStr">
        <is>
          <t>INE353A01023</t>
        </is>
      </c>
      <c r="B2096" s="16" t="inlineStr">
        <is>
          <t>NDLVENTURE</t>
        </is>
      </c>
      <c r="C2096" s="16" t="inlineStr">
        <is>
          <t>NDL Ventures Ltd.</t>
        </is>
      </c>
      <c r="D2096" s="16" t="inlineStr">
        <is>
          <t>Broadcasting &amp; Cable TV</t>
        </is>
      </c>
      <c r="E2096" s="16" t="inlineStr">
        <is>
          <t>Media</t>
        </is>
      </c>
      <c r="F2096" s="17" t="n">
        <v>419.95</v>
      </c>
      <c r="G2096" s="16" t="inlineStr">
        <is>
          <t>NDLVENTURE</t>
        </is>
      </c>
      <c r="H2096" s="16" t="inlineStr">
        <is>
          <t>500189</t>
        </is>
      </c>
      <c r="I2096" s="27">
        <f>IFERROR(IF(INDEX(Stocks!$G$2:$G$2139,MATCH(A2096,Stocks!$E$2:$E$2139,0))="","No","Yes"),"No")</f>
        <v/>
      </c>
    </row>
    <row r="2097">
      <c r="A2097" s="16" t="inlineStr">
        <is>
          <t>INE277E01026</t>
        </is>
      </c>
      <c r="B2097" s="16" t="inlineStr">
        <is>
          <t>MSCTC</t>
        </is>
      </c>
      <c r="C2097" s="16" t="inlineStr">
        <is>
          <t>Mardia Samyoung Capillary Tubes Company Ltd.</t>
        </is>
      </c>
      <c r="D2097" s="16" t="inlineStr">
        <is>
          <t>Copper</t>
        </is>
      </c>
      <c r="E2097" s="16" t="inlineStr">
        <is>
          <t>Metals &amp; Mining</t>
        </is>
      </c>
      <c r="F2097" s="17" t="n">
        <v>419.41</v>
      </c>
      <c r="G2097" s="16" t="inlineStr"/>
      <c r="H2097" s="16" t="inlineStr">
        <is>
          <t>513544</t>
        </is>
      </c>
      <c r="I2097" s="27">
        <f>IFERROR(IF(INDEX(Stocks!$G$2:$G$2139,MATCH(A2097,Stocks!$E$2:$E$2139,0))="","No","Yes"),"No")</f>
        <v/>
      </c>
    </row>
    <row r="2098">
      <c r="A2098" s="16" t="inlineStr">
        <is>
          <t>INE370D01013</t>
        </is>
      </c>
      <c r="B2098" s="16" t="inlineStr">
        <is>
          <t>MANORG</t>
        </is>
      </c>
      <c r="C2098" s="16" t="inlineStr">
        <is>
          <t>Mangalam Organics Ltd.</t>
        </is>
      </c>
      <c r="D2098" s="16" t="inlineStr">
        <is>
          <t>Commodity Chemicals</t>
        </is>
      </c>
      <c r="E2098" s="16" t="inlineStr">
        <is>
          <t>Chemicals &amp; Petrochemicals</t>
        </is>
      </c>
      <c r="F2098" s="17" t="n">
        <v>419.23</v>
      </c>
      <c r="G2098" s="16" t="inlineStr">
        <is>
          <t>MANORG</t>
        </is>
      </c>
      <c r="H2098" s="16" t="inlineStr">
        <is>
          <t>514418</t>
        </is>
      </c>
      <c r="I2098" s="27">
        <f>IFERROR(IF(INDEX(Stocks!$G$2:$G$2139,MATCH(A2098,Stocks!$E$2:$E$2139,0))="","No","Yes"),"No")</f>
        <v/>
      </c>
    </row>
    <row r="2099">
      <c r="A2099" s="16" t="inlineStr">
        <is>
          <t>INE0LR101013</t>
        </is>
      </c>
      <c r="B2099" s="16" t="inlineStr">
        <is>
          <t>ANLON</t>
        </is>
      </c>
      <c r="C2099" s="16" t="inlineStr">
        <is>
          <t>Anlon Technology Solutions Ltd.</t>
        </is>
      </c>
      <c r="D2099" s="16" t="inlineStr">
        <is>
          <t>Industrial Machinery</t>
        </is>
      </c>
      <c r="E2099" s="16" t="inlineStr">
        <is>
          <t>General Industrials</t>
        </is>
      </c>
      <c r="F2099" s="17" t="n">
        <v>419.11</v>
      </c>
      <c r="G2099" s="16" t="inlineStr">
        <is>
          <t>ANLON</t>
        </is>
      </c>
      <c r="H2099" s="16" t="inlineStr"/>
      <c r="I2099" s="27">
        <f>IFERROR(IF(INDEX(Stocks!$G$2:$G$2139,MATCH(A2099,Stocks!$E$2:$E$2139,0))="","No","Yes"),"No")</f>
        <v/>
      </c>
    </row>
    <row r="2100">
      <c r="A2100" s="16" t="inlineStr">
        <is>
          <t>INE0U9D01019</t>
        </is>
      </c>
      <c r="B2100" s="16" t="inlineStr">
        <is>
          <t>MAHALIFE</t>
        </is>
      </c>
      <c r="C2100" s="16" t="inlineStr">
        <is>
          <t>Mahamaya Lifesciences Ltd.</t>
        </is>
      </c>
      <c r="D2100" s="16" t="inlineStr">
        <is>
          <t>Agrochemicals</t>
        </is>
      </c>
      <c r="E2100" s="16" t="inlineStr">
        <is>
          <t>Chemicals &amp; Petrochemicals</t>
        </is>
      </c>
      <c r="F2100" s="17" t="n">
        <v>417.43</v>
      </c>
      <c r="G2100" s="16" t="inlineStr"/>
      <c r="H2100" s="16" t="inlineStr">
        <is>
          <t>544611</t>
        </is>
      </c>
      <c r="I2100" s="27">
        <f>IFERROR(IF(INDEX(Stocks!$G$2:$G$2139,MATCH(A2100,Stocks!$E$2:$E$2139,0))="","No","Yes"),"No")</f>
        <v/>
      </c>
    </row>
    <row r="2101">
      <c r="A2101" s="16" t="inlineStr">
        <is>
          <t>INE341Z01025</t>
        </is>
      </c>
      <c r="B2101" s="16" t="inlineStr">
        <is>
          <t>BHATIA</t>
        </is>
      </c>
      <c r="C2101" s="16" t="inlineStr">
        <is>
          <t>Bhatia Communications &amp; Retail (India) Ltd.</t>
        </is>
      </c>
      <c r="D2101" s="16" t="inlineStr">
        <is>
          <t>Specialty Retail</t>
        </is>
      </c>
      <c r="E2101" s="16" t="inlineStr">
        <is>
          <t>Retailing</t>
        </is>
      </c>
      <c r="F2101" s="17" t="n">
        <v>416.75</v>
      </c>
      <c r="G2101" s="16" t="inlineStr"/>
      <c r="H2101" s="16" t="inlineStr">
        <is>
          <t>540956</t>
        </is>
      </c>
      <c r="I2101" s="27">
        <f>IFERROR(IF(INDEX(Stocks!$G$2:$G$2139,MATCH(A2101,Stocks!$E$2:$E$2139,0))="","No","Yes"),"No")</f>
        <v/>
      </c>
    </row>
    <row r="2102">
      <c r="A2102" s="16" t="inlineStr">
        <is>
          <t>INE0U2501017</t>
        </is>
      </c>
      <c r="B2102" s="16" t="inlineStr">
        <is>
          <t>FORCAS</t>
        </is>
      </c>
      <c r="C2102" s="16" t="inlineStr">
        <is>
          <t>Forcas Studio Ltd.</t>
        </is>
      </c>
      <c r="D2102" s="16" t="inlineStr">
        <is>
          <t>Textiles</t>
        </is>
      </c>
      <c r="E2102" s="16" t="inlineStr">
        <is>
          <t>Textiles Apparels &amp; Accessories</t>
        </is>
      </c>
      <c r="F2102" s="17" t="n">
        <v>416.73</v>
      </c>
      <c r="G2102" s="16" t="inlineStr">
        <is>
          <t>FORCAS</t>
        </is>
      </c>
      <c r="H2102" s="16" t="inlineStr"/>
      <c r="I2102" s="27">
        <f>IFERROR(IF(INDEX(Stocks!$G$2:$G$2139,MATCH(A2102,Stocks!$E$2:$E$2139,0))="","No","Yes"),"No")</f>
        <v/>
      </c>
    </row>
    <row r="2103">
      <c r="A2103" s="16" t="inlineStr">
        <is>
          <t>INE510U01018</t>
        </is>
      </c>
      <c r="B2103" s="16" t="inlineStr">
        <is>
          <t>PESB</t>
        </is>
      </c>
      <c r="C2103" s="16" t="inlineStr">
        <is>
          <t>Pune E-Stock Broking Ltd.</t>
        </is>
      </c>
      <c r="D2103" s="16" t="inlineStr">
        <is>
          <t>Capital Markets</t>
        </is>
      </c>
      <c r="E2103" s="16" t="inlineStr">
        <is>
          <t>Banking and Finance</t>
        </is>
      </c>
      <c r="F2103" s="17" t="n">
        <v>415.77</v>
      </c>
      <c r="G2103" s="16" t="inlineStr"/>
      <c r="H2103" s="16" t="inlineStr">
        <is>
          <t>544141</t>
        </is>
      </c>
      <c r="I2103" s="27">
        <f>IFERROR(IF(INDEX(Stocks!$G$2:$G$2139,MATCH(A2103,Stocks!$E$2:$E$2139,0))="","No","Yes"),"No")</f>
        <v/>
      </c>
    </row>
    <row r="2104">
      <c r="A2104" s="16" t="inlineStr">
        <is>
          <t>INE05ST01028</t>
        </is>
      </c>
      <c r="B2104" s="16" t="inlineStr">
        <is>
          <t>SBGLP</t>
        </is>
      </c>
      <c r="C2104" s="16" t="inlineStr">
        <is>
          <t>Suratwwala Business Group Ltd.</t>
        </is>
      </c>
      <c r="D2104" s="16" t="inlineStr">
        <is>
          <t>Realty</t>
        </is>
      </c>
      <c r="E2104" s="16" t="inlineStr">
        <is>
          <t>Realty</t>
        </is>
      </c>
      <c r="F2104" s="17" t="n">
        <v>415.51</v>
      </c>
      <c r="G2104" s="16" t="inlineStr">
        <is>
          <t>SBGLP</t>
        </is>
      </c>
      <c r="H2104" s="16" t="inlineStr">
        <is>
          <t>543218</t>
        </is>
      </c>
      <c r="I2104" s="27">
        <f>IFERROR(IF(INDEX(Stocks!$G$2:$G$2139,MATCH(A2104,Stocks!$E$2:$E$2139,0))="","No","Yes"),"No")</f>
        <v/>
      </c>
    </row>
    <row r="2105">
      <c r="A2105" s="16" t="inlineStr">
        <is>
          <t>INE324X01026</t>
        </is>
      </c>
      <c r="B2105" s="16" t="inlineStr">
        <is>
          <t>SARVESHWAR</t>
        </is>
      </c>
      <c r="C2105" s="16" t="inlineStr">
        <is>
          <t>Sarveshwar Foods Ltd.</t>
        </is>
      </c>
      <c r="D2105" s="16" t="inlineStr">
        <is>
          <t>Other Agricultural Products</t>
        </is>
      </c>
      <c r="E2105" s="16" t="inlineStr">
        <is>
          <t>Food, Beverages &amp; Tobacco</t>
        </is>
      </c>
      <c r="F2105" s="17" t="n">
        <v>413.83</v>
      </c>
      <c r="G2105" s="16" t="inlineStr">
        <is>
          <t>SARVESHWAR</t>
        </is>
      </c>
      <c r="H2105" s="16" t="inlineStr">
        <is>
          <t>543688</t>
        </is>
      </c>
      <c r="I2105" s="27">
        <f>IFERROR(IF(INDEX(Stocks!$G$2:$G$2139,MATCH(A2105,Stocks!$E$2:$E$2139,0))="","No","Yes"),"No")</f>
        <v/>
      </c>
    </row>
    <row r="2106">
      <c r="A2106" s="16" t="inlineStr">
        <is>
          <t>INE015D01022</t>
        </is>
      </c>
      <c r="B2106" s="16" t="inlineStr">
        <is>
          <t>MANAKSIA</t>
        </is>
      </c>
      <c r="C2106" s="16" t="inlineStr">
        <is>
          <t>Manaksia Ltd.</t>
        </is>
      </c>
      <c r="D2106" s="16" t="inlineStr">
        <is>
          <t>Iron &amp; Steel Products</t>
        </is>
      </c>
      <c r="E2106" s="16" t="inlineStr">
        <is>
          <t>Metals &amp; Mining</t>
        </is>
      </c>
      <c r="F2106" s="17" t="n">
        <v>413.19</v>
      </c>
      <c r="G2106" s="16" t="inlineStr">
        <is>
          <t>MANAKSIA</t>
        </is>
      </c>
      <c r="H2106" s="16" t="inlineStr">
        <is>
          <t>532932</t>
        </is>
      </c>
      <c r="I2106" s="27">
        <f>IFERROR(IF(INDEX(Stocks!$G$2:$G$2139,MATCH(A2106,Stocks!$E$2:$E$2139,0))="","No","Yes"),"No")</f>
        <v/>
      </c>
    </row>
    <row r="2107">
      <c r="A2107" s="16" t="inlineStr">
        <is>
          <t>INE2OL601013</t>
        </is>
      </c>
      <c r="B2107" s="16" t="inlineStr">
        <is>
          <t>TEAMTECH</t>
        </is>
      </c>
      <c r="C2107" s="16" t="inlineStr">
        <is>
          <t>Teamtech Formwork Solutions Ltd.</t>
        </is>
      </c>
      <c r="D2107" s="16" t="inlineStr">
        <is>
          <t>Construction Materials</t>
        </is>
      </c>
      <c r="E2107" s="16" t="inlineStr">
        <is>
          <t>Cement and Construction</t>
        </is>
      </c>
      <c r="F2107" s="17" t="n">
        <v>410.67</v>
      </c>
      <c r="G2107" s="16" t="inlineStr">
        <is>
          <t>TEAMTECH</t>
        </is>
      </c>
      <c r="H2107" s="16" t="inlineStr"/>
      <c r="I2107" s="27">
        <f>IFERROR(IF(INDEX(Stocks!$G$2:$G$2139,MATCH(A2107,Stocks!$E$2:$E$2139,0))="","No","Yes"),"No")</f>
        <v/>
      </c>
    </row>
    <row r="2108">
      <c r="A2108" s="16" t="inlineStr">
        <is>
          <t>INE296Q01012</t>
        </is>
      </c>
      <c r="B2108" s="16" t="inlineStr">
        <is>
          <t>MONEYBOXX</t>
        </is>
      </c>
      <c r="C2108" s="16" t="inlineStr">
        <is>
          <t>Moneyboxx Finance Ltd.</t>
        </is>
      </c>
      <c r="D2108" s="16" t="inlineStr">
        <is>
          <t>Finance (including NBFCs)</t>
        </is>
      </c>
      <c r="E2108" s="16" t="inlineStr">
        <is>
          <t>Banking and Finance</t>
        </is>
      </c>
      <c r="F2108" s="17" t="n">
        <v>410.48</v>
      </c>
      <c r="G2108" s="16" t="inlineStr">
        <is>
          <t>MONEYBOXX</t>
        </is>
      </c>
      <c r="H2108" s="16" t="inlineStr">
        <is>
          <t>538446</t>
        </is>
      </c>
      <c r="I2108" s="27">
        <f>IFERROR(IF(INDEX(Stocks!$G$2:$G$2139,MATCH(A2108,Stocks!$E$2:$E$2139,0))="","No","Yes"),"No")</f>
        <v/>
      </c>
    </row>
    <row r="2109">
      <c r="A2109" s="16" t="inlineStr">
        <is>
          <t>INE0O4601016</t>
        </is>
      </c>
      <c r="B2109" s="16" t="inlineStr">
        <is>
          <t>SEALMATIC</t>
        </is>
      </c>
      <c r="C2109" s="16" t="inlineStr">
        <is>
          <t>Sealmatic India Ltd.</t>
        </is>
      </c>
      <c r="D2109" s="16" t="inlineStr">
        <is>
          <t>Industrial Machinery</t>
        </is>
      </c>
      <c r="E2109" s="16" t="inlineStr">
        <is>
          <t>General Industrials</t>
        </is>
      </c>
      <c r="F2109" s="17" t="n">
        <v>409.96</v>
      </c>
      <c r="G2109" s="16" t="inlineStr"/>
      <c r="H2109" s="16" t="inlineStr">
        <is>
          <t>543782</t>
        </is>
      </c>
      <c r="I2109" s="27">
        <f>IFERROR(IF(INDEX(Stocks!$G$2:$G$2139,MATCH(A2109,Stocks!$E$2:$E$2139,0))="","No","Yes"),"No")</f>
        <v/>
      </c>
    </row>
    <row r="2110">
      <c r="A2110" s="16" t="inlineStr">
        <is>
          <t>INE792I01017</t>
        </is>
      </c>
      <c r="B2110" s="16" t="inlineStr">
        <is>
          <t>CORDSCABLE</t>
        </is>
      </c>
      <c r="C2110" s="16" t="inlineStr">
        <is>
          <t>Cords Cable Industries Ltd.</t>
        </is>
      </c>
      <c r="D2110" s="16" t="inlineStr">
        <is>
          <t>Wires &amp; Cables</t>
        </is>
      </c>
      <c r="E2110" s="16" t="inlineStr">
        <is>
          <t>Consumer Durables</t>
        </is>
      </c>
      <c r="F2110" s="17" t="n">
        <v>409.81</v>
      </c>
      <c r="G2110" s="16" t="inlineStr">
        <is>
          <t>CORDSCABLE</t>
        </is>
      </c>
      <c r="H2110" s="16" t="inlineStr">
        <is>
          <t>532941</t>
        </is>
      </c>
      <c r="I2110" s="27">
        <f>IFERROR(IF(INDEX(Stocks!$G$2:$G$2139,MATCH(A2110,Stocks!$E$2:$E$2139,0))="","No","Yes"),"No")</f>
        <v/>
      </c>
    </row>
    <row r="2111">
      <c r="A2111" s="16" t="inlineStr">
        <is>
          <t>INE0PQ001012</t>
        </is>
      </c>
      <c r="B2111" s="16" t="inlineStr">
        <is>
          <t>VISHNUINFR</t>
        </is>
      </c>
      <c r="C2111" s="16" t="inlineStr">
        <is>
          <t>Vishnusurya Projects And Infra Ltd.</t>
        </is>
      </c>
      <c r="D2111" s="16" t="inlineStr">
        <is>
          <t>Construction &amp; Engineering</t>
        </is>
      </c>
      <c r="E2111" s="16" t="inlineStr">
        <is>
          <t>Cement and Construction</t>
        </is>
      </c>
      <c r="F2111" s="17" t="n">
        <v>409.62</v>
      </c>
      <c r="G2111" s="16" t="inlineStr">
        <is>
          <t>VISHNUINFR</t>
        </is>
      </c>
      <c r="H2111" s="16" t="inlineStr"/>
      <c r="I2111" s="27">
        <f>IFERROR(IF(INDEX(Stocks!$G$2:$G$2139,MATCH(A2111,Stocks!$E$2:$E$2139,0))="","No","Yes"),"No")</f>
        <v/>
      </c>
    </row>
    <row r="2112">
      <c r="A2112" s="16" t="inlineStr">
        <is>
          <t>INE875G01048</t>
        </is>
      </c>
      <c r="B2112" s="16" t="inlineStr">
        <is>
          <t>NDL</t>
        </is>
      </c>
      <c r="C2112" s="16" t="inlineStr">
        <is>
          <t>Nandan Denim Ltd.</t>
        </is>
      </c>
      <c r="D2112" s="16" t="inlineStr">
        <is>
          <t>Textiles</t>
        </is>
      </c>
      <c r="E2112" s="16" t="inlineStr">
        <is>
          <t>Textiles Apparels &amp; Accessories</t>
        </is>
      </c>
      <c r="F2112" s="17" t="n">
        <v>407.94</v>
      </c>
      <c r="G2112" s="16" t="inlineStr">
        <is>
          <t>NDL</t>
        </is>
      </c>
      <c r="H2112" s="16" t="inlineStr">
        <is>
          <t>532641</t>
        </is>
      </c>
      <c r="I2112" s="27">
        <f>IFERROR(IF(INDEX(Stocks!$G$2:$G$2139,MATCH(A2112,Stocks!$E$2:$E$2139,0))="","No","Yes"),"No")</f>
        <v/>
      </c>
    </row>
    <row r="2113">
      <c r="A2113" s="16" t="inlineStr">
        <is>
          <t>INE0VG601013</t>
        </is>
      </c>
      <c r="B2113" s="16" t="inlineStr">
        <is>
          <t>PELATRO</t>
        </is>
      </c>
      <c r="C2113" s="16" t="inlineStr">
        <is>
          <t>Pelatro Ltd.</t>
        </is>
      </c>
      <c r="D2113" s="16" t="inlineStr">
        <is>
          <t>BPO/KPO</t>
        </is>
      </c>
      <c r="E2113" s="16" t="inlineStr">
        <is>
          <t>Software &amp; Services</t>
        </is>
      </c>
      <c r="F2113" s="17" t="n">
        <v>407.68</v>
      </c>
      <c r="G2113" s="16" t="inlineStr">
        <is>
          <t>PELATRO</t>
        </is>
      </c>
      <c r="H2113" s="16" t="inlineStr"/>
      <c r="I2113" s="27">
        <f>IFERROR(IF(INDEX(Stocks!$G$2:$G$2139,MATCH(A2113,Stocks!$E$2:$E$2139,0))="","No","Yes"),"No")</f>
        <v/>
      </c>
    </row>
    <row r="2114">
      <c r="A2114" s="16" t="inlineStr">
        <is>
          <t>INE15B101011</t>
        </is>
      </c>
      <c r="B2114" s="16" t="inlineStr">
        <is>
          <t>OPTIVALUE</t>
        </is>
      </c>
      <c r="C2114" s="16" t="inlineStr">
        <is>
          <t>Optivalue Tek Consulting Ltd.</t>
        </is>
      </c>
      <c r="D2114" s="16" t="inlineStr">
        <is>
          <t>IT Consulting &amp; Software</t>
        </is>
      </c>
      <c r="E2114" s="16" t="inlineStr">
        <is>
          <t>Software &amp; Services</t>
        </is>
      </c>
      <c r="F2114" s="17" t="n">
        <v>407.48</v>
      </c>
      <c r="G2114" s="16" t="inlineStr">
        <is>
          <t>OPTIVALUE</t>
        </is>
      </c>
      <c r="H2114" s="16" t="inlineStr"/>
      <c r="I2114" s="27">
        <f>IFERROR(IF(INDEX(Stocks!$G$2:$G$2139,MATCH(A2114,Stocks!$E$2:$E$2139,0))="","No","Yes"),"No")</f>
        <v/>
      </c>
    </row>
    <row r="2115">
      <c r="A2115" s="16" t="inlineStr">
        <is>
          <t>INE0PT101017</t>
        </is>
      </c>
      <c r="B2115" s="16" t="inlineStr">
        <is>
          <t>CHAVDA</t>
        </is>
      </c>
      <c r="C2115" s="16" t="inlineStr">
        <is>
          <t>Chavda Infra Ltd.</t>
        </is>
      </c>
      <c r="D2115" s="16" t="inlineStr">
        <is>
          <t>Construction &amp; Engineering</t>
        </is>
      </c>
      <c r="E2115" s="16" t="inlineStr">
        <is>
          <t>Cement and Construction</t>
        </is>
      </c>
      <c r="F2115" s="17" t="n">
        <v>406.57</v>
      </c>
      <c r="G2115" s="16" t="inlineStr">
        <is>
          <t>CHAVDA</t>
        </is>
      </c>
      <c r="H2115" s="16" t="inlineStr"/>
      <c r="I2115" s="27">
        <f>IFERROR(IF(INDEX(Stocks!$G$2:$G$2139,MATCH(A2115,Stocks!$E$2:$E$2139,0))="","No","Yes"),"No")</f>
        <v/>
      </c>
    </row>
    <row r="2116">
      <c r="A2116" s="16" t="inlineStr">
        <is>
          <t>INE05CY01014</t>
        </is>
      </c>
      <c r="B2116" s="16" t="inlineStr">
        <is>
          <t>TIERRA</t>
        </is>
      </c>
      <c r="C2116" s="16" t="inlineStr">
        <is>
          <t>Tierra Agrotech Ltd.</t>
        </is>
      </c>
      <c r="D2116" s="16" t="inlineStr">
        <is>
          <t>Other Agricultural Products</t>
        </is>
      </c>
      <c r="E2116" s="16" t="inlineStr">
        <is>
          <t>Food, Beverages &amp; Tobacco</t>
        </is>
      </c>
      <c r="F2116" s="17" t="n">
        <v>404.98</v>
      </c>
      <c r="G2116" s="16" t="inlineStr"/>
      <c r="H2116" s="16" t="inlineStr">
        <is>
          <t>543531</t>
        </is>
      </c>
      <c r="I2116" s="27">
        <f>IFERROR(IF(INDEX(Stocks!$G$2:$G$2139,MATCH(A2116,Stocks!$E$2:$E$2139,0))="","No","Yes"),"No")</f>
        <v/>
      </c>
    </row>
    <row r="2117">
      <c r="A2117" s="16" t="inlineStr">
        <is>
          <t>INE296G01013</t>
        </is>
      </c>
      <c r="B2117" s="16" t="inlineStr">
        <is>
          <t>MUTHOOTCAP</t>
        </is>
      </c>
      <c r="C2117" s="16" t="inlineStr">
        <is>
          <t>Muthoot Capital Services Ltd.</t>
        </is>
      </c>
      <c r="D2117" s="16" t="inlineStr">
        <is>
          <t>Finance (including NBFCs)</t>
        </is>
      </c>
      <c r="E2117" s="16" t="inlineStr">
        <is>
          <t>Banking and Finance</t>
        </is>
      </c>
      <c r="F2117" s="17" t="n">
        <v>404.07</v>
      </c>
      <c r="G2117" s="16" t="inlineStr">
        <is>
          <t>MUTHOOTCAP</t>
        </is>
      </c>
      <c r="H2117" s="16" t="inlineStr">
        <is>
          <t>511766</t>
        </is>
      </c>
      <c r="I2117" s="27">
        <f>IFERROR(IF(INDEX(Stocks!$G$2:$G$2139,MATCH(A2117,Stocks!$E$2:$E$2139,0))="","No","Yes"),"No")</f>
        <v/>
      </c>
    </row>
    <row r="2118">
      <c r="A2118" s="16" t="inlineStr">
        <is>
          <t>INE214A01019</t>
        </is>
      </c>
      <c r="B2118" s="16" t="inlineStr">
        <is>
          <t>CYBERTECH</t>
        </is>
      </c>
      <c r="C2118" s="16" t="inlineStr">
        <is>
          <t>Cybertech Systems &amp; Software Ltd.</t>
        </is>
      </c>
      <c r="D2118" s="16" t="inlineStr">
        <is>
          <t>IT Consulting &amp; Software</t>
        </is>
      </c>
      <c r="E2118" s="16" t="inlineStr">
        <is>
          <t>Software &amp; Services</t>
        </is>
      </c>
      <c r="F2118" s="17" t="n">
        <v>403.82</v>
      </c>
      <c r="G2118" s="16" t="inlineStr">
        <is>
          <t>CYBERTECH</t>
        </is>
      </c>
      <c r="H2118" s="16" t="inlineStr">
        <is>
          <t>532173</t>
        </is>
      </c>
      <c r="I2118" s="27">
        <f>IFERROR(IF(INDEX(Stocks!$G$2:$G$2139,MATCH(A2118,Stocks!$E$2:$E$2139,0))="","No","Yes"),"No")</f>
        <v/>
      </c>
    </row>
    <row r="2119">
      <c r="A2119" s="16" t="inlineStr">
        <is>
          <t>INE641C01019</t>
        </is>
      </c>
      <c r="B2119" s="16" t="inlineStr">
        <is>
          <t>KAVDEFENCE</t>
        </is>
      </c>
      <c r="C2119" s="16" t="inlineStr">
        <is>
          <t>Kavveri Defence &amp; Wireless Technologies Ltd.</t>
        </is>
      </c>
      <c r="D2119" s="16" t="inlineStr">
        <is>
          <t>Telecom Equipment</t>
        </is>
      </c>
      <c r="E2119" s="16" t="inlineStr">
        <is>
          <t>Telecommunications Equipment</t>
        </is>
      </c>
      <c r="F2119" s="17" t="n">
        <v>403.67</v>
      </c>
      <c r="G2119" s="16" t="inlineStr">
        <is>
          <t>KAVDEFENCE</t>
        </is>
      </c>
      <c r="H2119" s="16" t="inlineStr">
        <is>
          <t>590041</t>
        </is>
      </c>
      <c r="I2119" s="27">
        <f>IFERROR(IF(INDEX(Stocks!$G$2:$G$2139,MATCH(A2119,Stocks!$E$2:$E$2139,0))="","No","Yes"),"No")</f>
        <v/>
      </c>
    </row>
    <row r="2120">
      <c r="A2120" s="16" t="inlineStr">
        <is>
          <t>INE554H01021</t>
        </is>
      </c>
      <c r="B2120" s="16" t="inlineStr">
        <is>
          <t>EMROCK</t>
        </is>
      </c>
      <c r="C2120" s="16" t="inlineStr">
        <is>
          <t>Emrock Corporation Ltd.</t>
        </is>
      </c>
      <c r="D2120" s="16" t="inlineStr">
        <is>
          <t>Other Food &amp; Beverages</t>
        </is>
      </c>
      <c r="E2120" s="16" t="inlineStr">
        <is>
          <t>Food, Beverages &amp; Tobacco</t>
        </is>
      </c>
      <c r="F2120" s="17" t="n">
        <v>403.41</v>
      </c>
      <c r="G2120" s="16" t="inlineStr"/>
      <c r="H2120" s="16" t="inlineStr">
        <is>
          <t>531676</t>
        </is>
      </c>
      <c r="I2120" s="27">
        <f>IFERROR(IF(INDEX(Stocks!$G$2:$G$2139,MATCH(A2120,Stocks!$E$2:$E$2139,0))="","No","Yes"),"No")</f>
        <v/>
      </c>
    </row>
    <row r="2121">
      <c r="A2121" s="16" t="inlineStr">
        <is>
          <t>INE147C01017</t>
        </is>
      </c>
      <c r="B2121" s="16" t="inlineStr">
        <is>
          <t>POOJAENT</t>
        </is>
      </c>
      <c r="C2121" s="16" t="inlineStr">
        <is>
          <t>Vashu Bhagnani Industries Ltd.</t>
        </is>
      </c>
      <c r="D2121" s="16" t="inlineStr">
        <is>
          <t>Movies &amp; Entertainment</t>
        </is>
      </c>
      <c r="E2121" s="16" t="inlineStr">
        <is>
          <t>Media</t>
        </is>
      </c>
      <c r="F2121" s="17" t="n">
        <v>402.32</v>
      </c>
      <c r="G2121" s="16" t="inlineStr"/>
      <c r="H2121" s="16" t="inlineStr">
        <is>
          <t>532011</t>
        </is>
      </c>
      <c r="I2121" s="27">
        <f>IFERROR(IF(INDEX(Stocks!$G$2:$G$2139,MATCH(A2121,Stocks!$E$2:$E$2139,0))="","No","Yes"),"No")</f>
        <v/>
      </c>
    </row>
    <row r="2122">
      <c r="A2122" s="16" t="inlineStr">
        <is>
          <t>INE823A01017</t>
        </is>
      </c>
      <c r="B2122" s="16" t="inlineStr">
        <is>
          <t>KOTHARIPRO</t>
        </is>
      </c>
      <c r="C2122" s="16" t="inlineStr">
        <is>
          <t>Kothari Products Ltd.</t>
        </is>
      </c>
      <c r="D2122" s="16" t="inlineStr">
        <is>
          <t>Commodity Trading  &amp; Distribution</t>
        </is>
      </c>
      <c r="E2122" s="16" t="inlineStr">
        <is>
          <t>Commercial Services &amp; Supplies</t>
        </is>
      </c>
      <c r="F2122" s="17" t="n">
        <v>402.24</v>
      </c>
      <c r="G2122" s="16" t="inlineStr">
        <is>
          <t>KOTHARIPRO</t>
        </is>
      </c>
      <c r="H2122" s="16" t="inlineStr">
        <is>
          <t>530299</t>
        </is>
      </c>
      <c r="I2122" s="27">
        <f>IFERROR(IF(INDEX(Stocks!$G$2:$G$2139,MATCH(A2122,Stocks!$E$2:$E$2139,0))="","No","Yes"),"No")</f>
        <v/>
      </c>
    </row>
    <row r="2123">
      <c r="A2123" s="16" t="inlineStr">
        <is>
          <t>INE0S2V01010</t>
        </is>
      </c>
      <c r="B2123" s="16" t="inlineStr">
        <is>
          <t>VRAJ</t>
        </is>
      </c>
      <c r="C2123" s="16" t="inlineStr">
        <is>
          <t>Vraj Iron &amp; Steel Ltd.</t>
        </is>
      </c>
      <c r="D2123" s="16" t="inlineStr">
        <is>
          <t>Iron &amp; Steel/Interm.Products</t>
        </is>
      </c>
      <c r="E2123" s="16" t="inlineStr">
        <is>
          <t>Metals &amp; Mining</t>
        </is>
      </c>
      <c r="F2123" s="17" t="n">
        <v>401.43</v>
      </c>
      <c r="G2123" s="16" t="inlineStr">
        <is>
          <t>VRAJ</t>
        </is>
      </c>
      <c r="H2123" s="16" t="inlineStr">
        <is>
          <t>544204</t>
        </is>
      </c>
      <c r="I2123" s="27">
        <f>IFERROR(IF(INDEX(Stocks!$G$2:$G$2139,MATCH(A2123,Stocks!$E$2:$E$2139,0))="","No","Yes"),"No")</f>
        <v/>
      </c>
    </row>
    <row r="2124">
      <c r="A2124" s="16" t="inlineStr">
        <is>
          <t>INE916Y01027</t>
        </is>
      </c>
      <c r="B2124" s="16" t="inlineStr">
        <is>
          <t>AFIL</t>
        </is>
      </c>
      <c r="C2124" s="16" t="inlineStr">
        <is>
          <t>Akme Fintrade (India) Ltd.</t>
        </is>
      </c>
      <c r="D2124" s="16" t="inlineStr">
        <is>
          <t>Finance (including NBFCs)</t>
        </is>
      </c>
      <c r="E2124" s="16" t="inlineStr">
        <is>
          <t>Banking and Finance</t>
        </is>
      </c>
      <c r="F2124" s="17" t="n">
        <v>401.02</v>
      </c>
      <c r="G2124" s="16" t="inlineStr">
        <is>
          <t>AFIL</t>
        </is>
      </c>
      <c r="H2124" s="16" t="inlineStr">
        <is>
          <t>544200</t>
        </is>
      </c>
      <c r="I2124" s="27">
        <f>IFERROR(IF(INDEX(Stocks!$G$2:$G$2139,MATCH(A2124,Stocks!$E$2:$E$2139,0))="","No","Yes"),"No")</f>
        <v/>
      </c>
    </row>
    <row r="2125">
      <c r="A2125" s="16" t="inlineStr">
        <is>
          <t>INE385O01018</t>
        </is>
      </c>
      <c r="B2125" s="16" t="inlineStr">
        <is>
          <t>FROG</t>
        </is>
      </c>
      <c r="C2125" s="16" t="inlineStr">
        <is>
          <t>Frog Innovations Ltd.</t>
        </is>
      </c>
      <c r="D2125" s="16" t="inlineStr">
        <is>
          <t>Telecom Equipment</t>
        </is>
      </c>
      <c r="E2125" s="16" t="inlineStr">
        <is>
          <t>Telecommunications Equipment</t>
        </is>
      </c>
      <c r="F2125" s="17" t="n">
        <v>400.76</v>
      </c>
      <c r="G2125" s="16" t="inlineStr">
        <is>
          <t>FROG</t>
        </is>
      </c>
      <c r="H2125" s="16" t="inlineStr"/>
      <c r="I2125" s="27">
        <f>IFERROR(IF(INDEX(Stocks!$G$2:$G$2139,MATCH(A2125,Stocks!$E$2:$E$2139,0))="","No","Yes"),"No")</f>
        <v/>
      </c>
    </row>
    <row r="2126">
      <c r="A2126" s="16" t="inlineStr">
        <is>
          <t>INE629D01020</t>
        </is>
      </c>
      <c r="B2126" s="16" t="inlineStr">
        <is>
          <t>BANSWRAS</t>
        </is>
      </c>
      <c r="C2126" s="16" t="inlineStr">
        <is>
          <t>Banswara Syntex Ltd.</t>
        </is>
      </c>
      <c r="D2126" s="16" t="inlineStr">
        <is>
          <t>Textiles</t>
        </is>
      </c>
      <c r="E2126" s="16" t="inlineStr">
        <is>
          <t>Textiles Apparels &amp; Accessories</t>
        </is>
      </c>
      <c r="F2126" s="17" t="n">
        <v>400.69</v>
      </c>
      <c r="G2126" s="16" t="inlineStr">
        <is>
          <t>BANSWRAS</t>
        </is>
      </c>
      <c r="H2126" s="16" t="inlineStr">
        <is>
          <t>503722</t>
        </is>
      </c>
      <c r="I2126" s="27">
        <f>IFERROR(IF(INDEX(Stocks!$G$2:$G$2139,MATCH(A2126,Stocks!$E$2:$E$2139,0))="","No","Yes"),"No")</f>
        <v/>
      </c>
    </row>
    <row r="2127">
      <c r="A2127" s="16" t="inlineStr">
        <is>
          <t>INE0P5R01014</t>
        </is>
      </c>
      <c r="B2127" s="16" t="inlineStr">
        <is>
          <t>PURPLEUTED</t>
        </is>
      </c>
      <c r="C2127" s="16" t="inlineStr">
        <is>
          <t>Purple United Sales Ltd.</t>
        </is>
      </c>
      <c r="D2127" s="16" t="inlineStr">
        <is>
          <t>Other Apparels &amp; Accessories</t>
        </is>
      </c>
      <c r="E2127" s="16" t="inlineStr">
        <is>
          <t>Textiles Apparels &amp; Accessories</t>
        </is>
      </c>
      <c r="F2127" s="17" t="n">
        <v>399.96</v>
      </c>
      <c r="G2127" s="16" t="inlineStr">
        <is>
          <t>PURPLEUTED</t>
        </is>
      </c>
      <c r="H2127" s="16" t="inlineStr"/>
      <c r="I2127" s="27">
        <f>IFERROR(IF(INDEX(Stocks!$G$2:$G$2139,MATCH(A2127,Stocks!$E$2:$E$2139,0))="","No","Yes"),"No")</f>
        <v/>
      </c>
    </row>
    <row r="2128">
      <c r="A2128" s="16" t="inlineStr">
        <is>
          <t>INE902B01017</t>
        </is>
      </c>
      <c r="B2128" s="16" t="inlineStr">
        <is>
          <t>S&amp;SPOWER</t>
        </is>
      </c>
      <c r="C2128" s="16" t="inlineStr">
        <is>
          <t>S &amp; S Power Switchgear Ltd.</t>
        </is>
      </c>
      <c r="D2128" s="16" t="inlineStr">
        <is>
          <t>Other Electrical Equipment/Products</t>
        </is>
      </c>
      <c r="E2128" s="16" t="inlineStr">
        <is>
          <t>Consumer Durables</t>
        </is>
      </c>
      <c r="F2128" s="17" t="n">
        <v>399.81</v>
      </c>
      <c r="G2128" s="16" t="inlineStr">
        <is>
          <t>S&amp;SPOWER</t>
        </is>
      </c>
      <c r="H2128" s="16" t="inlineStr">
        <is>
          <t>517273</t>
        </is>
      </c>
      <c r="I2128" s="27">
        <f>IFERROR(IF(INDEX(Stocks!$G$2:$G$2139,MATCH(A2128,Stocks!$E$2:$E$2139,0))="","No","Yes"),"No")</f>
        <v/>
      </c>
    </row>
    <row r="2129">
      <c r="A2129" s="16" t="inlineStr">
        <is>
          <t>INE666E01020</t>
        </is>
      </c>
      <c r="B2129" s="16" t="inlineStr">
        <is>
          <t>ACL</t>
        </is>
      </c>
      <c r="C2129" s="16" t="inlineStr">
        <is>
          <t>Andhra Cements Ltd.</t>
        </is>
      </c>
      <c r="D2129" s="16" t="inlineStr">
        <is>
          <t>Cement &amp; Cement Products</t>
        </is>
      </c>
      <c r="E2129" s="16" t="inlineStr">
        <is>
          <t>Cement and Construction</t>
        </is>
      </c>
      <c r="F2129" s="17" t="n">
        <v>399.66</v>
      </c>
      <c r="G2129" s="16" t="inlineStr">
        <is>
          <t>ACL</t>
        </is>
      </c>
      <c r="H2129" s="16" t="inlineStr">
        <is>
          <t>532141</t>
        </is>
      </c>
      <c r="I2129" s="27">
        <f>IFERROR(IF(INDEX(Stocks!$G$2:$G$2139,MATCH(A2129,Stocks!$E$2:$E$2139,0))="","No","Yes"),"No")</f>
        <v/>
      </c>
    </row>
    <row r="2130">
      <c r="A2130" s="16" t="inlineStr">
        <is>
          <t>INE0Y5H01014</t>
        </is>
      </c>
      <c r="B2130" s="16" t="inlineStr">
        <is>
          <t>TECHD</t>
        </is>
      </c>
      <c r="C2130" s="16" t="inlineStr">
        <is>
          <t>TechD Cybersecurity Ltd.</t>
        </is>
      </c>
      <c r="D2130" s="16" t="inlineStr">
        <is>
          <t>IT Consulting &amp; Software</t>
        </is>
      </c>
      <c r="E2130" s="16" t="inlineStr">
        <is>
          <t>Software &amp; Services</t>
        </is>
      </c>
      <c r="F2130" s="17" t="n">
        <v>399.08</v>
      </c>
      <c r="G2130" s="16" t="inlineStr">
        <is>
          <t>TECHD</t>
        </is>
      </c>
      <c r="H2130" s="16" t="inlineStr"/>
      <c r="I2130" s="27">
        <f>IFERROR(IF(INDEX(Stocks!$G$2:$G$2139,MATCH(A2130,Stocks!$E$2:$E$2139,0))="","No","Yes"),"No")</f>
        <v/>
      </c>
    </row>
    <row r="2131">
      <c r="A2131" s="16" t="inlineStr">
        <is>
          <t>INE585A01020</t>
        </is>
      </c>
      <c r="B2131" s="16" t="inlineStr">
        <is>
          <t>NAPEROL</t>
        </is>
      </c>
      <c r="C2131" s="16" t="inlineStr">
        <is>
          <t>Naperol Investments Ltd.</t>
        </is>
      </c>
      <c r="D2131" s="16" t="inlineStr">
        <is>
          <t>Commodity Chemicals</t>
        </is>
      </c>
      <c r="E2131" s="16" t="inlineStr">
        <is>
          <t>Chemicals &amp; Petrochemicals</t>
        </is>
      </c>
      <c r="F2131" s="17" t="n">
        <v>399.01</v>
      </c>
      <c r="G2131" s="16" t="inlineStr"/>
      <c r="H2131" s="16" t="inlineStr">
        <is>
          <t>500298</t>
        </is>
      </c>
      <c r="I2131" s="27">
        <f>IFERROR(IF(INDEX(Stocks!$G$2:$G$2139,MATCH(A2131,Stocks!$E$2:$E$2139,0))="","No","Yes"),"No")</f>
        <v/>
      </c>
    </row>
    <row r="2132">
      <c r="A2132" s="16" t="inlineStr">
        <is>
          <t>INE04VX01019</t>
        </is>
      </c>
      <c r="B2132" s="16" t="inlineStr">
        <is>
          <t>SHEETAL</t>
        </is>
      </c>
      <c r="C2132" s="16" t="inlineStr">
        <is>
          <t>Sheetal Universal Ltd.</t>
        </is>
      </c>
      <c r="D2132" s="16" t="inlineStr">
        <is>
          <t>Other Agricultural Products</t>
        </is>
      </c>
      <c r="E2132" s="16" t="inlineStr">
        <is>
          <t>Food, Beverages &amp; Tobacco</t>
        </is>
      </c>
      <c r="F2132" s="17" t="n">
        <v>398.78</v>
      </c>
      <c r="G2132" s="16" t="inlineStr">
        <is>
          <t>SHEETAL</t>
        </is>
      </c>
      <c r="H2132" s="16" t="inlineStr"/>
      <c r="I2132" s="27">
        <f>IFERROR(IF(INDEX(Stocks!$G$2:$G$2139,MATCH(A2132,Stocks!$E$2:$E$2139,0))="","No","Yes"),"No")</f>
        <v/>
      </c>
    </row>
    <row r="2133">
      <c r="A2133" s="16" t="inlineStr">
        <is>
          <t>INE927C01020</t>
        </is>
      </c>
      <c r="B2133" s="16" t="inlineStr">
        <is>
          <t>DIGISPICE</t>
        </is>
      </c>
      <c r="C2133" s="16" t="inlineStr">
        <is>
          <t>DiGiSPICE Technologies Ltd.</t>
        </is>
      </c>
      <c r="D2133" s="16" t="inlineStr">
        <is>
          <t>IT Software Products</t>
        </is>
      </c>
      <c r="E2133" s="16" t="inlineStr">
        <is>
          <t>Software &amp; Services</t>
        </is>
      </c>
      <c r="F2133" s="17" t="n">
        <v>398.47</v>
      </c>
      <c r="G2133" s="16" t="inlineStr">
        <is>
          <t>DIGISPICE</t>
        </is>
      </c>
      <c r="H2133" s="16" t="inlineStr">
        <is>
          <t>517214</t>
        </is>
      </c>
      <c r="I2133" s="27">
        <f>IFERROR(IF(INDEX(Stocks!$G$2:$G$2139,MATCH(A2133,Stocks!$E$2:$E$2139,0))="","No","Yes"),"No")</f>
        <v/>
      </c>
    </row>
    <row r="2134">
      <c r="A2134" s="16" t="inlineStr">
        <is>
          <t>INE0VDK01019</t>
        </is>
      </c>
      <c r="B2134" s="16" t="inlineStr">
        <is>
          <t>PURPLEWAVE</t>
        </is>
      </c>
      <c r="C2134" s="16" t="inlineStr">
        <is>
          <t>Purple Wave Infocom Ltd.</t>
        </is>
      </c>
      <c r="D2134" s="16" t="inlineStr">
        <is>
          <t>Distributors</t>
        </is>
      </c>
      <c r="E2134" s="16" t="inlineStr">
        <is>
          <t>Commercial Services &amp; Supplies</t>
        </is>
      </c>
      <c r="F2134" s="17" t="n">
        <v>397.9</v>
      </c>
      <c r="G2134" s="16" t="inlineStr"/>
      <c r="H2134" s="16" t="inlineStr">
        <is>
          <t>544627</t>
        </is>
      </c>
      <c r="I2134" s="27">
        <f>IFERROR(IF(INDEX(Stocks!$G$2:$G$2139,MATCH(A2134,Stocks!$E$2:$E$2139,0))="","No","Yes"),"No")</f>
        <v/>
      </c>
    </row>
    <row r="2135">
      <c r="A2135" s="16" t="inlineStr">
        <is>
          <t>INE557B01019</t>
        </is>
      </c>
      <c r="B2135" s="16" t="inlineStr">
        <is>
          <t>LIBERTSHOE</t>
        </is>
      </c>
      <c r="C2135" s="16" t="inlineStr">
        <is>
          <t>Liberty Shoes Ltd.</t>
        </is>
      </c>
      <c r="D2135" s="16" t="inlineStr">
        <is>
          <t>Footwear</t>
        </is>
      </c>
      <c r="E2135" s="16" t="inlineStr">
        <is>
          <t>Retailing</t>
        </is>
      </c>
      <c r="F2135" s="17" t="n">
        <v>397.49</v>
      </c>
      <c r="G2135" s="16" t="inlineStr">
        <is>
          <t>LIBERTSHOE</t>
        </is>
      </c>
      <c r="H2135" s="16" t="inlineStr">
        <is>
          <t>526596</t>
        </is>
      </c>
      <c r="I2135" s="27">
        <f>IFERROR(IF(INDEX(Stocks!$G$2:$G$2139,MATCH(A2135,Stocks!$E$2:$E$2139,0))="","No","Yes"),"No")</f>
        <v/>
      </c>
    </row>
    <row r="2136">
      <c r="A2136" s="16" t="inlineStr">
        <is>
          <t>INE156901014</t>
        </is>
      </c>
      <c r="B2136" s="16" t="inlineStr">
        <is>
          <t>NEPTUNE</t>
        </is>
      </c>
      <c r="C2136" s="16" t="inlineStr">
        <is>
          <t>Neptune Petrochemicals Ltd.</t>
        </is>
      </c>
      <c r="D2136" s="16" t="inlineStr">
        <is>
          <t>Petrochemicals</t>
        </is>
      </c>
      <c r="E2136" s="16" t="inlineStr">
        <is>
          <t>Chemicals &amp; Petrochemicals</t>
        </is>
      </c>
      <c r="F2136" s="17" t="n">
        <v>396.44</v>
      </c>
      <c r="G2136" s="16" t="inlineStr">
        <is>
          <t>NEPTUNE</t>
        </is>
      </c>
      <c r="H2136" s="16" t="inlineStr"/>
      <c r="I2136" s="27">
        <f>IFERROR(IF(INDEX(Stocks!$G$2:$G$2139,MATCH(A2136,Stocks!$E$2:$E$2139,0))="","No","Yes"),"No")</f>
        <v/>
      </c>
    </row>
    <row r="2137">
      <c r="A2137" s="16" t="inlineStr">
        <is>
          <t>INE650G01029</t>
        </is>
      </c>
      <c r="B2137" s="16" t="inlineStr">
        <is>
          <t>MENNPIS</t>
        </is>
      </c>
      <c r="C2137" s="16" t="inlineStr">
        <is>
          <t>Menon Pistons Ltd.</t>
        </is>
      </c>
      <c r="D2137" s="16" t="inlineStr">
        <is>
          <t>Auto Parts &amp; Equipment</t>
        </is>
      </c>
      <c r="E2137" s="16" t="inlineStr">
        <is>
          <t>Automobiles &amp; Auto Components</t>
        </is>
      </c>
      <c r="F2137" s="17" t="n">
        <v>395.35</v>
      </c>
      <c r="G2137" s="16" t="inlineStr"/>
      <c r="H2137" s="16" t="inlineStr">
        <is>
          <t>531727</t>
        </is>
      </c>
      <c r="I2137" s="27">
        <f>IFERROR(IF(INDEX(Stocks!$G$2:$G$2139,MATCH(A2137,Stocks!$E$2:$E$2139,0))="","No","Yes"),"No")</f>
        <v/>
      </c>
    </row>
    <row r="2138">
      <c r="A2138" s="16" t="inlineStr">
        <is>
          <t>INE767M01029</t>
        </is>
      </c>
      <c r="B2138" s="16" t="inlineStr">
        <is>
          <t>ASGARD</t>
        </is>
      </c>
      <c r="C2138" s="16" t="inlineStr">
        <is>
          <t>Asgard Alcobev Ltd.</t>
        </is>
      </c>
      <c r="D2138" s="16" t="inlineStr">
        <is>
          <t>Commodity Trading  &amp; Distribution</t>
        </is>
      </c>
      <c r="E2138" s="16" t="inlineStr">
        <is>
          <t>Commercial Services &amp; Supplies</t>
        </is>
      </c>
      <c r="F2138" s="17" t="n">
        <v>395.3</v>
      </c>
      <c r="G2138" s="16" t="inlineStr"/>
      <c r="H2138" s="16" t="inlineStr">
        <is>
          <t>512025</t>
        </is>
      </c>
      <c r="I2138" s="27">
        <f>IFERROR(IF(INDEX(Stocks!$G$2:$G$2139,MATCH(A2138,Stocks!$E$2:$E$2139,0))="","No","Yes"),"No")</f>
        <v/>
      </c>
    </row>
    <row r="2139">
      <c r="A2139" s="16" t="inlineStr">
        <is>
          <t>INE874A01010</t>
        </is>
      </c>
      <c r="B2139" s="16" t="inlineStr">
        <is>
          <t>MKVENTURES</t>
        </is>
      </c>
      <c r="C2139" s="16" t="inlineStr">
        <is>
          <t>Mkventures Capital Ltd.</t>
        </is>
      </c>
      <c r="D2139" s="16" t="inlineStr">
        <is>
          <t>Other Financial Services</t>
        </is>
      </c>
      <c r="E2139" s="16" t="inlineStr">
        <is>
          <t>Banking and Finance</t>
        </is>
      </c>
      <c r="F2139" s="17" t="n">
        <v>394.87</v>
      </c>
      <c r="G2139" s="16" t="inlineStr"/>
      <c r="H2139" s="16" t="inlineStr">
        <is>
          <t>514238</t>
        </is>
      </c>
      <c r="I2139" s="27">
        <f>IFERROR(IF(INDEX(Stocks!$G$2:$G$2139,MATCH(A2139,Stocks!$E$2:$E$2139,0))="","No","Yes"),"No")</f>
        <v/>
      </c>
    </row>
    <row r="2141" ht="30" customHeight="1">
      <c r="A2141" s="24" t="inlineStr">
        <is>
          <t>The quarterly universe definition. BSE Code is text on purpose - read it as a number anywhere in the pipeline and '544467' becomes '544467.0', which breaks the Yahoo ticker. Priced is looked up live against the Stocks sheet.</t>
        </is>
      </c>
    </row>
  </sheetData>
  <autoFilter ref="A1:I2139"/>
  <mergeCells count="1">
    <mergeCell ref="A2141:H21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2026-09-07T14:37:30Z</dcterms:created>
  <dcterms:modified xsi:type="dcterms:W3CDTF">2026-09-07T14:37:35Z</dcterms:modified>
</cp:coreProperties>
</file>